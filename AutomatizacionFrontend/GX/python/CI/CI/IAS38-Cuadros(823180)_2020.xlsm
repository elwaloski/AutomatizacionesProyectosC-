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ime\Desktop\Jaime\TESTING\Testing CI 2023\svs-cl-ci-2023-01-02\"/>
    </mc:Choice>
  </mc:AlternateContent>
  <xr:revisionPtr revIDLastSave="0" documentId="13_ncr:1_{F46B121C-B5BA-4BC2-BE4A-7B1106245434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AS38-Cuadros" sheetId="1" r:id="rId1"/>
    <sheet name="IAS38-InfoReveActiInta" sheetId="2" r:id="rId2"/>
    <sheet name="IAS38-InfoActiIntaUtil" sheetId="4" r:id="rId3"/>
    <sheet name="IAS38-InfoActiIntaSign" sheetId="5" r:id="rId4"/>
    <sheet name="Hoja1" sheetId="6" state="hidden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21" i="2" l="1"/>
  <c r="AZ196" i="2" l="1"/>
  <c r="AZ198" i="2"/>
  <c r="AZ199" i="2"/>
  <c r="AZ200" i="2"/>
  <c r="AZ201" i="2"/>
  <c r="AZ202" i="2"/>
  <c r="AZ203" i="2"/>
  <c r="AZ204" i="2"/>
  <c r="AZ205" i="2"/>
  <c r="AZ206" i="2"/>
  <c r="AZ208" i="2"/>
  <c r="AZ209" i="2"/>
  <c r="AZ212" i="2"/>
  <c r="AZ213" i="2"/>
  <c r="AZ215" i="2"/>
  <c r="AZ216" i="2"/>
  <c r="AZ220" i="2"/>
  <c r="AZ221" i="2"/>
  <c r="AZ222" i="2"/>
  <c r="AZ235" i="2"/>
  <c r="AZ237" i="2"/>
  <c r="AZ238" i="2"/>
  <c r="AZ239" i="2"/>
  <c r="AZ240" i="2"/>
  <c r="AZ241" i="2"/>
  <c r="AZ242" i="2"/>
  <c r="AZ243" i="2"/>
  <c r="AZ244" i="2"/>
  <c r="AZ245" i="2"/>
  <c r="AZ247" i="2"/>
  <c r="AZ248" i="2"/>
  <c r="AZ251" i="2"/>
  <c r="AZ252" i="2"/>
  <c r="AZ254" i="2"/>
  <c r="AZ255" i="2"/>
  <c r="AZ260" i="2"/>
  <c r="AZ261" i="2"/>
  <c r="AZ262" i="2"/>
  <c r="AZ108" i="2"/>
  <c r="AZ110" i="2"/>
  <c r="AZ111" i="2"/>
  <c r="AZ112" i="2"/>
  <c r="AZ113" i="2"/>
  <c r="AZ114" i="2"/>
  <c r="AZ115" i="2"/>
  <c r="AZ116" i="2"/>
  <c r="AZ117" i="2"/>
  <c r="AZ118" i="2"/>
  <c r="AZ120" i="2"/>
  <c r="AZ121" i="2"/>
  <c r="AZ124" i="2"/>
  <c r="AZ125" i="2"/>
  <c r="AZ127" i="2"/>
  <c r="AZ128" i="2"/>
  <c r="AZ132" i="2"/>
  <c r="AZ133" i="2"/>
  <c r="AZ134" i="2"/>
  <c r="AZ147" i="2"/>
  <c r="AZ149" i="2"/>
  <c r="AZ150" i="2"/>
  <c r="AZ151" i="2"/>
  <c r="AZ152" i="2"/>
  <c r="AZ153" i="2"/>
  <c r="AZ154" i="2"/>
  <c r="AZ155" i="2"/>
  <c r="AZ156" i="2"/>
  <c r="AZ157" i="2"/>
  <c r="AZ159" i="2"/>
  <c r="AZ160" i="2"/>
  <c r="AZ163" i="2"/>
  <c r="AZ164" i="2"/>
  <c r="AZ166" i="2"/>
  <c r="AZ167" i="2"/>
  <c r="AZ172" i="2"/>
  <c r="AZ173" i="2"/>
  <c r="AZ174" i="2"/>
  <c r="AZ23" i="2"/>
  <c r="AZ24" i="2"/>
  <c r="AZ25" i="2"/>
  <c r="AZ26" i="2"/>
  <c r="AZ27" i="2"/>
  <c r="AZ28" i="2"/>
  <c r="AZ29" i="2"/>
  <c r="AZ30" i="2"/>
  <c r="AZ31" i="2"/>
  <c r="AZ33" i="2"/>
  <c r="AZ34" i="2"/>
  <c r="AZ37" i="2"/>
  <c r="AZ38" i="2"/>
  <c r="AZ40" i="2"/>
  <c r="AZ41" i="2"/>
  <c r="AZ45" i="2"/>
  <c r="AZ46" i="2"/>
  <c r="AZ47" i="2"/>
  <c r="AZ60" i="2"/>
  <c r="AZ62" i="2"/>
  <c r="AZ63" i="2"/>
  <c r="AZ64" i="2"/>
  <c r="AZ65" i="2"/>
  <c r="AZ66" i="2"/>
  <c r="AZ67" i="2"/>
  <c r="AZ68" i="2"/>
  <c r="AZ69" i="2"/>
  <c r="AZ70" i="2"/>
  <c r="AZ72" i="2"/>
  <c r="AZ73" i="2"/>
  <c r="AZ76" i="2"/>
  <c r="AZ77" i="2"/>
  <c r="AZ79" i="2"/>
  <c r="AZ80" i="2"/>
  <c r="AZ85" i="2"/>
  <c r="AZ86" i="2"/>
  <c r="AZ87" i="2"/>
  <c r="AH284" i="2"/>
  <c r="AH372" i="2" s="1"/>
  <c r="AH286" i="2"/>
  <c r="AH374" i="2" s="1"/>
  <c r="AH287" i="2"/>
  <c r="AH375" i="2" s="1"/>
  <c r="AH288" i="2"/>
  <c r="AH376" i="2" s="1"/>
  <c r="AH289" i="2"/>
  <c r="AH377" i="2" s="1"/>
  <c r="AH290" i="2"/>
  <c r="AH378" i="2" s="1"/>
  <c r="AH291" i="2"/>
  <c r="AH379" i="2" s="1"/>
  <c r="AH292" i="2"/>
  <c r="AH380" i="2" s="1"/>
  <c r="AH293" i="2"/>
  <c r="AH381" i="2" s="1"/>
  <c r="AH294" i="2"/>
  <c r="AH382" i="2" s="1"/>
  <c r="AH296" i="2"/>
  <c r="AH384" i="2" s="1"/>
  <c r="AH297" i="2"/>
  <c r="AH385" i="2" s="1"/>
  <c r="AH300" i="2"/>
  <c r="AH388" i="2" s="1"/>
  <c r="AH301" i="2"/>
  <c r="AH389" i="2" s="1"/>
  <c r="AH303" i="2"/>
  <c r="AH304" i="2"/>
  <c r="AH392" i="2" s="1"/>
  <c r="AH308" i="2"/>
  <c r="AH396" i="2" s="1"/>
  <c r="AH309" i="2"/>
  <c r="AH397" i="2" s="1"/>
  <c r="AH310" i="2"/>
  <c r="AH398" i="2" s="1"/>
  <c r="AH323" i="2"/>
  <c r="AH411" i="2" s="1"/>
  <c r="AH325" i="2"/>
  <c r="AH413" i="2" s="1"/>
  <c r="AH326" i="2"/>
  <c r="AH414" i="2" s="1"/>
  <c r="AH327" i="2"/>
  <c r="AH328" i="2"/>
  <c r="AH416" i="2" s="1"/>
  <c r="AH329" i="2"/>
  <c r="AH417" i="2" s="1"/>
  <c r="AH330" i="2"/>
  <c r="AH418" i="2" s="1"/>
  <c r="AH331" i="2"/>
  <c r="AH419" i="2" s="1"/>
  <c r="AH332" i="2"/>
  <c r="AH420" i="2" s="1"/>
  <c r="AH333" i="2"/>
  <c r="AH421" i="2" s="1"/>
  <c r="AH335" i="2"/>
  <c r="AH423" i="2" s="1"/>
  <c r="AH336" i="2"/>
  <c r="AH424" i="2" s="1"/>
  <c r="AH339" i="2"/>
  <c r="AH427" i="2" s="1"/>
  <c r="AH340" i="2"/>
  <c r="AH428" i="2" s="1"/>
  <c r="AH342" i="2"/>
  <c r="AH430" i="2" s="1"/>
  <c r="AH343" i="2"/>
  <c r="AH431" i="2" s="1"/>
  <c r="AH348" i="2"/>
  <c r="AH436" i="2" s="1"/>
  <c r="AH349" i="2"/>
  <c r="AH437" i="2" s="1"/>
  <c r="AH350" i="2"/>
  <c r="AH438" i="2" s="1"/>
  <c r="P284" i="2"/>
  <c r="P372" i="2" s="1"/>
  <c r="P286" i="2"/>
  <c r="P287" i="2"/>
  <c r="P288" i="2"/>
  <c r="P289" i="2"/>
  <c r="P290" i="2"/>
  <c r="P291" i="2"/>
  <c r="P379" i="2" s="1"/>
  <c r="P292" i="2"/>
  <c r="P293" i="2"/>
  <c r="P294" i="2"/>
  <c r="P382" i="2" s="1"/>
  <c r="P296" i="2"/>
  <c r="P384" i="2" s="1"/>
  <c r="P297" i="2"/>
  <c r="P385" i="2" s="1"/>
  <c r="P300" i="2"/>
  <c r="P388" i="2" s="1"/>
  <c r="P301" i="2"/>
  <c r="P303" i="2"/>
  <c r="P391" i="2" s="1"/>
  <c r="P304" i="2"/>
  <c r="P392" i="2" s="1"/>
  <c r="P308" i="2"/>
  <c r="P396" i="2" s="1"/>
  <c r="P309" i="2"/>
  <c r="P397" i="2" s="1"/>
  <c r="P310" i="2"/>
  <c r="P398" i="2" s="1"/>
  <c r="P323" i="2"/>
  <c r="P325" i="2"/>
  <c r="P413" i="2" s="1"/>
  <c r="P326" i="2"/>
  <c r="P414" i="2" s="1"/>
  <c r="P327" i="2"/>
  <c r="P415" i="2" s="1"/>
  <c r="P328" i="2"/>
  <c r="P329" i="2"/>
  <c r="P330" i="2"/>
  <c r="P331" i="2"/>
  <c r="P332" i="2"/>
  <c r="P420" i="2" s="1"/>
  <c r="P333" i="2"/>
  <c r="P421" i="2" s="1"/>
  <c r="P335" i="2"/>
  <c r="P336" i="2"/>
  <c r="P339" i="2"/>
  <c r="P427" i="2" s="1"/>
  <c r="P340" i="2"/>
  <c r="P428" i="2" s="1"/>
  <c r="P342" i="2"/>
  <c r="P430" i="2" s="1"/>
  <c r="P343" i="2"/>
  <c r="P431" i="2" s="1"/>
  <c r="P348" i="2"/>
  <c r="P349" i="2"/>
  <c r="P350" i="2"/>
  <c r="AH210" i="2"/>
  <c r="AH214" i="2"/>
  <c r="AH249" i="2"/>
  <c r="AH253" i="2"/>
  <c r="P210" i="2"/>
  <c r="P214" i="2"/>
  <c r="P249" i="2"/>
  <c r="P253" i="2"/>
  <c r="AH122" i="2"/>
  <c r="AH126" i="2"/>
  <c r="AH161" i="2"/>
  <c r="AH165" i="2"/>
  <c r="P122" i="2"/>
  <c r="P126" i="2"/>
  <c r="P161" i="2"/>
  <c r="P165" i="2"/>
  <c r="P341" i="2" s="1"/>
  <c r="AH74" i="2"/>
  <c r="AH39" i="2"/>
  <c r="AH78" i="2"/>
  <c r="P35" i="2"/>
  <c r="P39" i="2"/>
  <c r="P74" i="2"/>
  <c r="P78" i="2"/>
  <c r="AZ286" i="2" l="1"/>
  <c r="AZ323" i="2"/>
  <c r="AZ293" i="2"/>
  <c r="AH129" i="2"/>
  <c r="AH130" i="2" s="1"/>
  <c r="P217" i="2"/>
  <c r="P218" i="2" s="1"/>
  <c r="AZ249" i="2"/>
  <c r="AZ290" i="2"/>
  <c r="AZ349" i="2"/>
  <c r="AZ329" i="2"/>
  <c r="AZ296" i="2"/>
  <c r="AZ330" i="2"/>
  <c r="AZ331" i="2"/>
  <c r="AZ301" i="2"/>
  <c r="AZ253" i="2"/>
  <c r="AZ327" i="2"/>
  <c r="P417" i="2"/>
  <c r="AZ417" i="2" s="1"/>
  <c r="AZ303" i="2"/>
  <c r="P381" i="2"/>
  <c r="AZ381" i="2" s="1"/>
  <c r="AZ350" i="2"/>
  <c r="AZ348" i="2"/>
  <c r="AH256" i="2"/>
  <c r="AH257" i="2" s="1"/>
  <c r="AH258" i="2" s="1"/>
  <c r="AH341" i="2"/>
  <c r="AH429" i="2" s="1"/>
  <c r="AH337" i="2"/>
  <c r="AH425" i="2" s="1"/>
  <c r="AZ335" i="2"/>
  <c r="AZ328" i="2"/>
  <c r="AH415" i="2"/>
  <c r="AZ415" i="2" s="1"/>
  <c r="AZ309" i="2"/>
  <c r="AH391" i="2"/>
  <c r="AZ391" i="2" s="1"/>
  <c r="AH217" i="2"/>
  <c r="AH218" i="2" s="1"/>
  <c r="AH302" i="2"/>
  <c r="AH390" i="2" s="1"/>
  <c r="AZ300" i="2"/>
  <c r="AH298" i="2"/>
  <c r="AZ210" i="2"/>
  <c r="AZ292" i="2"/>
  <c r="AZ289" i="2"/>
  <c r="AZ288" i="2"/>
  <c r="AZ431" i="2"/>
  <c r="AZ430" i="2"/>
  <c r="AZ428" i="2"/>
  <c r="AZ339" i="2"/>
  <c r="AZ336" i="2"/>
  <c r="AH168" i="2"/>
  <c r="AZ413" i="2"/>
  <c r="AZ398" i="2"/>
  <c r="AZ396" i="2"/>
  <c r="AZ392" i="2"/>
  <c r="AZ385" i="2"/>
  <c r="AZ297" i="2"/>
  <c r="AZ382" i="2"/>
  <c r="AZ379" i="2"/>
  <c r="AZ287" i="2"/>
  <c r="AZ78" i="2"/>
  <c r="AZ427" i="2"/>
  <c r="AH81" i="2"/>
  <c r="AH82" i="2" s="1"/>
  <c r="AH83" i="2" s="1"/>
  <c r="AZ74" i="2"/>
  <c r="AZ421" i="2"/>
  <c r="AZ420" i="2"/>
  <c r="AZ414" i="2"/>
  <c r="AZ397" i="2"/>
  <c r="AZ388" i="2"/>
  <c r="AZ384" i="2"/>
  <c r="AZ342" i="2"/>
  <c r="AZ340" i="2"/>
  <c r="P424" i="2"/>
  <c r="AZ424" i="2" s="1"/>
  <c r="P256" i="2"/>
  <c r="P337" i="2"/>
  <c r="P423" i="2"/>
  <c r="AZ423" i="2" s="1"/>
  <c r="P419" i="2"/>
  <c r="AZ419" i="2" s="1"/>
  <c r="P418" i="2"/>
  <c r="AZ418" i="2" s="1"/>
  <c r="P416" i="2"/>
  <c r="AZ416" i="2" s="1"/>
  <c r="AZ326" i="2"/>
  <c r="P411" i="2"/>
  <c r="AZ411" i="2" s="1"/>
  <c r="P302" i="2"/>
  <c r="AZ214" i="2"/>
  <c r="AZ294" i="2"/>
  <c r="P380" i="2"/>
  <c r="AZ380" i="2" s="1"/>
  <c r="P378" i="2"/>
  <c r="AZ378" i="2" s="1"/>
  <c r="P377" i="2"/>
  <c r="AZ377" i="2" s="1"/>
  <c r="P376" i="2"/>
  <c r="AZ376" i="2" s="1"/>
  <c r="P375" i="2"/>
  <c r="AZ375" i="2" s="1"/>
  <c r="P374" i="2"/>
  <c r="AZ374" i="2" s="1"/>
  <c r="P438" i="2"/>
  <c r="AZ438" i="2" s="1"/>
  <c r="P437" i="2"/>
  <c r="AZ437" i="2" s="1"/>
  <c r="P436" i="2"/>
  <c r="AZ436" i="2" s="1"/>
  <c r="AZ343" i="2"/>
  <c r="AZ165" i="2"/>
  <c r="P429" i="2"/>
  <c r="P168" i="2"/>
  <c r="P169" i="2" s="1"/>
  <c r="P170" i="2" s="1"/>
  <c r="AZ161" i="2"/>
  <c r="AZ333" i="2"/>
  <c r="AZ332" i="2"/>
  <c r="AZ325" i="2"/>
  <c r="AZ310" i="2"/>
  <c r="AZ308" i="2"/>
  <c r="AZ304" i="2"/>
  <c r="P389" i="2"/>
  <c r="AZ389" i="2" s="1"/>
  <c r="P129" i="2"/>
  <c r="P130" i="2" s="1"/>
  <c r="AZ126" i="2"/>
  <c r="P298" i="2"/>
  <c r="AZ122" i="2"/>
  <c r="AZ291" i="2"/>
  <c r="AZ284" i="2"/>
  <c r="P81" i="2"/>
  <c r="AZ39" i="2"/>
  <c r="P42" i="2"/>
  <c r="P43" i="2" s="1"/>
  <c r="AZ372" i="2"/>
  <c r="G284" i="2"/>
  <c r="BF262" i="2"/>
  <c r="BF261" i="2"/>
  <c r="BF260" i="2"/>
  <c r="BF255" i="2"/>
  <c r="BF254" i="2"/>
  <c r="BF252" i="2"/>
  <c r="BF251" i="2"/>
  <c r="BF248" i="2"/>
  <c r="BF247" i="2"/>
  <c r="BF245" i="2"/>
  <c r="BF244" i="2"/>
  <c r="BF243" i="2"/>
  <c r="BF242" i="2"/>
  <c r="BF241" i="2"/>
  <c r="BF240" i="2"/>
  <c r="BF239" i="2"/>
  <c r="BF238" i="2"/>
  <c r="BF237" i="2"/>
  <c r="BF235" i="2"/>
  <c r="BF222" i="2"/>
  <c r="BF221" i="2"/>
  <c r="BF220" i="2"/>
  <c r="BF216" i="2"/>
  <c r="BF215" i="2"/>
  <c r="BF213" i="2"/>
  <c r="BF212" i="2"/>
  <c r="BF209" i="2"/>
  <c r="BF208" i="2"/>
  <c r="BF206" i="2"/>
  <c r="BF205" i="2"/>
  <c r="BF204" i="2"/>
  <c r="BF203" i="2"/>
  <c r="BF202" i="2"/>
  <c r="BF201" i="2"/>
  <c r="BF200" i="2"/>
  <c r="BF199" i="2"/>
  <c r="BF198" i="2"/>
  <c r="BF196" i="2"/>
  <c r="BF174" i="2"/>
  <c r="BF173" i="2"/>
  <c r="BF172" i="2"/>
  <c r="BF167" i="2"/>
  <c r="BF166" i="2"/>
  <c r="BF164" i="2"/>
  <c r="BF163" i="2"/>
  <c r="BF160" i="2"/>
  <c r="BF159" i="2"/>
  <c r="BF157" i="2"/>
  <c r="BF156" i="2"/>
  <c r="BF155" i="2"/>
  <c r="BF154" i="2"/>
  <c r="BF153" i="2"/>
  <c r="BF152" i="2"/>
  <c r="BF151" i="2"/>
  <c r="BF150" i="2"/>
  <c r="BF149" i="2"/>
  <c r="BF147" i="2"/>
  <c r="BF134" i="2"/>
  <c r="BF133" i="2"/>
  <c r="BF132" i="2"/>
  <c r="BF128" i="2"/>
  <c r="BF127" i="2"/>
  <c r="BF125" i="2"/>
  <c r="BF124" i="2"/>
  <c r="BF121" i="2"/>
  <c r="BF120" i="2"/>
  <c r="BF118" i="2"/>
  <c r="BF117" i="2"/>
  <c r="BF116" i="2"/>
  <c r="BF115" i="2"/>
  <c r="BF114" i="2"/>
  <c r="BF113" i="2"/>
  <c r="BF112" i="2"/>
  <c r="BF111" i="2"/>
  <c r="BF110" i="2"/>
  <c r="BF108" i="2"/>
  <c r="BF87" i="2"/>
  <c r="BF86" i="2"/>
  <c r="BF85" i="2"/>
  <c r="BF80" i="2"/>
  <c r="BF79" i="2"/>
  <c r="BF77" i="2"/>
  <c r="BF76" i="2"/>
  <c r="BF73" i="2"/>
  <c r="BF72" i="2"/>
  <c r="BF70" i="2"/>
  <c r="BF69" i="2"/>
  <c r="BF68" i="2"/>
  <c r="BF67" i="2"/>
  <c r="BF66" i="2"/>
  <c r="BF65" i="2"/>
  <c r="BF64" i="2"/>
  <c r="BF63" i="2"/>
  <c r="BF62" i="2"/>
  <c r="BF60" i="2"/>
  <c r="BF47" i="2"/>
  <c r="BF46" i="2"/>
  <c r="BF45" i="2"/>
  <c r="BF41" i="2"/>
  <c r="BF40" i="2"/>
  <c r="BF38" i="2"/>
  <c r="BF37" i="2"/>
  <c r="BF34" i="2"/>
  <c r="BF33" i="2"/>
  <c r="BF31" i="2"/>
  <c r="BF30" i="2"/>
  <c r="BF29" i="2"/>
  <c r="BF28" i="2"/>
  <c r="BF27" i="2"/>
  <c r="BF26" i="2"/>
  <c r="BF25" i="2"/>
  <c r="BF24" i="2"/>
  <c r="BF23" i="2"/>
  <c r="BF21" i="2"/>
  <c r="AY262" i="2"/>
  <c r="AX262" i="2"/>
  <c r="AY261" i="2"/>
  <c r="AX261" i="2"/>
  <c r="AY260" i="2"/>
  <c r="AX260" i="2"/>
  <c r="AY255" i="2"/>
  <c r="AX255" i="2"/>
  <c r="AY254" i="2"/>
  <c r="AX254" i="2"/>
  <c r="AY252" i="2"/>
  <c r="AX252" i="2"/>
  <c r="AY251" i="2"/>
  <c r="AX251" i="2"/>
  <c r="AY248" i="2"/>
  <c r="AX248" i="2"/>
  <c r="AY247" i="2"/>
  <c r="AX247" i="2"/>
  <c r="AY245" i="2"/>
  <c r="AX245" i="2"/>
  <c r="AY244" i="2"/>
  <c r="AX244" i="2"/>
  <c r="AY243" i="2"/>
  <c r="AX243" i="2"/>
  <c r="AY242" i="2"/>
  <c r="AX242" i="2"/>
  <c r="AY241" i="2"/>
  <c r="AX241" i="2"/>
  <c r="AY240" i="2"/>
  <c r="AX240" i="2"/>
  <c r="AY239" i="2"/>
  <c r="AX239" i="2"/>
  <c r="AY238" i="2"/>
  <c r="AX238" i="2"/>
  <c r="AY237" i="2"/>
  <c r="AX237" i="2"/>
  <c r="AY235" i="2"/>
  <c r="AX235" i="2"/>
  <c r="AY222" i="2"/>
  <c r="AX222" i="2"/>
  <c r="AY221" i="2"/>
  <c r="AX221" i="2"/>
  <c r="AY220" i="2"/>
  <c r="AX220" i="2"/>
  <c r="AY216" i="2"/>
  <c r="AX216" i="2"/>
  <c r="AY215" i="2"/>
  <c r="AX215" i="2"/>
  <c r="AY213" i="2"/>
  <c r="AX213" i="2"/>
  <c r="AY212" i="2"/>
  <c r="AX212" i="2"/>
  <c r="AY209" i="2"/>
  <c r="AX209" i="2"/>
  <c r="AY208" i="2"/>
  <c r="AX208" i="2"/>
  <c r="AY206" i="2"/>
  <c r="AX206" i="2"/>
  <c r="AY205" i="2"/>
  <c r="AX205" i="2"/>
  <c r="AY204" i="2"/>
  <c r="AX204" i="2"/>
  <c r="AY203" i="2"/>
  <c r="AX203" i="2"/>
  <c r="AY202" i="2"/>
  <c r="AX202" i="2"/>
  <c r="AY201" i="2"/>
  <c r="AX201" i="2"/>
  <c r="AY200" i="2"/>
  <c r="AX200" i="2"/>
  <c r="AY199" i="2"/>
  <c r="AX199" i="2"/>
  <c r="AY198" i="2"/>
  <c r="AX198" i="2"/>
  <c r="AY196" i="2"/>
  <c r="AX196" i="2"/>
  <c r="AY174" i="2"/>
  <c r="AX174" i="2"/>
  <c r="AY173" i="2"/>
  <c r="AX173" i="2"/>
  <c r="AY172" i="2"/>
  <c r="AX172" i="2"/>
  <c r="AY167" i="2"/>
  <c r="AX167" i="2"/>
  <c r="AY166" i="2"/>
  <c r="AX166" i="2"/>
  <c r="AY164" i="2"/>
  <c r="AX164" i="2"/>
  <c r="AY163" i="2"/>
  <c r="AX163" i="2"/>
  <c r="AY160" i="2"/>
  <c r="AX160" i="2"/>
  <c r="AY159" i="2"/>
  <c r="AX159" i="2"/>
  <c r="AY157" i="2"/>
  <c r="AX157" i="2"/>
  <c r="AY156" i="2"/>
  <c r="AX156" i="2"/>
  <c r="AY155" i="2"/>
  <c r="AX155" i="2"/>
  <c r="AY154" i="2"/>
  <c r="AX154" i="2"/>
  <c r="AY153" i="2"/>
  <c r="AX153" i="2"/>
  <c r="AY152" i="2"/>
  <c r="AX152" i="2"/>
  <c r="AY151" i="2"/>
  <c r="AX151" i="2"/>
  <c r="AY150" i="2"/>
  <c r="AX150" i="2"/>
  <c r="AY149" i="2"/>
  <c r="AX149" i="2"/>
  <c r="AY147" i="2"/>
  <c r="AX147" i="2"/>
  <c r="AY134" i="2"/>
  <c r="AX134" i="2"/>
  <c r="AY133" i="2"/>
  <c r="AX133" i="2"/>
  <c r="AY132" i="2"/>
  <c r="AX132" i="2"/>
  <c r="AY128" i="2"/>
  <c r="AX128" i="2"/>
  <c r="AY127" i="2"/>
  <c r="AX127" i="2"/>
  <c r="AY125" i="2"/>
  <c r="AX125" i="2"/>
  <c r="AY124" i="2"/>
  <c r="AX124" i="2"/>
  <c r="AY121" i="2"/>
  <c r="AX121" i="2"/>
  <c r="AY120" i="2"/>
  <c r="AX120" i="2"/>
  <c r="AY118" i="2"/>
  <c r="AX118" i="2"/>
  <c r="AY117" i="2"/>
  <c r="AX117" i="2"/>
  <c r="AY116" i="2"/>
  <c r="AX116" i="2"/>
  <c r="AY115" i="2"/>
  <c r="AX115" i="2"/>
  <c r="AY114" i="2"/>
  <c r="AX114" i="2"/>
  <c r="AY113" i="2"/>
  <c r="AX113" i="2"/>
  <c r="AY112" i="2"/>
  <c r="AX112" i="2"/>
  <c r="AY111" i="2"/>
  <c r="AX111" i="2"/>
  <c r="AY110" i="2"/>
  <c r="AX110" i="2"/>
  <c r="AY108" i="2"/>
  <c r="AX108" i="2"/>
  <c r="AY87" i="2"/>
  <c r="AX87" i="2"/>
  <c r="AY86" i="2"/>
  <c r="AX86" i="2"/>
  <c r="AY85" i="2"/>
  <c r="AX85" i="2"/>
  <c r="AY80" i="2"/>
  <c r="AX80" i="2"/>
  <c r="AY79" i="2"/>
  <c r="AX79" i="2"/>
  <c r="AY77" i="2"/>
  <c r="AX77" i="2"/>
  <c r="AY76" i="2"/>
  <c r="AX76" i="2"/>
  <c r="AY73" i="2"/>
  <c r="AX73" i="2"/>
  <c r="AY72" i="2"/>
  <c r="AX72" i="2"/>
  <c r="AY70" i="2"/>
  <c r="AX70" i="2"/>
  <c r="AY69" i="2"/>
  <c r="AX69" i="2"/>
  <c r="AY68" i="2"/>
  <c r="AX68" i="2"/>
  <c r="AY67" i="2"/>
  <c r="AX67" i="2"/>
  <c r="AY66" i="2"/>
  <c r="AX66" i="2"/>
  <c r="AY65" i="2"/>
  <c r="AX65" i="2"/>
  <c r="AY64" i="2"/>
  <c r="AX64" i="2"/>
  <c r="AY63" i="2"/>
  <c r="AX63" i="2"/>
  <c r="AY62" i="2"/>
  <c r="AX62" i="2"/>
  <c r="AY60" i="2"/>
  <c r="AX60" i="2"/>
  <c r="AY47" i="2"/>
  <c r="AX47" i="2"/>
  <c r="AY46" i="2"/>
  <c r="AX46" i="2"/>
  <c r="AY45" i="2"/>
  <c r="AX45" i="2"/>
  <c r="AY41" i="2"/>
  <c r="AX41" i="2"/>
  <c r="AY40" i="2"/>
  <c r="AX40" i="2"/>
  <c r="AY38" i="2"/>
  <c r="AX38" i="2"/>
  <c r="AY37" i="2"/>
  <c r="AX37" i="2"/>
  <c r="AY34" i="2"/>
  <c r="AX34" i="2"/>
  <c r="AY33" i="2"/>
  <c r="AX33" i="2"/>
  <c r="AY31" i="2"/>
  <c r="AX31" i="2"/>
  <c r="AY30" i="2"/>
  <c r="AX30" i="2"/>
  <c r="AY29" i="2"/>
  <c r="AX29" i="2"/>
  <c r="AY28" i="2"/>
  <c r="AX28" i="2"/>
  <c r="AY27" i="2"/>
  <c r="AX27" i="2"/>
  <c r="AY26" i="2"/>
  <c r="AX26" i="2"/>
  <c r="AY25" i="2"/>
  <c r="AX25" i="2"/>
  <c r="AY24" i="2"/>
  <c r="AX24" i="2"/>
  <c r="AY23" i="2"/>
  <c r="AX23" i="2"/>
  <c r="AY21" i="2"/>
  <c r="AX21" i="2"/>
  <c r="AP206" i="2"/>
  <c r="AP204" i="2"/>
  <c r="AP202" i="2"/>
  <c r="AP200" i="2"/>
  <c r="AP198" i="2"/>
  <c r="X261" i="2"/>
  <c r="X254" i="2"/>
  <c r="X252" i="2"/>
  <c r="X247" i="2"/>
  <c r="X244" i="2"/>
  <c r="X242" i="2"/>
  <c r="X240" i="2"/>
  <c r="X238" i="2"/>
  <c r="X235" i="2"/>
  <c r="X221" i="2"/>
  <c r="X216" i="2"/>
  <c r="X212" i="2"/>
  <c r="X209" i="2"/>
  <c r="X118" i="2"/>
  <c r="X116" i="2"/>
  <c r="X114" i="2"/>
  <c r="X112" i="2"/>
  <c r="X110" i="2"/>
  <c r="AP173" i="2"/>
  <c r="AP166" i="2"/>
  <c r="AP164" i="2"/>
  <c r="AP159" i="2"/>
  <c r="AP156" i="2"/>
  <c r="AP154" i="2"/>
  <c r="AP152" i="2"/>
  <c r="AP150" i="2"/>
  <c r="AP147" i="2"/>
  <c r="AP133" i="2"/>
  <c r="AP128" i="2"/>
  <c r="AP124" i="2"/>
  <c r="AP121" i="2"/>
  <c r="AP31" i="2"/>
  <c r="AP29" i="2"/>
  <c r="AP27" i="2"/>
  <c r="AP25" i="2"/>
  <c r="AP23" i="2"/>
  <c r="X77" i="2"/>
  <c r="X73" i="2"/>
  <c r="X72" i="2"/>
  <c r="X68" i="2"/>
  <c r="X67" i="2"/>
  <c r="X64" i="2"/>
  <c r="X63" i="2"/>
  <c r="X80" i="2"/>
  <c r="X76" i="2"/>
  <c r="X70" i="2"/>
  <c r="X66" i="2"/>
  <c r="X62" i="2"/>
  <c r="X46" i="2"/>
  <c r="X41" i="2"/>
  <c r="X37" i="2"/>
  <c r="X34" i="2"/>
  <c r="AP262" i="2"/>
  <c r="AP261" i="2"/>
  <c r="AP260" i="2"/>
  <c r="AP255" i="2"/>
  <c r="AP254" i="2"/>
  <c r="AP252" i="2"/>
  <c r="AP251" i="2"/>
  <c r="AP248" i="2"/>
  <c r="AP247" i="2"/>
  <c r="AP245" i="2"/>
  <c r="AP244" i="2"/>
  <c r="AP243" i="2"/>
  <c r="AP242" i="2"/>
  <c r="AP241" i="2"/>
  <c r="AP240" i="2"/>
  <c r="AP239" i="2"/>
  <c r="AP238" i="2"/>
  <c r="AP237" i="2"/>
  <c r="AP235" i="2"/>
  <c r="AP222" i="2"/>
  <c r="AP221" i="2"/>
  <c r="AP220" i="2"/>
  <c r="AP216" i="2"/>
  <c r="AP215" i="2"/>
  <c r="AP213" i="2"/>
  <c r="AP212" i="2"/>
  <c r="AP209" i="2"/>
  <c r="AP208" i="2"/>
  <c r="AP207" i="2"/>
  <c r="AP205" i="2"/>
  <c r="AP203" i="2"/>
  <c r="AP201" i="2"/>
  <c r="AP199" i="2"/>
  <c r="AP196" i="2"/>
  <c r="X262" i="2"/>
  <c r="X260" i="2"/>
  <c r="X255" i="2"/>
  <c r="X251" i="2"/>
  <c r="X248" i="2"/>
  <c r="X245" i="2"/>
  <c r="X243" i="2"/>
  <c r="X241" i="2"/>
  <c r="X239" i="2"/>
  <c r="X237" i="2"/>
  <c r="X222" i="2"/>
  <c r="X220" i="2"/>
  <c r="X215" i="2"/>
  <c r="X213" i="2"/>
  <c r="X208" i="2"/>
  <c r="X206" i="2"/>
  <c r="X205" i="2"/>
  <c r="X204" i="2"/>
  <c r="X203" i="2"/>
  <c r="X202" i="2"/>
  <c r="X201" i="2"/>
  <c r="X200" i="2"/>
  <c r="X199" i="2"/>
  <c r="X198" i="2"/>
  <c r="X196" i="2"/>
  <c r="X174" i="2"/>
  <c r="X173" i="2"/>
  <c r="X172" i="2"/>
  <c r="X167" i="2"/>
  <c r="X166" i="2"/>
  <c r="X164" i="2"/>
  <c r="BH164" i="2" s="1"/>
  <c r="X163" i="2"/>
  <c r="X160" i="2"/>
  <c r="X159" i="2"/>
  <c r="X157" i="2"/>
  <c r="X156" i="2"/>
  <c r="X155" i="2"/>
  <c r="X154" i="2"/>
  <c r="X153" i="2"/>
  <c r="X152" i="2"/>
  <c r="X151" i="2"/>
  <c r="X150" i="2"/>
  <c r="X149" i="2"/>
  <c r="X147" i="2"/>
  <c r="X134" i="2"/>
  <c r="X133" i="2"/>
  <c r="X132" i="2"/>
  <c r="X128" i="2"/>
  <c r="X127" i="2"/>
  <c r="X125" i="2"/>
  <c r="X124" i="2"/>
  <c r="X121" i="2"/>
  <c r="X120" i="2"/>
  <c r="X117" i="2"/>
  <c r="X115" i="2"/>
  <c r="X113" i="2"/>
  <c r="X111" i="2"/>
  <c r="X108" i="2"/>
  <c r="AP174" i="2"/>
  <c r="AP172" i="2"/>
  <c r="AP167" i="2"/>
  <c r="AP163" i="2"/>
  <c r="AP160" i="2"/>
  <c r="AP157" i="2"/>
  <c r="AP155" i="2"/>
  <c r="AP153" i="2"/>
  <c r="AP151" i="2"/>
  <c r="AP149" i="2"/>
  <c r="AP134" i="2"/>
  <c r="AP132" i="2"/>
  <c r="AP127" i="2"/>
  <c r="AP125" i="2"/>
  <c r="AP120" i="2"/>
  <c r="AP119" i="2"/>
  <c r="AP118" i="2"/>
  <c r="AP117" i="2"/>
  <c r="AP116" i="2"/>
  <c r="AP115" i="2"/>
  <c r="AP114" i="2"/>
  <c r="AP113" i="2"/>
  <c r="AP112" i="2"/>
  <c r="AP111" i="2"/>
  <c r="AP110" i="2"/>
  <c r="AP108" i="2"/>
  <c r="BH119" i="2"/>
  <c r="AP87" i="2"/>
  <c r="AP86" i="2"/>
  <c r="AP85" i="2"/>
  <c r="AP80" i="2"/>
  <c r="AP79" i="2"/>
  <c r="AP77" i="2"/>
  <c r="AP76" i="2"/>
  <c r="AP73" i="2"/>
  <c r="AP72" i="2"/>
  <c r="AP70" i="2"/>
  <c r="AP69" i="2"/>
  <c r="AP68" i="2"/>
  <c r="AP67" i="2"/>
  <c r="AP66" i="2"/>
  <c r="AP65" i="2"/>
  <c r="AP64" i="2"/>
  <c r="AP63" i="2"/>
  <c r="AP62" i="2"/>
  <c r="AP60" i="2"/>
  <c r="AP47" i="2"/>
  <c r="AP46" i="2"/>
  <c r="AP45" i="2"/>
  <c r="AP41" i="2"/>
  <c r="AP40" i="2"/>
  <c r="AP38" i="2"/>
  <c r="AP37" i="2"/>
  <c r="AP34" i="2"/>
  <c r="AP33" i="2"/>
  <c r="AP30" i="2"/>
  <c r="AP28" i="2"/>
  <c r="AP26" i="2"/>
  <c r="AP24" i="2"/>
  <c r="X87" i="2"/>
  <c r="X86" i="2"/>
  <c r="X85" i="2"/>
  <c r="X79" i="2"/>
  <c r="X69" i="2"/>
  <c r="X65" i="2"/>
  <c r="X60" i="2"/>
  <c r="X47" i="2"/>
  <c r="X45" i="2"/>
  <c r="X40" i="2"/>
  <c r="X38" i="2"/>
  <c r="X33" i="2"/>
  <c r="BH33" i="2" s="1"/>
  <c r="X31" i="2"/>
  <c r="BH31" i="2" s="1"/>
  <c r="X30" i="2"/>
  <c r="X29" i="2"/>
  <c r="X28" i="2"/>
  <c r="X27" i="2"/>
  <c r="X26" i="2"/>
  <c r="X25" i="2"/>
  <c r="X24" i="2"/>
  <c r="X23" i="2"/>
  <c r="AZ218" i="2" l="1"/>
  <c r="AZ341" i="2"/>
  <c r="BH159" i="2"/>
  <c r="BH202" i="2"/>
  <c r="BH206" i="2"/>
  <c r="BH201" i="2"/>
  <c r="P306" i="2"/>
  <c r="P394" i="2" s="1"/>
  <c r="BH173" i="2"/>
  <c r="BH203" i="2"/>
  <c r="BH25" i="2"/>
  <c r="BH40" i="2"/>
  <c r="BH24" i="2"/>
  <c r="BH69" i="2"/>
  <c r="BH237" i="2"/>
  <c r="BH196" i="2"/>
  <c r="BH114" i="2"/>
  <c r="BH65" i="2"/>
  <c r="BH205" i="2"/>
  <c r="BH198" i="2"/>
  <c r="BH208" i="2"/>
  <c r="BH243" i="2"/>
  <c r="BH220" i="2"/>
  <c r="BH150" i="2"/>
  <c r="AZ256" i="2"/>
  <c r="BH221" i="2"/>
  <c r="BH77" i="2"/>
  <c r="BH124" i="2"/>
  <c r="BH156" i="2"/>
  <c r="BH167" i="2"/>
  <c r="BH222" i="2"/>
  <c r="BH118" i="2"/>
  <c r="BH238" i="2"/>
  <c r="BH172" i="2"/>
  <c r="BH174" i="2"/>
  <c r="BH154" i="2"/>
  <c r="BH260" i="2"/>
  <c r="BH251" i="2"/>
  <c r="BH239" i="2"/>
  <c r="BH240" i="2"/>
  <c r="AH344" i="2"/>
  <c r="AH432" i="2" s="1"/>
  <c r="BH241" i="2"/>
  <c r="BH215" i="2"/>
  <c r="BH213" i="2"/>
  <c r="BH204" i="2"/>
  <c r="BH209" i="2"/>
  <c r="AZ168" i="2"/>
  <c r="BH151" i="2"/>
  <c r="BH127" i="2"/>
  <c r="AZ302" i="2"/>
  <c r="BH115" i="2"/>
  <c r="BH117" i="2"/>
  <c r="BH116" i="2"/>
  <c r="BH80" i="2"/>
  <c r="BH70" i="2"/>
  <c r="BH68" i="2"/>
  <c r="BH66" i="2"/>
  <c r="BH37" i="2"/>
  <c r="BH26" i="2"/>
  <c r="BH34" i="2"/>
  <c r="BH27" i="2"/>
  <c r="P390" i="2"/>
  <c r="AZ390" i="2" s="1"/>
  <c r="BH262" i="2"/>
  <c r="BH261" i="2"/>
  <c r="BH255" i="2"/>
  <c r="BH254" i="2"/>
  <c r="BH252" i="2"/>
  <c r="BH248" i="2"/>
  <c r="AZ337" i="2"/>
  <c r="BH247" i="2"/>
  <c r="BH242" i="2"/>
  <c r="BH244" i="2"/>
  <c r="BH245" i="2"/>
  <c r="BH235" i="2"/>
  <c r="BH216" i="2"/>
  <c r="AZ217" i="2"/>
  <c r="BH212" i="2"/>
  <c r="AH306" i="2"/>
  <c r="AH305" i="2"/>
  <c r="AZ298" i="2"/>
  <c r="BH200" i="2"/>
  <c r="BH199" i="2"/>
  <c r="BH166" i="2"/>
  <c r="AZ429" i="2"/>
  <c r="BH163" i="2"/>
  <c r="BH160" i="2"/>
  <c r="AH169" i="2"/>
  <c r="AH345" i="2" s="1"/>
  <c r="BH157" i="2"/>
  <c r="BH155" i="2"/>
  <c r="BH153" i="2"/>
  <c r="BH152" i="2"/>
  <c r="BH149" i="2"/>
  <c r="BH147" i="2"/>
  <c r="BH134" i="2"/>
  <c r="BH133" i="2"/>
  <c r="BH132" i="2"/>
  <c r="BH128" i="2"/>
  <c r="BH125" i="2"/>
  <c r="BH121" i="2"/>
  <c r="BH120" i="2"/>
  <c r="BH113" i="2"/>
  <c r="BH112" i="2"/>
  <c r="BH111" i="2"/>
  <c r="BH110" i="2"/>
  <c r="BH108" i="2"/>
  <c r="BH87" i="2"/>
  <c r="BH86" i="2"/>
  <c r="BH85" i="2"/>
  <c r="BH79" i="2"/>
  <c r="BH76" i="2"/>
  <c r="BH72" i="2"/>
  <c r="BH73" i="2"/>
  <c r="AZ81" i="2"/>
  <c r="BH67" i="2"/>
  <c r="BH64" i="2"/>
  <c r="BH63" i="2"/>
  <c r="BH62" i="2"/>
  <c r="BH60" i="2"/>
  <c r="BH41" i="2"/>
  <c r="BH38" i="2"/>
  <c r="BH30" i="2"/>
  <c r="BH29" i="2"/>
  <c r="BH28" i="2"/>
  <c r="BH23" i="2"/>
  <c r="P425" i="2"/>
  <c r="AZ425" i="2" s="1"/>
  <c r="P257" i="2"/>
  <c r="P258" i="2" s="1"/>
  <c r="P344" i="2"/>
  <c r="AZ130" i="2"/>
  <c r="P305" i="2"/>
  <c r="AZ129" i="2"/>
  <c r="P386" i="2"/>
  <c r="P82" i="2"/>
  <c r="P83" i="2" s="1"/>
  <c r="AP21" i="2"/>
  <c r="X21" i="2"/>
  <c r="AZ257" i="2" l="1"/>
  <c r="AZ258" i="2" s="1"/>
  <c r="BH21" i="2"/>
  <c r="AZ344" i="2"/>
  <c r="AZ305" i="2"/>
  <c r="AZ306" i="2"/>
  <c r="AZ169" i="2"/>
  <c r="AZ170" i="2" s="1"/>
  <c r="AH346" i="2"/>
  <c r="AH433" i="2"/>
  <c r="AH434" i="2" s="1"/>
  <c r="AH170" i="2"/>
  <c r="P345" i="2"/>
  <c r="AZ345" i="2" s="1"/>
  <c r="AZ346" i="2" s="1"/>
  <c r="P393" i="2"/>
  <c r="P432" i="2"/>
  <c r="AZ432" i="2" s="1"/>
  <c r="AZ82" i="2"/>
  <c r="AZ83" i="2" s="1"/>
  <c r="AN350" i="2"/>
  <c r="AN438" i="2" s="1"/>
  <c r="AN349" i="2"/>
  <c r="AN437" i="2" s="1"/>
  <c r="AN348" i="2"/>
  <c r="AN436" i="2" s="1"/>
  <c r="AN343" i="2"/>
  <c r="AN431" i="2" s="1"/>
  <c r="AN342" i="2"/>
  <c r="AN430" i="2" s="1"/>
  <c r="AN340" i="2"/>
  <c r="AN428" i="2" s="1"/>
  <c r="AN339" i="2"/>
  <c r="AN427" i="2" s="1"/>
  <c r="AN336" i="2"/>
  <c r="AN424" i="2" s="1"/>
  <c r="AN335" i="2"/>
  <c r="AN423" i="2" s="1"/>
  <c r="AN333" i="2"/>
  <c r="AN421" i="2" s="1"/>
  <c r="AN332" i="2"/>
  <c r="AN420" i="2" s="1"/>
  <c r="AN331" i="2"/>
  <c r="AN419" i="2" s="1"/>
  <c r="AN330" i="2"/>
  <c r="AN418" i="2" s="1"/>
  <c r="AN329" i="2"/>
  <c r="AN417" i="2" s="1"/>
  <c r="AN328" i="2"/>
  <c r="AN416" i="2" s="1"/>
  <c r="AN327" i="2"/>
  <c r="AN415" i="2" s="1"/>
  <c r="AN326" i="2"/>
  <c r="AN414" i="2" s="1"/>
  <c r="AN325" i="2"/>
  <c r="AN413" i="2" s="1"/>
  <c r="AN323" i="2"/>
  <c r="AN411" i="2" s="1"/>
  <c r="AN310" i="2"/>
  <c r="AN398" i="2" s="1"/>
  <c r="AN309" i="2"/>
  <c r="AN397" i="2" s="1"/>
  <c r="AN308" i="2"/>
  <c r="AN396" i="2" s="1"/>
  <c r="AN304" i="2"/>
  <c r="AN392" i="2" s="1"/>
  <c r="AN303" i="2"/>
  <c r="AN391" i="2" s="1"/>
  <c r="AN301" i="2"/>
  <c r="AN389" i="2" s="1"/>
  <c r="AN300" i="2"/>
  <c r="AN388" i="2" s="1"/>
  <c r="AN297" i="2"/>
  <c r="AN385" i="2" s="1"/>
  <c r="AN296" i="2"/>
  <c r="AN384" i="2" s="1"/>
  <c r="AN294" i="2"/>
  <c r="AN382" i="2" s="1"/>
  <c r="AN293" i="2"/>
  <c r="AN381" i="2" s="1"/>
  <c r="AN292" i="2"/>
  <c r="AN380" i="2" s="1"/>
  <c r="AN291" i="2"/>
  <c r="AN379" i="2" s="1"/>
  <c r="AN290" i="2"/>
  <c r="AN378" i="2" s="1"/>
  <c r="AN289" i="2"/>
  <c r="AN377" i="2" s="1"/>
  <c r="AN288" i="2"/>
  <c r="AN376" i="2" s="1"/>
  <c r="AN287" i="2"/>
  <c r="AN375" i="2" s="1"/>
  <c r="AN286" i="2"/>
  <c r="AN374" i="2" s="1"/>
  <c r="AN284" i="2"/>
  <c r="AN372" i="2" s="1"/>
  <c r="AN253" i="2"/>
  <c r="AN249" i="2"/>
  <c r="AN214" i="2"/>
  <c r="AN210" i="2"/>
  <c r="AN165" i="2"/>
  <c r="AN161" i="2"/>
  <c r="AN126" i="2"/>
  <c r="AN122" i="2"/>
  <c r="AN78" i="2"/>
  <c r="AN74" i="2"/>
  <c r="AN39" i="2"/>
  <c r="AN35" i="2"/>
  <c r="V350" i="2"/>
  <c r="V349" i="2"/>
  <c r="V348" i="2"/>
  <c r="V343" i="2"/>
  <c r="V342" i="2"/>
  <c r="V340" i="2"/>
  <c r="V339" i="2"/>
  <c r="V336" i="2"/>
  <c r="V335" i="2"/>
  <c r="V333" i="2"/>
  <c r="V332" i="2"/>
  <c r="V331" i="2"/>
  <c r="V330" i="2"/>
  <c r="V329" i="2"/>
  <c r="V328" i="2"/>
  <c r="V327" i="2"/>
  <c r="V326" i="2"/>
  <c r="V325" i="2"/>
  <c r="V323" i="2"/>
  <c r="V310" i="2"/>
  <c r="V309" i="2"/>
  <c r="V308" i="2"/>
  <c r="V304" i="2"/>
  <c r="V303" i="2"/>
  <c r="V301" i="2"/>
  <c r="V300" i="2"/>
  <c r="V297" i="2"/>
  <c r="V296" i="2"/>
  <c r="V294" i="2"/>
  <c r="V293" i="2"/>
  <c r="V292" i="2"/>
  <c r="V291" i="2"/>
  <c r="V290" i="2"/>
  <c r="V289" i="2"/>
  <c r="V288" i="2"/>
  <c r="V287" i="2"/>
  <c r="V286" i="2"/>
  <c r="V284" i="2"/>
  <c r="V253" i="2"/>
  <c r="V249" i="2"/>
  <c r="V214" i="2"/>
  <c r="BF214" i="2" s="1"/>
  <c r="V210" i="2"/>
  <c r="V165" i="2"/>
  <c r="V161" i="2"/>
  <c r="V126" i="2"/>
  <c r="V122" i="2"/>
  <c r="V78" i="2"/>
  <c r="V74" i="2"/>
  <c r="V39" i="2"/>
  <c r="V35" i="2"/>
  <c r="AG350" i="2"/>
  <c r="AG438" i="2" s="1"/>
  <c r="AF350" i="2"/>
  <c r="AF438" i="2" s="1"/>
  <c r="AG349" i="2"/>
  <c r="AG437" i="2" s="1"/>
  <c r="AF349" i="2"/>
  <c r="AF437" i="2" s="1"/>
  <c r="AG348" i="2"/>
  <c r="AG436" i="2" s="1"/>
  <c r="AF348" i="2"/>
  <c r="AF436" i="2" s="1"/>
  <c r="AG343" i="2"/>
  <c r="AG431" i="2" s="1"/>
  <c r="AF343" i="2"/>
  <c r="AF431" i="2" s="1"/>
  <c r="AG342" i="2"/>
  <c r="AG430" i="2" s="1"/>
  <c r="AF342" i="2"/>
  <c r="AF430" i="2" s="1"/>
  <c r="AG340" i="2"/>
  <c r="AG428" i="2" s="1"/>
  <c r="AF340" i="2"/>
  <c r="AF428" i="2" s="1"/>
  <c r="AG339" i="2"/>
  <c r="AG427" i="2" s="1"/>
  <c r="AF339" i="2"/>
  <c r="AF427" i="2" s="1"/>
  <c r="AG336" i="2"/>
  <c r="AG424" i="2" s="1"/>
  <c r="AF336" i="2"/>
  <c r="AF424" i="2" s="1"/>
  <c r="AG335" i="2"/>
  <c r="AG423" i="2" s="1"/>
  <c r="AF335" i="2"/>
  <c r="AF423" i="2" s="1"/>
  <c r="AG333" i="2"/>
  <c r="AG421" i="2" s="1"/>
  <c r="AF333" i="2"/>
  <c r="AF421" i="2" s="1"/>
  <c r="AG332" i="2"/>
  <c r="AG420" i="2" s="1"/>
  <c r="AF332" i="2"/>
  <c r="AF420" i="2" s="1"/>
  <c r="AG331" i="2"/>
  <c r="AG419" i="2" s="1"/>
  <c r="AF331" i="2"/>
  <c r="AF419" i="2" s="1"/>
  <c r="AG330" i="2"/>
  <c r="AG418" i="2" s="1"/>
  <c r="AF330" i="2"/>
  <c r="AF418" i="2" s="1"/>
  <c r="AG329" i="2"/>
  <c r="AG417" i="2" s="1"/>
  <c r="AF329" i="2"/>
  <c r="AF417" i="2" s="1"/>
  <c r="AG328" i="2"/>
  <c r="AG416" i="2" s="1"/>
  <c r="AF328" i="2"/>
  <c r="AF416" i="2" s="1"/>
  <c r="AG327" i="2"/>
  <c r="AG415" i="2" s="1"/>
  <c r="AF327" i="2"/>
  <c r="AF415" i="2" s="1"/>
  <c r="AG326" i="2"/>
  <c r="AG414" i="2" s="1"/>
  <c r="AF326" i="2"/>
  <c r="AF414" i="2" s="1"/>
  <c r="AG325" i="2"/>
  <c r="AG413" i="2" s="1"/>
  <c r="AF325" i="2"/>
  <c r="AF413" i="2" s="1"/>
  <c r="AG323" i="2"/>
  <c r="AG411" i="2" s="1"/>
  <c r="AF323" i="2"/>
  <c r="AF411" i="2" s="1"/>
  <c r="AG310" i="2"/>
  <c r="AG398" i="2" s="1"/>
  <c r="AF310" i="2"/>
  <c r="AF398" i="2" s="1"/>
  <c r="AG309" i="2"/>
  <c r="AG397" i="2" s="1"/>
  <c r="AF309" i="2"/>
  <c r="AF397" i="2" s="1"/>
  <c r="AG308" i="2"/>
  <c r="AG396" i="2" s="1"/>
  <c r="AF308" i="2"/>
  <c r="AF396" i="2" s="1"/>
  <c r="AG304" i="2"/>
  <c r="AG392" i="2" s="1"/>
  <c r="AF304" i="2"/>
  <c r="AF392" i="2" s="1"/>
  <c r="AG303" i="2"/>
  <c r="AG391" i="2" s="1"/>
  <c r="AF303" i="2"/>
  <c r="AF391" i="2" s="1"/>
  <c r="AG301" i="2"/>
  <c r="AG389" i="2" s="1"/>
  <c r="AF301" i="2"/>
  <c r="AF389" i="2" s="1"/>
  <c r="AG300" i="2"/>
  <c r="AG388" i="2" s="1"/>
  <c r="AF300" i="2"/>
  <c r="AF388" i="2" s="1"/>
  <c r="AG297" i="2"/>
  <c r="AG385" i="2" s="1"/>
  <c r="AF297" i="2"/>
  <c r="AF385" i="2" s="1"/>
  <c r="AG296" i="2"/>
  <c r="AG384" i="2" s="1"/>
  <c r="AF296" i="2"/>
  <c r="AF384" i="2" s="1"/>
  <c r="AG294" i="2"/>
  <c r="AG382" i="2" s="1"/>
  <c r="AF294" i="2"/>
  <c r="AF382" i="2" s="1"/>
  <c r="AG293" i="2"/>
  <c r="AG381" i="2" s="1"/>
  <c r="AF293" i="2"/>
  <c r="AF381" i="2" s="1"/>
  <c r="AG292" i="2"/>
  <c r="AG380" i="2" s="1"/>
  <c r="AF292" i="2"/>
  <c r="AF380" i="2" s="1"/>
  <c r="AG291" i="2"/>
  <c r="AG379" i="2" s="1"/>
  <c r="AF291" i="2"/>
  <c r="AF379" i="2" s="1"/>
  <c r="AG290" i="2"/>
  <c r="AG378" i="2" s="1"/>
  <c r="AF290" i="2"/>
  <c r="AF378" i="2" s="1"/>
  <c r="AG289" i="2"/>
  <c r="AG377" i="2" s="1"/>
  <c r="AF289" i="2"/>
  <c r="AF377" i="2" s="1"/>
  <c r="AG288" i="2"/>
  <c r="AG376" i="2" s="1"/>
  <c r="AF288" i="2"/>
  <c r="AF376" i="2" s="1"/>
  <c r="AG287" i="2"/>
  <c r="AG375" i="2" s="1"/>
  <c r="AF287" i="2"/>
  <c r="AF375" i="2" s="1"/>
  <c r="AG286" i="2"/>
  <c r="AG374" i="2" s="1"/>
  <c r="AF286" i="2"/>
  <c r="AF374" i="2" s="1"/>
  <c r="AG284" i="2"/>
  <c r="AG372" i="2" s="1"/>
  <c r="AF284" i="2"/>
  <c r="AF372" i="2" s="1"/>
  <c r="AG253" i="2"/>
  <c r="AF253" i="2"/>
  <c r="AG249" i="2"/>
  <c r="AF249" i="2"/>
  <c r="AG214" i="2"/>
  <c r="AF214" i="2"/>
  <c r="AG210" i="2"/>
  <c r="AF210" i="2"/>
  <c r="AG165" i="2"/>
  <c r="AG341" i="2" s="1"/>
  <c r="AF165" i="2"/>
  <c r="AG161" i="2"/>
  <c r="AF161" i="2"/>
  <c r="AF337" i="2" s="1"/>
  <c r="AG126" i="2"/>
  <c r="AG302" i="2" s="1"/>
  <c r="AF126" i="2"/>
  <c r="AF302" i="2" s="1"/>
  <c r="AG122" i="2"/>
  <c r="AF122" i="2"/>
  <c r="AF298" i="2" s="1"/>
  <c r="AG78" i="2"/>
  <c r="AF78" i="2"/>
  <c r="AG74" i="2"/>
  <c r="AF74" i="2"/>
  <c r="AG39" i="2"/>
  <c r="AF39" i="2"/>
  <c r="AG35" i="2"/>
  <c r="AF35" i="2"/>
  <c r="AF390" i="2" l="1"/>
  <c r="AN341" i="2"/>
  <c r="BF253" i="2"/>
  <c r="AF341" i="2"/>
  <c r="AF217" i="2"/>
  <c r="AF218" i="2" s="1"/>
  <c r="AG298" i="2"/>
  <c r="AG386" i="2" s="1"/>
  <c r="AF386" i="2"/>
  <c r="AG337" i="2"/>
  <c r="AG425" i="2" s="1"/>
  <c r="AG390" i="2"/>
  <c r="AG256" i="2"/>
  <c r="AG257" i="2" s="1"/>
  <c r="AG258" i="2" s="1"/>
  <c r="AN217" i="2"/>
  <c r="AN218" i="2" s="1"/>
  <c r="AG217" i="2"/>
  <c r="AG218" i="2" s="1"/>
  <c r="AN337" i="2"/>
  <c r="AN425" i="2" s="1"/>
  <c r="BF39" i="2"/>
  <c r="V380" i="2"/>
  <c r="BF380" i="2" s="1"/>
  <c r="BF292" i="2"/>
  <c r="V392" i="2"/>
  <c r="BF392" i="2" s="1"/>
  <c r="BF304" i="2"/>
  <c r="V416" i="2"/>
  <c r="BF416" i="2" s="1"/>
  <c r="BF328" i="2"/>
  <c r="V427" i="2"/>
  <c r="BF427" i="2" s="1"/>
  <c r="BF339" i="2"/>
  <c r="V414" i="2"/>
  <c r="BF414" i="2" s="1"/>
  <c r="BF326" i="2"/>
  <c r="V379" i="2"/>
  <c r="BF379" i="2" s="1"/>
  <c r="BF291" i="2"/>
  <c r="V298" i="2"/>
  <c r="V386" i="2" s="1"/>
  <c r="BF122" i="2"/>
  <c r="BF284" i="2"/>
  <c r="V381" i="2"/>
  <c r="BF381" i="2" s="1"/>
  <c r="BF293" i="2"/>
  <c r="V396" i="2"/>
  <c r="BF396" i="2" s="1"/>
  <c r="BF308" i="2"/>
  <c r="V417" i="2"/>
  <c r="BF417" i="2" s="1"/>
  <c r="BF329" i="2"/>
  <c r="V428" i="2"/>
  <c r="BF428" i="2" s="1"/>
  <c r="BF340" i="2"/>
  <c r="AN256" i="2"/>
  <c r="AN257" i="2" s="1"/>
  <c r="AN258" i="2" s="1"/>
  <c r="V423" i="2"/>
  <c r="BF335" i="2"/>
  <c r="V302" i="2"/>
  <c r="BF126" i="2"/>
  <c r="V374" i="2"/>
  <c r="BF374" i="2" s="1"/>
  <c r="BF286" i="2"/>
  <c r="V382" i="2"/>
  <c r="BF382" i="2" s="1"/>
  <c r="BF294" i="2"/>
  <c r="V397" i="2"/>
  <c r="BF397" i="2" s="1"/>
  <c r="BF309" i="2"/>
  <c r="V418" i="2"/>
  <c r="BF330" i="2"/>
  <c r="V430" i="2"/>
  <c r="BF430" i="2" s="1"/>
  <c r="BF342" i="2"/>
  <c r="AN429" i="2"/>
  <c r="P433" i="2"/>
  <c r="AZ433" i="2" s="1"/>
  <c r="AZ434" i="2" s="1"/>
  <c r="V415" i="2"/>
  <c r="BF415" i="2" s="1"/>
  <c r="BF327" i="2"/>
  <c r="V337" i="2"/>
  <c r="BF161" i="2"/>
  <c r="V375" i="2"/>
  <c r="BF375" i="2" s="1"/>
  <c r="BF287" i="2"/>
  <c r="V384" i="2"/>
  <c r="BF384" i="2" s="1"/>
  <c r="BF296" i="2"/>
  <c r="V398" i="2"/>
  <c r="BF398" i="2" s="1"/>
  <c r="BF310" i="2"/>
  <c r="V419" i="2"/>
  <c r="BF419" i="2" s="1"/>
  <c r="BF331" i="2"/>
  <c r="V431" i="2"/>
  <c r="BF431" i="2" s="1"/>
  <c r="BF343" i="2"/>
  <c r="AN298" i="2"/>
  <c r="AN386" i="2" s="1"/>
  <c r="V389" i="2"/>
  <c r="BF389" i="2" s="1"/>
  <c r="BF301" i="2"/>
  <c r="V438" i="2"/>
  <c r="BF438" i="2" s="1"/>
  <c r="BF350" i="2"/>
  <c r="V256" i="2"/>
  <c r="BF249" i="2"/>
  <c r="V391" i="2"/>
  <c r="BF391" i="2" s="1"/>
  <c r="BF303" i="2"/>
  <c r="V341" i="2"/>
  <c r="BF341" i="2" s="1"/>
  <c r="BF165" i="2"/>
  <c r="V376" i="2"/>
  <c r="BF376" i="2" s="1"/>
  <c r="BF288" i="2"/>
  <c r="V385" i="2"/>
  <c r="BF385" i="2" s="1"/>
  <c r="BF297" i="2"/>
  <c r="V411" i="2"/>
  <c r="BF411" i="2" s="1"/>
  <c r="BF323" i="2"/>
  <c r="V420" i="2"/>
  <c r="BF420" i="2" s="1"/>
  <c r="BF332" i="2"/>
  <c r="V436" i="2"/>
  <c r="BF436" i="2" s="1"/>
  <c r="BF348" i="2"/>
  <c r="AN302" i="2"/>
  <c r="AN390" i="2" s="1"/>
  <c r="V378" i="2"/>
  <c r="BF378" i="2" s="1"/>
  <c r="BF290" i="2"/>
  <c r="V424" i="2"/>
  <c r="BF424" i="2" s="1"/>
  <c r="BF336" i="2"/>
  <c r="AF256" i="2"/>
  <c r="AF257" i="2" s="1"/>
  <c r="AF258" i="2" s="1"/>
  <c r="V217" i="2"/>
  <c r="BF210" i="2"/>
  <c r="V377" i="2"/>
  <c r="BF377" i="2" s="1"/>
  <c r="BF289" i="2"/>
  <c r="V388" i="2"/>
  <c r="BF388" i="2" s="1"/>
  <c r="BF300" i="2"/>
  <c r="V413" i="2"/>
  <c r="BF413" i="2" s="1"/>
  <c r="BF325" i="2"/>
  <c r="V421" i="2"/>
  <c r="BF421" i="2" s="1"/>
  <c r="BF333" i="2"/>
  <c r="V437" i="2"/>
  <c r="BF437" i="2" s="1"/>
  <c r="BF349" i="2"/>
  <c r="P346" i="2"/>
  <c r="BF78" i="2"/>
  <c r="BF418" i="2"/>
  <c r="BF423" i="2"/>
  <c r="AF429" i="2"/>
  <c r="AG429" i="2"/>
  <c r="AF425" i="2"/>
  <c r="BF74" i="2"/>
  <c r="BF35" i="2"/>
  <c r="AN42" i="2"/>
  <c r="AN81" i="2"/>
  <c r="AN129" i="2"/>
  <c r="AN168" i="2"/>
  <c r="V42" i="2"/>
  <c r="V81" i="2"/>
  <c r="V129" i="2"/>
  <c r="V168" i="2"/>
  <c r="AF42" i="2"/>
  <c r="AF81" i="2"/>
  <c r="AF129" i="2"/>
  <c r="AF168" i="2"/>
  <c r="AG42" i="2"/>
  <c r="AG81" i="2"/>
  <c r="AG129" i="2"/>
  <c r="AG168" i="2"/>
  <c r="O350" i="2"/>
  <c r="N350" i="2"/>
  <c r="O349" i="2"/>
  <c r="N349" i="2"/>
  <c r="O348" i="2"/>
  <c r="N348" i="2"/>
  <c r="O343" i="2"/>
  <c r="N343" i="2"/>
  <c r="O342" i="2"/>
  <c r="N342" i="2"/>
  <c r="O340" i="2"/>
  <c r="N340" i="2"/>
  <c r="O339" i="2"/>
  <c r="N339" i="2"/>
  <c r="O336" i="2"/>
  <c r="N336" i="2"/>
  <c r="O335" i="2"/>
  <c r="N335" i="2"/>
  <c r="O333" i="2"/>
  <c r="N333" i="2"/>
  <c r="O332" i="2"/>
  <c r="N332" i="2"/>
  <c r="O331" i="2"/>
  <c r="N331" i="2"/>
  <c r="O330" i="2"/>
  <c r="N330" i="2"/>
  <c r="O329" i="2"/>
  <c r="N329" i="2"/>
  <c r="O328" i="2"/>
  <c r="N328" i="2"/>
  <c r="O327" i="2"/>
  <c r="N327" i="2"/>
  <c r="O326" i="2"/>
  <c r="N326" i="2"/>
  <c r="AX326" i="2" s="1"/>
  <c r="O325" i="2"/>
  <c r="N325" i="2"/>
  <c r="O323" i="2"/>
  <c r="N323" i="2"/>
  <c r="AX323" i="2" s="1"/>
  <c r="O310" i="2"/>
  <c r="N310" i="2"/>
  <c r="O309" i="2"/>
  <c r="N309" i="2"/>
  <c r="AX309" i="2" s="1"/>
  <c r="O308" i="2"/>
  <c r="N308" i="2"/>
  <c r="O304" i="2"/>
  <c r="N304" i="2"/>
  <c r="AX304" i="2" s="1"/>
  <c r="O303" i="2"/>
  <c r="N303" i="2"/>
  <c r="O301" i="2"/>
  <c r="N301" i="2"/>
  <c r="O300" i="2"/>
  <c r="N300" i="2"/>
  <c r="O297" i="2"/>
  <c r="N297" i="2"/>
  <c r="AX297" i="2" s="1"/>
  <c r="O296" i="2"/>
  <c r="N296" i="2"/>
  <c r="O294" i="2"/>
  <c r="N294" i="2"/>
  <c r="AX294" i="2" s="1"/>
  <c r="O293" i="2"/>
  <c r="N293" i="2"/>
  <c r="O292" i="2"/>
  <c r="N292" i="2"/>
  <c r="AX292" i="2" s="1"/>
  <c r="O291" i="2"/>
  <c r="N291" i="2"/>
  <c r="O290" i="2"/>
  <c r="N290" i="2"/>
  <c r="AX290" i="2" s="1"/>
  <c r="O289" i="2"/>
  <c r="N289" i="2"/>
  <c r="O288" i="2"/>
  <c r="N288" i="2"/>
  <c r="AX288" i="2" s="1"/>
  <c r="O287" i="2"/>
  <c r="N287" i="2"/>
  <c r="O286" i="2"/>
  <c r="N286" i="2"/>
  <c r="AX286" i="2" s="1"/>
  <c r="O284" i="2"/>
  <c r="N284" i="2"/>
  <c r="O253" i="2"/>
  <c r="AY253" i="2" s="1"/>
  <c r="N253" i="2"/>
  <c r="AX253" i="2" s="1"/>
  <c r="O249" i="2"/>
  <c r="N249" i="2"/>
  <c r="O214" i="2"/>
  <c r="AY214" i="2" s="1"/>
  <c r="N214" i="2"/>
  <c r="AX214" i="2" s="1"/>
  <c r="O210" i="2"/>
  <c r="N210" i="2"/>
  <c r="O165" i="2"/>
  <c r="N165" i="2"/>
  <c r="O161" i="2"/>
  <c r="N161" i="2"/>
  <c r="O126" i="2"/>
  <c r="N126" i="2"/>
  <c r="O122" i="2"/>
  <c r="N122" i="2"/>
  <c r="O78" i="2"/>
  <c r="AY78" i="2" s="1"/>
  <c r="N78" i="2"/>
  <c r="AX78" i="2" s="1"/>
  <c r="O74" i="2"/>
  <c r="N74" i="2"/>
  <c r="AX74" i="2" s="1"/>
  <c r="O39" i="2"/>
  <c r="N39" i="2"/>
  <c r="AX39" i="2" s="1"/>
  <c r="O35" i="2"/>
  <c r="N35" i="2"/>
  <c r="V429" i="2" l="1"/>
  <c r="BF429" i="2" s="1"/>
  <c r="P434" i="2"/>
  <c r="BF168" i="2"/>
  <c r="BF337" i="2"/>
  <c r="BF42" i="2"/>
  <c r="N382" i="2"/>
  <c r="AX382" i="2" s="1"/>
  <c r="N385" i="2"/>
  <c r="AX385" i="2" s="1"/>
  <c r="BF129" i="2"/>
  <c r="N298" i="2"/>
  <c r="AX298" i="2" s="1"/>
  <c r="AX122" i="2"/>
  <c r="V257" i="2"/>
  <c r="BF256" i="2"/>
  <c r="O372" i="2"/>
  <c r="AY372" i="2" s="1"/>
  <c r="AY284" i="2"/>
  <c r="O413" i="2"/>
  <c r="AY413" i="2" s="1"/>
  <c r="AY325" i="2"/>
  <c r="O421" i="2"/>
  <c r="AY421" i="2" s="1"/>
  <c r="AY333" i="2"/>
  <c r="O437" i="2"/>
  <c r="AY437" i="2" s="1"/>
  <c r="AY349" i="2"/>
  <c r="N388" i="2"/>
  <c r="AX388" i="2" s="1"/>
  <c r="AX300" i="2"/>
  <c r="N417" i="2"/>
  <c r="AX417" i="2" s="1"/>
  <c r="AX329" i="2"/>
  <c r="O217" i="2"/>
  <c r="AY210" i="2"/>
  <c r="O396" i="2"/>
  <c r="AY396" i="2" s="1"/>
  <c r="AY308" i="2"/>
  <c r="N302" i="2"/>
  <c r="AX302" i="2" s="1"/>
  <c r="AX126" i="2"/>
  <c r="N389" i="2"/>
  <c r="AX389" i="2" s="1"/>
  <c r="AX301" i="2"/>
  <c r="N418" i="2"/>
  <c r="AX418" i="2" s="1"/>
  <c r="AX330" i="2"/>
  <c r="N423" i="2"/>
  <c r="AX423" i="2" s="1"/>
  <c r="AX335" i="2"/>
  <c r="N430" i="2"/>
  <c r="AX430" i="2" s="1"/>
  <c r="AX342" i="2"/>
  <c r="N438" i="2"/>
  <c r="AX438" i="2" s="1"/>
  <c r="AX350" i="2"/>
  <c r="N392" i="2"/>
  <c r="AX392" i="2" s="1"/>
  <c r="N217" i="2"/>
  <c r="AX210" i="2"/>
  <c r="O298" i="2"/>
  <c r="AY298" i="2" s="1"/>
  <c r="AY122" i="2"/>
  <c r="O388" i="2"/>
  <c r="AY388" i="2" s="1"/>
  <c r="AY300" i="2"/>
  <c r="AY39" i="2"/>
  <c r="O302" i="2"/>
  <c r="AY302" i="2" s="1"/>
  <c r="AY126" i="2"/>
  <c r="O374" i="2"/>
  <c r="AY374" i="2" s="1"/>
  <c r="AY286" i="2"/>
  <c r="O378" i="2"/>
  <c r="AY378" i="2" s="1"/>
  <c r="AY290" i="2"/>
  <c r="O382" i="2"/>
  <c r="AY382" i="2" s="1"/>
  <c r="AY294" i="2"/>
  <c r="O389" i="2"/>
  <c r="AY389" i="2" s="1"/>
  <c r="AY301" i="2"/>
  <c r="O397" i="2"/>
  <c r="AY397" i="2" s="1"/>
  <c r="AY309" i="2"/>
  <c r="O414" i="2"/>
  <c r="AY414" i="2" s="1"/>
  <c r="AY326" i="2"/>
  <c r="O418" i="2"/>
  <c r="AY418" i="2" s="1"/>
  <c r="AY330" i="2"/>
  <c r="O423" i="2"/>
  <c r="AY423" i="2" s="1"/>
  <c r="AY335" i="2"/>
  <c r="O430" i="2"/>
  <c r="AY430" i="2" s="1"/>
  <c r="AY342" i="2"/>
  <c r="O438" i="2"/>
  <c r="AY438" i="2" s="1"/>
  <c r="AY350" i="2"/>
  <c r="N397" i="2"/>
  <c r="AX397" i="2" s="1"/>
  <c r="V425" i="2"/>
  <c r="BF425" i="2" s="1"/>
  <c r="BF302" i="2"/>
  <c r="AX35" i="2"/>
  <c r="O417" i="2"/>
  <c r="AY417" i="2" s="1"/>
  <c r="AY329" i="2"/>
  <c r="N337" i="2"/>
  <c r="AX337" i="2" s="1"/>
  <c r="AX161" i="2"/>
  <c r="N256" i="2"/>
  <c r="AX249" i="2"/>
  <c r="N375" i="2"/>
  <c r="AX375" i="2" s="1"/>
  <c r="AX287" i="2"/>
  <c r="N379" i="2"/>
  <c r="AX379" i="2" s="1"/>
  <c r="AX291" i="2"/>
  <c r="N384" i="2"/>
  <c r="AX384" i="2" s="1"/>
  <c r="AX296" i="2"/>
  <c r="N391" i="2"/>
  <c r="AX391" i="2" s="1"/>
  <c r="AX303" i="2"/>
  <c r="N398" i="2"/>
  <c r="AX398" i="2" s="1"/>
  <c r="AX310" i="2"/>
  <c r="N415" i="2"/>
  <c r="AX415" i="2" s="1"/>
  <c r="AX327" i="2"/>
  <c r="N419" i="2"/>
  <c r="AX419" i="2" s="1"/>
  <c r="AX331" i="2"/>
  <c r="N424" i="2"/>
  <c r="AX424" i="2" s="1"/>
  <c r="AX336" i="2"/>
  <c r="N431" i="2"/>
  <c r="AX431" i="2" s="1"/>
  <c r="AX343" i="2"/>
  <c r="N374" i="2"/>
  <c r="AX374" i="2" s="1"/>
  <c r="N411" i="2"/>
  <c r="AX411" i="2" s="1"/>
  <c r="N377" i="2"/>
  <c r="AX377" i="2" s="1"/>
  <c r="AX289" i="2"/>
  <c r="N396" i="2"/>
  <c r="AX396" i="2" s="1"/>
  <c r="AX308" i="2"/>
  <c r="N421" i="2"/>
  <c r="AX421" i="2" s="1"/>
  <c r="AX333" i="2"/>
  <c r="N428" i="2"/>
  <c r="AX428" i="2" s="1"/>
  <c r="AX340" i="2"/>
  <c r="O428" i="2"/>
  <c r="AY428" i="2" s="1"/>
  <c r="AY340" i="2"/>
  <c r="O337" i="2"/>
  <c r="AY337" i="2" s="1"/>
  <c r="AY161" i="2"/>
  <c r="O256" i="2"/>
  <c r="AY249" i="2"/>
  <c r="O375" i="2"/>
  <c r="AY375" i="2" s="1"/>
  <c r="AY287" i="2"/>
  <c r="O379" i="2"/>
  <c r="AY379" i="2" s="1"/>
  <c r="AY291" i="2"/>
  <c r="O384" i="2"/>
  <c r="AY384" i="2" s="1"/>
  <c r="AY296" i="2"/>
  <c r="O391" i="2"/>
  <c r="AY391" i="2" s="1"/>
  <c r="AY303" i="2"/>
  <c r="O398" i="2"/>
  <c r="AY398" i="2" s="1"/>
  <c r="AY310" i="2"/>
  <c r="O415" i="2"/>
  <c r="AY415" i="2" s="1"/>
  <c r="AY327" i="2"/>
  <c r="O419" i="2"/>
  <c r="AY419" i="2" s="1"/>
  <c r="AY331" i="2"/>
  <c r="O424" i="2"/>
  <c r="AY424" i="2" s="1"/>
  <c r="AY336" i="2"/>
  <c r="O431" i="2"/>
  <c r="AY431" i="2" s="1"/>
  <c r="AY343" i="2"/>
  <c r="N376" i="2"/>
  <c r="AX376" i="2" s="1"/>
  <c r="N414" i="2"/>
  <c r="AX414" i="2" s="1"/>
  <c r="BF298" i="2"/>
  <c r="N381" i="2"/>
  <c r="AX381" i="2" s="1"/>
  <c r="AX293" i="2"/>
  <c r="N413" i="2"/>
  <c r="AX413" i="2" s="1"/>
  <c r="AX325" i="2"/>
  <c r="N437" i="2"/>
  <c r="AX437" i="2" s="1"/>
  <c r="AX349" i="2"/>
  <c r="AY35" i="2"/>
  <c r="O381" i="2"/>
  <c r="AY381" i="2" s="1"/>
  <c r="AY293" i="2"/>
  <c r="N341" i="2"/>
  <c r="AX341" i="2" s="1"/>
  <c r="AX165" i="2"/>
  <c r="N416" i="2"/>
  <c r="AX416" i="2" s="1"/>
  <c r="AX328" i="2"/>
  <c r="N420" i="2"/>
  <c r="AX420" i="2" s="1"/>
  <c r="AX332" i="2"/>
  <c r="N427" i="2"/>
  <c r="AX427" i="2" s="1"/>
  <c r="AX339" i="2"/>
  <c r="N436" i="2"/>
  <c r="AX436" i="2" s="1"/>
  <c r="AX348" i="2"/>
  <c r="N378" i="2"/>
  <c r="AX378" i="2" s="1"/>
  <c r="V218" i="2"/>
  <c r="BF218" i="2" s="1"/>
  <c r="BF217" i="2"/>
  <c r="N372" i="2"/>
  <c r="AX372" i="2" s="1"/>
  <c r="AX284" i="2"/>
  <c r="O377" i="2"/>
  <c r="AY377" i="2" s="1"/>
  <c r="AY289" i="2"/>
  <c r="O341" i="2"/>
  <c r="AY341" i="2" s="1"/>
  <c r="AY165" i="2"/>
  <c r="O376" i="2"/>
  <c r="AY376" i="2" s="1"/>
  <c r="AY288" i="2"/>
  <c r="O380" i="2"/>
  <c r="AY380" i="2" s="1"/>
  <c r="AY292" i="2"/>
  <c r="O385" i="2"/>
  <c r="AY385" i="2" s="1"/>
  <c r="AY297" i="2"/>
  <c r="O392" i="2"/>
  <c r="AY392" i="2" s="1"/>
  <c r="AY304" i="2"/>
  <c r="O411" i="2"/>
  <c r="AY411" i="2" s="1"/>
  <c r="AY323" i="2"/>
  <c r="O416" i="2"/>
  <c r="AY416" i="2" s="1"/>
  <c r="AY328" i="2"/>
  <c r="O420" i="2"/>
  <c r="AY420" i="2" s="1"/>
  <c r="AY332" i="2"/>
  <c r="O427" i="2"/>
  <c r="AY427" i="2" s="1"/>
  <c r="AY339" i="2"/>
  <c r="O436" i="2"/>
  <c r="AY436" i="2" s="1"/>
  <c r="AY348" i="2"/>
  <c r="N380" i="2"/>
  <c r="AX380" i="2" s="1"/>
  <c r="BF386" i="2"/>
  <c r="V390" i="2"/>
  <c r="BF390" i="2" s="1"/>
  <c r="AY74" i="2"/>
  <c r="BF81" i="2"/>
  <c r="AN344" i="2"/>
  <c r="AN432" i="2" s="1"/>
  <c r="AN169" i="2"/>
  <c r="AN82" i="2"/>
  <c r="AN130" i="2"/>
  <c r="AN306" i="2" s="1"/>
  <c r="AN305" i="2"/>
  <c r="AN393" i="2" s="1"/>
  <c r="AN43" i="2"/>
  <c r="V344" i="2"/>
  <c r="V169" i="2"/>
  <c r="V82" i="2"/>
  <c r="V130" i="2"/>
  <c r="V305" i="2"/>
  <c r="AG344" i="2"/>
  <c r="AG432" i="2" s="1"/>
  <c r="AG169" i="2"/>
  <c r="AG82" i="2"/>
  <c r="AF344" i="2"/>
  <c r="AF432" i="2" s="1"/>
  <c r="AF169" i="2"/>
  <c r="AF82" i="2"/>
  <c r="AG305" i="2"/>
  <c r="AG393" i="2" s="1"/>
  <c r="AG130" i="2"/>
  <c r="AG306" i="2" s="1"/>
  <c r="AG43" i="2"/>
  <c r="AF305" i="2"/>
  <c r="AF393" i="2" s="1"/>
  <c r="AF130" i="2"/>
  <c r="AF306" i="2" s="1"/>
  <c r="AF43" i="2"/>
  <c r="N42" i="2"/>
  <c r="AX42" i="2" s="1"/>
  <c r="N81" i="2"/>
  <c r="AX81" i="2" s="1"/>
  <c r="N129" i="2"/>
  <c r="AX129" i="2" s="1"/>
  <c r="N168" i="2"/>
  <c r="AX168" i="2" s="1"/>
  <c r="O42" i="2"/>
  <c r="AY42" i="2" s="1"/>
  <c r="O81" i="2"/>
  <c r="AY81" i="2" s="1"/>
  <c r="O129" i="2"/>
  <c r="AY129" i="2" s="1"/>
  <c r="O168" i="2"/>
  <c r="AY168" i="2" s="1"/>
  <c r="AE35" i="2"/>
  <c r="N390" i="2" l="1"/>
  <c r="AX390" i="2" s="1"/>
  <c r="AG394" i="2"/>
  <c r="N425" i="2"/>
  <c r="AX425" i="2" s="1"/>
  <c r="BF344" i="2"/>
  <c r="N386" i="2"/>
  <c r="AX386" i="2" s="1"/>
  <c r="BF305" i="2"/>
  <c r="O425" i="2"/>
  <c r="AY425" i="2" s="1"/>
  <c r="AF394" i="2"/>
  <c r="N429" i="2"/>
  <c r="AX429" i="2" s="1"/>
  <c r="V393" i="2"/>
  <c r="BF393" i="2" s="1"/>
  <c r="AN394" i="2"/>
  <c r="O386" i="2"/>
  <c r="AY386" i="2" s="1"/>
  <c r="N257" i="2"/>
  <c r="AX256" i="2"/>
  <c r="N218" i="2"/>
  <c r="AX218" i="2" s="1"/>
  <c r="AX217" i="2"/>
  <c r="V306" i="2"/>
  <c r="BF306" i="2" s="1"/>
  <c r="BF130" i="2"/>
  <c r="O429" i="2"/>
  <c r="AY429" i="2" s="1"/>
  <c r="O390" i="2"/>
  <c r="AY390" i="2" s="1"/>
  <c r="O218" i="2"/>
  <c r="AY218" i="2" s="1"/>
  <c r="AY217" i="2"/>
  <c r="BF257" i="2"/>
  <c r="BF258" i="2" s="1"/>
  <c r="V258" i="2"/>
  <c r="AF345" i="2"/>
  <c r="AF346" i="2" s="1"/>
  <c r="AF170" i="2"/>
  <c r="V432" i="2"/>
  <c r="BF432" i="2" s="1"/>
  <c r="O257" i="2"/>
  <c r="AY256" i="2"/>
  <c r="AG345" i="2"/>
  <c r="AG346" i="2" s="1"/>
  <c r="AG170" i="2"/>
  <c r="V345" i="2"/>
  <c r="V433" i="2" s="1"/>
  <c r="BF169" i="2"/>
  <c r="BF170" i="2" s="1"/>
  <c r="V170" i="2"/>
  <c r="AN345" i="2"/>
  <c r="AN346" i="2" s="1"/>
  <c r="AN170" i="2"/>
  <c r="BF82" i="2"/>
  <c r="BF83" i="2" s="1"/>
  <c r="AN83" i="2"/>
  <c r="AG83" i="2"/>
  <c r="AF83" i="2"/>
  <c r="O344" i="2"/>
  <c r="AY344" i="2" s="1"/>
  <c r="O169" i="2"/>
  <c r="O82" i="2"/>
  <c r="AY82" i="2" s="1"/>
  <c r="N344" i="2"/>
  <c r="AX344" i="2" s="1"/>
  <c r="N169" i="2"/>
  <c r="N82" i="2"/>
  <c r="AX82" i="2" s="1"/>
  <c r="AX83" i="2" s="1"/>
  <c r="O305" i="2"/>
  <c r="AY305" i="2" s="1"/>
  <c r="O130" i="2"/>
  <c r="O43" i="2"/>
  <c r="N305" i="2"/>
  <c r="AX305" i="2" s="1"/>
  <c r="N130" i="2"/>
  <c r="N43" i="2"/>
  <c r="AF433" i="2" l="1"/>
  <c r="AF434" i="2" s="1"/>
  <c r="N393" i="2"/>
  <c r="AX393" i="2" s="1"/>
  <c r="N432" i="2"/>
  <c r="AX432" i="2" s="1"/>
  <c r="N306" i="2"/>
  <c r="AX306" i="2" s="1"/>
  <c r="AX130" i="2"/>
  <c r="N345" i="2"/>
  <c r="N433" i="2" s="1"/>
  <c r="N434" i="2" s="1"/>
  <c r="AX169" i="2"/>
  <c r="AX170" i="2" s="1"/>
  <c r="N170" i="2"/>
  <c r="AY257" i="2"/>
  <c r="AY258" i="2" s="1"/>
  <c r="O258" i="2"/>
  <c r="AX257" i="2"/>
  <c r="AX258" i="2" s="1"/>
  <c r="N258" i="2"/>
  <c r="AG433" i="2"/>
  <c r="AG434" i="2" s="1"/>
  <c r="O432" i="2"/>
  <c r="AY432" i="2" s="1"/>
  <c r="O393" i="2"/>
  <c r="AY393" i="2" s="1"/>
  <c r="AN433" i="2"/>
  <c r="AN434" i="2" s="1"/>
  <c r="O306" i="2"/>
  <c r="AY306" i="2" s="1"/>
  <c r="AY130" i="2"/>
  <c r="O345" i="2"/>
  <c r="O433" i="2" s="1"/>
  <c r="O434" i="2" s="1"/>
  <c r="AY169" i="2"/>
  <c r="AY170" i="2" s="1"/>
  <c r="O170" i="2"/>
  <c r="BF345" i="2"/>
  <c r="BF346" i="2" s="1"/>
  <c r="V346" i="2"/>
  <c r="AY43" i="2"/>
  <c r="AX43" i="2"/>
  <c r="AY83" i="2"/>
  <c r="V83" i="2"/>
  <c r="V372" i="2"/>
  <c r="BF372" i="2" s="1"/>
  <c r="V43" i="2"/>
  <c r="BF43" i="2" s="1"/>
  <c r="O83" i="2"/>
  <c r="N83" i="2"/>
  <c r="N394" i="2" l="1"/>
  <c r="AX394" i="2" s="1"/>
  <c r="BF433" i="2"/>
  <c r="AX433" i="2"/>
  <c r="AX434" i="2" s="1"/>
  <c r="O394" i="2"/>
  <c r="AY394" i="2" s="1"/>
  <c r="AX345" i="2"/>
  <c r="AX346" i="2" s="1"/>
  <c r="N346" i="2"/>
  <c r="AY433" i="2"/>
  <c r="AY434" i="2" s="1"/>
  <c r="AY345" i="2"/>
  <c r="AY346" i="2" s="1"/>
  <c r="O346" i="2"/>
  <c r="BF434" i="2"/>
  <c r="V394" i="2"/>
  <c r="BF394" i="2" s="1"/>
  <c r="V434" i="2"/>
  <c r="AO350" i="2"/>
  <c r="AO438" i="2" s="1"/>
  <c r="AM350" i="2"/>
  <c r="AM438" i="2" s="1"/>
  <c r="AL350" i="2"/>
  <c r="AL438" i="2" s="1"/>
  <c r="AK350" i="2"/>
  <c r="AK438" i="2" s="1"/>
  <c r="AJ350" i="2"/>
  <c r="AJ438" i="2" s="1"/>
  <c r="AI350" i="2"/>
  <c r="AI438" i="2" s="1"/>
  <c r="AE350" i="2"/>
  <c r="AE438" i="2" s="1"/>
  <c r="AD350" i="2"/>
  <c r="AD438" i="2" s="1"/>
  <c r="AC350" i="2"/>
  <c r="AC438" i="2" s="1"/>
  <c r="AB350" i="2"/>
  <c r="AB438" i="2" s="1"/>
  <c r="AA350" i="2"/>
  <c r="AA438" i="2" s="1"/>
  <c r="Z350" i="2"/>
  <c r="Z438" i="2" s="1"/>
  <c r="Y350" i="2"/>
  <c r="Y438" i="2" s="1"/>
  <c r="W350" i="2"/>
  <c r="W438" i="2" s="1"/>
  <c r="U350" i="2"/>
  <c r="U438" i="2" s="1"/>
  <c r="T350" i="2"/>
  <c r="T438" i="2" s="1"/>
  <c r="S350" i="2"/>
  <c r="S438" i="2" s="1"/>
  <c r="R350" i="2"/>
  <c r="R438" i="2" s="1"/>
  <c r="Q350" i="2"/>
  <c r="Q438" i="2" s="1"/>
  <c r="M350" i="2"/>
  <c r="M438" i="2" s="1"/>
  <c r="L350" i="2"/>
  <c r="L438" i="2" s="1"/>
  <c r="K350" i="2"/>
  <c r="K438" i="2" s="1"/>
  <c r="J350" i="2"/>
  <c r="J438" i="2" s="1"/>
  <c r="I350" i="2"/>
  <c r="I438" i="2" s="1"/>
  <c r="H350" i="2"/>
  <c r="H438" i="2" s="1"/>
  <c r="G350" i="2"/>
  <c r="G438" i="2" s="1"/>
  <c r="AO349" i="2"/>
  <c r="AO437" i="2" s="1"/>
  <c r="AM349" i="2"/>
  <c r="AM437" i="2" s="1"/>
  <c r="AL349" i="2"/>
  <c r="AL437" i="2" s="1"/>
  <c r="AK349" i="2"/>
  <c r="AK437" i="2" s="1"/>
  <c r="AJ349" i="2"/>
  <c r="AJ437" i="2" s="1"/>
  <c r="AI349" i="2"/>
  <c r="AI437" i="2" s="1"/>
  <c r="AE349" i="2"/>
  <c r="AE437" i="2" s="1"/>
  <c r="AD349" i="2"/>
  <c r="AD437" i="2" s="1"/>
  <c r="AC349" i="2"/>
  <c r="AC437" i="2" s="1"/>
  <c r="AB349" i="2"/>
  <c r="AB437" i="2" s="1"/>
  <c r="AA349" i="2"/>
  <c r="AA437" i="2" s="1"/>
  <c r="Z349" i="2"/>
  <c r="Z437" i="2" s="1"/>
  <c r="Y349" i="2"/>
  <c r="Y437" i="2" s="1"/>
  <c r="W349" i="2"/>
  <c r="W437" i="2" s="1"/>
  <c r="U349" i="2"/>
  <c r="U437" i="2" s="1"/>
  <c r="T349" i="2"/>
  <c r="T437" i="2" s="1"/>
  <c r="S349" i="2"/>
  <c r="S437" i="2" s="1"/>
  <c r="R349" i="2"/>
  <c r="R437" i="2" s="1"/>
  <c r="Q349" i="2"/>
  <c r="Q437" i="2" s="1"/>
  <c r="M349" i="2"/>
  <c r="M437" i="2" s="1"/>
  <c r="L349" i="2"/>
  <c r="L437" i="2" s="1"/>
  <c r="K349" i="2"/>
  <c r="K437" i="2" s="1"/>
  <c r="J349" i="2"/>
  <c r="J437" i="2" s="1"/>
  <c r="I349" i="2"/>
  <c r="I437" i="2" s="1"/>
  <c r="H349" i="2"/>
  <c r="H437" i="2" s="1"/>
  <c r="G349" i="2"/>
  <c r="G437" i="2" s="1"/>
  <c r="AO348" i="2"/>
  <c r="AO436" i="2" s="1"/>
  <c r="AM348" i="2"/>
  <c r="AM436" i="2" s="1"/>
  <c r="AL348" i="2"/>
  <c r="AL436" i="2" s="1"/>
  <c r="AK348" i="2"/>
  <c r="AK436" i="2" s="1"/>
  <c r="AJ348" i="2"/>
  <c r="AJ436" i="2" s="1"/>
  <c r="AI348" i="2"/>
  <c r="AI436" i="2" s="1"/>
  <c r="AE348" i="2"/>
  <c r="AE436" i="2" s="1"/>
  <c r="AD348" i="2"/>
  <c r="AD436" i="2" s="1"/>
  <c r="AC348" i="2"/>
  <c r="AC436" i="2" s="1"/>
  <c r="AB348" i="2"/>
  <c r="AB436" i="2" s="1"/>
  <c r="AA348" i="2"/>
  <c r="AA436" i="2" s="1"/>
  <c r="Z348" i="2"/>
  <c r="Z436" i="2" s="1"/>
  <c r="Y348" i="2"/>
  <c r="Y436" i="2" s="1"/>
  <c r="W348" i="2"/>
  <c r="W436" i="2" s="1"/>
  <c r="U348" i="2"/>
  <c r="U436" i="2" s="1"/>
  <c r="T348" i="2"/>
  <c r="T436" i="2" s="1"/>
  <c r="S348" i="2"/>
  <c r="S436" i="2" s="1"/>
  <c r="R348" i="2"/>
  <c r="R436" i="2" s="1"/>
  <c r="Q348" i="2"/>
  <c r="Q436" i="2" s="1"/>
  <c r="M348" i="2"/>
  <c r="M436" i="2" s="1"/>
  <c r="L348" i="2"/>
  <c r="L436" i="2" s="1"/>
  <c r="K348" i="2"/>
  <c r="K436" i="2" s="1"/>
  <c r="J348" i="2"/>
  <c r="J436" i="2" s="1"/>
  <c r="I348" i="2"/>
  <c r="I436" i="2" s="1"/>
  <c r="H348" i="2"/>
  <c r="H436" i="2" s="1"/>
  <c r="G348" i="2"/>
  <c r="G436" i="2" s="1"/>
  <c r="AO343" i="2"/>
  <c r="AO431" i="2" s="1"/>
  <c r="AM343" i="2"/>
  <c r="AM431" i="2" s="1"/>
  <c r="AL343" i="2"/>
  <c r="AL431" i="2" s="1"/>
  <c r="AK343" i="2"/>
  <c r="AK431" i="2" s="1"/>
  <c r="AJ343" i="2"/>
  <c r="AJ431" i="2" s="1"/>
  <c r="AI343" i="2"/>
  <c r="AI431" i="2" s="1"/>
  <c r="AE343" i="2"/>
  <c r="AE431" i="2" s="1"/>
  <c r="AD343" i="2"/>
  <c r="AD431" i="2" s="1"/>
  <c r="AC343" i="2"/>
  <c r="AC431" i="2" s="1"/>
  <c r="AB343" i="2"/>
  <c r="AB431" i="2" s="1"/>
  <c r="AA343" i="2"/>
  <c r="AA431" i="2" s="1"/>
  <c r="Z343" i="2"/>
  <c r="Z431" i="2" s="1"/>
  <c r="Y343" i="2"/>
  <c r="Y431" i="2" s="1"/>
  <c r="W343" i="2"/>
  <c r="W431" i="2" s="1"/>
  <c r="U343" i="2"/>
  <c r="U431" i="2" s="1"/>
  <c r="T343" i="2"/>
  <c r="T431" i="2" s="1"/>
  <c r="S343" i="2"/>
  <c r="S431" i="2" s="1"/>
  <c r="R343" i="2"/>
  <c r="R431" i="2" s="1"/>
  <c r="Q343" i="2"/>
  <c r="Q431" i="2" s="1"/>
  <c r="M343" i="2"/>
  <c r="M431" i="2" s="1"/>
  <c r="L343" i="2"/>
  <c r="L431" i="2" s="1"/>
  <c r="K343" i="2"/>
  <c r="K431" i="2" s="1"/>
  <c r="J343" i="2"/>
  <c r="J431" i="2" s="1"/>
  <c r="I343" i="2"/>
  <c r="I431" i="2" s="1"/>
  <c r="H343" i="2"/>
  <c r="H431" i="2" s="1"/>
  <c r="G343" i="2"/>
  <c r="G431" i="2" s="1"/>
  <c r="AO342" i="2"/>
  <c r="AO430" i="2" s="1"/>
  <c r="AM342" i="2"/>
  <c r="AM430" i="2" s="1"/>
  <c r="AL342" i="2"/>
  <c r="AL430" i="2" s="1"/>
  <c r="AK342" i="2"/>
  <c r="AK430" i="2" s="1"/>
  <c r="AJ342" i="2"/>
  <c r="AJ430" i="2" s="1"/>
  <c r="AI342" i="2"/>
  <c r="AI430" i="2" s="1"/>
  <c r="AE342" i="2"/>
  <c r="AE430" i="2" s="1"/>
  <c r="AD342" i="2"/>
  <c r="AD430" i="2" s="1"/>
  <c r="AC342" i="2"/>
  <c r="AC430" i="2" s="1"/>
  <c r="AB342" i="2"/>
  <c r="AB430" i="2" s="1"/>
  <c r="AA342" i="2"/>
  <c r="AA430" i="2" s="1"/>
  <c r="Z342" i="2"/>
  <c r="Z430" i="2" s="1"/>
  <c r="Y342" i="2"/>
  <c r="Y430" i="2" s="1"/>
  <c r="W342" i="2"/>
  <c r="W430" i="2" s="1"/>
  <c r="U342" i="2"/>
  <c r="U430" i="2" s="1"/>
  <c r="T342" i="2"/>
  <c r="T430" i="2" s="1"/>
  <c r="S342" i="2"/>
  <c r="S430" i="2" s="1"/>
  <c r="R342" i="2"/>
  <c r="R430" i="2" s="1"/>
  <c r="Q342" i="2"/>
  <c r="Q430" i="2" s="1"/>
  <c r="M342" i="2"/>
  <c r="M430" i="2" s="1"/>
  <c r="L342" i="2"/>
  <c r="L430" i="2" s="1"/>
  <c r="K342" i="2"/>
  <c r="K430" i="2" s="1"/>
  <c r="J342" i="2"/>
  <c r="J430" i="2" s="1"/>
  <c r="I342" i="2"/>
  <c r="I430" i="2" s="1"/>
  <c r="H342" i="2"/>
  <c r="H430" i="2" s="1"/>
  <c r="G342" i="2"/>
  <c r="G430" i="2" s="1"/>
  <c r="AO340" i="2"/>
  <c r="AO428" i="2" s="1"/>
  <c r="AM340" i="2"/>
  <c r="AM428" i="2" s="1"/>
  <c r="AL340" i="2"/>
  <c r="AL428" i="2" s="1"/>
  <c r="AK340" i="2"/>
  <c r="AK428" i="2" s="1"/>
  <c r="AJ340" i="2"/>
  <c r="AJ428" i="2" s="1"/>
  <c r="AI340" i="2"/>
  <c r="AI428" i="2" s="1"/>
  <c r="AE340" i="2"/>
  <c r="AE428" i="2" s="1"/>
  <c r="AD340" i="2"/>
  <c r="AD428" i="2" s="1"/>
  <c r="AC340" i="2"/>
  <c r="AC428" i="2" s="1"/>
  <c r="AB340" i="2"/>
  <c r="AB428" i="2" s="1"/>
  <c r="AA340" i="2"/>
  <c r="AA428" i="2" s="1"/>
  <c r="Z340" i="2"/>
  <c r="Z428" i="2" s="1"/>
  <c r="Y340" i="2"/>
  <c r="Y428" i="2" s="1"/>
  <c r="W340" i="2"/>
  <c r="W428" i="2" s="1"/>
  <c r="U340" i="2"/>
  <c r="U428" i="2" s="1"/>
  <c r="T340" i="2"/>
  <c r="T428" i="2" s="1"/>
  <c r="S340" i="2"/>
  <c r="S428" i="2" s="1"/>
  <c r="R340" i="2"/>
  <c r="R428" i="2" s="1"/>
  <c r="Q340" i="2"/>
  <c r="Q428" i="2" s="1"/>
  <c r="M340" i="2"/>
  <c r="M428" i="2" s="1"/>
  <c r="L340" i="2"/>
  <c r="L428" i="2" s="1"/>
  <c r="K340" i="2"/>
  <c r="K428" i="2" s="1"/>
  <c r="J340" i="2"/>
  <c r="J428" i="2" s="1"/>
  <c r="I340" i="2"/>
  <c r="I428" i="2" s="1"/>
  <c r="H340" i="2"/>
  <c r="H428" i="2" s="1"/>
  <c r="G340" i="2"/>
  <c r="G428" i="2" s="1"/>
  <c r="AO339" i="2"/>
  <c r="AO427" i="2" s="1"/>
  <c r="AM339" i="2"/>
  <c r="AM427" i="2" s="1"/>
  <c r="AL339" i="2"/>
  <c r="AL427" i="2" s="1"/>
  <c r="AK339" i="2"/>
  <c r="AK427" i="2" s="1"/>
  <c r="AJ339" i="2"/>
  <c r="AJ427" i="2" s="1"/>
  <c r="AI339" i="2"/>
  <c r="AI427" i="2" s="1"/>
  <c r="AE339" i="2"/>
  <c r="AE427" i="2" s="1"/>
  <c r="AD339" i="2"/>
  <c r="AD427" i="2" s="1"/>
  <c r="AC339" i="2"/>
  <c r="AC427" i="2" s="1"/>
  <c r="AB339" i="2"/>
  <c r="AB427" i="2" s="1"/>
  <c r="AA339" i="2"/>
  <c r="AA427" i="2" s="1"/>
  <c r="Z339" i="2"/>
  <c r="Z427" i="2" s="1"/>
  <c r="Y339" i="2"/>
  <c r="Y427" i="2" s="1"/>
  <c r="W339" i="2"/>
  <c r="W427" i="2" s="1"/>
  <c r="U339" i="2"/>
  <c r="U427" i="2" s="1"/>
  <c r="T339" i="2"/>
  <c r="T427" i="2" s="1"/>
  <c r="S339" i="2"/>
  <c r="S427" i="2" s="1"/>
  <c r="R339" i="2"/>
  <c r="R427" i="2" s="1"/>
  <c r="Q339" i="2"/>
  <c r="Q427" i="2" s="1"/>
  <c r="M339" i="2"/>
  <c r="M427" i="2" s="1"/>
  <c r="L339" i="2"/>
  <c r="L427" i="2" s="1"/>
  <c r="K339" i="2"/>
  <c r="K427" i="2" s="1"/>
  <c r="J339" i="2"/>
  <c r="J427" i="2" s="1"/>
  <c r="I339" i="2"/>
  <c r="I427" i="2" s="1"/>
  <c r="H339" i="2"/>
  <c r="H427" i="2" s="1"/>
  <c r="G339" i="2"/>
  <c r="G427" i="2" s="1"/>
  <c r="AO336" i="2"/>
  <c r="AO424" i="2" s="1"/>
  <c r="AM336" i="2"/>
  <c r="AM424" i="2" s="1"/>
  <c r="AL336" i="2"/>
  <c r="AL424" i="2" s="1"/>
  <c r="AK336" i="2"/>
  <c r="AK424" i="2" s="1"/>
  <c r="AJ336" i="2"/>
  <c r="AJ424" i="2" s="1"/>
  <c r="AI336" i="2"/>
  <c r="AI424" i="2" s="1"/>
  <c r="AE336" i="2"/>
  <c r="AE424" i="2" s="1"/>
  <c r="AD336" i="2"/>
  <c r="AD424" i="2" s="1"/>
  <c r="AC336" i="2"/>
  <c r="AC424" i="2" s="1"/>
  <c r="AB336" i="2"/>
  <c r="AB424" i="2" s="1"/>
  <c r="AA336" i="2"/>
  <c r="AA424" i="2" s="1"/>
  <c r="Z336" i="2"/>
  <c r="Z424" i="2" s="1"/>
  <c r="Y336" i="2"/>
  <c r="Y424" i="2" s="1"/>
  <c r="W336" i="2"/>
  <c r="W424" i="2" s="1"/>
  <c r="U336" i="2"/>
  <c r="U424" i="2" s="1"/>
  <c r="T336" i="2"/>
  <c r="T424" i="2" s="1"/>
  <c r="S336" i="2"/>
  <c r="S424" i="2" s="1"/>
  <c r="R336" i="2"/>
  <c r="R424" i="2" s="1"/>
  <c r="Q336" i="2"/>
  <c r="Q424" i="2" s="1"/>
  <c r="M336" i="2"/>
  <c r="M424" i="2" s="1"/>
  <c r="L336" i="2"/>
  <c r="L424" i="2" s="1"/>
  <c r="K336" i="2"/>
  <c r="K424" i="2" s="1"/>
  <c r="J336" i="2"/>
  <c r="J424" i="2" s="1"/>
  <c r="I336" i="2"/>
  <c r="I424" i="2" s="1"/>
  <c r="H336" i="2"/>
  <c r="H424" i="2" s="1"/>
  <c r="G336" i="2"/>
  <c r="G424" i="2" s="1"/>
  <c r="AO335" i="2"/>
  <c r="AO423" i="2" s="1"/>
  <c r="AM335" i="2"/>
  <c r="AM423" i="2" s="1"/>
  <c r="AL335" i="2"/>
  <c r="AL423" i="2" s="1"/>
  <c r="AK335" i="2"/>
  <c r="AK423" i="2" s="1"/>
  <c r="AJ335" i="2"/>
  <c r="AJ423" i="2" s="1"/>
  <c r="AI335" i="2"/>
  <c r="AI423" i="2" s="1"/>
  <c r="AE335" i="2"/>
  <c r="AE423" i="2" s="1"/>
  <c r="AD335" i="2"/>
  <c r="AD423" i="2" s="1"/>
  <c r="AC335" i="2"/>
  <c r="AC423" i="2" s="1"/>
  <c r="AB335" i="2"/>
  <c r="AB423" i="2" s="1"/>
  <c r="AA335" i="2"/>
  <c r="AA423" i="2" s="1"/>
  <c r="Z335" i="2"/>
  <c r="Z423" i="2" s="1"/>
  <c r="Y335" i="2"/>
  <c r="Y423" i="2" s="1"/>
  <c r="W335" i="2"/>
  <c r="W423" i="2" s="1"/>
  <c r="U335" i="2"/>
  <c r="U423" i="2" s="1"/>
  <c r="T335" i="2"/>
  <c r="T423" i="2" s="1"/>
  <c r="S335" i="2"/>
  <c r="S423" i="2" s="1"/>
  <c r="R335" i="2"/>
  <c r="R423" i="2" s="1"/>
  <c r="Q335" i="2"/>
  <c r="Q423" i="2" s="1"/>
  <c r="M335" i="2"/>
  <c r="M423" i="2" s="1"/>
  <c r="L335" i="2"/>
  <c r="L423" i="2" s="1"/>
  <c r="K335" i="2"/>
  <c r="K423" i="2" s="1"/>
  <c r="J335" i="2"/>
  <c r="J423" i="2" s="1"/>
  <c r="I335" i="2"/>
  <c r="I423" i="2" s="1"/>
  <c r="H335" i="2"/>
  <c r="H423" i="2" s="1"/>
  <c r="G335" i="2"/>
  <c r="G423" i="2" s="1"/>
  <c r="AO333" i="2"/>
  <c r="AO421" i="2" s="1"/>
  <c r="AM333" i="2"/>
  <c r="AM421" i="2" s="1"/>
  <c r="AL333" i="2"/>
  <c r="AL421" i="2" s="1"/>
  <c r="AK333" i="2"/>
  <c r="AK421" i="2" s="1"/>
  <c r="AJ333" i="2"/>
  <c r="AJ421" i="2" s="1"/>
  <c r="AI333" i="2"/>
  <c r="AI421" i="2" s="1"/>
  <c r="AE333" i="2"/>
  <c r="AE421" i="2" s="1"/>
  <c r="AD333" i="2"/>
  <c r="AD421" i="2" s="1"/>
  <c r="AC333" i="2"/>
  <c r="AC421" i="2" s="1"/>
  <c r="AB333" i="2"/>
  <c r="AB421" i="2" s="1"/>
  <c r="AA333" i="2"/>
  <c r="AA421" i="2" s="1"/>
  <c r="Z333" i="2"/>
  <c r="Z421" i="2" s="1"/>
  <c r="Y333" i="2"/>
  <c r="Y421" i="2" s="1"/>
  <c r="W333" i="2"/>
  <c r="W421" i="2" s="1"/>
  <c r="U333" i="2"/>
  <c r="U421" i="2" s="1"/>
  <c r="T333" i="2"/>
  <c r="T421" i="2" s="1"/>
  <c r="S333" i="2"/>
  <c r="S421" i="2" s="1"/>
  <c r="R333" i="2"/>
  <c r="R421" i="2" s="1"/>
  <c r="Q333" i="2"/>
  <c r="Q421" i="2" s="1"/>
  <c r="M333" i="2"/>
  <c r="M421" i="2" s="1"/>
  <c r="L333" i="2"/>
  <c r="L421" i="2" s="1"/>
  <c r="K333" i="2"/>
  <c r="K421" i="2" s="1"/>
  <c r="J333" i="2"/>
  <c r="J421" i="2" s="1"/>
  <c r="I333" i="2"/>
  <c r="I421" i="2" s="1"/>
  <c r="H333" i="2"/>
  <c r="H421" i="2" s="1"/>
  <c r="G333" i="2"/>
  <c r="G421" i="2" s="1"/>
  <c r="AO332" i="2"/>
  <c r="AO420" i="2" s="1"/>
  <c r="AM332" i="2"/>
  <c r="AM420" i="2" s="1"/>
  <c r="AL332" i="2"/>
  <c r="AL420" i="2" s="1"/>
  <c r="AK332" i="2"/>
  <c r="AK420" i="2" s="1"/>
  <c r="AJ332" i="2"/>
  <c r="AJ420" i="2" s="1"/>
  <c r="AI332" i="2"/>
  <c r="AI420" i="2" s="1"/>
  <c r="AE332" i="2"/>
  <c r="AE420" i="2" s="1"/>
  <c r="AD332" i="2"/>
  <c r="AD420" i="2" s="1"/>
  <c r="AC332" i="2"/>
  <c r="AC420" i="2" s="1"/>
  <c r="AB332" i="2"/>
  <c r="AB420" i="2" s="1"/>
  <c r="AA332" i="2"/>
  <c r="AA420" i="2" s="1"/>
  <c r="Z332" i="2"/>
  <c r="Z420" i="2" s="1"/>
  <c r="Y332" i="2"/>
  <c r="Y420" i="2" s="1"/>
  <c r="W332" i="2"/>
  <c r="W420" i="2" s="1"/>
  <c r="U332" i="2"/>
  <c r="U420" i="2" s="1"/>
  <c r="T332" i="2"/>
  <c r="T420" i="2" s="1"/>
  <c r="S332" i="2"/>
  <c r="S420" i="2" s="1"/>
  <c r="R332" i="2"/>
  <c r="R420" i="2" s="1"/>
  <c r="Q332" i="2"/>
  <c r="Q420" i="2" s="1"/>
  <c r="M332" i="2"/>
  <c r="M420" i="2" s="1"/>
  <c r="L332" i="2"/>
  <c r="L420" i="2" s="1"/>
  <c r="K332" i="2"/>
  <c r="K420" i="2" s="1"/>
  <c r="J332" i="2"/>
  <c r="J420" i="2" s="1"/>
  <c r="I332" i="2"/>
  <c r="I420" i="2" s="1"/>
  <c r="H332" i="2"/>
  <c r="H420" i="2" s="1"/>
  <c r="G332" i="2"/>
  <c r="G420" i="2" s="1"/>
  <c r="AO331" i="2"/>
  <c r="AO419" i="2" s="1"/>
  <c r="AM331" i="2"/>
  <c r="AM419" i="2" s="1"/>
  <c r="AL331" i="2"/>
  <c r="AL419" i="2" s="1"/>
  <c r="AK331" i="2"/>
  <c r="AK419" i="2" s="1"/>
  <c r="AJ331" i="2"/>
  <c r="AJ419" i="2" s="1"/>
  <c r="AI331" i="2"/>
  <c r="AI419" i="2" s="1"/>
  <c r="AE331" i="2"/>
  <c r="AE419" i="2" s="1"/>
  <c r="AD331" i="2"/>
  <c r="AD419" i="2" s="1"/>
  <c r="AC331" i="2"/>
  <c r="AC419" i="2" s="1"/>
  <c r="AB331" i="2"/>
  <c r="AB419" i="2" s="1"/>
  <c r="AA331" i="2"/>
  <c r="AA419" i="2" s="1"/>
  <c r="Z331" i="2"/>
  <c r="Z419" i="2" s="1"/>
  <c r="Y331" i="2"/>
  <c r="Y419" i="2" s="1"/>
  <c r="W331" i="2"/>
  <c r="W419" i="2" s="1"/>
  <c r="U331" i="2"/>
  <c r="U419" i="2" s="1"/>
  <c r="T331" i="2"/>
  <c r="T419" i="2" s="1"/>
  <c r="S331" i="2"/>
  <c r="S419" i="2" s="1"/>
  <c r="R331" i="2"/>
  <c r="R419" i="2" s="1"/>
  <c r="Q331" i="2"/>
  <c r="Q419" i="2" s="1"/>
  <c r="M331" i="2"/>
  <c r="M419" i="2" s="1"/>
  <c r="L331" i="2"/>
  <c r="L419" i="2" s="1"/>
  <c r="K331" i="2"/>
  <c r="K419" i="2" s="1"/>
  <c r="J331" i="2"/>
  <c r="J419" i="2" s="1"/>
  <c r="I331" i="2"/>
  <c r="I419" i="2" s="1"/>
  <c r="H331" i="2"/>
  <c r="H419" i="2" s="1"/>
  <c r="G331" i="2"/>
  <c r="G419" i="2" s="1"/>
  <c r="AO330" i="2"/>
  <c r="AO418" i="2" s="1"/>
  <c r="AM330" i="2"/>
  <c r="AM418" i="2" s="1"/>
  <c r="AL330" i="2"/>
  <c r="AL418" i="2" s="1"/>
  <c r="AK330" i="2"/>
  <c r="AK418" i="2" s="1"/>
  <c r="AJ330" i="2"/>
  <c r="AJ418" i="2" s="1"/>
  <c r="AI330" i="2"/>
  <c r="AI418" i="2" s="1"/>
  <c r="AE330" i="2"/>
  <c r="AE418" i="2" s="1"/>
  <c r="AD330" i="2"/>
  <c r="AD418" i="2" s="1"/>
  <c r="AC330" i="2"/>
  <c r="AC418" i="2" s="1"/>
  <c r="AB330" i="2"/>
  <c r="AB418" i="2" s="1"/>
  <c r="AA330" i="2"/>
  <c r="AA418" i="2" s="1"/>
  <c r="Z330" i="2"/>
  <c r="Z418" i="2" s="1"/>
  <c r="Y330" i="2"/>
  <c r="Y418" i="2" s="1"/>
  <c r="W330" i="2"/>
  <c r="W418" i="2" s="1"/>
  <c r="U330" i="2"/>
  <c r="U418" i="2" s="1"/>
  <c r="T330" i="2"/>
  <c r="T418" i="2" s="1"/>
  <c r="S330" i="2"/>
  <c r="S418" i="2" s="1"/>
  <c r="R330" i="2"/>
  <c r="R418" i="2" s="1"/>
  <c r="Q330" i="2"/>
  <c r="Q418" i="2" s="1"/>
  <c r="M330" i="2"/>
  <c r="M418" i="2" s="1"/>
  <c r="L330" i="2"/>
  <c r="L418" i="2" s="1"/>
  <c r="K330" i="2"/>
  <c r="K418" i="2" s="1"/>
  <c r="J330" i="2"/>
  <c r="J418" i="2" s="1"/>
  <c r="I330" i="2"/>
  <c r="I418" i="2" s="1"/>
  <c r="H330" i="2"/>
  <c r="H418" i="2" s="1"/>
  <c r="G330" i="2"/>
  <c r="G418" i="2" s="1"/>
  <c r="AO329" i="2"/>
  <c r="AO417" i="2" s="1"/>
  <c r="AM329" i="2"/>
  <c r="AM417" i="2" s="1"/>
  <c r="AL329" i="2"/>
  <c r="AL417" i="2" s="1"/>
  <c r="AK329" i="2"/>
  <c r="AK417" i="2" s="1"/>
  <c r="AJ329" i="2"/>
  <c r="AJ417" i="2" s="1"/>
  <c r="AI329" i="2"/>
  <c r="AI417" i="2" s="1"/>
  <c r="AE329" i="2"/>
  <c r="AE417" i="2" s="1"/>
  <c r="AD329" i="2"/>
  <c r="AD417" i="2" s="1"/>
  <c r="AC329" i="2"/>
  <c r="AC417" i="2" s="1"/>
  <c r="AB329" i="2"/>
  <c r="AB417" i="2" s="1"/>
  <c r="AA329" i="2"/>
  <c r="AA417" i="2" s="1"/>
  <c r="Z329" i="2"/>
  <c r="Z417" i="2" s="1"/>
  <c r="Y329" i="2"/>
  <c r="Y417" i="2" s="1"/>
  <c r="W329" i="2"/>
  <c r="W417" i="2" s="1"/>
  <c r="U329" i="2"/>
  <c r="U417" i="2" s="1"/>
  <c r="T329" i="2"/>
  <c r="T417" i="2" s="1"/>
  <c r="S329" i="2"/>
  <c r="S417" i="2" s="1"/>
  <c r="R329" i="2"/>
  <c r="R417" i="2" s="1"/>
  <c r="Q329" i="2"/>
  <c r="Q417" i="2" s="1"/>
  <c r="M329" i="2"/>
  <c r="M417" i="2" s="1"/>
  <c r="L329" i="2"/>
  <c r="L417" i="2" s="1"/>
  <c r="K329" i="2"/>
  <c r="K417" i="2" s="1"/>
  <c r="J329" i="2"/>
  <c r="J417" i="2" s="1"/>
  <c r="I329" i="2"/>
  <c r="I417" i="2" s="1"/>
  <c r="H329" i="2"/>
  <c r="H417" i="2" s="1"/>
  <c r="G329" i="2"/>
  <c r="G417" i="2" s="1"/>
  <c r="AO328" i="2"/>
  <c r="AO416" i="2" s="1"/>
  <c r="AM328" i="2"/>
  <c r="AM416" i="2" s="1"/>
  <c r="AL328" i="2"/>
  <c r="AL416" i="2" s="1"/>
  <c r="AK328" i="2"/>
  <c r="AK416" i="2" s="1"/>
  <c r="AJ328" i="2"/>
  <c r="AJ416" i="2" s="1"/>
  <c r="AI328" i="2"/>
  <c r="AI416" i="2" s="1"/>
  <c r="AE328" i="2"/>
  <c r="AE416" i="2" s="1"/>
  <c r="AD328" i="2"/>
  <c r="AD416" i="2" s="1"/>
  <c r="AC328" i="2"/>
  <c r="AC416" i="2" s="1"/>
  <c r="AB328" i="2"/>
  <c r="AB416" i="2" s="1"/>
  <c r="AA328" i="2"/>
  <c r="AA416" i="2" s="1"/>
  <c r="Z328" i="2"/>
  <c r="Z416" i="2" s="1"/>
  <c r="Y328" i="2"/>
  <c r="Y416" i="2" s="1"/>
  <c r="W328" i="2"/>
  <c r="W416" i="2" s="1"/>
  <c r="U328" i="2"/>
  <c r="U416" i="2" s="1"/>
  <c r="T328" i="2"/>
  <c r="T416" i="2" s="1"/>
  <c r="S328" i="2"/>
  <c r="S416" i="2" s="1"/>
  <c r="R328" i="2"/>
  <c r="R416" i="2" s="1"/>
  <c r="Q328" i="2"/>
  <c r="Q416" i="2" s="1"/>
  <c r="M328" i="2"/>
  <c r="M416" i="2" s="1"/>
  <c r="L328" i="2"/>
  <c r="L416" i="2" s="1"/>
  <c r="K328" i="2"/>
  <c r="K416" i="2" s="1"/>
  <c r="J328" i="2"/>
  <c r="J416" i="2" s="1"/>
  <c r="I328" i="2"/>
  <c r="I416" i="2" s="1"/>
  <c r="H328" i="2"/>
  <c r="H416" i="2" s="1"/>
  <c r="G328" i="2"/>
  <c r="G416" i="2" s="1"/>
  <c r="AO327" i="2"/>
  <c r="AO415" i="2" s="1"/>
  <c r="AM327" i="2"/>
  <c r="AM415" i="2" s="1"/>
  <c r="AL327" i="2"/>
  <c r="AL415" i="2" s="1"/>
  <c r="AK327" i="2"/>
  <c r="AK415" i="2" s="1"/>
  <c r="AJ327" i="2"/>
  <c r="AJ415" i="2" s="1"/>
  <c r="AI327" i="2"/>
  <c r="AI415" i="2" s="1"/>
  <c r="AE327" i="2"/>
  <c r="AE415" i="2" s="1"/>
  <c r="AD327" i="2"/>
  <c r="AD415" i="2" s="1"/>
  <c r="AC327" i="2"/>
  <c r="AC415" i="2" s="1"/>
  <c r="AB327" i="2"/>
  <c r="AB415" i="2" s="1"/>
  <c r="AA327" i="2"/>
  <c r="AA415" i="2" s="1"/>
  <c r="Z327" i="2"/>
  <c r="Z415" i="2" s="1"/>
  <c r="Y327" i="2"/>
  <c r="Y415" i="2" s="1"/>
  <c r="W327" i="2"/>
  <c r="W415" i="2" s="1"/>
  <c r="U327" i="2"/>
  <c r="U415" i="2" s="1"/>
  <c r="T327" i="2"/>
  <c r="T415" i="2" s="1"/>
  <c r="S327" i="2"/>
  <c r="S415" i="2" s="1"/>
  <c r="R327" i="2"/>
  <c r="R415" i="2" s="1"/>
  <c r="Q327" i="2"/>
  <c r="Q415" i="2" s="1"/>
  <c r="M327" i="2"/>
  <c r="M415" i="2" s="1"/>
  <c r="L327" i="2"/>
  <c r="L415" i="2" s="1"/>
  <c r="K327" i="2"/>
  <c r="K415" i="2" s="1"/>
  <c r="J327" i="2"/>
  <c r="J415" i="2" s="1"/>
  <c r="I327" i="2"/>
  <c r="I415" i="2" s="1"/>
  <c r="H327" i="2"/>
  <c r="H415" i="2" s="1"/>
  <c r="G327" i="2"/>
  <c r="G415" i="2" s="1"/>
  <c r="AO326" i="2"/>
  <c r="AO414" i="2" s="1"/>
  <c r="AM326" i="2"/>
  <c r="AM414" i="2" s="1"/>
  <c r="AL326" i="2"/>
  <c r="AL414" i="2" s="1"/>
  <c r="AK326" i="2"/>
  <c r="AK414" i="2" s="1"/>
  <c r="AJ326" i="2"/>
  <c r="AJ414" i="2" s="1"/>
  <c r="AI326" i="2"/>
  <c r="AI414" i="2" s="1"/>
  <c r="AE326" i="2"/>
  <c r="AE414" i="2" s="1"/>
  <c r="AD326" i="2"/>
  <c r="AD414" i="2" s="1"/>
  <c r="AC326" i="2"/>
  <c r="AC414" i="2" s="1"/>
  <c r="AB326" i="2"/>
  <c r="AB414" i="2" s="1"/>
  <c r="AA326" i="2"/>
  <c r="AA414" i="2" s="1"/>
  <c r="Z326" i="2"/>
  <c r="Z414" i="2" s="1"/>
  <c r="Y326" i="2"/>
  <c r="Y414" i="2" s="1"/>
  <c r="W326" i="2"/>
  <c r="W414" i="2" s="1"/>
  <c r="U326" i="2"/>
  <c r="U414" i="2" s="1"/>
  <c r="T326" i="2"/>
  <c r="T414" i="2" s="1"/>
  <c r="S326" i="2"/>
  <c r="S414" i="2" s="1"/>
  <c r="R326" i="2"/>
  <c r="R414" i="2" s="1"/>
  <c r="Q326" i="2"/>
  <c r="Q414" i="2" s="1"/>
  <c r="M326" i="2"/>
  <c r="M414" i="2" s="1"/>
  <c r="L326" i="2"/>
  <c r="L414" i="2" s="1"/>
  <c r="K326" i="2"/>
  <c r="K414" i="2" s="1"/>
  <c r="J326" i="2"/>
  <c r="J414" i="2" s="1"/>
  <c r="I326" i="2"/>
  <c r="I414" i="2" s="1"/>
  <c r="H326" i="2"/>
  <c r="H414" i="2" s="1"/>
  <c r="G326" i="2"/>
  <c r="G414" i="2" s="1"/>
  <c r="AO325" i="2"/>
  <c r="AO413" i="2" s="1"/>
  <c r="AM325" i="2"/>
  <c r="AM413" i="2" s="1"/>
  <c r="AL325" i="2"/>
  <c r="AL413" i="2" s="1"/>
  <c r="AK325" i="2"/>
  <c r="AK413" i="2" s="1"/>
  <c r="AJ325" i="2"/>
  <c r="AJ413" i="2" s="1"/>
  <c r="AI325" i="2"/>
  <c r="AI413" i="2" s="1"/>
  <c r="AE325" i="2"/>
  <c r="AE413" i="2" s="1"/>
  <c r="AD325" i="2"/>
  <c r="AD413" i="2" s="1"/>
  <c r="AC325" i="2"/>
  <c r="AC413" i="2" s="1"/>
  <c r="AB325" i="2"/>
  <c r="AB413" i="2" s="1"/>
  <c r="AA325" i="2"/>
  <c r="AA413" i="2" s="1"/>
  <c r="Z325" i="2"/>
  <c r="Z413" i="2" s="1"/>
  <c r="Y325" i="2"/>
  <c r="Y413" i="2" s="1"/>
  <c r="W325" i="2"/>
  <c r="W413" i="2" s="1"/>
  <c r="U325" i="2"/>
  <c r="U413" i="2" s="1"/>
  <c r="T325" i="2"/>
  <c r="T413" i="2" s="1"/>
  <c r="S325" i="2"/>
  <c r="S413" i="2" s="1"/>
  <c r="R325" i="2"/>
  <c r="R413" i="2" s="1"/>
  <c r="Q325" i="2"/>
  <c r="Q413" i="2" s="1"/>
  <c r="M325" i="2"/>
  <c r="M413" i="2" s="1"/>
  <c r="L325" i="2"/>
  <c r="L413" i="2" s="1"/>
  <c r="K325" i="2"/>
  <c r="K413" i="2" s="1"/>
  <c r="J325" i="2"/>
  <c r="J413" i="2" s="1"/>
  <c r="I325" i="2"/>
  <c r="I413" i="2" s="1"/>
  <c r="H325" i="2"/>
  <c r="H413" i="2" s="1"/>
  <c r="G325" i="2"/>
  <c r="G413" i="2" s="1"/>
  <c r="AO323" i="2"/>
  <c r="AO411" i="2" s="1"/>
  <c r="AM323" i="2"/>
  <c r="AL323" i="2"/>
  <c r="AK323" i="2"/>
  <c r="AJ323" i="2"/>
  <c r="AJ411" i="2" s="1"/>
  <c r="AI323" i="2"/>
  <c r="AI411" i="2" s="1"/>
  <c r="AE323" i="2"/>
  <c r="AD323" i="2"/>
  <c r="AC323" i="2"/>
  <c r="AB323" i="2"/>
  <c r="AA323" i="2"/>
  <c r="AA411" i="2" s="1"/>
  <c r="Z323" i="2"/>
  <c r="Z411" i="2" s="1"/>
  <c r="Y323" i="2"/>
  <c r="Y411" i="2" s="1"/>
  <c r="W323" i="2"/>
  <c r="U323" i="2"/>
  <c r="T323" i="2"/>
  <c r="S323" i="2"/>
  <c r="R323" i="2"/>
  <c r="R411" i="2" s="1"/>
  <c r="Q323" i="2"/>
  <c r="Q411" i="2" s="1"/>
  <c r="M323" i="2"/>
  <c r="L323" i="2"/>
  <c r="K323" i="2"/>
  <c r="J323" i="2"/>
  <c r="I323" i="2"/>
  <c r="I411" i="2" s="1"/>
  <c r="H323" i="2"/>
  <c r="H411" i="2" s="1"/>
  <c r="G323" i="2"/>
  <c r="G411" i="2" s="1"/>
  <c r="AO310" i="2"/>
  <c r="AM310" i="2"/>
  <c r="AL310" i="2"/>
  <c r="AK310" i="2"/>
  <c r="AJ310" i="2"/>
  <c r="AI310" i="2"/>
  <c r="AE310" i="2"/>
  <c r="AD310" i="2"/>
  <c r="AC310" i="2"/>
  <c r="AB310" i="2"/>
  <c r="AA310" i="2"/>
  <c r="Z310" i="2"/>
  <c r="Y310" i="2"/>
  <c r="W310" i="2"/>
  <c r="U310" i="2"/>
  <c r="T310" i="2"/>
  <c r="S310" i="2"/>
  <c r="R310" i="2"/>
  <c r="Q310" i="2"/>
  <c r="M310" i="2"/>
  <c r="L310" i="2"/>
  <c r="K310" i="2"/>
  <c r="J310" i="2"/>
  <c r="I310" i="2"/>
  <c r="H310" i="2"/>
  <c r="G310" i="2"/>
  <c r="AO309" i="2"/>
  <c r="AM309" i="2"/>
  <c r="AL309" i="2"/>
  <c r="AK309" i="2"/>
  <c r="AJ309" i="2"/>
  <c r="AI309" i="2"/>
  <c r="AE309" i="2"/>
  <c r="AD309" i="2"/>
  <c r="AC309" i="2"/>
  <c r="AB309" i="2"/>
  <c r="AA309" i="2"/>
  <c r="Z309" i="2"/>
  <c r="Y309" i="2"/>
  <c r="W309" i="2"/>
  <c r="U309" i="2"/>
  <c r="T309" i="2"/>
  <c r="S309" i="2"/>
  <c r="R309" i="2"/>
  <c r="Q309" i="2"/>
  <c r="M309" i="2"/>
  <c r="L309" i="2"/>
  <c r="K309" i="2"/>
  <c r="J309" i="2"/>
  <c r="I309" i="2"/>
  <c r="H309" i="2"/>
  <c r="G309" i="2"/>
  <c r="AO308" i="2"/>
  <c r="AM308" i="2"/>
  <c r="AL308" i="2"/>
  <c r="AK308" i="2"/>
  <c r="AJ308" i="2"/>
  <c r="AI308" i="2"/>
  <c r="AE308" i="2"/>
  <c r="AD308" i="2"/>
  <c r="AC308" i="2"/>
  <c r="AB308" i="2"/>
  <c r="AA308" i="2"/>
  <c r="Z308" i="2"/>
  <c r="Y308" i="2"/>
  <c r="W308" i="2"/>
  <c r="U308" i="2"/>
  <c r="T308" i="2"/>
  <c r="S308" i="2"/>
  <c r="R308" i="2"/>
  <c r="Q308" i="2"/>
  <c r="M308" i="2"/>
  <c r="L308" i="2"/>
  <c r="K308" i="2"/>
  <c r="J308" i="2"/>
  <c r="I308" i="2"/>
  <c r="H308" i="2"/>
  <c r="G308" i="2"/>
  <c r="AO304" i="2"/>
  <c r="AM304" i="2"/>
  <c r="AL304" i="2"/>
  <c r="AK304" i="2"/>
  <c r="AJ304" i="2"/>
  <c r="AI304" i="2"/>
  <c r="AE304" i="2"/>
  <c r="AD304" i="2"/>
  <c r="AC304" i="2"/>
  <c r="AB304" i="2"/>
  <c r="AA304" i="2"/>
  <c r="Z304" i="2"/>
  <c r="Y304" i="2"/>
  <c r="W304" i="2"/>
  <c r="U304" i="2"/>
  <c r="T304" i="2"/>
  <c r="S304" i="2"/>
  <c r="R304" i="2"/>
  <c r="Q304" i="2"/>
  <c r="M304" i="2"/>
  <c r="L304" i="2"/>
  <c r="K304" i="2"/>
  <c r="J304" i="2"/>
  <c r="I304" i="2"/>
  <c r="H304" i="2"/>
  <c r="G304" i="2"/>
  <c r="AO303" i="2"/>
  <c r="AM303" i="2"/>
  <c r="AL303" i="2"/>
  <c r="AK303" i="2"/>
  <c r="AJ303" i="2"/>
  <c r="AI303" i="2"/>
  <c r="AE303" i="2"/>
  <c r="AD303" i="2"/>
  <c r="AC303" i="2"/>
  <c r="AB303" i="2"/>
  <c r="AA303" i="2"/>
  <c r="Z303" i="2"/>
  <c r="Y303" i="2"/>
  <c r="W303" i="2"/>
  <c r="U303" i="2"/>
  <c r="T303" i="2"/>
  <c r="S303" i="2"/>
  <c r="R303" i="2"/>
  <c r="Q303" i="2"/>
  <c r="M303" i="2"/>
  <c r="L303" i="2"/>
  <c r="K303" i="2"/>
  <c r="J303" i="2"/>
  <c r="I303" i="2"/>
  <c r="H303" i="2"/>
  <c r="G303" i="2"/>
  <c r="AO301" i="2"/>
  <c r="AM301" i="2"/>
  <c r="AL301" i="2"/>
  <c r="AK301" i="2"/>
  <c r="AJ301" i="2"/>
  <c r="AI301" i="2"/>
  <c r="AE301" i="2"/>
  <c r="AD301" i="2"/>
  <c r="AC301" i="2"/>
  <c r="AB301" i="2"/>
  <c r="AA301" i="2"/>
  <c r="Z301" i="2"/>
  <c r="Y301" i="2"/>
  <c r="W301" i="2"/>
  <c r="U301" i="2"/>
  <c r="T301" i="2"/>
  <c r="S301" i="2"/>
  <c r="R301" i="2"/>
  <c r="Q301" i="2"/>
  <c r="M301" i="2"/>
  <c r="L301" i="2"/>
  <c r="K301" i="2"/>
  <c r="J301" i="2"/>
  <c r="I301" i="2"/>
  <c r="H301" i="2"/>
  <c r="G301" i="2"/>
  <c r="AO300" i="2"/>
  <c r="AM300" i="2"/>
  <c r="AL300" i="2"/>
  <c r="AK300" i="2"/>
  <c r="AJ300" i="2"/>
  <c r="AI300" i="2"/>
  <c r="AE300" i="2"/>
  <c r="AD300" i="2"/>
  <c r="AC300" i="2"/>
  <c r="AB300" i="2"/>
  <c r="AA300" i="2"/>
  <c r="Z300" i="2"/>
  <c r="Y300" i="2"/>
  <c r="W300" i="2"/>
  <c r="U300" i="2"/>
  <c r="T300" i="2"/>
  <c r="S300" i="2"/>
  <c r="R300" i="2"/>
  <c r="Q300" i="2"/>
  <c r="M300" i="2"/>
  <c r="L300" i="2"/>
  <c r="K300" i="2"/>
  <c r="J300" i="2"/>
  <c r="I300" i="2"/>
  <c r="H300" i="2"/>
  <c r="G300" i="2"/>
  <c r="AO297" i="2"/>
  <c r="AM297" i="2"/>
  <c r="AL297" i="2"/>
  <c r="AK297" i="2"/>
  <c r="AJ297" i="2"/>
  <c r="AI297" i="2"/>
  <c r="AE297" i="2"/>
  <c r="AD297" i="2"/>
  <c r="AC297" i="2"/>
  <c r="AB297" i="2"/>
  <c r="AA297" i="2"/>
  <c r="Z297" i="2"/>
  <c r="Y297" i="2"/>
  <c r="W297" i="2"/>
  <c r="U297" i="2"/>
  <c r="T297" i="2"/>
  <c r="S297" i="2"/>
  <c r="R297" i="2"/>
  <c r="Q297" i="2"/>
  <c r="M297" i="2"/>
  <c r="L297" i="2"/>
  <c r="K297" i="2"/>
  <c r="J297" i="2"/>
  <c r="I297" i="2"/>
  <c r="H297" i="2"/>
  <c r="G297" i="2"/>
  <c r="AO296" i="2"/>
  <c r="AM296" i="2"/>
  <c r="AL296" i="2"/>
  <c r="AK296" i="2"/>
  <c r="AJ296" i="2"/>
  <c r="AI296" i="2"/>
  <c r="AE296" i="2"/>
  <c r="AD296" i="2"/>
  <c r="AC296" i="2"/>
  <c r="AB296" i="2"/>
  <c r="AA296" i="2"/>
  <c r="Z296" i="2"/>
  <c r="Y296" i="2"/>
  <c r="W296" i="2"/>
  <c r="U296" i="2"/>
  <c r="T296" i="2"/>
  <c r="S296" i="2"/>
  <c r="R296" i="2"/>
  <c r="Q296" i="2"/>
  <c r="M296" i="2"/>
  <c r="L296" i="2"/>
  <c r="K296" i="2"/>
  <c r="J296" i="2"/>
  <c r="I296" i="2"/>
  <c r="H296" i="2"/>
  <c r="G296" i="2"/>
  <c r="AO294" i="2"/>
  <c r="AM294" i="2"/>
  <c r="AL294" i="2"/>
  <c r="AK294" i="2"/>
  <c r="AJ294" i="2"/>
  <c r="AI294" i="2"/>
  <c r="AE294" i="2"/>
  <c r="AD294" i="2"/>
  <c r="AC294" i="2"/>
  <c r="AB294" i="2"/>
  <c r="AA294" i="2"/>
  <c r="Z294" i="2"/>
  <c r="Y294" i="2"/>
  <c r="W294" i="2"/>
  <c r="U294" i="2"/>
  <c r="T294" i="2"/>
  <c r="S294" i="2"/>
  <c r="R294" i="2"/>
  <c r="Q294" i="2"/>
  <c r="M294" i="2"/>
  <c r="L294" i="2"/>
  <c r="K294" i="2"/>
  <c r="J294" i="2"/>
  <c r="I294" i="2"/>
  <c r="H294" i="2"/>
  <c r="G294" i="2"/>
  <c r="AO293" i="2"/>
  <c r="AM293" i="2"/>
  <c r="AL293" i="2"/>
  <c r="AK293" i="2"/>
  <c r="AJ293" i="2"/>
  <c r="AI293" i="2"/>
  <c r="AE293" i="2"/>
  <c r="AD293" i="2"/>
  <c r="AC293" i="2"/>
  <c r="AB293" i="2"/>
  <c r="AA293" i="2"/>
  <c r="Z293" i="2"/>
  <c r="Y293" i="2"/>
  <c r="W293" i="2"/>
  <c r="U293" i="2"/>
  <c r="T293" i="2"/>
  <c r="S293" i="2"/>
  <c r="R293" i="2"/>
  <c r="Q293" i="2"/>
  <c r="M293" i="2"/>
  <c r="L293" i="2"/>
  <c r="K293" i="2"/>
  <c r="J293" i="2"/>
  <c r="I293" i="2"/>
  <c r="H293" i="2"/>
  <c r="G293" i="2"/>
  <c r="AO292" i="2"/>
  <c r="AM292" i="2"/>
  <c r="AL292" i="2"/>
  <c r="AK292" i="2"/>
  <c r="AJ292" i="2"/>
  <c r="AI292" i="2"/>
  <c r="AE292" i="2"/>
  <c r="AD292" i="2"/>
  <c r="AC292" i="2"/>
  <c r="AB292" i="2"/>
  <c r="AA292" i="2"/>
  <c r="Z292" i="2"/>
  <c r="Y292" i="2"/>
  <c r="W292" i="2"/>
  <c r="U292" i="2"/>
  <c r="T292" i="2"/>
  <c r="S292" i="2"/>
  <c r="R292" i="2"/>
  <c r="Q292" i="2"/>
  <c r="M292" i="2"/>
  <c r="L292" i="2"/>
  <c r="K292" i="2"/>
  <c r="J292" i="2"/>
  <c r="I292" i="2"/>
  <c r="H292" i="2"/>
  <c r="G292" i="2"/>
  <c r="AO291" i="2"/>
  <c r="AM291" i="2"/>
  <c r="AL291" i="2"/>
  <c r="AK291" i="2"/>
  <c r="AJ291" i="2"/>
  <c r="AI291" i="2"/>
  <c r="AE291" i="2"/>
  <c r="AD291" i="2"/>
  <c r="AC291" i="2"/>
  <c r="AB291" i="2"/>
  <c r="AA291" i="2"/>
  <c r="Z291" i="2"/>
  <c r="Y291" i="2"/>
  <c r="W291" i="2"/>
  <c r="U291" i="2"/>
  <c r="T291" i="2"/>
  <c r="S291" i="2"/>
  <c r="R291" i="2"/>
  <c r="Q291" i="2"/>
  <c r="M291" i="2"/>
  <c r="L291" i="2"/>
  <c r="K291" i="2"/>
  <c r="J291" i="2"/>
  <c r="I291" i="2"/>
  <c r="H291" i="2"/>
  <c r="G291" i="2"/>
  <c r="AO290" i="2"/>
  <c r="AO378" i="2" s="1"/>
  <c r="AM290" i="2"/>
  <c r="AL290" i="2"/>
  <c r="AK290" i="2"/>
  <c r="AJ290" i="2"/>
  <c r="AI290" i="2"/>
  <c r="AE290" i="2"/>
  <c r="AD290" i="2"/>
  <c r="AC290" i="2"/>
  <c r="AB290" i="2"/>
  <c r="AA290" i="2"/>
  <c r="Z290" i="2"/>
  <c r="Y290" i="2"/>
  <c r="W290" i="2"/>
  <c r="U290" i="2"/>
  <c r="T290" i="2"/>
  <c r="S290" i="2"/>
  <c r="R290" i="2"/>
  <c r="Q290" i="2"/>
  <c r="M290" i="2"/>
  <c r="L290" i="2"/>
  <c r="K290" i="2"/>
  <c r="J290" i="2"/>
  <c r="I290" i="2"/>
  <c r="H290" i="2"/>
  <c r="G290" i="2"/>
  <c r="AO289" i="2"/>
  <c r="AM289" i="2"/>
  <c r="AL289" i="2"/>
  <c r="AK289" i="2"/>
  <c r="AJ289" i="2"/>
  <c r="AI289" i="2"/>
  <c r="AE289" i="2"/>
  <c r="AD289" i="2"/>
  <c r="AC289" i="2"/>
  <c r="AB289" i="2"/>
  <c r="AA289" i="2"/>
  <c r="Z289" i="2"/>
  <c r="Y289" i="2"/>
  <c r="W289" i="2"/>
  <c r="U289" i="2"/>
  <c r="T289" i="2"/>
  <c r="S289" i="2"/>
  <c r="R289" i="2"/>
  <c r="Q289" i="2"/>
  <c r="M289" i="2"/>
  <c r="L289" i="2"/>
  <c r="K289" i="2"/>
  <c r="J289" i="2"/>
  <c r="I289" i="2"/>
  <c r="H289" i="2"/>
  <c r="G289" i="2"/>
  <c r="G377" i="2" s="1"/>
  <c r="AO288" i="2"/>
  <c r="AM288" i="2"/>
  <c r="AL288" i="2"/>
  <c r="AK288" i="2"/>
  <c r="AJ288" i="2"/>
  <c r="AI288" i="2"/>
  <c r="AE288" i="2"/>
  <c r="AD288" i="2"/>
  <c r="AC288" i="2"/>
  <c r="AB288" i="2"/>
  <c r="AA288" i="2"/>
  <c r="Z288" i="2"/>
  <c r="Y288" i="2"/>
  <c r="W288" i="2"/>
  <c r="U288" i="2"/>
  <c r="T288" i="2"/>
  <c r="S288" i="2"/>
  <c r="R288" i="2"/>
  <c r="Q288" i="2"/>
  <c r="M288" i="2"/>
  <c r="L288" i="2"/>
  <c r="K288" i="2"/>
  <c r="J288" i="2"/>
  <c r="I288" i="2"/>
  <c r="H288" i="2"/>
  <c r="H376" i="2" s="1"/>
  <c r="G288" i="2"/>
  <c r="G376" i="2" s="1"/>
  <c r="AO287" i="2"/>
  <c r="AM287" i="2"/>
  <c r="AL287" i="2"/>
  <c r="AK287" i="2"/>
  <c r="AJ287" i="2"/>
  <c r="AI287" i="2"/>
  <c r="AE287" i="2"/>
  <c r="AD287" i="2"/>
  <c r="AC287" i="2"/>
  <c r="AB287" i="2"/>
  <c r="AA287" i="2"/>
  <c r="Z287" i="2"/>
  <c r="Y287" i="2"/>
  <c r="W287" i="2"/>
  <c r="U287" i="2"/>
  <c r="T287" i="2"/>
  <c r="S287" i="2"/>
  <c r="R287" i="2"/>
  <c r="Q287" i="2"/>
  <c r="M287" i="2"/>
  <c r="L287" i="2"/>
  <c r="K287" i="2"/>
  <c r="J287" i="2"/>
  <c r="I287" i="2"/>
  <c r="I375" i="2" s="1"/>
  <c r="H287" i="2"/>
  <c r="H375" i="2" s="1"/>
  <c r="G287" i="2"/>
  <c r="G375" i="2" s="1"/>
  <c r="AO286" i="2"/>
  <c r="AM286" i="2"/>
  <c r="AL286" i="2"/>
  <c r="AK286" i="2"/>
  <c r="AJ286" i="2"/>
  <c r="AI286" i="2"/>
  <c r="AE286" i="2"/>
  <c r="AD286" i="2"/>
  <c r="AC286" i="2"/>
  <c r="AB286" i="2"/>
  <c r="AA286" i="2"/>
  <c r="Z286" i="2"/>
  <c r="Y286" i="2"/>
  <c r="W286" i="2"/>
  <c r="U286" i="2"/>
  <c r="T286" i="2"/>
  <c r="S286" i="2"/>
  <c r="R286" i="2"/>
  <c r="Q286" i="2"/>
  <c r="M286" i="2"/>
  <c r="L286" i="2"/>
  <c r="K286" i="2"/>
  <c r="J286" i="2"/>
  <c r="J374" i="2" s="1"/>
  <c r="I286" i="2"/>
  <c r="I374" i="2" s="1"/>
  <c r="H286" i="2"/>
  <c r="H374" i="2" s="1"/>
  <c r="G286" i="2"/>
  <c r="G374" i="2" s="1"/>
  <c r="AO284" i="2"/>
  <c r="AM284" i="2"/>
  <c r="AL284" i="2"/>
  <c r="AL372" i="2" s="1"/>
  <c r="AK284" i="2"/>
  <c r="AK372" i="2" s="1"/>
  <c r="AJ284" i="2"/>
  <c r="AJ372" i="2" s="1"/>
  <c r="AI284" i="2"/>
  <c r="AI372" i="2" s="1"/>
  <c r="AE284" i="2"/>
  <c r="AD284" i="2"/>
  <c r="AC284" i="2"/>
  <c r="AB284" i="2"/>
  <c r="AB372" i="2" s="1"/>
  <c r="AA284" i="2"/>
  <c r="AA372" i="2" s="1"/>
  <c r="Z284" i="2"/>
  <c r="Z372" i="2" s="1"/>
  <c r="Y284" i="2"/>
  <c r="Y372" i="2" s="1"/>
  <c r="W284" i="2"/>
  <c r="U284" i="2"/>
  <c r="T284" i="2"/>
  <c r="T372" i="2" s="1"/>
  <c r="S284" i="2"/>
  <c r="S372" i="2" s="1"/>
  <c r="R284" i="2"/>
  <c r="R372" i="2" s="1"/>
  <c r="Q284" i="2"/>
  <c r="Q372" i="2" s="1"/>
  <c r="M284" i="2"/>
  <c r="L284" i="2"/>
  <c r="K284" i="2"/>
  <c r="J284" i="2"/>
  <c r="J372" i="2" s="1"/>
  <c r="I284" i="2"/>
  <c r="I372" i="2" s="1"/>
  <c r="H284" i="2"/>
  <c r="H372" i="2" s="1"/>
  <c r="G372" i="2"/>
  <c r="BG262" i="2"/>
  <c r="BE262" i="2"/>
  <c r="BD262" i="2"/>
  <c r="BC262" i="2"/>
  <c r="BB262" i="2"/>
  <c r="BA262" i="2"/>
  <c r="AW262" i="2"/>
  <c r="AV262" i="2"/>
  <c r="AU262" i="2"/>
  <c r="AT262" i="2"/>
  <c r="AS262" i="2"/>
  <c r="AR262" i="2"/>
  <c r="AQ262" i="2"/>
  <c r="BG261" i="2"/>
  <c r="BE261" i="2"/>
  <c r="BD261" i="2"/>
  <c r="BC261" i="2"/>
  <c r="BB261" i="2"/>
  <c r="BA261" i="2"/>
  <c r="AW261" i="2"/>
  <c r="AV261" i="2"/>
  <c r="AU261" i="2"/>
  <c r="AT261" i="2"/>
  <c r="AS261" i="2"/>
  <c r="AR261" i="2"/>
  <c r="AQ261" i="2"/>
  <c r="BG260" i="2"/>
  <c r="BE260" i="2"/>
  <c r="BD260" i="2"/>
  <c r="BC260" i="2"/>
  <c r="BB260" i="2"/>
  <c r="BA260" i="2"/>
  <c r="AW260" i="2"/>
  <c r="AV260" i="2"/>
  <c r="AU260" i="2"/>
  <c r="AT260" i="2"/>
  <c r="AS260" i="2"/>
  <c r="AR260" i="2"/>
  <c r="AQ260" i="2"/>
  <c r="BG255" i="2"/>
  <c r="BE255" i="2"/>
  <c r="BD255" i="2"/>
  <c r="BC255" i="2"/>
  <c r="BB255" i="2"/>
  <c r="BA255" i="2"/>
  <c r="AW255" i="2"/>
  <c r="AV255" i="2"/>
  <c r="AU255" i="2"/>
  <c r="AT255" i="2"/>
  <c r="AS255" i="2"/>
  <c r="AR255" i="2"/>
  <c r="AQ255" i="2"/>
  <c r="BG254" i="2"/>
  <c r="BE254" i="2"/>
  <c r="BD254" i="2"/>
  <c r="BC254" i="2"/>
  <c r="BB254" i="2"/>
  <c r="BA254" i="2"/>
  <c r="AW254" i="2"/>
  <c r="AV254" i="2"/>
  <c r="AU254" i="2"/>
  <c r="AT254" i="2"/>
  <c r="AS254" i="2"/>
  <c r="AR254" i="2"/>
  <c r="AQ254" i="2"/>
  <c r="AO253" i="2"/>
  <c r="AM253" i="2"/>
  <c r="AL253" i="2"/>
  <c r="AK253" i="2"/>
  <c r="AJ253" i="2"/>
  <c r="AI253" i="2"/>
  <c r="AE253" i="2"/>
  <c r="AD253" i="2"/>
  <c r="AC253" i="2"/>
  <c r="AB253" i="2"/>
  <c r="AA253" i="2"/>
  <c r="Z253" i="2"/>
  <c r="Y253" i="2"/>
  <c r="W253" i="2"/>
  <c r="U253" i="2"/>
  <c r="T253" i="2"/>
  <c r="S253" i="2"/>
  <c r="R253" i="2"/>
  <c r="Q253" i="2"/>
  <c r="M253" i="2"/>
  <c r="L253" i="2"/>
  <c r="K253" i="2"/>
  <c r="J253" i="2"/>
  <c r="I253" i="2"/>
  <c r="H253" i="2"/>
  <c r="G253" i="2"/>
  <c r="BG252" i="2"/>
  <c r="BE252" i="2"/>
  <c r="BD252" i="2"/>
  <c r="BC252" i="2"/>
  <c r="BB252" i="2"/>
  <c r="BA252" i="2"/>
  <c r="AW252" i="2"/>
  <c r="AV252" i="2"/>
  <c r="AU252" i="2"/>
  <c r="AT252" i="2"/>
  <c r="AS252" i="2"/>
  <c r="AR252" i="2"/>
  <c r="AQ252" i="2"/>
  <c r="BG251" i="2"/>
  <c r="BE251" i="2"/>
  <c r="BD251" i="2"/>
  <c r="BC251" i="2"/>
  <c r="BB251" i="2"/>
  <c r="BA251" i="2"/>
  <c r="AW251" i="2"/>
  <c r="AV251" i="2"/>
  <c r="AU251" i="2"/>
  <c r="AT251" i="2"/>
  <c r="AS251" i="2"/>
  <c r="AR251" i="2"/>
  <c r="AQ251" i="2"/>
  <c r="AO249" i="2"/>
  <c r="AM249" i="2"/>
  <c r="AL249" i="2"/>
  <c r="AK249" i="2"/>
  <c r="AJ249" i="2"/>
  <c r="AI249" i="2"/>
  <c r="AE249" i="2"/>
  <c r="AD249" i="2"/>
  <c r="AC249" i="2"/>
  <c r="AB249" i="2"/>
  <c r="AA249" i="2"/>
  <c r="Z249" i="2"/>
  <c r="Y249" i="2"/>
  <c r="W249" i="2"/>
  <c r="U249" i="2"/>
  <c r="T249" i="2"/>
  <c r="S249" i="2"/>
  <c r="R249" i="2"/>
  <c r="Q249" i="2"/>
  <c r="M249" i="2"/>
  <c r="L249" i="2"/>
  <c r="K249" i="2"/>
  <c r="J249" i="2"/>
  <c r="I249" i="2"/>
  <c r="H249" i="2"/>
  <c r="G249" i="2"/>
  <c r="BG248" i="2"/>
  <c r="BE248" i="2"/>
  <c r="BD248" i="2"/>
  <c r="BC248" i="2"/>
  <c r="BB248" i="2"/>
  <c r="BA248" i="2"/>
  <c r="AW248" i="2"/>
  <c r="AV248" i="2"/>
  <c r="AU248" i="2"/>
  <c r="AT248" i="2"/>
  <c r="AS248" i="2"/>
  <c r="AR248" i="2"/>
  <c r="AQ248" i="2"/>
  <c r="BG247" i="2"/>
  <c r="BE247" i="2"/>
  <c r="BD247" i="2"/>
  <c r="BC247" i="2"/>
  <c r="BB247" i="2"/>
  <c r="BA247" i="2"/>
  <c r="AW247" i="2"/>
  <c r="AV247" i="2"/>
  <c r="AU247" i="2"/>
  <c r="AT247" i="2"/>
  <c r="AS247" i="2"/>
  <c r="AR247" i="2"/>
  <c r="AQ247" i="2"/>
  <c r="BG245" i="2"/>
  <c r="BE245" i="2"/>
  <c r="BD245" i="2"/>
  <c r="BC245" i="2"/>
  <c r="BB245" i="2"/>
  <c r="BA245" i="2"/>
  <c r="AW245" i="2"/>
  <c r="AV245" i="2"/>
  <c r="AU245" i="2"/>
  <c r="AT245" i="2"/>
  <c r="AS245" i="2"/>
  <c r="AR245" i="2"/>
  <c r="AQ245" i="2"/>
  <c r="BG244" i="2"/>
  <c r="BE244" i="2"/>
  <c r="BD244" i="2"/>
  <c r="BC244" i="2"/>
  <c r="BB244" i="2"/>
  <c r="BA244" i="2"/>
  <c r="AW244" i="2"/>
  <c r="AV244" i="2"/>
  <c r="AU244" i="2"/>
  <c r="AT244" i="2"/>
  <c r="AS244" i="2"/>
  <c r="AR244" i="2"/>
  <c r="AQ244" i="2"/>
  <c r="BG243" i="2"/>
  <c r="BE243" i="2"/>
  <c r="BD243" i="2"/>
  <c r="BC243" i="2"/>
  <c r="BB243" i="2"/>
  <c r="BA243" i="2"/>
  <c r="AW243" i="2"/>
  <c r="AV243" i="2"/>
  <c r="AU243" i="2"/>
  <c r="AT243" i="2"/>
  <c r="AS243" i="2"/>
  <c r="AR243" i="2"/>
  <c r="AQ243" i="2"/>
  <c r="BG242" i="2"/>
  <c r="BE242" i="2"/>
  <c r="BD242" i="2"/>
  <c r="BC242" i="2"/>
  <c r="BB242" i="2"/>
  <c r="BA242" i="2"/>
  <c r="AW242" i="2"/>
  <c r="AV242" i="2"/>
  <c r="AU242" i="2"/>
  <c r="AT242" i="2"/>
  <c r="AS242" i="2"/>
  <c r="AR242" i="2"/>
  <c r="AQ242" i="2"/>
  <c r="BG241" i="2"/>
  <c r="BE241" i="2"/>
  <c r="BD241" i="2"/>
  <c r="BC241" i="2"/>
  <c r="BB241" i="2"/>
  <c r="BA241" i="2"/>
  <c r="AW241" i="2"/>
  <c r="AV241" i="2"/>
  <c r="AU241" i="2"/>
  <c r="AT241" i="2"/>
  <c r="AS241" i="2"/>
  <c r="AR241" i="2"/>
  <c r="AQ241" i="2"/>
  <c r="BG240" i="2"/>
  <c r="BE240" i="2"/>
  <c r="BD240" i="2"/>
  <c r="BC240" i="2"/>
  <c r="BB240" i="2"/>
  <c r="BA240" i="2"/>
  <c r="AW240" i="2"/>
  <c r="AV240" i="2"/>
  <c r="AU240" i="2"/>
  <c r="AT240" i="2"/>
  <c r="AS240" i="2"/>
  <c r="AR240" i="2"/>
  <c r="AQ240" i="2"/>
  <c r="BG239" i="2"/>
  <c r="BE239" i="2"/>
  <c r="BD239" i="2"/>
  <c r="BC239" i="2"/>
  <c r="BB239" i="2"/>
  <c r="BA239" i="2"/>
  <c r="AW239" i="2"/>
  <c r="AV239" i="2"/>
  <c r="AU239" i="2"/>
  <c r="AT239" i="2"/>
  <c r="AS239" i="2"/>
  <c r="AR239" i="2"/>
  <c r="AQ239" i="2"/>
  <c r="BG238" i="2"/>
  <c r="BE238" i="2"/>
  <c r="BD238" i="2"/>
  <c r="BC238" i="2"/>
  <c r="BB238" i="2"/>
  <c r="BA238" i="2"/>
  <c r="AW238" i="2"/>
  <c r="AV238" i="2"/>
  <c r="AU238" i="2"/>
  <c r="AT238" i="2"/>
  <c r="AS238" i="2"/>
  <c r="AR238" i="2"/>
  <c r="AQ238" i="2"/>
  <c r="BG237" i="2"/>
  <c r="BE237" i="2"/>
  <c r="BD237" i="2"/>
  <c r="BC237" i="2"/>
  <c r="BB237" i="2"/>
  <c r="BA237" i="2"/>
  <c r="AW237" i="2"/>
  <c r="AV237" i="2"/>
  <c r="AU237" i="2"/>
  <c r="AT237" i="2"/>
  <c r="AS237" i="2"/>
  <c r="AR237" i="2"/>
  <c r="AQ237" i="2"/>
  <c r="BG235" i="2"/>
  <c r="BE235" i="2"/>
  <c r="BD235" i="2"/>
  <c r="BC235" i="2"/>
  <c r="BB235" i="2"/>
  <c r="BA235" i="2"/>
  <c r="AW235" i="2"/>
  <c r="AV235" i="2"/>
  <c r="AU235" i="2"/>
  <c r="AT235" i="2"/>
  <c r="AS235" i="2"/>
  <c r="AR235" i="2"/>
  <c r="AQ235" i="2"/>
  <c r="BG222" i="2"/>
  <c r="BE222" i="2"/>
  <c r="BD222" i="2"/>
  <c r="BC222" i="2"/>
  <c r="BB222" i="2"/>
  <c r="BA222" i="2"/>
  <c r="AW222" i="2"/>
  <c r="AV222" i="2"/>
  <c r="AU222" i="2"/>
  <c r="AT222" i="2"/>
  <c r="AS222" i="2"/>
  <c r="AR222" i="2"/>
  <c r="AQ222" i="2"/>
  <c r="BG221" i="2"/>
  <c r="BE221" i="2"/>
  <c r="BD221" i="2"/>
  <c r="BC221" i="2"/>
  <c r="BB221" i="2"/>
  <c r="BA221" i="2"/>
  <c r="AW221" i="2"/>
  <c r="AV221" i="2"/>
  <c r="AU221" i="2"/>
  <c r="AT221" i="2"/>
  <c r="AS221" i="2"/>
  <c r="AR221" i="2"/>
  <c r="AQ221" i="2"/>
  <c r="BG220" i="2"/>
  <c r="BE220" i="2"/>
  <c r="BD220" i="2"/>
  <c r="BC220" i="2"/>
  <c r="BB220" i="2"/>
  <c r="BA220" i="2"/>
  <c r="AW220" i="2"/>
  <c r="AV220" i="2"/>
  <c r="AU220" i="2"/>
  <c r="AT220" i="2"/>
  <c r="AS220" i="2"/>
  <c r="AR220" i="2"/>
  <c r="AQ220" i="2"/>
  <c r="BG216" i="2"/>
  <c r="BE216" i="2"/>
  <c r="BD216" i="2"/>
  <c r="BC216" i="2"/>
  <c r="BB216" i="2"/>
  <c r="BA216" i="2"/>
  <c r="AW216" i="2"/>
  <c r="AV216" i="2"/>
  <c r="AU216" i="2"/>
  <c r="AT216" i="2"/>
  <c r="AS216" i="2"/>
  <c r="AR216" i="2"/>
  <c r="AQ216" i="2"/>
  <c r="BG215" i="2"/>
  <c r="BE215" i="2"/>
  <c r="BD215" i="2"/>
  <c r="BC215" i="2"/>
  <c r="BB215" i="2"/>
  <c r="BA215" i="2"/>
  <c r="AW215" i="2"/>
  <c r="AV215" i="2"/>
  <c r="AU215" i="2"/>
  <c r="AT215" i="2"/>
  <c r="AS215" i="2"/>
  <c r="AR215" i="2"/>
  <c r="AQ215" i="2"/>
  <c r="AO214" i="2"/>
  <c r="AM214" i="2"/>
  <c r="AL214" i="2"/>
  <c r="AK214" i="2"/>
  <c r="AJ214" i="2"/>
  <c r="AI214" i="2"/>
  <c r="AE214" i="2"/>
  <c r="AD214" i="2"/>
  <c r="AC214" i="2"/>
  <c r="AB214" i="2"/>
  <c r="AA214" i="2"/>
  <c r="Z214" i="2"/>
  <c r="Y214" i="2"/>
  <c r="W214" i="2"/>
  <c r="U214" i="2"/>
  <c r="T214" i="2"/>
  <c r="S214" i="2"/>
  <c r="R214" i="2"/>
  <c r="Q214" i="2"/>
  <c r="M214" i="2"/>
  <c r="L214" i="2"/>
  <c r="K214" i="2"/>
  <c r="J214" i="2"/>
  <c r="I214" i="2"/>
  <c r="H214" i="2"/>
  <c r="G214" i="2"/>
  <c r="BG213" i="2"/>
  <c r="BE213" i="2"/>
  <c r="BD213" i="2"/>
  <c r="BC213" i="2"/>
  <c r="BB213" i="2"/>
  <c r="BA213" i="2"/>
  <c r="AW213" i="2"/>
  <c r="AV213" i="2"/>
  <c r="AU213" i="2"/>
  <c r="AT213" i="2"/>
  <c r="AS213" i="2"/>
  <c r="AR213" i="2"/>
  <c r="AQ213" i="2"/>
  <c r="BG212" i="2"/>
  <c r="BE212" i="2"/>
  <c r="BD212" i="2"/>
  <c r="BC212" i="2"/>
  <c r="BB212" i="2"/>
  <c r="BA212" i="2"/>
  <c r="AW212" i="2"/>
  <c r="AV212" i="2"/>
  <c r="AU212" i="2"/>
  <c r="AT212" i="2"/>
  <c r="AS212" i="2"/>
  <c r="AR212" i="2"/>
  <c r="AQ212" i="2"/>
  <c r="AO210" i="2"/>
  <c r="AM210" i="2"/>
  <c r="AL210" i="2"/>
  <c r="AK210" i="2"/>
  <c r="AJ210" i="2"/>
  <c r="AI210" i="2"/>
  <c r="AE210" i="2"/>
  <c r="AD210" i="2"/>
  <c r="AC210" i="2"/>
  <c r="AB210" i="2"/>
  <c r="AA210" i="2"/>
  <c r="Z210" i="2"/>
  <c r="Y210" i="2"/>
  <c r="W210" i="2"/>
  <c r="U210" i="2"/>
  <c r="T210" i="2"/>
  <c r="S210" i="2"/>
  <c r="R210" i="2"/>
  <c r="Q210" i="2"/>
  <c r="M210" i="2"/>
  <c r="L210" i="2"/>
  <c r="K210" i="2"/>
  <c r="J210" i="2"/>
  <c r="I210" i="2"/>
  <c r="H210" i="2"/>
  <c r="G210" i="2"/>
  <c r="BG209" i="2"/>
  <c r="BE209" i="2"/>
  <c r="BD209" i="2"/>
  <c r="BC209" i="2"/>
  <c r="BB209" i="2"/>
  <c r="BA209" i="2"/>
  <c r="AW209" i="2"/>
  <c r="AV209" i="2"/>
  <c r="AU209" i="2"/>
  <c r="AT209" i="2"/>
  <c r="AS209" i="2"/>
  <c r="AR209" i="2"/>
  <c r="AQ209" i="2"/>
  <c r="BG208" i="2"/>
  <c r="BE208" i="2"/>
  <c r="BD208" i="2"/>
  <c r="BC208" i="2"/>
  <c r="BB208" i="2"/>
  <c r="BA208" i="2"/>
  <c r="AW208" i="2"/>
  <c r="AV208" i="2"/>
  <c r="AU208" i="2"/>
  <c r="AT208" i="2"/>
  <c r="AS208" i="2"/>
  <c r="AR208" i="2"/>
  <c r="AQ208" i="2"/>
  <c r="BG206" i="2"/>
  <c r="BE206" i="2"/>
  <c r="BD206" i="2"/>
  <c r="BC206" i="2"/>
  <c r="BB206" i="2"/>
  <c r="BA206" i="2"/>
  <c r="AW206" i="2"/>
  <c r="AV206" i="2"/>
  <c r="AU206" i="2"/>
  <c r="AT206" i="2"/>
  <c r="AS206" i="2"/>
  <c r="AR206" i="2"/>
  <c r="AQ206" i="2"/>
  <c r="BG205" i="2"/>
  <c r="BE205" i="2"/>
  <c r="BD205" i="2"/>
  <c r="BC205" i="2"/>
  <c r="BB205" i="2"/>
  <c r="BA205" i="2"/>
  <c r="AW205" i="2"/>
  <c r="AV205" i="2"/>
  <c r="AU205" i="2"/>
  <c r="AT205" i="2"/>
  <c r="AS205" i="2"/>
  <c r="AR205" i="2"/>
  <c r="AQ205" i="2"/>
  <c r="BG204" i="2"/>
  <c r="BE204" i="2"/>
  <c r="BD204" i="2"/>
  <c r="BC204" i="2"/>
  <c r="BB204" i="2"/>
  <c r="BA204" i="2"/>
  <c r="AW204" i="2"/>
  <c r="AV204" i="2"/>
  <c r="AU204" i="2"/>
  <c r="AT204" i="2"/>
  <c r="AS204" i="2"/>
  <c r="AR204" i="2"/>
  <c r="AQ204" i="2"/>
  <c r="BG203" i="2"/>
  <c r="BE203" i="2"/>
  <c r="BD203" i="2"/>
  <c r="BC203" i="2"/>
  <c r="BB203" i="2"/>
  <c r="BA203" i="2"/>
  <c r="AW203" i="2"/>
  <c r="AV203" i="2"/>
  <c r="AU203" i="2"/>
  <c r="AT203" i="2"/>
  <c r="AS203" i="2"/>
  <c r="AR203" i="2"/>
  <c r="AQ203" i="2"/>
  <c r="BG202" i="2"/>
  <c r="BE202" i="2"/>
  <c r="BD202" i="2"/>
  <c r="BC202" i="2"/>
  <c r="BB202" i="2"/>
  <c r="BA202" i="2"/>
  <c r="AW202" i="2"/>
  <c r="AV202" i="2"/>
  <c r="AU202" i="2"/>
  <c r="AT202" i="2"/>
  <c r="AS202" i="2"/>
  <c r="AR202" i="2"/>
  <c r="AQ202" i="2"/>
  <c r="BG201" i="2"/>
  <c r="BE201" i="2"/>
  <c r="BD201" i="2"/>
  <c r="BC201" i="2"/>
  <c r="BB201" i="2"/>
  <c r="BA201" i="2"/>
  <c r="AW201" i="2"/>
  <c r="AV201" i="2"/>
  <c r="AU201" i="2"/>
  <c r="AT201" i="2"/>
  <c r="AS201" i="2"/>
  <c r="AR201" i="2"/>
  <c r="AQ201" i="2"/>
  <c r="BG200" i="2"/>
  <c r="BE200" i="2"/>
  <c r="BD200" i="2"/>
  <c r="BC200" i="2"/>
  <c r="BB200" i="2"/>
  <c r="BA200" i="2"/>
  <c r="AW200" i="2"/>
  <c r="AV200" i="2"/>
  <c r="AU200" i="2"/>
  <c r="AT200" i="2"/>
  <c r="AS200" i="2"/>
  <c r="AR200" i="2"/>
  <c r="AQ200" i="2"/>
  <c r="BG199" i="2"/>
  <c r="BE199" i="2"/>
  <c r="BD199" i="2"/>
  <c r="BC199" i="2"/>
  <c r="BB199" i="2"/>
  <c r="BA199" i="2"/>
  <c r="AW199" i="2"/>
  <c r="AV199" i="2"/>
  <c r="AU199" i="2"/>
  <c r="AT199" i="2"/>
  <c r="AS199" i="2"/>
  <c r="AR199" i="2"/>
  <c r="AQ199" i="2"/>
  <c r="BG198" i="2"/>
  <c r="BE198" i="2"/>
  <c r="BD198" i="2"/>
  <c r="BC198" i="2"/>
  <c r="BB198" i="2"/>
  <c r="BA198" i="2"/>
  <c r="AW198" i="2"/>
  <c r="AV198" i="2"/>
  <c r="AU198" i="2"/>
  <c r="AT198" i="2"/>
  <c r="AS198" i="2"/>
  <c r="AR198" i="2"/>
  <c r="AQ198" i="2"/>
  <c r="BG196" i="2"/>
  <c r="BE196" i="2"/>
  <c r="BD196" i="2"/>
  <c r="BC196" i="2"/>
  <c r="BB196" i="2"/>
  <c r="BA196" i="2"/>
  <c r="AW196" i="2"/>
  <c r="AV196" i="2"/>
  <c r="AU196" i="2"/>
  <c r="AT196" i="2"/>
  <c r="AS196" i="2"/>
  <c r="AR196" i="2"/>
  <c r="AQ196" i="2"/>
  <c r="BG174" i="2"/>
  <c r="BE174" i="2"/>
  <c r="BD174" i="2"/>
  <c r="BC174" i="2"/>
  <c r="BB174" i="2"/>
  <c r="BA174" i="2"/>
  <c r="AW174" i="2"/>
  <c r="AV174" i="2"/>
  <c r="AU174" i="2"/>
  <c r="AT174" i="2"/>
  <c r="AS174" i="2"/>
  <c r="AR174" i="2"/>
  <c r="AQ174" i="2"/>
  <c r="BG173" i="2"/>
  <c r="BE173" i="2"/>
  <c r="BD173" i="2"/>
  <c r="BC173" i="2"/>
  <c r="BB173" i="2"/>
  <c r="BA173" i="2"/>
  <c r="AW173" i="2"/>
  <c r="AV173" i="2"/>
  <c r="AU173" i="2"/>
  <c r="AT173" i="2"/>
  <c r="AS173" i="2"/>
  <c r="AR173" i="2"/>
  <c r="AQ173" i="2"/>
  <c r="BG172" i="2"/>
  <c r="BE172" i="2"/>
  <c r="BD172" i="2"/>
  <c r="BC172" i="2"/>
  <c r="BB172" i="2"/>
  <c r="BA172" i="2"/>
  <c r="AW172" i="2"/>
  <c r="AV172" i="2"/>
  <c r="AU172" i="2"/>
  <c r="AT172" i="2"/>
  <c r="AS172" i="2"/>
  <c r="AR172" i="2"/>
  <c r="AQ172" i="2"/>
  <c r="BG167" i="2"/>
  <c r="BE167" i="2"/>
  <c r="BD167" i="2"/>
  <c r="BC167" i="2"/>
  <c r="BB167" i="2"/>
  <c r="BA167" i="2"/>
  <c r="AW167" i="2"/>
  <c r="AV167" i="2"/>
  <c r="AU167" i="2"/>
  <c r="AT167" i="2"/>
  <c r="AS167" i="2"/>
  <c r="AR167" i="2"/>
  <c r="AQ167" i="2"/>
  <c r="BG166" i="2"/>
  <c r="BE166" i="2"/>
  <c r="BD166" i="2"/>
  <c r="BC166" i="2"/>
  <c r="BB166" i="2"/>
  <c r="BA166" i="2"/>
  <c r="AW166" i="2"/>
  <c r="AV166" i="2"/>
  <c r="AU166" i="2"/>
  <c r="AT166" i="2"/>
  <c r="AS166" i="2"/>
  <c r="AR166" i="2"/>
  <c r="AQ166" i="2"/>
  <c r="AO165" i="2"/>
  <c r="AM165" i="2"/>
  <c r="AM341" i="2" s="1"/>
  <c r="AL165" i="2"/>
  <c r="AK165" i="2"/>
  <c r="AJ165" i="2"/>
  <c r="AI165" i="2"/>
  <c r="AE165" i="2"/>
  <c r="AD165" i="2"/>
  <c r="AC165" i="2"/>
  <c r="AB165" i="2"/>
  <c r="AA165" i="2"/>
  <c r="Z165" i="2"/>
  <c r="Y165" i="2"/>
  <c r="W165" i="2"/>
  <c r="U165" i="2"/>
  <c r="T165" i="2"/>
  <c r="S165" i="2"/>
  <c r="R165" i="2"/>
  <c r="Q165" i="2"/>
  <c r="M165" i="2"/>
  <c r="L165" i="2"/>
  <c r="K165" i="2"/>
  <c r="J165" i="2"/>
  <c r="I165" i="2"/>
  <c r="H165" i="2"/>
  <c r="G165" i="2"/>
  <c r="BG164" i="2"/>
  <c r="BE164" i="2"/>
  <c r="BD164" i="2"/>
  <c r="BC164" i="2"/>
  <c r="BB164" i="2"/>
  <c r="BA164" i="2"/>
  <c r="AW164" i="2"/>
  <c r="AV164" i="2"/>
  <c r="AU164" i="2"/>
  <c r="AT164" i="2"/>
  <c r="AS164" i="2"/>
  <c r="AR164" i="2"/>
  <c r="AQ164" i="2"/>
  <c r="BG163" i="2"/>
  <c r="BE163" i="2"/>
  <c r="BD163" i="2"/>
  <c r="BC163" i="2"/>
  <c r="BB163" i="2"/>
  <c r="BA163" i="2"/>
  <c r="AW163" i="2"/>
  <c r="AV163" i="2"/>
  <c r="AU163" i="2"/>
  <c r="AT163" i="2"/>
  <c r="AS163" i="2"/>
  <c r="AR163" i="2"/>
  <c r="AQ163" i="2"/>
  <c r="AO161" i="2"/>
  <c r="AM161" i="2"/>
  <c r="AL161" i="2"/>
  <c r="AK161" i="2"/>
  <c r="AJ161" i="2"/>
  <c r="AI161" i="2"/>
  <c r="AE161" i="2"/>
  <c r="AD161" i="2"/>
  <c r="AC161" i="2"/>
  <c r="AB161" i="2"/>
  <c r="AA161" i="2"/>
  <c r="Z161" i="2"/>
  <c r="Y161" i="2"/>
  <c r="W161" i="2"/>
  <c r="U161" i="2"/>
  <c r="T161" i="2"/>
  <c r="S161" i="2"/>
  <c r="R161" i="2"/>
  <c r="Q161" i="2"/>
  <c r="M161" i="2"/>
  <c r="L161" i="2"/>
  <c r="K161" i="2"/>
  <c r="J161" i="2"/>
  <c r="I161" i="2"/>
  <c r="H161" i="2"/>
  <c r="G161" i="2"/>
  <c r="BG160" i="2"/>
  <c r="BE160" i="2"/>
  <c r="BD160" i="2"/>
  <c r="BC160" i="2"/>
  <c r="BB160" i="2"/>
  <c r="BA160" i="2"/>
  <c r="AW160" i="2"/>
  <c r="AV160" i="2"/>
  <c r="AU160" i="2"/>
  <c r="AT160" i="2"/>
  <c r="AS160" i="2"/>
  <c r="AR160" i="2"/>
  <c r="AQ160" i="2"/>
  <c r="BG159" i="2"/>
  <c r="BE159" i="2"/>
  <c r="BD159" i="2"/>
  <c r="BC159" i="2"/>
  <c r="BB159" i="2"/>
  <c r="BA159" i="2"/>
  <c r="AW159" i="2"/>
  <c r="AV159" i="2"/>
  <c r="AU159" i="2"/>
  <c r="AT159" i="2"/>
  <c r="AS159" i="2"/>
  <c r="AR159" i="2"/>
  <c r="AQ159" i="2"/>
  <c r="BG157" i="2"/>
  <c r="BE157" i="2"/>
  <c r="BD157" i="2"/>
  <c r="BC157" i="2"/>
  <c r="BB157" i="2"/>
  <c r="BA157" i="2"/>
  <c r="AW157" i="2"/>
  <c r="AV157" i="2"/>
  <c r="AU157" i="2"/>
  <c r="AT157" i="2"/>
  <c r="AS157" i="2"/>
  <c r="AR157" i="2"/>
  <c r="AQ157" i="2"/>
  <c r="BG156" i="2"/>
  <c r="BE156" i="2"/>
  <c r="BD156" i="2"/>
  <c r="BC156" i="2"/>
  <c r="BB156" i="2"/>
  <c r="BA156" i="2"/>
  <c r="AW156" i="2"/>
  <c r="AV156" i="2"/>
  <c r="AU156" i="2"/>
  <c r="AT156" i="2"/>
  <c r="AS156" i="2"/>
  <c r="AR156" i="2"/>
  <c r="AQ156" i="2"/>
  <c r="BG155" i="2"/>
  <c r="BE155" i="2"/>
  <c r="BD155" i="2"/>
  <c r="BC155" i="2"/>
  <c r="BB155" i="2"/>
  <c r="BA155" i="2"/>
  <c r="AW155" i="2"/>
  <c r="AV155" i="2"/>
  <c r="AU155" i="2"/>
  <c r="AT155" i="2"/>
  <c r="AS155" i="2"/>
  <c r="AR155" i="2"/>
  <c r="AQ155" i="2"/>
  <c r="BG154" i="2"/>
  <c r="BE154" i="2"/>
  <c r="BD154" i="2"/>
  <c r="BC154" i="2"/>
  <c r="BB154" i="2"/>
  <c r="BA154" i="2"/>
  <c r="AW154" i="2"/>
  <c r="AV154" i="2"/>
  <c r="AU154" i="2"/>
  <c r="AT154" i="2"/>
  <c r="AS154" i="2"/>
  <c r="AR154" i="2"/>
  <c r="AQ154" i="2"/>
  <c r="BG153" i="2"/>
  <c r="BE153" i="2"/>
  <c r="BD153" i="2"/>
  <c r="BC153" i="2"/>
  <c r="BB153" i="2"/>
  <c r="BA153" i="2"/>
  <c r="AW153" i="2"/>
  <c r="AV153" i="2"/>
  <c r="AU153" i="2"/>
  <c r="AT153" i="2"/>
  <c r="AS153" i="2"/>
  <c r="AR153" i="2"/>
  <c r="AQ153" i="2"/>
  <c r="BG152" i="2"/>
  <c r="BE152" i="2"/>
  <c r="BD152" i="2"/>
  <c r="BC152" i="2"/>
  <c r="BB152" i="2"/>
  <c r="BA152" i="2"/>
  <c r="AW152" i="2"/>
  <c r="AV152" i="2"/>
  <c r="AU152" i="2"/>
  <c r="AT152" i="2"/>
  <c r="AS152" i="2"/>
  <c r="AR152" i="2"/>
  <c r="AQ152" i="2"/>
  <c r="BG151" i="2"/>
  <c r="BE151" i="2"/>
  <c r="BD151" i="2"/>
  <c r="BC151" i="2"/>
  <c r="BB151" i="2"/>
  <c r="BA151" i="2"/>
  <c r="AW151" i="2"/>
  <c r="AV151" i="2"/>
  <c r="AU151" i="2"/>
  <c r="AT151" i="2"/>
  <c r="AS151" i="2"/>
  <c r="AR151" i="2"/>
  <c r="AQ151" i="2"/>
  <c r="BG150" i="2"/>
  <c r="BE150" i="2"/>
  <c r="BD150" i="2"/>
  <c r="BC150" i="2"/>
  <c r="BB150" i="2"/>
  <c r="BA150" i="2"/>
  <c r="AW150" i="2"/>
  <c r="AV150" i="2"/>
  <c r="AU150" i="2"/>
  <c r="AT150" i="2"/>
  <c r="AS150" i="2"/>
  <c r="AR150" i="2"/>
  <c r="AQ150" i="2"/>
  <c r="BG149" i="2"/>
  <c r="BE149" i="2"/>
  <c r="BD149" i="2"/>
  <c r="BC149" i="2"/>
  <c r="BB149" i="2"/>
  <c r="BA149" i="2"/>
  <c r="AW149" i="2"/>
  <c r="AV149" i="2"/>
  <c r="AU149" i="2"/>
  <c r="AT149" i="2"/>
  <c r="AS149" i="2"/>
  <c r="AR149" i="2"/>
  <c r="AQ149" i="2"/>
  <c r="BG147" i="2"/>
  <c r="BE147" i="2"/>
  <c r="BD147" i="2"/>
  <c r="BC147" i="2"/>
  <c r="BB147" i="2"/>
  <c r="BA147" i="2"/>
  <c r="AW147" i="2"/>
  <c r="AV147" i="2"/>
  <c r="AU147" i="2"/>
  <c r="AT147" i="2"/>
  <c r="AS147" i="2"/>
  <c r="AR147" i="2"/>
  <c r="AQ147" i="2"/>
  <c r="BG134" i="2"/>
  <c r="BE134" i="2"/>
  <c r="BD134" i="2"/>
  <c r="BC134" i="2"/>
  <c r="BB134" i="2"/>
  <c r="BA134" i="2"/>
  <c r="AW134" i="2"/>
  <c r="AV134" i="2"/>
  <c r="AU134" i="2"/>
  <c r="AT134" i="2"/>
  <c r="AS134" i="2"/>
  <c r="AR134" i="2"/>
  <c r="AQ134" i="2"/>
  <c r="BG133" i="2"/>
  <c r="BE133" i="2"/>
  <c r="BD133" i="2"/>
  <c r="BC133" i="2"/>
  <c r="BB133" i="2"/>
  <c r="BA133" i="2"/>
  <c r="AW133" i="2"/>
  <c r="AV133" i="2"/>
  <c r="AU133" i="2"/>
  <c r="AT133" i="2"/>
  <c r="AS133" i="2"/>
  <c r="AR133" i="2"/>
  <c r="AQ133" i="2"/>
  <c r="BG132" i="2"/>
  <c r="BE132" i="2"/>
  <c r="BD132" i="2"/>
  <c r="BC132" i="2"/>
  <c r="BB132" i="2"/>
  <c r="BA132" i="2"/>
  <c r="AW132" i="2"/>
  <c r="AV132" i="2"/>
  <c r="AU132" i="2"/>
  <c r="AT132" i="2"/>
  <c r="AS132" i="2"/>
  <c r="AR132" i="2"/>
  <c r="AQ132" i="2"/>
  <c r="BG128" i="2"/>
  <c r="BE128" i="2"/>
  <c r="BD128" i="2"/>
  <c r="BC128" i="2"/>
  <c r="BB128" i="2"/>
  <c r="BA128" i="2"/>
  <c r="AW128" i="2"/>
  <c r="AV128" i="2"/>
  <c r="AU128" i="2"/>
  <c r="AT128" i="2"/>
  <c r="AS128" i="2"/>
  <c r="AR128" i="2"/>
  <c r="AQ128" i="2"/>
  <c r="BG127" i="2"/>
  <c r="BE127" i="2"/>
  <c r="BD127" i="2"/>
  <c r="BC127" i="2"/>
  <c r="BB127" i="2"/>
  <c r="BA127" i="2"/>
  <c r="AW127" i="2"/>
  <c r="AV127" i="2"/>
  <c r="AU127" i="2"/>
  <c r="AT127" i="2"/>
  <c r="AS127" i="2"/>
  <c r="AR127" i="2"/>
  <c r="AQ127" i="2"/>
  <c r="AO126" i="2"/>
  <c r="AM126" i="2"/>
  <c r="AL126" i="2"/>
  <c r="AK126" i="2"/>
  <c r="AJ126" i="2"/>
  <c r="AI126" i="2"/>
  <c r="AE126" i="2"/>
  <c r="AE302" i="2" s="1"/>
  <c r="AD126" i="2"/>
  <c r="AC126" i="2"/>
  <c r="AB126" i="2"/>
  <c r="AA126" i="2"/>
  <c r="Z126" i="2"/>
  <c r="Y126" i="2"/>
  <c r="W126" i="2"/>
  <c r="U126" i="2"/>
  <c r="U302" i="2" s="1"/>
  <c r="T126" i="2"/>
  <c r="S126" i="2"/>
  <c r="R126" i="2"/>
  <c r="Q126" i="2"/>
  <c r="M126" i="2"/>
  <c r="L126" i="2"/>
  <c r="K126" i="2"/>
  <c r="J126" i="2"/>
  <c r="I126" i="2"/>
  <c r="H126" i="2"/>
  <c r="G126" i="2"/>
  <c r="BG125" i="2"/>
  <c r="BE125" i="2"/>
  <c r="BD125" i="2"/>
  <c r="BC125" i="2"/>
  <c r="BB125" i="2"/>
  <c r="BA125" i="2"/>
  <c r="AW125" i="2"/>
  <c r="AV125" i="2"/>
  <c r="AU125" i="2"/>
  <c r="AT125" i="2"/>
  <c r="AS125" i="2"/>
  <c r="AR125" i="2"/>
  <c r="AQ125" i="2"/>
  <c r="BG124" i="2"/>
  <c r="BE124" i="2"/>
  <c r="BD124" i="2"/>
  <c r="BC124" i="2"/>
  <c r="BB124" i="2"/>
  <c r="BA124" i="2"/>
  <c r="AW124" i="2"/>
  <c r="AV124" i="2"/>
  <c r="AU124" i="2"/>
  <c r="AT124" i="2"/>
  <c r="AS124" i="2"/>
  <c r="AR124" i="2"/>
  <c r="AQ124" i="2"/>
  <c r="AO122" i="2"/>
  <c r="AM122" i="2"/>
  <c r="AL122" i="2"/>
  <c r="AK122" i="2"/>
  <c r="AJ122" i="2"/>
  <c r="AI122" i="2"/>
  <c r="AE122" i="2"/>
  <c r="AD122" i="2"/>
  <c r="AC122" i="2"/>
  <c r="AB122" i="2"/>
  <c r="AA122" i="2"/>
  <c r="Z122" i="2"/>
  <c r="Y122" i="2"/>
  <c r="W122" i="2"/>
  <c r="U122" i="2"/>
  <c r="T122" i="2"/>
  <c r="S122" i="2"/>
  <c r="R122" i="2"/>
  <c r="Q122" i="2"/>
  <c r="M122" i="2"/>
  <c r="L122" i="2"/>
  <c r="K122" i="2"/>
  <c r="J122" i="2"/>
  <c r="I122" i="2"/>
  <c r="H122" i="2"/>
  <c r="G122" i="2"/>
  <c r="BG121" i="2"/>
  <c r="BE121" i="2"/>
  <c r="BD121" i="2"/>
  <c r="BC121" i="2"/>
  <c r="BB121" i="2"/>
  <c r="BA121" i="2"/>
  <c r="AW121" i="2"/>
  <c r="AV121" i="2"/>
  <c r="AU121" i="2"/>
  <c r="AT121" i="2"/>
  <c r="AS121" i="2"/>
  <c r="AR121" i="2"/>
  <c r="AQ121" i="2"/>
  <c r="BG120" i="2"/>
  <c r="BE120" i="2"/>
  <c r="BD120" i="2"/>
  <c r="BC120" i="2"/>
  <c r="BB120" i="2"/>
  <c r="BA120" i="2"/>
  <c r="AW120" i="2"/>
  <c r="AV120" i="2"/>
  <c r="AU120" i="2"/>
  <c r="AT120" i="2"/>
  <c r="AS120" i="2"/>
  <c r="AR120" i="2"/>
  <c r="AQ120" i="2"/>
  <c r="BG118" i="2"/>
  <c r="BE118" i="2"/>
  <c r="BD118" i="2"/>
  <c r="BC118" i="2"/>
  <c r="BB118" i="2"/>
  <c r="BA118" i="2"/>
  <c r="AW118" i="2"/>
  <c r="AV118" i="2"/>
  <c r="AU118" i="2"/>
  <c r="AT118" i="2"/>
  <c r="AS118" i="2"/>
  <c r="AR118" i="2"/>
  <c r="AQ118" i="2"/>
  <c r="BG117" i="2"/>
  <c r="BE117" i="2"/>
  <c r="BD117" i="2"/>
  <c r="BC117" i="2"/>
  <c r="BB117" i="2"/>
  <c r="BA117" i="2"/>
  <c r="AW117" i="2"/>
  <c r="AV117" i="2"/>
  <c r="AU117" i="2"/>
  <c r="AT117" i="2"/>
  <c r="AS117" i="2"/>
  <c r="AR117" i="2"/>
  <c r="AQ117" i="2"/>
  <c r="BG116" i="2"/>
  <c r="BE116" i="2"/>
  <c r="BD116" i="2"/>
  <c r="BC116" i="2"/>
  <c r="BB116" i="2"/>
  <c r="BA116" i="2"/>
  <c r="AW116" i="2"/>
  <c r="AV116" i="2"/>
  <c r="AU116" i="2"/>
  <c r="AT116" i="2"/>
  <c r="AS116" i="2"/>
  <c r="AR116" i="2"/>
  <c r="AQ116" i="2"/>
  <c r="BG115" i="2"/>
  <c r="BE115" i="2"/>
  <c r="BD115" i="2"/>
  <c r="BC115" i="2"/>
  <c r="BB115" i="2"/>
  <c r="BA115" i="2"/>
  <c r="AW115" i="2"/>
  <c r="AV115" i="2"/>
  <c r="AU115" i="2"/>
  <c r="AT115" i="2"/>
  <c r="AS115" i="2"/>
  <c r="AR115" i="2"/>
  <c r="AQ115" i="2"/>
  <c r="BG114" i="2"/>
  <c r="BE114" i="2"/>
  <c r="BD114" i="2"/>
  <c r="BC114" i="2"/>
  <c r="BB114" i="2"/>
  <c r="BA114" i="2"/>
  <c r="AW114" i="2"/>
  <c r="AV114" i="2"/>
  <c r="AU114" i="2"/>
  <c r="AT114" i="2"/>
  <c r="AS114" i="2"/>
  <c r="AR114" i="2"/>
  <c r="AQ114" i="2"/>
  <c r="BG113" i="2"/>
  <c r="BE113" i="2"/>
  <c r="BD113" i="2"/>
  <c r="BC113" i="2"/>
  <c r="BB113" i="2"/>
  <c r="BA113" i="2"/>
  <c r="AW113" i="2"/>
  <c r="AV113" i="2"/>
  <c r="AU113" i="2"/>
  <c r="AT113" i="2"/>
  <c r="AS113" i="2"/>
  <c r="AR113" i="2"/>
  <c r="AQ113" i="2"/>
  <c r="BG112" i="2"/>
  <c r="BE112" i="2"/>
  <c r="BD112" i="2"/>
  <c r="BC112" i="2"/>
  <c r="BB112" i="2"/>
  <c r="BA112" i="2"/>
  <c r="AW112" i="2"/>
  <c r="AV112" i="2"/>
  <c r="AU112" i="2"/>
  <c r="AT112" i="2"/>
  <c r="AS112" i="2"/>
  <c r="AR112" i="2"/>
  <c r="AQ112" i="2"/>
  <c r="BG111" i="2"/>
  <c r="BE111" i="2"/>
  <c r="BD111" i="2"/>
  <c r="BC111" i="2"/>
  <c r="BB111" i="2"/>
  <c r="BA111" i="2"/>
  <c r="AW111" i="2"/>
  <c r="AV111" i="2"/>
  <c r="AU111" i="2"/>
  <c r="AT111" i="2"/>
  <c r="AS111" i="2"/>
  <c r="AR111" i="2"/>
  <c r="AQ111" i="2"/>
  <c r="BG110" i="2"/>
  <c r="BE110" i="2"/>
  <c r="BD110" i="2"/>
  <c r="BC110" i="2"/>
  <c r="BB110" i="2"/>
  <c r="BA110" i="2"/>
  <c r="AW110" i="2"/>
  <c r="AV110" i="2"/>
  <c r="AU110" i="2"/>
  <c r="AT110" i="2"/>
  <c r="AS110" i="2"/>
  <c r="AR110" i="2"/>
  <c r="AQ110" i="2"/>
  <c r="BG108" i="2"/>
  <c r="BE108" i="2"/>
  <c r="BD108" i="2"/>
  <c r="BC108" i="2"/>
  <c r="BB108" i="2"/>
  <c r="BA108" i="2"/>
  <c r="AW108" i="2"/>
  <c r="AV108" i="2"/>
  <c r="AU108" i="2"/>
  <c r="AT108" i="2"/>
  <c r="AT284" i="2" s="1"/>
  <c r="AS108" i="2"/>
  <c r="AR108" i="2"/>
  <c r="AQ108" i="2"/>
  <c r="BG87" i="2"/>
  <c r="BE87" i="2"/>
  <c r="BD87" i="2"/>
  <c r="BC87" i="2"/>
  <c r="BB87" i="2"/>
  <c r="BA87" i="2"/>
  <c r="AW87" i="2"/>
  <c r="AV87" i="2"/>
  <c r="AU87" i="2"/>
  <c r="AT87" i="2"/>
  <c r="AS87" i="2"/>
  <c r="AR87" i="2"/>
  <c r="AQ87" i="2"/>
  <c r="BG86" i="2"/>
  <c r="BE86" i="2"/>
  <c r="BD86" i="2"/>
  <c r="BC86" i="2"/>
  <c r="BB86" i="2"/>
  <c r="BA86" i="2"/>
  <c r="AW86" i="2"/>
  <c r="AV86" i="2"/>
  <c r="AU86" i="2"/>
  <c r="AT86" i="2"/>
  <c r="AS86" i="2"/>
  <c r="AR86" i="2"/>
  <c r="AQ86" i="2"/>
  <c r="BG85" i="2"/>
  <c r="BE85" i="2"/>
  <c r="BD85" i="2"/>
  <c r="BC85" i="2"/>
  <c r="BB85" i="2"/>
  <c r="BA85" i="2"/>
  <c r="AW85" i="2"/>
  <c r="AV85" i="2"/>
  <c r="AU85" i="2"/>
  <c r="AT85" i="2"/>
  <c r="AS85" i="2"/>
  <c r="AR85" i="2"/>
  <c r="AQ85" i="2"/>
  <c r="BG80" i="2"/>
  <c r="BE80" i="2"/>
  <c r="BD80" i="2"/>
  <c r="BC80" i="2"/>
  <c r="BB80" i="2"/>
  <c r="BA80" i="2"/>
  <c r="AW80" i="2"/>
  <c r="AV80" i="2"/>
  <c r="AU80" i="2"/>
  <c r="AT80" i="2"/>
  <c r="AS80" i="2"/>
  <c r="AR80" i="2"/>
  <c r="AQ80" i="2"/>
  <c r="BG79" i="2"/>
  <c r="BE79" i="2"/>
  <c r="BD79" i="2"/>
  <c r="BC79" i="2"/>
  <c r="BB79" i="2"/>
  <c r="BA79" i="2"/>
  <c r="AW79" i="2"/>
  <c r="AV79" i="2"/>
  <c r="AU79" i="2"/>
  <c r="AT79" i="2"/>
  <c r="AS79" i="2"/>
  <c r="AR79" i="2"/>
  <c r="AQ79" i="2"/>
  <c r="AO78" i="2"/>
  <c r="AM78" i="2"/>
  <c r="AL78" i="2"/>
  <c r="AK78" i="2"/>
  <c r="AJ78" i="2"/>
  <c r="AI78" i="2"/>
  <c r="AE78" i="2"/>
  <c r="AD78" i="2"/>
  <c r="AC78" i="2"/>
  <c r="AB78" i="2"/>
  <c r="AA78" i="2"/>
  <c r="Z78" i="2"/>
  <c r="Y78" i="2"/>
  <c r="W78" i="2"/>
  <c r="U78" i="2"/>
  <c r="T78" i="2"/>
  <c r="S78" i="2"/>
  <c r="R78" i="2"/>
  <c r="Q78" i="2"/>
  <c r="M78" i="2"/>
  <c r="L78" i="2"/>
  <c r="K78" i="2"/>
  <c r="J78" i="2"/>
  <c r="I78" i="2"/>
  <c r="H78" i="2"/>
  <c r="G78" i="2"/>
  <c r="BG77" i="2"/>
  <c r="BE77" i="2"/>
  <c r="BD77" i="2"/>
  <c r="BC77" i="2"/>
  <c r="BB77" i="2"/>
  <c r="BA77" i="2"/>
  <c r="AW77" i="2"/>
  <c r="AV77" i="2"/>
  <c r="AU77" i="2"/>
  <c r="AT77" i="2"/>
  <c r="AS77" i="2"/>
  <c r="AR77" i="2"/>
  <c r="AQ77" i="2"/>
  <c r="BG76" i="2"/>
  <c r="BE76" i="2"/>
  <c r="BD76" i="2"/>
  <c r="BC76" i="2"/>
  <c r="BB76" i="2"/>
  <c r="BA76" i="2"/>
  <c r="AW76" i="2"/>
  <c r="AV76" i="2"/>
  <c r="AU76" i="2"/>
  <c r="AT76" i="2"/>
  <c r="AS76" i="2"/>
  <c r="AR76" i="2"/>
  <c r="AQ76" i="2"/>
  <c r="AO74" i="2"/>
  <c r="AM74" i="2"/>
  <c r="AL74" i="2"/>
  <c r="AK74" i="2"/>
  <c r="AJ74" i="2"/>
  <c r="AI74" i="2"/>
  <c r="AE74" i="2"/>
  <c r="AD74" i="2"/>
  <c r="AC74" i="2"/>
  <c r="AB74" i="2"/>
  <c r="AA74" i="2"/>
  <c r="Z74" i="2"/>
  <c r="Y74" i="2"/>
  <c r="W74" i="2"/>
  <c r="U74" i="2"/>
  <c r="T74" i="2"/>
  <c r="S74" i="2"/>
  <c r="R74" i="2"/>
  <c r="Q74" i="2"/>
  <c r="M74" i="2"/>
  <c r="L74" i="2"/>
  <c r="K74" i="2"/>
  <c r="J74" i="2"/>
  <c r="I74" i="2"/>
  <c r="H74" i="2"/>
  <c r="G74" i="2"/>
  <c r="BG73" i="2"/>
  <c r="BE73" i="2"/>
  <c r="BD73" i="2"/>
  <c r="BC73" i="2"/>
  <c r="BB73" i="2"/>
  <c r="BA73" i="2"/>
  <c r="AW73" i="2"/>
  <c r="AV73" i="2"/>
  <c r="AU73" i="2"/>
  <c r="AT73" i="2"/>
  <c r="AS73" i="2"/>
  <c r="AR73" i="2"/>
  <c r="AQ73" i="2"/>
  <c r="BG72" i="2"/>
  <c r="BE72" i="2"/>
  <c r="BD72" i="2"/>
  <c r="BC72" i="2"/>
  <c r="BB72" i="2"/>
  <c r="BA72" i="2"/>
  <c r="AW72" i="2"/>
  <c r="AV72" i="2"/>
  <c r="AU72" i="2"/>
  <c r="AT72" i="2"/>
  <c r="AS72" i="2"/>
  <c r="AR72" i="2"/>
  <c r="AQ72" i="2"/>
  <c r="BG70" i="2"/>
  <c r="BE70" i="2"/>
  <c r="BD70" i="2"/>
  <c r="BC70" i="2"/>
  <c r="BB70" i="2"/>
  <c r="BA70" i="2"/>
  <c r="AW70" i="2"/>
  <c r="AV70" i="2"/>
  <c r="AU70" i="2"/>
  <c r="AT70" i="2"/>
  <c r="AS70" i="2"/>
  <c r="AR70" i="2"/>
  <c r="AQ70" i="2"/>
  <c r="BG69" i="2"/>
  <c r="BE69" i="2"/>
  <c r="BD69" i="2"/>
  <c r="BC69" i="2"/>
  <c r="BB69" i="2"/>
  <c r="BA69" i="2"/>
  <c r="AW69" i="2"/>
  <c r="AV69" i="2"/>
  <c r="AU69" i="2"/>
  <c r="AT69" i="2"/>
  <c r="AS69" i="2"/>
  <c r="AR69" i="2"/>
  <c r="AQ69" i="2"/>
  <c r="BG68" i="2"/>
  <c r="BE68" i="2"/>
  <c r="BD68" i="2"/>
  <c r="BC68" i="2"/>
  <c r="BB68" i="2"/>
  <c r="BA68" i="2"/>
  <c r="AW68" i="2"/>
  <c r="AV68" i="2"/>
  <c r="AU68" i="2"/>
  <c r="AT68" i="2"/>
  <c r="AS68" i="2"/>
  <c r="AR68" i="2"/>
  <c r="AQ68" i="2"/>
  <c r="BG67" i="2"/>
  <c r="BE67" i="2"/>
  <c r="BD67" i="2"/>
  <c r="BC67" i="2"/>
  <c r="BB67" i="2"/>
  <c r="BA67" i="2"/>
  <c r="AW67" i="2"/>
  <c r="AV67" i="2"/>
  <c r="AU67" i="2"/>
  <c r="AT67" i="2"/>
  <c r="AS67" i="2"/>
  <c r="AR67" i="2"/>
  <c r="AQ67" i="2"/>
  <c r="BG66" i="2"/>
  <c r="BE66" i="2"/>
  <c r="BD66" i="2"/>
  <c r="BC66" i="2"/>
  <c r="BB66" i="2"/>
  <c r="BA66" i="2"/>
  <c r="AW66" i="2"/>
  <c r="AV66" i="2"/>
  <c r="AU66" i="2"/>
  <c r="AT66" i="2"/>
  <c r="AS66" i="2"/>
  <c r="AR66" i="2"/>
  <c r="AQ66" i="2"/>
  <c r="BG65" i="2"/>
  <c r="BE65" i="2"/>
  <c r="BD65" i="2"/>
  <c r="BC65" i="2"/>
  <c r="BB65" i="2"/>
  <c r="BA65" i="2"/>
  <c r="AW65" i="2"/>
  <c r="AV65" i="2"/>
  <c r="AU65" i="2"/>
  <c r="AT65" i="2"/>
  <c r="AS65" i="2"/>
  <c r="AR65" i="2"/>
  <c r="AQ65" i="2"/>
  <c r="BG64" i="2"/>
  <c r="BE64" i="2"/>
  <c r="BD64" i="2"/>
  <c r="BC64" i="2"/>
  <c r="BB64" i="2"/>
  <c r="BA64" i="2"/>
  <c r="AW64" i="2"/>
  <c r="AV64" i="2"/>
  <c r="AU64" i="2"/>
  <c r="AT64" i="2"/>
  <c r="AS64" i="2"/>
  <c r="AR64" i="2"/>
  <c r="AQ64" i="2"/>
  <c r="BG63" i="2"/>
  <c r="BE63" i="2"/>
  <c r="BD63" i="2"/>
  <c r="BC63" i="2"/>
  <c r="BB63" i="2"/>
  <c r="BA63" i="2"/>
  <c r="AW63" i="2"/>
  <c r="AV63" i="2"/>
  <c r="AU63" i="2"/>
  <c r="AT63" i="2"/>
  <c r="AS63" i="2"/>
  <c r="AR63" i="2"/>
  <c r="AQ63" i="2"/>
  <c r="BG62" i="2"/>
  <c r="BE62" i="2"/>
  <c r="BD62" i="2"/>
  <c r="BC62" i="2"/>
  <c r="BB62" i="2"/>
  <c r="BA62" i="2"/>
  <c r="AW62" i="2"/>
  <c r="AV62" i="2"/>
  <c r="AU62" i="2"/>
  <c r="AT62" i="2"/>
  <c r="AS62" i="2"/>
  <c r="AR62" i="2"/>
  <c r="AQ62" i="2"/>
  <c r="BC60" i="2"/>
  <c r="BB60" i="2"/>
  <c r="BA60" i="2"/>
  <c r="AS60" i="2"/>
  <c r="AR60" i="2"/>
  <c r="AQ60" i="2"/>
  <c r="BD21" i="2"/>
  <c r="BC21" i="2"/>
  <c r="BB21" i="2"/>
  <c r="BA21" i="2"/>
  <c r="AT21" i="2"/>
  <c r="AS21" i="2"/>
  <c r="AR21" i="2"/>
  <c r="AQ21" i="2"/>
  <c r="R256" i="2" l="1"/>
  <c r="AB256" i="2"/>
  <c r="AB257" i="2" s="1"/>
  <c r="AB258" i="2" s="1"/>
  <c r="AM256" i="2"/>
  <c r="AM257" i="2" s="1"/>
  <c r="AM258" i="2" s="1"/>
  <c r="BG288" i="2"/>
  <c r="AU304" i="2"/>
  <c r="AS309" i="2"/>
  <c r="BD309" i="2"/>
  <c r="AT325" i="2"/>
  <c r="AT413" i="2" s="1"/>
  <c r="AV331" i="2"/>
  <c r="AV419" i="2" s="1"/>
  <c r="AT333" i="2"/>
  <c r="AT421" i="2" s="1"/>
  <c r="AR336" i="2"/>
  <c r="AR424" i="2" s="1"/>
  <c r="BC336" i="2"/>
  <c r="BC424" i="2" s="1"/>
  <c r="AV340" i="2"/>
  <c r="AV428" i="2" s="1"/>
  <c r="AW342" i="2"/>
  <c r="AU348" i="2"/>
  <c r="AU436" i="2" s="1"/>
  <c r="BG348" i="2"/>
  <c r="BG436" i="2" s="1"/>
  <c r="BG284" i="2"/>
  <c r="AS287" i="2"/>
  <c r="AV288" i="2"/>
  <c r="AT290" i="2"/>
  <c r="AR292" i="2"/>
  <c r="BE309" i="2"/>
  <c r="AW310" i="2"/>
  <c r="BG325" i="2"/>
  <c r="BG413" i="2" s="1"/>
  <c r="BA326" i="2"/>
  <c r="BA414" i="2" s="1"/>
  <c r="AS327" i="2"/>
  <c r="AS415" i="2" s="1"/>
  <c r="AV328" i="2"/>
  <c r="AV416" i="2" s="1"/>
  <c r="AT330" i="2"/>
  <c r="AT418" i="2" s="1"/>
  <c r="AR332" i="2"/>
  <c r="AR420" i="2" s="1"/>
  <c r="BC332" i="2"/>
  <c r="BC420" i="2" s="1"/>
  <c r="BG333" i="2"/>
  <c r="BG421" i="2" s="1"/>
  <c r="L337" i="2"/>
  <c r="L425" i="2" s="1"/>
  <c r="AJ337" i="2"/>
  <c r="AJ425" i="2" s="1"/>
  <c r="H341" i="2"/>
  <c r="H429" i="2" s="1"/>
  <c r="S341" i="2"/>
  <c r="S429" i="2" s="1"/>
  <c r="AS343" i="2"/>
  <c r="BD343" i="2"/>
  <c r="BD431" i="2" s="1"/>
  <c r="BE350" i="2"/>
  <c r="BE438" i="2" s="1"/>
  <c r="K217" i="2"/>
  <c r="K218" i="2" s="1"/>
  <c r="W217" i="2"/>
  <c r="W218" i="2" s="1"/>
  <c r="BG292" i="2"/>
  <c r="AA302" i="2"/>
  <c r="AL302" i="2"/>
  <c r="AQ304" i="2"/>
  <c r="BB304" i="2"/>
  <c r="AW309" i="2"/>
  <c r="BG323" i="2"/>
  <c r="BA325" i="2"/>
  <c r="BA413" i="2" s="1"/>
  <c r="AR331" i="2"/>
  <c r="AR419" i="2" s="1"/>
  <c r="BC331" i="2"/>
  <c r="BC419" i="2" s="1"/>
  <c r="BG332" i="2"/>
  <c r="BG420" i="2" s="1"/>
  <c r="BA333" i="2"/>
  <c r="BA421" i="2" s="1"/>
  <c r="AV336" i="2"/>
  <c r="AV424" i="2" s="1"/>
  <c r="AR340" i="2"/>
  <c r="AR428" i="2" s="1"/>
  <c r="BC340" i="2"/>
  <c r="BC428" i="2" s="1"/>
  <c r="AS342" i="2"/>
  <c r="AS430" i="2" s="1"/>
  <c r="BD342" i="2"/>
  <c r="BD430" i="2" s="1"/>
  <c r="AQ348" i="2"/>
  <c r="AQ436" i="2" s="1"/>
  <c r="BB348" i="2"/>
  <c r="BB436" i="2" s="1"/>
  <c r="AT349" i="2"/>
  <c r="AT437" i="2" s="1"/>
  <c r="K256" i="2"/>
  <c r="K257" i="2" s="1"/>
  <c r="K258" i="2" s="1"/>
  <c r="W256" i="2"/>
  <c r="W257" i="2" s="1"/>
  <c r="W258" i="2" s="1"/>
  <c r="AR284" i="2"/>
  <c r="AR372" i="2" s="1"/>
  <c r="BA287" i="2"/>
  <c r="AV289" i="2"/>
  <c r="AT291" i="2"/>
  <c r="AR293" i="2"/>
  <c r="BC293" i="2"/>
  <c r="BE310" i="2"/>
  <c r="AR325" i="2"/>
  <c r="AR413" i="2" s="1"/>
  <c r="BC325" i="2"/>
  <c r="BC413" i="2" s="1"/>
  <c r="AT331" i="2"/>
  <c r="AT419" i="2" s="1"/>
  <c r="AR333" i="2"/>
  <c r="AR421" i="2" s="1"/>
  <c r="BC333" i="2"/>
  <c r="BC421" i="2" s="1"/>
  <c r="BG335" i="2"/>
  <c r="BG423" i="2" s="1"/>
  <c r="BA336" i="2"/>
  <c r="BA424" i="2" s="1"/>
  <c r="AT340" i="2"/>
  <c r="AT428" i="2" s="1"/>
  <c r="AU342" i="2"/>
  <c r="AU430" i="2" s="1"/>
  <c r="AS348" i="2"/>
  <c r="AS436" i="2" s="1"/>
  <c r="BD348" i="2"/>
  <c r="BD436" i="2" s="1"/>
  <c r="AV349" i="2"/>
  <c r="AV437" i="2" s="1"/>
  <c r="M256" i="2"/>
  <c r="M257" i="2" s="1"/>
  <c r="M258" i="2" s="1"/>
  <c r="Z256" i="2"/>
  <c r="Z257" i="2" s="1"/>
  <c r="Z258" i="2" s="1"/>
  <c r="AK256" i="2"/>
  <c r="AK257" i="2" s="1"/>
  <c r="AK258" i="2" s="1"/>
  <c r="AV284" i="2"/>
  <c r="AR289" i="2"/>
  <c r="BC289" i="2"/>
  <c r="BA291" i="2"/>
  <c r="AV293" i="2"/>
  <c r="BE303" i="2"/>
  <c r="BC308" i="2"/>
  <c r="AV325" i="2"/>
  <c r="AV413" i="2" s="1"/>
  <c r="BA331" i="2"/>
  <c r="BA419" i="2" s="1"/>
  <c r="AV333" i="2"/>
  <c r="AV421" i="2" s="1"/>
  <c r="AT336" i="2"/>
  <c r="AT424" i="2" s="1"/>
  <c r="BG339" i="2"/>
  <c r="BG427" i="2" s="1"/>
  <c r="BA340" i="2"/>
  <c r="BA428" i="2" s="1"/>
  <c r="AQ342" i="2"/>
  <c r="AQ430" i="2" s="1"/>
  <c r="BB342" i="2"/>
  <c r="BB430" i="2" s="1"/>
  <c r="BE343" i="2"/>
  <c r="BE431" i="2" s="1"/>
  <c r="AW348" i="2"/>
  <c r="AW436" i="2" s="1"/>
  <c r="AR349" i="2"/>
  <c r="AR437" i="2" s="1"/>
  <c r="AR286" i="2"/>
  <c r="AU287" i="2"/>
  <c r="BG287" i="2"/>
  <c r="BA288" i="2"/>
  <c r="AV290" i="2"/>
  <c r="AT292" i="2"/>
  <c r="AQ310" i="2"/>
  <c r="BB310" i="2"/>
  <c r="AR326" i="2"/>
  <c r="AR414" i="2" s="1"/>
  <c r="BC326" i="2"/>
  <c r="BC414" i="2" s="1"/>
  <c r="AU327" i="2"/>
  <c r="AU415" i="2" s="1"/>
  <c r="BG327" i="2"/>
  <c r="BG415" i="2" s="1"/>
  <c r="BA328" i="2"/>
  <c r="BA416" i="2" s="1"/>
  <c r="AV330" i="2"/>
  <c r="AV418" i="2" s="1"/>
  <c r="AT332" i="2"/>
  <c r="AT420" i="2" s="1"/>
  <c r="BG336" i="2"/>
  <c r="BG424" i="2" s="1"/>
  <c r="Q337" i="2"/>
  <c r="Q425" i="2" s="1"/>
  <c r="AA337" i="2"/>
  <c r="AA425" i="2" s="1"/>
  <c r="AL337" i="2"/>
  <c r="AL425" i="2" s="1"/>
  <c r="J341" i="2"/>
  <c r="J429" i="2" s="1"/>
  <c r="AU343" i="2"/>
  <c r="AU431" i="2" s="1"/>
  <c r="BA348" i="2"/>
  <c r="BA436" i="2" s="1"/>
  <c r="BD349" i="2"/>
  <c r="BD437" i="2" s="1"/>
  <c r="I256" i="2"/>
  <c r="I257" i="2" s="1"/>
  <c r="T256" i="2"/>
  <c r="T257" i="2" s="1"/>
  <c r="T258" i="2" s="1"/>
  <c r="AD256" i="2"/>
  <c r="M217" i="2"/>
  <c r="Z217" i="2"/>
  <c r="Z218" i="2" s="1"/>
  <c r="AK217" i="2"/>
  <c r="AK218" i="2" s="1"/>
  <c r="AP323" i="2"/>
  <c r="AP122" i="2"/>
  <c r="X253" i="2"/>
  <c r="X284" i="2"/>
  <c r="BB284" i="2"/>
  <c r="BB372" i="2" s="1"/>
  <c r="AT286" i="2"/>
  <c r="BE286" i="2"/>
  <c r="AW287" i="2"/>
  <c r="AR288" i="2"/>
  <c r="BC288" i="2"/>
  <c r="BG289" i="2"/>
  <c r="BA290" i="2"/>
  <c r="AS310" i="2"/>
  <c r="BD310" i="2"/>
  <c r="AT326" i="2"/>
  <c r="AT414" i="2" s="1"/>
  <c r="BE326" i="2"/>
  <c r="BE414" i="2" s="1"/>
  <c r="AW327" i="2"/>
  <c r="AW415" i="2" s="1"/>
  <c r="AR328" i="2"/>
  <c r="AR416" i="2" s="1"/>
  <c r="BC328" i="2"/>
  <c r="BC416" i="2" s="1"/>
  <c r="BG329" i="2"/>
  <c r="BG417" i="2" s="1"/>
  <c r="BA330" i="2"/>
  <c r="BA418" i="2" s="1"/>
  <c r="AV332" i="2"/>
  <c r="AV420" i="2" s="1"/>
  <c r="H337" i="2"/>
  <c r="H425" i="2" s="1"/>
  <c r="S337" i="2"/>
  <c r="S425" i="2" s="1"/>
  <c r="AC337" i="2"/>
  <c r="AC425" i="2" s="1"/>
  <c r="AO337" i="2"/>
  <c r="AO425" i="2" s="1"/>
  <c r="L341" i="2"/>
  <c r="L429" i="2" s="1"/>
  <c r="BE342" i="2"/>
  <c r="BE430" i="2" s="1"/>
  <c r="AW343" i="2"/>
  <c r="AW431" i="2" s="1"/>
  <c r="BC348" i="2"/>
  <c r="BC436" i="2" s="1"/>
  <c r="R217" i="2"/>
  <c r="R218" i="2" s="1"/>
  <c r="AB217" i="2"/>
  <c r="AB218" i="2" s="1"/>
  <c r="AM217" i="2"/>
  <c r="AM218" i="2" s="1"/>
  <c r="AI217" i="2"/>
  <c r="AP210" i="2"/>
  <c r="X126" i="2"/>
  <c r="X161" i="2"/>
  <c r="AP165" i="2"/>
  <c r="X210" i="2"/>
  <c r="AI256" i="2"/>
  <c r="AP249" i="2"/>
  <c r="AP284" i="2"/>
  <c r="BD284" i="2"/>
  <c r="BD372" i="2" s="1"/>
  <c r="AV286" i="2"/>
  <c r="AQ287" i="2"/>
  <c r="AT288" i="2"/>
  <c r="AR290" i="2"/>
  <c r="BC290" i="2"/>
  <c r="BG291" i="2"/>
  <c r="AU310" i="2"/>
  <c r="AV326" i="2"/>
  <c r="AV414" i="2" s="1"/>
  <c r="AQ327" i="2"/>
  <c r="AQ415" i="2" s="1"/>
  <c r="AT328" i="2"/>
  <c r="AT416" i="2" s="1"/>
  <c r="AR330" i="2"/>
  <c r="BC330" i="2"/>
  <c r="BC418" i="2" s="1"/>
  <c r="BG331" i="2"/>
  <c r="BG419" i="2" s="1"/>
  <c r="BA332" i="2"/>
  <c r="BA420" i="2" s="1"/>
  <c r="J337" i="2"/>
  <c r="J425" i="2" s="1"/>
  <c r="U337" i="2"/>
  <c r="U425" i="2" s="1"/>
  <c r="AE337" i="2"/>
  <c r="AE425" i="2" s="1"/>
  <c r="BG340" i="2"/>
  <c r="BG428" i="2" s="1"/>
  <c r="Q341" i="2"/>
  <c r="Q429" i="2" s="1"/>
  <c r="X165" i="2"/>
  <c r="AQ343" i="2"/>
  <c r="AQ431" i="2" s="1"/>
  <c r="BB343" i="2"/>
  <c r="BB431" i="2" s="1"/>
  <c r="BE348" i="2"/>
  <c r="BE436" i="2" s="1"/>
  <c r="AP214" i="2"/>
  <c r="X122" i="2"/>
  <c r="AP161" i="2"/>
  <c r="X323" i="2"/>
  <c r="X78" i="2"/>
  <c r="AP126" i="2"/>
  <c r="I217" i="2"/>
  <c r="I218" i="2" s="1"/>
  <c r="T217" i="2"/>
  <c r="AD217" i="2"/>
  <c r="AD218" i="2" s="1"/>
  <c r="X249" i="2"/>
  <c r="X214" i="2"/>
  <c r="AP253" i="2"/>
  <c r="X74" i="2"/>
  <c r="AP78" i="2"/>
  <c r="AP74" i="2"/>
  <c r="Q298" i="2"/>
  <c r="U298" i="2"/>
  <c r="AA298" i="2"/>
  <c r="AE298" i="2"/>
  <c r="AL298" i="2"/>
  <c r="AS214" i="2"/>
  <c r="AW214" i="2"/>
  <c r="BD214" i="2"/>
  <c r="AS253" i="2"/>
  <c r="AW253" i="2"/>
  <c r="BD253" i="2"/>
  <c r="AT372" i="2"/>
  <c r="AT296" i="2"/>
  <c r="BA296" i="2"/>
  <c r="BG297" i="2"/>
  <c r="J298" i="2"/>
  <c r="AQ323" i="2"/>
  <c r="AQ411" i="2" s="1"/>
  <c r="AS323" i="2"/>
  <c r="AS411" i="2" s="1"/>
  <c r="AU323" i="2"/>
  <c r="AW323" i="2"/>
  <c r="BA323" i="2"/>
  <c r="BA411" i="2" s="1"/>
  <c r="BC323" i="2"/>
  <c r="BC411" i="2" s="1"/>
  <c r="AR335" i="2"/>
  <c r="AR423" i="2" s="1"/>
  <c r="AT335" i="2"/>
  <c r="AT423" i="2" s="1"/>
  <c r="AV335" i="2"/>
  <c r="AV423" i="2" s="1"/>
  <c r="BA335" i="2"/>
  <c r="BA423" i="2" s="1"/>
  <c r="BC335" i="2"/>
  <c r="BC423" i="2" s="1"/>
  <c r="AR339" i="2"/>
  <c r="AR427" i="2" s="1"/>
  <c r="AT339" i="2"/>
  <c r="AT427" i="2" s="1"/>
  <c r="AV339" i="2"/>
  <c r="AV427" i="2" s="1"/>
  <c r="BA339" i="2"/>
  <c r="BA427" i="2" s="1"/>
  <c r="BC339" i="2"/>
  <c r="BC427" i="2" s="1"/>
  <c r="AS349" i="2"/>
  <c r="AS437" i="2" s="1"/>
  <c r="AW349" i="2"/>
  <c r="AW437" i="2" s="1"/>
  <c r="AP332" i="2"/>
  <c r="AS431" i="2"/>
  <c r="AP287" i="2"/>
  <c r="AP291" i="2"/>
  <c r="AP296" i="2"/>
  <c r="AP300" i="2"/>
  <c r="AQ349" i="2"/>
  <c r="AQ437" i="2" s="1"/>
  <c r="AU349" i="2"/>
  <c r="AU437" i="2" s="1"/>
  <c r="Y337" i="2"/>
  <c r="Y425" i="2" s="1"/>
  <c r="AP290" i="2"/>
  <c r="BB349" i="2"/>
  <c r="BB437" i="2" s="1"/>
  <c r="AP420" i="2"/>
  <c r="X287" i="2"/>
  <c r="AP288" i="2"/>
  <c r="AP292" i="2"/>
  <c r="BC287" i="2"/>
  <c r="AP289" i="2"/>
  <c r="AT289" i="2"/>
  <c r="BA289" i="2"/>
  <c r="BG290" i="2"/>
  <c r="AR291" i="2"/>
  <c r="AV291" i="2"/>
  <c r="BC291" i="2"/>
  <c r="AP293" i="2"/>
  <c r="AT293" i="2"/>
  <c r="BA293" i="2"/>
  <c r="BG294" i="2"/>
  <c r="AR296" i="2"/>
  <c r="AV296" i="2"/>
  <c r="BC296" i="2"/>
  <c r="H298" i="2"/>
  <c r="L298" i="2"/>
  <c r="S298" i="2"/>
  <c r="Y298" i="2"/>
  <c r="AC298" i="2"/>
  <c r="AJ298" i="2"/>
  <c r="Y302" i="2"/>
  <c r="AC302" i="2"/>
  <c r="AJ302" i="2"/>
  <c r="AS304" i="2"/>
  <c r="AW304" i="2"/>
  <c r="BD304" i="2"/>
  <c r="BA308" i="2"/>
  <c r="BE308" i="2"/>
  <c r="AQ309" i="2"/>
  <c r="AU309" i="2"/>
  <c r="BB309" i="2"/>
  <c r="G217" i="2"/>
  <c r="G218" i="2" s="1"/>
  <c r="AQ214" i="2"/>
  <c r="AU214" i="2"/>
  <c r="BB214" i="2"/>
  <c r="AU253" i="2"/>
  <c r="BB253" i="2"/>
  <c r="AK411" i="2"/>
  <c r="S411" i="2"/>
  <c r="K372" i="2"/>
  <c r="G378" i="2"/>
  <c r="T411" i="2"/>
  <c r="AL411" i="2"/>
  <c r="AM411" i="2"/>
  <c r="J375" i="2"/>
  <c r="K374" i="2"/>
  <c r="AQ284" i="2"/>
  <c r="AQ372" i="2" s="1"/>
  <c r="AS284" i="2"/>
  <c r="AS372" i="2" s="1"/>
  <c r="AU284" i="2"/>
  <c r="AW284" i="2"/>
  <c r="BA284" i="2"/>
  <c r="BA372" i="2" s="1"/>
  <c r="BC284" i="2"/>
  <c r="BC372" i="2" s="1"/>
  <c r="BE284" i="2"/>
  <c r="X286" i="2"/>
  <c r="AQ286" i="2"/>
  <c r="AS286" i="2"/>
  <c r="AU286" i="2"/>
  <c r="AW286" i="2"/>
  <c r="BB286" i="2"/>
  <c r="BD286" i="2"/>
  <c r="X309" i="2"/>
  <c r="AV292" i="2"/>
  <c r="BA292" i="2"/>
  <c r="BC292" i="2"/>
  <c r="BG293" i="2"/>
  <c r="AP294" i="2"/>
  <c r="AR294" i="2"/>
  <c r="AT294" i="2"/>
  <c r="AV294" i="2"/>
  <c r="BA294" i="2"/>
  <c r="BC294" i="2"/>
  <c r="BG296" i="2"/>
  <c r="AP297" i="2"/>
  <c r="AR297" i="2"/>
  <c r="AT297" i="2"/>
  <c r="AV297" i="2"/>
  <c r="BA297" i="2"/>
  <c r="BC297" i="2"/>
  <c r="AP301" i="2"/>
  <c r="AM302" i="2"/>
  <c r="X303" i="2"/>
  <c r="AQ303" i="2"/>
  <c r="AS303" i="2"/>
  <c r="AU303" i="2"/>
  <c r="AW303" i="2"/>
  <c r="BB303" i="2"/>
  <c r="BD303" i="2"/>
  <c r="BE304" i="2"/>
  <c r="AQ308" i="2"/>
  <c r="AS308" i="2"/>
  <c r="AU308" i="2"/>
  <c r="AW308" i="2"/>
  <c r="BB308" i="2"/>
  <c r="BD308" i="2"/>
  <c r="BG308" i="2"/>
  <c r="AR309" i="2"/>
  <c r="AT309" i="2"/>
  <c r="AV309" i="2"/>
  <c r="BB326" i="2"/>
  <c r="BB414" i="2" s="1"/>
  <c r="BD326" i="2"/>
  <c r="BD414" i="2" s="1"/>
  <c r="BG326" i="2"/>
  <c r="BG414" i="2" s="1"/>
  <c r="AR327" i="2"/>
  <c r="AR415" i="2" s="1"/>
  <c r="AT327" i="2"/>
  <c r="AT415" i="2" s="1"/>
  <c r="AV327" i="2"/>
  <c r="AV415" i="2" s="1"/>
  <c r="BA327" i="2"/>
  <c r="BA415" i="2" s="1"/>
  <c r="BC327" i="2"/>
  <c r="BC415" i="2" s="1"/>
  <c r="BG328" i="2"/>
  <c r="BG416" i="2" s="1"/>
  <c r="AR329" i="2"/>
  <c r="AR417" i="2" s="1"/>
  <c r="AT329" i="2"/>
  <c r="AT417" i="2" s="1"/>
  <c r="AV329" i="2"/>
  <c r="AV417" i="2" s="1"/>
  <c r="BA329" i="2"/>
  <c r="BA417" i="2" s="1"/>
  <c r="BC329" i="2"/>
  <c r="BC417" i="2" s="1"/>
  <c r="BG330" i="2"/>
  <c r="BG418" i="2" s="1"/>
  <c r="BE349" i="2"/>
  <c r="BE437" i="2" s="1"/>
  <c r="AQ350" i="2"/>
  <c r="AQ438" i="2" s="1"/>
  <c r="AS350" i="2"/>
  <c r="AS438" i="2" s="1"/>
  <c r="AU350" i="2"/>
  <c r="AU438" i="2" s="1"/>
  <c r="AW350" i="2"/>
  <c r="AW438" i="2" s="1"/>
  <c r="BB350" i="2"/>
  <c r="BB438" i="2" s="1"/>
  <c r="BD350" i="2"/>
  <c r="BD438" i="2" s="1"/>
  <c r="AR214" i="2"/>
  <c r="AT214" i="2"/>
  <c r="AV214" i="2"/>
  <c r="BA214" i="2"/>
  <c r="BC214" i="2"/>
  <c r="BE214" i="2"/>
  <c r="AR253" i="2"/>
  <c r="AT253" i="2"/>
  <c r="AV253" i="2"/>
  <c r="BA253" i="2"/>
  <c r="BC253" i="2"/>
  <c r="BE253" i="2"/>
  <c r="AP328" i="2"/>
  <c r="AQ331" i="2"/>
  <c r="AQ419" i="2" s="1"/>
  <c r="AS331" i="2"/>
  <c r="AS419" i="2" s="1"/>
  <c r="AU331" i="2"/>
  <c r="AU419" i="2" s="1"/>
  <c r="AW331" i="2"/>
  <c r="AW419" i="2" s="1"/>
  <c r="BB331" i="2"/>
  <c r="BB419" i="2" s="1"/>
  <c r="BD331" i="2"/>
  <c r="BD419" i="2" s="1"/>
  <c r="BE331" i="2"/>
  <c r="BE419" i="2" s="1"/>
  <c r="X332" i="2"/>
  <c r="AQ332" i="2"/>
  <c r="AQ420" i="2" s="1"/>
  <c r="AS332" i="2"/>
  <c r="AS420" i="2" s="1"/>
  <c r="AU332" i="2"/>
  <c r="AU420" i="2" s="1"/>
  <c r="AW332" i="2"/>
  <c r="AW420" i="2" s="1"/>
  <c r="BB332" i="2"/>
  <c r="BB420" i="2" s="1"/>
  <c r="BD332" i="2"/>
  <c r="BD420" i="2" s="1"/>
  <c r="BE332" i="2"/>
  <c r="BE420" i="2" s="1"/>
  <c r="X333" i="2"/>
  <c r="AQ333" i="2"/>
  <c r="AQ421" i="2" s="1"/>
  <c r="AS333" i="2"/>
  <c r="AS421" i="2" s="1"/>
  <c r="AU333" i="2"/>
  <c r="AU421" i="2" s="1"/>
  <c r="AW333" i="2"/>
  <c r="AW421" i="2" s="1"/>
  <c r="BB333" i="2"/>
  <c r="BB421" i="2" s="1"/>
  <c r="BD333" i="2"/>
  <c r="BD421" i="2" s="1"/>
  <c r="BE333" i="2"/>
  <c r="BE421" i="2" s="1"/>
  <c r="X335" i="2"/>
  <c r="AQ335" i="2"/>
  <c r="AQ423" i="2" s="1"/>
  <c r="AS335" i="2"/>
  <c r="AS423" i="2" s="1"/>
  <c r="AU335" i="2"/>
  <c r="AU423" i="2" s="1"/>
  <c r="AW335" i="2"/>
  <c r="AW423" i="2" s="1"/>
  <c r="BB335" i="2"/>
  <c r="BB423" i="2" s="1"/>
  <c r="BD335" i="2"/>
  <c r="BD423" i="2" s="1"/>
  <c r="BE335" i="2"/>
  <c r="BE423" i="2" s="1"/>
  <c r="X336" i="2"/>
  <c r="AQ336" i="2"/>
  <c r="AQ424" i="2" s="1"/>
  <c r="AS336" i="2"/>
  <c r="AS424" i="2" s="1"/>
  <c r="AU336" i="2"/>
  <c r="AU424" i="2" s="1"/>
  <c r="AW336" i="2"/>
  <c r="AW424" i="2" s="1"/>
  <c r="BB336" i="2"/>
  <c r="BB424" i="2" s="1"/>
  <c r="BD336" i="2"/>
  <c r="BD424" i="2" s="1"/>
  <c r="BE336" i="2"/>
  <c r="BE424" i="2" s="1"/>
  <c r="G337" i="2"/>
  <c r="G425" i="2" s="1"/>
  <c r="I337" i="2"/>
  <c r="I425" i="2" s="1"/>
  <c r="K337" i="2"/>
  <c r="K425" i="2" s="1"/>
  <c r="M337" i="2"/>
  <c r="M425" i="2" s="1"/>
  <c r="R337" i="2"/>
  <c r="R425" i="2" s="1"/>
  <c r="T337" i="2"/>
  <c r="T425" i="2" s="1"/>
  <c r="W337" i="2"/>
  <c r="W425" i="2" s="1"/>
  <c r="Z337" i="2"/>
  <c r="Z425" i="2" s="1"/>
  <c r="AB337" i="2"/>
  <c r="AB425" i="2" s="1"/>
  <c r="AD337" i="2"/>
  <c r="AD425" i="2" s="1"/>
  <c r="AI337" i="2"/>
  <c r="AI425" i="2" s="1"/>
  <c r="AK337" i="2"/>
  <c r="AK425" i="2" s="1"/>
  <c r="AM337" i="2"/>
  <c r="AM425" i="2" s="1"/>
  <c r="AQ339" i="2"/>
  <c r="AQ427" i="2" s="1"/>
  <c r="AS339" i="2"/>
  <c r="AS427" i="2" s="1"/>
  <c r="AU339" i="2"/>
  <c r="AU427" i="2" s="1"/>
  <c r="AW339" i="2"/>
  <c r="AW427" i="2" s="1"/>
  <c r="BB339" i="2"/>
  <c r="BB427" i="2" s="1"/>
  <c r="BD339" i="2"/>
  <c r="BD427" i="2" s="1"/>
  <c r="BE339" i="2"/>
  <c r="BE427" i="2" s="1"/>
  <c r="X340" i="2"/>
  <c r="AQ340" i="2"/>
  <c r="AQ428" i="2" s="1"/>
  <c r="AS340" i="2"/>
  <c r="AS428" i="2" s="1"/>
  <c r="AU340" i="2"/>
  <c r="AU428" i="2" s="1"/>
  <c r="AW340" i="2"/>
  <c r="AW428" i="2" s="1"/>
  <c r="BB340" i="2"/>
  <c r="BB428" i="2" s="1"/>
  <c r="BD340" i="2"/>
  <c r="BD428" i="2" s="1"/>
  <c r="BE340" i="2"/>
  <c r="BE428" i="2" s="1"/>
  <c r="G341" i="2"/>
  <c r="G429" i="2" s="1"/>
  <c r="I341" i="2"/>
  <c r="I429" i="2" s="1"/>
  <c r="K341" i="2"/>
  <c r="K429" i="2" s="1"/>
  <c r="M341" i="2"/>
  <c r="M429" i="2" s="1"/>
  <c r="R341" i="2"/>
  <c r="R429" i="2" s="1"/>
  <c r="T341" i="2"/>
  <c r="T429" i="2" s="1"/>
  <c r="X420" i="2"/>
  <c r="X421" i="2"/>
  <c r="X428" i="2"/>
  <c r="AR418" i="2"/>
  <c r="AM298" i="2"/>
  <c r="X300" i="2"/>
  <c r="AQ300" i="2"/>
  <c r="AS300" i="2"/>
  <c r="AU300" i="2"/>
  <c r="AW300" i="2"/>
  <c r="BB300" i="2"/>
  <c r="BD300" i="2"/>
  <c r="BE300" i="2"/>
  <c r="X301" i="2"/>
  <c r="AQ301" i="2"/>
  <c r="AS301" i="2"/>
  <c r="AU301" i="2"/>
  <c r="AW301" i="2"/>
  <c r="BB301" i="2"/>
  <c r="BD301" i="2"/>
  <c r="BE301" i="2"/>
  <c r="G302" i="2"/>
  <c r="I302" i="2"/>
  <c r="K302" i="2"/>
  <c r="M302" i="2"/>
  <c r="R302" i="2"/>
  <c r="T302" i="2"/>
  <c r="U341" i="2"/>
  <c r="U429" i="2" s="1"/>
  <c r="Y341" i="2"/>
  <c r="Y429" i="2" s="1"/>
  <c r="AA341" i="2"/>
  <c r="AA429" i="2" s="1"/>
  <c r="AC341" i="2"/>
  <c r="AC429" i="2" s="1"/>
  <c r="AE341" i="2"/>
  <c r="AE429" i="2" s="1"/>
  <c r="AJ341" i="2"/>
  <c r="AJ429" i="2" s="1"/>
  <c r="AL341" i="2"/>
  <c r="AL429" i="2" s="1"/>
  <c r="U217" i="2"/>
  <c r="U218" i="2" s="1"/>
  <c r="Y217" i="2"/>
  <c r="AA217" i="2"/>
  <c r="AA218" i="2" s="1"/>
  <c r="AC217" i="2"/>
  <c r="AC218" i="2" s="1"/>
  <c r="AE217" i="2"/>
  <c r="AE218" i="2" s="1"/>
  <c r="AJ217" i="2"/>
  <c r="AJ218" i="2" s="1"/>
  <c r="AL217" i="2"/>
  <c r="AL218" i="2" s="1"/>
  <c r="AO217" i="2"/>
  <c r="AO218" i="2" s="1"/>
  <c r="BG214" i="2"/>
  <c r="U256" i="2"/>
  <c r="BE256" i="2" s="1"/>
  <c r="AA256" i="2"/>
  <c r="AA257" i="2" s="1"/>
  <c r="AA258" i="2" s="1"/>
  <c r="AC256" i="2"/>
  <c r="AC257" i="2" s="1"/>
  <c r="AC258" i="2" s="1"/>
  <c r="AE256" i="2"/>
  <c r="AE257" i="2" s="1"/>
  <c r="AE258" i="2" s="1"/>
  <c r="AJ256" i="2"/>
  <c r="AJ257" i="2" s="1"/>
  <c r="AJ258" i="2" s="1"/>
  <c r="AL256" i="2"/>
  <c r="AL257" i="2" s="1"/>
  <c r="AL258" i="2" s="1"/>
  <c r="AO256" i="2"/>
  <c r="AO257" i="2" s="1"/>
  <c r="AO258" i="2" s="1"/>
  <c r="BG253" i="2"/>
  <c r="BB287" i="2"/>
  <c r="BD287" i="2"/>
  <c r="BE287" i="2"/>
  <c r="X288" i="2"/>
  <c r="AQ288" i="2"/>
  <c r="AS288" i="2"/>
  <c r="AU288" i="2"/>
  <c r="AW288" i="2"/>
  <c r="BB288" i="2"/>
  <c r="BD288" i="2"/>
  <c r="BE288" i="2"/>
  <c r="X289" i="2"/>
  <c r="AQ289" i="2"/>
  <c r="AS289" i="2"/>
  <c r="AU289" i="2"/>
  <c r="AW289" i="2"/>
  <c r="BB289" i="2"/>
  <c r="BD289" i="2"/>
  <c r="BE289" i="2"/>
  <c r="X290" i="2"/>
  <c r="AQ290" i="2"/>
  <c r="AS290" i="2"/>
  <c r="AU290" i="2"/>
  <c r="AW290" i="2"/>
  <c r="BB290" i="2"/>
  <c r="BD290" i="2"/>
  <c r="BE290" i="2"/>
  <c r="X291" i="2"/>
  <c r="AQ291" i="2"/>
  <c r="AS291" i="2"/>
  <c r="AU291" i="2"/>
  <c r="AW291" i="2"/>
  <c r="BB291" i="2"/>
  <c r="BD291" i="2"/>
  <c r="BE291" i="2"/>
  <c r="X292" i="2"/>
  <c r="AQ292" i="2"/>
  <c r="AS292" i="2"/>
  <c r="AU292" i="2"/>
  <c r="AW292" i="2"/>
  <c r="BB292" i="2"/>
  <c r="BD292" i="2"/>
  <c r="BE292" i="2"/>
  <c r="X293" i="2"/>
  <c r="AQ293" i="2"/>
  <c r="AS293" i="2"/>
  <c r="AU293" i="2"/>
  <c r="AW293" i="2"/>
  <c r="BB293" i="2"/>
  <c r="BD293" i="2"/>
  <c r="BE293" i="2"/>
  <c r="X294" i="2"/>
  <c r="AQ294" i="2"/>
  <c r="AS294" i="2"/>
  <c r="AU294" i="2"/>
  <c r="AW294" i="2"/>
  <c r="BB294" i="2"/>
  <c r="BD294" i="2"/>
  <c r="BE294" i="2"/>
  <c r="X296" i="2"/>
  <c r="AQ296" i="2"/>
  <c r="AS296" i="2"/>
  <c r="AU296" i="2"/>
  <c r="AW296" i="2"/>
  <c r="BB296" i="2"/>
  <c r="BD296" i="2"/>
  <c r="BE296" i="2"/>
  <c r="X297" i="2"/>
  <c r="AQ297" i="2"/>
  <c r="AS297" i="2"/>
  <c r="AU297" i="2"/>
  <c r="AW297" i="2"/>
  <c r="BB297" i="2"/>
  <c r="BD297" i="2"/>
  <c r="BE297" i="2"/>
  <c r="G298" i="2"/>
  <c r="I298" i="2"/>
  <c r="K298" i="2"/>
  <c r="M298" i="2"/>
  <c r="R298" i="2"/>
  <c r="T298" i="2"/>
  <c r="W298" i="2"/>
  <c r="Z298" i="2"/>
  <c r="AB298" i="2"/>
  <c r="AD298" i="2"/>
  <c r="AI298" i="2"/>
  <c r="AK298" i="2"/>
  <c r="AO298" i="2"/>
  <c r="AR300" i="2"/>
  <c r="AT300" i="2"/>
  <c r="AV300" i="2"/>
  <c r="BA300" i="2"/>
  <c r="BC300" i="2"/>
  <c r="BG300" i="2"/>
  <c r="AR301" i="2"/>
  <c r="AT301" i="2"/>
  <c r="AV301" i="2"/>
  <c r="BA301" i="2"/>
  <c r="BC301" i="2"/>
  <c r="BG301" i="2"/>
  <c r="H302" i="2"/>
  <c r="J302" i="2"/>
  <c r="L302" i="2"/>
  <c r="Q302" i="2"/>
  <c r="S302" i="2"/>
  <c r="X304" i="2"/>
  <c r="X308" i="2"/>
  <c r="AP310" i="2"/>
  <c r="BA310" i="2"/>
  <c r="BC310" i="2"/>
  <c r="BG310" i="2"/>
  <c r="AR323" i="2"/>
  <c r="AR411" i="2" s="1"/>
  <c r="AT323" i="2"/>
  <c r="AV323" i="2"/>
  <c r="BB323" i="2"/>
  <c r="BB411" i="2" s="1"/>
  <c r="BD323" i="2"/>
  <c r="BE323" i="2"/>
  <c r="AQ325" i="2"/>
  <c r="AQ413" i="2" s="1"/>
  <c r="AS325" i="2"/>
  <c r="AS413" i="2" s="1"/>
  <c r="AU325" i="2"/>
  <c r="AU413" i="2" s="1"/>
  <c r="AW325" i="2"/>
  <c r="AW413" i="2" s="1"/>
  <c r="BB328" i="2"/>
  <c r="BB416" i="2" s="1"/>
  <c r="BD328" i="2"/>
  <c r="BD416" i="2" s="1"/>
  <c r="BE328" i="2"/>
  <c r="BE416" i="2" s="1"/>
  <c r="AQ329" i="2"/>
  <c r="AQ417" i="2" s="1"/>
  <c r="AS329" i="2"/>
  <c r="AS417" i="2" s="1"/>
  <c r="AU329" i="2"/>
  <c r="AU417" i="2" s="1"/>
  <c r="AW329" i="2"/>
  <c r="AW417" i="2" s="1"/>
  <c r="AP304" i="2"/>
  <c r="AP308" i="2"/>
  <c r="X310" i="2"/>
  <c r="X350" i="2"/>
  <c r="X423" i="2"/>
  <c r="X424" i="2"/>
  <c r="AM429" i="2"/>
  <c r="AW430" i="2"/>
  <c r="X438" i="2"/>
  <c r="AP286" i="2"/>
  <c r="BA286" i="2"/>
  <c r="BC286" i="2"/>
  <c r="BG286" i="2"/>
  <c r="AR287" i="2"/>
  <c r="AT287" i="2"/>
  <c r="AV287" i="2"/>
  <c r="W302" i="2"/>
  <c r="Z302" i="2"/>
  <c r="AB302" i="2"/>
  <c r="AD302" i="2"/>
  <c r="AI302" i="2"/>
  <c r="AK302" i="2"/>
  <c r="AO302" i="2"/>
  <c r="AP303" i="2"/>
  <c r="AR303" i="2"/>
  <c r="AT303" i="2"/>
  <c r="AV303" i="2"/>
  <c r="BA303" i="2"/>
  <c r="BC303" i="2"/>
  <c r="BG303" i="2"/>
  <c r="AR304" i="2"/>
  <c r="AT304" i="2"/>
  <c r="AV304" i="2"/>
  <c r="BA304" i="2"/>
  <c r="BC304" i="2"/>
  <c r="BG304" i="2"/>
  <c r="AR308" i="2"/>
  <c r="AT308" i="2"/>
  <c r="AV308" i="2"/>
  <c r="AP309" i="2"/>
  <c r="BA309" i="2"/>
  <c r="BC309" i="2"/>
  <c r="BG309" i="2"/>
  <c r="AR310" i="2"/>
  <c r="AT310" i="2"/>
  <c r="AV310" i="2"/>
  <c r="BB325" i="2"/>
  <c r="BB413" i="2" s="1"/>
  <c r="BD325" i="2"/>
  <c r="BD413" i="2" s="1"/>
  <c r="BE325" i="2"/>
  <c r="BE413" i="2" s="1"/>
  <c r="AQ326" i="2"/>
  <c r="AQ414" i="2" s="1"/>
  <c r="AS326" i="2"/>
  <c r="AS414" i="2" s="1"/>
  <c r="AU326" i="2"/>
  <c r="AU414" i="2" s="1"/>
  <c r="AW326" i="2"/>
  <c r="AW414" i="2" s="1"/>
  <c r="BB327" i="2"/>
  <c r="BB415" i="2" s="1"/>
  <c r="BD327" i="2"/>
  <c r="BD415" i="2" s="1"/>
  <c r="BE327" i="2"/>
  <c r="BE415" i="2" s="1"/>
  <c r="AQ328" i="2"/>
  <c r="AQ416" i="2" s="1"/>
  <c r="AS328" i="2"/>
  <c r="AS416" i="2" s="1"/>
  <c r="AU328" i="2"/>
  <c r="AU416" i="2" s="1"/>
  <c r="AW328" i="2"/>
  <c r="AW416" i="2" s="1"/>
  <c r="BB329" i="2"/>
  <c r="BB417" i="2" s="1"/>
  <c r="BD329" i="2"/>
  <c r="BD417" i="2" s="1"/>
  <c r="BE329" i="2"/>
  <c r="BE417" i="2" s="1"/>
  <c r="AQ330" i="2"/>
  <c r="AQ418" i="2" s="1"/>
  <c r="AS330" i="2"/>
  <c r="AS418" i="2" s="1"/>
  <c r="AU330" i="2"/>
  <c r="AU418" i="2" s="1"/>
  <c r="AW330" i="2"/>
  <c r="AW418" i="2" s="1"/>
  <c r="BA342" i="2"/>
  <c r="BA430" i="2" s="1"/>
  <c r="BC342" i="2"/>
  <c r="BC430" i="2" s="1"/>
  <c r="BG342" i="2"/>
  <c r="BG430" i="2" s="1"/>
  <c r="AR343" i="2"/>
  <c r="AR431" i="2" s="1"/>
  <c r="AT343" i="2"/>
  <c r="AT431" i="2" s="1"/>
  <c r="AV343" i="2"/>
  <c r="AV431" i="2" s="1"/>
  <c r="BA350" i="2"/>
  <c r="BA438" i="2" s="1"/>
  <c r="BC350" i="2"/>
  <c r="BC438" i="2" s="1"/>
  <c r="BG350" i="2"/>
  <c r="BG438" i="2" s="1"/>
  <c r="BB330" i="2"/>
  <c r="BB418" i="2" s="1"/>
  <c r="BD330" i="2"/>
  <c r="BD418" i="2" s="1"/>
  <c r="BE330" i="2"/>
  <c r="BE418" i="2" s="1"/>
  <c r="W341" i="2"/>
  <c r="W429" i="2" s="1"/>
  <c r="Z341" i="2"/>
  <c r="Z429" i="2" s="1"/>
  <c r="AB341" i="2"/>
  <c r="AB429" i="2" s="1"/>
  <c r="AD341" i="2"/>
  <c r="AD429" i="2" s="1"/>
  <c r="AI341" i="2"/>
  <c r="AI429" i="2" s="1"/>
  <c r="AK341" i="2"/>
  <c r="AK429" i="2" s="1"/>
  <c r="AO341" i="2"/>
  <c r="AO429" i="2" s="1"/>
  <c r="AR342" i="2"/>
  <c r="AR430" i="2" s="1"/>
  <c r="AT342" i="2"/>
  <c r="AT430" i="2" s="1"/>
  <c r="AV342" i="2"/>
  <c r="AV430" i="2" s="1"/>
  <c r="BA343" i="2"/>
  <c r="BA431" i="2" s="1"/>
  <c r="BC343" i="2"/>
  <c r="BC431" i="2" s="1"/>
  <c r="BG343" i="2"/>
  <c r="BG431" i="2" s="1"/>
  <c r="AR348" i="2"/>
  <c r="AR436" i="2" s="1"/>
  <c r="AT348" i="2"/>
  <c r="AT436" i="2" s="1"/>
  <c r="AV348" i="2"/>
  <c r="AV436" i="2" s="1"/>
  <c r="BA349" i="2"/>
  <c r="BA437" i="2" s="1"/>
  <c r="BC349" i="2"/>
  <c r="BC437" i="2" s="1"/>
  <c r="BG349" i="2"/>
  <c r="BG437" i="2" s="1"/>
  <c r="AR350" i="2"/>
  <c r="AR438" i="2" s="1"/>
  <c r="AT350" i="2"/>
  <c r="AT438" i="2" s="1"/>
  <c r="AV350" i="2"/>
  <c r="AV438" i="2" s="1"/>
  <c r="H217" i="2"/>
  <c r="AR217" i="2" s="1"/>
  <c r="J217" i="2"/>
  <c r="J218" i="2" s="1"/>
  <c r="L217" i="2"/>
  <c r="Q217" i="2"/>
  <c r="S217" i="2"/>
  <c r="S218" i="2" s="1"/>
  <c r="BC218" i="2" s="1"/>
  <c r="H256" i="2"/>
  <c r="AR256" i="2" s="1"/>
  <c r="J256" i="2"/>
  <c r="J257" i="2" s="1"/>
  <c r="L256" i="2"/>
  <c r="Q256" i="2"/>
  <c r="BA256" i="2" s="1"/>
  <c r="S256" i="2"/>
  <c r="BC256" i="2" s="1"/>
  <c r="M218" i="2"/>
  <c r="AR74" i="2"/>
  <c r="AT74" i="2"/>
  <c r="AV74" i="2"/>
  <c r="BB74" i="2"/>
  <c r="BD74" i="2"/>
  <c r="BE74" i="2"/>
  <c r="AR78" i="2"/>
  <c r="AT78" i="2"/>
  <c r="AV78" i="2"/>
  <c r="BB78" i="2"/>
  <c r="BD78" i="2"/>
  <c r="BE78" i="2"/>
  <c r="H81" i="2"/>
  <c r="J81" i="2"/>
  <c r="L81" i="2"/>
  <c r="R81" i="2"/>
  <c r="T81" i="2"/>
  <c r="U81" i="2"/>
  <c r="Z81" i="2"/>
  <c r="AB81" i="2"/>
  <c r="AD81" i="2"/>
  <c r="AJ81" i="2"/>
  <c r="AL81" i="2"/>
  <c r="AM81" i="2"/>
  <c r="AR122" i="2"/>
  <c r="AT122" i="2"/>
  <c r="AV122" i="2"/>
  <c r="BB122" i="2"/>
  <c r="BD122" i="2"/>
  <c r="BE122" i="2"/>
  <c r="AR126" i="2"/>
  <c r="AT126" i="2"/>
  <c r="AV126" i="2"/>
  <c r="BB126" i="2"/>
  <c r="BD126" i="2"/>
  <c r="BE126" i="2"/>
  <c r="H129" i="2"/>
  <c r="J129" i="2"/>
  <c r="L129" i="2"/>
  <c r="R129" i="2"/>
  <c r="T129" i="2"/>
  <c r="U129" i="2"/>
  <c r="Z129" i="2"/>
  <c r="AB129" i="2"/>
  <c r="AD129" i="2"/>
  <c r="AJ129" i="2"/>
  <c r="AL129" i="2"/>
  <c r="AM129" i="2"/>
  <c r="AR161" i="2"/>
  <c r="AT161" i="2"/>
  <c r="AV161" i="2"/>
  <c r="BB161" i="2"/>
  <c r="BD161" i="2"/>
  <c r="BE161" i="2"/>
  <c r="AR165" i="2"/>
  <c r="AT165" i="2"/>
  <c r="AV165" i="2"/>
  <c r="BB165" i="2"/>
  <c r="BD165" i="2"/>
  <c r="BE165" i="2"/>
  <c r="H168" i="2"/>
  <c r="J168" i="2"/>
  <c r="L168" i="2"/>
  <c r="R168" i="2"/>
  <c r="T168" i="2"/>
  <c r="U168" i="2"/>
  <c r="Z168" i="2"/>
  <c r="AB168" i="2"/>
  <c r="AD168" i="2"/>
  <c r="AJ168" i="2"/>
  <c r="AL168" i="2"/>
  <c r="AM168" i="2"/>
  <c r="AR210" i="2"/>
  <c r="AT210" i="2"/>
  <c r="AV210" i="2"/>
  <c r="BB210" i="2"/>
  <c r="BD210" i="2"/>
  <c r="BE210" i="2"/>
  <c r="G256" i="2"/>
  <c r="R257" i="2"/>
  <c r="Y256" i="2"/>
  <c r="AQ249" i="2"/>
  <c r="AU249" i="2"/>
  <c r="BA249" i="2"/>
  <c r="AQ253" i="2"/>
  <c r="AQ74" i="2"/>
  <c r="AS74" i="2"/>
  <c r="AU74" i="2"/>
  <c r="AW74" i="2"/>
  <c r="BA74" i="2"/>
  <c r="BC74" i="2"/>
  <c r="BG74" i="2"/>
  <c r="AQ78" i="2"/>
  <c r="AS78" i="2"/>
  <c r="AU78" i="2"/>
  <c r="AW78" i="2"/>
  <c r="BA78" i="2"/>
  <c r="BC78" i="2"/>
  <c r="BG78" i="2"/>
  <c r="G81" i="2"/>
  <c r="I81" i="2"/>
  <c r="K81" i="2"/>
  <c r="M81" i="2"/>
  <c r="Q81" i="2"/>
  <c r="S81" i="2"/>
  <c r="W81" i="2"/>
  <c r="Y81" i="2"/>
  <c r="AA81" i="2"/>
  <c r="AC81" i="2"/>
  <c r="AE81" i="2"/>
  <c r="AI81" i="2"/>
  <c r="AK81" i="2"/>
  <c r="AO81" i="2"/>
  <c r="AQ122" i="2"/>
  <c r="AS122" i="2"/>
  <c r="AU122" i="2"/>
  <c r="AW122" i="2"/>
  <c r="BA122" i="2"/>
  <c r="BC122" i="2"/>
  <c r="BG122" i="2"/>
  <c r="AQ126" i="2"/>
  <c r="AS126" i="2"/>
  <c r="AU126" i="2"/>
  <c r="AW126" i="2"/>
  <c r="AW302" i="2" s="1"/>
  <c r="BA126" i="2"/>
  <c r="BC126" i="2"/>
  <c r="BG126" i="2"/>
  <c r="G129" i="2"/>
  <c r="I129" i="2"/>
  <c r="K129" i="2"/>
  <c r="M129" i="2"/>
  <c r="Q129" i="2"/>
  <c r="S129" i="2"/>
  <c r="W129" i="2"/>
  <c r="Y129" i="2"/>
  <c r="AA129" i="2"/>
  <c r="AC129" i="2"/>
  <c r="AE129" i="2"/>
  <c r="AI129" i="2"/>
  <c r="AK129" i="2"/>
  <c r="AO129" i="2"/>
  <c r="AQ161" i="2"/>
  <c r="AS161" i="2"/>
  <c r="AU161" i="2"/>
  <c r="AW161" i="2"/>
  <c r="BA161" i="2"/>
  <c r="BC161" i="2"/>
  <c r="BG161" i="2"/>
  <c r="AQ165" i="2"/>
  <c r="AS165" i="2"/>
  <c r="AU165" i="2"/>
  <c r="AW165" i="2"/>
  <c r="BA165" i="2"/>
  <c r="BC165" i="2"/>
  <c r="BG165" i="2"/>
  <c r="G168" i="2"/>
  <c r="I168" i="2"/>
  <c r="K168" i="2"/>
  <c r="M168" i="2"/>
  <c r="Q168" i="2"/>
  <c r="S168" i="2"/>
  <c r="W168" i="2"/>
  <c r="Y168" i="2"/>
  <c r="AA168" i="2"/>
  <c r="AC168" i="2"/>
  <c r="AE168" i="2"/>
  <c r="AI168" i="2"/>
  <c r="AK168" i="2"/>
  <c r="AO168" i="2"/>
  <c r="AQ210" i="2"/>
  <c r="AS210" i="2"/>
  <c r="AU210" i="2"/>
  <c r="AW210" i="2"/>
  <c r="BA210" i="2"/>
  <c r="BC210" i="2"/>
  <c r="BG210" i="2"/>
  <c r="AS249" i="2"/>
  <c r="AW249" i="2"/>
  <c r="BC249" i="2"/>
  <c r="BG249" i="2"/>
  <c r="AR249" i="2"/>
  <c r="AT249" i="2"/>
  <c r="AV249" i="2"/>
  <c r="BB249" i="2"/>
  <c r="BD249" i="2"/>
  <c r="BE249" i="2"/>
  <c r="I16" i="4"/>
  <c r="I9" i="4"/>
  <c r="U257" i="2" l="1"/>
  <c r="BA217" i="2"/>
  <c r="BH122" i="2"/>
  <c r="BA341" i="2"/>
  <c r="BA429" i="2" s="1"/>
  <c r="BE341" i="2"/>
  <c r="BE429" i="2" s="1"/>
  <c r="BB302" i="2"/>
  <c r="AV217" i="2"/>
  <c r="AT218" i="2"/>
  <c r="AR341" i="2"/>
  <c r="AR429" i="2" s="1"/>
  <c r="AU302" i="2"/>
  <c r="BH290" i="2"/>
  <c r="AW256" i="2"/>
  <c r="AT341" i="2"/>
  <c r="AT429" i="2" s="1"/>
  <c r="BH296" i="2"/>
  <c r="BH289" i="2"/>
  <c r="H257" i="2"/>
  <c r="AR257" i="2" s="1"/>
  <c r="AR258" i="2" s="1"/>
  <c r="BH323" i="2"/>
  <c r="BH288" i="2"/>
  <c r="BD341" i="2"/>
  <c r="BD429" i="2" s="1"/>
  <c r="AU218" i="2"/>
  <c r="BA302" i="2"/>
  <c r="BH292" i="2"/>
  <c r="BH300" i="2"/>
  <c r="AU341" i="2"/>
  <c r="AU429" i="2" s="1"/>
  <c r="BB217" i="2"/>
  <c r="BH291" i="2"/>
  <c r="BD256" i="2"/>
  <c r="BE218" i="2"/>
  <c r="AV256" i="2"/>
  <c r="AD257" i="2"/>
  <c r="AD258" i="2" s="1"/>
  <c r="BH253" i="2"/>
  <c r="AS341" i="2"/>
  <c r="AS429" i="2" s="1"/>
  <c r="S257" i="2"/>
  <c r="BC257" i="2" s="1"/>
  <c r="BC258" i="2" s="1"/>
  <c r="BH293" i="2"/>
  <c r="BH214" i="2"/>
  <c r="BH284" i="2"/>
  <c r="BH165" i="2"/>
  <c r="BE217" i="2"/>
  <c r="BG217" i="2"/>
  <c r="AQ217" i="2"/>
  <c r="BD217" i="2"/>
  <c r="BH249" i="2"/>
  <c r="T218" i="2"/>
  <c r="BD218" i="2" s="1"/>
  <c r="AS217" i="2"/>
  <c r="BH210" i="2"/>
  <c r="AP341" i="2"/>
  <c r="AP129" i="2"/>
  <c r="X217" i="2"/>
  <c r="AI257" i="2"/>
  <c r="AP256" i="2"/>
  <c r="X168" i="2"/>
  <c r="Q218" i="2"/>
  <c r="AS257" i="2"/>
  <c r="AS258" i="2" s="1"/>
  <c r="I258" i="2"/>
  <c r="BE257" i="2"/>
  <c r="BE258" i="2" s="1"/>
  <c r="U258" i="2"/>
  <c r="Q257" i="2"/>
  <c r="X256" i="2"/>
  <c r="BH161" i="2"/>
  <c r="BH126" i="2"/>
  <c r="AP168" i="2"/>
  <c r="AT257" i="2"/>
  <c r="AT258" i="2" s="1"/>
  <c r="J258" i="2"/>
  <c r="BB257" i="2"/>
  <c r="BB258" i="2" s="1"/>
  <c r="R258" i="2"/>
  <c r="BH78" i="2"/>
  <c r="AI218" i="2"/>
  <c r="AP217" i="2"/>
  <c r="X129" i="2"/>
  <c r="BH286" i="2"/>
  <c r="BH332" i="2"/>
  <c r="BH310" i="2"/>
  <c r="BH309" i="2"/>
  <c r="BH308" i="2"/>
  <c r="BH304" i="2"/>
  <c r="BH303" i="2"/>
  <c r="BH301" i="2"/>
  <c r="BH297" i="2"/>
  <c r="BH294" i="2"/>
  <c r="BH287" i="2"/>
  <c r="BH74" i="2"/>
  <c r="BH420" i="2"/>
  <c r="X81" i="2"/>
  <c r="AP81" i="2"/>
  <c r="AP416" i="2"/>
  <c r="X436" i="2"/>
  <c r="X348" i="2"/>
  <c r="X418" i="2"/>
  <c r="X330" i="2"/>
  <c r="X416" i="2"/>
  <c r="X328" i="2"/>
  <c r="BH328" i="2" s="1"/>
  <c r="X414" i="2"/>
  <c r="X326" i="2"/>
  <c r="X413" i="2"/>
  <c r="X325" i="2"/>
  <c r="X431" i="2"/>
  <c r="X343" i="2"/>
  <c r="X427" i="2"/>
  <c r="X339" i="2"/>
  <c r="X437" i="2"/>
  <c r="X349" i="2"/>
  <c r="X419" i="2"/>
  <c r="X331" i="2"/>
  <c r="X430" i="2"/>
  <c r="X342" i="2"/>
  <c r="X415" i="2"/>
  <c r="X327" i="2"/>
  <c r="X417" i="2"/>
  <c r="X329" i="2"/>
  <c r="AP431" i="2"/>
  <c r="AP343" i="2"/>
  <c r="AP427" i="2"/>
  <c r="AP339" i="2"/>
  <c r="AP436" i="2"/>
  <c r="AP348" i="2"/>
  <c r="AP418" i="2"/>
  <c r="AP330" i="2"/>
  <c r="AP413" i="2"/>
  <c r="AP325" i="2"/>
  <c r="AP414" i="2"/>
  <c r="AP326" i="2"/>
  <c r="AP424" i="2"/>
  <c r="BH424" i="2" s="1"/>
  <c r="AP336" i="2"/>
  <c r="BH336" i="2" s="1"/>
  <c r="AP437" i="2"/>
  <c r="AP349" i="2"/>
  <c r="AP428" i="2"/>
  <c r="BH428" i="2" s="1"/>
  <c r="AP340" i="2"/>
  <c r="BH340" i="2" s="1"/>
  <c r="AP438" i="2"/>
  <c r="BH438" i="2" s="1"/>
  <c r="AP350" i="2"/>
  <c r="BH350" i="2" s="1"/>
  <c r="AP430" i="2"/>
  <c r="AP342" i="2"/>
  <c r="AP417" i="2"/>
  <c r="AP329" i="2"/>
  <c r="AP415" i="2"/>
  <c r="AP327" i="2"/>
  <c r="AP421" i="2"/>
  <c r="BH421" i="2" s="1"/>
  <c r="AP333" i="2"/>
  <c r="BH333" i="2" s="1"/>
  <c r="AP423" i="2"/>
  <c r="BH423" i="2" s="1"/>
  <c r="AP335" i="2"/>
  <c r="BH335" i="2" s="1"/>
  <c r="AP419" i="2"/>
  <c r="AP331" i="2"/>
  <c r="BG256" i="2"/>
  <c r="BC341" i="2"/>
  <c r="BC429" i="2" s="1"/>
  <c r="AW341" i="2"/>
  <c r="AW429" i="2" s="1"/>
  <c r="BC302" i="2"/>
  <c r="AS302" i="2"/>
  <c r="BB256" i="2"/>
  <c r="AS218" i="2"/>
  <c r="L218" i="2"/>
  <c r="AV218" i="2" s="1"/>
  <c r="AQ302" i="2"/>
  <c r="BD257" i="2"/>
  <c r="BD258" i="2" s="1"/>
  <c r="AS256" i="2"/>
  <c r="BB341" i="2"/>
  <c r="BB429" i="2" s="1"/>
  <c r="BD302" i="2"/>
  <c r="AR302" i="2"/>
  <c r="AU217" i="2"/>
  <c r="BG218" i="2"/>
  <c r="H218" i="2"/>
  <c r="AR218" i="2" s="1"/>
  <c r="AU337" i="2"/>
  <c r="AU425" i="2" s="1"/>
  <c r="L257" i="2"/>
  <c r="L258" i="2" s="1"/>
  <c r="AT217" i="2"/>
  <c r="BB218" i="2"/>
  <c r="BG257" i="2"/>
  <c r="BG258" i="2" s="1"/>
  <c r="AT256" i="2"/>
  <c r="AU256" i="2"/>
  <c r="AV302" i="2"/>
  <c r="AW257" i="2"/>
  <c r="AW258" i="2" s="1"/>
  <c r="AP302" i="2"/>
  <c r="AW217" i="2"/>
  <c r="BC217" i="2"/>
  <c r="BG341" i="2"/>
  <c r="BG429" i="2" s="1"/>
  <c r="BG302" i="2"/>
  <c r="AU257" i="2"/>
  <c r="AU258" i="2" s="1"/>
  <c r="AV341" i="2"/>
  <c r="AV429" i="2" s="1"/>
  <c r="BE302" i="2"/>
  <c r="AT302" i="2"/>
  <c r="Y218" i="2"/>
  <c r="AQ218" i="2" s="1"/>
  <c r="AW218" i="2"/>
  <c r="BE21" i="2"/>
  <c r="BE372" i="2" s="1"/>
  <c r="AT60" i="2"/>
  <c r="AT411" i="2" s="1"/>
  <c r="I376" i="2"/>
  <c r="U372" i="2"/>
  <c r="AB411" i="2"/>
  <c r="H377" i="2"/>
  <c r="BD60" i="2"/>
  <c r="BD411" i="2" s="1"/>
  <c r="AC411" i="2"/>
  <c r="K82" i="2"/>
  <c r="K83" i="2" s="1"/>
  <c r="AU21" i="2"/>
  <c r="AU372" i="2" s="1"/>
  <c r="AM372" i="2"/>
  <c r="AC372" i="2"/>
  <c r="J411" i="2"/>
  <c r="BG337" i="2"/>
  <c r="BG425" i="2" s="1"/>
  <c r="AW337" i="2"/>
  <c r="AW425" i="2" s="1"/>
  <c r="BE298" i="2"/>
  <c r="BB298" i="2"/>
  <c r="AT298" i="2"/>
  <c r="AP429" i="2"/>
  <c r="AK344" i="2"/>
  <c r="AK432" i="2" s="1"/>
  <c r="AK169" i="2"/>
  <c r="AA344" i="2"/>
  <c r="AA432" i="2" s="1"/>
  <c r="AA169" i="2"/>
  <c r="S344" i="2"/>
  <c r="S432" i="2" s="1"/>
  <c r="S169" i="2"/>
  <c r="S170" i="2" s="1"/>
  <c r="BC168" i="2"/>
  <c r="BC344" i="2" s="1"/>
  <c r="I344" i="2"/>
  <c r="I432" i="2" s="1"/>
  <c r="I169" i="2"/>
  <c r="I170" i="2" s="1"/>
  <c r="AS168" i="2"/>
  <c r="BC337" i="2"/>
  <c r="BC425" i="2" s="1"/>
  <c r="AS337" i="2"/>
  <c r="AS425" i="2" s="1"/>
  <c r="AK305" i="2"/>
  <c r="AK130" i="2"/>
  <c r="AK306" i="2" s="1"/>
  <c r="AA305" i="2"/>
  <c r="AA130" i="2"/>
  <c r="AA306" i="2" s="1"/>
  <c r="W305" i="2"/>
  <c r="W130" i="2"/>
  <c r="BG129" i="2"/>
  <c r="I305" i="2"/>
  <c r="I130" i="2"/>
  <c r="AS129" i="2"/>
  <c r="BC298" i="2"/>
  <c r="AS298" i="2"/>
  <c r="AO82" i="2"/>
  <c r="BG81" i="2"/>
  <c r="AW81" i="2"/>
  <c r="AI344" i="2"/>
  <c r="AI432" i="2" s="1"/>
  <c r="AI169" i="2"/>
  <c r="AC344" i="2"/>
  <c r="AC432" i="2" s="1"/>
  <c r="AC169" i="2"/>
  <c r="Y344" i="2"/>
  <c r="Y432" i="2" s="1"/>
  <c r="Y169" i="2"/>
  <c r="Y170" i="2" s="1"/>
  <c r="Q344" i="2"/>
  <c r="Q432" i="2" s="1"/>
  <c r="Q169" i="2"/>
  <c r="Q170" i="2" s="1"/>
  <c r="BA168" i="2"/>
  <c r="BA344" i="2" s="1"/>
  <c r="K344" i="2"/>
  <c r="K169" i="2"/>
  <c r="K170" i="2" s="1"/>
  <c r="AU168" i="2"/>
  <c r="G344" i="2"/>
  <c r="G432" i="2" s="1"/>
  <c r="G169" i="2"/>
  <c r="AQ168" i="2"/>
  <c r="AQ341" i="2"/>
  <c r="AQ429" i="2" s="1"/>
  <c r="BA337" i="2"/>
  <c r="BA425" i="2" s="1"/>
  <c r="AQ337" i="2"/>
  <c r="AQ425" i="2" s="1"/>
  <c r="AI305" i="2"/>
  <c r="AI130" i="2"/>
  <c r="AC305" i="2"/>
  <c r="AC130" i="2"/>
  <c r="AC306" i="2" s="1"/>
  <c r="Y305" i="2"/>
  <c r="Y130" i="2"/>
  <c r="Q305" i="2"/>
  <c r="Q130" i="2"/>
  <c r="BA129" i="2"/>
  <c r="BA305" i="2" s="1"/>
  <c r="K305" i="2"/>
  <c r="K130" i="2"/>
  <c r="AU129" i="2"/>
  <c r="G305" i="2"/>
  <c r="G130" i="2"/>
  <c r="AQ129" i="2"/>
  <c r="BA298" i="2"/>
  <c r="AU298" i="2"/>
  <c r="AQ298" i="2"/>
  <c r="AI82" i="2"/>
  <c r="AC82" i="2"/>
  <c r="Y82" i="2"/>
  <c r="Y83" i="2" s="1"/>
  <c r="Q82" i="2"/>
  <c r="BA81" i="2"/>
  <c r="BA432" i="2" s="1"/>
  <c r="K432" i="2"/>
  <c r="AU81" i="2"/>
  <c r="G82" i="2"/>
  <c r="AQ81" i="2"/>
  <c r="AL344" i="2"/>
  <c r="AL432" i="2" s="1"/>
  <c r="AL169" i="2"/>
  <c r="AD344" i="2"/>
  <c r="AD432" i="2" s="1"/>
  <c r="AD169" i="2"/>
  <c r="AD170" i="2" s="1"/>
  <c r="Z344" i="2"/>
  <c r="Z432" i="2" s="1"/>
  <c r="Z169" i="2"/>
  <c r="T344" i="2"/>
  <c r="T432" i="2" s="1"/>
  <c r="T169" i="2"/>
  <c r="T170" i="2" s="1"/>
  <c r="BD168" i="2"/>
  <c r="L344" i="2"/>
  <c r="L432" i="2" s="1"/>
  <c r="L169" i="2"/>
  <c r="L170" i="2" s="1"/>
  <c r="AV168" i="2"/>
  <c r="H344" i="2"/>
  <c r="H432" i="2" s="1"/>
  <c r="H169" i="2"/>
  <c r="H170" i="2" s="1"/>
  <c r="AR168" i="2"/>
  <c r="AR344" i="2" s="1"/>
  <c r="BD337" i="2"/>
  <c r="BD425" i="2" s="1"/>
  <c r="AV337" i="2"/>
  <c r="AV425" i="2" s="1"/>
  <c r="AR337" i="2"/>
  <c r="AR425" i="2" s="1"/>
  <c r="AP337" i="2"/>
  <c r="AM305" i="2"/>
  <c r="AM130" i="2"/>
  <c r="AM306" i="2" s="1"/>
  <c r="AJ305" i="2"/>
  <c r="AJ130" i="2"/>
  <c r="AJ306" i="2" s="1"/>
  <c r="AB305" i="2"/>
  <c r="AB130" i="2"/>
  <c r="AB306" i="2" s="1"/>
  <c r="U305" i="2"/>
  <c r="U130" i="2"/>
  <c r="BE129" i="2"/>
  <c r="R305" i="2"/>
  <c r="R130" i="2"/>
  <c r="BB129" i="2"/>
  <c r="J305" i="2"/>
  <c r="J130" i="2"/>
  <c r="AT129" i="2"/>
  <c r="X302" i="2"/>
  <c r="BD298" i="2"/>
  <c r="AV298" i="2"/>
  <c r="AR298" i="2"/>
  <c r="AP298" i="2"/>
  <c r="X298" i="2"/>
  <c r="AM82" i="2"/>
  <c r="AM83" i="2" s="1"/>
  <c r="AJ82" i="2"/>
  <c r="AJ83" i="2" s="1"/>
  <c r="AB82" i="2"/>
  <c r="AB83" i="2" s="1"/>
  <c r="U82" i="2"/>
  <c r="U83" i="2" s="1"/>
  <c r="BE81" i="2"/>
  <c r="R82" i="2"/>
  <c r="R83" i="2" s="1"/>
  <c r="BB81" i="2"/>
  <c r="J82" i="2"/>
  <c r="J83" i="2" s="1"/>
  <c r="AT81" i="2"/>
  <c r="AO344" i="2"/>
  <c r="AO432" i="2" s="1"/>
  <c r="AO169" i="2"/>
  <c r="AE344" i="2"/>
  <c r="AE432" i="2" s="1"/>
  <c r="AE169" i="2"/>
  <c r="W344" i="2"/>
  <c r="W432" i="2" s="1"/>
  <c r="W169" i="2"/>
  <c r="W170" i="2" s="1"/>
  <c r="BG168" i="2"/>
  <c r="M344" i="2"/>
  <c r="M432" i="2" s="1"/>
  <c r="M169" i="2"/>
  <c r="M170" i="2" s="1"/>
  <c r="AW168" i="2"/>
  <c r="AO305" i="2"/>
  <c r="AO130" i="2"/>
  <c r="AO306" i="2" s="1"/>
  <c r="AE305" i="2"/>
  <c r="AE130" i="2"/>
  <c r="AE306" i="2" s="1"/>
  <c r="S305" i="2"/>
  <c r="S130" i="2"/>
  <c r="BC129" i="2"/>
  <c r="M305" i="2"/>
  <c r="M130" i="2"/>
  <c r="AW129" i="2"/>
  <c r="BG298" i="2"/>
  <c r="AW298" i="2"/>
  <c r="AK82" i="2"/>
  <c r="AA82" i="2"/>
  <c r="AA83" i="2" s="1"/>
  <c r="S82" i="2"/>
  <c r="S83" i="2" s="1"/>
  <c r="BC81" i="2"/>
  <c r="I82" i="2"/>
  <c r="I83" i="2" s="1"/>
  <c r="AS81" i="2"/>
  <c r="Y257" i="2"/>
  <c r="Y258" i="2" s="1"/>
  <c r="G257" i="2"/>
  <c r="G258" i="2" s="1"/>
  <c r="AQ256" i="2"/>
  <c r="AM344" i="2"/>
  <c r="AM432" i="2" s="1"/>
  <c r="AM169" i="2"/>
  <c r="AJ344" i="2"/>
  <c r="AJ432" i="2" s="1"/>
  <c r="AJ169" i="2"/>
  <c r="AB344" i="2"/>
  <c r="AB432" i="2" s="1"/>
  <c r="AB169" i="2"/>
  <c r="U344" i="2"/>
  <c r="U432" i="2" s="1"/>
  <c r="U169" i="2"/>
  <c r="U170" i="2" s="1"/>
  <c r="BE168" i="2"/>
  <c r="BE344" i="2" s="1"/>
  <c r="R344" i="2"/>
  <c r="R432" i="2" s="1"/>
  <c r="R169" i="2"/>
  <c r="R170" i="2" s="1"/>
  <c r="BB168" i="2"/>
  <c r="J344" i="2"/>
  <c r="J432" i="2" s="1"/>
  <c r="J169" i="2"/>
  <c r="J170" i="2" s="1"/>
  <c r="AT168" i="2"/>
  <c r="BE337" i="2"/>
  <c r="BE425" i="2" s="1"/>
  <c r="BB337" i="2"/>
  <c r="BB425" i="2" s="1"/>
  <c r="AT337" i="2"/>
  <c r="AT425" i="2" s="1"/>
  <c r="AL305" i="2"/>
  <c r="AL130" i="2"/>
  <c r="AL306" i="2" s="1"/>
  <c r="AD305" i="2"/>
  <c r="AD130" i="2"/>
  <c r="Z305" i="2"/>
  <c r="Z130" i="2"/>
  <c r="Z306" i="2" s="1"/>
  <c r="T305" i="2"/>
  <c r="T130" i="2"/>
  <c r="BD129" i="2"/>
  <c r="L305" i="2"/>
  <c r="L130" i="2"/>
  <c r="AV129" i="2"/>
  <c r="H305" i="2"/>
  <c r="H130" i="2"/>
  <c r="AR129" i="2"/>
  <c r="AR305" i="2" s="1"/>
  <c r="AL82" i="2"/>
  <c r="AL83" i="2" s="1"/>
  <c r="Z82" i="2"/>
  <c r="T82" i="2"/>
  <c r="T83" i="2" s="1"/>
  <c r="BD81" i="2"/>
  <c r="AV81" i="2"/>
  <c r="H82" i="2"/>
  <c r="H83" i="2" s="1"/>
  <c r="AR81" i="2"/>
  <c r="H13" i="4"/>
  <c r="H6" i="4"/>
  <c r="I18" i="5"/>
  <c r="I10" i="5"/>
  <c r="H14" i="5"/>
  <c r="H6" i="5"/>
  <c r="AW344" i="2" l="1"/>
  <c r="AV305" i="2"/>
  <c r="BD344" i="2"/>
  <c r="BB305" i="2"/>
  <c r="BH129" i="2"/>
  <c r="BE305" i="2"/>
  <c r="BD305" i="2"/>
  <c r="H258" i="2"/>
  <c r="BG344" i="2"/>
  <c r="BG432" i="2" s="1"/>
  <c r="AQ305" i="2"/>
  <c r="BG305" i="2"/>
  <c r="BB344" i="2"/>
  <c r="BB432" i="2" s="1"/>
  <c r="AV344" i="2"/>
  <c r="AV432" i="2" s="1"/>
  <c r="AS305" i="2"/>
  <c r="BH256" i="2"/>
  <c r="AV257" i="2"/>
  <c r="AV258" i="2" s="1"/>
  <c r="S258" i="2"/>
  <c r="AP305" i="2"/>
  <c r="AS344" i="2"/>
  <c r="AS432" i="2" s="1"/>
  <c r="BH168" i="2"/>
  <c r="AR432" i="2"/>
  <c r="AE345" i="2"/>
  <c r="AE346" i="2" s="1"/>
  <c r="AE170" i="2"/>
  <c r="AM345" i="2"/>
  <c r="AM346" i="2" s="1"/>
  <c r="AM170" i="2"/>
  <c r="X130" i="2"/>
  <c r="AI345" i="2"/>
  <c r="AI346" i="2" s="1"/>
  <c r="AI170" i="2"/>
  <c r="AP169" i="2"/>
  <c r="AP170" i="2" s="1"/>
  <c r="BA218" i="2"/>
  <c r="X218" i="2"/>
  <c r="AO345" i="2"/>
  <c r="AO346" i="2" s="1"/>
  <c r="AO170" i="2"/>
  <c r="Z345" i="2"/>
  <c r="Z346" i="2" s="1"/>
  <c r="Z170" i="2"/>
  <c r="BA257" i="2"/>
  <c r="BA258" i="2" s="1"/>
  <c r="Q258" i="2"/>
  <c r="X257" i="2"/>
  <c r="AP257" i="2"/>
  <c r="AP258" i="2" s="1"/>
  <c r="AI258" i="2"/>
  <c r="AJ345" i="2"/>
  <c r="AJ346" i="2" s="1"/>
  <c r="AJ170" i="2"/>
  <c r="AC345" i="2"/>
  <c r="AC346" i="2" s="1"/>
  <c r="AC170" i="2"/>
  <c r="AA345" i="2"/>
  <c r="AA346" i="2" s="1"/>
  <c r="AA170" i="2"/>
  <c r="AI306" i="2"/>
  <c r="AP130" i="2"/>
  <c r="AB345" i="2"/>
  <c r="AB346" i="2" s="1"/>
  <c r="AB170" i="2"/>
  <c r="BH217" i="2"/>
  <c r="AL345" i="2"/>
  <c r="AL346" i="2" s="1"/>
  <c r="AL170" i="2"/>
  <c r="AK345" i="2"/>
  <c r="AK346" i="2" s="1"/>
  <c r="AK170" i="2"/>
  <c r="AP218" i="2"/>
  <c r="BH339" i="2"/>
  <c r="BH349" i="2"/>
  <c r="BH348" i="2"/>
  <c r="BH331" i="2"/>
  <c r="BH343" i="2"/>
  <c r="BH342" i="2"/>
  <c r="BH419" i="2"/>
  <c r="BH330" i="2"/>
  <c r="BH329" i="2"/>
  <c r="BH416" i="2"/>
  <c r="BH327" i="2"/>
  <c r="BH326" i="2"/>
  <c r="BH325" i="2"/>
  <c r="BH302" i="2"/>
  <c r="BH298" i="2"/>
  <c r="BH437" i="2"/>
  <c r="BH436" i="2"/>
  <c r="BH431" i="2"/>
  <c r="BH430" i="2"/>
  <c r="BH427" i="2"/>
  <c r="BH418" i="2"/>
  <c r="BH417" i="2"/>
  <c r="BH415" i="2"/>
  <c r="BH414" i="2"/>
  <c r="BH413" i="2"/>
  <c r="BH81" i="2"/>
  <c r="G170" i="2"/>
  <c r="X169" i="2"/>
  <c r="Q83" i="2"/>
  <c r="Z83" i="2"/>
  <c r="AP425" i="2"/>
  <c r="X429" i="2"/>
  <c r="BH429" i="2" s="1"/>
  <c r="X341" i="2"/>
  <c r="BH341" i="2" s="1"/>
  <c r="X425" i="2"/>
  <c r="X337" i="2"/>
  <c r="BH337" i="2" s="1"/>
  <c r="AK83" i="2"/>
  <c r="AI83" i="2"/>
  <c r="AC83" i="2"/>
  <c r="G83" i="2"/>
  <c r="AT344" i="2"/>
  <c r="AT432" i="2" s="1"/>
  <c r="AW305" i="2"/>
  <c r="AU305" i="2"/>
  <c r="BC432" i="2"/>
  <c r="AU344" i="2"/>
  <c r="AU432" i="2" s="1"/>
  <c r="BC305" i="2"/>
  <c r="AP344" i="2"/>
  <c r="BD432" i="2"/>
  <c r="AL433" i="2"/>
  <c r="AL434" i="2" s="1"/>
  <c r="AT305" i="2"/>
  <c r="AU60" i="2"/>
  <c r="AU411" i="2" s="1"/>
  <c r="K411" i="2"/>
  <c r="AD372" i="2"/>
  <c r="H378" i="2"/>
  <c r="I377" i="2"/>
  <c r="BE60" i="2"/>
  <c r="BE411" i="2" s="1"/>
  <c r="U411" i="2"/>
  <c r="AV21" i="2"/>
  <c r="L372" i="2"/>
  <c r="G379" i="2"/>
  <c r="BG21" i="2"/>
  <c r="W372" i="2"/>
  <c r="J376" i="2"/>
  <c r="K375" i="2"/>
  <c r="L374" i="2"/>
  <c r="AR82" i="2"/>
  <c r="AR83" i="2" s="1"/>
  <c r="H306" i="2"/>
  <c r="AR130" i="2"/>
  <c r="AR306" i="2" s="1"/>
  <c r="X305" i="2"/>
  <c r="L306" i="2"/>
  <c r="AV130" i="2"/>
  <c r="AV306" i="2" s="1"/>
  <c r="AD306" i="2"/>
  <c r="J345" i="2"/>
  <c r="AT169" i="2"/>
  <c r="U345" i="2"/>
  <c r="U346" i="2" s="1"/>
  <c r="BE169" i="2"/>
  <c r="AQ257" i="2"/>
  <c r="AQ258" i="2" s="1"/>
  <c r="AS82" i="2"/>
  <c r="AS83" i="2" s="1"/>
  <c r="M306" i="2"/>
  <c r="AW130" i="2"/>
  <c r="AW306" i="2" s="1"/>
  <c r="M345" i="2"/>
  <c r="M346" i="2" s="1"/>
  <c r="AW169" i="2"/>
  <c r="BB82" i="2"/>
  <c r="BB83" i="2" s="1"/>
  <c r="BE432" i="2"/>
  <c r="R306" i="2"/>
  <c r="BB130" i="2"/>
  <c r="BB306" i="2" s="1"/>
  <c r="T345" i="2"/>
  <c r="T346" i="2" s="1"/>
  <c r="BD169" i="2"/>
  <c r="AU82" i="2"/>
  <c r="AU83" i="2" s="1"/>
  <c r="K306" i="2"/>
  <c r="AU130" i="2"/>
  <c r="AU306" i="2" s="1"/>
  <c r="G345" i="2"/>
  <c r="G433" i="2" s="1"/>
  <c r="G434" i="2" s="1"/>
  <c r="AQ169" i="2"/>
  <c r="Q345" i="2"/>
  <c r="BA169" i="2"/>
  <c r="Y345" i="2"/>
  <c r="I306" i="2"/>
  <c r="AS130" i="2"/>
  <c r="AS306" i="2" s="1"/>
  <c r="I345" i="2"/>
  <c r="AS169" i="2"/>
  <c r="BD82" i="2"/>
  <c r="T306" i="2"/>
  <c r="BD130" i="2"/>
  <c r="BD306" i="2" s="1"/>
  <c r="R345" i="2"/>
  <c r="BB169" i="2"/>
  <c r="BC82" i="2"/>
  <c r="BC83" i="2" s="1"/>
  <c r="S306" i="2"/>
  <c r="BC130" i="2"/>
  <c r="BC306" i="2" s="1"/>
  <c r="W345" i="2"/>
  <c r="W346" i="2" s="1"/>
  <c r="BG169" i="2"/>
  <c r="AT82" i="2"/>
  <c r="AT83" i="2" s="1"/>
  <c r="BE82" i="2"/>
  <c r="BE83" i="2" s="1"/>
  <c r="J306" i="2"/>
  <c r="AT130" i="2"/>
  <c r="AT306" i="2" s="1"/>
  <c r="U306" i="2"/>
  <c r="BE130" i="2"/>
  <c r="BE306" i="2" s="1"/>
  <c r="H345" i="2"/>
  <c r="AR169" i="2"/>
  <c r="L345" i="2"/>
  <c r="L346" i="2" s="1"/>
  <c r="AV169" i="2"/>
  <c r="AD345" i="2"/>
  <c r="AD346" i="2" s="1"/>
  <c r="AQ82" i="2"/>
  <c r="AQ83" i="2" s="1"/>
  <c r="BA82" i="2"/>
  <c r="G306" i="2"/>
  <c r="AQ130" i="2"/>
  <c r="AQ306" i="2" s="1"/>
  <c r="Q306" i="2"/>
  <c r="BA130" i="2"/>
  <c r="Y306" i="2"/>
  <c r="AQ344" i="2"/>
  <c r="AQ432" i="2" s="1"/>
  <c r="K345" i="2"/>
  <c r="AU169" i="2"/>
  <c r="AW432" i="2"/>
  <c r="W306" i="2"/>
  <c r="BG130" i="2"/>
  <c r="BG306" i="2" s="1"/>
  <c r="S345" i="2"/>
  <c r="BC169" i="2"/>
  <c r="G13" i="4"/>
  <c r="G6" i="4"/>
  <c r="AO433" i="2" l="1"/>
  <c r="BA306" i="2"/>
  <c r="BH305" i="2"/>
  <c r="AJ433" i="2"/>
  <c r="AJ434" i="2" s="1"/>
  <c r="AB433" i="2"/>
  <c r="AB434" i="2" s="1"/>
  <c r="AI433" i="2"/>
  <c r="AI434" i="2" s="1"/>
  <c r="AC433" i="2"/>
  <c r="AC434" i="2" s="1"/>
  <c r="AA433" i="2"/>
  <c r="AA434" i="2" s="1"/>
  <c r="AP306" i="2"/>
  <c r="AK433" i="2"/>
  <c r="AK434" i="2" s="1"/>
  <c r="U433" i="2"/>
  <c r="U434" i="2" s="1"/>
  <c r="Z433" i="2"/>
  <c r="Z434" i="2" s="1"/>
  <c r="AM433" i="2"/>
  <c r="AM434" i="2" s="1"/>
  <c r="T433" i="2"/>
  <c r="T434" i="2" s="1"/>
  <c r="BH130" i="2"/>
  <c r="BH218" i="2"/>
  <c r="X258" i="2"/>
  <c r="BH257" i="2"/>
  <c r="BH258" i="2" s="1"/>
  <c r="BH425" i="2"/>
  <c r="X170" i="2"/>
  <c r="BH169" i="2"/>
  <c r="BH170" i="2" s="1"/>
  <c r="AQ170" i="2"/>
  <c r="AV372" i="2"/>
  <c r="X432" i="2"/>
  <c r="X344" i="2"/>
  <c r="BH344" i="2" s="1"/>
  <c r="AP345" i="2"/>
  <c r="AP346" i="2" s="1"/>
  <c r="AP432" i="2"/>
  <c r="BG372" i="2"/>
  <c r="AO372" i="2"/>
  <c r="AO83" i="2"/>
  <c r="AU345" i="2"/>
  <c r="AU346" i="2" s="1"/>
  <c r="AU170" i="2"/>
  <c r="S433" i="2"/>
  <c r="S434" i="2" s="1"/>
  <c r="S346" i="2"/>
  <c r="K433" i="2"/>
  <c r="K434" i="2" s="1"/>
  <c r="K346" i="2"/>
  <c r="AV345" i="2"/>
  <c r="AV346" i="2" s="1"/>
  <c r="AV170" i="2"/>
  <c r="AR345" i="2"/>
  <c r="AR346" i="2" s="1"/>
  <c r="AR170" i="2"/>
  <c r="BB345" i="2"/>
  <c r="BB346" i="2" s="1"/>
  <c r="BB170" i="2"/>
  <c r="AS345" i="2"/>
  <c r="AS346" i="2" s="1"/>
  <c r="AS170" i="2"/>
  <c r="BA345" i="2"/>
  <c r="BA346" i="2" s="1"/>
  <c r="BA170" i="2"/>
  <c r="BD345" i="2"/>
  <c r="BD346" i="2" s="1"/>
  <c r="BD170" i="2"/>
  <c r="J433" i="2"/>
  <c r="J434" i="2" s="1"/>
  <c r="J346" i="2"/>
  <c r="BC345" i="2"/>
  <c r="BC346" i="2" s="1"/>
  <c r="BC170" i="2"/>
  <c r="H433" i="2"/>
  <c r="H434" i="2" s="1"/>
  <c r="H346" i="2"/>
  <c r="BG345" i="2"/>
  <c r="BG346" i="2" s="1"/>
  <c r="BG170" i="2"/>
  <c r="R433" i="2"/>
  <c r="R434" i="2" s="1"/>
  <c r="R346" i="2"/>
  <c r="I433" i="2"/>
  <c r="I434" i="2" s="1"/>
  <c r="I346" i="2"/>
  <c r="Y433" i="2"/>
  <c r="Y434" i="2" s="1"/>
  <c r="Y346" i="2"/>
  <c r="Q433" i="2"/>
  <c r="Q434" i="2" s="1"/>
  <c r="Q346" i="2"/>
  <c r="G346" i="2"/>
  <c r="AW345" i="2"/>
  <c r="AW346" i="2" s="1"/>
  <c r="AW170" i="2"/>
  <c r="BE345" i="2"/>
  <c r="BE346" i="2" s="1"/>
  <c r="BE170" i="2"/>
  <c r="AT345" i="2"/>
  <c r="AT346" i="2" s="1"/>
  <c r="AT170" i="2"/>
  <c r="BD83" i="2"/>
  <c r="BA83" i="2"/>
  <c r="AQ345" i="2"/>
  <c r="AV60" i="2"/>
  <c r="AV411" i="2" s="1"/>
  <c r="L411" i="2"/>
  <c r="L82" i="2"/>
  <c r="L433" i="2" s="1"/>
  <c r="J377" i="2"/>
  <c r="AD411" i="2"/>
  <c r="AD82" i="2"/>
  <c r="K376" i="2"/>
  <c r="BG60" i="2"/>
  <c r="BG411" i="2" s="1"/>
  <c r="W411" i="2"/>
  <c r="W82" i="2"/>
  <c r="H379" i="2"/>
  <c r="G380" i="2"/>
  <c r="AW21" i="2"/>
  <c r="AW372" i="2" s="1"/>
  <c r="M372" i="2"/>
  <c r="I378" i="2"/>
  <c r="AE372" i="2"/>
  <c r="L375" i="2"/>
  <c r="M374" i="2"/>
  <c r="X306" i="2"/>
  <c r="G6" i="5"/>
  <c r="G14" i="5"/>
  <c r="BD433" i="2" l="1"/>
  <c r="BD434" i="2" s="1"/>
  <c r="AU433" i="2"/>
  <c r="AU434" i="2" s="1"/>
  <c r="BH306" i="2"/>
  <c r="BE433" i="2"/>
  <c r="BE434" i="2" s="1"/>
  <c r="BC433" i="2"/>
  <c r="BC434" i="2" s="1"/>
  <c r="AS433" i="2"/>
  <c r="AS434" i="2" s="1"/>
  <c r="BB433" i="2"/>
  <c r="BB434" i="2" s="1"/>
  <c r="AR433" i="2"/>
  <c r="AR434" i="2" s="1"/>
  <c r="BA433" i="2"/>
  <c r="BA434" i="2" s="1"/>
  <c r="BH432" i="2"/>
  <c r="L434" i="2"/>
  <c r="L83" i="2"/>
  <c r="AD83" i="2"/>
  <c r="X372" i="2"/>
  <c r="X345" i="2"/>
  <c r="AP372" i="2"/>
  <c r="AO434" i="2"/>
  <c r="W83" i="2"/>
  <c r="BG82" i="2"/>
  <c r="AQ433" i="2"/>
  <c r="AQ434" i="2" s="1"/>
  <c r="AQ346" i="2"/>
  <c r="AT433" i="2"/>
  <c r="AT434" i="2" s="1"/>
  <c r="Q375" i="2"/>
  <c r="AW60" i="2"/>
  <c r="AW411" i="2" s="1"/>
  <c r="M411" i="2"/>
  <c r="M82" i="2"/>
  <c r="G381" i="2"/>
  <c r="W433" i="2"/>
  <c r="W434" i="2" s="1"/>
  <c r="Q374" i="2"/>
  <c r="AE411" i="2"/>
  <c r="AE82" i="2"/>
  <c r="J378" i="2"/>
  <c r="H380" i="2"/>
  <c r="I379" i="2"/>
  <c r="L376" i="2"/>
  <c r="K377" i="2"/>
  <c r="AV82" i="2"/>
  <c r="AD433" i="2"/>
  <c r="AO379" i="2"/>
  <c r="M375" i="2"/>
  <c r="BH372" i="2" l="1"/>
  <c r="X346" i="2"/>
  <c r="BH345" i="2"/>
  <c r="BH346" i="2" s="1"/>
  <c r="X82" i="2"/>
  <c r="AP82" i="2"/>
  <c r="AP83" i="2" s="1"/>
  <c r="AD434" i="2"/>
  <c r="AE433" i="2"/>
  <c r="AE434" i="2" s="1"/>
  <c r="AE83" i="2"/>
  <c r="M83" i="2"/>
  <c r="BG433" i="2"/>
  <c r="BG83" i="2"/>
  <c r="AV433" i="2"/>
  <c r="AV83" i="2"/>
  <c r="AP411" i="2"/>
  <c r="M376" i="2"/>
  <c r="J379" i="2"/>
  <c r="I380" i="2"/>
  <c r="G382" i="2"/>
  <c r="AW82" i="2"/>
  <c r="M433" i="2"/>
  <c r="R375" i="2"/>
  <c r="L377" i="2"/>
  <c r="K378" i="2"/>
  <c r="X411" i="2"/>
  <c r="R374" i="2"/>
  <c r="H381" i="2"/>
  <c r="BH411" i="2" l="1"/>
  <c r="X83" i="2"/>
  <c r="BH82" i="2"/>
  <c r="BH83" i="2" s="1"/>
  <c r="M434" i="2"/>
  <c r="AV434" i="2"/>
  <c r="BG434" i="2"/>
  <c r="AW433" i="2"/>
  <c r="AW434" i="2" s="1"/>
  <c r="AW83" i="2"/>
  <c r="S374" i="2"/>
  <c r="L378" i="2"/>
  <c r="M377" i="2"/>
  <c r="S375" i="2"/>
  <c r="G35" i="2"/>
  <c r="G384" i="2"/>
  <c r="J380" i="2"/>
  <c r="I381" i="2"/>
  <c r="H382" i="2"/>
  <c r="K379" i="2"/>
  <c r="Q376" i="2"/>
  <c r="AO381" i="2"/>
  <c r="X433" i="2" l="1"/>
  <c r="AP433" i="2"/>
  <c r="AP434" i="2" s="1"/>
  <c r="R376" i="2"/>
  <c r="J381" i="2"/>
  <c r="G386" i="2"/>
  <c r="T375" i="2"/>
  <c r="Q377" i="2"/>
  <c r="T374" i="2"/>
  <c r="L379" i="2"/>
  <c r="I382" i="2"/>
  <c r="K380" i="2"/>
  <c r="H35" i="2"/>
  <c r="H384" i="2"/>
  <c r="G385" i="2"/>
  <c r="M378" i="2"/>
  <c r="AO382" i="2"/>
  <c r="X434" i="2" l="1"/>
  <c r="BH433" i="2"/>
  <c r="BH434" i="2" s="1"/>
  <c r="Q378" i="2"/>
  <c r="H385" i="2"/>
  <c r="I35" i="2"/>
  <c r="I384" i="2"/>
  <c r="L380" i="2"/>
  <c r="J382" i="2"/>
  <c r="R377" i="2"/>
  <c r="K381" i="2"/>
  <c r="G39" i="2"/>
  <c r="G388" i="2"/>
  <c r="H386" i="2"/>
  <c r="M379" i="2"/>
  <c r="U374" i="2"/>
  <c r="U375" i="2"/>
  <c r="S376" i="2"/>
  <c r="T376" i="2" l="1"/>
  <c r="W375" i="2"/>
  <c r="X375" i="2" s="1"/>
  <c r="W374" i="2"/>
  <c r="X374" i="2" s="1"/>
  <c r="Q379" i="2"/>
  <c r="G390" i="2"/>
  <c r="H388" i="2"/>
  <c r="K382" i="2"/>
  <c r="M380" i="2"/>
  <c r="I385" i="2"/>
  <c r="R378" i="2"/>
  <c r="G42" i="2"/>
  <c r="G391" i="2"/>
  <c r="G389" i="2"/>
  <c r="L381" i="2"/>
  <c r="S377" i="2"/>
  <c r="I386" i="2"/>
  <c r="J35" i="2"/>
  <c r="J384" i="2"/>
  <c r="G43" i="2" l="1"/>
  <c r="G393" i="2"/>
  <c r="J386" i="2"/>
  <c r="T377" i="2"/>
  <c r="M381" i="2"/>
  <c r="H391" i="2"/>
  <c r="S378" i="2"/>
  <c r="J385" i="2"/>
  <c r="I388" i="2"/>
  <c r="AQ24" i="2"/>
  <c r="AQ375" i="2" s="1"/>
  <c r="Y375" i="2"/>
  <c r="K384" i="2"/>
  <c r="K35" i="2"/>
  <c r="H389" i="2"/>
  <c r="G392" i="2"/>
  <c r="Q380" i="2"/>
  <c r="L382" i="2"/>
  <c r="H39" i="2"/>
  <c r="R379" i="2"/>
  <c r="AQ23" i="2"/>
  <c r="AQ374" i="2" s="1"/>
  <c r="Y374" i="2"/>
  <c r="U376" i="2"/>
  <c r="G394" i="2" l="1"/>
  <c r="W376" i="2"/>
  <c r="X376" i="2" s="1"/>
  <c r="AR23" i="2"/>
  <c r="AR374" i="2" s="1"/>
  <c r="Z374" i="2"/>
  <c r="H390" i="2"/>
  <c r="H42" i="2"/>
  <c r="R380" i="2"/>
  <c r="G396" i="2"/>
  <c r="I389" i="2"/>
  <c r="L384" i="2"/>
  <c r="I39" i="2"/>
  <c r="K385" i="2"/>
  <c r="T378" i="2"/>
  <c r="I391" i="2"/>
  <c r="Q381" i="2"/>
  <c r="S379" i="2"/>
  <c r="M382" i="2"/>
  <c r="H392" i="2"/>
  <c r="K386" i="2"/>
  <c r="AR24" i="2"/>
  <c r="AR375" i="2" s="1"/>
  <c r="Z375" i="2"/>
  <c r="J388" i="2"/>
  <c r="U377" i="2"/>
  <c r="Q382" i="2" l="1"/>
  <c r="J391" i="2"/>
  <c r="U378" i="2"/>
  <c r="L385" i="2"/>
  <c r="M384" i="2"/>
  <c r="M35" i="2"/>
  <c r="J39" i="2"/>
  <c r="J389" i="2"/>
  <c r="G397" i="2"/>
  <c r="S380" i="2"/>
  <c r="H43" i="2"/>
  <c r="H393" i="2"/>
  <c r="AS23" i="2"/>
  <c r="AS374" i="2" s="1"/>
  <c r="AA374" i="2"/>
  <c r="K388" i="2"/>
  <c r="K39" i="2"/>
  <c r="W377" i="2"/>
  <c r="X377" i="2" s="1"/>
  <c r="AA375" i="2"/>
  <c r="AS24" i="2"/>
  <c r="AS375" i="2" s="1"/>
  <c r="I392" i="2"/>
  <c r="T379" i="2"/>
  <c r="R381" i="2"/>
  <c r="I390" i="2"/>
  <c r="I42" i="2"/>
  <c r="L35" i="2"/>
  <c r="H396" i="2"/>
  <c r="AQ25" i="2"/>
  <c r="AQ376" i="2" s="1"/>
  <c r="Y376" i="2"/>
  <c r="H394" i="2" l="1"/>
  <c r="I396" i="2"/>
  <c r="I43" i="2"/>
  <c r="I394" i="2" s="1"/>
  <c r="I393" i="2"/>
  <c r="S381" i="2"/>
  <c r="U379" i="2"/>
  <c r="J392" i="2"/>
  <c r="Y377" i="2"/>
  <c r="AQ26" i="2"/>
  <c r="AQ377" i="2" s="1"/>
  <c r="K390" i="2"/>
  <c r="K42" i="2"/>
  <c r="G398" i="2"/>
  <c r="J390" i="2"/>
  <c r="J42" i="2"/>
  <c r="M386" i="2"/>
  <c r="BG27" i="2"/>
  <c r="BG378" i="2" s="1"/>
  <c r="W378" i="2"/>
  <c r="X378" i="2" s="1"/>
  <c r="Z376" i="2"/>
  <c r="AR25" i="2"/>
  <c r="AR376" i="2" s="1"/>
  <c r="L386" i="2"/>
  <c r="AB375" i="2"/>
  <c r="AT24" i="2"/>
  <c r="AT375" i="2" s="1"/>
  <c r="L388" i="2"/>
  <c r="AB374" i="2"/>
  <c r="AT23" i="2"/>
  <c r="AT374" i="2" s="1"/>
  <c r="T380" i="2"/>
  <c r="H397" i="2"/>
  <c r="K389" i="2"/>
  <c r="Q384" i="2"/>
  <c r="M385" i="2"/>
  <c r="K391" i="2"/>
  <c r="R382" i="2"/>
  <c r="S382" i="2" l="1"/>
  <c r="L391" i="2"/>
  <c r="R384" i="2"/>
  <c r="I397" i="2"/>
  <c r="AC374" i="2"/>
  <c r="AU23" i="2"/>
  <c r="AU374" i="2" s="1"/>
  <c r="M388" i="2"/>
  <c r="H398" i="2"/>
  <c r="K392" i="2"/>
  <c r="T381" i="2"/>
  <c r="Q385" i="2"/>
  <c r="Q35" i="2"/>
  <c r="L389" i="2"/>
  <c r="U380" i="2"/>
  <c r="L39" i="2"/>
  <c r="AC375" i="2"/>
  <c r="AU24" i="2"/>
  <c r="AU375" i="2" s="1"/>
  <c r="AA376" i="2"/>
  <c r="AS25" i="2"/>
  <c r="AS376" i="2" s="1"/>
  <c r="Y378" i="2"/>
  <c r="AQ27" i="2"/>
  <c r="AQ378" i="2" s="1"/>
  <c r="J43" i="2"/>
  <c r="J393" i="2"/>
  <c r="K393" i="2"/>
  <c r="K43" i="2"/>
  <c r="K394" i="2" s="1"/>
  <c r="Z377" i="2"/>
  <c r="AR26" i="2"/>
  <c r="AR377" i="2" s="1"/>
  <c r="W379" i="2"/>
  <c r="X379" i="2" s="1"/>
  <c r="BG28" i="2"/>
  <c r="BG379" i="2" s="1"/>
  <c r="J396" i="2"/>
  <c r="J394" i="2" l="1"/>
  <c r="AA377" i="2"/>
  <c r="AS26" i="2"/>
  <c r="AS377" i="2" s="1"/>
  <c r="Z378" i="2"/>
  <c r="AR27" i="2"/>
  <c r="AR378" i="2" s="1"/>
  <c r="AD375" i="2"/>
  <c r="AV24" i="2"/>
  <c r="AV375" i="2" s="1"/>
  <c r="M389" i="2"/>
  <c r="Q386" i="2"/>
  <c r="S35" i="2"/>
  <c r="R385" i="2"/>
  <c r="Q388" i="2"/>
  <c r="Q39" i="2"/>
  <c r="R35" i="2"/>
  <c r="M391" i="2"/>
  <c r="K396" i="2"/>
  <c r="Y379" i="2"/>
  <c r="AQ28" i="2"/>
  <c r="AQ379" i="2" s="1"/>
  <c r="AB376" i="2"/>
  <c r="AT25" i="2"/>
  <c r="AT376" i="2" s="1"/>
  <c r="L390" i="2"/>
  <c r="L42" i="2"/>
  <c r="W380" i="2"/>
  <c r="X380" i="2" s="1"/>
  <c r="U381" i="2"/>
  <c r="L392" i="2"/>
  <c r="I398" i="2"/>
  <c r="M39" i="2"/>
  <c r="AD374" i="2"/>
  <c r="AV23" i="2"/>
  <c r="AV374" i="2" s="1"/>
  <c r="J397" i="2"/>
  <c r="S384" i="2"/>
  <c r="T382" i="2"/>
  <c r="Q390" i="2" l="1"/>
  <c r="U382" i="2"/>
  <c r="S386" i="2"/>
  <c r="T384" i="2"/>
  <c r="AE374" i="2"/>
  <c r="AW23" i="2"/>
  <c r="AW374" i="2" s="1"/>
  <c r="M390" i="2"/>
  <c r="M42" i="2"/>
  <c r="J398" i="2"/>
  <c r="Q42" i="2"/>
  <c r="M392" i="2"/>
  <c r="W381" i="2"/>
  <c r="X381" i="2" s="1"/>
  <c r="BG30" i="2"/>
  <c r="BG381" i="2" s="1"/>
  <c r="Y380" i="2"/>
  <c r="AQ29" i="2"/>
  <c r="AQ380" i="2" s="1"/>
  <c r="AC376" i="2"/>
  <c r="AU25" i="2"/>
  <c r="AU376" i="2" s="1"/>
  <c r="L396" i="2"/>
  <c r="Q391" i="2"/>
  <c r="R388" i="2"/>
  <c r="Q389" i="2"/>
  <c r="AA378" i="2"/>
  <c r="AS27" i="2"/>
  <c r="AS378" i="2" s="1"/>
  <c r="K397" i="2"/>
  <c r="L43" i="2"/>
  <c r="L393" i="2"/>
  <c r="Z379" i="2"/>
  <c r="AR28" i="2"/>
  <c r="AR379" i="2" s="1"/>
  <c r="R386" i="2"/>
  <c r="S385" i="2"/>
  <c r="AE375" i="2"/>
  <c r="AW24" i="2"/>
  <c r="AW375" i="2" s="1"/>
  <c r="AB377" i="2"/>
  <c r="AT26" i="2"/>
  <c r="AT377" i="2" s="1"/>
  <c r="AC377" i="2" l="1"/>
  <c r="AU26" i="2"/>
  <c r="AU377" i="2" s="1"/>
  <c r="BA24" i="2"/>
  <c r="BA375" i="2" s="1"/>
  <c r="AI375" i="2"/>
  <c r="L394" i="2"/>
  <c r="L397" i="2"/>
  <c r="R389" i="2"/>
  <c r="Q393" i="2"/>
  <c r="Q43" i="2"/>
  <c r="Q394" i="2" s="1"/>
  <c r="S388" i="2"/>
  <c r="S39" i="2"/>
  <c r="AD376" i="2"/>
  <c r="AV25" i="2"/>
  <c r="AV376" i="2" s="1"/>
  <c r="Z380" i="2"/>
  <c r="AR29" i="2"/>
  <c r="AR380" i="2" s="1"/>
  <c r="T385" i="2"/>
  <c r="AA379" i="2"/>
  <c r="AS28" i="2"/>
  <c r="AS379" i="2" s="1"/>
  <c r="AB378" i="2"/>
  <c r="AT27" i="2"/>
  <c r="AT378" i="2" s="1"/>
  <c r="R39" i="2"/>
  <c r="R391" i="2"/>
  <c r="M396" i="2"/>
  <c r="Y381" i="2"/>
  <c r="AQ30" i="2"/>
  <c r="AQ381" i="2" s="1"/>
  <c r="Q392" i="2"/>
  <c r="K398" i="2"/>
  <c r="M393" i="2"/>
  <c r="M43" i="2"/>
  <c r="M394" i="2" s="1"/>
  <c r="AI374" i="2"/>
  <c r="BA23" i="2"/>
  <c r="BA374" i="2" s="1"/>
  <c r="T35" i="2"/>
  <c r="U35" i="2"/>
  <c r="U384" i="2"/>
  <c r="W382" i="2"/>
  <c r="X382" i="2" s="1"/>
  <c r="BG31" i="2"/>
  <c r="BG382" i="2" s="1"/>
  <c r="Y382" i="2" l="1"/>
  <c r="AQ31" i="2"/>
  <c r="AQ382" i="2" s="1"/>
  <c r="U386" i="2"/>
  <c r="AJ374" i="2"/>
  <c r="BB23" i="2"/>
  <c r="BB374" i="2" s="1"/>
  <c r="R392" i="2"/>
  <c r="Z381" i="2"/>
  <c r="AR30" i="2"/>
  <c r="AR381" i="2" s="1"/>
  <c r="Q396" i="2"/>
  <c r="S391" i="2"/>
  <c r="R390" i="2"/>
  <c r="R42" i="2"/>
  <c r="AC378" i="2"/>
  <c r="AU27" i="2"/>
  <c r="AU378" i="2" s="1"/>
  <c r="AB379" i="2"/>
  <c r="AT28" i="2"/>
  <c r="AT379" i="2" s="1"/>
  <c r="U385" i="2"/>
  <c r="S389" i="2"/>
  <c r="M397" i="2"/>
  <c r="W384" i="2"/>
  <c r="X384" i="2" s="1"/>
  <c r="W35" i="2"/>
  <c r="X35" i="2" s="1"/>
  <c r="T386" i="2"/>
  <c r="L398" i="2"/>
  <c r="AA380" i="2"/>
  <c r="AS29" i="2"/>
  <c r="AS380" i="2" s="1"/>
  <c r="AE376" i="2"/>
  <c r="AW25" i="2"/>
  <c r="AW376" i="2" s="1"/>
  <c r="S390" i="2"/>
  <c r="S42" i="2"/>
  <c r="T39" i="2"/>
  <c r="T390" i="2" s="1"/>
  <c r="T388" i="2"/>
  <c r="AJ375" i="2"/>
  <c r="BB24" i="2"/>
  <c r="BB375" i="2" s="1"/>
  <c r="AD377" i="2"/>
  <c r="AV26" i="2"/>
  <c r="AV377" i="2" s="1"/>
  <c r="AE377" i="2" l="1"/>
  <c r="AW26" i="2"/>
  <c r="AW377" i="2" s="1"/>
  <c r="U388" i="2"/>
  <c r="AB380" i="2"/>
  <c r="AT29" i="2"/>
  <c r="AT380" i="2" s="1"/>
  <c r="AC379" i="2"/>
  <c r="AU28" i="2"/>
  <c r="AU379" i="2" s="1"/>
  <c r="R393" i="2"/>
  <c r="R43" i="2"/>
  <c r="R394" i="2" s="1"/>
  <c r="T391" i="2"/>
  <c r="R396" i="2"/>
  <c r="S392" i="2"/>
  <c r="AK375" i="2"/>
  <c r="BC24" i="2"/>
  <c r="BC375" i="2" s="1"/>
  <c r="S43" i="2"/>
  <c r="S394" i="2" s="1"/>
  <c r="S393" i="2"/>
  <c r="AI376" i="2"/>
  <c r="BA25" i="2"/>
  <c r="BA376" i="2" s="1"/>
  <c r="M398" i="2"/>
  <c r="T42" i="2"/>
  <c r="W386" i="2"/>
  <c r="X386" i="2" s="1"/>
  <c r="Y384" i="2"/>
  <c r="AQ33" i="2"/>
  <c r="AQ384" i="2" s="1"/>
  <c r="Q397" i="2"/>
  <c r="T389" i="2"/>
  <c r="Y35" i="2"/>
  <c r="W385" i="2"/>
  <c r="X385" i="2" s="1"/>
  <c r="AD378" i="2"/>
  <c r="AV27" i="2"/>
  <c r="AV378" i="2" s="1"/>
  <c r="AA381" i="2"/>
  <c r="AS30" i="2"/>
  <c r="AS381" i="2" s="1"/>
  <c r="AK374" i="2"/>
  <c r="BC23" i="2"/>
  <c r="BC374" i="2" s="1"/>
  <c r="Z382" i="2"/>
  <c r="AR31" i="2"/>
  <c r="AR382" i="2" s="1"/>
  <c r="Y386" i="2" l="1"/>
  <c r="AQ35" i="2"/>
  <c r="AQ386" i="2" s="1"/>
  <c r="AA382" i="2"/>
  <c r="AS31" i="2"/>
  <c r="AS382" i="2" s="1"/>
  <c r="AB381" i="2"/>
  <c r="AT30" i="2"/>
  <c r="AT381" i="2" s="1"/>
  <c r="U389" i="2"/>
  <c r="R397" i="2"/>
  <c r="T393" i="2"/>
  <c r="T43" i="2"/>
  <c r="Q398" i="2"/>
  <c r="AL375" i="2"/>
  <c r="BD24" i="2"/>
  <c r="BD375" i="2" s="1"/>
  <c r="T392" i="2"/>
  <c r="U391" i="2"/>
  <c r="AD379" i="2"/>
  <c r="AV28" i="2"/>
  <c r="AV379" i="2" s="1"/>
  <c r="AC380" i="2"/>
  <c r="AU29" i="2"/>
  <c r="AU380" i="2" s="1"/>
  <c r="U39" i="2"/>
  <c r="AI377" i="2"/>
  <c r="BA26" i="2"/>
  <c r="BA377" i="2" s="1"/>
  <c r="AL374" i="2"/>
  <c r="BD23" i="2"/>
  <c r="BD374" i="2" s="1"/>
  <c r="AE378" i="2"/>
  <c r="AW27" i="2"/>
  <c r="AW378" i="2" s="1"/>
  <c r="Y385" i="2"/>
  <c r="AQ34" i="2"/>
  <c r="AQ385" i="2" s="1"/>
  <c r="Z35" i="2"/>
  <c r="Z384" i="2"/>
  <c r="AR33" i="2"/>
  <c r="AR384" i="2" s="1"/>
  <c r="AJ376" i="2"/>
  <c r="BB25" i="2"/>
  <c r="BB376" i="2" s="1"/>
  <c r="S396" i="2"/>
  <c r="W388" i="2"/>
  <c r="X388" i="2" s="1"/>
  <c r="W39" i="2"/>
  <c r="X39" i="2" l="1"/>
  <c r="W390" i="2"/>
  <c r="Z386" i="2"/>
  <c r="AR35" i="2"/>
  <c r="AR386" i="2" s="1"/>
  <c r="Z385" i="2"/>
  <c r="AR34" i="2"/>
  <c r="AR385" i="2" s="1"/>
  <c r="AM374" i="2"/>
  <c r="BE23" i="2"/>
  <c r="BE374" i="2" s="1"/>
  <c r="U390" i="2"/>
  <c r="U42" i="2"/>
  <c r="AD380" i="2"/>
  <c r="AV29" i="2"/>
  <c r="AV380" i="2" s="1"/>
  <c r="W391" i="2"/>
  <c r="X391" i="2" s="1"/>
  <c r="AM375" i="2"/>
  <c r="BE24" i="2"/>
  <c r="BE375" i="2" s="1"/>
  <c r="T394" i="2"/>
  <c r="S397" i="2"/>
  <c r="AQ37" i="2"/>
  <c r="AQ388" i="2" s="1"/>
  <c r="Y388" i="2"/>
  <c r="T396" i="2"/>
  <c r="AK376" i="2"/>
  <c r="BC25" i="2"/>
  <c r="BC376" i="2" s="1"/>
  <c r="AA35" i="2"/>
  <c r="AA384" i="2"/>
  <c r="AS33" i="2"/>
  <c r="AS384" i="2" s="1"/>
  <c r="AI378" i="2"/>
  <c r="BA27" i="2"/>
  <c r="BA378" i="2" s="1"/>
  <c r="AJ377" i="2"/>
  <c r="BB26" i="2"/>
  <c r="BB377" i="2" s="1"/>
  <c r="AE379" i="2"/>
  <c r="AW28" i="2"/>
  <c r="AW379" i="2" s="1"/>
  <c r="U392" i="2"/>
  <c r="R398" i="2"/>
  <c r="W389" i="2"/>
  <c r="X389" i="2" s="1"/>
  <c r="AC381" i="2"/>
  <c r="AU30" i="2"/>
  <c r="AU381" i="2" s="1"/>
  <c r="AB382" i="2"/>
  <c r="AT31" i="2"/>
  <c r="AT382" i="2" s="1"/>
  <c r="X390" i="2" l="1"/>
  <c r="AC382" i="2"/>
  <c r="AU31" i="2"/>
  <c r="AU382" i="2" s="1"/>
  <c r="AD381" i="2"/>
  <c r="AV30" i="2"/>
  <c r="AV381" i="2" s="1"/>
  <c r="S398" i="2"/>
  <c r="W392" i="2"/>
  <c r="X392" i="2" s="1"/>
  <c r="AA386" i="2"/>
  <c r="AS35" i="2"/>
  <c r="AS386" i="2" s="1"/>
  <c r="AR37" i="2"/>
  <c r="AR388" i="2" s="1"/>
  <c r="Z388" i="2"/>
  <c r="AQ40" i="2"/>
  <c r="AQ391" i="2" s="1"/>
  <c r="Y391" i="2"/>
  <c r="U393" i="2"/>
  <c r="U43" i="2"/>
  <c r="AO374" i="2"/>
  <c r="AP374" i="2" s="1"/>
  <c r="BH374" i="2" s="1"/>
  <c r="BG23" i="2"/>
  <c r="BG374" i="2" s="1"/>
  <c r="AQ38" i="2"/>
  <c r="AQ389" i="2" s="1"/>
  <c r="Y389" i="2"/>
  <c r="AI379" i="2"/>
  <c r="BA28" i="2"/>
  <c r="BA379" i="2" s="1"/>
  <c r="AK377" i="2"/>
  <c r="BC26" i="2"/>
  <c r="BC377" i="2" s="1"/>
  <c r="AJ378" i="2"/>
  <c r="BB27" i="2"/>
  <c r="BB378" i="2" s="1"/>
  <c r="AB384" i="2"/>
  <c r="AT33" i="2"/>
  <c r="AT384" i="2" s="1"/>
  <c r="AL376" i="2"/>
  <c r="BD25" i="2"/>
  <c r="BD376" i="2" s="1"/>
  <c r="U396" i="2"/>
  <c r="Y39" i="2"/>
  <c r="T397" i="2"/>
  <c r="AO375" i="2"/>
  <c r="AP375" i="2" s="1"/>
  <c r="BH375" i="2" s="1"/>
  <c r="BG24" i="2"/>
  <c r="BG375" i="2" s="1"/>
  <c r="AE380" i="2"/>
  <c r="AW29" i="2"/>
  <c r="AW380" i="2" s="1"/>
  <c r="AB35" i="2"/>
  <c r="AA385" i="2"/>
  <c r="AS34" i="2"/>
  <c r="AS385" i="2" s="1"/>
  <c r="W42" i="2"/>
  <c r="X42" i="2" s="1"/>
  <c r="AO392" i="2"/>
  <c r="BG41" i="2"/>
  <c r="BG392" i="2" l="1"/>
  <c r="AB386" i="2"/>
  <c r="AT35" i="2"/>
  <c r="AT386" i="2" s="1"/>
  <c r="W43" i="2"/>
  <c r="X43" i="2" s="1"/>
  <c r="W393" i="2"/>
  <c r="X393" i="2" s="1"/>
  <c r="AI380" i="2"/>
  <c r="BA29" i="2"/>
  <c r="BA380" i="2" s="1"/>
  <c r="U397" i="2"/>
  <c r="AQ39" i="2"/>
  <c r="AQ390" i="2" s="1"/>
  <c r="Y390" i="2"/>
  <c r="Y42" i="2"/>
  <c r="AJ379" i="2"/>
  <c r="BB28" i="2"/>
  <c r="BB379" i="2" s="1"/>
  <c r="AR38" i="2"/>
  <c r="AR389" i="2" s="1"/>
  <c r="Z389" i="2"/>
  <c r="U394" i="2"/>
  <c r="AS37" i="2"/>
  <c r="AS388" i="2" s="1"/>
  <c r="AA39" i="2"/>
  <c r="AA388" i="2"/>
  <c r="AQ41" i="2"/>
  <c r="AQ392" i="2" s="1"/>
  <c r="Y392" i="2"/>
  <c r="AE381" i="2"/>
  <c r="AW30" i="2"/>
  <c r="AW381" i="2" s="1"/>
  <c r="AB385" i="2"/>
  <c r="AT34" i="2"/>
  <c r="AT385" i="2" s="1"/>
  <c r="W396" i="2"/>
  <c r="X396" i="2" s="1"/>
  <c r="AM376" i="2"/>
  <c r="BE25" i="2"/>
  <c r="BE376" i="2" s="1"/>
  <c r="AC35" i="2"/>
  <c r="AC384" i="2"/>
  <c r="AU33" i="2"/>
  <c r="AU384" i="2" s="1"/>
  <c r="AK378" i="2"/>
  <c r="BC27" i="2"/>
  <c r="BC378" i="2" s="1"/>
  <c r="AL377" i="2"/>
  <c r="BD26" i="2"/>
  <c r="BD377" i="2" s="1"/>
  <c r="Z391" i="2"/>
  <c r="AR40" i="2"/>
  <c r="AR391" i="2" s="1"/>
  <c r="Z39" i="2"/>
  <c r="T398" i="2"/>
  <c r="AD382" i="2"/>
  <c r="AV31" i="2"/>
  <c r="AV382" i="2" s="1"/>
  <c r="W394" i="2" l="1"/>
  <c r="X394" i="2" s="1"/>
  <c r="U398" i="2"/>
  <c r="AS40" i="2"/>
  <c r="AS391" i="2" s="1"/>
  <c r="AA391" i="2"/>
  <c r="AL378" i="2"/>
  <c r="BD27" i="2"/>
  <c r="AD384" i="2"/>
  <c r="AV33" i="2"/>
  <c r="AV384" i="2" s="1"/>
  <c r="AO376" i="2"/>
  <c r="AP376" i="2" s="1"/>
  <c r="BH376" i="2" s="1"/>
  <c r="BG25" i="2"/>
  <c r="BG376" i="2" s="1"/>
  <c r="AD35" i="2"/>
  <c r="AH35" i="2" s="1"/>
  <c r="AC385" i="2"/>
  <c r="AU34" i="2"/>
  <c r="AU385" i="2" s="1"/>
  <c r="AI381" i="2"/>
  <c r="BA30" i="2"/>
  <c r="BA381" i="2" s="1"/>
  <c r="AR41" i="2"/>
  <c r="AR392" i="2" s="1"/>
  <c r="Z392" i="2"/>
  <c r="AS39" i="2"/>
  <c r="AS390" i="2" s="1"/>
  <c r="AA390" i="2"/>
  <c r="AA42" i="2"/>
  <c r="Y43" i="2"/>
  <c r="AQ42" i="2"/>
  <c r="AQ393" i="2" s="1"/>
  <c r="Y393" i="2"/>
  <c r="AJ380" i="2"/>
  <c r="BB29" i="2"/>
  <c r="BB380" i="2" s="1"/>
  <c r="AE382" i="2"/>
  <c r="AW31" i="2"/>
  <c r="AW382" i="2" s="1"/>
  <c r="AR39" i="2"/>
  <c r="AR390" i="2" s="1"/>
  <c r="Z390" i="2"/>
  <c r="Z42" i="2"/>
  <c r="AM377" i="2"/>
  <c r="BE26" i="2"/>
  <c r="AC386" i="2"/>
  <c r="AU35" i="2"/>
  <c r="AU386" i="2" s="1"/>
  <c r="Y396" i="2"/>
  <c r="AQ45" i="2"/>
  <c r="AQ396" i="2" s="1"/>
  <c r="AB388" i="2"/>
  <c r="AT37" i="2"/>
  <c r="AT388" i="2" s="1"/>
  <c r="AA389" i="2"/>
  <c r="AS38" i="2"/>
  <c r="AS389" i="2" s="1"/>
  <c r="AK379" i="2"/>
  <c r="BC28" i="2"/>
  <c r="BC379" i="2" s="1"/>
  <c r="W397" i="2"/>
  <c r="X397" i="2" s="1"/>
  <c r="AH42" i="2" l="1"/>
  <c r="AZ35" i="2"/>
  <c r="AH386" i="2"/>
  <c r="AZ386" i="2" s="1"/>
  <c r="BE377" i="2"/>
  <c r="BD378" i="2"/>
  <c r="AD386" i="2"/>
  <c r="AV35" i="2"/>
  <c r="AV386" i="2" s="1"/>
  <c r="AL379" i="2"/>
  <c r="BD28" i="2"/>
  <c r="BD379" i="2" s="1"/>
  <c r="AB389" i="2"/>
  <c r="AT38" i="2"/>
  <c r="AT389" i="2" s="1"/>
  <c r="Y397" i="2"/>
  <c r="AQ46" i="2"/>
  <c r="AQ397" i="2" s="1"/>
  <c r="AC39" i="2"/>
  <c r="AU37" i="2"/>
  <c r="AU388" i="2" s="1"/>
  <c r="AC388" i="2"/>
  <c r="Z396" i="2"/>
  <c r="AR45" i="2"/>
  <c r="AR396" i="2" s="1"/>
  <c r="AO377" i="2"/>
  <c r="AP377" i="2" s="1"/>
  <c r="BH377" i="2" s="1"/>
  <c r="BG26" i="2"/>
  <c r="BG377" i="2" s="1"/>
  <c r="Y394" i="2"/>
  <c r="AQ43" i="2"/>
  <c r="AQ394" i="2" s="1"/>
  <c r="AA392" i="2"/>
  <c r="AS41" i="2"/>
  <c r="AS392" i="2" s="1"/>
  <c r="AJ381" i="2"/>
  <c r="BB30" i="2"/>
  <c r="BB381" i="2" s="1"/>
  <c r="AM378" i="2"/>
  <c r="AP378" i="2" s="1"/>
  <c r="BH378" i="2" s="1"/>
  <c r="BE27" i="2"/>
  <c r="BE378" i="2" s="1"/>
  <c r="W398" i="2"/>
  <c r="X398" i="2" s="1"/>
  <c r="AB39" i="2"/>
  <c r="Z393" i="2"/>
  <c r="Z43" i="2"/>
  <c r="AR42" i="2"/>
  <c r="AR393" i="2" s="1"/>
  <c r="AI382" i="2"/>
  <c r="BA31" i="2"/>
  <c r="BA382" i="2" s="1"/>
  <c r="AK380" i="2"/>
  <c r="BC29" i="2"/>
  <c r="BC380" i="2" s="1"/>
  <c r="AA393" i="2"/>
  <c r="AS42" i="2"/>
  <c r="AS393" i="2" s="1"/>
  <c r="AA43" i="2"/>
  <c r="AD385" i="2"/>
  <c r="AV34" i="2"/>
  <c r="AV385" i="2" s="1"/>
  <c r="AE384" i="2"/>
  <c r="AW33" i="2"/>
  <c r="AW384" i="2" s="1"/>
  <c r="AB391" i="2"/>
  <c r="AT40" i="2"/>
  <c r="AT391" i="2" s="1"/>
  <c r="AH43" i="2" l="1"/>
  <c r="AZ42" i="2"/>
  <c r="AH393" i="2"/>
  <c r="AZ393" i="2" s="1"/>
  <c r="AC391" i="2"/>
  <c r="AU40" i="2"/>
  <c r="AU391" i="2" s="1"/>
  <c r="AI384" i="2"/>
  <c r="BA33" i="2"/>
  <c r="BA384" i="2" s="1"/>
  <c r="AS43" i="2"/>
  <c r="AS394" i="2" s="1"/>
  <c r="AA394" i="2"/>
  <c r="AK381" i="2"/>
  <c r="BC30" i="2"/>
  <c r="BC381" i="2" s="1"/>
  <c r="Z397" i="2"/>
  <c r="AR46" i="2"/>
  <c r="AR397" i="2" s="1"/>
  <c r="AC389" i="2"/>
  <c r="AU38" i="2"/>
  <c r="AU389" i="2" s="1"/>
  <c r="AM379" i="2"/>
  <c r="AP379" i="2" s="1"/>
  <c r="BH379" i="2" s="1"/>
  <c r="BE28" i="2"/>
  <c r="BE379" i="2" s="1"/>
  <c r="AE386" i="2"/>
  <c r="AW35" i="2"/>
  <c r="AW386" i="2" s="1"/>
  <c r="AE385" i="2"/>
  <c r="AW34" i="2"/>
  <c r="AW385" i="2" s="1"/>
  <c r="AL380" i="2"/>
  <c r="BD29" i="2"/>
  <c r="BD380" i="2" s="1"/>
  <c r="AJ382" i="2"/>
  <c r="BB31" i="2"/>
  <c r="BB382" i="2" s="1"/>
  <c r="AR43" i="2"/>
  <c r="AR394" i="2" s="1"/>
  <c r="Z394" i="2"/>
  <c r="AT39" i="2"/>
  <c r="AT390" i="2" s="1"/>
  <c r="AB390" i="2"/>
  <c r="AB42" i="2"/>
  <c r="Y398" i="2"/>
  <c r="AQ47" i="2"/>
  <c r="AQ398" i="2" s="1"/>
  <c r="AB392" i="2"/>
  <c r="AT41" i="2"/>
  <c r="AT392" i="2" s="1"/>
  <c r="AA396" i="2"/>
  <c r="AS45" i="2"/>
  <c r="AS396" i="2" s="1"/>
  <c r="AD39" i="2"/>
  <c r="AV37" i="2"/>
  <c r="AV388" i="2" s="1"/>
  <c r="AD388" i="2"/>
  <c r="AU39" i="2"/>
  <c r="AU390" i="2" s="1"/>
  <c r="AC390" i="2"/>
  <c r="AC42" i="2"/>
  <c r="AZ43" i="2" l="1"/>
  <c r="AH394" i="2"/>
  <c r="AZ394" i="2" s="1"/>
  <c r="AC393" i="2"/>
  <c r="AC43" i="2"/>
  <c r="AU42" i="2"/>
  <c r="AU393" i="2" s="1"/>
  <c r="AW37" i="2"/>
  <c r="AW388" i="2" s="1"/>
  <c r="AE388" i="2"/>
  <c r="AV39" i="2"/>
  <c r="AV390" i="2" s="1"/>
  <c r="AD390" i="2"/>
  <c r="Z398" i="2"/>
  <c r="AR47" i="2"/>
  <c r="AR398" i="2" s="1"/>
  <c r="AB393" i="2"/>
  <c r="AT42" i="2"/>
  <c r="AT393" i="2" s="1"/>
  <c r="AB43" i="2"/>
  <c r="AK382" i="2"/>
  <c r="BC31" i="2"/>
  <c r="AI385" i="2"/>
  <c r="BA34" i="2"/>
  <c r="BA385" i="2" s="1"/>
  <c r="AD389" i="2"/>
  <c r="AV38" i="2"/>
  <c r="AV389" i="2" s="1"/>
  <c r="AA397" i="2"/>
  <c r="AS46" i="2"/>
  <c r="AS397" i="2" s="1"/>
  <c r="AI35" i="2"/>
  <c r="AV40" i="2"/>
  <c r="AV391" i="2" s="1"/>
  <c r="AD391" i="2"/>
  <c r="AB396" i="2"/>
  <c r="AT45" i="2"/>
  <c r="AT396" i="2" s="1"/>
  <c r="AC392" i="2"/>
  <c r="AU41" i="2"/>
  <c r="AU392" i="2" s="1"/>
  <c r="AM380" i="2"/>
  <c r="BE29" i="2"/>
  <c r="BE380" i="2" s="1"/>
  <c r="AL381" i="2"/>
  <c r="BD30" i="2"/>
  <c r="BD381" i="2" s="1"/>
  <c r="AJ35" i="2"/>
  <c r="AJ384" i="2"/>
  <c r="BB33" i="2"/>
  <c r="BB384" i="2" s="1"/>
  <c r="BC382" i="2" l="1"/>
  <c r="AM381" i="2"/>
  <c r="AP381" i="2" s="1"/>
  <c r="BH381" i="2" s="1"/>
  <c r="BE30" i="2"/>
  <c r="BE381" i="2" s="1"/>
  <c r="AK384" i="2"/>
  <c r="BC33" i="2"/>
  <c r="BC384" i="2" s="1"/>
  <c r="AD392" i="2"/>
  <c r="AV41" i="2"/>
  <c r="AV392" i="2" s="1"/>
  <c r="AC396" i="2"/>
  <c r="AU45" i="2"/>
  <c r="AU396" i="2" s="1"/>
  <c r="AE391" i="2"/>
  <c r="AW40" i="2"/>
  <c r="AW391" i="2" s="1"/>
  <c r="AA398" i="2"/>
  <c r="AS47" i="2"/>
  <c r="AS398" i="2" s="1"/>
  <c r="AJ386" i="2"/>
  <c r="BB35" i="2"/>
  <c r="BB386" i="2" s="1"/>
  <c r="AO380" i="2"/>
  <c r="AP380" i="2" s="1"/>
  <c r="BH380" i="2" s="1"/>
  <c r="BG29" i="2"/>
  <c r="AI386" i="2"/>
  <c r="BA35" i="2"/>
  <c r="AB397" i="2"/>
  <c r="AT46" i="2"/>
  <c r="AT397" i="2" s="1"/>
  <c r="AE389" i="2"/>
  <c r="AW38" i="2"/>
  <c r="AW389" i="2" s="1"/>
  <c r="AJ385" i="2"/>
  <c r="BB34" i="2"/>
  <c r="AL382" i="2"/>
  <c r="BD31" i="2"/>
  <c r="BD382" i="2" s="1"/>
  <c r="AB394" i="2"/>
  <c r="AT43" i="2"/>
  <c r="AT394" i="2" s="1"/>
  <c r="AD42" i="2"/>
  <c r="BA37" i="2"/>
  <c r="BA388" i="2" s="1"/>
  <c r="AI39" i="2"/>
  <c r="AI388" i="2"/>
  <c r="AE39" i="2"/>
  <c r="AC394" i="2"/>
  <c r="AU43" i="2"/>
  <c r="AU394" i="2" s="1"/>
  <c r="BA386" i="2" l="1"/>
  <c r="BB385" i="2"/>
  <c r="BG380" i="2"/>
  <c r="AE390" i="2"/>
  <c r="AW39" i="2"/>
  <c r="AW390" i="2" s="1"/>
  <c r="AE42" i="2"/>
  <c r="AI390" i="2"/>
  <c r="BA39" i="2"/>
  <c r="BA390" i="2" s="1"/>
  <c r="BB37" i="2"/>
  <c r="BB388" i="2" s="1"/>
  <c r="AJ388" i="2"/>
  <c r="AL35" i="2"/>
  <c r="AK385" i="2"/>
  <c r="BC34" i="2"/>
  <c r="BC385" i="2" s="1"/>
  <c r="AI389" i="2"/>
  <c r="AJ39" i="2"/>
  <c r="BA38" i="2"/>
  <c r="BA389" i="2" s="1"/>
  <c r="AC397" i="2"/>
  <c r="AU46" i="2"/>
  <c r="AU397" i="2" s="1"/>
  <c r="BA40" i="2"/>
  <c r="BA391" i="2" s="1"/>
  <c r="AI391" i="2"/>
  <c r="AD396" i="2"/>
  <c r="AV45" i="2"/>
  <c r="AV396" i="2" s="1"/>
  <c r="AL384" i="2"/>
  <c r="BD33" i="2"/>
  <c r="AD43" i="2"/>
  <c r="AV42" i="2"/>
  <c r="AV393" i="2" s="1"/>
  <c r="AD393" i="2"/>
  <c r="AM382" i="2"/>
  <c r="AP382" i="2" s="1"/>
  <c r="BH382" i="2" s="1"/>
  <c r="BE31" i="2"/>
  <c r="AB398" i="2"/>
  <c r="AT47" i="2"/>
  <c r="AT398" i="2" s="1"/>
  <c r="AE392" i="2"/>
  <c r="AW41" i="2"/>
  <c r="AW392" i="2" s="1"/>
  <c r="AK35" i="2"/>
  <c r="BD384" i="2" l="1"/>
  <c r="BE382" i="2"/>
  <c r="AJ390" i="2"/>
  <c r="BB39" i="2"/>
  <c r="BB390" i="2" s="1"/>
  <c r="AK386" i="2"/>
  <c r="BC35" i="2"/>
  <c r="BA41" i="2"/>
  <c r="BA392" i="2" s="1"/>
  <c r="AI392" i="2"/>
  <c r="AC398" i="2"/>
  <c r="AU47" i="2"/>
  <c r="AU398" i="2" s="1"/>
  <c r="AM384" i="2"/>
  <c r="BE33" i="2"/>
  <c r="BE384" i="2" s="1"/>
  <c r="AE396" i="2"/>
  <c r="AW45" i="2"/>
  <c r="AW396" i="2" s="1"/>
  <c r="AI42" i="2"/>
  <c r="AD397" i="2"/>
  <c r="AV46" i="2"/>
  <c r="AV397" i="2" s="1"/>
  <c r="AL385" i="2"/>
  <c r="BD34" i="2"/>
  <c r="BD385" i="2" s="1"/>
  <c r="BC37" i="2"/>
  <c r="BC388" i="2" s="1"/>
  <c r="AK388" i="2"/>
  <c r="AW42" i="2"/>
  <c r="AW393" i="2" s="1"/>
  <c r="AE43" i="2"/>
  <c r="AE393" i="2"/>
  <c r="AV43" i="2"/>
  <c r="AD394" i="2"/>
  <c r="AL386" i="2"/>
  <c r="BD35" i="2"/>
  <c r="BD386" i="2" s="1"/>
  <c r="BB40" i="2"/>
  <c r="BB391" i="2" s="1"/>
  <c r="AJ391" i="2"/>
  <c r="AJ389" i="2"/>
  <c r="BB38" i="2"/>
  <c r="BB389" i="2" s="1"/>
  <c r="BC386" i="2" l="1"/>
  <c r="AV394" i="2"/>
  <c r="AK389" i="2"/>
  <c r="BC38" i="2"/>
  <c r="BC389" i="2" s="1"/>
  <c r="AE394" i="2"/>
  <c r="AW43" i="2"/>
  <c r="AW394" i="2" s="1"/>
  <c r="AK39" i="2"/>
  <c r="AM385" i="2"/>
  <c r="BE34" i="2"/>
  <c r="BE385" i="2" s="1"/>
  <c r="AI396" i="2"/>
  <c r="BA45" i="2"/>
  <c r="BA396" i="2" s="1"/>
  <c r="AO35" i="2"/>
  <c r="AO384" i="2"/>
  <c r="AP384" i="2" s="1"/>
  <c r="BH384" i="2" s="1"/>
  <c r="BG33" i="2"/>
  <c r="AD398" i="2"/>
  <c r="AV47" i="2"/>
  <c r="AV398" i="2" s="1"/>
  <c r="BB41" i="2"/>
  <c r="BB392" i="2" s="1"/>
  <c r="AJ392" i="2"/>
  <c r="BC40" i="2"/>
  <c r="BC391" i="2" s="1"/>
  <c r="AK391" i="2"/>
  <c r="AL39" i="2"/>
  <c r="BD37" i="2"/>
  <c r="BD388" i="2" s="1"/>
  <c r="AL388" i="2"/>
  <c r="AE397" i="2"/>
  <c r="AW46" i="2"/>
  <c r="AW397" i="2" s="1"/>
  <c r="BA42" i="2"/>
  <c r="BA393" i="2" s="1"/>
  <c r="AI43" i="2"/>
  <c r="AI393" i="2"/>
  <c r="AM35" i="2"/>
  <c r="AJ42" i="2"/>
  <c r="AP35" i="2" l="1"/>
  <c r="BH35" i="2" s="1"/>
  <c r="BG384" i="2"/>
  <c r="AJ393" i="2"/>
  <c r="AJ43" i="2"/>
  <c r="BB42" i="2"/>
  <c r="BB393" i="2" s="1"/>
  <c r="AI397" i="2"/>
  <c r="BA46" i="2"/>
  <c r="BA397" i="2" s="1"/>
  <c r="AL391" i="2"/>
  <c r="BD40" i="2"/>
  <c r="BD391" i="2" s="1"/>
  <c r="AE398" i="2"/>
  <c r="AW47" i="2"/>
  <c r="AW398" i="2" s="1"/>
  <c r="AO386" i="2"/>
  <c r="BG35" i="2"/>
  <c r="BG386" i="2" s="1"/>
  <c r="AJ396" i="2"/>
  <c r="BB45" i="2"/>
  <c r="BB396" i="2" s="1"/>
  <c r="AK390" i="2"/>
  <c r="BC39" i="2"/>
  <c r="BC390" i="2" s="1"/>
  <c r="AK42" i="2"/>
  <c r="BD38" i="2"/>
  <c r="BD389" i="2" s="1"/>
  <c r="AL389" i="2"/>
  <c r="AM386" i="2"/>
  <c r="BE35" i="2"/>
  <c r="BA43" i="2"/>
  <c r="BA394" i="2" s="1"/>
  <c r="AI394" i="2"/>
  <c r="AM39" i="2"/>
  <c r="BE37" i="2"/>
  <c r="BE388" i="2" s="1"/>
  <c r="AM388" i="2"/>
  <c r="AL390" i="2"/>
  <c r="BD39" i="2"/>
  <c r="BD390" i="2" s="1"/>
  <c r="AL42" i="2"/>
  <c r="BC41" i="2"/>
  <c r="BC392" i="2" s="1"/>
  <c r="AK392" i="2"/>
  <c r="AO385" i="2"/>
  <c r="AP385" i="2" s="1"/>
  <c r="BH385" i="2" s="1"/>
  <c r="BG34" i="2"/>
  <c r="AP386" i="2" l="1"/>
  <c r="BH386" i="2" s="1"/>
  <c r="BG385" i="2"/>
  <c r="BE386" i="2"/>
  <c r="AL393" i="2"/>
  <c r="AL43" i="2"/>
  <c r="BD42" i="2"/>
  <c r="BD393" i="2" s="1"/>
  <c r="BG37" i="2"/>
  <c r="BG388" i="2" s="1"/>
  <c r="AO388" i="2"/>
  <c r="AP388" i="2" s="1"/>
  <c r="BH388" i="2" s="1"/>
  <c r="AM390" i="2"/>
  <c r="BE39" i="2"/>
  <c r="BE390" i="2" s="1"/>
  <c r="AK393" i="2"/>
  <c r="AK43" i="2"/>
  <c r="BC42" i="2"/>
  <c r="BC393" i="2" s="1"/>
  <c r="AM391" i="2"/>
  <c r="BE40" i="2"/>
  <c r="BE391" i="2" s="1"/>
  <c r="AJ397" i="2"/>
  <c r="BB46" i="2"/>
  <c r="BB397" i="2" s="1"/>
  <c r="AJ394" i="2"/>
  <c r="BB43" i="2"/>
  <c r="BB394" i="2" s="1"/>
  <c r="BD41" i="2"/>
  <c r="BD392" i="2" s="1"/>
  <c r="AL392" i="2"/>
  <c r="AM389" i="2"/>
  <c r="BE38" i="2"/>
  <c r="BE389" i="2" s="1"/>
  <c r="AK396" i="2"/>
  <c r="BC45" i="2"/>
  <c r="BC396" i="2" s="1"/>
  <c r="AI398" i="2"/>
  <c r="BA47" i="2"/>
  <c r="BA398" i="2" s="1"/>
  <c r="AJ398" i="2" l="1"/>
  <c r="BB47" i="2"/>
  <c r="BB398" i="2" s="1"/>
  <c r="AL396" i="2"/>
  <c r="BD45" i="2"/>
  <c r="BD396" i="2" s="1"/>
  <c r="AO389" i="2"/>
  <c r="AP389" i="2" s="1"/>
  <c r="BH389" i="2" s="1"/>
  <c r="BG38" i="2"/>
  <c r="BG389" i="2" s="1"/>
  <c r="AM392" i="2"/>
  <c r="AP392" i="2" s="1"/>
  <c r="BH392" i="2" s="1"/>
  <c r="BE41" i="2"/>
  <c r="BE392" i="2" s="1"/>
  <c r="AK394" i="2"/>
  <c r="BC43" i="2"/>
  <c r="BC394" i="2" s="1"/>
  <c r="AM42" i="2"/>
  <c r="AO39" i="2"/>
  <c r="AP39" i="2" s="1"/>
  <c r="BH39" i="2" s="1"/>
  <c r="BD43" i="2"/>
  <c r="BD394" i="2" s="1"/>
  <c r="AL394" i="2"/>
  <c r="AK397" i="2"/>
  <c r="BC46" i="2"/>
  <c r="BC397" i="2" s="1"/>
  <c r="BG40" i="2"/>
  <c r="BG391" i="2" s="1"/>
  <c r="AO391" i="2"/>
  <c r="AP391" i="2" s="1"/>
  <c r="BH391" i="2" s="1"/>
  <c r="AO390" i="2" l="1"/>
  <c r="AP390" i="2" s="1"/>
  <c r="BH390" i="2" s="1"/>
  <c r="BG39" i="2"/>
  <c r="BG390" i="2" s="1"/>
  <c r="AO42" i="2"/>
  <c r="AP42" i="2" s="1"/>
  <c r="BH42" i="2" s="1"/>
  <c r="AM396" i="2"/>
  <c r="BE45" i="2"/>
  <c r="AL397" i="2"/>
  <c r="BD46" i="2"/>
  <c r="BD397" i="2" s="1"/>
  <c r="AM43" i="2"/>
  <c r="AM393" i="2"/>
  <c r="BE42" i="2"/>
  <c r="AK398" i="2"/>
  <c r="BC47" i="2"/>
  <c r="BC398" i="2" s="1"/>
  <c r="BE396" i="2" l="1"/>
  <c r="BE393" i="2"/>
  <c r="AL398" i="2"/>
  <c r="BD47" i="2"/>
  <c r="BD398" i="2" s="1"/>
  <c r="AO43" i="2"/>
  <c r="AP43" i="2" s="1"/>
  <c r="BH43" i="2" s="1"/>
  <c r="AO393" i="2"/>
  <c r="AP393" i="2" s="1"/>
  <c r="BH393" i="2" s="1"/>
  <c r="BG42" i="2"/>
  <c r="AM394" i="2"/>
  <c r="BE43" i="2"/>
  <c r="BE394" i="2" s="1"/>
  <c r="AM397" i="2"/>
  <c r="BE46" i="2"/>
  <c r="AO396" i="2"/>
  <c r="AP396" i="2" s="1"/>
  <c r="BH396" i="2" s="1"/>
  <c r="BG45" i="2"/>
  <c r="BG396" i="2" s="1"/>
  <c r="BE397" i="2" l="1"/>
  <c r="BH45" i="2"/>
  <c r="BG393" i="2"/>
  <c r="BG43" i="2"/>
  <c r="AO394" i="2"/>
  <c r="AP394" i="2" s="1"/>
  <c r="BH394" i="2" s="1"/>
  <c r="AO397" i="2"/>
  <c r="AP397" i="2" s="1"/>
  <c r="BH397" i="2" s="1"/>
  <c r="BG46" i="2"/>
  <c r="BG397" i="2" s="1"/>
  <c r="AM398" i="2"/>
  <c r="BE47" i="2"/>
  <c r="BE398" i="2" s="1"/>
  <c r="BH46" i="2" l="1"/>
  <c r="BG394" i="2"/>
  <c r="AO398" i="2"/>
  <c r="AP398" i="2" s="1"/>
  <c r="BH398" i="2" s="1"/>
  <c r="BG47" i="2"/>
  <c r="BG398" i="2" s="1"/>
  <c r="BH47" i="2" l="1"/>
</calcChain>
</file>

<file path=xl/sharedStrings.xml><?xml version="1.0" encoding="utf-8"?>
<sst xmlns="http://schemas.openxmlformats.org/spreadsheetml/2006/main" count="2782" uniqueCount="220">
  <si>
    <t xml:space="preserve"> 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</si>
  <si>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columnas marcadas con línea punteada roja y con fondo verde indican las posiciones donde es posible agregar elementos.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/r>
    <r>
      <rPr>
        <sz val="10"/>
        <color indexed="10"/>
        <rFont val="Calibri"/>
        <family val="2"/>
      </rPr>
      <t xml:space="preserve">-Si se presiona el botón </t>
    </r>
    <r>
      <rPr>
        <b/>
        <sz val="10"/>
        <color indexed="10"/>
        <rFont val="Calibri"/>
        <family val="2"/>
      </rPr>
      <t>'Copiar Columna'</t>
    </r>
    <r>
      <rPr>
        <sz val="10"/>
        <color indexed="10"/>
        <rFont val="Calibri"/>
        <family val="2"/>
      </rPr>
      <t xml:space="preserve"> se copiará una columna  a la derecha de la columna actualmente seleccionada. </t>
    </r>
    <r>
      <rPr>
        <sz val="10"/>
        <rFont val="Calibri"/>
        <family val="2"/>
      </rPr>
      <t xml:space="preserve">
-Edite las columnas</t>
    </r>
    <r>
      <rPr>
        <b/>
        <sz val="10"/>
        <rFont val="Calibri"/>
        <family val="2"/>
      </rPr>
      <t xml:space="preserve"> coloreadas verde </t>
    </r>
    <r>
      <rPr>
        <sz val="10"/>
        <rFont val="Calibri"/>
        <family val="2"/>
      </rPr>
      <t xml:space="preserve">de acuerdo a sus necesidades.
-Las columnas verdes pueden ser editadas, eliminadas o duplicadas, así puede agregar mas detalle donde corresponda. Asegúrese de copiar la columna completa si desea duplicar un elemento (Se recomienda utilizar el botón 'Copiar Columna').
-Las columnas marcadas en plomo </t>
    </r>
    <r>
      <rPr>
        <b/>
        <sz val="10"/>
        <rFont val="Calibri"/>
        <family val="2"/>
      </rPr>
      <t>no deben ser editadas, eliminadas ni movidas.</t>
    </r>
  </si>
  <si>
    <t>Elimine la(s) columnas en verde que no apliquen para usted</t>
  </si>
  <si>
    <t>ACT</t>
  </si>
  <si>
    <t>Periodo Actual</t>
  </si>
  <si>
    <t>Periodo Anterior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</si>
  <si>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tabla  marcada con línea punteada roja y con fondo verde indican las posiciones donde es posible agregar elementos. Esta tabla puede ser copiada  debajo de este cuadro si se desean agregar mas columnas.
-Para cada columna creada (verde) debe escribirse una descripción (en rojo).
-Las tablas marcadas en plomo </t>
    </r>
    <r>
      <rPr>
        <b/>
        <sz val="10"/>
        <rFont val="Calibri"/>
        <family val="2"/>
      </rPr>
      <t>no deben ser editadas, eliminadas ni movidas.</t>
    </r>
  </si>
  <si>
    <t>DIMEAVA</t>
  </si>
  <si>
    <t>DIMENUE</t>
  </si>
  <si>
    <t>ANT</t>
  </si>
  <si>
    <t xml:space="preserve">    Información a revelar sobre activos intangibles [bloque de texto]  </t>
  </si>
  <si>
    <t xml:space="preserve">      Información a revelar detallada sobre activos intangibles [bloque de texto]  </t>
  </si>
  <si>
    <t xml:space="preserve">      Información a revelar sobre activos intangibles con vidas útiles indefinidas [bloque de texto]  </t>
  </si>
  <si>
    <t xml:space="preserve">      Información a revelar sobre activos intangibles significativos para la entidad [bloque de texto]  </t>
  </si>
  <si>
    <t xml:space="preserve">      Activos intangibles adquiridos mediante subvenciones del gobierno, valor razonable reconocido inicialmente [Número]</t>
  </si>
  <si>
    <t xml:space="preserve">      Activos intangibles adquiridos mediante subvenciones del gobierno [Número]</t>
  </si>
  <si>
    <t xml:space="preserve">      Explicación de activos adquiridos mediante una subvención del gobierno y reconocidos inicialmente por su valor razonable [Texto]</t>
  </si>
  <si>
    <t xml:space="preserve">      Activos intangibles cuya titularidad está restringida [Número]</t>
  </si>
  <si>
    <t xml:space="preserve">      Activos intangibles pignorados como garantía al cumplimiento de deudas [Número]</t>
  </si>
  <si>
    <t xml:space="preserve">      Compromisos contractuales para la adquisición de activos intangibles [Número]</t>
  </si>
  <si>
    <t xml:space="preserve">      Descripción de los activos intangibles totalmente amortizados [Texto]</t>
  </si>
  <si>
    <t xml:space="preserve">      Descripción de activos intangibles significativos controlados por la entidad pero no reconocidos [Texto]</t>
  </si>
  <si>
    <t xml:space="preserve">      Explicación de restricciones sobre la distribución de superávit de revaluación por activos intangibles [Texto]</t>
  </si>
  <si>
    <t xml:space="preserve">      Gasto por investigación y desarrollo [Número]</t>
  </si>
  <si>
    <t xml:space="preserve">            Descripción de la partida o partidas, del estado de resultado integral en las que está incluida la amortización de los activos intangibles [Texto]</t>
  </si>
  <si>
    <t xml:space="preserve">            Método de amortización, activos intangibles distintos de la plusvalía [Texto]</t>
  </si>
  <si>
    <t xml:space="preserve">            Fechas de vigencia de revaluación, activos intangibles distintos de la plusvalía [Texto]</t>
  </si>
  <si>
    <t xml:space="preserve">            Conciliación de cambios en activos intangibles distintos de la plusvalía [sinopsis]  </t>
  </si>
  <si>
    <t xml:space="preserve">              Activos intangibles distintos de la plusvalía [Número]</t>
  </si>
  <si>
    <t xml:space="preserve">              Cambios en activos intangibles distintos de la plusvalía [sinopsis]  </t>
  </si>
  <si>
    <t xml:space="preserve">                Incrementos distintos de los procedentes de combinaciones de negocios, activos intangibles distintos de la plusvalía [Número]</t>
  </si>
  <si>
    <t xml:space="preserve">                Adquisiciones realizadas mediante combinaciones de negocios, activos intangibles distintos a la plusvalía [Número]</t>
  </si>
  <si>
    <t xml:space="preserve">                Incremento (disminución) por diferencias de cambio netas, activos intangibles distintos de la plusvalía [Número]</t>
  </si>
  <si>
    <t xml:space="preserve">                Amortización, activos intangibles distintos de la plusvalía [Número]</t>
  </si>
  <si>
    <t xml:space="preserve">                Pérdidas por deterioro de valor reconocidas en el resultado del periodo, activos intangibles distintos de la plusvalía [Número]</t>
  </si>
  <si>
    <t xml:space="preserve">                Reversión de pérdidas por deterioro de valor reconocidas en el resultado del periodo, activos intangibles distintos de la plusvalía [Número]</t>
  </si>
  <si>
    <t xml:space="preserve">                Incrementos (disminuciones) de revaluaciones, activos intangibles distintos de la plusvalía [Número]</t>
  </si>
  <si>
    <t xml:space="preserve">                Pérdidas por deterioro de valor reconocidas en otro resultado integral, activos intangibles distintos de la plusvalía [Número]</t>
  </si>
  <si>
    <t xml:space="preserve">                Reversión de pérdidas por deterioro de valor reconocidas en otro resultado integral, activos intangibles distintos de la plusvalía [Número]</t>
  </si>
  <si>
    <t xml:space="preserve">                Incrementos (disminuciones) por transferencias y otros cambios, activos intangibles distintos de la plusvalía [resumen]  </t>
  </si>
  <si>
    <t xml:space="preserve">                  Incrementos (disminuciones) por transferencias, activos intangibles distintas de la plusvalía [Número]</t>
  </si>
  <si>
    <t xml:space="preserve">                  Incrementos (disminuciones) por otros cambios, activos intangibles distintos de la plusvalía [Número]</t>
  </si>
  <si>
    <t xml:space="preserve">                Disposiciones y retiros de servicio, activos intangibles distintos de la plusvalía [resumen]  </t>
  </si>
  <si>
    <t xml:space="preserve">                  Disposiciones, activos intangibles distintos de la plusvalía [Número]</t>
  </si>
  <si>
    <t xml:space="preserve">                  Retiros de servicio, activos intangibles distintos de la plusvalía [Número]</t>
  </si>
  <si>
    <t xml:space="preserve">                Disminuciones por clasificar como mantenidos para la venta, activos intangibles distintos de la plusvalía [Número]</t>
  </si>
  <si>
    <t xml:space="preserve">                Disminución por la pérdida de control de una subsidiaria, activos intangibles distintos de la plusvalía [Número]</t>
  </si>
  <si>
    <t xml:space="preserve">            Revaluación de activos intangibles [sinopsis]  </t>
  </si>
  <si>
    <t xml:space="preserve">              Activos intangibles distintos de la plusvalía, activos revaluados [Número]</t>
  </si>
  <si>
    <t xml:space="preserve">              Activos intangibles distintos de la plusvalía, activos revaluados, al costo [Número]</t>
  </si>
  <si>
    <t xml:space="preserve">              Activos intangibles distintos de la plusvalía, superávit de revaluación [Número]</t>
  </si>
  <si>
    <t xml:space="preserve">        Información a revelar detallada sobre activos intangibles [resumen]  </t>
  </si>
  <si>
    <t>INI</t>
  </si>
  <si>
    <t>Agregar columna opcional</t>
  </si>
  <si>
    <t xml:space="preserve">        Información a revelar sobre activos intangibles con vidas útiles indefinidas [resumen]  </t>
  </si>
  <si>
    <t xml:space="preserve">              Activos intangibles con vidas útiles indefinidas [miembro]  </t>
  </si>
  <si>
    <t xml:space="preserve">            Activos intangibles con vidas útiles indefinidas [Número]</t>
  </si>
  <si>
    <t xml:space="preserve">            Descripción de los activos intangibles con vida útil indefinida que soportan la evaluación de vida útil indefinida [Texto]</t>
  </si>
  <si>
    <t xml:space="preserve">        Información a revelar sobre activos intangibles significativos para la entidad [resumen]  </t>
  </si>
  <si>
    <t xml:space="preserve">              Activos intangibles significativos para la entidad [miembro]  </t>
  </si>
  <si>
    <t xml:space="preserve">            Descripción de los activos intangibles de importancia relativa para la entidad [Texto]</t>
  </si>
  <si>
    <t xml:space="preserve">            Activos intangibles materiales (con importancia relativa) para la entidad [Número]</t>
  </si>
  <si>
    <t xml:space="preserve">           Incremento (disminución) por transferencias y otros cambios, activos intangibles distintos de la plusvalía [Número]</t>
  </si>
  <si>
    <t xml:space="preserve">           Disposiciones y retiros de servicio, activos intangibles distintos de la plusvalía [Número]</t>
  </si>
  <si>
    <t xml:space="preserve">         Incremento (disminución) en activos intangibles distintos de la plusvalía [Número]</t>
  </si>
  <si>
    <t>Importe en libros en términos brutos [miembro]</t>
  </si>
  <si>
    <t>Depreciación acumulada, amortización y deterioro de valor [miembro]</t>
  </si>
  <si>
    <t>Importe en libros [miembro]</t>
  </si>
  <si>
    <t>Depreciación y amortización acumuladas [miembro]</t>
  </si>
  <si>
    <t>Deterioro de valor acumulado [miembro]</t>
  </si>
  <si>
    <t>Generados internamente [miembro]</t>
  </si>
  <si>
    <t>No generados internamente [miembro]</t>
  </si>
  <si>
    <t>Métodos de generación [miembro]</t>
  </si>
  <si>
    <t>Marcas comerciales [miembro]</t>
  </si>
  <si>
    <t>Activos intangibles de exploración y evaluación [miembro]</t>
  </si>
  <si>
    <t>Cabeceras de periódicos o revistas y títulos de publicaciones [miembro]</t>
  </si>
  <si>
    <t>Programas de computador [miembro]</t>
  </si>
  <si>
    <t>Licencias y franquicias [miembro]</t>
  </si>
  <si>
    <t>Derechos de propiedad intelectual, patentes y otros derechos de propiedad industrial, servicio y derechos de operación [miembro]</t>
  </si>
  <si>
    <t>Recetas, fórmulas, modelos, diseños y prototipos [miembro]</t>
  </si>
  <si>
    <t>Activos intangibles relacionados con clientes [miembro]</t>
  </si>
  <si>
    <t>Valor de negocio adquirido [miembro]</t>
  </si>
  <si>
    <t>Desembolsos de desarrollo capitalizados [miembro]</t>
  </si>
  <si>
    <t>Derechos de minería [miembro]</t>
  </si>
  <si>
    <t>Activos intangibles en desarrollo [miembro]</t>
  </si>
  <si>
    <t>Otros activos intangibles [miembro]</t>
  </si>
  <si>
    <t>Activos intangibles distintos de la plusvalía [miembro]</t>
  </si>
  <si>
    <t>Cierre periodo año actual</t>
  </si>
  <si>
    <t>Cierre periodo año anterior</t>
  </si>
  <si>
    <t>Trimestre acumulado año actual</t>
  </si>
  <si>
    <t>Trimestre acumulado año anterior</t>
  </si>
  <si>
    <t>Último trimestre año actual</t>
  </si>
  <si>
    <t>Último trimestre año anterior</t>
  </si>
  <si>
    <t>AAN</t>
  </si>
  <si>
    <t>Cargar hoja:</t>
  </si>
  <si>
    <t>SI</t>
  </si>
  <si>
    <t>NO</t>
  </si>
  <si>
    <t>full_ifrs-cor_2015-03-11.xsd#ifrs-full_GrossCarryingAmountMember</t>
  </si>
  <si>
    <t>full_ifrs-cor_2015-03-11.xsd#ifrs-full_InternallyGeneratedMember</t>
  </si>
  <si>
    <t>Derechos de aterrizaje de aeronaves [miembro]</t>
  </si>
  <si>
    <t>full_ifrs-cor_2015-03-11.xsd#ifrs-full_AirportLandingRightsMember</t>
  </si>
  <si>
    <t>full_ifrs-cor_2015-03-11.xsd#ifrs-full_MiningRightsMember</t>
  </si>
  <si>
    <t>full_ifrs-cor_2015-03-11.xsd#ifrs-full_AccumulatedDepreciationAndAmortisationMember</t>
  </si>
  <si>
    <t>full_ifrs-cor_2015-03-11.xsd#ifrs-full_AccumulatedImpairmentMember</t>
  </si>
  <si>
    <t>full_ifrs-cor_2015-03-11.xsd#ifrs-full_AccumulatedDepreciationAmortisationAndImpairmentMember</t>
  </si>
  <si>
    <t>full_ifrs-cor_2015-03-11.xsd#ifrs-full_CarryingAmountMember</t>
  </si>
  <si>
    <t>full_ifrs-cor_2015-03-11.xsd#ifrs-full_NotInternallyGeneratedMember</t>
  </si>
  <si>
    <t>full_ifrs-cor_2015-03-11.xsd#ifrs-full_MethodsOfGenerationMember</t>
  </si>
  <si>
    <t>full_ifrs-cor_2015-03-11.xsd#ifrs-full_BrandNamesMember</t>
  </si>
  <si>
    <t>full_ifrs-cor_2015-03-11.xsd#ifrs-full_IntangibleExplorationAndEvaluationAssetsMember</t>
  </si>
  <si>
    <t>full_ifrs-cor_2015-03-11.xsd#ifrs-full_MastheadsAndPublishingTitlesMember</t>
  </si>
  <si>
    <t>full_ifrs-cor_2015-03-11.xsd#ifrs-full_ComputerSoftwareMember</t>
  </si>
  <si>
    <t>full_ifrs-cor_2015-03-11.xsd#ifrs-full_LicencesAndFranchisesMember</t>
  </si>
  <si>
    <t>full_ifrs-cor_2015-03-11.xsd#ifrs-full_CopyrightsPatentsAndOtherIndustrialPropertyRightsServiceAndOperatingRightsMember</t>
  </si>
  <si>
    <t>full_ifrs-cor_2015-03-11.xsd#ifrs-full_RecipesFormulaeModelsDesignsAndPrototypesMember</t>
  </si>
  <si>
    <t>full_ifrs-cor_2015-03-11.xsd#ifrs-full_CustomerrelatedIntangibleAssetsMember</t>
  </si>
  <si>
    <t>full_ifrs-cor_2015-03-11.xsd#ifrs-full_ValueOfBusinessAcquiredMember</t>
  </si>
  <si>
    <t>full_ifrs-cor_2015-03-11.xsd#ifrs-full_CapitalisedDevelopmentExpenditureMember</t>
  </si>
  <si>
    <t>full_ifrs-cor_2015-03-11.xsd#ifrs-full_IntangibleAssetsUnderDevelopmentMember</t>
  </si>
  <si>
    <t>full_ifrs-cor_2015-03-11.xsd#ifrs-full_OtherIntangibleAssetsMember</t>
  </si>
  <si>
    <t>full_ifrs-cor_2015-03-11.xsd#ifrs-full_IntangibleAssetsOtherThanGoodwillMember</t>
  </si>
  <si>
    <t>full_ifrs-cor_2015-03-11.xsd#ifrs-full_DisclosureOfIntangibleAssetsExplanatory</t>
  </si>
  <si>
    <t>full_ifrs-cor_2015-03-11.xsd#ifrs-full_DisclosureOfDetailedInformationAboutIntangibleAssetsExplanatory</t>
  </si>
  <si>
    <t>full_ifrs-cor_2015-03-11.xsd#ifrs-full_DisclosureOfIntangibleAssetsWithIndefiniteUsefulLifeExplanatory</t>
  </si>
  <si>
    <t>full_ifrs-cor_2015-03-11.xsd#ifrs-full_DisclosureOfIntangibleAssetsMaterialToEntityExplanatory</t>
  </si>
  <si>
    <t>full_ifrs-cor_2015-03-11.xsd#ifrs-full_IntangibleAssetsAcquiredByWayOfGovernmentGrantAtFairValue</t>
  </si>
  <si>
    <t>full_ifrs-cor_2015-03-11.xsd#ifrs-full_IntangibleAssetsAcquiredByWayOfGovernmentGrant</t>
  </si>
  <si>
    <t>full_ifrs-cor_2015-03-11.xsd#ifrs-full_ExplanationOfAssetsAcquiredByWayOfGovernmentGrantAndInitiallyRecognisedAtFairValue</t>
  </si>
  <si>
    <t>full_ifrs-cor_2015-03-11.xsd#ifrs-full_IntangibleAssetsWhoseTitleIsRestricted</t>
  </si>
  <si>
    <t>full_ifrs-cor_2015-03-11.xsd#ifrs-full_IntangibleAssetsPledgedAsSecurityForLiabilities</t>
  </si>
  <si>
    <t>full_ifrs-cor_2015-03-11.xsd#ifrs-full_ContractualCommitmentsForAcquisitionOfIntangibleAssets</t>
  </si>
  <si>
    <t>full_ifrs-cor_2015-03-11.xsd#ifrs-full_DescriptionOfFullyAmortisedIntangibleAssets</t>
  </si>
  <si>
    <t>full_ifrs-cor_2015-03-11.xsd#ifrs-full_DescriptionOfSignificantIntangibleAssetsControlledByEntityButNotRecognised</t>
  </si>
  <si>
    <t>full_ifrs-cor_2015-03-11.xsd#ifrs-full_ExplanationOfRestrictionsOnDistributionOfRevaluationSurplusForIntangibleAssets</t>
  </si>
  <si>
    <t>full_ifrs-cor_2015-03-11.xsd#ifrs-full_ResearchAndDevelopmentExpense</t>
  </si>
  <si>
    <t>full_ifrs-cor_2015-03-11.xsd#ifrs-full_DisclosureOfIntangibleAssetsTable</t>
  </si>
  <si>
    <t>full_ifrs-cor_2015-03-11.xsd#ifrs-full_CarryingAmountAccumulatedDepreciationAmortisationAndImpairmentAndGrossCarryingAmountAxis</t>
  </si>
  <si>
    <t>full_ifrs-cor_2015-03-11.xsd#ifrs-full_MethodsOfGenerationAxis</t>
  </si>
  <si>
    <t>full_ifrs-cor_2015-03-11.xsd#ifrs-full_ClassesOfIntangibleAssetsOtherThanGoodwillAxis</t>
  </si>
  <si>
    <t>full_ifrs-cor_2015-03-11.xsd#ifrs-full_LineItemsIncludingAmortisationOfIntangibleAssetsIntangibleAssetsOtherThanGoodwill</t>
  </si>
  <si>
    <t>full_ifrs-cor_2015-03-11.xsd#ifrs-full_AmortisationMethodIntangibleAssetsOtherThanGoodwill</t>
  </si>
  <si>
    <t>full_ifrs-cor_2015-03-11.xsd#ifrs-full_EffectiveDatesOfRevaluationIntangibleAssetsOtherThanGoodwill</t>
  </si>
  <si>
    <t>full_ifrs-cor_2015-03-11.xsd#ifrs-full_IntangibleAssetsOtherThanGoodwill</t>
  </si>
  <si>
    <t>full_ifrs-cor_2015-03-11.xsd#ifrs-full_AdditionsOtherThanThroughBusinessCombinationsIntangibleAssetsOtherThanGoodwill</t>
  </si>
  <si>
    <t>full_ifrs-cor_2015-03-11.xsd#ifrs-full_AcquisitionsThroughBusinessCombinationsIntangibleAssetsOtherThanGoodwill</t>
  </si>
  <si>
    <t>full_ifrs-cor_2015-03-11.xsd#ifrs-full_IncreaseDecreaseThroughNetExchangeDifferencesIntangibleAssetsOtherThanGoodwill</t>
  </si>
  <si>
    <t>full_ifrs-cor_2015-03-11.xsd#ifrs-full_AmortisationIntangibleAssetsOtherThanGoodwill</t>
  </si>
  <si>
    <t>full_ifrs-cor_2015-03-11.xsd#ifrs-full_ImpairmentLossRecognisedInProfitOrLossIntangibleAssetsOtherThanGoodwill</t>
  </si>
  <si>
    <t>full_ifrs-cor_2015-03-11.xsd#ifrs-full_ReversalOfImpairmentLossRecognisedInProfitOrLossIntangibleAssetsOtherThanGoodwill</t>
  </si>
  <si>
    <t>full_ifrs-cor_2015-03-11.xsd#ifrs-full_RevaluationIncreaseDecreaseIntangibleAssetsOtherThanGoodwill</t>
  </si>
  <si>
    <t>full_ifrs-cor_2015-03-11.xsd#ifrs-full_ImpairmentLossRecognisedInOtherComprehensiveIncomeIntangibleAssetsOtherThanGoodwill</t>
  </si>
  <si>
    <t>full_ifrs-cor_2015-03-11.xsd#ifrs-full_ReversalOfImpairmentLossRecognisedInOtherComprehensiveIncomeIntangibleAssetsOtherThanGoodwill</t>
  </si>
  <si>
    <t>full_ifrs-cor_2015-03-11.xsd#ifrs-full_IncreaseDecreaseThroughTransfersIntangibleAssetsOtherThanGoodwill</t>
  </si>
  <si>
    <t>full_ifrs-cor_2015-03-11.xsd#ifrs-full_IncreaseDecreaseThroughOtherChangesIntangibleAssetsOtherThanGoodwill</t>
  </si>
  <si>
    <t>full_ifrs-cor_2015-03-11.xsd#ifrs-full_IncreaseDecreaseThroughTransfersAndOtherChangesIntangibleAssetsOtherThanGoodwill</t>
  </si>
  <si>
    <t>full_ifrs-cor_2015-03-11.xsd#ifrs-full_DisposalsIntangibleAssetsOtherThanGoodwill</t>
  </si>
  <si>
    <t>full_ifrs-cor_2015-03-11.xsd#ifrs-full_RetirementsIntangibleAssetsOtherThanGoodwill</t>
  </si>
  <si>
    <t>full_ifrs-cor_2015-03-11.xsd#ifrs-full_DisposalsAndRetirementsIntangibleAssetsOtherThanGoodwill</t>
  </si>
  <si>
    <t>full_ifrs-cor_2015-03-11.xsd#ifrs-full_DecreaseThroughClassifiedAsHeldForSaleIntangibleAssetsOtherThanGoodwill</t>
  </si>
  <si>
    <t>full_ifrs-cor_2015-03-11.xsd#ifrs-full_DecreaseThroughLossOfControlOfSubsidiaryIntangibleAssetsOtherThanGoodwill</t>
  </si>
  <si>
    <t>full_ifrs-cor_2015-03-11.xsd#ifrs-full_ChangesInIntangibleAssetsOtherThanGoodwill</t>
  </si>
  <si>
    <t>full_ifrs-cor_2015-03-11.xsd#ifrs-full_IntangibleAssetsOtherThanGoodwillCarryingAmountOfRevaluedAssets</t>
  </si>
  <si>
    <t>full_ifrs-cor_2015-03-11.xsd#ifrs-full_IntangibleAssetsOtherThanGoodwillCarryingAmountAtCostOfRevaluedAssets</t>
  </si>
  <si>
    <t>full_ifrs-cor_2015-03-11.xsd#ifrs-full_IntangibleAssetsOtherThanGoodwillRevaluationSurplus</t>
  </si>
  <si>
    <t>full_ifrs-cor_2015-03-11.xsd#ifrs-full_IntangibleAssetsWithIndefiniteUsefulLifeMember</t>
  </si>
  <si>
    <t>full_ifrs-cor_2015-03-11.xsd#ifrs-full_IntangibleAssetsWithIndefiniteUsefulLife</t>
  </si>
  <si>
    <t>full_ifrs-cor_2015-03-11.xsd#ifrs-full_DescriptionAndCarryingAmountOfIntangibleAssetsWithIndefiniteUsefulLife</t>
  </si>
  <si>
    <t>full_ifrs-cor_2015-03-11.xsd#ifrs-full_IntangibleAssetsMaterialToEntityMember</t>
  </si>
  <si>
    <t>full_ifrs-cor_2015-03-11.xsd#ifrs-full_DescriptionAndCarryingAmountOfIntangibleAssetsMaterialToEntity</t>
  </si>
  <si>
    <t>full_ifrs-cor_2015-03-11.xsd#ifrs-full_IntangibleAssetsMaterialToEntity</t>
  </si>
  <si>
    <t>full_ifrs-cor_2015-03-11.xsd#ifrs-full_IntangibleAssetsWithIndefiniteUsefulLifeAxis</t>
  </si>
  <si>
    <t>full_ifrs-cor_2015-03-11.xsd#ifrs-full_DisclosureOfIntangibleAssetsWithIndefiniteUsefulLifeTable</t>
  </si>
  <si>
    <t>full_ifrs-cor_2015-03-11.xsd#ifrs-full_IntangibleAssetsMaterialToEntityAxis</t>
  </si>
  <si>
    <t>full_ifrs-cor_2015-03-11.xsd#ifrs-full_IdentificationOfUnadjustedComparativeInformation</t>
  </si>
  <si>
    <t>full_ifrs-cor_2015-03-11.xsd#ifrs-full_StatementThatUnadjustedComparativeInformationHasBeenPreparedOnDifferentBasis</t>
  </si>
  <si>
    <t>full_ifrs-cor_2015-03-11.xsd#ifrs-full_ExplanationOfBasisOfPreparationOfUnadjustedComparativeInformation</t>
  </si>
  <si>
    <t>Identificación de información comparativa no ajustada [Texto]</t>
  </si>
  <si>
    <t>Declaración de que se ha preparado información comparativa sin ajustar sobre una base diferente  [Texto]</t>
  </si>
  <si>
    <t>Explicación de la base de preparación de información comparativa no ajustada  [Texto]</t>
  </si>
  <si>
    <t>full_ifrs-cor_2016-03-31.xsd#ifrs-full_BroadcastingRightsMember</t>
  </si>
  <si>
    <t>Derechos de retransmisión [miembro]</t>
  </si>
  <si>
    <t>full_ifrs-cor_2016-03-31.xsd#ifrs-full_ServiceConcessionRightsMember</t>
  </si>
  <si>
    <t>Derechos de concesión de servicios [miembro]</t>
  </si>
  <si>
    <t>Activos intangibles basados en tecnología [miembro]</t>
  </si>
  <si>
    <t>full_ifrs-cor_2016-03-31.xsd#ifrs-full_TechnologybasedIntangibleAssetsMember</t>
  </si>
  <si>
    <t>k</t>
  </si>
  <si>
    <t xml:space="preserve">              Activos intangibles distintos de la plusvalía (31/12/2016)[Número]</t>
  </si>
  <si>
    <t xml:space="preserve">              Activos intangibles distintos de la plusvalía (31/12/2015)[Número]</t>
  </si>
  <si>
    <t>10.0</t>
  </si>
  <si>
    <t>full_ifrs-cor_2019-03-27.xsd#ifrs-full_RemainingAmortisationPeriodOfIntangibleAssetsMaterialToEntity2019</t>
  </si>
  <si>
    <t>Periodo de amortización restante de activos intangibles significativos para la entidad [Duración]</t>
  </si>
  <si>
    <t>pre_cl-ci_ias-38_2019-03-27_role-823180</t>
  </si>
  <si>
    <t>full_ifrs-cor_2019-03-27.xsd#ifrs-full_AmortisationRateIntangibleAssetsOtherThanGoodwill</t>
  </si>
  <si>
    <t>full_ifrs-cor_2019-03-27.xsd#ifrs-full_UsefulLifeMeasuredAsPeriodOfTimeIntangibleAssetsOtherThanGoodwill</t>
  </si>
  <si>
    <t>full_ifrs-cor_2019-03-27.xsd#ifrs-full_UsefulLifeMeasuredInProductionOrOtherSimilarUnitsIntangibleAssetsOtherThanGoodwill</t>
  </si>
  <si>
    <t>full_ifrs-cor_2019-03-27.xsd#ifrs-full_DescriptionOfUsefulLifeIntangibleAssetsOtherThanGoodwill</t>
  </si>
  <si>
    <t>Tasa de amortización, activos intangibles distintos de la plusvalía [Porcentaje]</t>
  </si>
  <si>
    <t>Vida útil medida como un periodo de tiempo, activos intangibles distintos de la plusvalía [Duración]</t>
  </si>
  <si>
    <t>Vida útil medida en producción u otras unidades similares, activos intangibles distintos de la plusvalía [Decimal]</t>
  </si>
  <si>
    <t>Descripción de la vida útil, activos intangibles distintos a la plusvalía [Texto]</t>
  </si>
  <si>
    <t>full_ifrs-cor_2019-03-27.xsd#ifrs-full_DisclosureOfIntangibleAssetsMaterialToEntityTable</t>
  </si>
  <si>
    <t>Información a revelar detallada sobre activos intangibles [tabla]</t>
  </si>
  <si>
    <t>Información a revelar sobre activos intangibles con vidas útiles indefinidas [tabla]</t>
  </si>
  <si>
    <t>Información a revelar sobre activos intangibles significativos para la entidad [tabla]</t>
  </si>
  <si>
    <t>Bloque de texto IAS38 test 1</t>
  </si>
  <si>
    <t>Bloque de texto IAS38 test 2</t>
  </si>
  <si>
    <t>Bloque de texto IAS38 test 3</t>
  </si>
  <si>
    <t>Bloque de texto IAS38 test 4</t>
  </si>
  <si>
    <t>Bloque de texto IAS38 test 5</t>
  </si>
  <si>
    <t>Bloque de texto IAS38 test 6</t>
  </si>
  <si>
    <t>Bloque de texto IAS38 test 7</t>
  </si>
  <si>
    <t>Bloque de texto IAS38 test 8</t>
  </si>
  <si>
    <t>Bloque de texto IAS38 test 9</t>
  </si>
  <si>
    <t>Bloque de texto IAS38 test 10</t>
  </si>
  <si>
    <t>Bloque de texto IAS38 test 11</t>
  </si>
  <si>
    <t>A</t>
  </si>
  <si>
    <t>C</t>
  </si>
  <si>
    <t>E</t>
  </si>
  <si>
    <t>P2Y5M2DT5H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</si>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</sst>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9">
    <font>
      <sz val="11"/>
      <color theme="1"/>
      <name val="Calibri"/>
      <family val="2"/>
      <scheme val="minor"/>
    </font>
    <font>
      <sz val="8"/>
      <name val="ＭＳ Ｐゴシック"/>
      <family val="3"/>
      <charset val="128"/>
    </font>
    <font>
      <sz val="9"/>
      <name val="Calibri"/>
      <family val="2"/>
      <scheme val="minor"/>
    </font>
    <font>
      <sz val="9"/>
      <name val="Verdana"/>
      <family val="2"/>
    </font>
    <font>
      <b/>
      <sz val="9"/>
      <name val="Verdana"/>
      <family val="2"/>
    </font>
    <font>
      <sz val="11"/>
      <color indexed="9"/>
      <name val="Czcionka tekstu podstawowego"/>
      <family val="2"/>
      <charset val="238"/>
    </font>
    <font>
      <sz val="9"/>
      <color rgb="FFFF0000"/>
      <name val="Verdana"/>
      <family val="2"/>
    </font>
    <font>
      <sz val="9"/>
      <color indexed="9"/>
      <name val="Verdana"/>
      <family val="2"/>
    </font>
    <font>
      <b/>
      <sz val="9"/>
      <color indexed="9"/>
      <name val="Verdana"/>
      <family val="2"/>
    </font>
    <font>
      <sz val="11"/>
      <name val="Calibri"/>
      <family val="2"/>
      <scheme val="minor"/>
    </font>
    <font>
      <sz val="9"/>
      <color theme="1"/>
      <name val="Verdana"/>
      <family val="2"/>
    </font>
    <font>
      <b/>
      <sz val="18"/>
      <name val="Calibri"/>
      <family val="2"/>
      <scheme val="minor"/>
    </font>
    <font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b/>
      <sz val="10"/>
      <name val="Calibri"/>
      <family val="2"/>
    </font>
    <font>
      <b/>
      <sz val="1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name val="Calibri"/>
      <family val="2"/>
    </font>
    <font>
      <sz val="11"/>
      <color indexed="10"/>
      <name val="Calibri"/>
      <family val="2"/>
    </font>
    <font>
      <b/>
      <sz val="11"/>
      <name val="Verdana"/>
      <family val="2"/>
    </font>
    <font>
      <sz val="8"/>
      <name val="Verdana"/>
      <family val="2"/>
    </font>
    <font>
      <b/>
      <sz val="9"/>
      <color rgb="FFFF0000"/>
      <name val="Verdana"/>
      <family val="2"/>
    </font>
    <font>
      <b/>
      <sz val="9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8"/>
      <name val="Verdana"/>
      <family val="2"/>
    </font>
    <font>
      <u/>
      <sz val="11"/>
      <color theme="1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0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Dashed">
        <color indexed="10"/>
      </left>
      <right/>
      <top/>
      <bottom/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/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/>
      <right style="mediumDashed">
        <color rgb="FFFF0000"/>
      </right>
      <top style="thin">
        <color indexed="64"/>
      </top>
      <bottom/>
      <diagonal/>
    </border>
    <border>
      <left/>
      <right style="mediumDashed">
        <color rgb="FFFF0000"/>
      </right>
      <top/>
      <bottom/>
      <diagonal/>
    </border>
    <border>
      <left/>
      <right style="mediumDashed">
        <color rgb="FFFF0000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" fillId="0" borderId="0" applyNumberFormat="0" applyFill="0" applyBorder="0">
      <alignment vertical="center"/>
    </xf>
    <xf numFmtId="0" fontId="5" fillId="4" borderId="0" applyNumberFormat="0" applyBorder="0" applyAlignment="0" applyProtection="0"/>
    <xf numFmtId="0" fontId="1" fillId="0" borderId="0" applyNumberFormat="0" applyFill="0" applyBorder="0">
      <alignment vertical="center"/>
    </xf>
    <xf numFmtId="0" fontId="28" fillId="0" borderId="0" applyNumberFormat="0" applyFill="0" applyBorder="0" applyAlignment="0" applyProtection="0"/>
  </cellStyleXfs>
  <cellXfs count="152">
    <xf numFmtId="0" fontId="0" fillId="0" borderId="0" xfId="0"/>
    <xf numFmtId="3" fontId="2" fillId="2" borderId="0" xfId="1" applyNumberFormat="1" applyFont="1" applyFill="1" applyBorder="1">
      <alignment vertical="center"/>
    </xf>
    <xf numFmtId="0" fontId="3" fillId="2" borderId="0" xfId="0" applyFont="1" applyFill="1" applyAlignment="1">
      <alignment horizontal="left" vertical="center" indent="3"/>
    </xf>
    <xf numFmtId="0" fontId="3" fillId="2" borderId="0" xfId="0" applyFont="1" applyFill="1" applyAlignment="1">
      <alignment horizontal="left" vertical="center" wrapText="1" indent="3"/>
    </xf>
    <xf numFmtId="0" fontId="3" fillId="3" borderId="1" xfId="0" applyFont="1" applyFill="1" applyBorder="1" applyAlignment="1">
      <alignment horizontal="left" vertical="center" indent="3"/>
    </xf>
    <xf numFmtId="0" fontId="4" fillId="2" borderId="0" xfId="0" applyFont="1" applyFill="1" applyAlignment="1">
      <alignment horizontal="left" vertical="center" wrapText="1" indent="3"/>
    </xf>
    <xf numFmtId="3" fontId="2" fillId="3" borderId="1" xfId="1" applyNumberFormat="1" applyFont="1" applyFill="1" applyBorder="1">
      <alignment vertical="center"/>
    </xf>
    <xf numFmtId="3" fontId="2" fillId="2" borderId="3" xfId="1" applyNumberFormat="1" applyFont="1" applyFill="1" applyBorder="1">
      <alignment vertical="center"/>
    </xf>
    <xf numFmtId="3" fontId="2" fillId="2" borderId="4" xfId="1" applyNumberFormat="1" applyFont="1" applyFill="1" applyBorder="1">
      <alignment vertical="center"/>
    </xf>
    <xf numFmtId="3" fontId="2" fillId="2" borderId="5" xfId="1" applyNumberFormat="1" applyFont="1" applyFill="1" applyBorder="1">
      <alignment vertical="center"/>
    </xf>
    <xf numFmtId="3" fontId="2" fillId="2" borderId="6" xfId="1" applyNumberFormat="1" applyFont="1" applyFill="1" applyBorder="1">
      <alignment vertical="center"/>
    </xf>
    <xf numFmtId="3" fontId="2" fillId="2" borderId="7" xfId="1" applyNumberFormat="1" applyFont="1" applyFill="1" applyBorder="1">
      <alignment vertical="center"/>
    </xf>
    <xf numFmtId="3" fontId="2" fillId="2" borderId="8" xfId="1" applyNumberFormat="1" applyFont="1" applyFill="1" applyBorder="1">
      <alignment vertical="center"/>
    </xf>
    <xf numFmtId="3" fontId="2" fillId="2" borderId="9" xfId="1" applyNumberFormat="1" applyFont="1" applyFill="1" applyBorder="1">
      <alignment vertical="center"/>
    </xf>
    <xf numFmtId="0" fontId="3" fillId="2" borderId="9" xfId="0" applyFont="1" applyFill="1" applyBorder="1" applyAlignment="1">
      <alignment horizontal="left" vertical="center" indent="3"/>
    </xf>
    <xf numFmtId="3" fontId="2" fillId="2" borderId="10" xfId="1" applyNumberFormat="1" applyFont="1" applyFill="1" applyBorder="1">
      <alignment vertical="center"/>
    </xf>
    <xf numFmtId="0" fontId="6" fillId="0" borderId="0" xfId="0" applyFont="1" applyAlignment="1">
      <alignment horizontal="center" vertical="center"/>
    </xf>
    <xf numFmtId="0" fontId="6" fillId="5" borderId="11" xfId="2" applyNumberFormat="1" applyFont="1" applyFill="1" applyBorder="1" applyAlignment="1">
      <alignment horizontal="center" vertical="center" wrapText="1"/>
    </xf>
    <xf numFmtId="0" fontId="6" fillId="5" borderId="13" xfId="2" applyNumberFormat="1" applyFont="1" applyFill="1" applyBorder="1" applyAlignment="1">
      <alignment horizontal="center" vertical="center" wrapText="1"/>
    </xf>
    <xf numFmtId="0" fontId="7" fillId="5" borderId="13" xfId="2" applyNumberFormat="1" applyFont="1" applyFill="1" applyBorder="1" applyAlignment="1">
      <alignment horizontal="center" vertical="center" wrapText="1"/>
    </xf>
    <xf numFmtId="0" fontId="8" fillId="5" borderId="13" xfId="2" applyNumberFormat="1" applyFont="1" applyFill="1" applyBorder="1" applyAlignment="1">
      <alignment horizontal="center" vertical="center" wrapText="1"/>
    </xf>
    <xf numFmtId="0" fontId="7" fillId="5" borderId="12" xfId="2" applyNumberFormat="1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6" borderId="6" xfId="3" applyFont="1" applyFill="1" applyBorder="1">
      <alignment vertical="center"/>
    </xf>
    <xf numFmtId="0" fontId="4" fillId="6" borderId="0" xfId="3" applyFont="1" applyFill="1" applyBorder="1">
      <alignment vertical="center"/>
    </xf>
    <xf numFmtId="0" fontId="3" fillId="6" borderId="0" xfId="3" applyFont="1" applyFill="1" applyBorder="1">
      <alignment vertical="center"/>
    </xf>
    <xf numFmtId="0" fontId="3" fillId="6" borderId="4" xfId="3" applyFont="1" applyFill="1" applyBorder="1" applyAlignment="1">
      <alignment horizontal="center" vertical="center" wrapText="1"/>
    </xf>
    <xf numFmtId="0" fontId="0" fillId="2" borderId="0" xfId="0" applyFill="1"/>
    <xf numFmtId="0" fontId="3" fillId="6" borderId="5" xfId="3" applyFont="1" applyFill="1" applyBorder="1" applyAlignment="1">
      <alignment vertical="center" wrapText="1"/>
    </xf>
    <xf numFmtId="0" fontId="3" fillId="0" borderId="0" xfId="0" applyFont="1"/>
    <xf numFmtId="0" fontId="3" fillId="2" borderId="6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3" fillId="2" borderId="0" xfId="2" applyNumberFormat="1" applyFont="1" applyFill="1" applyBorder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3" fontId="3" fillId="3" borderId="12" xfId="0" applyNumberFormat="1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10" fillId="2" borderId="4" xfId="0" applyFont="1" applyFill="1" applyBorder="1"/>
    <xf numFmtId="0" fontId="3" fillId="6" borderId="4" xfId="3" applyFont="1" applyFill="1" applyBorder="1">
      <alignment vertical="center"/>
    </xf>
    <xf numFmtId="0" fontId="3" fillId="2" borderId="8" xfId="0" applyFont="1" applyFill="1" applyBorder="1" applyAlignment="1">
      <alignment horizontal="left" vertical="center"/>
    </xf>
    <xf numFmtId="0" fontId="3" fillId="2" borderId="9" xfId="0" applyFont="1" applyFill="1" applyBorder="1" applyAlignment="1">
      <alignment horizontal="left" vertical="center"/>
    </xf>
    <xf numFmtId="0" fontId="11" fillId="7" borderId="14" xfId="0" applyFont="1" applyFill="1" applyBorder="1" applyAlignment="1">
      <alignment horizontal="center" vertical="center" wrapText="1"/>
    </xf>
    <xf numFmtId="0" fontId="16" fillId="7" borderId="14" xfId="0" applyFont="1" applyFill="1" applyBorder="1" applyAlignment="1">
      <alignment horizontal="center" vertical="center" wrapText="1"/>
    </xf>
    <xf numFmtId="0" fontId="3" fillId="6" borderId="5" xfId="3" applyFont="1" applyFill="1" applyBorder="1">
      <alignment vertical="center"/>
    </xf>
    <xf numFmtId="0" fontId="3" fillId="6" borderId="12" xfId="3" applyFont="1" applyFill="1" applyBorder="1">
      <alignment vertical="center"/>
    </xf>
    <xf numFmtId="0" fontId="4" fillId="2" borderId="9" xfId="0" applyFont="1" applyFill="1" applyBorder="1" applyAlignment="1">
      <alignment horizontal="left" vertical="center" wrapText="1" indent="3"/>
    </xf>
    <xf numFmtId="0" fontId="18" fillId="8" borderId="14" xfId="0" applyFont="1" applyFill="1" applyBorder="1" applyAlignment="1">
      <alignment horizontal="center" vertical="center" wrapText="1"/>
    </xf>
    <xf numFmtId="0" fontId="19" fillId="0" borderId="0" xfId="0" applyFont="1"/>
    <xf numFmtId="0" fontId="0" fillId="0" borderId="0" xfId="0" applyAlignment="1">
      <alignment vertical="center"/>
    </xf>
    <xf numFmtId="0" fontId="9" fillId="5" borderId="0" xfId="0" applyFont="1" applyFill="1" applyProtection="1">
      <protection locked="0"/>
    </xf>
    <xf numFmtId="0" fontId="20" fillId="2" borderId="9" xfId="3" applyFont="1" applyFill="1" applyBorder="1" applyAlignment="1" applyProtection="1">
      <alignment horizontal="left" vertical="center" wrapText="1"/>
      <protection locked="0"/>
    </xf>
    <xf numFmtId="0" fontId="0" fillId="0" borderId="20" xfId="0" applyBorder="1"/>
    <xf numFmtId="0" fontId="3" fillId="2" borderId="0" xfId="3" applyFont="1" applyFill="1" applyBorder="1" applyProtection="1">
      <alignment vertical="center"/>
      <protection locked="0"/>
    </xf>
    <xf numFmtId="0" fontId="4" fillId="2" borderId="0" xfId="3" applyFont="1" applyFill="1" applyBorder="1" applyAlignment="1" applyProtection="1">
      <alignment horizontal="left" vertical="center" wrapText="1"/>
      <protection locked="0"/>
    </xf>
    <xf numFmtId="0" fontId="3" fillId="2" borderId="0" xfId="3" applyFont="1" applyFill="1" applyBorder="1" applyAlignment="1" applyProtection="1">
      <alignment horizontal="left" vertical="center" wrapText="1"/>
      <protection locked="0"/>
    </xf>
    <xf numFmtId="3" fontId="21" fillId="9" borderId="1" xfId="3" applyNumberFormat="1" applyFont="1" applyFill="1" applyBorder="1" applyProtection="1">
      <alignment vertical="center"/>
      <protection locked="0"/>
    </xf>
    <xf numFmtId="0" fontId="3" fillId="2" borderId="7" xfId="0" applyFont="1" applyFill="1" applyBorder="1" applyAlignment="1">
      <alignment horizontal="left" vertical="center"/>
    </xf>
    <xf numFmtId="0" fontId="3" fillId="2" borderId="0" xfId="0" applyFont="1" applyFill="1" applyAlignment="1">
      <alignment horizontal="left" vertical="center" wrapText="1"/>
    </xf>
    <xf numFmtId="0" fontId="22" fillId="10" borderId="21" xfId="2" applyNumberFormat="1" applyFont="1" applyFill="1" applyBorder="1" applyAlignment="1">
      <alignment horizontal="center" vertical="center" wrapText="1"/>
    </xf>
    <xf numFmtId="0" fontId="9" fillId="10" borderId="22" xfId="3" applyFont="1" applyFill="1" applyBorder="1" applyAlignment="1">
      <alignment horizontal="center" vertical="center" wrapText="1"/>
    </xf>
    <xf numFmtId="0" fontId="3" fillId="6" borderId="22" xfId="3" applyFont="1" applyFill="1" applyBorder="1">
      <alignment vertical="center"/>
    </xf>
    <xf numFmtId="0" fontId="3" fillId="2" borderId="23" xfId="0" applyFont="1" applyFill="1" applyBorder="1" applyAlignment="1">
      <alignment horizontal="left" vertical="center"/>
    </xf>
    <xf numFmtId="0" fontId="22" fillId="5" borderId="21" xfId="2" applyNumberFormat="1" applyFont="1" applyFill="1" applyBorder="1" applyAlignment="1">
      <alignment horizontal="center" vertical="center" wrapText="1"/>
    </xf>
    <xf numFmtId="0" fontId="4" fillId="6" borderId="25" xfId="3" applyFont="1" applyFill="1" applyBorder="1" applyAlignment="1">
      <alignment vertical="center" wrapText="1"/>
    </xf>
    <xf numFmtId="0" fontId="4" fillId="2" borderId="26" xfId="0" applyFont="1" applyFill="1" applyBorder="1" applyAlignment="1">
      <alignment horizontal="left" vertical="center" wrapText="1"/>
    </xf>
    <xf numFmtId="0" fontId="3" fillId="2" borderId="26" xfId="0" applyFont="1" applyFill="1" applyBorder="1" applyAlignment="1">
      <alignment horizontal="left" vertical="center" wrapText="1"/>
    </xf>
    <xf numFmtId="0" fontId="3" fillId="2" borderId="27" xfId="0" applyFont="1" applyFill="1" applyBorder="1" applyAlignment="1">
      <alignment horizontal="left" vertical="center"/>
    </xf>
    <xf numFmtId="3" fontId="3" fillId="3" borderId="24" xfId="0" applyNumberFormat="1" applyFont="1" applyFill="1" applyBorder="1"/>
    <xf numFmtId="0" fontId="3" fillId="6" borderId="24" xfId="3" applyFont="1" applyFill="1" applyBorder="1">
      <alignment vertical="center"/>
    </xf>
    <xf numFmtId="0" fontId="23" fillId="5" borderId="2" xfId="2" applyFont="1" applyFill="1" applyBorder="1" applyAlignment="1">
      <alignment horizontal="center" vertical="center" wrapText="1"/>
    </xf>
    <xf numFmtId="3" fontId="3" fillId="11" borderId="12" xfId="0" applyNumberFormat="1" applyFont="1" applyFill="1" applyBorder="1"/>
    <xf numFmtId="3" fontId="3" fillId="13" borderId="12" xfId="0" applyNumberFormat="1" applyFont="1" applyFill="1" applyBorder="1"/>
    <xf numFmtId="0" fontId="17" fillId="5" borderId="0" xfId="0" applyFont="1" applyFill="1" applyProtection="1">
      <protection locked="0"/>
    </xf>
    <xf numFmtId="0" fontId="17" fillId="5" borderId="28" xfId="0" applyFont="1" applyFill="1" applyBorder="1" applyProtection="1">
      <protection locked="0"/>
    </xf>
    <xf numFmtId="0" fontId="17" fillId="5" borderId="29" xfId="0" applyFont="1" applyFill="1" applyBorder="1" applyProtection="1">
      <protection locked="0"/>
    </xf>
    <xf numFmtId="0" fontId="17" fillId="5" borderId="30" xfId="0" applyFont="1" applyFill="1" applyBorder="1" applyProtection="1">
      <protection locked="0"/>
    </xf>
    <xf numFmtId="0" fontId="9" fillId="5" borderId="29" xfId="0" applyFont="1" applyFill="1" applyBorder="1" applyProtection="1">
      <protection locked="0"/>
    </xf>
    <xf numFmtId="0" fontId="9" fillId="5" borderId="0" xfId="0" applyFont="1" applyFill="1" applyAlignment="1" applyProtection="1">
      <alignment horizontal="center" vertical="center" wrapText="1"/>
      <protection locked="0"/>
    </xf>
    <xf numFmtId="0" fontId="17" fillId="5" borderId="14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>
      <alignment horizontal="center" vertical="center"/>
    </xf>
    <xf numFmtId="0" fontId="17" fillId="5" borderId="0" xfId="0" applyFon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vertical="center"/>
      <protection locked="0"/>
    </xf>
    <xf numFmtId="0" fontId="17" fillId="12" borderId="14" xfId="0" applyFont="1" applyFill="1" applyBorder="1" applyAlignment="1" applyProtection="1">
      <alignment horizontal="center" vertical="center" wrapText="1"/>
      <protection locked="0"/>
    </xf>
    <xf numFmtId="3" fontId="21" fillId="3" borderId="1" xfId="3" applyNumberFormat="1" applyFont="1" applyFill="1" applyBorder="1" applyProtection="1">
      <alignment vertical="center"/>
      <protection locked="0"/>
    </xf>
    <xf numFmtId="0" fontId="17" fillId="5" borderId="30" xfId="0" applyFont="1" applyFill="1" applyBorder="1" applyAlignment="1" applyProtection="1">
      <alignment horizontal="left" vertical="center" wrapText="1"/>
      <protection locked="0"/>
    </xf>
    <xf numFmtId="3" fontId="21" fillId="0" borderId="1" xfId="3" applyNumberFormat="1" applyFont="1" applyFill="1" applyBorder="1" applyProtection="1">
      <alignment vertical="center"/>
      <protection locked="0"/>
    </xf>
    <xf numFmtId="0" fontId="16" fillId="15" borderId="14" xfId="0" applyFont="1" applyFill="1" applyBorder="1" applyAlignment="1">
      <alignment horizontal="right" vertical="center" wrapText="1"/>
    </xf>
    <xf numFmtId="0" fontId="0" fillId="15" borderId="17" xfId="0" applyFill="1" applyBorder="1" applyAlignment="1">
      <alignment vertical="center"/>
    </xf>
    <xf numFmtId="0" fontId="26" fillId="16" borderId="14" xfId="0" applyFont="1" applyFill="1" applyBorder="1" applyAlignment="1" applyProtection="1">
      <alignment horizontal="center" vertical="center" wrapText="1"/>
      <protection locked="0"/>
    </xf>
    <xf numFmtId="3" fontId="27" fillId="14" borderId="1" xfId="3" applyNumberFormat="1" applyFont="1" applyFill="1" applyBorder="1" applyProtection="1">
      <alignment vertical="center"/>
      <protection locked="0"/>
    </xf>
    <xf numFmtId="3" fontId="27" fillId="9" borderId="1" xfId="3" applyNumberFormat="1" applyFont="1" applyFill="1" applyBorder="1" applyProtection="1">
      <alignment vertical="center"/>
      <protection locked="0"/>
    </xf>
    <xf numFmtId="0" fontId="4" fillId="2" borderId="0" xfId="3" applyFont="1" applyFill="1" applyBorder="1" applyProtection="1">
      <alignment vertical="center"/>
      <protection locked="0"/>
    </xf>
    <xf numFmtId="0" fontId="9" fillId="17" borderId="29" xfId="0" applyFont="1" applyFill="1" applyBorder="1" applyProtection="1">
      <protection locked="0"/>
    </xf>
    <xf numFmtId="0" fontId="9" fillId="17" borderId="0" xfId="0" applyFont="1" applyFill="1" applyAlignment="1" applyProtection="1">
      <alignment horizontal="center" vertical="center" wrapText="1"/>
      <protection locked="0"/>
    </xf>
    <xf numFmtId="0" fontId="26" fillId="17" borderId="14" xfId="0" applyFont="1" applyFill="1" applyBorder="1" applyAlignment="1" applyProtection="1">
      <alignment horizontal="center" vertical="center" wrapText="1"/>
      <protection locked="0"/>
    </xf>
    <xf numFmtId="0" fontId="9" fillId="17" borderId="0" xfId="0" applyFont="1" applyFill="1" applyProtection="1">
      <protection locked="0"/>
    </xf>
    <xf numFmtId="0" fontId="3" fillId="2" borderId="0" xfId="0" applyFont="1" applyFill="1" applyAlignment="1">
      <alignment horizontal="left" vertical="center" indent="6"/>
    </xf>
    <xf numFmtId="0" fontId="3" fillId="2" borderId="0" xfId="0" applyFont="1" applyFill="1" applyAlignment="1">
      <alignment horizontal="left" vertical="center" wrapText="1" indent="6"/>
    </xf>
    <xf numFmtId="0" fontId="9" fillId="19" borderId="14" xfId="0" applyFont="1" applyFill="1" applyBorder="1" applyAlignment="1" applyProtection="1">
      <alignment horizontal="center" vertical="center" wrapText="1"/>
      <protection locked="0"/>
    </xf>
    <xf numFmtId="0" fontId="9" fillId="19" borderId="0" xfId="0" applyFont="1" applyFill="1" applyAlignment="1" applyProtection="1">
      <alignment horizontal="center" vertical="center" wrapText="1"/>
      <protection locked="0"/>
    </xf>
    <xf numFmtId="0" fontId="17" fillId="5" borderId="0" xfId="0" applyFont="1" applyFill="1" applyAlignment="1" applyProtection="1">
      <alignment horizontal="left" vertical="center"/>
      <protection locked="0"/>
    </xf>
    <xf numFmtId="3" fontId="21" fillId="19" borderId="1" xfId="3" applyNumberFormat="1" applyFont="1" applyFill="1" applyBorder="1" applyProtection="1">
      <alignment vertical="center"/>
      <protection locked="0"/>
    </xf>
    <xf numFmtId="0" fontId="9" fillId="5" borderId="31" xfId="0" applyFont="1" applyFill="1" applyBorder="1" applyProtection="1">
      <protection locked="0"/>
    </xf>
    <xf numFmtId="0" fontId="17" fillId="5" borderId="28" xfId="0" applyFont="1" applyFill="1" applyBorder="1" applyAlignment="1" applyProtection="1">
      <alignment horizontal="center" vertical="center"/>
      <protection locked="0"/>
    </xf>
    <xf numFmtId="0" fontId="9" fillId="5" borderId="32" xfId="0" applyFont="1" applyFill="1" applyBorder="1" applyAlignment="1" applyProtection="1">
      <alignment horizontal="center" vertical="center" wrapText="1"/>
      <protection locked="0"/>
    </xf>
    <xf numFmtId="0" fontId="0" fillId="6" borderId="28" xfId="0" applyFill="1" applyBorder="1" applyProtection="1">
      <protection locked="0"/>
    </xf>
    <xf numFmtId="0" fontId="0" fillId="6" borderId="0" xfId="0" applyFill="1" applyProtection="1">
      <protection locked="0"/>
    </xf>
    <xf numFmtId="0" fontId="0" fillId="6" borderId="32" xfId="0" applyFill="1" applyBorder="1" applyProtection="1">
      <protection locked="0"/>
    </xf>
    <xf numFmtId="0" fontId="3" fillId="2" borderId="28" xfId="3" applyFont="1" applyFill="1" applyBorder="1" applyProtection="1">
      <alignment vertical="center"/>
      <protection locked="0"/>
    </xf>
    <xf numFmtId="0" fontId="3" fillId="2" borderId="32" xfId="3" applyFont="1" applyFill="1" applyBorder="1" applyProtection="1">
      <alignment vertical="center"/>
      <protection locked="0"/>
    </xf>
    <xf numFmtId="3" fontId="21" fillId="9" borderId="33" xfId="3" applyNumberFormat="1" applyFont="1" applyFill="1" applyBorder="1" applyProtection="1">
      <alignment vertical="center"/>
      <protection locked="0"/>
    </xf>
    <xf numFmtId="3" fontId="27" fillId="14" borderId="33" xfId="3" applyNumberFormat="1" applyFont="1" applyFill="1" applyBorder="1" applyProtection="1">
      <alignment vertical="center"/>
      <protection locked="0"/>
    </xf>
    <xf numFmtId="0" fontId="4" fillId="2" borderId="32" xfId="3" applyFont="1" applyFill="1" applyBorder="1" applyProtection="1">
      <alignment vertical="center"/>
      <protection locked="0"/>
    </xf>
    <xf numFmtId="3" fontId="21" fillId="19" borderId="33" xfId="3" applyNumberFormat="1" applyFont="1" applyFill="1" applyBorder="1" applyProtection="1">
      <alignment vertical="center"/>
      <protection locked="0"/>
    </xf>
    <xf numFmtId="0" fontId="3" fillId="2" borderId="18" xfId="3" applyFont="1" applyFill="1" applyBorder="1" applyProtection="1">
      <alignment vertical="center"/>
      <protection locked="0"/>
    </xf>
    <xf numFmtId="0" fontId="3" fillId="2" borderId="19" xfId="3" applyFont="1" applyFill="1" applyBorder="1" applyProtection="1">
      <alignment vertical="center"/>
      <protection locked="0"/>
    </xf>
    <xf numFmtId="0" fontId="3" fillId="2" borderId="19" xfId="3" applyFont="1" applyFill="1" applyBorder="1" applyAlignment="1" applyProtection="1">
      <alignment horizontal="left" vertical="center" wrapText="1" indent="1"/>
      <protection locked="0"/>
    </xf>
    <xf numFmtId="0" fontId="3" fillId="2" borderId="34" xfId="3" applyFont="1" applyFill="1" applyBorder="1" applyProtection="1">
      <alignment vertical="center"/>
      <protection locked="0"/>
    </xf>
    <xf numFmtId="0" fontId="9" fillId="5" borderId="32" xfId="0" applyFont="1" applyFill="1" applyBorder="1" applyProtection="1">
      <protection locked="0"/>
    </xf>
    <xf numFmtId="3" fontId="27" fillId="9" borderId="33" xfId="3" applyNumberFormat="1" applyFont="1" applyFill="1" applyBorder="1" applyProtection="1">
      <alignment vertical="center"/>
      <protection locked="0"/>
    </xf>
    <xf numFmtId="0" fontId="25" fillId="6" borderId="0" xfId="0" applyFont="1" applyFill="1" applyProtection="1">
      <protection locked="0"/>
    </xf>
    <xf numFmtId="0" fontId="25" fillId="6" borderId="32" xfId="0" applyFont="1" applyFill="1" applyBorder="1" applyProtection="1">
      <protection locked="0"/>
    </xf>
    <xf numFmtId="0" fontId="4" fillId="2" borderId="35" xfId="3" applyFont="1" applyFill="1" applyBorder="1" applyProtection="1">
      <alignment vertical="center"/>
      <protection locked="0"/>
    </xf>
    <xf numFmtId="0" fontId="3" fillId="20" borderId="0" xfId="3" applyFont="1" applyFill="1" applyBorder="1" applyProtection="1">
      <alignment vertical="center"/>
      <protection locked="0"/>
    </xf>
    <xf numFmtId="0" fontId="0" fillId="20" borderId="11" xfId="0" applyFill="1" applyBorder="1"/>
    <xf numFmtId="0" fontId="24" fillId="20" borderId="12" xfId="0" applyFont="1" applyFill="1" applyBorder="1"/>
    <xf numFmtId="0" fontId="3" fillId="20" borderId="0" xfId="3" applyFont="1" applyFill="1" applyBorder="1" applyAlignment="1" applyProtection="1">
      <alignment horizontal="left" vertical="center" wrapText="1" indent="4"/>
      <protection locked="0"/>
    </xf>
    <xf numFmtId="49" fontId="3" fillId="3" borderId="24" xfId="0" applyNumberFormat="1" applyFont="1" applyFill="1" applyBorder="1"/>
    <xf numFmtId="49" fontId="3" fillId="3" borderId="12" xfId="0" applyNumberFormat="1" applyFont="1" applyFill="1" applyBorder="1"/>
    <xf numFmtId="0" fontId="3" fillId="20" borderId="0" xfId="3" applyFont="1" applyFill="1" applyBorder="1">
      <alignment vertical="center"/>
    </xf>
    <xf numFmtId="0" fontId="28" fillId="22" borderId="0" xfId="4" applyFill="1" applyBorder="1" applyAlignment="1">
      <alignment horizontal="left" vertical="center" indent="3"/>
    </xf>
    <xf numFmtId="0" fontId="28" fillId="23" borderId="0" xfId="4" applyFill="1" applyBorder="1" applyAlignment="1">
      <alignment horizontal="left" vertical="center" indent="3"/>
    </xf>
    <xf numFmtId="0" fontId="28" fillId="21" borderId="0" xfId="4" applyFill="1" applyBorder="1" applyAlignment="1">
      <alignment horizontal="left" vertical="center" indent="3"/>
    </xf>
    <xf numFmtId="0" fontId="3" fillId="24" borderId="0" xfId="3" applyFont="1" applyFill="1" applyBorder="1" applyProtection="1">
      <alignment vertical="center"/>
      <protection locked="0"/>
    </xf>
    <xf numFmtId="0" fontId="3" fillId="24" borderId="0" xfId="3" applyFont="1" applyFill="1" applyBorder="1" applyAlignment="1" applyProtection="1">
      <alignment horizontal="left" vertical="center" wrapText="1" indent="4"/>
      <protection locked="0"/>
    </xf>
    <xf numFmtId="0" fontId="3" fillId="24" borderId="6" xfId="0" applyFont="1" applyFill="1" applyBorder="1" applyAlignment="1">
      <alignment horizontal="left" vertical="center"/>
    </xf>
    <xf numFmtId="0" fontId="3" fillId="24" borderId="0" xfId="0" applyFont="1" applyFill="1" applyAlignment="1">
      <alignment horizontal="left" vertical="center"/>
    </xf>
    <xf numFmtId="0" fontId="3" fillId="24" borderId="0" xfId="2" applyNumberFormat="1" applyFont="1" applyFill="1" applyBorder="1" applyAlignment="1">
      <alignment horizontal="left" vertical="center"/>
    </xf>
    <xf numFmtId="0" fontId="10" fillId="24" borderId="0" xfId="0" applyFont="1" applyFill="1" applyAlignment="1">
      <alignment horizontal="left" vertical="center"/>
    </xf>
    <xf numFmtId="0" fontId="3" fillId="24" borderId="26" xfId="0" applyFont="1" applyFill="1" applyBorder="1" applyAlignment="1">
      <alignment horizontal="left" vertical="center" wrapText="1" indent="4"/>
    </xf>
    <xf numFmtId="0" fontId="3" fillId="24" borderId="26" xfId="0" applyFont="1" applyFill="1" applyBorder="1" applyAlignment="1">
      <alignment horizontal="left" vertical="center" wrapText="1" indent="3"/>
    </xf>
    <xf numFmtId="0" fontId="17" fillId="5" borderId="15" xfId="0" applyFont="1" applyFill="1" applyBorder="1" applyAlignment="1" applyProtection="1">
      <alignment horizontal="center" vertical="center" wrapText="1"/>
      <protection locked="0"/>
    </xf>
    <xf numFmtId="0" fontId="17" fillId="5" borderId="16" xfId="0" applyFont="1" applyFill="1" applyBorder="1" applyAlignment="1" applyProtection="1">
      <alignment horizontal="center" vertical="center" wrapText="1"/>
      <protection locked="0"/>
    </xf>
    <xf numFmtId="0" fontId="17" fillId="5" borderId="17" xfId="0" applyFont="1" applyFill="1" applyBorder="1" applyAlignment="1" applyProtection="1">
      <alignment horizontal="center" vertical="center" wrapText="1"/>
      <protection locked="0"/>
    </xf>
    <xf numFmtId="0" fontId="17" fillId="12" borderId="15" xfId="0" applyFont="1" applyFill="1" applyBorder="1" applyAlignment="1" applyProtection="1">
      <alignment horizontal="center" vertical="center" wrapText="1"/>
      <protection locked="0"/>
    </xf>
    <xf numFmtId="0" fontId="17" fillId="12" borderId="16" xfId="0" applyFont="1" applyFill="1" applyBorder="1" applyAlignment="1" applyProtection="1">
      <alignment horizontal="center" vertical="center" wrapText="1"/>
      <protection locked="0"/>
    </xf>
    <xf numFmtId="0" fontId="17" fillId="12" borderId="17" xfId="0" applyFont="1" applyFill="1" applyBorder="1" applyAlignment="1" applyProtection="1">
      <alignment horizontal="center" vertical="center" wrapText="1"/>
      <protection locked="0"/>
    </xf>
    <xf numFmtId="0" fontId="17" fillId="5" borderId="18" xfId="0" applyFont="1" applyFill="1" applyBorder="1" applyAlignment="1" applyProtection="1">
      <alignment horizontal="center"/>
      <protection locked="0"/>
    </xf>
    <xf numFmtId="0" fontId="17" fillId="5" borderId="19" xfId="0" applyFont="1" applyFill="1" applyBorder="1" applyAlignment="1" applyProtection="1">
      <alignment horizontal="center"/>
      <protection locked="0"/>
    </xf>
    <xf numFmtId="0" fontId="17" fillId="18" borderId="15" xfId="0" applyFont="1" applyFill="1" applyBorder="1" applyAlignment="1" applyProtection="1">
      <alignment horizontal="center" vertical="center" wrapText="1"/>
      <protection locked="0"/>
    </xf>
    <xf numFmtId="0" fontId="17" fillId="18" borderId="16" xfId="0" applyFont="1" applyFill="1" applyBorder="1" applyAlignment="1" applyProtection="1">
      <alignment horizontal="center" vertical="center" wrapText="1"/>
      <protection locked="0"/>
    </xf>
    <xf numFmtId="0" fontId="17" fillId="18" borderId="17" xfId="0" applyFont="1" applyFill="1" applyBorder="1" applyAlignment="1" applyProtection="1">
      <alignment horizontal="center" vertical="center" wrapText="1"/>
      <protection locked="0"/>
    </xf>
  </cellXfs>
  <cellStyles count="5">
    <cellStyle name="60% - akcent 1" xfId="2" xr:uid="{00000000-0005-0000-0000-000000000000}"/>
    <cellStyle name="Hipervínculo" xfId="4" builtinId="8"/>
    <cellStyle name="Normal" xfId="0" builtinId="0"/>
    <cellStyle name="Normal 10" xfId="1" xr:uid="{00000000-0005-0000-0000-000003000000}"/>
    <cellStyle name="Normal 12" xfId="3" xr:uid="{00000000-0005-0000-0000-000004000000}"/>
  </cellStyles>
  <dxfs count="13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1966383</xdr:colOff>
      <xdr:row>0</xdr:row>
      <xdr:rowOff>809625</xdr:rowOff>
    </xdr:to>
    <xdr:pic>
      <xdr:nvPicPr>
        <xdr:cNvPr id="6" name="4 Image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871258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2328333</xdr:colOff>
      <xdr:row>0</xdr:row>
      <xdr:rowOff>83608</xdr:rowOff>
    </xdr:from>
    <xdr:to>
      <xdr:col>5</xdr:col>
      <xdr:colOff>5936737</xdr:colOff>
      <xdr:row>1</xdr:row>
      <xdr:rowOff>10108</xdr:rowOff>
    </xdr:to>
    <xdr:sp macro="" textlink="">
      <xdr:nvSpPr>
        <xdr:cNvPr id="7" name="6 CuadroText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233208" y="83608"/>
          <a:ext cx="3608404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122767</xdr:colOff>
      <xdr:row>0</xdr:row>
      <xdr:rowOff>1000124</xdr:rowOff>
    </xdr:from>
    <xdr:to>
      <xdr:col>5</xdr:col>
      <xdr:colOff>474633</xdr:colOff>
      <xdr:row>1</xdr:row>
      <xdr:rowOff>98624</xdr:rowOff>
    </xdr:to>
    <xdr:sp macro="[0]!Guarda_Hojas_CSV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03742" y="1000124"/>
          <a:ext cx="1075766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642408</xdr:colOff>
      <xdr:row>0</xdr:row>
      <xdr:rowOff>1000124</xdr:rowOff>
    </xdr:from>
    <xdr:to>
      <xdr:col>5</xdr:col>
      <xdr:colOff>1722408</xdr:colOff>
      <xdr:row>1</xdr:row>
      <xdr:rowOff>98624</xdr:rowOff>
    </xdr:to>
    <xdr:sp macro="[0]!Guarda_Hojas_ZIP" textlink="">
      <xdr:nvSpPr>
        <xdr:cNvPr id="9" name="8 Rectángulo redondeado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1547283" y="1000124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59531</xdr:colOff>
      <xdr:row>0</xdr:row>
      <xdr:rowOff>166688</xdr:rowOff>
    </xdr:from>
    <xdr:to>
      <xdr:col>5</xdr:col>
      <xdr:colOff>1131063</xdr:colOff>
      <xdr:row>0</xdr:row>
      <xdr:rowOff>598688</xdr:rowOff>
    </xdr:to>
    <xdr:sp macro="[0]!Guarda_Hojas_CSV" textlink="">
      <xdr:nvSpPr>
        <xdr:cNvPr id="19" name="18 Rectángulo redondeado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1240631" y="166688"/>
          <a:ext cx="1071532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1310744</xdr:colOff>
      <xdr:row>0</xdr:row>
      <xdr:rowOff>166688</xdr:rowOff>
    </xdr:from>
    <xdr:to>
      <xdr:col>5</xdr:col>
      <xdr:colOff>2390744</xdr:colOff>
      <xdr:row>0</xdr:row>
      <xdr:rowOff>598688</xdr:rowOff>
    </xdr:to>
    <xdr:sp macro="[0]!Guarda_Hojas_ZIP" textlink="">
      <xdr:nvSpPr>
        <xdr:cNvPr id="20" name="19 Rectángulo redondeado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2491844" y="166688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  <xdr:twoCellAnchor>
    <xdr:from>
      <xdr:col>5</xdr:col>
      <xdr:colOff>59531</xdr:colOff>
      <xdr:row>0</xdr:row>
      <xdr:rowOff>166688</xdr:rowOff>
    </xdr:from>
    <xdr:to>
      <xdr:col>5</xdr:col>
      <xdr:colOff>1131063</xdr:colOff>
      <xdr:row>0</xdr:row>
      <xdr:rowOff>598688</xdr:rowOff>
    </xdr:to>
    <xdr:sp macro="[0]!Guarda_Hojas_CSV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1240631" y="166688"/>
          <a:ext cx="1071532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1310744</xdr:colOff>
      <xdr:row>0</xdr:row>
      <xdr:rowOff>166688</xdr:rowOff>
    </xdr:from>
    <xdr:to>
      <xdr:col>5</xdr:col>
      <xdr:colOff>2390744</xdr:colOff>
      <xdr:row>0</xdr:row>
      <xdr:rowOff>598688</xdr:rowOff>
    </xdr:to>
    <xdr:sp macro="[0]!Guarda_Hojas_ZIP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2491844" y="166688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112059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94765" y="142876"/>
          <a:ext cx="1087016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950244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 editAs="absolute">
    <xdr:from>
      <xdr:col>5</xdr:col>
      <xdr:colOff>4514850</xdr:colOff>
      <xdr:row>0</xdr:row>
      <xdr:rowOff>171450</xdr:rowOff>
    </xdr:from>
    <xdr:to>
      <xdr:col>5</xdr:col>
      <xdr:colOff>6038850</xdr:colOff>
      <xdr:row>0</xdr:row>
      <xdr:rowOff>528638</xdr:rowOff>
    </xdr:to>
    <xdr:sp macro="[0]!Copiar_columna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>
        <a:xfrm>
          <a:off x="5638800" y="171450"/>
          <a:ext cx="1524000" cy="35718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7</xdr:col>
      <xdr:colOff>332815</xdr:colOff>
      <xdr:row>1</xdr:row>
      <xdr:rowOff>1274670</xdr:rowOff>
    </xdr:from>
    <xdr:to>
      <xdr:col>7</xdr:col>
      <xdr:colOff>680198</xdr:colOff>
      <xdr:row>2</xdr:row>
      <xdr:rowOff>107577</xdr:rowOff>
    </xdr:to>
    <xdr:sp macro="" textlink="">
      <xdr:nvSpPr>
        <xdr:cNvPr id="7" name="6 Flecha abajo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8552890" y="1969995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876300</xdr:colOff>
      <xdr:row>1</xdr:row>
      <xdr:rowOff>523875</xdr:rowOff>
    </xdr:from>
    <xdr:to>
      <xdr:col>8</xdr:col>
      <xdr:colOff>248771</xdr:colOff>
      <xdr:row>1</xdr:row>
      <xdr:rowOff>1196228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8048625" y="1219200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224118</xdr:colOff>
      <xdr:row>0</xdr:row>
      <xdr:rowOff>142876</xdr:rowOff>
    </xdr:from>
    <xdr:to>
      <xdr:col>5</xdr:col>
      <xdr:colOff>661193</xdr:colOff>
      <xdr:row>0</xdr:row>
      <xdr:rowOff>523876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06824" y="142876"/>
          <a:ext cx="974957" cy="381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826294</xdr:colOff>
      <xdr:row>0</xdr:row>
      <xdr:rowOff>142875</xdr:rowOff>
    </xdr:from>
    <xdr:to>
      <xdr:col>5</xdr:col>
      <xdr:colOff>1846527</xdr:colOff>
      <xdr:row>0</xdr:row>
      <xdr:rowOff>535781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0244" y="142875"/>
          <a:ext cx="1020233" cy="39290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 editAs="absolute">
    <xdr:from>
      <xdr:col>5</xdr:col>
      <xdr:colOff>4514850</xdr:colOff>
      <xdr:row>0</xdr:row>
      <xdr:rowOff>161925</xdr:rowOff>
    </xdr:from>
    <xdr:to>
      <xdr:col>5</xdr:col>
      <xdr:colOff>6038850</xdr:colOff>
      <xdr:row>0</xdr:row>
      <xdr:rowOff>519113</xdr:rowOff>
    </xdr:to>
    <xdr:sp macro="[0]!Copiar_columna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>
          <a:spLocks/>
        </xdr:cNvSpPr>
      </xdr:nvSpPr>
      <xdr:spPr>
        <a:xfrm>
          <a:off x="5638800" y="161925"/>
          <a:ext cx="1524000" cy="357188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  <xdr:twoCellAnchor>
    <xdr:from>
      <xdr:col>7</xdr:col>
      <xdr:colOff>361390</xdr:colOff>
      <xdr:row>1</xdr:row>
      <xdr:rowOff>1303245</xdr:rowOff>
    </xdr:from>
    <xdr:to>
      <xdr:col>7</xdr:col>
      <xdr:colOff>708773</xdr:colOff>
      <xdr:row>2</xdr:row>
      <xdr:rowOff>136152</xdr:rowOff>
    </xdr:to>
    <xdr:sp macro="" textlink="">
      <xdr:nvSpPr>
        <xdr:cNvPr id="9" name="8 Flecha abajo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8581465" y="1998570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6</xdr:col>
      <xdr:colOff>904875</xdr:colOff>
      <xdr:row>1</xdr:row>
      <xdr:rowOff>552450</xdr:rowOff>
    </xdr:from>
    <xdr:to>
      <xdr:col>8</xdr:col>
      <xdr:colOff>277346</xdr:colOff>
      <xdr:row>1</xdr:row>
      <xdr:rowOff>1224803</xdr:rowOff>
    </xdr:to>
    <xdr:sp macro="" textlink="">
      <xdr:nvSpPr>
        <xdr:cNvPr id="10" name="9 Rectángulo redondeado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8077200" y="1247775"/>
          <a:ext cx="1467971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52"/>
  <sheetViews>
    <sheetView tabSelected="1" zoomScale="90" zoomScaleNormal="90" workbookViewId="0">
      <selection activeCell="F44" sqref="F44:F50"/>
    </sheetView>
  </sheetViews>
  <sheetFormatPr baseColWidth="10" defaultRowHeight="15"/>
  <cols>
    <col min="1" max="5" width="2.7109375" customWidth="1"/>
    <col min="6" max="6" width="97.85546875" customWidth="1"/>
    <col min="7" max="7" width="2.7109375" customWidth="1"/>
    <col min="8" max="11" width="16.7109375" customWidth="1"/>
  </cols>
  <sheetData>
    <row r="1" spans="1:12" ht="105" customHeight="1">
      <c r="A1" t="s">
        <v>0</v>
      </c>
    </row>
    <row r="2" spans="1:12">
      <c r="G2" s="124" t="s">
        <v>0</v>
      </c>
      <c r="H2" s="125" t="s">
        <v>188</v>
      </c>
    </row>
    <row r="3" spans="1:12">
      <c r="B3" s="7"/>
      <c r="C3" s="8"/>
      <c r="D3" s="8"/>
      <c r="E3" s="8"/>
      <c r="F3" s="8"/>
      <c r="G3" s="8"/>
      <c r="H3" s="8"/>
      <c r="I3" s="8"/>
      <c r="J3" s="8"/>
      <c r="K3" s="8"/>
      <c r="L3" s="9"/>
    </row>
    <row r="4" spans="1:12">
      <c r="B4" s="10"/>
      <c r="C4" s="1"/>
      <c r="D4" s="1" t="s">
        <v>0</v>
      </c>
      <c r="E4" s="1" t="s">
        <v>0</v>
      </c>
      <c r="F4" s="2" t="s">
        <v>10</v>
      </c>
      <c r="G4" s="1"/>
      <c r="H4" s="1"/>
      <c r="I4" s="1"/>
      <c r="J4" s="1"/>
      <c r="K4" s="1"/>
      <c r="L4" s="11"/>
    </row>
    <row r="5" spans="1:12">
      <c r="B5" s="10" t="s">
        <v>191</v>
      </c>
      <c r="C5" s="1" t="s">
        <v>121</v>
      </c>
      <c r="D5" s="1" t="s">
        <v>0</v>
      </c>
      <c r="E5" s="1" t="s">
        <v>0</v>
      </c>
      <c r="F5" s="4" t="s">
        <v>204</v>
      </c>
      <c r="G5" s="1"/>
      <c r="H5" s="1"/>
      <c r="I5" s="1"/>
      <c r="J5" s="1"/>
      <c r="K5" s="1"/>
      <c r="L5" s="11"/>
    </row>
    <row r="6" spans="1:12">
      <c r="B6" s="10" t="s">
        <v>0</v>
      </c>
      <c r="C6" s="1" t="s">
        <v>0</v>
      </c>
      <c r="D6" s="1" t="s">
        <v>0</v>
      </c>
      <c r="E6" s="1" t="s">
        <v>0</v>
      </c>
      <c r="F6" s="2"/>
      <c r="G6" s="1"/>
      <c r="H6" s="1"/>
      <c r="I6" s="1"/>
      <c r="J6" s="1"/>
      <c r="K6" s="1"/>
      <c r="L6" s="11"/>
    </row>
    <row r="7" spans="1:12">
      <c r="B7" s="10"/>
      <c r="C7" s="1"/>
      <c r="D7" s="1" t="s">
        <v>0</v>
      </c>
      <c r="E7" s="1" t="s">
        <v>0</v>
      </c>
      <c r="F7" s="57" t="s">
        <v>11</v>
      </c>
      <c r="G7" s="1"/>
      <c r="H7" s="1"/>
      <c r="I7" s="1"/>
      <c r="J7" s="1"/>
      <c r="K7" s="1"/>
      <c r="L7" s="11"/>
    </row>
    <row r="8" spans="1:12">
      <c r="B8" s="10" t="s">
        <v>191</v>
      </c>
      <c r="C8" s="1" t="s">
        <v>122</v>
      </c>
      <c r="D8" s="1" t="s">
        <v>0</v>
      </c>
      <c r="E8" s="1" t="s">
        <v>0</v>
      </c>
      <c r="F8" s="4" t="s">
        <v>205</v>
      </c>
      <c r="G8" s="1"/>
      <c r="H8" s="1"/>
      <c r="I8" s="1"/>
      <c r="J8" s="1"/>
      <c r="K8" s="1"/>
      <c r="L8" s="11"/>
    </row>
    <row r="9" spans="1:12">
      <c r="B9" s="10"/>
      <c r="C9" s="1"/>
      <c r="D9" s="1"/>
      <c r="E9" s="1"/>
      <c r="F9" s="2"/>
      <c r="G9" s="1"/>
      <c r="H9" s="1"/>
      <c r="I9" s="1"/>
      <c r="J9" s="1"/>
      <c r="K9" s="1"/>
      <c r="L9" s="11"/>
    </row>
    <row r="10" spans="1:12">
      <c r="B10" s="10"/>
      <c r="C10" s="1"/>
      <c r="D10" s="1"/>
      <c r="E10" s="1"/>
      <c r="F10" s="130" t="s">
        <v>201</v>
      </c>
      <c r="G10" s="1"/>
      <c r="H10" s="1"/>
      <c r="I10" s="1"/>
      <c r="J10" s="1"/>
      <c r="K10" s="1"/>
      <c r="L10" s="11"/>
    </row>
    <row r="11" spans="1:12">
      <c r="B11" s="10"/>
      <c r="C11" s="1"/>
      <c r="D11" s="1"/>
      <c r="E11" s="1"/>
      <c r="F11" s="2"/>
      <c r="G11" s="1"/>
      <c r="H11" s="1"/>
      <c r="I11" s="1"/>
      <c r="J11" s="1"/>
      <c r="K11" s="1"/>
      <c r="L11" s="11"/>
    </row>
    <row r="12" spans="1:12">
      <c r="B12" s="10"/>
      <c r="C12" s="1"/>
      <c r="D12" s="1" t="s">
        <v>0</v>
      </c>
      <c r="E12" s="1" t="s">
        <v>0</v>
      </c>
      <c r="F12" s="2" t="s">
        <v>12</v>
      </c>
      <c r="G12" s="5"/>
      <c r="H12" s="1"/>
      <c r="I12" s="1"/>
      <c r="J12" s="1"/>
      <c r="K12" s="1"/>
      <c r="L12" s="11"/>
    </row>
    <row r="13" spans="1:12">
      <c r="B13" s="10" t="s">
        <v>191</v>
      </c>
      <c r="C13" s="1" t="s">
        <v>123</v>
      </c>
      <c r="D13" s="1" t="s">
        <v>0</v>
      </c>
      <c r="E13" s="1" t="s">
        <v>0</v>
      </c>
      <c r="F13" s="4" t="s">
        <v>206</v>
      </c>
      <c r="G13" s="5"/>
      <c r="H13" s="1"/>
      <c r="I13" s="1"/>
      <c r="J13" s="1"/>
      <c r="K13" s="1"/>
      <c r="L13" s="11"/>
    </row>
    <row r="14" spans="1:12">
      <c r="B14" s="10"/>
      <c r="C14" s="1"/>
      <c r="D14" s="1"/>
      <c r="E14" s="1"/>
      <c r="F14" s="2"/>
      <c r="G14" s="5"/>
      <c r="H14" s="1"/>
      <c r="I14" s="1"/>
      <c r="J14" s="1"/>
      <c r="K14" s="1"/>
      <c r="L14" s="11"/>
    </row>
    <row r="15" spans="1:12">
      <c r="B15" s="10"/>
      <c r="C15" s="1"/>
      <c r="D15" s="1"/>
      <c r="E15" s="1"/>
      <c r="F15" s="131" t="s">
        <v>202</v>
      </c>
      <c r="G15" s="5"/>
      <c r="H15" s="1"/>
      <c r="I15" s="1"/>
      <c r="J15" s="1"/>
      <c r="K15" s="1"/>
      <c r="L15" s="11"/>
    </row>
    <row r="16" spans="1:12">
      <c r="B16" s="10"/>
      <c r="C16" s="1"/>
      <c r="D16" s="1"/>
      <c r="E16" s="1"/>
      <c r="F16" s="2"/>
      <c r="G16" s="5"/>
      <c r="H16" s="1"/>
      <c r="I16" s="1"/>
      <c r="J16" s="1"/>
      <c r="K16" s="1"/>
      <c r="L16" s="11"/>
    </row>
    <row r="17" spans="2:12">
      <c r="B17" s="10"/>
      <c r="C17" s="1"/>
      <c r="D17" s="1" t="s">
        <v>0</v>
      </c>
      <c r="E17" s="1" t="s">
        <v>0</v>
      </c>
      <c r="F17" s="2" t="s">
        <v>13</v>
      </c>
      <c r="G17" s="5" t="s">
        <v>0</v>
      </c>
      <c r="H17" s="1"/>
      <c r="I17" s="1"/>
      <c r="J17" s="1"/>
      <c r="K17" s="1"/>
      <c r="L17" s="11"/>
    </row>
    <row r="18" spans="2:12">
      <c r="B18" s="10" t="s">
        <v>191</v>
      </c>
      <c r="C18" s="1" t="s">
        <v>124</v>
      </c>
      <c r="D18" s="1" t="s">
        <v>0</v>
      </c>
      <c r="E18" s="1" t="s">
        <v>0</v>
      </c>
      <c r="F18" s="4" t="s">
        <v>207</v>
      </c>
      <c r="G18" s="5" t="s">
        <v>0</v>
      </c>
      <c r="H18" s="1"/>
      <c r="I18" s="1"/>
      <c r="J18" s="1"/>
      <c r="K18" s="1"/>
      <c r="L18" s="11"/>
    </row>
    <row r="19" spans="2:12">
      <c r="B19" s="10"/>
      <c r="C19" s="1"/>
      <c r="D19" s="1"/>
      <c r="E19" s="1"/>
      <c r="F19" s="2"/>
      <c r="G19" s="5"/>
      <c r="H19" s="1"/>
      <c r="I19" s="1"/>
      <c r="J19" s="1"/>
      <c r="K19" s="1"/>
      <c r="L19" s="11"/>
    </row>
    <row r="20" spans="2:12">
      <c r="B20" s="10"/>
      <c r="C20" s="1"/>
      <c r="D20" s="1"/>
      <c r="E20" s="1"/>
      <c r="F20" s="132" t="s">
        <v>203</v>
      </c>
      <c r="G20" s="5"/>
      <c r="H20" s="1"/>
      <c r="I20" s="1"/>
      <c r="J20" s="1"/>
      <c r="K20" s="1"/>
      <c r="L20" s="11"/>
    </row>
    <row r="21" spans="2:12">
      <c r="B21" s="10"/>
      <c r="C21" s="1"/>
      <c r="D21" s="1"/>
      <c r="E21" s="1"/>
      <c r="F21" s="2"/>
      <c r="G21" s="5"/>
      <c r="H21" s="1"/>
      <c r="I21" s="1"/>
      <c r="J21" s="1"/>
      <c r="K21" s="1"/>
      <c r="L21" s="11"/>
    </row>
    <row r="22" spans="2:12" ht="24">
      <c r="B22" s="10"/>
      <c r="C22" s="1"/>
      <c r="D22" s="1"/>
      <c r="E22" s="1"/>
      <c r="F22" s="2"/>
      <c r="G22" s="5" t="s">
        <v>0</v>
      </c>
      <c r="H22" s="69" t="s">
        <v>87</v>
      </c>
      <c r="I22" s="69" t="s">
        <v>88</v>
      </c>
      <c r="J22" s="1"/>
      <c r="K22" s="1"/>
      <c r="L22" s="11"/>
    </row>
    <row r="23" spans="2:12" ht="22.5">
      <c r="B23" s="10" t="s">
        <v>191</v>
      </c>
      <c r="C23" s="1" t="s">
        <v>125</v>
      </c>
      <c r="D23" s="1" t="s">
        <v>0</v>
      </c>
      <c r="E23" s="1" t="s">
        <v>0</v>
      </c>
      <c r="F23" s="3" t="s">
        <v>14</v>
      </c>
      <c r="G23" s="5" t="s">
        <v>0</v>
      </c>
      <c r="H23" s="6">
        <v>1000</v>
      </c>
      <c r="I23" s="6">
        <v>3000</v>
      </c>
      <c r="J23" s="1"/>
      <c r="K23" s="1"/>
      <c r="L23" s="11"/>
    </row>
    <row r="24" spans="2:12">
      <c r="B24" s="10" t="s">
        <v>191</v>
      </c>
      <c r="C24" s="1" t="s">
        <v>126</v>
      </c>
      <c r="D24" s="1" t="s">
        <v>0</v>
      </c>
      <c r="E24" s="1" t="s">
        <v>0</v>
      </c>
      <c r="F24" s="2" t="s">
        <v>15</v>
      </c>
      <c r="G24" s="5" t="s">
        <v>0</v>
      </c>
      <c r="H24" s="6">
        <v>2000</v>
      </c>
      <c r="I24" s="6">
        <v>4000</v>
      </c>
      <c r="J24" s="1"/>
      <c r="K24" s="1"/>
      <c r="L24" s="11"/>
    </row>
    <row r="25" spans="2:12">
      <c r="B25" s="10" t="s">
        <v>0</v>
      </c>
      <c r="C25" s="1" t="s">
        <v>0</v>
      </c>
      <c r="D25" s="1" t="s">
        <v>0</v>
      </c>
      <c r="E25" s="1" t="s">
        <v>0</v>
      </c>
      <c r="F25" s="2"/>
      <c r="G25" s="5" t="s">
        <v>0</v>
      </c>
      <c r="H25" s="2"/>
      <c r="I25" s="2"/>
      <c r="J25" s="2"/>
      <c r="K25" s="1"/>
      <c r="L25" s="11"/>
    </row>
    <row r="26" spans="2:12" ht="22.5">
      <c r="B26" s="10"/>
      <c r="C26" s="1"/>
      <c r="D26" s="1" t="s">
        <v>0</v>
      </c>
      <c r="E26" s="1" t="s">
        <v>0</v>
      </c>
      <c r="F26" s="3" t="s">
        <v>16</v>
      </c>
      <c r="G26" s="5" t="s">
        <v>0</v>
      </c>
      <c r="H26" s="2"/>
      <c r="I26" s="2"/>
      <c r="J26" s="2"/>
      <c r="K26" s="1"/>
      <c r="L26" s="11"/>
    </row>
    <row r="27" spans="2:12">
      <c r="B27" s="10" t="s">
        <v>191</v>
      </c>
      <c r="C27" s="1" t="s">
        <v>127</v>
      </c>
      <c r="D27" s="1" t="s">
        <v>0</v>
      </c>
      <c r="E27" s="1" t="s">
        <v>0</v>
      </c>
      <c r="F27" s="4" t="s">
        <v>208</v>
      </c>
      <c r="G27" s="5" t="s">
        <v>0</v>
      </c>
      <c r="H27" s="2"/>
      <c r="I27" s="2"/>
      <c r="J27" s="2"/>
      <c r="K27" s="1"/>
      <c r="L27" s="11"/>
    </row>
    <row r="28" spans="2:12">
      <c r="B28" s="10" t="s">
        <v>191</v>
      </c>
      <c r="C28" s="1" t="s">
        <v>128</v>
      </c>
      <c r="D28" s="1" t="s">
        <v>0</v>
      </c>
      <c r="E28" s="1" t="s">
        <v>0</v>
      </c>
      <c r="F28" s="2" t="s">
        <v>17</v>
      </c>
      <c r="G28" s="5"/>
      <c r="H28" s="6">
        <v>1000</v>
      </c>
      <c r="I28" s="6">
        <v>4000</v>
      </c>
      <c r="J28" s="2"/>
      <c r="K28" s="1"/>
      <c r="L28" s="11"/>
    </row>
    <row r="29" spans="2:12">
      <c r="B29" s="10" t="s">
        <v>191</v>
      </c>
      <c r="C29" s="1" t="s">
        <v>129</v>
      </c>
      <c r="D29" s="1" t="s">
        <v>0</v>
      </c>
      <c r="E29" s="1" t="s">
        <v>0</v>
      </c>
      <c r="F29" s="2" t="s">
        <v>18</v>
      </c>
      <c r="G29" s="5" t="s">
        <v>0</v>
      </c>
      <c r="H29" s="6">
        <v>2000</v>
      </c>
      <c r="I29" s="6">
        <v>5000</v>
      </c>
      <c r="J29" s="2"/>
      <c r="K29" s="1"/>
      <c r="L29" s="11"/>
    </row>
    <row r="30" spans="2:12">
      <c r="B30" s="10" t="s">
        <v>191</v>
      </c>
      <c r="C30" s="1" t="s">
        <v>130</v>
      </c>
      <c r="D30" s="1" t="s">
        <v>0</v>
      </c>
      <c r="E30" s="1" t="s">
        <v>0</v>
      </c>
      <c r="F30" s="2" t="s">
        <v>19</v>
      </c>
      <c r="G30" s="5" t="s">
        <v>0</v>
      </c>
      <c r="H30" s="6">
        <v>3000</v>
      </c>
      <c r="I30" s="6">
        <v>6000</v>
      </c>
      <c r="J30" s="2"/>
      <c r="K30" s="1"/>
      <c r="L30" s="11"/>
    </row>
    <row r="31" spans="2:12">
      <c r="B31" s="10" t="s">
        <v>0</v>
      </c>
      <c r="C31" s="1" t="s">
        <v>0</v>
      </c>
      <c r="D31" s="1" t="s">
        <v>0</v>
      </c>
      <c r="E31" s="1" t="s">
        <v>0</v>
      </c>
      <c r="F31" s="2"/>
      <c r="G31" s="5" t="s">
        <v>0</v>
      </c>
      <c r="H31" s="1"/>
      <c r="I31" s="1"/>
      <c r="J31" s="1"/>
      <c r="K31" s="1"/>
      <c r="L31" s="11"/>
    </row>
    <row r="32" spans="2:12">
      <c r="B32" s="10"/>
      <c r="C32" s="1"/>
      <c r="D32" s="1" t="s">
        <v>0</v>
      </c>
      <c r="E32" s="1" t="s">
        <v>0</v>
      </c>
      <c r="F32" s="2" t="s">
        <v>20</v>
      </c>
      <c r="G32" s="5" t="s">
        <v>0</v>
      </c>
      <c r="H32" s="1"/>
      <c r="I32" s="1"/>
      <c r="J32" s="1"/>
      <c r="K32" s="1"/>
      <c r="L32" s="11"/>
    </row>
    <row r="33" spans="2:12">
      <c r="B33" s="10" t="s">
        <v>191</v>
      </c>
      <c r="C33" s="1" t="s">
        <v>131</v>
      </c>
      <c r="D33" s="1" t="s">
        <v>0</v>
      </c>
      <c r="E33" s="1" t="s">
        <v>0</v>
      </c>
      <c r="F33" s="4" t="s">
        <v>209</v>
      </c>
      <c r="G33" s="5" t="s">
        <v>0</v>
      </c>
      <c r="H33" s="1"/>
      <c r="I33" s="1"/>
      <c r="J33" s="1"/>
      <c r="K33" s="1"/>
      <c r="L33" s="11"/>
    </row>
    <row r="34" spans="2:12">
      <c r="B34" s="10" t="s">
        <v>0</v>
      </c>
      <c r="C34" s="1" t="s">
        <v>0</v>
      </c>
      <c r="D34" s="1" t="s">
        <v>0</v>
      </c>
      <c r="E34" s="1" t="s">
        <v>0</v>
      </c>
      <c r="F34" s="2"/>
      <c r="G34" s="5" t="s">
        <v>0</v>
      </c>
      <c r="H34" s="1"/>
      <c r="I34" s="1"/>
      <c r="J34" s="1"/>
      <c r="K34" s="1"/>
      <c r="L34" s="11"/>
    </row>
    <row r="35" spans="2:12" ht="22.5">
      <c r="B35" s="10"/>
      <c r="C35" s="1"/>
      <c r="D35" s="1" t="s">
        <v>0</v>
      </c>
      <c r="E35" s="1" t="s">
        <v>0</v>
      </c>
      <c r="F35" s="3" t="s">
        <v>21</v>
      </c>
      <c r="G35" s="5" t="s">
        <v>0</v>
      </c>
      <c r="H35" s="1"/>
      <c r="I35" s="1"/>
      <c r="J35" s="1"/>
      <c r="K35" s="1"/>
      <c r="L35" s="11"/>
    </row>
    <row r="36" spans="2:12">
      <c r="B36" s="10" t="s">
        <v>191</v>
      </c>
      <c r="C36" s="1" t="s">
        <v>132</v>
      </c>
      <c r="D36" s="5" t="s">
        <v>0</v>
      </c>
      <c r="E36" s="5" t="s">
        <v>0</v>
      </c>
      <c r="F36" s="4" t="s">
        <v>210</v>
      </c>
      <c r="G36" s="5" t="s">
        <v>0</v>
      </c>
      <c r="H36" s="1"/>
      <c r="I36" s="1"/>
      <c r="J36" s="1"/>
      <c r="K36" s="1"/>
      <c r="L36" s="11"/>
    </row>
    <row r="37" spans="2:12">
      <c r="B37" s="10" t="s">
        <v>0</v>
      </c>
      <c r="C37" s="1" t="s">
        <v>0</v>
      </c>
      <c r="D37" s="1" t="s">
        <v>0</v>
      </c>
      <c r="E37" s="1" t="s">
        <v>0</v>
      </c>
      <c r="F37" s="2"/>
      <c r="G37" s="5" t="s">
        <v>0</v>
      </c>
      <c r="H37" s="1"/>
      <c r="I37" s="1"/>
      <c r="J37" s="1"/>
      <c r="K37" s="1"/>
      <c r="L37" s="11"/>
    </row>
    <row r="38" spans="2:12" ht="22.5">
      <c r="B38" s="10"/>
      <c r="C38" s="1"/>
      <c r="D38" s="1" t="s">
        <v>0</v>
      </c>
      <c r="E38" s="1" t="s">
        <v>0</v>
      </c>
      <c r="F38" s="3" t="s">
        <v>22</v>
      </c>
      <c r="G38" s="5"/>
      <c r="H38" s="1"/>
      <c r="I38" s="1"/>
      <c r="J38" s="1"/>
      <c r="K38" s="1"/>
      <c r="L38" s="11"/>
    </row>
    <row r="39" spans="2:12">
      <c r="B39" s="10" t="s">
        <v>191</v>
      </c>
      <c r="C39" s="1" t="s">
        <v>133</v>
      </c>
      <c r="D39" s="1" t="s">
        <v>0</v>
      </c>
      <c r="E39" s="1" t="s">
        <v>0</v>
      </c>
      <c r="F39" s="4" t="s">
        <v>211</v>
      </c>
      <c r="G39" s="5"/>
      <c r="H39" s="1"/>
      <c r="I39" s="1"/>
      <c r="J39" s="1"/>
      <c r="K39" s="1"/>
      <c r="L39" s="11"/>
    </row>
    <row r="40" spans="2:12" ht="24">
      <c r="B40" s="10"/>
      <c r="C40" s="1"/>
      <c r="D40" s="1"/>
      <c r="E40" s="1"/>
      <c r="F40" s="2"/>
      <c r="G40" s="5"/>
      <c r="H40" s="69" t="s">
        <v>89</v>
      </c>
      <c r="I40" s="69" t="s">
        <v>90</v>
      </c>
      <c r="J40" s="69" t="s">
        <v>91</v>
      </c>
      <c r="K40" s="69" t="s">
        <v>92</v>
      </c>
      <c r="L40" s="11"/>
    </row>
    <row r="41" spans="2:12">
      <c r="B41" s="10" t="s">
        <v>191</v>
      </c>
      <c r="C41" s="1" t="s">
        <v>134</v>
      </c>
      <c r="D41" s="1" t="s">
        <v>0</v>
      </c>
      <c r="E41" s="1" t="s">
        <v>0</v>
      </c>
      <c r="F41" s="2" t="s">
        <v>23</v>
      </c>
      <c r="G41" s="5"/>
      <c r="H41" s="6">
        <v>7000</v>
      </c>
      <c r="I41" s="6">
        <v>8000</v>
      </c>
      <c r="J41" s="6"/>
      <c r="K41" s="6"/>
      <c r="L41" s="11"/>
    </row>
    <row r="42" spans="2:12">
      <c r="B42" s="10"/>
      <c r="C42" s="1"/>
      <c r="D42" s="1"/>
      <c r="E42" s="1"/>
      <c r="F42" s="2"/>
      <c r="G42" s="5"/>
      <c r="H42" s="2"/>
      <c r="I42" s="2"/>
      <c r="J42" s="2"/>
      <c r="K42" s="2"/>
      <c r="L42" s="11"/>
    </row>
    <row r="43" spans="2:12">
      <c r="B43" s="10"/>
      <c r="C43" s="1"/>
      <c r="D43" s="1" t="s">
        <v>0</v>
      </c>
      <c r="E43" s="1" t="s">
        <v>0</v>
      </c>
      <c r="F43" s="97" t="s">
        <v>176</v>
      </c>
      <c r="G43" s="5"/>
      <c r="H43" s="2"/>
      <c r="I43" s="2"/>
      <c r="J43" s="2"/>
      <c r="K43" s="2"/>
      <c r="L43" s="11"/>
    </row>
    <row r="44" spans="2:12">
      <c r="B44" s="10" t="s">
        <v>191</v>
      </c>
      <c r="C44" s="1" t="s">
        <v>173</v>
      </c>
      <c r="D44" s="1" t="s">
        <v>0</v>
      </c>
      <c r="E44" s="1"/>
      <c r="F44" s="6" t="s">
        <v>212</v>
      </c>
      <c r="G44" s="5"/>
      <c r="H44" s="2"/>
      <c r="I44" s="2"/>
      <c r="J44" s="2"/>
      <c r="K44" s="2"/>
      <c r="L44" s="11"/>
    </row>
    <row r="45" spans="2:12">
      <c r="B45" s="10"/>
      <c r="C45" s="1"/>
      <c r="D45" s="1"/>
      <c r="E45" s="1"/>
      <c r="F45" s="96"/>
      <c r="G45" s="5"/>
      <c r="H45" s="2"/>
      <c r="I45" s="2"/>
      <c r="J45" s="2"/>
      <c r="K45" s="2"/>
      <c r="L45" s="11"/>
    </row>
    <row r="46" spans="2:12" ht="22.5">
      <c r="B46" s="10"/>
      <c r="C46" s="1"/>
      <c r="D46" s="1"/>
      <c r="E46" s="1" t="s">
        <v>0</v>
      </c>
      <c r="F46" s="97" t="s">
        <v>177</v>
      </c>
      <c r="G46" s="5"/>
      <c r="H46" s="2"/>
      <c r="I46" s="2"/>
      <c r="J46" s="2"/>
      <c r="K46" s="2"/>
      <c r="L46" s="11"/>
    </row>
    <row r="47" spans="2:12">
      <c r="B47" s="10" t="s">
        <v>191</v>
      </c>
      <c r="C47" s="1" t="s">
        <v>174</v>
      </c>
      <c r="D47" s="1" t="s">
        <v>0</v>
      </c>
      <c r="E47" s="1"/>
      <c r="F47" s="6" t="s">
        <v>213</v>
      </c>
      <c r="G47" s="5"/>
      <c r="H47" s="2"/>
      <c r="I47" s="2"/>
      <c r="J47" s="2"/>
      <c r="K47" s="2"/>
      <c r="L47" s="11"/>
    </row>
    <row r="48" spans="2:12">
      <c r="B48" s="10"/>
      <c r="C48" s="1"/>
      <c r="D48" s="1"/>
      <c r="E48" s="1"/>
      <c r="F48" s="96"/>
      <c r="G48" s="5"/>
      <c r="H48" s="2"/>
      <c r="I48" s="2"/>
      <c r="J48" s="2"/>
      <c r="K48" s="2"/>
      <c r="L48" s="11"/>
    </row>
    <row r="49" spans="2:12">
      <c r="B49" s="10"/>
      <c r="C49" s="1"/>
      <c r="D49" s="1"/>
      <c r="E49" s="1"/>
      <c r="F49" s="97" t="s">
        <v>178</v>
      </c>
      <c r="G49" s="5"/>
      <c r="H49" s="2"/>
      <c r="I49" s="2"/>
      <c r="J49" s="2"/>
      <c r="K49" s="2"/>
      <c r="L49" s="11"/>
    </row>
    <row r="50" spans="2:12">
      <c r="B50" s="10" t="s">
        <v>191</v>
      </c>
      <c r="C50" s="1" t="s">
        <v>175</v>
      </c>
      <c r="D50" s="1" t="s">
        <v>0</v>
      </c>
      <c r="E50" s="1"/>
      <c r="F50" s="6" t="s">
        <v>214</v>
      </c>
      <c r="G50" s="5"/>
      <c r="H50" s="2"/>
      <c r="I50" s="2"/>
      <c r="J50" s="2"/>
      <c r="K50" s="2"/>
      <c r="L50" s="11"/>
    </row>
    <row r="51" spans="2:12">
      <c r="B51" s="10"/>
      <c r="C51" s="1"/>
      <c r="D51" s="1"/>
      <c r="E51" s="1"/>
      <c r="F51" s="96"/>
      <c r="G51" s="5"/>
      <c r="H51" s="2"/>
      <c r="I51" s="2"/>
      <c r="J51" s="2"/>
      <c r="K51" s="2"/>
      <c r="L51" s="11"/>
    </row>
    <row r="52" spans="2:12">
      <c r="B52" s="12"/>
      <c r="C52" s="13"/>
      <c r="D52" s="13"/>
      <c r="E52" s="13"/>
      <c r="F52" s="14"/>
      <c r="G52" s="45"/>
      <c r="H52" s="45"/>
      <c r="I52" s="45"/>
      <c r="J52" s="45"/>
      <c r="K52" s="45"/>
      <c r="L52" s="15"/>
    </row>
  </sheetData>
  <hyperlinks>
    <hyperlink ref="F10" location="'IAS38-InfoReveActiInta'!A1" display="Información a revelar detallada sobre activos intangibles [tabla]" xr:uid="{00000000-0004-0000-0000-000000000000}"/>
    <hyperlink ref="F15" location="'IAS38-InfoActiIntaUtil'!A1" display="Información a revelar sobre activos intangibles con vidas útiles indefinidas [tabla]" xr:uid="{00000000-0004-0000-0000-000001000000}"/>
    <hyperlink ref="F20" location="'IAS38-InfoActiIntaSign'!A1" display="Información a revelar sobre activos intangibles significativos para la entidad [tabla]" xr:uid="{00000000-0004-0000-0000-000002000000}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 tint="0.39997558519241921"/>
  </sheetPr>
  <dimension ref="A1:BH440"/>
  <sheetViews>
    <sheetView topLeftCell="AV418" zoomScale="70" zoomScaleNormal="70" workbookViewId="0">
      <selection activeCell="AN72" sqref="AN72:AO72"/>
    </sheetView>
  </sheetViews>
  <sheetFormatPr baseColWidth="10" defaultRowHeight="15"/>
  <cols>
    <col min="1" max="1" width="2.140625" customWidth="1"/>
    <col min="2" max="2" width="3.5703125" customWidth="1"/>
    <col min="3" max="3" width="4" customWidth="1"/>
    <col min="4" max="4" width="5" customWidth="1"/>
    <col min="5" max="5" width="3" customWidth="1"/>
    <col min="6" max="6" width="93.140625" customWidth="1"/>
    <col min="7" max="60" width="20.7109375" customWidth="1"/>
  </cols>
  <sheetData>
    <row r="1" spans="1:60" ht="60" customHeight="1" thickBot="1"/>
    <row r="2" spans="1:60" ht="171.75" customHeight="1" thickBot="1">
      <c r="F2" s="46" t="s">
        <v>6</v>
      </c>
    </row>
    <row r="3" spans="1:60" ht="16.5" thickBot="1">
      <c r="A3" s="47"/>
      <c r="F3" s="86" t="s">
        <v>94</v>
      </c>
      <c r="G3" s="87" t="s">
        <v>95</v>
      </c>
    </row>
    <row r="4" spans="1:60" ht="122.25" customHeight="1" thickBot="1">
      <c r="A4" s="47" t="s">
        <v>8</v>
      </c>
      <c r="B4" s="74" t="s">
        <v>0</v>
      </c>
      <c r="C4" s="75"/>
      <c r="D4" s="75"/>
      <c r="E4" s="75"/>
      <c r="F4" s="84" t="s">
        <v>51</v>
      </c>
      <c r="G4" s="141" t="s">
        <v>65</v>
      </c>
      <c r="H4" s="142"/>
      <c r="I4" s="142"/>
      <c r="J4" s="142"/>
      <c r="K4" s="142"/>
      <c r="L4" s="142"/>
      <c r="M4" s="142"/>
      <c r="N4" s="142"/>
      <c r="O4" s="142"/>
      <c r="P4" s="142"/>
      <c r="Q4" s="142"/>
      <c r="R4" s="142"/>
      <c r="S4" s="142"/>
      <c r="T4" s="142"/>
      <c r="U4" s="142"/>
      <c r="V4" s="142"/>
      <c r="W4" s="142"/>
      <c r="X4" s="142"/>
      <c r="Y4" s="142"/>
      <c r="Z4" s="142"/>
      <c r="AA4" s="142"/>
      <c r="AB4" s="142"/>
      <c r="AC4" s="142"/>
      <c r="AD4" s="142"/>
      <c r="AE4" s="142"/>
      <c r="AF4" s="142"/>
      <c r="AG4" s="142"/>
      <c r="AH4" s="142"/>
      <c r="AI4" s="142"/>
      <c r="AJ4" s="142"/>
      <c r="AK4" s="142"/>
      <c r="AL4" s="142"/>
      <c r="AM4" s="142"/>
      <c r="AN4" s="142"/>
      <c r="AO4" s="142"/>
      <c r="AP4" s="142"/>
      <c r="AQ4" s="142"/>
      <c r="AR4" s="142"/>
      <c r="AS4" s="142"/>
      <c r="AT4" s="142"/>
      <c r="AU4" s="142"/>
      <c r="AV4" s="142"/>
      <c r="AW4" s="142"/>
      <c r="AX4" s="142"/>
      <c r="AY4" s="142"/>
      <c r="AZ4" s="142"/>
      <c r="BA4" s="142"/>
      <c r="BB4" s="142"/>
      <c r="BC4" s="142"/>
      <c r="BD4" s="142"/>
      <c r="BE4" s="142"/>
      <c r="BF4" s="142"/>
      <c r="BG4" s="142"/>
      <c r="BH4" s="143"/>
    </row>
    <row r="5" spans="1:60" ht="15.75" hidden="1" thickBot="1">
      <c r="A5" s="48" t="s">
        <v>7</v>
      </c>
      <c r="B5" s="73" t="s">
        <v>0</v>
      </c>
      <c r="C5" s="72"/>
      <c r="D5" s="72" t="s">
        <v>135</v>
      </c>
      <c r="E5" s="72" t="s">
        <v>136</v>
      </c>
      <c r="F5" s="72"/>
      <c r="G5" s="76" t="s">
        <v>97</v>
      </c>
      <c r="H5" s="76" t="s">
        <v>97</v>
      </c>
      <c r="I5" s="76" t="s">
        <v>97</v>
      </c>
      <c r="J5" s="76" t="s">
        <v>97</v>
      </c>
      <c r="K5" s="76" t="s">
        <v>97</v>
      </c>
      <c r="L5" s="92" t="s">
        <v>97</v>
      </c>
      <c r="M5" s="76" t="s">
        <v>97</v>
      </c>
      <c r="N5" s="92" t="s">
        <v>97</v>
      </c>
      <c r="O5" s="76" t="s">
        <v>97</v>
      </c>
      <c r="P5" s="76" t="s">
        <v>97</v>
      </c>
      <c r="Q5" s="76" t="s">
        <v>97</v>
      </c>
      <c r="R5" s="76" t="s">
        <v>97</v>
      </c>
      <c r="S5" s="76" t="s">
        <v>97</v>
      </c>
      <c r="T5" s="76" t="s">
        <v>97</v>
      </c>
      <c r="U5" s="76" t="s">
        <v>97</v>
      </c>
      <c r="V5" s="76" t="s">
        <v>97</v>
      </c>
      <c r="W5" s="76" t="s">
        <v>97</v>
      </c>
      <c r="X5" s="76" t="s">
        <v>97</v>
      </c>
      <c r="Y5" s="76" t="s">
        <v>97</v>
      </c>
      <c r="Z5" s="76" t="s">
        <v>97</v>
      </c>
      <c r="AA5" s="76" t="s">
        <v>97</v>
      </c>
      <c r="AB5" s="76" t="s">
        <v>97</v>
      </c>
      <c r="AC5" s="76" t="s">
        <v>97</v>
      </c>
      <c r="AD5" s="76" t="s">
        <v>97</v>
      </c>
      <c r="AE5" s="76" t="s">
        <v>97</v>
      </c>
      <c r="AF5" s="92" t="s">
        <v>97</v>
      </c>
      <c r="AG5" s="76" t="s">
        <v>97</v>
      </c>
      <c r="AH5" s="76" t="s">
        <v>97</v>
      </c>
      <c r="AI5" s="76" t="s">
        <v>97</v>
      </c>
      <c r="AJ5" s="76" t="s">
        <v>97</v>
      </c>
      <c r="AK5" s="76" t="s">
        <v>97</v>
      </c>
      <c r="AL5" s="76" t="s">
        <v>97</v>
      </c>
      <c r="AM5" s="76" t="s">
        <v>97</v>
      </c>
      <c r="AN5" s="76" t="s">
        <v>97</v>
      </c>
      <c r="AO5" s="76" t="s">
        <v>97</v>
      </c>
      <c r="AP5" s="76" t="s">
        <v>97</v>
      </c>
      <c r="AQ5" s="76" t="s">
        <v>97</v>
      </c>
      <c r="AR5" s="76" t="s">
        <v>97</v>
      </c>
      <c r="AS5" s="76" t="s">
        <v>97</v>
      </c>
      <c r="AT5" s="76" t="s">
        <v>97</v>
      </c>
      <c r="AU5" s="76" t="s">
        <v>97</v>
      </c>
      <c r="AV5" s="76" t="s">
        <v>97</v>
      </c>
      <c r="AW5" s="76" t="s">
        <v>97</v>
      </c>
      <c r="AX5" s="92" t="s">
        <v>97</v>
      </c>
      <c r="AY5" s="76" t="s">
        <v>97</v>
      </c>
      <c r="AZ5" s="76" t="s">
        <v>97</v>
      </c>
      <c r="BA5" s="76" t="s">
        <v>97</v>
      </c>
      <c r="BB5" s="76" t="s">
        <v>97</v>
      </c>
      <c r="BC5" s="76" t="s">
        <v>97</v>
      </c>
      <c r="BD5" s="76" t="s">
        <v>97</v>
      </c>
      <c r="BE5" s="76" t="s">
        <v>97</v>
      </c>
      <c r="BF5" s="76" t="s">
        <v>97</v>
      </c>
      <c r="BG5" s="76" t="s">
        <v>97</v>
      </c>
      <c r="BH5" s="102" t="s">
        <v>97</v>
      </c>
    </row>
    <row r="6" spans="1:60" ht="57" customHeight="1" thickBot="1">
      <c r="A6" s="48"/>
      <c r="B6" s="147"/>
      <c r="C6" s="148"/>
      <c r="D6" s="148"/>
      <c r="E6" s="148"/>
      <c r="F6" s="148"/>
      <c r="G6" s="149" t="s">
        <v>70</v>
      </c>
      <c r="H6" s="150"/>
      <c r="I6" s="150"/>
      <c r="J6" s="150"/>
      <c r="K6" s="150"/>
      <c r="L6" s="150"/>
      <c r="M6" s="150"/>
      <c r="N6" s="150"/>
      <c r="O6" s="150"/>
      <c r="P6" s="150"/>
      <c r="Q6" s="150"/>
      <c r="R6" s="150"/>
      <c r="S6" s="150"/>
      <c r="T6" s="150"/>
      <c r="U6" s="150"/>
      <c r="V6" s="150"/>
      <c r="W6" s="150"/>
      <c r="X6" s="151"/>
      <c r="Y6" s="149" t="s">
        <v>71</v>
      </c>
      <c r="Z6" s="150"/>
      <c r="AA6" s="150"/>
      <c r="AB6" s="150"/>
      <c r="AC6" s="150"/>
      <c r="AD6" s="150"/>
      <c r="AE6" s="150"/>
      <c r="AF6" s="150"/>
      <c r="AG6" s="150"/>
      <c r="AH6" s="150"/>
      <c r="AI6" s="150"/>
      <c r="AJ6" s="150"/>
      <c r="AK6" s="150"/>
      <c r="AL6" s="150"/>
      <c r="AM6" s="150"/>
      <c r="AN6" s="150"/>
      <c r="AO6" s="150"/>
      <c r="AP6" s="151"/>
      <c r="AQ6" s="149" t="s">
        <v>72</v>
      </c>
      <c r="AR6" s="150"/>
      <c r="AS6" s="150"/>
      <c r="AT6" s="150"/>
      <c r="AU6" s="150"/>
      <c r="AV6" s="150"/>
      <c r="AW6" s="150"/>
      <c r="AX6" s="150"/>
      <c r="AY6" s="150"/>
      <c r="AZ6" s="150"/>
      <c r="BA6" s="150"/>
      <c r="BB6" s="150"/>
      <c r="BC6" s="150"/>
      <c r="BD6" s="150"/>
      <c r="BE6" s="150"/>
      <c r="BF6" s="150"/>
      <c r="BG6" s="150"/>
      <c r="BH6" s="151"/>
    </row>
    <row r="7" spans="1:60" ht="45" hidden="1" customHeight="1" thickBot="1">
      <c r="A7" s="48" t="s">
        <v>7</v>
      </c>
      <c r="B7" s="103" t="s">
        <v>0</v>
      </c>
      <c r="C7" s="80"/>
      <c r="D7" s="80"/>
      <c r="E7" s="81" t="s">
        <v>137</v>
      </c>
      <c r="F7" s="80"/>
      <c r="G7" s="77" t="s">
        <v>98</v>
      </c>
      <c r="H7" s="77" t="s">
        <v>98</v>
      </c>
      <c r="I7" s="77" t="s">
        <v>98</v>
      </c>
      <c r="J7" s="77" t="s">
        <v>98</v>
      </c>
      <c r="K7" s="77" t="s">
        <v>98</v>
      </c>
      <c r="L7" s="93" t="s">
        <v>98</v>
      </c>
      <c r="M7" s="77" t="s">
        <v>98</v>
      </c>
      <c r="N7" s="93" t="s">
        <v>98</v>
      </c>
      <c r="O7" s="77" t="s">
        <v>98</v>
      </c>
      <c r="P7" s="77" t="s">
        <v>98</v>
      </c>
      <c r="Q7" s="77" t="s">
        <v>98</v>
      </c>
      <c r="R7" s="77" t="s">
        <v>98</v>
      </c>
      <c r="S7" s="77" t="s">
        <v>98</v>
      </c>
      <c r="T7" s="77" t="s">
        <v>98</v>
      </c>
      <c r="U7" s="77" t="s">
        <v>98</v>
      </c>
      <c r="V7" s="77" t="s">
        <v>98</v>
      </c>
      <c r="W7" s="77" t="s">
        <v>98</v>
      </c>
      <c r="X7" s="77" t="s">
        <v>98</v>
      </c>
      <c r="Y7" s="77" t="s">
        <v>106</v>
      </c>
      <c r="Z7" s="77" t="s">
        <v>106</v>
      </c>
      <c r="AA7" s="77" t="s">
        <v>106</v>
      </c>
      <c r="AB7" s="77" t="s">
        <v>106</v>
      </c>
      <c r="AC7" s="77" t="s">
        <v>106</v>
      </c>
      <c r="AD7" s="77" t="s">
        <v>106</v>
      </c>
      <c r="AE7" s="77" t="s">
        <v>106</v>
      </c>
      <c r="AF7" s="77" t="s">
        <v>106</v>
      </c>
      <c r="AG7" s="77" t="s">
        <v>106</v>
      </c>
      <c r="AH7" s="77" t="s">
        <v>106</v>
      </c>
      <c r="AI7" s="77" t="s">
        <v>106</v>
      </c>
      <c r="AJ7" s="77" t="s">
        <v>106</v>
      </c>
      <c r="AK7" s="77" t="s">
        <v>106</v>
      </c>
      <c r="AL7" s="77" t="s">
        <v>106</v>
      </c>
      <c r="AM7" s="77" t="s">
        <v>106</v>
      </c>
      <c r="AN7" s="77" t="s">
        <v>106</v>
      </c>
      <c r="AO7" s="77" t="s">
        <v>106</v>
      </c>
      <c r="AP7" s="77" t="s">
        <v>106</v>
      </c>
      <c r="AQ7" s="77" t="s">
        <v>107</v>
      </c>
      <c r="AR7" s="77" t="s">
        <v>107</v>
      </c>
      <c r="AS7" s="77" t="s">
        <v>107</v>
      </c>
      <c r="AT7" s="77" t="s">
        <v>107</v>
      </c>
      <c r="AU7" s="77" t="s">
        <v>107</v>
      </c>
      <c r="AV7" s="77" t="s">
        <v>107</v>
      </c>
      <c r="AW7" s="77" t="s">
        <v>107</v>
      </c>
      <c r="AX7" s="77" t="s">
        <v>107</v>
      </c>
      <c r="AY7" s="77" t="s">
        <v>107</v>
      </c>
      <c r="AZ7" s="77" t="s">
        <v>107</v>
      </c>
      <c r="BA7" s="77" t="s">
        <v>107</v>
      </c>
      <c r="BB7" s="77" t="s">
        <v>107</v>
      </c>
      <c r="BC7" s="77" t="s">
        <v>107</v>
      </c>
      <c r="BD7" s="77" t="s">
        <v>107</v>
      </c>
      <c r="BE7" s="77" t="s">
        <v>107</v>
      </c>
      <c r="BF7" s="77" t="s">
        <v>107</v>
      </c>
      <c r="BG7" s="77" t="s">
        <v>107</v>
      </c>
      <c r="BH7" s="104" t="s">
        <v>107</v>
      </c>
    </row>
    <row r="8" spans="1:60" ht="121.5" customHeight="1" thickBot="1">
      <c r="A8" s="48"/>
      <c r="B8" s="147"/>
      <c r="C8" s="148"/>
      <c r="D8" s="148"/>
      <c r="E8" s="148"/>
      <c r="F8" s="148"/>
      <c r="G8" s="78" t="s">
        <v>73</v>
      </c>
      <c r="H8" s="82" t="s">
        <v>74</v>
      </c>
      <c r="I8" s="78" t="s">
        <v>75</v>
      </c>
      <c r="J8" s="82" t="s">
        <v>76</v>
      </c>
      <c r="K8" s="78" t="s">
        <v>77</v>
      </c>
      <c r="L8" s="82" t="s">
        <v>99</v>
      </c>
      <c r="M8" s="78" t="s">
        <v>83</v>
      </c>
      <c r="N8" s="82" t="s">
        <v>180</v>
      </c>
      <c r="O8" s="78" t="s">
        <v>182</v>
      </c>
      <c r="P8" s="82" t="s">
        <v>78</v>
      </c>
      <c r="Q8" s="78" t="s">
        <v>79</v>
      </c>
      <c r="R8" s="82" t="s">
        <v>80</v>
      </c>
      <c r="S8" s="78" t="s">
        <v>81</v>
      </c>
      <c r="T8" s="82" t="s">
        <v>82</v>
      </c>
      <c r="U8" s="78" t="s">
        <v>84</v>
      </c>
      <c r="V8" s="82" t="s">
        <v>183</v>
      </c>
      <c r="W8" s="78" t="s">
        <v>85</v>
      </c>
      <c r="X8" s="82" t="s">
        <v>86</v>
      </c>
      <c r="Y8" s="78" t="s">
        <v>73</v>
      </c>
      <c r="Z8" s="82" t="s">
        <v>74</v>
      </c>
      <c r="AA8" s="78" t="s">
        <v>75</v>
      </c>
      <c r="AB8" s="82" t="s">
        <v>76</v>
      </c>
      <c r="AC8" s="78" t="s">
        <v>77</v>
      </c>
      <c r="AD8" s="82" t="s">
        <v>99</v>
      </c>
      <c r="AE8" s="78" t="s">
        <v>83</v>
      </c>
      <c r="AF8" s="82" t="s">
        <v>180</v>
      </c>
      <c r="AG8" s="78" t="s">
        <v>182</v>
      </c>
      <c r="AH8" s="82" t="s">
        <v>78</v>
      </c>
      <c r="AI8" s="78" t="s">
        <v>79</v>
      </c>
      <c r="AJ8" s="82" t="s">
        <v>80</v>
      </c>
      <c r="AK8" s="78" t="s">
        <v>81</v>
      </c>
      <c r="AL8" s="82" t="s">
        <v>82</v>
      </c>
      <c r="AM8" s="78" t="s">
        <v>84</v>
      </c>
      <c r="AN8" s="82" t="s">
        <v>183</v>
      </c>
      <c r="AO8" s="78" t="s">
        <v>85</v>
      </c>
      <c r="AP8" s="82" t="s">
        <v>86</v>
      </c>
      <c r="AQ8" s="78" t="s">
        <v>73</v>
      </c>
      <c r="AR8" s="82" t="s">
        <v>74</v>
      </c>
      <c r="AS8" s="78" t="s">
        <v>75</v>
      </c>
      <c r="AT8" s="82" t="s">
        <v>76</v>
      </c>
      <c r="AU8" s="78" t="s">
        <v>77</v>
      </c>
      <c r="AV8" s="82" t="s">
        <v>99</v>
      </c>
      <c r="AW8" s="78" t="s">
        <v>83</v>
      </c>
      <c r="AX8" s="82" t="s">
        <v>180</v>
      </c>
      <c r="AY8" s="78" t="s">
        <v>182</v>
      </c>
      <c r="AZ8" s="82" t="s">
        <v>78</v>
      </c>
      <c r="BA8" s="78" t="s">
        <v>79</v>
      </c>
      <c r="BB8" s="82" t="s">
        <v>80</v>
      </c>
      <c r="BC8" s="78" t="s">
        <v>81</v>
      </c>
      <c r="BD8" s="82" t="s">
        <v>82</v>
      </c>
      <c r="BE8" s="78" t="s">
        <v>84</v>
      </c>
      <c r="BF8" s="82" t="s">
        <v>183</v>
      </c>
      <c r="BG8" s="78" t="s">
        <v>85</v>
      </c>
      <c r="BH8" s="82" t="s">
        <v>86</v>
      </c>
    </row>
    <row r="9" spans="1:60" ht="45" hidden="1" customHeight="1">
      <c r="A9" s="79" t="s">
        <v>7</v>
      </c>
      <c r="B9" s="103" t="s">
        <v>0</v>
      </c>
      <c r="C9" s="80"/>
      <c r="D9" s="80"/>
      <c r="E9" s="80" t="s">
        <v>138</v>
      </c>
      <c r="F9" s="80"/>
      <c r="G9" s="77" t="s">
        <v>108</v>
      </c>
      <c r="H9" s="77" t="s">
        <v>109</v>
      </c>
      <c r="I9" s="77" t="s">
        <v>110</v>
      </c>
      <c r="J9" s="77" t="s">
        <v>111</v>
      </c>
      <c r="K9" s="77" t="s">
        <v>112</v>
      </c>
      <c r="L9" s="93" t="s">
        <v>100</v>
      </c>
      <c r="M9" s="77" t="s">
        <v>101</v>
      </c>
      <c r="N9" s="99" t="s">
        <v>179</v>
      </c>
      <c r="O9" s="99" t="s">
        <v>181</v>
      </c>
      <c r="P9" s="77" t="s">
        <v>113</v>
      </c>
      <c r="Q9" s="77" t="s">
        <v>114</v>
      </c>
      <c r="R9" s="77" t="s">
        <v>115</v>
      </c>
      <c r="S9" s="77" t="s">
        <v>116</v>
      </c>
      <c r="T9" s="77" t="s">
        <v>117</v>
      </c>
      <c r="U9" s="77" t="s">
        <v>118</v>
      </c>
      <c r="V9" s="99" t="s">
        <v>184</v>
      </c>
      <c r="W9" s="77" t="s">
        <v>119</v>
      </c>
      <c r="X9" s="77" t="s">
        <v>120</v>
      </c>
      <c r="Y9" s="77" t="s">
        <v>108</v>
      </c>
      <c r="Z9" s="77" t="s">
        <v>109</v>
      </c>
      <c r="AA9" s="77" t="s">
        <v>110</v>
      </c>
      <c r="AB9" s="77" t="s">
        <v>111</v>
      </c>
      <c r="AC9" s="77" t="s">
        <v>112</v>
      </c>
      <c r="AD9" s="77" t="s">
        <v>100</v>
      </c>
      <c r="AE9" s="77" t="s">
        <v>101</v>
      </c>
      <c r="AF9" s="99" t="s">
        <v>179</v>
      </c>
      <c r="AG9" s="99" t="s">
        <v>181</v>
      </c>
      <c r="AH9" s="77" t="s">
        <v>113</v>
      </c>
      <c r="AI9" s="77" t="s">
        <v>114</v>
      </c>
      <c r="AJ9" s="77" t="s">
        <v>115</v>
      </c>
      <c r="AK9" s="77" t="s">
        <v>116</v>
      </c>
      <c r="AL9" s="77" t="s">
        <v>117</v>
      </c>
      <c r="AM9" s="77" t="s">
        <v>118</v>
      </c>
      <c r="AN9" s="99" t="s">
        <v>184</v>
      </c>
      <c r="AO9" s="77" t="s">
        <v>119</v>
      </c>
      <c r="AP9" s="77" t="s">
        <v>120</v>
      </c>
      <c r="AQ9" s="77" t="s">
        <v>108</v>
      </c>
      <c r="AR9" s="77" t="s">
        <v>109</v>
      </c>
      <c r="AS9" s="77" t="s">
        <v>110</v>
      </c>
      <c r="AT9" s="77" t="s">
        <v>111</v>
      </c>
      <c r="AU9" s="77" t="s">
        <v>112</v>
      </c>
      <c r="AV9" s="77" t="s">
        <v>100</v>
      </c>
      <c r="AW9" s="77" t="s">
        <v>101</v>
      </c>
      <c r="AX9" s="99" t="s">
        <v>179</v>
      </c>
      <c r="AY9" s="99" t="s">
        <v>181</v>
      </c>
      <c r="AZ9" s="77" t="s">
        <v>113</v>
      </c>
      <c r="BA9" s="77" t="s">
        <v>114</v>
      </c>
      <c r="BB9" s="77" t="s">
        <v>115</v>
      </c>
      <c r="BC9" s="77" t="s">
        <v>116</v>
      </c>
      <c r="BD9" s="77" t="s">
        <v>117</v>
      </c>
      <c r="BE9" s="77" t="s">
        <v>118</v>
      </c>
      <c r="BF9" s="99" t="s">
        <v>184</v>
      </c>
      <c r="BG9" s="77" t="s">
        <v>119</v>
      </c>
      <c r="BH9" s="104" t="s">
        <v>120</v>
      </c>
    </row>
    <row r="10" spans="1:60" ht="22.5" customHeight="1">
      <c r="B10" s="105"/>
      <c r="C10" s="106"/>
      <c r="D10" s="106"/>
      <c r="E10" s="106"/>
      <c r="F10" s="106"/>
      <c r="G10" s="106"/>
      <c r="H10" s="106"/>
      <c r="I10" s="106"/>
      <c r="J10" s="106"/>
      <c r="K10" s="106"/>
      <c r="L10" s="106"/>
      <c r="M10" s="106"/>
      <c r="N10" s="106"/>
      <c r="O10" s="106"/>
      <c r="P10" s="106"/>
      <c r="Q10" s="106"/>
      <c r="R10" s="106"/>
      <c r="S10" s="106"/>
      <c r="T10" s="106"/>
      <c r="U10" s="106"/>
      <c r="V10" s="106"/>
      <c r="W10" s="106"/>
      <c r="X10" s="106"/>
      <c r="Y10" s="106"/>
      <c r="Z10" s="106"/>
      <c r="AA10" s="106"/>
      <c r="AB10" s="106"/>
      <c r="AC10" s="106"/>
      <c r="AD10" s="106"/>
      <c r="AE10" s="106"/>
      <c r="AF10" s="106"/>
      <c r="AG10" s="106"/>
      <c r="AH10" s="106"/>
      <c r="AI10" s="106"/>
      <c r="AJ10" s="106"/>
      <c r="AK10" s="106"/>
      <c r="AL10" s="106"/>
      <c r="AM10" s="106"/>
      <c r="AN10" s="106"/>
      <c r="AO10" s="106"/>
      <c r="AP10" s="106"/>
      <c r="AQ10" s="106"/>
      <c r="AR10" s="106"/>
      <c r="AS10" s="106"/>
      <c r="AT10" s="106"/>
      <c r="AU10" s="106"/>
      <c r="AV10" s="106"/>
      <c r="AW10" s="106"/>
      <c r="AX10" s="106"/>
      <c r="AY10" s="106"/>
      <c r="AZ10" s="106"/>
      <c r="BA10" s="106"/>
      <c r="BB10" s="106"/>
      <c r="BC10" s="106"/>
      <c r="BD10" s="106"/>
      <c r="BE10" s="106"/>
      <c r="BF10" s="106"/>
      <c r="BG10" s="106"/>
      <c r="BH10" s="107"/>
    </row>
    <row r="11" spans="1:60" ht="22.5" customHeight="1">
      <c r="B11" s="105"/>
      <c r="C11" s="106"/>
      <c r="D11" s="106"/>
      <c r="E11" s="106"/>
      <c r="F11" s="50" t="s">
        <v>4</v>
      </c>
      <c r="G11" s="106"/>
      <c r="H11" s="106"/>
      <c r="I11" s="106"/>
      <c r="J11" s="106"/>
      <c r="K11" s="106"/>
      <c r="L11" s="106"/>
      <c r="M11" s="106"/>
      <c r="N11" s="106"/>
      <c r="O11" s="106"/>
      <c r="P11" s="106"/>
      <c r="Q11" s="106"/>
      <c r="R11" s="106"/>
      <c r="S11" s="106"/>
      <c r="T11" s="106"/>
      <c r="U11" s="106"/>
      <c r="V11" s="106"/>
      <c r="W11" s="106"/>
      <c r="X11" s="106"/>
      <c r="Y11" s="106"/>
      <c r="Z11" s="106"/>
      <c r="AA11" s="106"/>
      <c r="AB11" s="106"/>
      <c r="AC11" s="106"/>
      <c r="AD11" s="106"/>
      <c r="AE11" s="106"/>
      <c r="AF11" s="106"/>
      <c r="AG11" s="106"/>
      <c r="AH11" s="106"/>
      <c r="AI11" s="106"/>
      <c r="AJ11" s="106"/>
      <c r="AK11" s="106"/>
      <c r="AL11" s="106"/>
      <c r="AM11" s="106"/>
      <c r="AN11" s="106"/>
      <c r="AO11" s="106"/>
      <c r="AP11" s="106"/>
      <c r="AQ11" s="106"/>
      <c r="AR11" s="106"/>
      <c r="AS11" s="106"/>
      <c r="AT11" s="106"/>
      <c r="AU11" s="106"/>
      <c r="AV11" s="106"/>
      <c r="AW11" s="106"/>
      <c r="AX11" s="106"/>
      <c r="AY11" s="106"/>
      <c r="AZ11" s="106"/>
      <c r="BA11" s="106"/>
      <c r="BB11" s="106"/>
      <c r="BC11" s="106"/>
      <c r="BD11" s="106"/>
      <c r="BE11" s="106"/>
      <c r="BF11" s="106"/>
      <c r="BG11" s="106"/>
      <c r="BH11" s="107"/>
    </row>
    <row r="12" spans="1:60">
      <c r="A12" s="51"/>
      <c r="B12" s="108"/>
      <c r="C12" s="52"/>
      <c r="D12" s="52"/>
      <c r="E12" s="52"/>
      <c r="F12" s="53"/>
      <c r="G12" s="52"/>
      <c r="H12" s="52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109"/>
    </row>
    <row r="13" spans="1:60">
      <c r="A13" s="51"/>
      <c r="B13" s="108"/>
      <c r="C13" s="133" t="s">
        <v>192</v>
      </c>
      <c r="D13" s="133" t="s">
        <v>3</v>
      </c>
      <c r="E13" s="133" t="s">
        <v>0</v>
      </c>
      <c r="F13" s="134" t="s">
        <v>196</v>
      </c>
      <c r="G13" s="55"/>
      <c r="H13" s="55"/>
      <c r="I13" s="55"/>
      <c r="J13" s="55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5"/>
      <c r="AB13" s="55"/>
      <c r="AC13" s="55"/>
      <c r="AD13" s="55"/>
      <c r="AE13" s="55"/>
      <c r="AF13" s="55"/>
      <c r="AG13" s="55"/>
      <c r="AH13" s="55"/>
      <c r="AI13" s="55"/>
      <c r="AJ13" s="55"/>
      <c r="AK13" s="55"/>
      <c r="AL13" s="55"/>
      <c r="AM13" s="55"/>
      <c r="AN13" s="55"/>
      <c r="AO13" s="55"/>
      <c r="AP13" s="55"/>
      <c r="AQ13" s="55"/>
      <c r="AR13" s="55"/>
      <c r="AS13" s="55"/>
      <c r="AT13" s="55"/>
      <c r="AU13" s="55"/>
      <c r="AV13" s="55"/>
      <c r="AW13" s="55"/>
      <c r="AX13" s="55"/>
      <c r="AY13" s="55"/>
      <c r="AZ13" s="55"/>
      <c r="BA13" s="55"/>
      <c r="BB13" s="55"/>
      <c r="BC13" s="55"/>
      <c r="BD13" s="55"/>
      <c r="BE13" s="55"/>
      <c r="BF13" s="55"/>
      <c r="BG13" s="55"/>
      <c r="BH13" s="110"/>
    </row>
    <row r="14" spans="1:60" ht="22.5">
      <c r="A14" s="51"/>
      <c r="B14" s="108"/>
      <c r="C14" s="133" t="s">
        <v>193</v>
      </c>
      <c r="D14" s="133" t="s">
        <v>3</v>
      </c>
      <c r="E14" s="133" t="s">
        <v>0</v>
      </c>
      <c r="F14" s="134" t="s">
        <v>197</v>
      </c>
      <c r="G14" s="55"/>
      <c r="H14" s="55"/>
      <c r="I14" s="55"/>
      <c r="J14" s="55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5"/>
      <c r="AB14" s="55"/>
      <c r="AC14" s="55"/>
      <c r="AD14" s="55"/>
      <c r="AE14" s="55"/>
      <c r="AF14" s="55"/>
      <c r="AG14" s="55"/>
      <c r="AH14" s="55"/>
      <c r="AI14" s="55"/>
      <c r="AJ14" s="55"/>
      <c r="AK14" s="55"/>
      <c r="AL14" s="55"/>
      <c r="AM14" s="55"/>
      <c r="AN14" s="55"/>
      <c r="AO14" s="55"/>
      <c r="AP14" s="55"/>
      <c r="AQ14" s="55"/>
      <c r="AR14" s="55"/>
      <c r="AS14" s="55"/>
      <c r="AT14" s="55"/>
      <c r="AU14" s="55"/>
      <c r="AV14" s="55"/>
      <c r="AW14" s="55"/>
      <c r="AX14" s="55"/>
      <c r="AY14" s="55"/>
      <c r="AZ14" s="55"/>
      <c r="BA14" s="55"/>
      <c r="BB14" s="55"/>
      <c r="BC14" s="55"/>
      <c r="BD14" s="55"/>
      <c r="BE14" s="55"/>
      <c r="BF14" s="55"/>
      <c r="BG14" s="55"/>
      <c r="BH14" s="110"/>
    </row>
    <row r="15" spans="1:60" ht="22.5">
      <c r="A15" s="51"/>
      <c r="B15" s="108"/>
      <c r="C15" s="133" t="s">
        <v>194</v>
      </c>
      <c r="D15" s="133" t="s">
        <v>3</v>
      </c>
      <c r="E15" s="133" t="s">
        <v>0</v>
      </c>
      <c r="F15" s="134" t="s">
        <v>198</v>
      </c>
      <c r="G15" s="55"/>
      <c r="H15" s="55"/>
      <c r="I15" s="55"/>
      <c r="J15" s="55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5"/>
      <c r="AB15" s="55"/>
      <c r="AC15" s="55"/>
      <c r="AD15" s="55"/>
      <c r="AE15" s="55"/>
      <c r="AF15" s="55"/>
      <c r="AG15" s="55"/>
      <c r="AH15" s="55"/>
      <c r="AI15" s="55"/>
      <c r="AJ15" s="55"/>
      <c r="AK15" s="55"/>
      <c r="AL15" s="55"/>
      <c r="AM15" s="55"/>
      <c r="AN15" s="55"/>
      <c r="AO15" s="55"/>
      <c r="AP15" s="55"/>
      <c r="AQ15" s="55"/>
      <c r="AR15" s="55"/>
      <c r="AS15" s="55"/>
      <c r="AT15" s="55"/>
      <c r="AU15" s="55"/>
      <c r="AV15" s="55"/>
      <c r="AW15" s="55"/>
      <c r="AX15" s="55"/>
      <c r="AY15" s="55"/>
      <c r="AZ15" s="55"/>
      <c r="BA15" s="55"/>
      <c r="BB15" s="55"/>
      <c r="BC15" s="55"/>
      <c r="BD15" s="55"/>
      <c r="BE15" s="55"/>
      <c r="BF15" s="55"/>
      <c r="BG15" s="55"/>
      <c r="BH15" s="110"/>
    </row>
    <row r="16" spans="1:60">
      <c r="A16" s="51"/>
      <c r="B16" s="108"/>
      <c r="C16" s="133" t="s">
        <v>195</v>
      </c>
      <c r="D16" s="133" t="s">
        <v>3</v>
      </c>
      <c r="E16" s="133" t="s">
        <v>0</v>
      </c>
      <c r="F16" s="134" t="s">
        <v>199</v>
      </c>
      <c r="G16" s="55"/>
      <c r="H16" s="55"/>
      <c r="I16" s="55"/>
      <c r="J16" s="55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  <c r="AA16" s="55"/>
      <c r="AB16" s="55"/>
      <c r="AC16" s="55"/>
      <c r="AD16" s="55"/>
      <c r="AE16" s="55"/>
      <c r="AF16" s="55"/>
      <c r="AG16" s="55"/>
      <c r="AH16" s="55"/>
      <c r="AI16" s="55"/>
      <c r="AJ16" s="55"/>
      <c r="AK16" s="55"/>
      <c r="AL16" s="55"/>
      <c r="AM16" s="55"/>
      <c r="AN16" s="55"/>
      <c r="AO16" s="55"/>
      <c r="AP16" s="55"/>
      <c r="AQ16" s="55"/>
      <c r="AR16" s="55"/>
      <c r="AS16" s="55"/>
      <c r="AT16" s="55"/>
      <c r="AU16" s="55"/>
      <c r="AV16" s="55"/>
      <c r="AW16" s="55"/>
      <c r="AX16" s="55"/>
      <c r="AY16" s="55"/>
      <c r="AZ16" s="55"/>
      <c r="BA16" s="55"/>
      <c r="BB16" s="55"/>
      <c r="BC16" s="55"/>
      <c r="BD16" s="55"/>
      <c r="BE16" s="55"/>
      <c r="BF16" s="55"/>
      <c r="BG16" s="55"/>
      <c r="BH16" s="110"/>
    </row>
    <row r="17" spans="1:60" ht="22.5">
      <c r="A17" s="51"/>
      <c r="B17" s="108"/>
      <c r="C17" s="52" t="s">
        <v>139</v>
      </c>
      <c r="D17" s="52" t="s">
        <v>3</v>
      </c>
      <c r="E17" s="52" t="s">
        <v>0</v>
      </c>
      <c r="F17" s="54" t="s">
        <v>24</v>
      </c>
      <c r="G17" s="55"/>
      <c r="H17" s="55"/>
      <c r="I17" s="55"/>
      <c r="J17" s="55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  <c r="AA17" s="55"/>
      <c r="AB17" s="55"/>
      <c r="AC17" s="55"/>
      <c r="AD17" s="55"/>
      <c r="AE17" s="55"/>
      <c r="AF17" s="55"/>
      <c r="AG17" s="55"/>
      <c r="AH17" s="55"/>
      <c r="AI17" s="55"/>
      <c r="AJ17" s="55"/>
      <c r="AK17" s="55"/>
      <c r="AL17" s="55"/>
      <c r="AM17" s="55"/>
      <c r="AN17" s="55"/>
      <c r="AO17" s="55"/>
      <c r="AP17" s="55"/>
      <c r="AQ17" s="55"/>
      <c r="AR17" s="55"/>
      <c r="AS17" s="55"/>
      <c r="AT17" s="55"/>
      <c r="AU17" s="55"/>
      <c r="AV17" s="55"/>
      <c r="AW17" s="55"/>
      <c r="AX17" s="55"/>
      <c r="AY17" s="55"/>
      <c r="AZ17" s="55"/>
      <c r="BA17" s="55"/>
      <c r="BB17" s="55"/>
      <c r="BC17" s="55"/>
      <c r="BD17" s="55"/>
      <c r="BE17" s="55"/>
      <c r="BF17" s="55"/>
      <c r="BG17" s="55"/>
      <c r="BH17" s="110"/>
    </row>
    <row r="18" spans="1:60">
      <c r="A18" s="51"/>
      <c r="B18" s="108"/>
      <c r="C18" s="52" t="s">
        <v>140</v>
      </c>
      <c r="D18" s="52" t="s">
        <v>3</v>
      </c>
      <c r="E18" s="52" t="s">
        <v>0</v>
      </c>
      <c r="F18" s="54" t="s">
        <v>25</v>
      </c>
      <c r="G18" s="55"/>
      <c r="H18" s="55"/>
      <c r="I18" s="55"/>
      <c r="J18" s="55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  <c r="AA18" s="55"/>
      <c r="AB18" s="55"/>
      <c r="AC18" s="55"/>
      <c r="AD18" s="55"/>
      <c r="AE18" s="55"/>
      <c r="AF18" s="55"/>
      <c r="AG18" s="55"/>
      <c r="AH18" s="55"/>
      <c r="AI18" s="55"/>
      <c r="AJ18" s="55"/>
      <c r="AK18" s="55"/>
      <c r="AL18" s="55"/>
      <c r="AM18" s="55"/>
      <c r="AN18" s="55"/>
      <c r="AO18" s="55"/>
      <c r="AP18" s="55"/>
      <c r="AQ18" s="55"/>
      <c r="AR18" s="55"/>
      <c r="AS18" s="55"/>
      <c r="AT18" s="55"/>
      <c r="AU18" s="55"/>
      <c r="AV18" s="55"/>
      <c r="AW18" s="55"/>
      <c r="AX18" s="55"/>
      <c r="AY18" s="55"/>
      <c r="AZ18" s="55"/>
      <c r="BA18" s="55"/>
      <c r="BB18" s="55"/>
      <c r="BC18" s="55"/>
      <c r="BD18" s="55"/>
      <c r="BE18" s="55"/>
      <c r="BF18" s="55"/>
      <c r="BG18" s="55"/>
      <c r="BH18" s="110"/>
    </row>
    <row r="19" spans="1:60">
      <c r="A19" s="51"/>
      <c r="B19" s="108"/>
      <c r="C19" s="52" t="s">
        <v>141</v>
      </c>
      <c r="D19" s="52" t="s">
        <v>3</v>
      </c>
      <c r="E19" s="52" t="s">
        <v>0</v>
      </c>
      <c r="F19" s="54" t="s">
        <v>26</v>
      </c>
      <c r="G19" s="55"/>
      <c r="H19" s="55"/>
      <c r="I19" s="55"/>
      <c r="J19" s="55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  <c r="AI19" s="55"/>
      <c r="AJ19" s="55"/>
      <c r="AK19" s="55"/>
      <c r="AL19" s="55"/>
      <c r="AM19" s="55"/>
      <c r="AN19" s="55"/>
      <c r="AO19" s="55"/>
      <c r="AP19" s="55"/>
      <c r="AQ19" s="55"/>
      <c r="AR19" s="55"/>
      <c r="AS19" s="55"/>
      <c r="AT19" s="55"/>
      <c r="AU19" s="55"/>
      <c r="AV19" s="55"/>
      <c r="AW19" s="55"/>
      <c r="AX19" s="55"/>
      <c r="AY19" s="55"/>
      <c r="AZ19" s="55"/>
      <c r="BA19" s="55"/>
      <c r="BB19" s="55"/>
      <c r="BC19" s="55"/>
      <c r="BD19" s="55"/>
      <c r="BE19" s="55"/>
      <c r="BF19" s="55"/>
      <c r="BG19" s="55"/>
      <c r="BH19" s="110"/>
    </row>
    <row r="20" spans="1:60">
      <c r="A20" s="51"/>
      <c r="B20" s="108"/>
      <c r="C20" s="52"/>
      <c r="D20" s="52"/>
      <c r="E20" s="52" t="s">
        <v>0</v>
      </c>
      <c r="F20" s="53" t="s">
        <v>27</v>
      </c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  <c r="Y20" s="52"/>
      <c r="Z20" s="52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52"/>
      <c r="AL20" s="52"/>
      <c r="AM20" s="52"/>
      <c r="AN20" s="52"/>
      <c r="AO20" s="52"/>
      <c r="AP20" s="52"/>
      <c r="AQ20" s="52"/>
      <c r="AR20" s="52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52"/>
      <c r="BH20" s="109"/>
    </row>
    <row r="21" spans="1:60">
      <c r="A21" s="51" t="s">
        <v>52</v>
      </c>
      <c r="B21" s="108"/>
      <c r="C21" s="52" t="s">
        <v>142</v>
      </c>
      <c r="D21" s="52" t="s">
        <v>3</v>
      </c>
      <c r="E21" s="52" t="s">
        <v>0</v>
      </c>
      <c r="F21" s="53" t="s">
        <v>186</v>
      </c>
      <c r="G21" s="83"/>
      <c r="H21" s="55"/>
      <c r="I21" s="55"/>
      <c r="J21" s="55"/>
      <c r="K21" s="55"/>
      <c r="L21" s="55"/>
      <c r="M21" s="55"/>
      <c r="N21" s="55">
        <v>20281948000</v>
      </c>
      <c r="O21" s="55">
        <v>1664135000</v>
      </c>
      <c r="P21" s="89"/>
      <c r="Q21" s="83"/>
      <c r="R21" s="55"/>
      <c r="S21" s="55"/>
      <c r="T21" s="55"/>
      <c r="U21" s="55">
        <v>7315361000</v>
      </c>
      <c r="V21" s="55"/>
      <c r="W21" s="55"/>
      <c r="X21" s="89">
        <f>SUM(P21:W21)+SUM(G21:K21)</f>
        <v>7315361000</v>
      </c>
      <c r="Y21" s="83">
        <v>5651226000</v>
      </c>
      <c r="Z21" s="55"/>
      <c r="AA21" s="55"/>
      <c r="AB21" s="55">
        <v>1664135000</v>
      </c>
      <c r="AC21" s="55"/>
      <c r="AD21" s="55"/>
      <c r="AE21" s="55"/>
      <c r="AF21" s="55"/>
      <c r="AG21" s="55"/>
      <c r="AH21" s="89"/>
      <c r="AI21" s="83"/>
      <c r="AJ21" s="55"/>
      <c r="AK21" s="55"/>
      <c r="AL21" s="55"/>
      <c r="AM21" s="55"/>
      <c r="AN21" s="55">
        <v>7435519000</v>
      </c>
      <c r="AO21" s="55">
        <v>7435519000</v>
      </c>
      <c r="AP21" s="89">
        <f>SUM(AH21:AO21)+SUM(Y21:AC21)</f>
        <v>22186399000</v>
      </c>
      <c r="AQ21" s="89">
        <f t="shared" ref="AQ21:AW21" si="0">G21+Y21</f>
        <v>5651226000</v>
      </c>
      <c r="AR21" s="89">
        <f t="shared" si="0"/>
        <v>0</v>
      </c>
      <c r="AS21" s="89">
        <f t="shared" si="0"/>
        <v>0</v>
      </c>
      <c r="AT21" s="89">
        <f t="shared" si="0"/>
        <v>1664135000</v>
      </c>
      <c r="AU21" s="89">
        <f t="shared" si="0"/>
        <v>0</v>
      </c>
      <c r="AV21" s="89">
        <f t="shared" si="0"/>
        <v>0</v>
      </c>
      <c r="AW21" s="89">
        <f t="shared" si="0"/>
        <v>0</v>
      </c>
      <c r="AX21" s="89">
        <f t="shared" ref="AX21" si="1">N21+AF21</f>
        <v>20281948000</v>
      </c>
      <c r="AY21" s="89">
        <f t="shared" ref="AY21" si="2">O21+AG21</f>
        <v>1664135000</v>
      </c>
      <c r="AZ21" s="89">
        <f>P21+AH21</f>
        <v>0</v>
      </c>
      <c r="BA21" s="89">
        <f t="shared" ref="BA21:BF21" si="3">Q21+AI21</f>
        <v>0</v>
      </c>
      <c r="BB21" s="89">
        <f t="shared" si="3"/>
        <v>0</v>
      </c>
      <c r="BC21" s="89">
        <f t="shared" si="3"/>
        <v>0</v>
      </c>
      <c r="BD21" s="89">
        <f t="shared" si="3"/>
        <v>0</v>
      </c>
      <c r="BE21" s="89">
        <f t="shared" si="3"/>
        <v>7315361000</v>
      </c>
      <c r="BF21" s="89">
        <f t="shared" si="3"/>
        <v>7435519000</v>
      </c>
      <c r="BG21" s="89">
        <f>W21+AO21</f>
        <v>7435519000</v>
      </c>
      <c r="BH21" s="111">
        <f>X21+AP21</f>
        <v>29501760000</v>
      </c>
    </row>
    <row r="22" spans="1:60">
      <c r="A22" s="51"/>
      <c r="B22" s="108"/>
      <c r="C22" s="52"/>
      <c r="D22" s="52"/>
      <c r="E22" s="52" t="s">
        <v>0</v>
      </c>
      <c r="F22" s="53" t="s">
        <v>29</v>
      </c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91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91"/>
      <c r="AQ22" s="91"/>
      <c r="AR22" s="91"/>
      <c r="AS22" s="91"/>
      <c r="AT22" s="91"/>
      <c r="AU22" s="91"/>
      <c r="AV22" s="91"/>
      <c r="AW22" s="91"/>
      <c r="AX22" s="91"/>
      <c r="AY22" s="91"/>
      <c r="AZ22" s="91"/>
      <c r="BA22" s="91"/>
      <c r="BB22" s="91"/>
      <c r="BC22" s="91"/>
      <c r="BD22" s="91"/>
      <c r="BE22" s="91"/>
      <c r="BF22" s="91"/>
      <c r="BG22" s="91"/>
      <c r="BH22" s="112"/>
    </row>
    <row r="23" spans="1:60" ht="22.5">
      <c r="A23" s="51"/>
      <c r="B23" s="108"/>
      <c r="C23" s="52" t="s">
        <v>143</v>
      </c>
      <c r="D23" s="52" t="s">
        <v>3</v>
      </c>
      <c r="E23" s="52" t="s">
        <v>0</v>
      </c>
      <c r="F23" s="54" t="s">
        <v>30</v>
      </c>
      <c r="G23" s="83"/>
      <c r="H23" s="55"/>
      <c r="I23" s="55"/>
      <c r="J23" s="55"/>
      <c r="K23" s="55"/>
      <c r="L23" s="55">
        <v>524396000</v>
      </c>
      <c r="M23" s="55"/>
      <c r="N23" s="55"/>
      <c r="O23" s="55"/>
      <c r="P23" s="89"/>
      <c r="Q23" s="83"/>
      <c r="R23" s="55"/>
      <c r="S23" s="55"/>
      <c r="T23" s="55"/>
      <c r="U23" s="55"/>
      <c r="V23" s="55"/>
      <c r="W23" s="55"/>
      <c r="X23" s="89">
        <f t="shared" ref="X23:X35" si="4">SUM(P23:W23)+SUM(G23:K23)</f>
        <v>0</v>
      </c>
      <c r="Y23" s="83"/>
      <c r="Z23" s="55"/>
      <c r="AA23" s="55"/>
      <c r="AB23" s="55"/>
      <c r="AC23" s="55"/>
      <c r="AD23" s="55"/>
      <c r="AE23" s="55"/>
      <c r="AF23" s="55"/>
      <c r="AG23" s="55"/>
      <c r="AH23" s="89"/>
      <c r="AI23" s="83"/>
      <c r="AJ23" s="55"/>
      <c r="AK23" s="55"/>
      <c r="AL23" s="55"/>
      <c r="AM23" s="55"/>
      <c r="AN23" s="55"/>
      <c r="AO23" s="55">
        <v>59524000</v>
      </c>
      <c r="AP23" s="89">
        <f t="shared" ref="AP23:AP35" si="5">SUM(AH23:AO23)+SUM(Y23:AC23)</f>
        <v>59524000</v>
      </c>
      <c r="AQ23" s="89">
        <f t="shared" ref="AQ23:AQ31" si="6">G23+Y23</f>
        <v>0</v>
      </c>
      <c r="AR23" s="89">
        <f t="shared" ref="AR23:AR31" si="7">H23+Z23</f>
        <v>0</v>
      </c>
      <c r="AS23" s="89">
        <f t="shared" ref="AS23:AS31" si="8">I23+AA23</f>
        <v>0</v>
      </c>
      <c r="AT23" s="89">
        <f t="shared" ref="AT23:AT31" si="9">J23+AB23</f>
        <v>0</v>
      </c>
      <c r="AU23" s="89">
        <f t="shared" ref="AU23:AU31" si="10">K23+AC23</f>
        <v>0</v>
      </c>
      <c r="AV23" s="89">
        <f t="shared" ref="AV23:AV31" si="11">L23+AD23</f>
        <v>524396000</v>
      </c>
      <c r="AW23" s="89">
        <f t="shared" ref="AW23:AW31" si="12">M23+AE23</f>
        <v>0</v>
      </c>
      <c r="AX23" s="89">
        <f t="shared" ref="AX23:AX31" si="13">N23+AF23</f>
        <v>0</v>
      </c>
      <c r="AY23" s="89">
        <f t="shared" ref="AY23:AZ31" si="14">O23+AG23</f>
        <v>0</v>
      </c>
      <c r="AZ23" s="89">
        <f t="shared" si="14"/>
        <v>0</v>
      </c>
      <c r="BA23" s="89">
        <f t="shared" ref="BA23:BA31" si="15">Q23+AI23</f>
        <v>0</v>
      </c>
      <c r="BB23" s="89">
        <f t="shared" ref="BB23:BB31" si="16">R23+AJ23</f>
        <v>0</v>
      </c>
      <c r="BC23" s="89">
        <f t="shared" ref="BC23:BC31" si="17">S23+AK23</f>
        <v>0</v>
      </c>
      <c r="BD23" s="89">
        <f t="shared" ref="BD23:BD31" si="18">T23+AL23</f>
        <v>0</v>
      </c>
      <c r="BE23" s="89">
        <f t="shared" ref="BE23:BF31" si="19">U23+AM23</f>
        <v>0</v>
      </c>
      <c r="BF23" s="89">
        <f t="shared" si="19"/>
        <v>0</v>
      </c>
      <c r="BG23" s="89">
        <f t="shared" ref="BG23:BG31" si="20">W23+AO23</f>
        <v>59524000</v>
      </c>
      <c r="BH23" s="111">
        <f t="shared" ref="BH23:BH31" si="21">X23+AP23</f>
        <v>59524000</v>
      </c>
    </row>
    <row r="24" spans="1:60" ht="22.5">
      <c r="A24" s="51"/>
      <c r="B24" s="108"/>
      <c r="C24" s="52" t="s">
        <v>144</v>
      </c>
      <c r="D24" s="52" t="s">
        <v>3</v>
      </c>
      <c r="E24" s="52" t="s">
        <v>0</v>
      </c>
      <c r="F24" s="54" t="s">
        <v>31</v>
      </c>
      <c r="G24" s="83"/>
      <c r="H24" s="55"/>
      <c r="I24" s="55"/>
      <c r="J24" s="55"/>
      <c r="K24" s="55"/>
      <c r="L24" s="55"/>
      <c r="M24" s="55"/>
      <c r="N24" s="55">
        <v>1699528000</v>
      </c>
      <c r="O24" s="55">
        <v>18260000</v>
      </c>
      <c r="P24" s="89"/>
      <c r="Q24" s="83"/>
      <c r="R24" s="55"/>
      <c r="S24" s="55"/>
      <c r="T24" s="55"/>
      <c r="U24" s="55"/>
      <c r="V24" s="55"/>
      <c r="W24" s="55"/>
      <c r="X24" s="89">
        <f t="shared" si="4"/>
        <v>0</v>
      </c>
      <c r="Y24" s="83">
        <v>1699528000</v>
      </c>
      <c r="Z24" s="55"/>
      <c r="AA24" s="55"/>
      <c r="AB24" s="55">
        <v>18260000</v>
      </c>
      <c r="AC24" s="55"/>
      <c r="AD24" s="55"/>
      <c r="AE24" s="55"/>
      <c r="AF24" s="55"/>
      <c r="AG24" s="55"/>
      <c r="AH24" s="89"/>
      <c r="AI24" s="83"/>
      <c r="AJ24" s="55"/>
      <c r="AK24" s="55"/>
      <c r="AL24" s="55"/>
      <c r="AM24" s="55"/>
      <c r="AN24" s="55"/>
      <c r="AO24" s="55"/>
      <c r="AP24" s="89">
        <f t="shared" si="5"/>
        <v>1717788000</v>
      </c>
      <c r="AQ24" s="89">
        <f t="shared" si="6"/>
        <v>1699528000</v>
      </c>
      <c r="AR24" s="89">
        <f t="shared" si="7"/>
        <v>0</v>
      </c>
      <c r="AS24" s="89">
        <f t="shared" si="8"/>
        <v>0</v>
      </c>
      <c r="AT24" s="89">
        <f t="shared" si="9"/>
        <v>18260000</v>
      </c>
      <c r="AU24" s="89">
        <f t="shared" si="10"/>
        <v>0</v>
      </c>
      <c r="AV24" s="89">
        <f t="shared" si="11"/>
        <v>0</v>
      </c>
      <c r="AW24" s="89">
        <f t="shared" si="12"/>
        <v>0</v>
      </c>
      <c r="AX24" s="89">
        <f t="shared" si="13"/>
        <v>1699528000</v>
      </c>
      <c r="AY24" s="89">
        <f t="shared" si="14"/>
        <v>18260000</v>
      </c>
      <c r="AZ24" s="89">
        <f t="shared" si="14"/>
        <v>0</v>
      </c>
      <c r="BA24" s="89">
        <f t="shared" si="15"/>
        <v>0</v>
      </c>
      <c r="BB24" s="89">
        <f t="shared" si="16"/>
        <v>0</v>
      </c>
      <c r="BC24" s="89">
        <f t="shared" si="17"/>
        <v>0</v>
      </c>
      <c r="BD24" s="89">
        <f t="shared" si="18"/>
        <v>0</v>
      </c>
      <c r="BE24" s="89">
        <f t="shared" si="19"/>
        <v>0</v>
      </c>
      <c r="BF24" s="89">
        <f t="shared" si="19"/>
        <v>0</v>
      </c>
      <c r="BG24" s="89">
        <f t="shared" si="20"/>
        <v>0</v>
      </c>
      <c r="BH24" s="111">
        <f t="shared" si="21"/>
        <v>1717788000</v>
      </c>
    </row>
    <row r="25" spans="1:60" ht="22.5">
      <c r="A25" s="51"/>
      <c r="B25" s="108"/>
      <c r="C25" s="52" t="s">
        <v>145</v>
      </c>
      <c r="D25" s="52" t="s">
        <v>3</v>
      </c>
      <c r="E25" s="52" t="s">
        <v>0</v>
      </c>
      <c r="F25" s="54" t="s">
        <v>32</v>
      </c>
      <c r="G25" s="83"/>
      <c r="H25" s="55"/>
      <c r="I25" s="55"/>
      <c r="J25" s="55"/>
      <c r="K25" s="55"/>
      <c r="L25" s="55"/>
      <c r="M25" s="55"/>
      <c r="N25" s="55">
        <v>104723000</v>
      </c>
      <c r="O25" s="55">
        <v>10038000</v>
      </c>
      <c r="P25" s="89"/>
      <c r="Q25" s="83"/>
      <c r="R25" s="55"/>
      <c r="S25" s="55"/>
      <c r="T25" s="55"/>
      <c r="U25" s="55">
        <v>-7315361000</v>
      </c>
      <c r="V25" s="55"/>
      <c r="W25" s="55"/>
      <c r="X25" s="89">
        <f t="shared" si="4"/>
        <v>-7315361000</v>
      </c>
      <c r="Y25" s="83">
        <v>104723000</v>
      </c>
      <c r="Z25" s="55"/>
      <c r="AA25" s="55"/>
      <c r="AB25" s="55">
        <v>10038000</v>
      </c>
      <c r="AC25" s="55"/>
      <c r="AD25" s="55"/>
      <c r="AE25" s="55"/>
      <c r="AF25" s="55"/>
      <c r="AG25" s="55"/>
      <c r="AH25" s="89"/>
      <c r="AI25" s="83"/>
      <c r="AJ25" s="55"/>
      <c r="AK25" s="55"/>
      <c r="AL25" s="55"/>
      <c r="AM25" s="55">
        <v>7315361000</v>
      </c>
      <c r="AN25" s="55">
        <v>3478257000</v>
      </c>
      <c r="AO25" s="55">
        <v>3478257000</v>
      </c>
      <c r="AP25" s="89">
        <f t="shared" si="5"/>
        <v>14386636000</v>
      </c>
      <c r="AQ25" s="89">
        <f t="shared" si="6"/>
        <v>104723000</v>
      </c>
      <c r="AR25" s="89">
        <f t="shared" si="7"/>
        <v>0</v>
      </c>
      <c r="AS25" s="89">
        <f t="shared" si="8"/>
        <v>0</v>
      </c>
      <c r="AT25" s="89">
        <f t="shared" si="9"/>
        <v>10038000</v>
      </c>
      <c r="AU25" s="89">
        <f t="shared" si="10"/>
        <v>0</v>
      </c>
      <c r="AV25" s="89">
        <f t="shared" si="11"/>
        <v>0</v>
      </c>
      <c r="AW25" s="89">
        <f t="shared" si="12"/>
        <v>0</v>
      </c>
      <c r="AX25" s="89">
        <f t="shared" si="13"/>
        <v>104723000</v>
      </c>
      <c r="AY25" s="89">
        <f t="shared" si="14"/>
        <v>10038000</v>
      </c>
      <c r="AZ25" s="89">
        <f t="shared" si="14"/>
        <v>0</v>
      </c>
      <c r="BA25" s="89">
        <f t="shared" si="15"/>
        <v>0</v>
      </c>
      <c r="BB25" s="89">
        <f t="shared" si="16"/>
        <v>0</v>
      </c>
      <c r="BC25" s="89">
        <f t="shared" si="17"/>
        <v>0</v>
      </c>
      <c r="BD25" s="89">
        <f t="shared" si="18"/>
        <v>0</v>
      </c>
      <c r="BE25" s="89">
        <f t="shared" si="19"/>
        <v>0</v>
      </c>
      <c r="BF25" s="89">
        <f t="shared" si="19"/>
        <v>3478257000</v>
      </c>
      <c r="BG25" s="89">
        <f t="shared" si="20"/>
        <v>3478257000</v>
      </c>
      <c r="BH25" s="111">
        <f t="shared" si="21"/>
        <v>7071275000</v>
      </c>
    </row>
    <row r="26" spans="1:60">
      <c r="A26" s="51"/>
      <c r="B26" s="108"/>
      <c r="C26" s="52" t="s">
        <v>146</v>
      </c>
      <c r="D26" s="52" t="s">
        <v>3</v>
      </c>
      <c r="E26" s="52" t="s">
        <v>0</v>
      </c>
      <c r="F26" s="54" t="s">
        <v>33</v>
      </c>
      <c r="G26" s="83"/>
      <c r="H26" s="55"/>
      <c r="I26" s="55"/>
      <c r="J26" s="55"/>
      <c r="K26" s="55"/>
      <c r="L26" s="55"/>
      <c r="M26" s="55"/>
      <c r="N26" s="55">
        <v>158951000</v>
      </c>
      <c r="O26" s="55">
        <v>542656000</v>
      </c>
      <c r="P26" s="89"/>
      <c r="Q26" s="83"/>
      <c r="R26" s="55"/>
      <c r="S26" s="55"/>
      <c r="T26" s="55"/>
      <c r="U26" s="55"/>
      <c r="V26" s="55"/>
      <c r="W26" s="55"/>
      <c r="X26" s="89">
        <f t="shared" si="4"/>
        <v>0</v>
      </c>
      <c r="Y26" s="83">
        <v>158951000</v>
      </c>
      <c r="Z26" s="55"/>
      <c r="AA26" s="55"/>
      <c r="AB26" s="55">
        <v>542656000</v>
      </c>
      <c r="AC26" s="55"/>
      <c r="AD26" s="55"/>
      <c r="AE26" s="55"/>
      <c r="AF26" s="55"/>
      <c r="AG26" s="55"/>
      <c r="AH26" s="89"/>
      <c r="AI26" s="83"/>
      <c r="AJ26" s="55"/>
      <c r="AK26" s="55"/>
      <c r="AL26" s="55"/>
      <c r="AM26" s="55"/>
      <c r="AN26" s="55">
        <v>14881000</v>
      </c>
      <c r="AO26" s="55">
        <v>14881000</v>
      </c>
      <c r="AP26" s="89">
        <f t="shared" si="5"/>
        <v>731369000</v>
      </c>
      <c r="AQ26" s="89">
        <f t="shared" si="6"/>
        <v>158951000</v>
      </c>
      <c r="AR26" s="89">
        <f t="shared" si="7"/>
        <v>0</v>
      </c>
      <c r="AS26" s="89">
        <f t="shared" si="8"/>
        <v>0</v>
      </c>
      <c r="AT26" s="89">
        <f t="shared" si="9"/>
        <v>542656000</v>
      </c>
      <c r="AU26" s="89">
        <f t="shared" si="10"/>
        <v>0</v>
      </c>
      <c r="AV26" s="89">
        <f t="shared" si="11"/>
        <v>0</v>
      </c>
      <c r="AW26" s="89">
        <f t="shared" si="12"/>
        <v>0</v>
      </c>
      <c r="AX26" s="89">
        <f t="shared" si="13"/>
        <v>158951000</v>
      </c>
      <c r="AY26" s="89">
        <f t="shared" si="14"/>
        <v>542656000</v>
      </c>
      <c r="AZ26" s="89">
        <f t="shared" si="14"/>
        <v>0</v>
      </c>
      <c r="BA26" s="89">
        <f t="shared" si="15"/>
        <v>0</v>
      </c>
      <c r="BB26" s="89">
        <f t="shared" si="16"/>
        <v>0</v>
      </c>
      <c r="BC26" s="89">
        <f t="shared" si="17"/>
        <v>0</v>
      </c>
      <c r="BD26" s="89">
        <f t="shared" si="18"/>
        <v>0</v>
      </c>
      <c r="BE26" s="89">
        <f t="shared" si="19"/>
        <v>0</v>
      </c>
      <c r="BF26" s="89">
        <f t="shared" si="19"/>
        <v>14881000</v>
      </c>
      <c r="BG26" s="89">
        <f t="shared" si="20"/>
        <v>14881000</v>
      </c>
      <c r="BH26" s="111">
        <f t="shared" si="21"/>
        <v>731369000</v>
      </c>
    </row>
    <row r="27" spans="1:60" ht="22.5">
      <c r="A27" s="51"/>
      <c r="B27" s="108"/>
      <c r="C27" s="52" t="s">
        <v>147</v>
      </c>
      <c r="D27" s="52" t="s">
        <v>3</v>
      </c>
      <c r="E27" s="52" t="s">
        <v>0</v>
      </c>
      <c r="F27" s="54" t="s">
        <v>34</v>
      </c>
      <c r="G27" s="83"/>
      <c r="H27" s="55"/>
      <c r="I27" s="55"/>
      <c r="J27" s="55"/>
      <c r="K27" s="55"/>
      <c r="L27" s="55"/>
      <c r="M27" s="55"/>
      <c r="N27" s="55">
        <v>-7315361000</v>
      </c>
      <c r="O27" s="55"/>
      <c r="P27" s="89"/>
      <c r="Q27" s="83"/>
      <c r="R27" s="55"/>
      <c r="S27" s="55"/>
      <c r="T27" s="55"/>
      <c r="U27" s="55"/>
      <c r="V27" s="55"/>
      <c r="W27" s="55"/>
      <c r="X27" s="89">
        <f t="shared" si="4"/>
        <v>0</v>
      </c>
      <c r="Y27" s="83"/>
      <c r="Z27" s="55"/>
      <c r="AA27" s="55"/>
      <c r="AB27" s="55"/>
      <c r="AC27" s="55"/>
      <c r="AD27" s="55"/>
      <c r="AE27" s="55"/>
      <c r="AF27" s="55"/>
      <c r="AG27" s="55"/>
      <c r="AH27" s="89"/>
      <c r="AI27" s="83"/>
      <c r="AJ27" s="55"/>
      <c r="AK27" s="55"/>
      <c r="AL27" s="55"/>
      <c r="AM27" s="55"/>
      <c r="AN27" s="55">
        <v>1700961000</v>
      </c>
      <c r="AO27" s="55">
        <v>1700961000</v>
      </c>
      <c r="AP27" s="89">
        <f t="shared" si="5"/>
        <v>3401922000</v>
      </c>
      <c r="AQ27" s="89">
        <f t="shared" si="6"/>
        <v>0</v>
      </c>
      <c r="AR27" s="89">
        <f t="shared" si="7"/>
        <v>0</v>
      </c>
      <c r="AS27" s="89">
        <f t="shared" si="8"/>
        <v>0</v>
      </c>
      <c r="AT27" s="89">
        <f t="shared" si="9"/>
        <v>0</v>
      </c>
      <c r="AU27" s="89">
        <f t="shared" si="10"/>
        <v>0</v>
      </c>
      <c r="AV27" s="89">
        <f t="shared" si="11"/>
        <v>0</v>
      </c>
      <c r="AW27" s="89">
        <f t="shared" si="12"/>
        <v>0</v>
      </c>
      <c r="AX27" s="89">
        <f t="shared" si="13"/>
        <v>-7315361000</v>
      </c>
      <c r="AY27" s="89">
        <f t="shared" si="14"/>
        <v>0</v>
      </c>
      <c r="AZ27" s="89">
        <f t="shared" si="14"/>
        <v>0</v>
      </c>
      <c r="BA27" s="89">
        <f t="shared" si="15"/>
        <v>0</v>
      </c>
      <c r="BB27" s="89">
        <f t="shared" si="16"/>
        <v>0</v>
      </c>
      <c r="BC27" s="89">
        <f t="shared" si="17"/>
        <v>0</v>
      </c>
      <c r="BD27" s="89">
        <f t="shared" si="18"/>
        <v>0</v>
      </c>
      <c r="BE27" s="89">
        <f t="shared" si="19"/>
        <v>0</v>
      </c>
      <c r="BF27" s="89">
        <f t="shared" si="19"/>
        <v>1700961000</v>
      </c>
      <c r="BG27" s="89">
        <f t="shared" si="20"/>
        <v>1700961000</v>
      </c>
      <c r="BH27" s="111">
        <f t="shared" si="21"/>
        <v>3401922000</v>
      </c>
    </row>
    <row r="28" spans="1:60" ht="22.5">
      <c r="A28" s="51"/>
      <c r="B28" s="108"/>
      <c r="C28" s="52" t="s">
        <v>148</v>
      </c>
      <c r="D28" s="52" t="s">
        <v>3</v>
      </c>
      <c r="E28" s="52" t="s">
        <v>0</v>
      </c>
      <c r="F28" s="54" t="s">
        <v>35</v>
      </c>
      <c r="G28" s="83"/>
      <c r="H28" s="55"/>
      <c r="I28" s="55"/>
      <c r="J28" s="55"/>
      <c r="K28" s="55"/>
      <c r="L28" s="55">
        <v>18260000</v>
      </c>
      <c r="M28" s="55"/>
      <c r="N28" s="55"/>
      <c r="O28" s="55"/>
      <c r="P28" s="89"/>
      <c r="Q28" s="83"/>
      <c r="R28" s="55"/>
      <c r="S28" s="55"/>
      <c r="T28" s="55"/>
      <c r="U28" s="55"/>
      <c r="V28" s="55"/>
      <c r="W28" s="55"/>
      <c r="X28" s="89">
        <f t="shared" si="4"/>
        <v>0</v>
      </c>
      <c r="Y28" s="83"/>
      <c r="Z28" s="55"/>
      <c r="AA28" s="55"/>
      <c r="AB28" s="55"/>
      <c r="AC28" s="55"/>
      <c r="AD28" s="55"/>
      <c r="AE28" s="55"/>
      <c r="AF28" s="55"/>
      <c r="AG28" s="55"/>
      <c r="AH28" s="89"/>
      <c r="AI28" s="83"/>
      <c r="AJ28" s="55"/>
      <c r="AK28" s="55"/>
      <c r="AL28" s="55"/>
      <c r="AM28" s="55"/>
      <c r="AN28" s="55"/>
      <c r="AO28" s="55"/>
      <c r="AP28" s="89">
        <f t="shared" si="5"/>
        <v>0</v>
      </c>
      <c r="AQ28" s="89">
        <f t="shared" si="6"/>
        <v>0</v>
      </c>
      <c r="AR28" s="89">
        <f t="shared" si="7"/>
        <v>0</v>
      </c>
      <c r="AS28" s="89">
        <f t="shared" si="8"/>
        <v>0</v>
      </c>
      <c r="AT28" s="89">
        <f t="shared" si="9"/>
        <v>0</v>
      </c>
      <c r="AU28" s="89">
        <f t="shared" si="10"/>
        <v>0</v>
      </c>
      <c r="AV28" s="89">
        <f t="shared" si="11"/>
        <v>18260000</v>
      </c>
      <c r="AW28" s="89">
        <f t="shared" si="12"/>
        <v>0</v>
      </c>
      <c r="AX28" s="89">
        <f t="shared" si="13"/>
        <v>0</v>
      </c>
      <c r="AY28" s="89">
        <f t="shared" si="14"/>
        <v>0</v>
      </c>
      <c r="AZ28" s="89">
        <f t="shared" si="14"/>
        <v>0</v>
      </c>
      <c r="BA28" s="89">
        <f t="shared" si="15"/>
        <v>0</v>
      </c>
      <c r="BB28" s="89">
        <f t="shared" si="16"/>
        <v>0</v>
      </c>
      <c r="BC28" s="89">
        <f t="shared" si="17"/>
        <v>0</v>
      </c>
      <c r="BD28" s="89">
        <f t="shared" si="18"/>
        <v>0</v>
      </c>
      <c r="BE28" s="89">
        <f t="shared" si="19"/>
        <v>0</v>
      </c>
      <c r="BF28" s="89">
        <f t="shared" si="19"/>
        <v>0</v>
      </c>
      <c r="BG28" s="89">
        <f t="shared" si="20"/>
        <v>0</v>
      </c>
      <c r="BH28" s="111">
        <f t="shared" si="21"/>
        <v>0</v>
      </c>
    </row>
    <row r="29" spans="1:60" ht="22.5">
      <c r="A29" s="51"/>
      <c r="B29" s="108"/>
      <c r="C29" s="52" t="s">
        <v>149</v>
      </c>
      <c r="D29" s="52" t="s">
        <v>3</v>
      </c>
      <c r="E29" s="52" t="s">
        <v>0</v>
      </c>
      <c r="F29" s="54" t="s">
        <v>36</v>
      </c>
      <c r="G29" s="83"/>
      <c r="H29" s="55"/>
      <c r="I29" s="55"/>
      <c r="J29" s="55"/>
      <c r="K29" s="55"/>
      <c r="L29" s="55"/>
      <c r="M29" s="55"/>
      <c r="N29" s="55"/>
      <c r="O29" s="55"/>
      <c r="P29" s="89"/>
      <c r="Q29" s="83"/>
      <c r="R29" s="55"/>
      <c r="S29" s="55"/>
      <c r="T29" s="55"/>
      <c r="U29" s="55"/>
      <c r="V29" s="55"/>
      <c r="W29" s="55"/>
      <c r="X29" s="89">
        <f t="shared" si="4"/>
        <v>0</v>
      </c>
      <c r="Y29" s="83"/>
      <c r="Z29" s="55"/>
      <c r="AA29" s="55"/>
      <c r="AB29" s="55"/>
      <c r="AC29" s="55"/>
      <c r="AD29" s="55"/>
      <c r="AE29" s="55"/>
      <c r="AF29" s="55"/>
      <c r="AG29" s="55"/>
      <c r="AH29" s="89"/>
      <c r="AI29" s="83"/>
      <c r="AJ29" s="55"/>
      <c r="AK29" s="55"/>
      <c r="AL29" s="55"/>
      <c r="AM29" s="55"/>
      <c r="AN29" s="55"/>
      <c r="AO29" s="55"/>
      <c r="AP29" s="89">
        <f t="shared" si="5"/>
        <v>0</v>
      </c>
      <c r="AQ29" s="89">
        <f t="shared" si="6"/>
        <v>0</v>
      </c>
      <c r="AR29" s="89">
        <f t="shared" si="7"/>
        <v>0</v>
      </c>
      <c r="AS29" s="89">
        <f t="shared" si="8"/>
        <v>0</v>
      </c>
      <c r="AT29" s="89">
        <f t="shared" si="9"/>
        <v>0</v>
      </c>
      <c r="AU29" s="89">
        <f t="shared" si="10"/>
        <v>0</v>
      </c>
      <c r="AV29" s="89">
        <f t="shared" si="11"/>
        <v>0</v>
      </c>
      <c r="AW29" s="89">
        <f t="shared" si="12"/>
        <v>0</v>
      </c>
      <c r="AX29" s="89">
        <f t="shared" si="13"/>
        <v>0</v>
      </c>
      <c r="AY29" s="89">
        <f t="shared" si="14"/>
        <v>0</v>
      </c>
      <c r="AZ29" s="89">
        <f t="shared" si="14"/>
        <v>0</v>
      </c>
      <c r="BA29" s="89">
        <f t="shared" si="15"/>
        <v>0</v>
      </c>
      <c r="BB29" s="89">
        <f t="shared" si="16"/>
        <v>0</v>
      </c>
      <c r="BC29" s="89">
        <f t="shared" si="17"/>
        <v>0</v>
      </c>
      <c r="BD29" s="89">
        <f t="shared" si="18"/>
        <v>0</v>
      </c>
      <c r="BE29" s="89">
        <f t="shared" si="19"/>
        <v>0</v>
      </c>
      <c r="BF29" s="89">
        <f t="shared" si="19"/>
        <v>0</v>
      </c>
      <c r="BG29" s="89">
        <f t="shared" si="20"/>
        <v>0</v>
      </c>
      <c r="BH29" s="111">
        <f t="shared" si="21"/>
        <v>0</v>
      </c>
    </row>
    <row r="30" spans="1:60" ht="22.5">
      <c r="A30" s="51"/>
      <c r="B30" s="108"/>
      <c r="C30" s="52" t="s">
        <v>150</v>
      </c>
      <c r="D30" s="52" t="s">
        <v>3</v>
      </c>
      <c r="E30" s="52" t="s">
        <v>0</v>
      </c>
      <c r="F30" s="54" t="s">
        <v>37</v>
      </c>
      <c r="G30" s="83"/>
      <c r="H30" s="55"/>
      <c r="I30" s="55"/>
      <c r="J30" s="55"/>
      <c r="K30" s="55"/>
      <c r="L30" s="55">
        <v>542656000</v>
      </c>
      <c r="M30" s="55"/>
      <c r="N30" s="55"/>
      <c r="O30" s="55"/>
      <c r="P30" s="89"/>
      <c r="Q30" s="83"/>
      <c r="R30" s="55"/>
      <c r="S30" s="55"/>
      <c r="T30" s="55"/>
      <c r="U30" s="55"/>
      <c r="V30" s="55"/>
      <c r="W30" s="55"/>
      <c r="X30" s="89">
        <f t="shared" si="4"/>
        <v>0</v>
      </c>
      <c r="Y30" s="83"/>
      <c r="Z30" s="55"/>
      <c r="AA30" s="55"/>
      <c r="AB30" s="55"/>
      <c r="AC30" s="55"/>
      <c r="AD30" s="55"/>
      <c r="AE30" s="55"/>
      <c r="AF30" s="55"/>
      <c r="AG30" s="55"/>
      <c r="AH30" s="89"/>
      <c r="AI30" s="83"/>
      <c r="AJ30" s="55"/>
      <c r="AK30" s="55"/>
      <c r="AL30" s="55"/>
      <c r="AM30" s="55"/>
      <c r="AN30" s="55"/>
      <c r="AO30" s="55"/>
      <c r="AP30" s="89">
        <f t="shared" si="5"/>
        <v>0</v>
      </c>
      <c r="AQ30" s="89">
        <f t="shared" si="6"/>
        <v>0</v>
      </c>
      <c r="AR30" s="89">
        <f t="shared" si="7"/>
        <v>0</v>
      </c>
      <c r="AS30" s="89">
        <f t="shared" si="8"/>
        <v>0</v>
      </c>
      <c r="AT30" s="89">
        <f t="shared" si="9"/>
        <v>0</v>
      </c>
      <c r="AU30" s="89">
        <f t="shared" si="10"/>
        <v>0</v>
      </c>
      <c r="AV30" s="89">
        <f t="shared" si="11"/>
        <v>542656000</v>
      </c>
      <c r="AW30" s="89">
        <f t="shared" si="12"/>
        <v>0</v>
      </c>
      <c r="AX30" s="89">
        <f t="shared" si="13"/>
        <v>0</v>
      </c>
      <c r="AY30" s="89">
        <f t="shared" si="14"/>
        <v>0</v>
      </c>
      <c r="AZ30" s="89">
        <f t="shared" si="14"/>
        <v>0</v>
      </c>
      <c r="BA30" s="89">
        <f t="shared" si="15"/>
        <v>0</v>
      </c>
      <c r="BB30" s="89">
        <f t="shared" si="16"/>
        <v>0</v>
      </c>
      <c r="BC30" s="89">
        <f t="shared" si="17"/>
        <v>0</v>
      </c>
      <c r="BD30" s="89">
        <f t="shared" si="18"/>
        <v>0</v>
      </c>
      <c r="BE30" s="89">
        <f t="shared" si="19"/>
        <v>0</v>
      </c>
      <c r="BF30" s="89">
        <f t="shared" si="19"/>
        <v>0</v>
      </c>
      <c r="BG30" s="89">
        <f t="shared" si="20"/>
        <v>0</v>
      </c>
      <c r="BH30" s="111">
        <f t="shared" si="21"/>
        <v>0</v>
      </c>
    </row>
    <row r="31" spans="1:60" ht="22.5">
      <c r="A31" s="51"/>
      <c r="B31" s="108"/>
      <c r="C31" s="52" t="s">
        <v>151</v>
      </c>
      <c r="D31" s="52" t="s">
        <v>3</v>
      </c>
      <c r="E31" s="52" t="s">
        <v>0</v>
      </c>
      <c r="F31" s="54" t="s">
        <v>38</v>
      </c>
      <c r="G31" s="83"/>
      <c r="H31" s="55"/>
      <c r="I31" s="55"/>
      <c r="J31" s="55"/>
      <c r="K31" s="55"/>
      <c r="L31" s="55"/>
      <c r="M31" s="55"/>
      <c r="N31" s="55"/>
      <c r="O31" s="55"/>
      <c r="P31" s="89"/>
      <c r="Q31" s="83"/>
      <c r="R31" s="55"/>
      <c r="S31" s="55"/>
      <c r="T31" s="55"/>
      <c r="U31" s="55"/>
      <c r="V31" s="55"/>
      <c r="W31" s="55"/>
      <c r="X31" s="89">
        <f t="shared" si="4"/>
        <v>0</v>
      </c>
      <c r="Y31" s="83"/>
      <c r="Z31" s="55"/>
      <c r="AA31" s="55"/>
      <c r="AB31" s="55"/>
      <c r="AC31" s="55"/>
      <c r="AD31" s="55"/>
      <c r="AE31" s="55"/>
      <c r="AF31" s="55"/>
      <c r="AG31" s="55"/>
      <c r="AH31" s="89"/>
      <c r="AI31" s="83"/>
      <c r="AJ31" s="55"/>
      <c r="AK31" s="55"/>
      <c r="AL31" s="55"/>
      <c r="AM31" s="55"/>
      <c r="AN31" s="55"/>
      <c r="AO31" s="55"/>
      <c r="AP31" s="89">
        <f t="shared" si="5"/>
        <v>0</v>
      </c>
      <c r="AQ31" s="89">
        <f t="shared" si="6"/>
        <v>0</v>
      </c>
      <c r="AR31" s="89">
        <f t="shared" si="7"/>
        <v>0</v>
      </c>
      <c r="AS31" s="89">
        <f t="shared" si="8"/>
        <v>0</v>
      </c>
      <c r="AT31" s="89">
        <f t="shared" si="9"/>
        <v>0</v>
      </c>
      <c r="AU31" s="89">
        <f t="shared" si="10"/>
        <v>0</v>
      </c>
      <c r="AV31" s="89">
        <f t="shared" si="11"/>
        <v>0</v>
      </c>
      <c r="AW31" s="89">
        <f t="shared" si="12"/>
        <v>0</v>
      </c>
      <c r="AX31" s="89">
        <f t="shared" si="13"/>
        <v>0</v>
      </c>
      <c r="AY31" s="89">
        <f t="shared" si="14"/>
        <v>0</v>
      </c>
      <c r="AZ31" s="89">
        <f t="shared" si="14"/>
        <v>0</v>
      </c>
      <c r="BA31" s="89">
        <f t="shared" si="15"/>
        <v>0</v>
      </c>
      <c r="BB31" s="89">
        <f t="shared" si="16"/>
        <v>0</v>
      </c>
      <c r="BC31" s="89">
        <f t="shared" si="17"/>
        <v>0</v>
      </c>
      <c r="BD31" s="89">
        <f t="shared" si="18"/>
        <v>0</v>
      </c>
      <c r="BE31" s="89">
        <f t="shared" si="19"/>
        <v>0</v>
      </c>
      <c r="BF31" s="89">
        <f t="shared" si="19"/>
        <v>0</v>
      </c>
      <c r="BG31" s="89">
        <f t="shared" si="20"/>
        <v>0</v>
      </c>
      <c r="BH31" s="111">
        <f t="shared" si="21"/>
        <v>0</v>
      </c>
    </row>
    <row r="32" spans="1:60" ht="22.5">
      <c r="A32" s="51"/>
      <c r="B32" s="108"/>
      <c r="C32" s="52"/>
      <c r="D32" s="52"/>
      <c r="E32" s="52" t="s">
        <v>0</v>
      </c>
      <c r="F32" s="53" t="s">
        <v>39</v>
      </c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91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91"/>
      <c r="AQ32" s="91"/>
      <c r="AR32" s="91"/>
      <c r="AS32" s="91"/>
      <c r="AT32" s="91"/>
      <c r="AU32" s="91"/>
      <c r="AV32" s="91"/>
      <c r="AW32" s="91"/>
      <c r="AX32" s="91"/>
      <c r="AY32" s="91"/>
      <c r="AZ32" s="91"/>
      <c r="BA32" s="91"/>
      <c r="BB32" s="91"/>
      <c r="BC32" s="91"/>
      <c r="BD32" s="91"/>
      <c r="BE32" s="91"/>
      <c r="BF32" s="91"/>
      <c r="BG32" s="91"/>
      <c r="BH32" s="112"/>
    </row>
    <row r="33" spans="1:60" ht="22.5">
      <c r="A33" s="51"/>
      <c r="B33" s="108"/>
      <c r="C33" s="52" t="s">
        <v>152</v>
      </c>
      <c r="D33" s="52" t="s">
        <v>3</v>
      </c>
      <c r="E33" s="52" t="s">
        <v>0</v>
      </c>
      <c r="F33" s="54" t="s">
        <v>40</v>
      </c>
      <c r="G33" s="83"/>
      <c r="H33" s="55"/>
      <c r="I33" s="55"/>
      <c r="J33" s="55"/>
      <c r="K33" s="55"/>
      <c r="L33" s="55"/>
      <c r="M33" s="55"/>
      <c r="N33" s="55"/>
      <c r="O33" s="55"/>
      <c r="P33" s="89"/>
      <c r="Q33" s="83"/>
      <c r="R33" s="55"/>
      <c r="S33" s="55"/>
      <c r="T33" s="55"/>
      <c r="U33" s="55"/>
      <c r="V33" s="55"/>
      <c r="W33" s="55"/>
      <c r="X33" s="89">
        <f t="shared" si="4"/>
        <v>0</v>
      </c>
      <c r="Y33" s="83"/>
      <c r="Z33" s="55"/>
      <c r="AA33" s="55"/>
      <c r="AB33" s="55"/>
      <c r="AC33" s="55"/>
      <c r="AD33" s="55"/>
      <c r="AE33" s="55"/>
      <c r="AF33" s="55"/>
      <c r="AG33" s="55"/>
      <c r="AH33" s="89"/>
      <c r="AI33" s="83"/>
      <c r="AJ33" s="55"/>
      <c r="AK33" s="55"/>
      <c r="AL33" s="55"/>
      <c r="AM33" s="55"/>
      <c r="AN33" s="55"/>
      <c r="AO33" s="55"/>
      <c r="AP33" s="89">
        <f t="shared" si="5"/>
        <v>0</v>
      </c>
      <c r="AQ33" s="89">
        <f t="shared" ref="AQ33:AQ34" si="22">G33+Y33</f>
        <v>0</v>
      </c>
      <c r="AR33" s="89">
        <f t="shared" ref="AR33:AR34" si="23">H33+Z33</f>
        <v>0</v>
      </c>
      <c r="AS33" s="89">
        <f t="shared" ref="AS33:AS34" si="24">I33+AA33</f>
        <v>0</v>
      </c>
      <c r="AT33" s="89">
        <f t="shared" ref="AT33:AT34" si="25">J33+AB33</f>
        <v>0</v>
      </c>
      <c r="AU33" s="89">
        <f t="shared" ref="AU33:AU34" si="26">K33+AC33</f>
        <v>0</v>
      </c>
      <c r="AV33" s="89">
        <f t="shared" ref="AV33:AV34" si="27">L33+AD33</f>
        <v>0</v>
      </c>
      <c r="AW33" s="89">
        <f t="shared" ref="AW33:AW34" si="28">M33+AE33</f>
        <v>0</v>
      </c>
      <c r="AX33" s="89">
        <f t="shared" ref="AX33:AX35" si="29">N33+AF33</f>
        <v>0</v>
      </c>
      <c r="AY33" s="89">
        <f t="shared" ref="AY33:AZ35" si="30">O33+AG33</f>
        <v>0</v>
      </c>
      <c r="AZ33" s="89">
        <f t="shared" si="30"/>
        <v>0</v>
      </c>
      <c r="BA33" s="89">
        <f t="shared" ref="BA33:BA34" si="31">Q33+AI33</f>
        <v>0</v>
      </c>
      <c r="BB33" s="89">
        <f t="shared" ref="BB33:BB34" si="32">R33+AJ33</f>
        <v>0</v>
      </c>
      <c r="BC33" s="89">
        <f t="shared" ref="BC33:BC34" si="33">S33+AK33</f>
        <v>0</v>
      </c>
      <c r="BD33" s="89">
        <f t="shared" ref="BD33:BD34" si="34">T33+AL33</f>
        <v>0</v>
      </c>
      <c r="BE33" s="89">
        <f t="shared" ref="BE33:BF34" si="35">U33+AM33</f>
        <v>0</v>
      </c>
      <c r="BF33" s="89">
        <f t="shared" si="35"/>
        <v>0</v>
      </c>
      <c r="BG33" s="89">
        <f t="shared" ref="BG33:BG34" si="36">W33+AO33</f>
        <v>0</v>
      </c>
      <c r="BH33" s="111">
        <f>X33+AP33</f>
        <v>0</v>
      </c>
    </row>
    <row r="34" spans="1:60" ht="22.5">
      <c r="A34" s="51"/>
      <c r="B34" s="108"/>
      <c r="C34" s="52" t="s">
        <v>153</v>
      </c>
      <c r="D34" s="52" t="s">
        <v>3</v>
      </c>
      <c r="E34" s="52" t="s">
        <v>0</v>
      </c>
      <c r="F34" s="54" t="s">
        <v>41</v>
      </c>
      <c r="G34" s="83"/>
      <c r="H34" s="55"/>
      <c r="I34" s="55"/>
      <c r="J34" s="55"/>
      <c r="K34" s="55"/>
      <c r="L34" s="55"/>
      <c r="M34" s="55"/>
      <c r="N34" s="55"/>
      <c r="O34" s="55">
        <v>599294000</v>
      </c>
      <c r="P34" s="89"/>
      <c r="Q34" s="83"/>
      <c r="R34" s="55"/>
      <c r="S34" s="55"/>
      <c r="T34" s="55"/>
      <c r="U34" s="55"/>
      <c r="V34" s="55"/>
      <c r="W34" s="55"/>
      <c r="X34" s="89">
        <f t="shared" si="4"/>
        <v>0</v>
      </c>
      <c r="Y34" s="83"/>
      <c r="Z34" s="55"/>
      <c r="AA34" s="55"/>
      <c r="AB34" s="55"/>
      <c r="AC34" s="55"/>
      <c r="AD34" s="55"/>
      <c r="AE34" s="55"/>
      <c r="AF34" s="55"/>
      <c r="AG34" s="55"/>
      <c r="AH34" s="89"/>
      <c r="AI34" s="83"/>
      <c r="AJ34" s="55"/>
      <c r="AK34" s="55"/>
      <c r="AL34" s="55"/>
      <c r="AM34" s="55"/>
      <c r="AN34" s="55">
        <v>-29000</v>
      </c>
      <c r="AO34" s="55">
        <v>-29000</v>
      </c>
      <c r="AP34" s="89">
        <f t="shared" si="5"/>
        <v>-58000</v>
      </c>
      <c r="AQ34" s="89">
        <f t="shared" si="22"/>
        <v>0</v>
      </c>
      <c r="AR34" s="89">
        <f t="shared" si="23"/>
        <v>0</v>
      </c>
      <c r="AS34" s="89">
        <f t="shared" si="24"/>
        <v>0</v>
      </c>
      <c r="AT34" s="89">
        <f t="shared" si="25"/>
        <v>0</v>
      </c>
      <c r="AU34" s="89">
        <f t="shared" si="26"/>
        <v>0</v>
      </c>
      <c r="AV34" s="89">
        <f t="shared" si="27"/>
        <v>0</v>
      </c>
      <c r="AW34" s="89">
        <f t="shared" si="28"/>
        <v>0</v>
      </c>
      <c r="AX34" s="89">
        <f t="shared" si="29"/>
        <v>0</v>
      </c>
      <c r="AY34" s="89">
        <f t="shared" si="30"/>
        <v>599294000</v>
      </c>
      <c r="AZ34" s="89">
        <f t="shared" si="30"/>
        <v>0</v>
      </c>
      <c r="BA34" s="89">
        <f t="shared" si="31"/>
        <v>0</v>
      </c>
      <c r="BB34" s="89">
        <f t="shared" si="32"/>
        <v>0</v>
      </c>
      <c r="BC34" s="89">
        <f t="shared" si="33"/>
        <v>0</v>
      </c>
      <c r="BD34" s="89">
        <f t="shared" si="34"/>
        <v>0</v>
      </c>
      <c r="BE34" s="89">
        <f t="shared" si="35"/>
        <v>0</v>
      </c>
      <c r="BF34" s="89">
        <f t="shared" si="35"/>
        <v>-29000</v>
      </c>
      <c r="BG34" s="89">
        <f t="shared" si="36"/>
        <v>-29000</v>
      </c>
      <c r="BH34" s="111">
        <f>X34+AP34</f>
        <v>-58000</v>
      </c>
    </row>
    <row r="35" spans="1:60" ht="22.5">
      <c r="A35" s="51"/>
      <c r="B35" s="108"/>
      <c r="C35" s="52" t="s">
        <v>154</v>
      </c>
      <c r="D35" s="52" t="s">
        <v>3</v>
      </c>
      <c r="E35" s="52" t="s">
        <v>0</v>
      </c>
      <c r="F35" s="53" t="s">
        <v>62</v>
      </c>
      <c r="G35" s="89">
        <f t="shared" ref="G35:W35" si="37">G33+G34</f>
        <v>0</v>
      </c>
      <c r="H35" s="89">
        <f t="shared" si="37"/>
        <v>0</v>
      </c>
      <c r="I35" s="89">
        <f t="shared" si="37"/>
        <v>0</v>
      </c>
      <c r="J35" s="89">
        <f t="shared" si="37"/>
        <v>0</v>
      </c>
      <c r="K35" s="89">
        <f t="shared" si="37"/>
        <v>0</v>
      </c>
      <c r="L35" s="89">
        <f t="shared" si="37"/>
        <v>0</v>
      </c>
      <c r="M35" s="89">
        <f t="shared" si="37"/>
        <v>0</v>
      </c>
      <c r="N35" s="89">
        <f t="shared" ref="N35:O35" si="38">N33+N34</f>
        <v>0</v>
      </c>
      <c r="O35" s="89">
        <f t="shared" si="38"/>
        <v>599294000</v>
      </c>
      <c r="P35" s="89">
        <f t="shared" ref="P35" si="39">P33+P34</f>
        <v>0</v>
      </c>
      <c r="Q35" s="89">
        <f t="shared" si="37"/>
        <v>0</v>
      </c>
      <c r="R35" s="89">
        <f t="shared" si="37"/>
        <v>0</v>
      </c>
      <c r="S35" s="89">
        <f t="shared" si="37"/>
        <v>0</v>
      </c>
      <c r="T35" s="89">
        <f t="shared" si="37"/>
        <v>0</v>
      </c>
      <c r="U35" s="89">
        <f t="shared" si="37"/>
        <v>0</v>
      </c>
      <c r="V35" s="89">
        <f t="shared" ref="V35" si="40">V33+V34</f>
        <v>0</v>
      </c>
      <c r="W35" s="89">
        <f t="shared" si="37"/>
        <v>0</v>
      </c>
      <c r="X35" s="89">
        <f t="shared" si="4"/>
        <v>0</v>
      </c>
      <c r="Y35" s="89">
        <f t="shared" ref="Y35:AO35" si="41">Y33+Y34</f>
        <v>0</v>
      </c>
      <c r="Z35" s="89">
        <f t="shared" si="41"/>
        <v>0</v>
      </c>
      <c r="AA35" s="89">
        <f t="shared" si="41"/>
        <v>0</v>
      </c>
      <c r="AB35" s="89">
        <f t="shared" si="41"/>
        <v>0</v>
      </c>
      <c r="AC35" s="89">
        <f t="shared" si="41"/>
        <v>0</v>
      </c>
      <c r="AD35" s="89">
        <f t="shared" si="41"/>
        <v>0</v>
      </c>
      <c r="AE35" s="89">
        <f t="shared" si="41"/>
        <v>0</v>
      </c>
      <c r="AF35" s="89">
        <f t="shared" si="41"/>
        <v>0</v>
      </c>
      <c r="AG35" s="89">
        <f t="shared" si="41"/>
        <v>0</v>
      </c>
      <c r="AH35" s="89">
        <f>SUM(AD35:AG35)</f>
        <v>0</v>
      </c>
      <c r="AI35" s="89">
        <f t="shared" si="41"/>
        <v>0</v>
      </c>
      <c r="AJ35" s="89">
        <f t="shared" si="41"/>
        <v>0</v>
      </c>
      <c r="AK35" s="89">
        <f t="shared" si="41"/>
        <v>0</v>
      </c>
      <c r="AL35" s="89">
        <f t="shared" si="41"/>
        <v>0</v>
      </c>
      <c r="AM35" s="89">
        <f t="shared" si="41"/>
        <v>0</v>
      </c>
      <c r="AN35" s="89">
        <f t="shared" si="41"/>
        <v>-29000</v>
      </c>
      <c r="AO35" s="89">
        <f t="shared" si="41"/>
        <v>-29000</v>
      </c>
      <c r="AP35" s="89">
        <f t="shared" si="5"/>
        <v>-58000</v>
      </c>
      <c r="AQ35" s="89">
        <f t="shared" ref="AQ35:AW35" si="42">G35+Y35</f>
        <v>0</v>
      </c>
      <c r="AR35" s="89">
        <f t="shared" si="42"/>
        <v>0</v>
      </c>
      <c r="AS35" s="89">
        <f t="shared" si="42"/>
        <v>0</v>
      </c>
      <c r="AT35" s="89">
        <f t="shared" si="42"/>
        <v>0</v>
      </c>
      <c r="AU35" s="89">
        <f t="shared" si="42"/>
        <v>0</v>
      </c>
      <c r="AV35" s="89">
        <f t="shared" si="42"/>
        <v>0</v>
      </c>
      <c r="AW35" s="89">
        <f t="shared" si="42"/>
        <v>0</v>
      </c>
      <c r="AX35" s="89">
        <f t="shared" si="29"/>
        <v>0</v>
      </c>
      <c r="AY35" s="89">
        <f t="shared" si="30"/>
        <v>599294000</v>
      </c>
      <c r="AZ35" s="89">
        <f t="shared" si="30"/>
        <v>0</v>
      </c>
      <c r="BA35" s="89">
        <f t="shared" ref="BA35:BF35" si="43">Q35+AI35</f>
        <v>0</v>
      </c>
      <c r="BB35" s="89">
        <f t="shared" si="43"/>
        <v>0</v>
      </c>
      <c r="BC35" s="89">
        <f t="shared" si="43"/>
        <v>0</v>
      </c>
      <c r="BD35" s="89">
        <f t="shared" si="43"/>
        <v>0</v>
      </c>
      <c r="BE35" s="89">
        <f t="shared" si="43"/>
        <v>0</v>
      </c>
      <c r="BF35" s="89">
        <f t="shared" si="43"/>
        <v>-29000</v>
      </c>
      <c r="BG35" s="89">
        <f>W35+AO35</f>
        <v>-29000</v>
      </c>
      <c r="BH35" s="111">
        <f>X35+AP35</f>
        <v>-58000</v>
      </c>
    </row>
    <row r="36" spans="1:60" ht="22.5">
      <c r="A36" s="51"/>
      <c r="B36" s="108"/>
      <c r="C36" s="52"/>
      <c r="D36" s="52"/>
      <c r="E36" s="52" t="s">
        <v>0</v>
      </c>
      <c r="F36" s="53" t="s">
        <v>42</v>
      </c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2"/>
      <c r="T36" s="52"/>
      <c r="U36" s="52"/>
      <c r="V36" s="52"/>
      <c r="W36" s="52"/>
      <c r="X36" s="91"/>
      <c r="Y36" s="52"/>
      <c r="Z36" s="52"/>
      <c r="AA36" s="52"/>
      <c r="AB36" s="52"/>
      <c r="AC36" s="52"/>
      <c r="AD36" s="52"/>
      <c r="AE36" s="52"/>
      <c r="AF36" s="52"/>
      <c r="AG36" s="52"/>
      <c r="AH36" s="52"/>
      <c r="AI36" s="52"/>
      <c r="AJ36" s="52"/>
      <c r="AK36" s="52"/>
      <c r="AL36" s="52"/>
      <c r="AM36" s="52"/>
      <c r="AN36" s="52"/>
      <c r="AO36" s="52"/>
      <c r="AP36" s="91"/>
      <c r="AQ36" s="91"/>
      <c r="AR36" s="91"/>
      <c r="AS36" s="91"/>
      <c r="AT36" s="91"/>
      <c r="AU36" s="91"/>
      <c r="AV36" s="91"/>
      <c r="AW36" s="91"/>
      <c r="AX36" s="91"/>
      <c r="AY36" s="91"/>
      <c r="AZ36" s="91"/>
      <c r="BA36" s="91"/>
      <c r="BB36" s="91"/>
      <c r="BC36" s="91"/>
      <c r="BD36" s="91"/>
      <c r="BE36" s="91"/>
      <c r="BF36" s="91"/>
      <c r="BG36" s="91"/>
      <c r="BH36" s="112"/>
    </row>
    <row r="37" spans="1:60">
      <c r="A37" s="51"/>
      <c r="B37" s="108"/>
      <c r="C37" s="52" t="s">
        <v>155</v>
      </c>
      <c r="D37" s="52" t="s">
        <v>3</v>
      </c>
      <c r="E37" s="52" t="s">
        <v>0</v>
      </c>
      <c r="F37" s="54" t="s">
        <v>43</v>
      </c>
      <c r="G37" s="83"/>
      <c r="H37" s="55"/>
      <c r="I37" s="55"/>
      <c r="J37" s="55"/>
      <c r="K37" s="55"/>
      <c r="L37" s="55"/>
      <c r="M37" s="55"/>
      <c r="N37" s="55"/>
      <c r="O37" s="55"/>
      <c r="P37" s="89"/>
      <c r="Q37" s="83"/>
      <c r="R37" s="55"/>
      <c r="S37" s="55"/>
      <c r="T37" s="55"/>
      <c r="U37" s="55"/>
      <c r="V37" s="55"/>
      <c r="W37" s="55"/>
      <c r="X37" s="89">
        <f t="shared" ref="X37:X43" si="44">SUM(P37:W37)+SUM(G37:K37)</f>
        <v>0</v>
      </c>
      <c r="Y37" s="83"/>
      <c r="Z37" s="55"/>
      <c r="AA37" s="55"/>
      <c r="AB37" s="55"/>
      <c r="AC37" s="55"/>
      <c r="AD37" s="55"/>
      <c r="AE37" s="55"/>
      <c r="AF37" s="55"/>
      <c r="AG37" s="55"/>
      <c r="AH37" s="89"/>
      <c r="AI37" s="83"/>
      <c r="AJ37" s="55"/>
      <c r="AK37" s="55"/>
      <c r="AL37" s="55"/>
      <c r="AM37" s="55"/>
      <c r="AN37" s="55"/>
      <c r="AO37" s="55"/>
      <c r="AP37" s="89">
        <f t="shared" ref="AP37:AP43" si="45">SUM(AH37:AO37)+SUM(Y37:AC37)</f>
        <v>0</v>
      </c>
      <c r="AQ37" s="89">
        <f t="shared" ref="AQ37:AQ38" si="46">G37+Y37</f>
        <v>0</v>
      </c>
      <c r="AR37" s="89">
        <f t="shared" ref="AR37:AR38" si="47">H37+Z37</f>
        <v>0</v>
      </c>
      <c r="AS37" s="89">
        <f t="shared" ref="AS37:AS38" si="48">I37+AA37</f>
        <v>0</v>
      </c>
      <c r="AT37" s="89">
        <f t="shared" ref="AT37:AT38" si="49">J37+AB37</f>
        <v>0</v>
      </c>
      <c r="AU37" s="89">
        <f t="shared" ref="AU37:AU38" si="50">K37+AC37</f>
        <v>0</v>
      </c>
      <c r="AV37" s="89">
        <f t="shared" ref="AV37:AV38" si="51">L37+AD37</f>
        <v>0</v>
      </c>
      <c r="AW37" s="89">
        <f t="shared" ref="AW37:AW38" si="52">M37+AE37</f>
        <v>0</v>
      </c>
      <c r="AX37" s="89">
        <f t="shared" ref="AX37:AX43" si="53">N37+AF37</f>
        <v>0</v>
      </c>
      <c r="AY37" s="89">
        <f t="shared" ref="AY37:AZ43" si="54">O37+AG37</f>
        <v>0</v>
      </c>
      <c r="AZ37" s="89">
        <f t="shared" si="54"/>
        <v>0</v>
      </c>
      <c r="BA37" s="89">
        <f t="shared" ref="BA37:BA38" si="55">Q37+AI37</f>
        <v>0</v>
      </c>
      <c r="BB37" s="89">
        <f t="shared" ref="BB37:BB38" si="56">R37+AJ37</f>
        <v>0</v>
      </c>
      <c r="BC37" s="89">
        <f t="shared" ref="BC37:BC38" si="57">S37+AK37</f>
        <v>0</v>
      </c>
      <c r="BD37" s="89">
        <f t="shared" ref="BD37:BD38" si="58">T37+AL37</f>
        <v>0</v>
      </c>
      <c r="BE37" s="89">
        <f t="shared" ref="BE37:BF38" si="59">U37+AM37</f>
        <v>0</v>
      </c>
      <c r="BF37" s="89">
        <f t="shared" si="59"/>
        <v>0</v>
      </c>
      <c r="BG37" s="89">
        <f t="shared" ref="BG37:BG38" si="60">W37+AO37</f>
        <v>0</v>
      </c>
      <c r="BH37" s="111">
        <f t="shared" ref="BH37:BH43" si="61">X37+AP37</f>
        <v>0</v>
      </c>
    </row>
    <row r="38" spans="1:60">
      <c r="A38" s="51"/>
      <c r="B38" s="108"/>
      <c r="C38" s="52" t="s">
        <v>156</v>
      </c>
      <c r="D38" s="52" t="s">
        <v>3</v>
      </c>
      <c r="E38" s="52" t="s">
        <v>0</v>
      </c>
      <c r="F38" s="54" t="s">
        <v>44</v>
      </c>
      <c r="G38" s="83"/>
      <c r="H38" s="55"/>
      <c r="I38" s="55"/>
      <c r="J38" s="55"/>
      <c r="K38" s="55"/>
      <c r="L38" s="55"/>
      <c r="M38" s="55"/>
      <c r="N38" s="55"/>
      <c r="O38" s="55"/>
      <c r="P38" s="89"/>
      <c r="Q38" s="83"/>
      <c r="R38" s="55"/>
      <c r="S38" s="55"/>
      <c r="T38" s="55"/>
      <c r="U38" s="55"/>
      <c r="V38" s="55"/>
      <c r="W38" s="55"/>
      <c r="X38" s="89">
        <f t="shared" si="44"/>
        <v>0</v>
      </c>
      <c r="Y38" s="83"/>
      <c r="Z38" s="55"/>
      <c r="AA38" s="55"/>
      <c r="AB38" s="55"/>
      <c r="AC38" s="55"/>
      <c r="AD38" s="55"/>
      <c r="AE38" s="55"/>
      <c r="AF38" s="55"/>
      <c r="AG38" s="55"/>
      <c r="AH38" s="89"/>
      <c r="AI38" s="83"/>
      <c r="AJ38" s="55"/>
      <c r="AK38" s="55"/>
      <c r="AL38" s="55"/>
      <c r="AM38" s="55"/>
      <c r="AN38" s="55"/>
      <c r="AO38" s="55"/>
      <c r="AP38" s="89">
        <f t="shared" si="45"/>
        <v>0</v>
      </c>
      <c r="AQ38" s="89">
        <f t="shared" si="46"/>
        <v>0</v>
      </c>
      <c r="AR38" s="89">
        <f t="shared" si="47"/>
        <v>0</v>
      </c>
      <c r="AS38" s="89">
        <f t="shared" si="48"/>
        <v>0</v>
      </c>
      <c r="AT38" s="89">
        <f t="shared" si="49"/>
        <v>0</v>
      </c>
      <c r="AU38" s="89">
        <f t="shared" si="50"/>
        <v>0</v>
      </c>
      <c r="AV38" s="89">
        <f t="shared" si="51"/>
        <v>0</v>
      </c>
      <c r="AW38" s="89">
        <f t="shared" si="52"/>
        <v>0</v>
      </c>
      <c r="AX38" s="89">
        <f t="shared" si="53"/>
        <v>0</v>
      </c>
      <c r="AY38" s="89">
        <f t="shared" si="54"/>
        <v>0</v>
      </c>
      <c r="AZ38" s="89">
        <f t="shared" si="54"/>
        <v>0</v>
      </c>
      <c r="BA38" s="89">
        <f t="shared" si="55"/>
        <v>0</v>
      </c>
      <c r="BB38" s="89">
        <f t="shared" si="56"/>
        <v>0</v>
      </c>
      <c r="BC38" s="89">
        <f t="shared" si="57"/>
        <v>0</v>
      </c>
      <c r="BD38" s="89">
        <f t="shared" si="58"/>
        <v>0</v>
      </c>
      <c r="BE38" s="89">
        <f t="shared" si="59"/>
        <v>0</v>
      </c>
      <c r="BF38" s="89">
        <f t="shared" si="59"/>
        <v>0</v>
      </c>
      <c r="BG38" s="89">
        <f t="shared" si="60"/>
        <v>0</v>
      </c>
      <c r="BH38" s="111">
        <f t="shared" si="61"/>
        <v>0</v>
      </c>
    </row>
    <row r="39" spans="1:60" ht="15" customHeight="1">
      <c r="A39" s="51"/>
      <c r="B39" s="108"/>
      <c r="C39" s="52" t="s">
        <v>157</v>
      </c>
      <c r="D39" s="52" t="s">
        <v>3</v>
      </c>
      <c r="E39" s="52" t="s">
        <v>0</v>
      </c>
      <c r="F39" s="53" t="s">
        <v>63</v>
      </c>
      <c r="G39" s="89">
        <f t="shared" ref="G39:W39" si="62">G37+G38</f>
        <v>0</v>
      </c>
      <c r="H39" s="89">
        <f t="shared" si="62"/>
        <v>0</v>
      </c>
      <c r="I39" s="89">
        <f t="shared" si="62"/>
        <v>0</v>
      </c>
      <c r="J39" s="89">
        <f t="shared" si="62"/>
        <v>0</v>
      </c>
      <c r="K39" s="89">
        <f t="shared" si="62"/>
        <v>0</v>
      </c>
      <c r="L39" s="89">
        <f t="shared" si="62"/>
        <v>0</v>
      </c>
      <c r="M39" s="89">
        <f t="shared" si="62"/>
        <v>0</v>
      </c>
      <c r="N39" s="89">
        <f t="shared" ref="N39:O39" si="63">N37+N38</f>
        <v>0</v>
      </c>
      <c r="O39" s="89">
        <f t="shared" si="63"/>
        <v>0</v>
      </c>
      <c r="P39" s="89">
        <f t="shared" ref="P39" si="64">P37+P38</f>
        <v>0</v>
      </c>
      <c r="Q39" s="89">
        <f t="shared" si="62"/>
        <v>0</v>
      </c>
      <c r="R39" s="89">
        <f t="shared" si="62"/>
        <v>0</v>
      </c>
      <c r="S39" s="89">
        <f t="shared" si="62"/>
        <v>0</v>
      </c>
      <c r="T39" s="89">
        <f t="shared" si="62"/>
        <v>0</v>
      </c>
      <c r="U39" s="89">
        <f t="shared" si="62"/>
        <v>0</v>
      </c>
      <c r="V39" s="89">
        <f t="shared" ref="V39" si="65">V37+V38</f>
        <v>0</v>
      </c>
      <c r="W39" s="89">
        <f t="shared" si="62"/>
        <v>0</v>
      </c>
      <c r="X39" s="89">
        <f t="shared" si="44"/>
        <v>0</v>
      </c>
      <c r="Y39" s="89">
        <f t="shared" ref="Y39:AO39" si="66">Y37+Y38</f>
        <v>0</v>
      </c>
      <c r="Z39" s="89">
        <f t="shared" si="66"/>
        <v>0</v>
      </c>
      <c r="AA39" s="89">
        <f t="shared" si="66"/>
        <v>0</v>
      </c>
      <c r="AB39" s="89">
        <f t="shared" si="66"/>
        <v>0</v>
      </c>
      <c r="AC39" s="89">
        <f t="shared" si="66"/>
        <v>0</v>
      </c>
      <c r="AD39" s="89">
        <f t="shared" si="66"/>
        <v>0</v>
      </c>
      <c r="AE39" s="89">
        <f t="shared" si="66"/>
        <v>0</v>
      </c>
      <c r="AF39" s="89">
        <f t="shared" si="66"/>
        <v>0</v>
      </c>
      <c r="AG39" s="89">
        <f t="shared" si="66"/>
        <v>0</v>
      </c>
      <c r="AH39" s="89">
        <f t="shared" ref="AH39" si="67">AH37+AH38</f>
        <v>0</v>
      </c>
      <c r="AI39" s="89">
        <f t="shared" si="66"/>
        <v>0</v>
      </c>
      <c r="AJ39" s="89">
        <f t="shared" si="66"/>
        <v>0</v>
      </c>
      <c r="AK39" s="89">
        <f t="shared" si="66"/>
        <v>0</v>
      </c>
      <c r="AL39" s="89">
        <f t="shared" si="66"/>
        <v>0</v>
      </c>
      <c r="AM39" s="89">
        <f t="shared" si="66"/>
        <v>0</v>
      </c>
      <c r="AN39" s="89">
        <f t="shared" si="66"/>
        <v>0</v>
      </c>
      <c r="AO39" s="89">
        <f t="shared" si="66"/>
        <v>0</v>
      </c>
      <c r="AP39" s="89">
        <f t="shared" si="45"/>
        <v>0</v>
      </c>
      <c r="AQ39" s="89">
        <f t="shared" ref="AQ39:AW43" si="68">G39+Y39</f>
        <v>0</v>
      </c>
      <c r="AR39" s="89">
        <f t="shared" si="68"/>
        <v>0</v>
      </c>
      <c r="AS39" s="89">
        <f t="shared" si="68"/>
        <v>0</v>
      </c>
      <c r="AT39" s="89">
        <f t="shared" si="68"/>
        <v>0</v>
      </c>
      <c r="AU39" s="89">
        <f t="shared" si="68"/>
        <v>0</v>
      </c>
      <c r="AV39" s="89">
        <f t="shared" si="68"/>
        <v>0</v>
      </c>
      <c r="AW39" s="89">
        <f t="shared" si="68"/>
        <v>0</v>
      </c>
      <c r="AX39" s="89">
        <f t="shared" si="53"/>
        <v>0</v>
      </c>
      <c r="AY39" s="89">
        <f t="shared" si="54"/>
        <v>0</v>
      </c>
      <c r="AZ39" s="89">
        <f t="shared" si="54"/>
        <v>0</v>
      </c>
      <c r="BA39" s="89">
        <f t="shared" ref="BA39:BF43" si="69">Q39+AI39</f>
        <v>0</v>
      </c>
      <c r="BB39" s="89">
        <f t="shared" si="69"/>
        <v>0</v>
      </c>
      <c r="BC39" s="89">
        <f t="shared" si="69"/>
        <v>0</v>
      </c>
      <c r="BD39" s="89">
        <f t="shared" si="69"/>
        <v>0</v>
      </c>
      <c r="BE39" s="89">
        <f t="shared" si="69"/>
        <v>0</v>
      </c>
      <c r="BF39" s="89">
        <f t="shared" si="69"/>
        <v>0</v>
      </c>
      <c r="BG39" s="89">
        <f t="shared" ref="BG39:BG43" si="70">W39+AO39</f>
        <v>0</v>
      </c>
      <c r="BH39" s="111">
        <f t="shared" si="61"/>
        <v>0</v>
      </c>
    </row>
    <row r="40" spans="1:60" ht="22.5">
      <c r="A40" s="51"/>
      <c r="B40" s="108"/>
      <c r="C40" s="52" t="s">
        <v>158</v>
      </c>
      <c r="D40" s="52" t="s">
        <v>3</v>
      </c>
      <c r="E40" s="52" t="s">
        <v>0</v>
      </c>
      <c r="F40" s="54" t="s">
        <v>45</v>
      </c>
      <c r="G40" s="83"/>
      <c r="H40" s="55"/>
      <c r="I40" s="55"/>
      <c r="J40" s="55"/>
      <c r="K40" s="55"/>
      <c r="L40" s="55"/>
      <c r="M40" s="55"/>
      <c r="N40" s="55"/>
      <c r="O40" s="55"/>
      <c r="P40" s="89"/>
      <c r="Q40" s="83"/>
      <c r="R40" s="55"/>
      <c r="S40" s="55"/>
      <c r="T40" s="55"/>
      <c r="U40" s="55"/>
      <c r="V40" s="55"/>
      <c r="W40" s="55"/>
      <c r="X40" s="89">
        <f t="shared" si="44"/>
        <v>0</v>
      </c>
      <c r="Y40" s="83"/>
      <c r="Z40" s="55"/>
      <c r="AA40" s="55"/>
      <c r="AB40" s="55"/>
      <c r="AC40" s="55"/>
      <c r="AD40" s="55"/>
      <c r="AE40" s="55"/>
      <c r="AF40" s="55"/>
      <c r="AG40" s="55"/>
      <c r="AH40" s="89"/>
      <c r="AI40" s="83"/>
      <c r="AJ40" s="55"/>
      <c r="AK40" s="55"/>
      <c r="AL40" s="55"/>
      <c r="AM40" s="55"/>
      <c r="AN40" s="55"/>
      <c r="AO40" s="55"/>
      <c r="AP40" s="89">
        <f t="shared" si="45"/>
        <v>0</v>
      </c>
      <c r="AQ40" s="89">
        <f t="shared" si="68"/>
        <v>0</v>
      </c>
      <c r="AR40" s="89">
        <f t="shared" si="68"/>
        <v>0</v>
      </c>
      <c r="AS40" s="89">
        <f t="shared" si="68"/>
        <v>0</v>
      </c>
      <c r="AT40" s="89">
        <f t="shared" si="68"/>
        <v>0</v>
      </c>
      <c r="AU40" s="89">
        <f t="shared" si="68"/>
        <v>0</v>
      </c>
      <c r="AV40" s="89">
        <f t="shared" si="68"/>
        <v>0</v>
      </c>
      <c r="AW40" s="89">
        <f t="shared" si="68"/>
        <v>0</v>
      </c>
      <c r="AX40" s="89">
        <f t="shared" si="53"/>
        <v>0</v>
      </c>
      <c r="AY40" s="89">
        <f t="shared" si="54"/>
        <v>0</v>
      </c>
      <c r="AZ40" s="89">
        <f t="shared" si="54"/>
        <v>0</v>
      </c>
      <c r="BA40" s="89">
        <f t="shared" si="69"/>
        <v>0</v>
      </c>
      <c r="BB40" s="89">
        <f t="shared" si="69"/>
        <v>0</v>
      </c>
      <c r="BC40" s="89">
        <f t="shared" si="69"/>
        <v>0</v>
      </c>
      <c r="BD40" s="89">
        <f t="shared" si="69"/>
        <v>0</v>
      </c>
      <c r="BE40" s="89">
        <f t="shared" si="69"/>
        <v>0</v>
      </c>
      <c r="BF40" s="89">
        <f t="shared" si="69"/>
        <v>0</v>
      </c>
      <c r="BG40" s="89">
        <f t="shared" si="70"/>
        <v>0</v>
      </c>
      <c r="BH40" s="111">
        <f t="shared" si="61"/>
        <v>0</v>
      </c>
    </row>
    <row r="41" spans="1:60" ht="22.5">
      <c r="A41" s="51"/>
      <c r="B41" s="108"/>
      <c r="C41" s="52" t="s">
        <v>159</v>
      </c>
      <c r="D41" s="52" t="s">
        <v>3</v>
      </c>
      <c r="E41" s="52" t="s">
        <v>0</v>
      </c>
      <c r="F41" s="54" t="s">
        <v>46</v>
      </c>
      <c r="G41" s="83"/>
      <c r="H41" s="55"/>
      <c r="I41" s="55"/>
      <c r="J41" s="55"/>
      <c r="K41" s="55"/>
      <c r="L41" s="55"/>
      <c r="M41" s="55"/>
      <c r="N41" s="55"/>
      <c r="O41" s="55"/>
      <c r="P41" s="89"/>
      <c r="Q41" s="83"/>
      <c r="R41" s="55"/>
      <c r="S41" s="55"/>
      <c r="T41" s="55"/>
      <c r="U41" s="55"/>
      <c r="V41" s="55"/>
      <c r="W41" s="55"/>
      <c r="X41" s="89">
        <f t="shared" si="44"/>
        <v>0</v>
      </c>
      <c r="Y41" s="83"/>
      <c r="Z41" s="55"/>
      <c r="AA41" s="55"/>
      <c r="AB41" s="55"/>
      <c r="AC41" s="55"/>
      <c r="AD41" s="55"/>
      <c r="AE41" s="55"/>
      <c r="AF41" s="55"/>
      <c r="AG41" s="55"/>
      <c r="AH41" s="89"/>
      <c r="AI41" s="83"/>
      <c r="AJ41" s="55"/>
      <c r="AK41" s="55">
        <v>-2304822000</v>
      </c>
      <c r="AL41" s="55"/>
      <c r="AM41" s="55"/>
      <c r="AN41" s="55"/>
      <c r="AO41" s="55"/>
      <c r="AP41" s="89">
        <f t="shared" si="45"/>
        <v>-2304822000</v>
      </c>
      <c r="AQ41" s="89">
        <f t="shared" si="68"/>
        <v>0</v>
      </c>
      <c r="AR41" s="89">
        <f t="shared" si="68"/>
        <v>0</v>
      </c>
      <c r="AS41" s="89">
        <f t="shared" si="68"/>
        <v>0</v>
      </c>
      <c r="AT41" s="89">
        <f t="shared" si="68"/>
        <v>0</v>
      </c>
      <c r="AU41" s="89">
        <f t="shared" si="68"/>
        <v>0</v>
      </c>
      <c r="AV41" s="89">
        <f t="shared" si="68"/>
        <v>0</v>
      </c>
      <c r="AW41" s="89">
        <f t="shared" si="68"/>
        <v>0</v>
      </c>
      <c r="AX41" s="89">
        <f t="shared" si="53"/>
        <v>0</v>
      </c>
      <c r="AY41" s="89">
        <f t="shared" si="54"/>
        <v>0</v>
      </c>
      <c r="AZ41" s="89">
        <f t="shared" si="54"/>
        <v>0</v>
      </c>
      <c r="BA41" s="89">
        <f t="shared" si="69"/>
        <v>0</v>
      </c>
      <c r="BB41" s="89">
        <f t="shared" si="69"/>
        <v>0</v>
      </c>
      <c r="BC41" s="89">
        <f t="shared" si="69"/>
        <v>-2304822000</v>
      </c>
      <c r="BD41" s="89">
        <f t="shared" si="69"/>
        <v>0</v>
      </c>
      <c r="BE41" s="89">
        <f t="shared" si="69"/>
        <v>0</v>
      </c>
      <c r="BF41" s="89">
        <f t="shared" si="69"/>
        <v>0</v>
      </c>
      <c r="BG41" s="89">
        <f t="shared" si="70"/>
        <v>0</v>
      </c>
      <c r="BH41" s="111">
        <f t="shared" si="61"/>
        <v>-2304822000</v>
      </c>
    </row>
    <row r="42" spans="1:60">
      <c r="A42" s="51"/>
      <c r="B42" s="108"/>
      <c r="C42" s="52" t="s">
        <v>160</v>
      </c>
      <c r="D42" s="52" t="s">
        <v>3</v>
      </c>
      <c r="E42" s="52" t="s">
        <v>0</v>
      </c>
      <c r="F42" s="53" t="s">
        <v>64</v>
      </c>
      <c r="G42" s="89">
        <f t="shared" ref="G42:W42" si="71">G23+G24+G25-G26-G27+G28+G29-G30+G31+G35-G39-G40-G41</f>
        <v>0</v>
      </c>
      <c r="H42" s="89">
        <f t="shared" si="71"/>
        <v>0</v>
      </c>
      <c r="I42" s="89">
        <f t="shared" si="71"/>
        <v>0</v>
      </c>
      <c r="J42" s="89">
        <f t="shared" si="71"/>
        <v>0</v>
      </c>
      <c r="K42" s="89">
        <f t="shared" si="71"/>
        <v>0</v>
      </c>
      <c r="L42" s="89">
        <f t="shared" si="71"/>
        <v>0</v>
      </c>
      <c r="M42" s="89">
        <f t="shared" si="71"/>
        <v>0</v>
      </c>
      <c r="N42" s="89">
        <f t="shared" ref="N42:O42" si="72">N23+N24+N25-N26-N27+N28+N29-N30+N31+N35-N39-N40-N41</f>
        <v>8960661000</v>
      </c>
      <c r="O42" s="89">
        <f t="shared" si="72"/>
        <v>84936000</v>
      </c>
      <c r="P42" s="89">
        <f t="shared" ref="P42" si="73">P23+P24+P25-P26-P27+P28+P29-P30+P31+P35-P39-P40-P41</f>
        <v>0</v>
      </c>
      <c r="Q42" s="89">
        <f t="shared" si="71"/>
        <v>0</v>
      </c>
      <c r="R42" s="89">
        <f t="shared" si="71"/>
        <v>0</v>
      </c>
      <c r="S42" s="89">
        <f t="shared" si="71"/>
        <v>0</v>
      </c>
      <c r="T42" s="89">
        <f t="shared" si="71"/>
        <v>0</v>
      </c>
      <c r="U42" s="89">
        <f t="shared" si="71"/>
        <v>-7315361000</v>
      </c>
      <c r="V42" s="89">
        <f t="shared" ref="V42" si="74">V23+V24+V25-V26-V27+V28+V29-V30+V31+V35-V39-V40-V41</f>
        <v>0</v>
      </c>
      <c r="W42" s="89">
        <f t="shared" si="71"/>
        <v>0</v>
      </c>
      <c r="X42" s="89">
        <f t="shared" si="44"/>
        <v>-7315361000</v>
      </c>
      <c r="Y42" s="89">
        <f t="shared" ref="Y42:AO42" si="75">Y23+Y24+Y25-Y26-Y27+Y28+Y29-Y30+Y31+Y35-Y39-Y40-Y41</f>
        <v>1645300000</v>
      </c>
      <c r="Z42" s="89">
        <f t="shared" si="75"/>
        <v>0</v>
      </c>
      <c r="AA42" s="89">
        <f t="shared" si="75"/>
        <v>0</v>
      </c>
      <c r="AB42" s="89">
        <f t="shared" si="75"/>
        <v>-514358000</v>
      </c>
      <c r="AC42" s="89">
        <f t="shared" si="75"/>
        <v>0</v>
      </c>
      <c r="AD42" s="89">
        <f t="shared" si="75"/>
        <v>0</v>
      </c>
      <c r="AE42" s="89">
        <f t="shared" si="75"/>
        <v>0</v>
      </c>
      <c r="AF42" s="89">
        <f t="shared" si="75"/>
        <v>0</v>
      </c>
      <c r="AG42" s="89">
        <f t="shared" si="75"/>
        <v>0</v>
      </c>
      <c r="AH42" s="89">
        <f t="shared" ref="AH42" si="76">AH23+AH24+AH25-AH26-AH27+AH28+AH29-AH30+AH31+AH35-AH39-AH40-AH41</f>
        <v>0</v>
      </c>
      <c r="AI42" s="89">
        <f t="shared" si="75"/>
        <v>0</v>
      </c>
      <c r="AJ42" s="89">
        <f t="shared" si="75"/>
        <v>0</v>
      </c>
      <c r="AK42" s="89">
        <f t="shared" si="75"/>
        <v>2304822000</v>
      </c>
      <c r="AL42" s="89">
        <f t="shared" si="75"/>
        <v>0</v>
      </c>
      <c r="AM42" s="89">
        <f t="shared" si="75"/>
        <v>7315361000</v>
      </c>
      <c r="AN42" s="89">
        <f t="shared" si="75"/>
        <v>1762386000</v>
      </c>
      <c r="AO42" s="89">
        <f t="shared" si="75"/>
        <v>1821910000</v>
      </c>
      <c r="AP42" s="89">
        <f t="shared" si="45"/>
        <v>14335421000</v>
      </c>
      <c r="AQ42" s="89">
        <f t="shared" si="68"/>
        <v>1645300000</v>
      </c>
      <c r="AR42" s="89">
        <f t="shared" si="68"/>
        <v>0</v>
      </c>
      <c r="AS42" s="89">
        <f t="shared" si="68"/>
        <v>0</v>
      </c>
      <c r="AT42" s="89">
        <f t="shared" si="68"/>
        <v>-514358000</v>
      </c>
      <c r="AU42" s="89">
        <f t="shared" si="68"/>
        <v>0</v>
      </c>
      <c r="AV42" s="89">
        <f t="shared" si="68"/>
        <v>0</v>
      </c>
      <c r="AW42" s="89">
        <f t="shared" si="68"/>
        <v>0</v>
      </c>
      <c r="AX42" s="89">
        <f t="shared" si="53"/>
        <v>8960661000</v>
      </c>
      <c r="AY42" s="89">
        <f t="shared" si="54"/>
        <v>84936000</v>
      </c>
      <c r="AZ42" s="89">
        <f t="shared" si="54"/>
        <v>0</v>
      </c>
      <c r="BA42" s="89">
        <f t="shared" si="69"/>
        <v>0</v>
      </c>
      <c r="BB42" s="89">
        <f t="shared" si="69"/>
        <v>0</v>
      </c>
      <c r="BC42" s="89">
        <f t="shared" si="69"/>
        <v>2304822000</v>
      </c>
      <c r="BD42" s="89">
        <f t="shared" si="69"/>
        <v>0</v>
      </c>
      <c r="BE42" s="89">
        <f t="shared" si="69"/>
        <v>0</v>
      </c>
      <c r="BF42" s="89">
        <f t="shared" si="69"/>
        <v>1762386000</v>
      </c>
      <c r="BG42" s="89">
        <f t="shared" si="70"/>
        <v>1821910000</v>
      </c>
      <c r="BH42" s="111">
        <f t="shared" si="61"/>
        <v>7020060000</v>
      </c>
    </row>
    <row r="43" spans="1:60">
      <c r="A43" s="51"/>
      <c r="B43" s="108"/>
      <c r="C43" s="52" t="s">
        <v>142</v>
      </c>
      <c r="D43" s="52" t="s">
        <v>3</v>
      </c>
      <c r="E43" s="52" t="s">
        <v>0</v>
      </c>
      <c r="F43" s="53" t="s">
        <v>28</v>
      </c>
      <c r="G43" s="89">
        <f t="shared" ref="G43:W43" si="77">G21+G42</f>
        <v>0</v>
      </c>
      <c r="H43" s="89">
        <f t="shared" si="77"/>
        <v>0</v>
      </c>
      <c r="I43" s="89">
        <f t="shared" si="77"/>
        <v>0</v>
      </c>
      <c r="J43" s="89">
        <f t="shared" si="77"/>
        <v>0</v>
      </c>
      <c r="K43" s="89">
        <f t="shared" si="77"/>
        <v>0</v>
      </c>
      <c r="L43" s="89">
        <f t="shared" si="77"/>
        <v>0</v>
      </c>
      <c r="M43" s="89">
        <f t="shared" si="77"/>
        <v>0</v>
      </c>
      <c r="N43" s="89">
        <f t="shared" ref="N43:O43" si="78">N21+N42</f>
        <v>29242609000</v>
      </c>
      <c r="O43" s="89">
        <f t="shared" si="78"/>
        <v>1749071000</v>
      </c>
      <c r="P43" s="89">
        <f t="shared" ref="P43" si="79">P21+P42</f>
        <v>0</v>
      </c>
      <c r="Q43" s="89">
        <f t="shared" si="77"/>
        <v>0</v>
      </c>
      <c r="R43" s="89">
        <f t="shared" si="77"/>
        <v>0</v>
      </c>
      <c r="S43" s="89">
        <f t="shared" si="77"/>
        <v>0</v>
      </c>
      <c r="T43" s="89">
        <f t="shared" si="77"/>
        <v>0</v>
      </c>
      <c r="U43" s="89">
        <f t="shared" si="77"/>
        <v>0</v>
      </c>
      <c r="V43" s="89">
        <f t="shared" ref="V43" si="80">V21+V42</f>
        <v>0</v>
      </c>
      <c r="W43" s="89">
        <f t="shared" si="77"/>
        <v>0</v>
      </c>
      <c r="X43" s="89">
        <f t="shared" si="44"/>
        <v>0</v>
      </c>
      <c r="Y43" s="89">
        <f t="shared" ref="Y43:AO43" si="81">Y21+Y42</f>
        <v>7296526000</v>
      </c>
      <c r="Z43" s="89">
        <f t="shared" si="81"/>
        <v>0</v>
      </c>
      <c r="AA43" s="89">
        <f t="shared" si="81"/>
        <v>0</v>
      </c>
      <c r="AB43" s="89">
        <f t="shared" si="81"/>
        <v>1149777000</v>
      </c>
      <c r="AC43" s="89">
        <f t="shared" si="81"/>
        <v>0</v>
      </c>
      <c r="AD43" s="89">
        <f t="shared" si="81"/>
        <v>0</v>
      </c>
      <c r="AE43" s="89">
        <f t="shared" si="81"/>
        <v>0</v>
      </c>
      <c r="AF43" s="89">
        <f t="shared" si="81"/>
        <v>0</v>
      </c>
      <c r="AG43" s="89">
        <f t="shared" si="81"/>
        <v>0</v>
      </c>
      <c r="AH43" s="89">
        <f t="shared" ref="AH43" si="82">AH21+AH42</f>
        <v>0</v>
      </c>
      <c r="AI43" s="89">
        <f t="shared" si="81"/>
        <v>0</v>
      </c>
      <c r="AJ43" s="89">
        <f t="shared" si="81"/>
        <v>0</v>
      </c>
      <c r="AK43" s="89">
        <f t="shared" si="81"/>
        <v>2304822000</v>
      </c>
      <c r="AL43" s="89">
        <f t="shared" si="81"/>
        <v>0</v>
      </c>
      <c r="AM43" s="89">
        <f t="shared" si="81"/>
        <v>7315361000</v>
      </c>
      <c r="AN43" s="89">
        <f t="shared" si="81"/>
        <v>9197905000</v>
      </c>
      <c r="AO43" s="89">
        <f t="shared" si="81"/>
        <v>9257429000</v>
      </c>
      <c r="AP43" s="89">
        <f t="shared" si="45"/>
        <v>36521820000</v>
      </c>
      <c r="AQ43" s="89">
        <f t="shared" si="68"/>
        <v>7296526000</v>
      </c>
      <c r="AR43" s="89">
        <f t="shared" si="68"/>
        <v>0</v>
      </c>
      <c r="AS43" s="89">
        <f t="shared" si="68"/>
        <v>0</v>
      </c>
      <c r="AT43" s="89">
        <f t="shared" si="68"/>
        <v>1149777000</v>
      </c>
      <c r="AU43" s="89">
        <f t="shared" si="68"/>
        <v>0</v>
      </c>
      <c r="AV43" s="89">
        <f t="shared" si="68"/>
        <v>0</v>
      </c>
      <c r="AW43" s="89">
        <f t="shared" si="68"/>
        <v>0</v>
      </c>
      <c r="AX43" s="89">
        <f t="shared" si="53"/>
        <v>29242609000</v>
      </c>
      <c r="AY43" s="89">
        <f t="shared" si="54"/>
        <v>1749071000</v>
      </c>
      <c r="AZ43" s="89">
        <f t="shared" si="54"/>
        <v>0</v>
      </c>
      <c r="BA43" s="89">
        <f t="shared" si="69"/>
        <v>0</v>
      </c>
      <c r="BB43" s="89">
        <f t="shared" si="69"/>
        <v>0</v>
      </c>
      <c r="BC43" s="89">
        <f t="shared" si="69"/>
        <v>2304822000</v>
      </c>
      <c r="BD43" s="89">
        <f t="shared" si="69"/>
        <v>0</v>
      </c>
      <c r="BE43" s="89">
        <f t="shared" si="69"/>
        <v>7315361000</v>
      </c>
      <c r="BF43" s="89">
        <f t="shared" si="69"/>
        <v>9197905000</v>
      </c>
      <c r="BG43" s="89">
        <f t="shared" si="70"/>
        <v>9257429000</v>
      </c>
      <c r="BH43" s="111">
        <f t="shared" si="61"/>
        <v>36521820000</v>
      </c>
    </row>
    <row r="44" spans="1:60">
      <c r="A44" s="51"/>
      <c r="B44" s="108"/>
      <c r="C44" s="52"/>
      <c r="D44" s="52"/>
      <c r="E44" s="52" t="s">
        <v>0</v>
      </c>
      <c r="F44" s="53" t="s">
        <v>47</v>
      </c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2"/>
      <c r="T44" s="52"/>
      <c r="U44" s="52"/>
      <c r="V44" s="52"/>
      <c r="W44" s="52"/>
      <c r="X44" s="91"/>
      <c r="Y44" s="52"/>
      <c r="Z44" s="52"/>
      <c r="AA44" s="52"/>
      <c r="AB44" s="52"/>
      <c r="AC44" s="52"/>
      <c r="AD44" s="52"/>
      <c r="AE44" s="52"/>
      <c r="AF44" s="52"/>
      <c r="AG44" s="52"/>
      <c r="AH44" s="52"/>
      <c r="AI44" s="52"/>
      <c r="AJ44" s="52"/>
      <c r="AK44" s="52"/>
      <c r="AL44" s="52"/>
      <c r="AM44" s="52"/>
      <c r="AN44" s="52"/>
      <c r="AO44" s="52"/>
      <c r="AP44" s="91"/>
      <c r="AQ44" s="91"/>
      <c r="AR44" s="91"/>
      <c r="AS44" s="91"/>
      <c r="AT44" s="91"/>
      <c r="AU44" s="91"/>
      <c r="AV44" s="91"/>
      <c r="AW44" s="91"/>
      <c r="AX44" s="91"/>
      <c r="AY44" s="91"/>
      <c r="AZ44" s="91"/>
      <c r="BA44" s="91"/>
      <c r="BB44" s="91"/>
      <c r="BC44" s="91"/>
      <c r="BD44" s="91"/>
      <c r="BE44" s="91"/>
      <c r="BF44" s="91"/>
      <c r="BG44" s="91"/>
      <c r="BH44" s="112"/>
    </row>
    <row r="45" spans="1:60">
      <c r="A45" s="51"/>
      <c r="B45" s="108"/>
      <c r="C45" s="52" t="s">
        <v>161</v>
      </c>
      <c r="D45" s="52" t="s">
        <v>3</v>
      </c>
      <c r="E45" s="52" t="s">
        <v>0</v>
      </c>
      <c r="F45" s="54" t="s">
        <v>48</v>
      </c>
      <c r="G45" s="83"/>
      <c r="H45" s="55"/>
      <c r="I45" s="55"/>
      <c r="J45" s="55"/>
      <c r="K45" s="55"/>
      <c r="L45" s="55"/>
      <c r="M45" s="55"/>
      <c r="N45" s="55"/>
      <c r="O45" s="55"/>
      <c r="P45" s="89"/>
      <c r="Q45" s="83"/>
      <c r="R45" s="55"/>
      <c r="S45" s="55"/>
      <c r="T45" s="55"/>
      <c r="U45" s="55"/>
      <c r="V45" s="55"/>
      <c r="W45" s="55"/>
      <c r="X45" s="89">
        <f t="shared" ref="X45:X47" si="83">SUM(P45:W45)+SUM(G45:K45)</f>
        <v>0</v>
      </c>
      <c r="Y45" s="83"/>
      <c r="Z45" s="55"/>
      <c r="AA45" s="55"/>
      <c r="AB45" s="55"/>
      <c r="AC45" s="55"/>
      <c r="AD45" s="55"/>
      <c r="AE45" s="55"/>
      <c r="AF45" s="55"/>
      <c r="AG45" s="55"/>
      <c r="AH45" s="89"/>
      <c r="AI45" s="83"/>
      <c r="AJ45" s="55"/>
      <c r="AK45" s="55"/>
      <c r="AL45" s="55"/>
      <c r="AM45" s="55"/>
      <c r="AN45" s="55"/>
      <c r="AO45" s="55"/>
      <c r="AP45" s="89">
        <f t="shared" ref="AP45:AP47" si="84">SUM(AH45:AO45)+SUM(Y45:AC45)</f>
        <v>0</v>
      </c>
      <c r="AQ45" s="89">
        <f t="shared" ref="AQ45:AQ47" si="85">G45+Y45</f>
        <v>0</v>
      </c>
      <c r="AR45" s="89">
        <f t="shared" ref="AR45:AR47" si="86">H45+Z45</f>
        <v>0</v>
      </c>
      <c r="AS45" s="89">
        <f t="shared" ref="AS45:AS47" si="87">I45+AA45</f>
        <v>0</v>
      </c>
      <c r="AT45" s="89">
        <f t="shared" ref="AT45:AT47" si="88">J45+AB45</f>
        <v>0</v>
      </c>
      <c r="AU45" s="89">
        <f t="shared" ref="AU45:AU47" si="89">K45+AC45</f>
        <v>0</v>
      </c>
      <c r="AV45" s="89">
        <f t="shared" ref="AV45:AV47" si="90">L45+AD45</f>
        <v>0</v>
      </c>
      <c r="AW45" s="89">
        <f t="shared" ref="AW45:AW47" si="91">M45+AE45</f>
        <v>0</v>
      </c>
      <c r="AX45" s="89">
        <f t="shared" ref="AX45:AX47" si="92">N45+AF45</f>
        <v>0</v>
      </c>
      <c r="AY45" s="89">
        <f t="shared" ref="AY45:AZ47" si="93">O45+AG45</f>
        <v>0</v>
      </c>
      <c r="AZ45" s="89">
        <f t="shared" si="93"/>
        <v>0</v>
      </c>
      <c r="BA45" s="89">
        <f t="shared" ref="BA45:BA47" si="94">Q45+AI45</f>
        <v>0</v>
      </c>
      <c r="BB45" s="89">
        <f t="shared" ref="BB45:BB47" si="95">R45+AJ45</f>
        <v>0</v>
      </c>
      <c r="BC45" s="89">
        <f t="shared" ref="BC45:BC47" si="96">S45+AK45</f>
        <v>0</v>
      </c>
      <c r="BD45" s="89">
        <f t="shared" ref="BD45:BD47" si="97">T45+AL45</f>
        <v>0</v>
      </c>
      <c r="BE45" s="89">
        <f t="shared" ref="BE45:BF47" si="98">U45+AM45</f>
        <v>0</v>
      </c>
      <c r="BF45" s="89">
        <f t="shared" si="98"/>
        <v>0</v>
      </c>
      <c r="BG45" s="89">
        <f t="shared" ref="BG45:BG47" si="99">W45+AO45</f>
        <v>0</v>
      </c>
      <c r="BH45" s="111">
        <f t="shared" ref="BH45:BH47" si="100">SUM(AZ45:BG45)+SUM(AQ45:AU45)</f>
        <v>0</v>
      </c>
    </row>
    <row r="46" spans="1:60">
      <c r="A46" s="51"/>
      <c r="B46" s="108"/>
      <c r="C46" s="52" t="s">
        <v>162</v>
      </c>
      <c r="D46" s="52" t="s">
        <v>3</v>
      </c>
      <c r="E46" s="52" t="s">
        <v>0</v>
      </c>
      <c r="F46" s="54" t="s">
        <v>49</v>
      </c>
      <c r="G46" s="83"/>
      <c r="H46" s="55"/>
      <c r="I46" s="55"/>
      <c r="J46" s="55"/>
      <c r="K46" s="55"/>
      <c r="L46" s="55"/>
      <c r="M46" s="55"/>
      <c r="N46" s="55"/>
      <c r="O46" s="55"/>
      <c r="P46" s="89"/>
      <c r="Q46" s="83"/>
      <c r="R46" s="55"/>
      <c r="S46" s="55"/>
      <c r="T46" s="55"/>
      <c r="U46" s="55"/>
      <c r="V46" s="55"/>
      <c r="W46" s="55"/>
      <c r="X46" s="89">
        <f t="shared" si="83"/>
        <v>0</v>
      </c>
      <c r="Y46" s="83"/>
      <c r="Z46" s="55"/>
      <c r="AA46" s="55"/>
      <c r="AB46" s="55"/>
      <c r="AC46" s="55"/>
      <c r="AD46" s="55"/>
      <c r="AE46" s="55"/>
      <c r="AF46" s="55"/>
      <c r="AG46" s="55"/>
      <c r="AH46" s="89"/>
      <c r="AI46" s="83"/>
      <c r="AJ46" s="55"/>
      <c r="AK46" s="55"/>
      <c r="AL46" s="55"/>
      <c r="AM46" s="55"/>
      <c r="AN46" s="55"/>
      <c r="AO46" s="55"/>
      <c r="AP46" s="89">
        <f t="shared" si="84"/>
        <v>0</v>
      </c>
      <c r="AQ46" s="89">
        <f t="shared" si="85"/>
        <v>0</v>
      </c>
      <c r="AR46" s="89">
        <f t="shared" si="86"/>
        <v>0</v>
      </c>
      <c r="AS46" s="89">
        <f t="shared" si="87"/>
        <v>0</v>
      </c>
      <c r="AT46" s="89">
        <f t="shared" si="88"/>
        <v>0</v>
      </c>
      <c r="AU46" s="89">
        <f t="shared" si="89"/>
        <v>0</v>
      </c>
      <c r="AV46" s="89">
        <f t="shared" si="90"/>
        <v>0</v>
      </c>
      <c r="AW46" s="89">
        <f t="shared" si="91"/>
        <v>0</v>
      </c>
      <c r="AX46" s="89">
        <f t="shared" si="92"/>
        <v>0</v>
      </c>
      <c r="AY46" s="89">
        <f t="shared" si="93"/>
        <v>0</v>
      </c>
      <c r="AZ46" s="89">
        <f t="shared" si="93"/>
        <v>0</v>
      </c>
      <c r="BA46" s="89">
        <f t="shared" si="94"/>
        <v>0</v>
      </c>
      <c r="BB46" s="89">
        <f t="shared" si="95"/>
        <v>0</v>
      </c>
      <c r="BC46" s="89">
        <f t="shared" si="96"/>
        <v>0</v>
      </c>
      <c r="BD46" s="89">
        <f t="shared" si="97"/>
        <v>0</v>
      </c>
      <c r="BE46" s="89">
        <f t="shared" si="98"/>
        <v>0</v>
      </c>
      <c r="BF46" s="89">
        <f t="shared" si="98"/>
        <v>0</v>
      </c>
      <c r="BG46" s="89">
        <f t="shared" si="99"/>
        <v>0</v>
      </c>
      <c r="BH46" s="111">
        <f t="shared" si="100"/>
        <v>0</v>
      </c>
    </row>
    <row r="47" spans="1:60">
      <c r="A47" s="51"/>
      <c r="B47" s="108"/>
      <c r="C47" s="52" t="s">
        <v>163</v>
      </c>
      <c r="D47" s="52" t="s">
        <v>3</v>
      </c>
      <c r="E47" s="52" t="s">
        <v>0</v>
      </c>
      <c r="F47" s="54" t="s">
        <v>50</v>
      </c>
      <c r="G47" s="83"/>
      <c r="H47" s="55"/>
      <c r="I47" s="55"/>
      <c r="J47" s="55"/>
      <c r="K47" s="55"/>
      <c r="L47" s="55"/>
      <c r="M47" s="55"/>
      <c r="N47" s="55"/>
      <c r="O47" s="55"/>
      <c r="P47" s="89"/>
      <c r="Q47" s="83"/>
      <c r="R47" s="55"/>
      <c r="S47" s="55"/>
      <c r="T47" s="55"/>
      <c r="U47" s="55"/>
      <c r="V47" s="55"/>
      <c r="W47" s="55"/>
      <c r="X47" s="89">
        <f t="shared" si="83"/>
        <v>0</v>
      </c>
      <c r="Y47" s="83"/>
      <c r="Z47" s="55"/>
      <c r="AA47" s="55"/>
      <c r="AB47" s="55"/>
      <c r="AC47" s="55"/>
      <c r="AD47" s="55"/>
      <c r="AE47" s="55"/>
      <c r="AF47" s="55"/>
      <c r="AG47" s="55"/>
      <c r="AH47" s="89"/>
      <c r="AI47" s="83"/>
      <c r="AJ47" s="55"/>
      <c r="AK47" s="55"/>
      <c r="AL47" s="55"/>
      <c r="AM47" s="55"/>
      <c r="AN47" s="55"/>
      <c r="AO47" s="55"/>
      <c r="AP47" s="89">
        <f t="shared" si="84"/>
        <v>0</v>
      </c>
      <c r="AQ47" s="89">
        <f t="shared" si="85"/>
        <v>0</v>
      </c>
      <c r="AR47" s="89">
        <f t="shared" si="86"/>
        <v>0</v>
      </c>
      <c r="AS47" s="89">
        <f t="shared" si="87"/>
        <v>0</v>
      </c>
      <c r="AT47" s="89">
        <f t="shared" si="88"/>
        <v>0</v>
      </c>
      <c r="AU47" s="89">
        <f t="shared" si="89"/>
        <v>0</v>
      </c>
      <c r="AV47" s="89">
        <f t="shared" si="90"/>
        <v>0</v>
      </c>
      <c r="AW47" s="89">
        <f t="shared" si="91"/>
        <v>0</v>
      </c>
      <c r="AX47" s="89">
        <f t="shared" si="92"/>
        <v>0</v>
      </c>
      <c r="AY47" s="89">
        <f t="shared" si="93"/>
        <v>0</v>
      </c>
      <c r="AZ47" s="89">
        <f t="shared" si="93"/>
        <v>0</v>
      </c>
      <c r="BA47" s="89">
        <f t="shared" si="94"/>
        <v>0</v>
      </c>
      <c r="BB47" s="89">
        <f t="shared" si="95"/>
        <v>0</v>
      </c>
      <c r="BC47" s="89">
        <f t="shared" si="96"/>
        <v>0</v>
      </c>
      <c r="BD47" s="89">
        <f t="shared" si="97"/>
        <v>0</v>
      </c>
      <c r="BE47" s="89">
        <f t="shared" si="98"/>
        <v>0</v>
      </c>
      <c r="BF47" s="89">
        <f t="shared" si="98"/>
        <v>0</v>
      </c>
      <c r="BG47" s="89">
        <f t="shared" si="99"/>
        <v>0</v>
      </c>
      <c r="BH47" s="111">
        <f t="shared" si="100"/>
        <v>0</v>
      </c>
    </row>
    <row r="48" spans="1:60">
      <c r="A48" s="51"/>
      <c r="B48" s="108"/>
      <c r="C48" s="52"/>
      <c r="D48" s="52"/>
      <c r="E48" s="52"/>
      <c r="F48" s="53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109"/>
    </row>
    <row r="49" spans="1:60">
      <c r="A49" s="51"/>
      <c r="B49" s="108"/>
      <c r="C49" s="52"/>
      <c r="D49" s="52"/>
      <c r="E49" s="52"/>
      <c r="F49" s="53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2"/>
      <c r="V49" s="52"/>
      <c r="W49" s="52"/>
      <c r="X49" s="52"/>
      <c r="Y49" s="52"/>
      <c r="Z49" s="52"/>
      <c r="AA49" s="52"/>
      <c r="AB49" s="52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109"/>
    </row>
    <row r="50" spans="1:60" ht="22.5" customHeight="1">
      <c r="B50" s="105"/>
      <c r="C50" s="106"/>
      <c r="D50" s="106"/>
      <c r="E50" s="106"/>
      <c r="F50" s="50" t="s">
        <v>5</v>
      </c>
      <c r="G50" s="106"/>
      <c r="H50" s="106"/>
      <c r="I50" s="106"/>
      <c r="J50" s="106"/>
      <c r="K50" s="106"/>
      <c r="L50" s="106"/>
      <c r="M50" s="106"/>
      <c r="N50" s="106"/>
      <c r="O50" s="106"/>
      <c r="P50" s="106"/>
      <c r="Q50" s="106"/>
      <c r="R50" s="106"/>
      <c r="S50" s="106"/>
      <c r="T50" s="106"/>
      <c r="U50" s="106"/>
      <c r="V50" s="106"/>
      <c r="W50" s="106"/>
      <c r="X50" s="106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/>
      <c r="AM50" s="106"/>
      <c r="AN50" s="106"/>
      <c r="AO50" s="106"/>
      <c r="AP50" s="106"/>
      <c r="AQ50" s="106"/>
      <c r="AR50" s="106"/>
      <c r="AS50" s="106"/>
      <c r="AT50" s="106"/>
      <c r="AU50" s="106"/>
      <c r="AV50" s="106"/>
      <c r="AW50" s="106"/>
      <c r="AX50" s="106"/>
      <c r="AY50" s="106"/>
      <c r="AZ50" s="106"/>
      <c r="BA50" s="106"/>
      <c r="BB50" s="106"/>
      <c r="BC50" s="106"/>
      <c r="BD50" s="106"/>
      <c r="BE50" s="106"/>
      <c r="BF50" s="106"/>
      <c r="BG50" s="106"/>
      <c r="BH50" s="107"/>
    </row>
    <row r="51" spans="1:60">
      <c r="A51" s="51"/>
      <c r="B51" s="108"/>
      <c r="C51" s="52"/>
      <c r="D51" s="52"/>
      <c r="E51" s="52"/>
      <c r="F51" s="53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109"/>
    </row>
    <row r="52" spans="1:60">
      <c r="A52" s="51"/>
      <c r="B52" s="108"/>
      <c r="C52" s="133" t="s">
        <v>192</v>
      </c>
      <c r="D52" s="133" t="s">
        <v>93</v>
      </c>
      <c r="E52" s="133" t="s">
        <v>0</v>
      </c>
      <c r="F52" s="134" t="s">
        <v>196</v>
      </c>
      <c r="G52" s="55"/>
      <c r="H52" s="55"/>
      <c r="I52" s="55"/>
      <c r="J52" s="55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  <c r="AA52" s="55"/>
      <c r="AB52" s="55"/>
      <c r="AC52" s="55"/>
      <c r="AD52" s="55"/>
      <c r="AE52" s="55"/>
      <c r="AF52" s="55"/>
      <c r="AG52" s="55"/>
      <c r="AH52" s="55"/>
      <c r="AI52" s="55"/>
      <c r="AJ52" s="55"/>
      <c r="AK52" s="55"/>
      <c r="AL52" s="55"/>
      <c r="AM52" s="55"/>
      <c r="AN52" s="55"/>
      <c r="AO52" s="55"/>
      <c r="AP52" s="55"/>
      <c r="AQ52" s="55"/>
      <c r="AR52" s="55"/>
      <c r="AS52" s="55"/>
      <c r="AT52" s="55"/>
      <c r="AU52" s="55"/>
      <c r="AV52" s="55"/>
      <c r="AW52" s="55"/>
      <c r="AX52" s="55"/>
      <c r="AY52" s="55"/>
      <c r="AZ52" s="55"/>
      <c r="BA52" s="55"/>
      <c r="BB52" s="55"/>
      <c r="BC52" s="55"/>
      <c r="BD52" s="55"/>
      <c r="BE52" s="55"/>
      <c r="BF52" s="55"/>
      <c r="BG52" s="55"/>
      <c r="BH52" s="110"/>
    </row>
    <row r="53" spans="1:60" ht="22.5">
      <c r="A53" s="51"/>
      <c r="B53" s="108"/>
      <c r="C53" s="133" t="s">
        <v>193</v>
      </c>
      <c r="D53" s="133" t="s">
        <v>93</v>
      </c>
      <c r="E53" s="133" t="s">
        <v>0</v>
      </c>
      <c r="F53" s="134" t="s">
        <v>197</v>
      </c>
      <c r="G53" s="55"/>
      <c r="H53" s="55"/>
      <c r="I53" s="55"/>
      <c r="J53" s="55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  <c r="AA53" s="55"/>
      <c r="AB53" s="55"/>
      <c r="AC53" s="55"/>
      <c r="AD53" s="55"/>
      <c r="AE53" s="55"/>
      <c r="AF53" s="55"/>
      <c r="AG53" s="55"/>
      <c r="AH53" s="55"/>
      <c r="AI53" s="55"/>
      <c r="AJ53" s="55"/>
      <c r="AK53" s="55"/>
      <c r="AL53" s="55"/>
      <c r="AM53" s="55"/>
      <c r="AN53" s="55"/>
      <c r="AO53" s="55"/>
      <c r="AP53" s="55"/>
      <c r="AQ53" s="55"/>
      <c r="AR53" s="55"/>
      <c r="AS53" s="55"/>
      <c r="AT53" s="55"/>
      <c r="AU53" s="55"/>
      <c r="AV53" s="55"/>
      <c r="AW53" s="55"/>
      <c r="AX53" s="55"/>
      <c r="AY53" s="55"/>
      <c r="AZ53" s="55"/>
      <c r="BA53" s="55"/>
      <c r="BB53" s="55"/>
      <c r="BC53" s="55"/>
      <c r="BD53" s="55"/>
      <c r="BE53" s="55"/>
      <c r="BF53" s="55"/>
      <c r="BG53" s="55"/>
      <c r="BH53" s="110"/>
    </row>
    <row r="54" spans="1:60" ht="22.5">
      <c r="A54" s="51"/>
      <c r="B54" s="108"/>
      <c r="C54" s="133" t="s">
        <v>194</v>
      </c>
      <c r="D54" s="133" t="s">
        <v>93</v>
      </c>
      <c r="E54" s="133" t="s">
        <v>0</v>
      </c>
      <c r="F54" s="134" t="s">
        <v>198</v>
      </c>
      <c r="G54" s="55"/>
      <c r="H54" s="55"/>
      <c r="I54" s="55"/>
      <c r="J54" s="55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  <c r="AA54" s="55"/>
      <c r="AB54" s="55"/>
      <c r="AC54" s="55"/>
      <c r="AD54" s="55"/>
      <c r="AE54" s="55"/>
      <c r="AF54" s="55"/>
      <c r="AG54" s="55"/>
      <c r="AH54" s="55"/>
      <c r="AI54" s="55"/>
      <c r="AJ54" s="55"/>
      <c r="AK54" s="55"/>
      <c r="AL54" s="55"/>
      <c r="AM54" s="55"/>
      <c r="AN54" s="55"/>
      <c r="AO54" s="55"/>
      <c r="AP54" s="55"/>
      <c r="AQ54" s="55"/>
      <c r="AR54" s="55"/>
      <c r="AS54" s="55"/>
      <c r="AT54" s="55"/>
      <c r="AU54" s="55"/>
      <c r="AV54" s="55"/>
      <c r="AW54" s="55"/>
      <c r="AX54" s="55"/>
      <c r="AY54" s="55"/>
      <c r="AZ54" s="55"/>
      <c r="BA54" s="55"/>
      <c r="BB54" s="55"/>
      <c r="BC54" s="55"/>
      <c r="BD54" s="55"/>
      <c r="BE54" s="55"/>
      <c r="BF54" s="55"/>
      <c r="BG54" s="55"/>
      <c r="BH54" s="110"/>
    </row>
    <row r="55" spans="1:60">
      <c r="A55" s="51"/>
      <c r="B55" s="108"/>
      <c r="C55" s="133" t="s">
        <v>195</v>
      </c>
      <c r="D55" s="133" t="s">
        <v>93</v>
      </c>
      <c r="E55" s="133" t="s">
        <v>0</v>
      </c>
      <c r="F55" s="134" t="s">
        <v>199</v>
      </c>
      <c r="G55" s="55"/>
      <c r="H55" s="55"/>
      <c r="I55" s="55"/>
      <c r="J55" s="55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  <c r="AA55" s="55"/>
      <c r="AB55" s="55"/>
      <c r="AC55" s="55"/>
      <c r="AD55" s="55"/>
      <c r="AE55" s="55"/>
      <c r="AF55" s="55"/>
      <c r="AG55" s="55"/>
      <c r="AH55" s="55"/>
      <c r="AI55" s="55"/>
      <c r="AJ55" s="55"/>
      <c r="AK55" s="55"/>
      <c r="AL55" s="55"/>
      <c r="AM55" s="55"/>
      <c r="AN55" s="55"/>
      <c r="AO55" s="55"/>
      <c r="AP55" s="55"/>
      <c r="AQ55" s="55"/>
      <c r="AR55" s="55"/>
      <c r="AS55" s="55"/>
      <c r="AT55" s="55"/>
      <c r="AU55" s="55"/>
      <c r="AV55" s="55"/>
      <c r="AW55" s="55"/>
      <c r="AX55" s="55"/>
      <c r="AY55" s="55"/>
      <c r="AZ55" s="55"/>
      <c r="BA55" s="55"/>
      <c r="BB55" s="55"/>
      <c r="BC55" s="55"/>
      <c r="BD55" s="55"/>
      <c r="BE55" s="55"/>
      <c r="BF55" s="55"/>
      <c r="BG55" s="55"/>
      <c r="BH55" s="110"/>
    </row>
    <row r="56" spans="1:60" ht="22.5">
      <c r="A56" s="51"/>
      <c r="B56" s="108"/>
      <c r="C56" s="52" t="s">
        <v>139</v>
      </c>
      <c r="D56" s="52" t="s">
        <v>93</v>
      </c>
      <c r="E56" s="52" t="s">
        <v>0</v>
      </c>
      <c r="F56" s="54" t="s">
        <v>24</v>
      </c>
      <c r="G56" s="55"/>
      <c r="H56" s="55"/>
      <c r="I56" s="55"/>
      <c r="J56" s="55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  <c r="AA56" s="55"/>
      <c r="AB56" s="55"/>
      <c r="AC56" s="55"/>
      <c r="AD56" s="55"/>
      <c r="AE56" s="55"/>
      <c r="AF56" s="55"/>
      <c r="AG56" s="55"/>
      <c r="AH56" s="55"/>
      <c r="AI56" s="55"/>
      <c r="AJ56" s="55"/>
      <c r="AK56" s="55"/>
      <c r="AL56" s="55"/>
      <c r="AM56" s="55"/>
      <c r="AN56" s="55"/>
      <c r="AO56" s="55"/>
      <c r="AP56" s="55"/>
      <c r="AQ56" s="55"/>
      <c r="AR56" s="55"/>
      <c r="AS56" s="55"/>
      <c r="AT56" s="55"/>
      <c r="AU56" s="55"/>
      <c r="AV56" s="55"/>
      <c r="AW56" s="55"/>
      <c r="AX56" s="55"/>
      <c r="AY56" s="55"/>
      <c r="AZ56" s="55"/>
      <c r="BA56" s="55"/>
      <c r="BB56" s="55"/>
      <c r="BC56" s="55"/>
      <c r="BD56" s="55"/>
      <c r="BE56" s="55"/>
      <c r="BF56" s="55"/>
      <c r="BG56" s="55"/>
      <c r="BH56" s="110"/>
    </row>
    <row r="57" spans="1:60">
      <c r="A57" s="51"/>
      <c r="B57" s="108"/>
      <c r="C57" s="52" t="s">
        <v>140</v>
      </c>
      <c r="D57" s="52" t="s">
        <v>93</v>
      </c>
      <c r="E57" s="52" t="s">
        <v>0</v>
      </c>
      <c r="F57" s="54" t="s">
        <v>25</v>
      </c>
      <c r="G57" s="55"/>
      <c r="H57" s="55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  <c r="AA57" s="55"/>
      <c r="AB57" s="55"/>
      <c r="AC57" s="55"/>
      <c r="AD57" s="55"/>
      <c r="AE57" s="55"/>
      <c r="AF57" s="55"/>
      <c r="AG57" s="55"/>
      <c r="AH57" s="55"/>
      <c r="AI57" s="55"/>
      <c r="AJ57" s="55"/>
      <c r="AK57" s="55"/>
      <c r="AL57" s="55"/>
      <c r="AM57" s="55"/>
      <c r="AN57" s="55"/>
      <c r="AO57" s="55"/>
      <c r="AP57" s="55"/>
      <c r="AQ57" s="55"/>
      <c r="AR57" s="55"/>
      <c r="AS57" s="55"/>
      <c r="AT57" s="55"/>
      <c r="AU57" s="55"/>
      <c r="AV57" s="55"/>
      <c r="AW57" s="55"/>
      <c r="AX57" s="55"/>
      <c r="AY57" s="55"/>
      <c r="AZ57" s="55"/>
      <c r="BA57" s="55"/>
      <c r="BB57" s="55"/>
      <c r="BC57" s="55"/>
      <c r="BD57" s="55"/>
      <c r="BE57" s="55"/>
      <c r="BF57" s="55"/>
      <c r="BG57" s="55"/>
      <c r="BH57" s="110"/>
    </row>
    <row r="58" spans="1:60">
      <c r="A58" s="51"/>
      <c r="B58" s="108"/>
      <c r="C58" s="52" t="s">
        <v>141</v>
      </c>
      <c r="D58" s="52" t="s">
        <v>93</v>
      </c>
      <c r="E58" s="52" t="s">
        <v>0</v>
      </c>
      <c r="F58" s="54" t="s">
        <v>26</v>
      </c>
      <c r="G58" s="55"/>
      <c r="H58" s="55"/>
      <c r="I58" s="55"/>
      <c r="J58" s="55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  <c r="AA58" s="55"/>
      <c r="AB58" s="55"/>
      <c r="AC58" s="55"/>
      <c r="AD58" s="55"/>
      <c r="AE58" s="55"/>
      <c r="AF58" s="55"/>
      <c r="AG58" s="55"/>
      <c r="AH58" s="55"/>
      <c r="AI58" s="55"/>
      <c r="AJ58" s="55"/>
      <c r="AK58" s="55"/>
      <c r="AL58" s="55"/>
      <c r="AM58" s="55"/>
      <c r="AN58" s="55"/>
      <c r="AO58" s="55"/>
      <c r="AP58" s="55"/>
      <c r="AQ58" s="55"/>
      <c r="AR58" s="55"/>
      <c r="AS58" s="55"/>
      <c r="AT58" s="55"/>
      <c r="AU58" s="55"/>
      <c r="AV58" s="55"/>
      <c r="AW58" s="55"/>
      <c r="AX58" s="55"/>
      <c r="AY58" s="55"/>
      <c r="AZ58" s="55"/>
      <c r="BA58" s="55"/>
      <c r="BB58" s="55"/>
      <c r="BC58" s="55"/>
      <c r="BD58" s="55"/>
      <c r="BE58" s="55"/>
      <c r="BF58" s="55"/>
      <c r="BG58" s="55"/>
      <c r="BH58" s="110"/>
    </row>
    <row r="59" spans="1:60">
      <c r="A59" s="51"/>
      <c r="B59" s="108"/>
      <c r="C59" s="52"/>
      <c r="D59" s="52"/>
      <c r="E59" s="52" t="s">
        <v>0</v>
      </c>
      <c r="F59" s="53" t="s">
        <v>27</v>
      </c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2"/>
      <c r="T59" s="52"/>
      <c r="U59" s="52"/>
      <c r="V59" s="52"/>
      <c r="W59" s="52"/>
      <c r="X59" s="52"/>
      <c r="Y59" s="52"/>
      <c r="Z59" s="52"/>
      <c r="AA59" s="52"/>
      <c r="AB59" s="52"/>
      <c r="AC59" s="52"/>
      <c r="AD59" s="52"/>
      <c r="AE59" s="52"/>
      <c r="AF59" s="52"/>
      <c r="AG59" s="52"/>
      <c r="AH59" s="52"/>
      <c r="AI59" s="52"/>
      <c r="AJ59" s="52"/>
      <c r="AK59" s="52"/>
      <c r="AL59" s="52"/>
      <c r="AM59" s="52"/>
      <c r="AN59" s="52"/>
      <c r="AO59" s="52"/>
      <c r="AP59" s="52"/>
      <c r="AQ59" s="52"/>
      <c r="AR59" s="52"/>
      <c r="AS59" s="52"/>
      <c r="AT59" s="52"/>
      <c r="AU59" s="52"/>
      <c r="AV59" s="52"/>
      <c r="AW59" s="52"/>
      <c r="AX59" s="52"/>
      <c r="AY59" s="52"/>
      <c r="AZ59" s="52"/>
      <c r="BA59" s="52"/>
      <c r="BB59" s="52"/>
      <c r="BC59" s="52"/>
      <c r="BD59" s="52"/>
      <c r="BE59" s="52"/>
      <c r="BF59" s="52"/>
      <c r="BG59" s="52"/>
      <c r="BH59" s="109"/>
    </row>
    <row r="60" spans="1:60">
      <c r="A60" s="51" t="s">
        <v>52</v>
      </c>
      <c r="B60" s="108"/>
      <c r="C60" s="52" t="s">
        <v>142</v>
      </c>
      <c r="D60" s="52" t="s">
        <v>9</v>
      </c>
      <c r="E60" s="52" t="s">
        <v>0</v>
      </c>
      <c r="F60" s="53" t="s">
        <v>187</v>
      </c>
      <c r="G60" s="83"/>
      <c r="H60" s="83"/>
      <c r="I60" s="83"/>
      <c r="J60" s="83"/>
      <c r="K60" s="83"/>
      <c r="L60" s="83"/>
      <c r="M60" s="83"/>
      <c r="N60" s="83">
        <v>20281948000</v>
      </c>
      <c r="O60" s="83">
        <v>863172000</v>
      </c>
      <c r="P60" s="89"/>
      <c r="Q60" s="83"/>
      <c r="R60" s="83"/>
      <c r="S60" s="83"/>
      <c r="T60" s="83"/>
      <c r="U60" s="83"/>
      <c r="V60" s="83"/>
      <c r="W60" s="83"/>
      <c r="X60" s="89">
        <f>SUM(P60:W60)+SUM(G60:K60)</f>
        <v>0</v>
      </c>
      <c r="Y60" s="83">
        <v>5305309000</v>
      </c>
      <c r="Z60" s="83"/>
      <c r="AA60" s="83"/>
      <c r="AB60" s="83">
        <v>863172000</v>
      </c>
      <c r="AC60" s="83"/>
      <c r="AD60" s="83"/>
      <c r="AE60" s="83">
        <v>9620183000</v>
      </c>
      <c r="AF60" s="83"/>
      <c r="AG60" s="83"/>
      <c r="AH60" s="89"/>
      <c r="AI60" s="83"/>
      <c r="AJ60" s="83"/>
      <c r="AK60" s="83"/>
      <c r="AL60" s="83"/>
      <c r="AM60" s="83"/>
      <c r="AN60" s="83">
        <v>8819484000</v>
      </c>
      <c r="AO60" s="83">
        <v>8819484000</v>
      </c>
      <c r="AP60" s="89">
        <f>SUM(AH60:AO60)+SUM(Y60:AC60)</f>
        <v>23807449000</v>
      </c>
      <c r="AQ60" s="89">
        <f t="shared" ref="AQ60:AW60" si="101">G60+Y60</f>
        <v>5305309000</v>
      </c>
      <c r="AR60" s="89">
        <f t="shared" si="101"/>
        <v>0</v>
      </c>
      <c r="AS60" s="89">
        <f t="shared" si="101"/>
        <v>0</v>
      </c>
      <c r="AT60" s="89">
        <f t="shared" si="101"/>
        <v>863172000</v>
      </c>
      <c r="AU60" s="89">
        <f t="shared" si="101"/>
        <v>0</v>
      </c>
      <c r="AV60" s="89">
        <f t="shared" si="101"/>
        <v>0</v>
      </c>
      <c r="AW60" s="89">
        <f t="shared" si="101"/>
        <v>9620183000</v>
      </c>
      <c r="AX60" s="89">
        <f t="shared" ref="AX60" si="102">N60+AF60</f>
        <v>20281948000</v>
      </c>
      <c r="AY60" s="89">
        <f t="shared" ref="AY60:AZ60" si="103">O60+AG60</f>
        <v>863172000</v>
      </c>
      <c r="AZ60" s="89">
        <f t="shared" si="103"/>
        <v>0</v>
      </c>
      <c r="BA60" s="89">
        <f t="shared" ref="BA60:BF60" si="104">Q60+AI60</f>
        <v>0</v>
      </c>
      <c r="BB60" s="89">
        <f t="shared" si="104"/>
        <v>0</v>
      </c>
      <c r="BC60" s="89">
        <f t="shared" si="104"/>
        <v>0</v>
      </c>
      <c r="BD60" s="89">
        <f t="shared" si="104"/>
        <v>0</v>
      </c>
      <c r="BE60" s="89">
        <f t="shared" si="104"/>
        <v>0</v>
      </c>
      <c r="BF60" s="89">
        <f t="shared" si="104"/>
        <v>8819484000</v>
      </c>
      <c r="BG60" s="89">
        <f>W60+AO60</f>
        <v>8819484000</v>
      </c>
      <c r="BH60" s="111">
        <f>X60+AP60</f>
        <v>23807449000</v>
      </c>
    </row>
    <row r="61" spans="1:60">
      <c r="A61" s="51"/>
      <c r="B61" s="108"/>
      <c r="C61" s="52"/>
      <c r="D61" s="52" t="s">
        <v>0</v>
      </c>
      <c r="E61" s="52" t="s">
        <v>0</v>
      </c>
      <c r="F61" s="53" t="s">
        <v>29</v>
      </c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2"/>
      <c r="V61" s="52"/>
      <c r="W61" s="52"/>
      <c r="X61" s="91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91"/>
      <c r="AQ61" s="91"/>
      <c r="AR61" s="91"/>
      <c r="AS61" s="91"/>
      <c r="AT61" s="91"/>
      <c r="AU61" s="91"/>
      <c r="AV61" s="91"/>
      <c r="AW61" s="91"/>
      <c r="AX61" s="91"/>
      <c r="AY61" s="91"/>
      <c r="AZ61" s="91"/>
      <c r="BA61" s="91"/>
      <c r="BB61" s="91"/>
      <c r="BC61" s="91"/>
      <c r="BD61" s="91"/>
      <c r="BE61" s="91"/>
      <c r="BF61" s="91"/>
      <c r="BG61" s="91"/>
      <c r="BH61" s="112"/>
    </row>
    <row r="62" spans="1:60" ht="22.5">
      <c r="A62" s="51"/>
      <c r="B62" s="108"/>
      <c r="C62" s="52" t="s">
        <v>143</v>
      </c>
      <c r="D62" s="52" t="s">
        <v>93</v>
      </c>
      <c r="E62" s="52" t="s">
        <v>0</v>
      </c>
      <c r="F62" s="54" t="s">
        <v>30</v>
      </c>
      <c r="G62" s="83"/>
      <c r="H62" s="83"/>
      <c r="I62" s="83"/>
      <c r="J62" s="83"/>
      <c r="K62" s="83"/>
      <c r="L62" s="83"/>
      <c r="M62" s="83"/>
      <c r="N62" s="83"/>
      <c r="O62" s="83"/>
      <c r="P62" s="89"/>
      <c r="Q62" s="83"/>
      <c r="R62" s="83"/>
      <c r="S62" s="83"/>
      <c r="T62" s="83"/>
      <c r="U62" s="83"/>
      <c r="V62" s="83"/>
      <c r="W62" s="83"/>
      <c r="X62" s="89">
        <f t="shared" ref="X62:X70" si="105">SUM(P62:W62)+SUM(G62:K62)</f>
        <v>0</v>
      </c>
      <c r="Y62" s="83"/>
      <c r="Z62" s="83"/>
      <c r="AA62" s="83"/>
      <c r="AB62" s="83"/>
      <c r="AC62" s="83"/>
      <c r="AD62" s="83"/>
      <c r="AE62" s="83"/>
      <c r="AF62" s="83"/>
      <c r="AG62" s="83"/>
      <c r="AH62" s="89"/>
      <c r="AI62" s="83"/>
      <c r="AJ62" s="83"/>
      <c r="AK62" s="83"/>
      <c r="AL62" s="83"/>
      <c r="AM62" s="83"/>
      <c r="AN62" s="83"/>
      <c r="AO62" s="83"/>
      <c r="AP62" s="89">
        <f t="shared" ref="AP62:AP70" si="106">SUM(AH62:AO62)+SUM(Y62:AC62)</f>
        <v>0</v>
      </c>
      <c r="AQ62" s="89">
        <f t="shared" ref="AQ62:AQ70" si="107">G62+Y62</f>
        <v>0</v>
      </c>
      <c r="AR62" s="89">
        <f t="shared" ref="AR62:AR70" si="108">H62+Z62</f>
        <v>0</v>
      </c>
      <c r="AS62" s="89">
        <f t="shared" ref="AS62:AS70" si="109">I62+AA62</f>
        <v>0</v>
      </c>
      <c r="AT62" s="89">
        <f t="shared" ref="AT62:AT70" si="110">J62+AB62</f>
        <v>0</v>
      </c>
      <c r="AU62" s="89">
        <f t="shared" ref="AU62:AU70" si="111">K62+AC62</f>
        <v>0</v>
      </c>
      <c r="AV62" s="89">
        <f t="shared" ref="AV62:AV70" si="112">L62+AD62</f>
        <v>0</v>
      </c>
      <c r="AW62" s="89">
        <f t="shared" ref="AW62:AW70" si="113">M62+AE62</f>
        <v>0</v>
      </c>
      <c r="AX62" s="89">
        <f t="shared" ref="AX62:AX70" si="114">N62+AF62</f>
        <v>0</v>
      </c>
      <c r="AY62" s="89">
        <f t="shared" ref="AY62:AZ70" si="115">O62+AG62</f>
        <v>0</v>
      </c>
      <c r="AZ62" s="89">
        <f t="shared" si="115"/>
        <v>0</v>
      </c>
      <c r="BA62" s="89">
        <f t="shared" ref="BA62:BA70" si="116">Q62+AI62</f>
        <v>0</v>
      </c>
      <c r="BB62" s="89">
        <f t="shared" ref="BB62:BB70" si="117">R62+AJ62</f>
        <v>0</v>
      </c>
      <c r="BC62" s="89">
        <f t="shared" ref="BC62:BC70" si="118">S62+AK62</f>
        <v>0</v>
      </c>
      <c r="BD62" s="89">
        <f t="shared" ref="BD62:BD70" si="119">T62+AL62</f>
        <v>0</v>
      </c>
      <c r="BE62" s="89">
        <f t="shared" ref="BE62:BF70" si="120">U62+AM62</f>
        <v>0</v>
      </c>
      <c r="BF62" s="89">
        <f t="shared" si="120"/>
        <v>0</v>
      </c>
      <c r="BG62" s="89">
        <f t="shared" ref="BG62:BG70" si="121">W62+AO62</f>
        <v>0</v>
      </c>
      <c r="BH62" s="111">
        <f t="shared" ref="BH62:BH70" si="122">X62+AP62</f>
        <v>0</v>
      </c>
    </row>
    <row r="63" spans="1:60" ht="22.5">
      <c r="A63" s="51"/>
      <c r="B63" s="108"/>
      <c r="C63" s="52" t="s">
        <v>144</v>
      </c>
      <c r="D63" s="52" t="s">
        <v>93</v>
      </c>
      <c r="E63" s="52" t="s">
        <v>0</v>
      </c>
      <c r="F63" s="54" t="s">
        <v>31</v>
      </c>
      <c r="G63" s="83"/>
      <c r="H63" s="83"/>
      <c r="I63" s="83"/>
      <c r="J63" s="83"/>
      <c r="K63" s="83"/>
      <c r="L63" s="83"/>
      <c r="M63" s="83"/>
      <c r="N63" s="83"/>
      <c r="O63" s="83"/>
      <c r="P63" s="89"/>
      <c r="Q63" s="83"/>
      <c r="R63" s="83"/>
      <c r="S63" s="83"/>
      <c r="T63" s="83"/>
      <c r="U63" s="83"/>
      <c r="V63" s="83"/>
      <c r="W63" s="83"/>
      <c r="X63" s="89">
        <f t="shared" si="105"/>
        <v>0</v>
      </c>
      <c r="Y63" s="83"/>
      <c r="Z63" s="83"/>
      <c r="AA63" s="83"/>
      <c r="AB63" s="83"/>
      <c r="AC63" s="83"/>
      <c r="AD63" s="83"/>
      <c r="AE63" s="83"/>
      <c r="AF63" s="83"/>
      <c r="AG63" s="83"/>
      <c r="AH63" s="89"/>
      <c r="AI63" s="83"/>
      <c r="AJ63" s="83"/>
      <c r="AK63" s="83"/>
      <c r="AL63" s="83"/>
      <c r="AM63" s="83"/>
      <c r="AN63" s="83"/>
      <c r="AO63" s="83"/>
      <c r="AP63" s="89">
        <f t="shared" si="106"/>
        <v>0</v>
      </c>
      <c r="AQ63" s="89">
        <f t="shared" si="107"/>
        <v>0</v>
      </c>
      <c r="AR63" s="89">
        <f t="shared" si="108"/>
        <v>0</v>
      </c>
      <c r="AS63" s="89">
        <f t="shared" si="109"/>
        <v>0</v>
      </c>
      <c r="AT63" s="89">
        <f t="shared" si="110"/>
        <v>0</v>
      </c>
      <c r="AU63" s="89">
        <f t="shared" si="111"/>
        <v>0</v>
      </c>
      <c r="AV63" s="89">
        <f t="shared" si="112"/>
        <v>0</v>
      </c>
      <c r="AW63" s="89">
        <f t="shared" si="113"/>
        <v>0</v>
      </c>
      <c r="AX63" s="89">
        <f t="shared" si="114"/>
        <v>0</v>
      </c>
      <c r="AY63" s="89">
        <f t="shared" si="115"/>
        <v>0</v>
      </c>
      <c r="AZ63" s="89">
        <f t="shared" si="115"/>
        <v>0</v>
      </c>
      <c r="BA63" s="89">
        <f t="shared" si="116"/>
        <v>0</v>
      </c>
      <c r="BB63" s="89">
        <f t="shared" si="117"/>
        <v>0</v>
      </c>
      <c r="BC63" s="89">
        <f t="shared" si="118"/>
        <v>0</v>
      </c>
      <c r="BD63" s="89">
        <f t="shared" si="119"/>
        <v>0</v>
      </c>
      <c r="BE63" s="89">
        <f t="shared" si="120"/>
        <v>0</v>
      </c>
      <c r="BF63" s="89">
        <f t="shared" si="120"/>
        <v>0</v>
      </c>
      <c r="BG63" s="89">
        <f t="shared" si="121"/>
        <v>0</v>
      </c>
      <c r="BH63" s="111">
        <f t="shared" si="122"/>
        <v>0</v>
      </c>
    </row>
    <row r="64" spans="1:60" ht="15" customHeight="1">
      <c r="A64" s="51"/>
      <c r="B64" s="108"/>
      <c r="C64" s="52" t="s">
        <v>145</v>
      </c>
      <c r="D64" s="52" t="s">
        <v>93</v>
      </c>
      <c r="E64" s="52" t="s">
        <v>0</v>
      </c>
      <c r="F64" s="54" t="s">
        <v>32</v>
      </c>
      <c r="G64" s="83"/>
      <c r="H64" s="83"/>
      <c r="I64" s="83"/>
      <c r="J64" s="83"/>
      <c r="K64" s="83"/>
      <c r="L64" s="83"/>
      <c r="M64" s="83"/>
      <c r="N64" s="83">
        <v>318999000</v>
      </c>
      <c r="O64" s="83">
        <v>17950000</v>
      </c>
      <c r="P64" s="89"/>
      <c r="Q64" s="83"/>
      <c r="R64" s="83"/>
      <c r="S64" s="83"/>
      <c r="T64" s="83"/>
      <c r="U64" s="83"/>
      <c r="V64" s="83"/>
      <c r="W64" s="83"/>
      <c r="X64" s="89">
        <f t="shared" si="105"/>
        <v>0</v>
      </c>
      <c r="Y64" s="83">
        <v>318999000</v>
      </c>
      <c r="Z64" s="83"/>
      <c r="AA64" s="83"/>
      <c r="AB64" s="83">
        <v>17950000</v>
      </c>
      <c r="AC64" s="83"/>
      <c r="AD64" s="83"/>
      <c r="AE64" s="83"/>
      <c r="AF64" s="83"/>
      <c r="AG64" s="83"/>
      <c r="AH64" s="89"/>
      <c r="AI64" s="83"/>
      <c r="AJ64" s="83"/>
      <c r="AK64" s="83"/>
      <c r="AL64" s="83"/>
      <c r="AM64" s="83"/>
      <c r="AN64" s="83">
        <v>126141000</v>
      </c>
      <c r="AO64" s="83">
        <v>126141000</v>
      </c>
      <c r="AP64" s="89">
        <f t="shared" si="106"/>
        <v>589231000</v>
      </c>
      <c r="AQ64" s="89">
        <f t="shared" si="107"/>
        <v>318999000</v>
      </c>
      <c r="AR64" s="89">
        <f t="shared" si="108"/>
        <v>0</v>
      </c>
      <c r="AS64" s="89">
        <f t="shared" si="109"/>
        <v>0</v>
      </c>
      <c r="AT64" s="89">
        <f t="shared" si="110"/>
        <v>17950000</v>
      </c>
      <c r="AU64" s="89">
        <f t="shared" si="111"/>
        <v>0</v>
      </c>
      <c r="AV64" s="89">
        <f t="shared" si="112"/>
        <v>0</v>
      </c>
      <c r="AW64" s="89">
        <f t="shared" si="113"/>
        <v>0</v>
      </c>
      <c r="AX64" s="89">
        <f t="shared" si="114"/>
        <v>318999000</v>
      </c>
      <c r="AY64" s="89">
        <f t="shared" si="115"/>
        <v>17950000</v>
      </c>
      <c r="AZ64" s="89">
        <f t="shared" si="115"/>
        <v>0</v>
      </c>
      <c r="BA64" s="89">
        <f t="shared" si="116"/>
        <v>0</v>
      </c>
      <c r="BB64" s="89">
        <f t="shared" si="117"/>
        <v>0</v>
      </c>
      <c r="BC64" s="89">
        <f t="shared" si="118"/>
        <v>0</v>
      </c>
      <c r="BD64" s="89">
        <f t="shared" si="119"/>
        <v>0</v>
      </c>
      <c r="BE64" s="89">
        <f t="shared" si="120"/>
        <v>0</v>
      </c>
      <c r="BF64" s="89">
        <f t="shared" si="120"/>
        <v>126141000</v>
      </c>
      <c r="BG64" s="89">
        <f t="shared" si="121"/>
        <v>126141000</v>
      </c>
      <c r="BH64" s="111">
        <f t="shared" si="122"/>
        <v>589231000</v>
      </c>
    </row>
    <row r="65" spans="1:60">
      <c r="A65" s="51"/>
      <c r="B65" s="108"/>
      <c r="C65" s="52" t="s">
        <v>146</v>
      </c>
      <c r="D65" s="52" t="s">
        <v>93</v>
      </c>
      <c r="E65" s="52" t="s">
        <v>0</v>
      </c>
      <c r="F65" s="54" t="s">
        <v>33</v>
      </c>
      <c r="G65" s="83"/>
      <c r="H65" s="83"/>
      <c r="I65" s="83"/>
      <c r="J65" s="83"/>
      <c r="K65" s="83"/>
      <c r="L65" s="83"/>
      <c r="M65" s="83"/>
      <c r="N65" s="83">
        <v>156422000</v>
      </c>
      <c r="O65" s="83">
        <v>425299000</v>
      </c>
      <c r="P65" s="89"/>
      <c r="Q65" s="83"/>
      <c r="R65" s="83"/>
      <c r="S65" s="83"/>
      <c r="T65" s="83"/>
      <c r="U65" s="83"/>
      <c r="V65" s="83"/>
      <c r="W65" s="83"/>
      <c r="X65" s="89">
        <f t="shared" si="105"/>
        <v>0</v>
      </c>
      <c r="Y65" s="83">
        <v>156422000</v>
      </c>
      <c r="Z65" s="83"/>
      <c r="AA65" s="83"/>
      <c r="AB65" s="83">
        <v>425299000</v>
      </c>
      <c r="AC65" s="83"/>
      <c r="AD65" s="83"/>
      <c r="AE65" s="83"/>
      <c r="AF65" s="83"/>
      <c r="AG65" s="83"/>
      <c r="AH65" s="89"/>
      <c r="AI65" s="83"/>
      <c r="AJ65" s="83"/>
      <c r="AK65" s="83"/>
      <c r="AL65" s="83"/>
      <c r="AM65" s="83"/>
      <c r="AN65" s="83">
        <v>2291999000</v>
      </c>
      <c r="AO65" s="83">
        <v>2291999000</v>
      </c>
      <c r="AP65" s="89">
        <f t="shared" si="106"/>
        <v>5165719000</v>
      </c>
      <c r="AQ65" s="89">
        <f t="shared" si="107"/>
        <v>156422000</v>
      </c>
      <c r="AR65" s="89">
        <f t="shared" si="108"/>
        <v>0</v>
      </c>
      <c r="AS65" s="89">
        <f t="shared" si="109"/>
        <v>0</v>
      </c>
      <c r="AT65" s="89">
        <f t="shared" si="110"/>
        <v>425299000</v>
      </c>
      <c r="AU65" s="89">
        <f t="shared" si="111"/>
        <v>0</v>
      </c>
      <c r="AV65" s="89">
        <f t="shared" si="112"/>
        <v>0</v>
      </c>
      <c r="AW65" s="89">
        <f t="shared" si="113"/>
        <v>0</v>
      </c>
      <c r="AX65" s="89">
        <f t="shared" si="114"/>
        <v>156422000</v>
      </c>
      <c r="AY65" s="89">
        <f t="shared" si="115"/>
        <v>425299000</v>
      </c>
      <c r="AZ65" s="89">
        <f t="shared" si="115"/>
        <v>0</v>
      </c>
      <c r="BA65" s="89">
        <f t="shared" si="116"/>
        <v>0</v>
      </c>
      <c r="BB65" s="89">
        <f t="shared" si="117"/>
        <v>0</v>
      </c>
      <c r="BC65" s="89">
        <f t="shared" si="118"/>
        <v>0</v>
      </c>
      <c r="BD65" s="89">
        <f t="shared" si="119"/>
        <v>0</v>
      </c>
      <c r="BE65" s="89">
        <f t="shared" si="120"/>
        <v>0</v>
      </c>
      <c r="BF65" s="89">
        <f t="shared" si="120"/>
        <v>2291999000</v>
      </c>
      <c r="BG65" s="89">
        <f t="shared" si="121"/>
        <v>2291999000</v>
      </c>
      <c r="BH65" s="111">
        <f t="shared" si="122"/>
        <v>5165719000</v>
      </c>
    </row>
    <row r="66" spans="1:60" ht="22.5">
      <c r="A66" s="51"/>
      <c r="B66" s="108"/>
      <c r="C66" s="52" t="s">
        <v>147</v>
      </c>
      <c r="D66" s="52" t="s">
        <v>93</v>
      </c>
      <c r="E66" s="52" t="s">
        <v>0</v>
      </c>
      <c r="F66" s="54" t="s">
        <v>34</v>
      </c>
      <c r="G66" s="83"/>
      <c r="H66" s="83"/>
      <c r="I66" s="83"/>
      <c r="J66" s="83"/>
      <c r="K66" s="83"/>
      <c r="L66" s="83"/>
      <c r="M66" s="83"/>
      <c r="N66" s="83"/>
      <c r="O66" s="83"/>
      <c r="P66" s="89"/>
      <c r="Q66" s="83"/>
      <c r="R66" s="83"/>
      <c r="S66" s="83"/>
      <c r="T66" s="83"/>
      <c r="U66" s="83"/>
      <c r="V66" s="83"/>
      <c r="W66" s="83"/>
      <c r="X66" s="89">
        <f t="shared" si="105"/>
        <v>0</v>
      </c>
      <c r="Y66" s="83"/>
      <c r="Z66" s="83"/>
      <c r="AA66" s="83"/>
      <c r="AB66" s="83"/>
      <c r="AC66" s="83"/>
      <c r="AD66" s="83"/>
      <c r="AE66" s="83"/>
      <c r="AF66" s="83"/>
      <c r="AG66" s="83"/>
      <c r="AH66" s="89"/>
      <c r="AI66" s="83"/>
      <c r="AJ66" s="83"/>
      <c r="AK66" s="83"/>
      <c r="AL66" s="83"/>
      <c r="AM66" s="83"/>
      <c r="AN66" s="83"/>
      <c r="AO66" s="83"/>
      <c r="AP66" s="89">
        <f t="shared" si="106"/>
        <v>0</v>
      </c>
      <c r="AQ66" s="89">
        <f t="shared" si="107"/>
        <v>0</v>
      </c>
      <c r="AR66" s="89">
        <f t="shared" si="108"/>
        <v>0</v>
      </c>
      <c r="AS66" s="89">
        <f t="shared" si="109"/>
        <v>0</v>
      </c>
      <c r="AT66" s="89">
        <f t="shared" si="110"/>
        <v>0</v>
      </c>
      <c r="AU66" s="89">
        <f t="shared" si="111"/>
        <v>0</v>
      </c>
      <c r="AV66" s="89">
        <f t="shared" si="112"/>
        <v>0</v>
      </c>
      <c r="AW66" s="89">
        <f t="shared" si="113"/>
        <v>0</v>
      </c>
      <c r="AX66" s="89">
        <f t="shared" si="114"/>
        <v>0</v>
      </c>
      <c r="AY66" s="89">
        <f t="shared" si="115"/>
        <v>0</v>
      </c>
      <c r="AZ66" s="89">
        <f t="shared" si="115"/>
        <v>0</v>
      </c>
      <c r="BA66" s="89">
        <f t="shared" si="116"/>
        <v>0</v>
      </c>
      <c r="BB66" s="89">
        <f t="shared" si="117"/>
        <v>0</v>
      </c>
      <c r="BC66" s="89">
        <f t="shared" si="118"/>
        <v>0</v>
      </c>
      <c r="BD66" s="89">
        <f t="shared" si="119"/>
        <v>0</v>
      </c>
      <c r="BE66" s="89">
        <f t="shared" si="120"/>
        <v>0</v>
      </c>
      <c r="BF66" s="89">
        <f t="shared" si="120"/>
        <v>0</v>
      </c>
      <c r="BG66" s="89">
        <f t="shared" si="121"/>
        <v>0</v>
      </c>
      <c r="BH66" s="111">
        <f t="shared" si="122"/>
        <v>0</v>
      </c>
    </row>
    <row r="67" spans="1:60" ht="22.5">
      <c r="A67" s="51"/>
      <c r="B67" s="108"/>
      <c r="C67" s="52" t="s">
        <v>148</v>
      </c>
      <c r="D67" s="52" t="s">
        <v>93</v>
      </c>
      <c r="E67" s="52" t="s">
        <v>0</v>
      </c>
      <c r="F67" s="54" t="s">
        <v>35</v>
      </c>
      <c r="G67" s="83"/>
      <c r="H67" s="83"/>
      <c r="I67" s="83"/>
      <c r="J67" s="83"/>
      <c r="K67" s="83"/>
      <c r="L67" s="83"/>
      <c r="M67" s="83"/>
      <c r="N67" s="83"/>
      <c r="O67" s="83"/>
      <c r="P67" s="89"/>
      <c r="Q67" s="83"/>
      <c r="R67" s="83"/>
      <c r="S67" s="83"/>
      <c r="T67" s="83"/>
      <c r="U67" s="83"/>
      <c r="V67" s="83"/>
      <c r="W67" s="83"/>
      <c r="X67" s="89">
        <f t="shared" si="105"/>
        <v>0</v>
      </c>
      <c r="Y67" s="83"/>
      <c r="Z67" s="83"/>
      <c r="AA67" s="83"/>
      <c r="AB67" s="83"/>
      <c r="AC67" s="83"/>
      <c r="AD67" s="83"/>
      <c r="AE67" s="83"/>
      <c r="AF67" s="83"/>
      <c r="AG67" s="83"/>
      <c r="AH67" s="89"/>
      <c r="AI67" s="83"/>
      <c r="AJ67" s="83"/>
      <c r="AK67" s="83"/>
      <c r="AL67" s="83"/>
      <c r="AM67" s="83"/>
      <c r="AN67" s="83"/>
      <c r="AO67" s="83"/>
      <c r="AP67" s="89">
        <f t="shared" si="106"/>
        <v>0</v>
      </c>
      <c r="AQ67" s="89">
        <f t="shared" si="107"/>
        <v>0</v>
      </c>
      <c r="AR67" s="89">
        <f t="shared" si="108"/>
        <v>0</v>
      </c>
      <c r="AS67" s="89">
        <f t="shared" si="109"/>
        <v>0</v>
      </c>
      <c r="AT67" s="89">
        <f t="shared" si="110"/>
        <v>0</v>
      </c>
      <c r="AU67" s="89">
        <f t="shared" si="111"/>
        <v>0</v>
      </c>
      <c r="AV67" s="89">
        <f t="shared" si="112"/>
        <v>0</v>
      </c>
      <c r="AW67" s="89">
        <f t="shared" si="113"/>
        <v>0</v>
      </c>
      <c r="AX67" s="89">
        <f t="shared" si="114"/>
        <v>0</v>
      </c>
      <c r="AY67" s="89">
        <f t="shared" si="115"/>
        <v>0</v>
      </c>
      <c r="AZ67" s="89">
        <f t="shared" si="115"/>
        <v>0</v>
      </c>
      <c r="BA67" s="89">
        <f t="shared" si="116"/>
        <v>0</v>
      </c>
      <c r="BB67" s="89">
        <f t="shared" si="117"/>
        <v>0</v>
      </c>
      <c r="BC67" s="89">
        <f t="shared" si="118"/>
        <v>0</v>
      </c>
      <c r="BD67" s="89">
        <f t="shared" si="119"/>
        <v>0</v>
      </c>
      <c r="BE67" s="89">
        <f t="shared" si="120"/>
        <v>0</v>
      </c>
      <c r="BF67" s="89">
        <f t="shared" si="120"/>
        <v>0</v>
      </c>
      <c r="BG67" s="89">
        <f t="shared" si="121"/>
        <v>0</v>
      </c>
      <c r="BH67" s="111">
        <f t="shared" si="122"/>
        <v>0</v>
      </c>
    </row>
    <row r="68" spans="1:60" ht="22.5">
      <c r="A68" s="51"/>
      <c r="B68" s="108"/>
      <c r="C68" s="52" t="s">
        <v>149</v>
      </c>
      <c r="D68" s="52" t="s">
        <v>93</v>
      </c>
      <c r="E68" s="52" t="s">
        <v>0</v>
      </c>
      <c r="F68" s="54" t="s">
        <v>36</v>
      </c>
      <c r="G68" s="83"/>
      <c r="H68" s="83"/>
      <c r="I68" s="83"/>
      <c r="J68" s="83"/>
      <c r="K68" s="83"/>
      <c r="L68" s="83"/>
      <c r="M68" s="83"/>
      <c r="N68" s="83"/>
      <c r="O68" s="83"/>
      <c r="P68" s="89"/>
      <c r="Q68" s="83"/>
      <c r="R68" s="83"/>
      <c r="S68" s="83"/>
      <c r="T68" s="83"/>
      <c r="U68" s="83"/>
      <c r="V68" s="83"/>
      <c r="W68" s="83"/>
      <c r="X68" s="89">
        <f t="shared" si="105"/>
        <v>0</v>
      </c>
      <c r="Y68" s="83"/>
      <c r="Z68" s="83"/>
      <c r="AA68" s="83"/>
      <c r="AB68" s="83"/>
      <c r="AC68" s="83"/>
      <c r="AD68" s="83"/>
      <c r="AE68" s="83"/>
      <c r="AF68" s="83"/>
      <c r="AG68" s="83"/>
      <c r="AH68" s="89"/>
      <c r="AI68" s="83"/>
      <c r="AJ68" s="83"/>
      <c r="AK68" s="83"/>
      <c r="AL68" s="83"/>
      <c r="AM68" s="83"/>
      <c r="AN68" s="83"/>
      <c r="AO68" s="83"/>
      <c r="AP68" s="89">
        <f t="shared" si="106"/>
        <v>0</v>
      </c>
      <c r="AQ68" s="89">
        <f t="shared" si="107"/>
        <v>0</v>
      </c>
      <c r="AR68" s="89">
        <f t="shared" si="108"/>
        <v>0</v>
      </c>
      <c r="AS68" s="89">
        <f t="shared" si="109"/>
        <v>0</v>
      </c>
      <c r="AT68" s="89">
        <f t="shared" si="110"/>
        <v>0</v>
      </c>
      <c r="AU68" s="89">
        <f t="shared" si="111"/>
        <v>0</v>
      </c>
      <c r="AV68" s="89">
        <f t="shared" si="112"/>
        <v>0</v>
      </c>
      <c r="AW68" s="89">
        <f t="shared" si="113"/>
        <v>0</v>
      </c>
      <c r="AX68" s="89">
        <f t="shared" si="114"/>
        <v>0</v>
      </c>
      <c r="AY68" s="89">
        <f t="shared" si="115"/>
        <v>0</v>
      </c>
      <c r="AZ68" s="89">
        <f t="shared" si="115"/>
        <v>0</v>
      </c>
      <c r="BA68" s="89">
        <f t="shared" si="116"/>
        <v>0</v>
      </c>
      <c r="BB68" s="89">
        <f t="shared" si="117"/>
        <v>0</v>
      </c>
      <c r="BC68" s="89">
        <f t="shared" si="118"/>
        <v>0</v>
      </c>
      <c r="BD68" s="89">
        <f t="shared" si="119"/>
        <v>0</v>
      </c>
      <c r="BE68" s="89">
        <f t="shared" si="120"/>
        <v>0</v>
      </c>
      <c r="BF68" s="89">
        <f t="shared" si="120"/>
        <v>0</v>
      </c>
      <c r="BG68" s="89">
        <f t="shared" si="121"/>
        <v>0</v>
      </c>
      <c r="BH68" s="111">
        <f t="shared" si="122"/>
        <v>0</v>
      </c>
    </row>
    <row r="69" spans="1:60" ht="22.5">
      <c r="A69" s="51"/>
      <c r="B69" s="108"/>
      <c r="C69" s="52" t="s">
        <v>150</v>
      </c>
      <c r="D69" s="52" t="s">
        <v>93</v>
      </c>
      <c r="E69" s="52" t="s">
        <v>0</v>
      </c>
      <c r="F69" s="54" t="s">
        <v>37</v>
      </c>
      <c r="G69" s="85"/>
      <c r="H69" s="85"/>
      <c r="I69" s="85"/>
      <c r="J69" s="85"/>
      <c r="K69" s="85"/>
      <c r="L69" s="85"/>
      <c r="M69" s="85"/>
      <c r="N69" s="85"/>
      <c r="O69" s="85"/>
      <c r="P69" s="89"/>
      <c r="Q69" s="85"/>
      <c r="R69" s="85"/>
      <c r="S69" s="85"/>
      <c r="T69" s="85"/>
      <c r="U69" s="85"/>
      <c r="V69" s="85"/>
      <c r="W69" s="85"/>
      <c r="X69" s="89">
        <f t="shared" si="105"/>
        <v>0</v>
      </c>
      <c r="Y69" s="85"/>
      <c r="Z69" s="85"/>
      <c r="AA69" s="85"/>
      <c r="AB69" s="85"/>
      <c r="AC69" s="85"/>
      <c r="AD69" s="85"/>
      <c r="AE69" s="85"/>
      <c r="AF69" s="85"/>
      <c r="AG69" s="85"/>
      <c r="AH69" s="89"/>
      <c r="AI69" s="85"/>
      <c r="AJ69" s="85"/>
      <c r="AK69" s="85"/>
      <c r="AL69" s="85"/>
      <c r="AM69" s="85"/>
      <c r="AN69" s="85"/>
      <c r="AO69" s="85"/>
      <c r="AP69" s="89">
        <f t="shared" si="106"/>
        <v>0</v>
      </c>
      <c r="AQ69" s="89">
        <f t="shared" si="107"/>
        <v>0</v>
      </c>
      <c r="AR69" s="89">
        <f t="shared" si="108"/>
        <v>0</v>
      </c>
      <c r="AS69" s="89">
        <f t="shared" si="109"/>
        <v>0</v>
      </c>
      <c r="AT69" s="89">
        <f t="shared" si="110"/>
        <v>0</v>
      </c>
      <c r="AU69" s="89">
        <f t="shared" si="111"/>
        <v>0</v>
      </c>
      <c r="AV69" s="89">
        <f t="shared" si="112"/>
        <v>0</v>
      </c>
      <c r="AW69" s="89">
        <f t="shared" si="113"/>
        <v>0</v>
      </c>
      <c r="AX69" s="89">
        <f t="shared" si="114"/>
        <v>0</v>
      </c>
      <c r="AY69" s="89">
        <f t="shared" si="115"/>
        <v>0</v>
      </c>
      <c r="AZ69" s="89">
        <f t="shared" si="115"/>
        <v>0</v>
      </c>
      <c r="BA69" s="89">
        <f t="shared" si="116"/>
        <v>0</v>
      </c>
      <c r="BB69" s="89">
        <f t="shared" si="117"/>
        <v>0</v>
      </c>
      <c r="BC69" s="89">
        <f t="shared" si="118"/>
        <v>0</v>
      </c>
      <c r="BD69" s="89">
        <f t="shared" si="119"/>
        <v>0</v>
      </c>
      <c r="BE69" s="89">
        <f t="shared" si="120"/>
        <v>0</v>
      </c>
      <c r="BF69" s="89">
        <f t="shared" si="120"/>
        <v>0</v>
      </c>
      <c r="BG69" s="89">
        <f t="shared" si="121"/>
        <v>0</v>
      </c>
      <c r="BH69" s="111">
        <f t="shared" si="122"/>
        <v>0</v>
      </c>
    </row>
    <row r="70" spans="1:60" ht="22.5">
      <c r="A70" s="51"/>
      <c r="B70" s="108"/>
      <c r="C70" s="52" t="s">
        <v>151</v>
      </c>
      <c r="D70" s="52" t="s">
        <v>93</v>
      </c>
      <c r="E70" s="52" t="s">
        <v>0</v>
      </c>
      <c r="F70" s="54" t="s">
        <v>38</v>
      </c>
      <c r="G70" s="83"/>
      <c r="H70" s="83"/>
      <c r="I70" s="83"/>
      <c r="J70" s="83"/>
      <c r="K70" s="83"/>
      <c r="L70" s="83"/>
      <c r="M70" s="83"/>
      <c r="N70" s="83"/>
      <c r="O70" s="83"/>
      <c r="P70" s="89"/>
      <c r="Q70" s="83"/>
      <c r="R70" s="83"/>
      <c r="S70" s="83"/>
      <c r="T70" s="83"/>
      <c r="U70" s="83"/>
      <c r="V70" s="83"/>
      <c r="W70" s="83"/>
      <c r="X70" s="89">
        <f t="shared" si="105"/>
        <v>0</v>
      </c>
      <c r="Y70" s="83"/>
      <c r="Z70" s="83"/>
      <c r="AA70" s="83"/>
      <c r="AB70" s="83"/>
      <c r="AC70" s="83"/>
      <c r="AD70" s="83"/>
      <c r="AE70" s="83"/>
      <c r="AF70" s="83"/>
      <c r="AG70" s="83"/>
      <c r="AH70" s="89"/>
      <c r="AI70" s="83"/>
      <c r="AJ70" s="83"/>
      <c r="AK70" s="83"/>
      <c r="AL70" s="83"/>
      <c r="AM70" s="83"/>
      <c r="AN70" s="83"/>
      <c r="AO70" s="83"/>
      <c r="AP70" s="89">
        <f t="shared" si="106"/>
        <v>0</v>
      </c>
      <c r="AQ70" s="89">
        <f t="shared" si="107"/>
        <v>0</v>
      </c>
      <c r="AR70" s="89">
        <f t="shared" si="108"/>
        <v>0</v>
      </c>
      <c r="AS70" s="89">
        <f t="shared" si="109"/>
        <v>0</v>
      </c>
      <c r="AT70" s="89">
        <f t="shared" si="110"/>
        <v>0</v>
      </c>
      <c r="AU70" s="89">
        <f t="shared" si="111"/>
        <v>0</v>
      </c>
      <c r="AV70" s="89">
        <f t="shared" si="112"/>
        <v>0</v>
      </c>
      <c r="AW70" s="89">
        <f t="shared" si="113"/>
        <v>0</v>
      </c>
      <c r="AX70" s="89">
        <f t="shared" si="114"/>
        <v>0</v>
      </c>
      <c r="AY70" s="89">
        <f t="shared" si="115"/>
        <v>0</v>
      </c>
      <c r="AZ70" s="89">
        <f t="shared" si="115"/>
        <v>0</v>
      </c>
      <c r="BA70" s="89">
        <f t="shared" si="116"/>
        <v>0</v>
      </c>
      <c r="BB70" s="89">
        <f t="shared" si="117"/>
        <v>0</v>
      </c>
      <c r="BC70" s="89">
        <f t="shared" si="118"/>
        <v>0</v>
      </c>
      <c r="BD70" s="89">
        <f t="shared" si="119"/>
        <v>0</v>
      </c>
      <c r="BE70" s="89">
        <f t="shared" si="120"/>
        <v>0</v>
      </c>
      <c r="BF70" s="89">
        <f t="shared" si="120"/>
        <v>0</v>
      </c>
      <c r="BG70" s="89">
        <f t="shared" si="121"/>
        <v>0</v>
      </c>
      <c r="BH70" s="111">
        <f t="shared" si="122"/>
        <v>0</v>
      </c>
    </row>
    <row r="71" spans="1:60" ht="22.5">
      <c r="A71" s="51"/>
      <c r="B71" s="108"/>
      <c r="C71" s="52"/>
      <c r="D71" s="52" t="s">
        <v>0</v>
      </c>
      <c r="E71" s="52" t="s">
        <v>0</v>
      </c>
      <c r="F71" s="53" t="s">
        <v>39</v>
      </c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91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91"/>
      <c r="AQ71" s="91"/>
      <c r="AR71" s="91"/>
      <c r="AS71" s="91"/>
      <c r="AT71" s="91"/>
      <c r="AU71" s="91"/>
      <c r="AV71" s="91"/>
      <c r="AW71" s="91"/>
      <c r="AX71" s="91"/>
      <c r="AY71" s="91"/>
      <c r="AZ71" s="91"/>
      <c r="BA71" s="91"/>
      <c r="BB71" s="91"/>
      <c r="BC71" s="91"/>
      <c r="BD71" s="91"/>
      <c r="BE71" s="91"/>
      <c r="BF71" s="91"/>
      <c r="BG71" s="91"/>
      <c r="BH71" s="112"/>
    </row>
    <row r="72" spans="1:60" ht="22.5">
      <c r="A72" s="51"/>
      <c r="B72" s="108"/>
      <c r="C72" s="52" t="s">
        <v>152</v>
      </c>
      <c r="D72" s="52" t="s">
        <v>93</v>
      </c>
      <c r="E72" s="52" t="s">
        <v>0</v>
      </c>
      <c r="F72" s="54" t="s">
        <v>40</v>
      </c>
      <c r="G72" s="83"/>
      <c r="H72" s="83"/>
      <c r="I72" s="83"/>
      <c r="J72" s="83"/>
      <c r="K72" s="83"/>
      <c r="L72" s="83"/>
      <c r="M72" s="83"/>
      <c r="N72" s="83"/>
      <c r="O72" s="83"/>
      <c r="P72" s="89"/>
      <c r="Q72" s="83"/>
      <c r="R72" s="83"/>
      <c r="S72" s="83"/>
      <c r="T72" s="83"/>
      <c r="U72" s="83"/>
      <c r="V72" s="83"/>
      <c r="W72" s="83"/>
      <c r="X72" s="89">
        <f t="shared" ref="X72:X74" si="123">SUM(P72:W72)+SUM(G72:K72)</f>
        <v>0</v>
      </c>
      <c r="Y72" s="83"/>
      <c r="Z72" s="83"/>
      <c r="AA72" s="83"/>
      <c r="AB72" s="83"/>
      <c r="AC72" s="83"/>
      <c r="AD72" s="83"/>
      <c r="AE72" s="83"/>
      <c r="AF72" s="83"/>
      <c r="AG72" s="83"/>
      <c r="AH72" s="89"/>
      <c r="AI72" s="83"/>
      <c r="AJ72" s="83"/>
      <c r="AK72" s="83"/>
      <c r="AL72" s="83"/>
      <c r="AM72" s="83"/>
      <c r="AN72" s="83">
        <v>781893000</v>
      </c>
      <c r="AO72" s="83">
        <v>781893000</v>
      </c>
      <c r="AP72" s="89">
        <f t="shared" ref="AP72:AP74" si="124">SUM(AH72:AO72)+SUM(Y72:AC72)</f>
        <v>1563786000</v>
      </c>
      <c r="AQ72" s="89">
        <f t="shared" ref="AQ72:AW74" si="125">G72+Y72</f>
        <v>0</v>
      </c>
      <c r="AR72" s="89">
        <f t="shared" si="125"/>
        <v>0</v>
      </c>
      <c r="AS72" s="89">
        <f t="shared" si="125"/>
        <v>0</v>
      </c>
      <c r="AT72" s="89">
        <f t="shared" si="125"/>
        <v>0</v>
      </c>
      <c r="AU72" s="89">
        <f t="shared" si="125"/>
        <v>0</v>
      </c>
      <c r="AV72" s="89">
        <f t="shared" si="125"/>
        <v>0</v>
      </c>
      <c r="AW72" s="89">
        <f t="shared" si="125"/>
        <v>0</v>
      </c>
      <c r="AX72" s="89">
        <f t="shared" ref="AX72:AX74" si="126">N72+AF72</f>
        <v>0</v>
      </c>
      <c r="AY72" s="89">
        <f t="shared" ref="AY72:AZ74" si="127">O72+AG72</f>
        <v>0</v>
      </c>
      <c r="AZ72" s="89">
        <f t="shared" si="127"/>
        <v>0</v>
      </c>
      <c r="BA72" s="89">
        <f t="shared" ref="BA72:BF74" si="128">Q72+AI72</f>
        <v>0</v>
      </c>
      <c r="BB72" s="89">
        <f t="shared" si="128"/>
        <v>0</v>
      </c>
      <c r="BC72" s="89">
        <f t="shared" si="128"/>
        <v>0</v>
      </c>
      <c r="BD72" s="89">
        <f t="shared" si="128"/>
        <v>0</v>
      </c>
      <c r="BE72" s="89">
        <f t="shared" si="128"/>
        <v>0</v>
      </c>
      <c r="BF72" s="89">
        <f t="shared" si="128"/>
        <v>781893000</v>
      </c>
      <c r="BG72" s="89">
        <f t="shared" ref="BG72:BG74" si="129">W72+AO72</f>
        <v>781893000</v>
      </c>
      <c r="BH72" s="111">
        <f>X72+AP72</f>
        <v>1563786000</v>
      </c>
    </row>
    <row r="73" spans="1:60" ht="22.5">
      <c r="A73" s="51"/>
      <c r="B73" s="108"/>
      <c r="C73" s="52" t="s">
        <v>153</v>
      </c>
      <c r="D73" s="52" t="s">
        <v>93</v>
      </c>
      <c r="E73" s="52" t="s">
        <v>0</v>
      </c>
      <c r="F73" s="54" t="s">
        <v>41</v>
      </c>
      <c r="G73" s="83"/>
      <c r="H73" s="83"/>
      <c r="I73" s="83"/>
      <c r="J73" s="83"/>
      <c r="K73" s="83"/>
      <c r="L73" s="83"/>
      <c r="M73" s="83"/>
      <c r="N73" s="83">
        <v>183340000</v>
      </c>
      <c r="O73" s="83">
        <v>1208312000</v>
      </c>
      <c r="P73" s="89"/>
      <c r="Q73" s="83"/>
      <c r="R73" s="83"/>
      <c r="S73" s="83"/>
      <c r="T73" s="83"/>
      <c r="U73" s="83"/>
      <c r="V73" s="83"/>
      <c r="W73" s="83"/>
      <c r="X73" s="89">
        <f t="shared" si="123"/>
        <v>0</v>
      </c>
      <c r="Y73" s="83">
        <v>183340000</v>
      </c>
      <c r="Z73" s="83"/>
      <c r="AA73" s="83"/>
      <c r="AB73" s="83">
        <v>1208312000</v>
      </c>
      <c r="AC73" s="83"/>
      <c r="AD73" s="83"/>
      <c r="AE73" s="83"/>
      <c r="AF73" s="83"/>
      <c r="AG73" s="83"/>
      <c r="AH73" s="89"/>
      <c r="AI73" s="83"/>
      <c r="AJ73" s="83"/>
      <c r="AK73" s="83"/>
      <c r="AL73" s="83"/>
      <c r="AM73" s="83"/>
      <c r="AN73" s="83"/>
      <c r="AO73" s="83"/>
      <c r="AP73" s="89">
        <f t="shared" si="124"/>
        <v>1391652000</v>
      </c>
      <c r="AQ73" s="89">
        <f t="shared" si="125"/>
        <v>183340000</v>
      </c>
      <c r="AR73" s="89">
        <f t="shared" si="125"/>
        <v>0</v>
      </c>
      <c r="AS73" s="89">
        <f t="shared" si="125"/>
        <v>0</v>
      </c>
      <c r="AT73" s="89">
        <f t="shared" si="125"/>
        <v>1208312000</v>
      </c>
      <c r="AU73" s="89">
        <f t="shared" si="125"/>
        <v>0</v>
      </c>
      <c r="AV73" s="89">
        <f t="shared" si="125"/>
        <v>0</v>
      </c>
      <c r="AW73" s="89">
        <f t="shared" si="125"/>
        <v>0</v>
      </c>
      <c r="AX73" s="89">
        <f t="shared" si="126"/>
        <v>183340000</v>
      </c>
      <c r="AY73" s="89">
        <f t="shared" si="127"/>
        <v>1208312000</v>
      </c>
      <c r="AZ73" s="89">
        <f t="shared" si="127"/>
        <v>0</v>
      </c>
      <c r="BA73" s="89">
        <f t="shared" si="128"/>
        <v>0</v>
      </c>
      <c r="BB73" s="89">
        <f t="shared" si="128"/>
        <v>0</v>
      </c>
      <c r="BC73" s="89">
        <f t="shared" si="128"/>
        <v>0</v>
      </c>
      <c r="BD73" s="89">
        <f t="shared" si="128"/>
        <v>0</v>
      </c>
      <c r="BE73" s="89">
        <f t="shared" si="128"/>
        <v>0</v>
      </c>
      <c r="BF73" s="89">
        <f t="shared" si="128"/>
        <v>0</v>
      </c>
      <c r="BG73" s="89">
        <f t="shared" si="129"/>
        <v>0</v>
      </c>
      <c r="BH73" s="111">
        <f>X73+AP73</f>
        <v>1391652000</v>
      </c>
    </row>
    <row r="74" spans="1:60" ht="22.5">
      <c r="A74" s="51"/>
      <c r="B74" s="108"/>
      <c r="C74" s="52" t="s">
        <v>154</v>
      </c>
      <c r="D74" s="52" t="s">
        <v>93</v>
      </c>
      <c r="E74" s="52" t="s">
        <v>0</v>
      </c>
      <c r="F74" s="53" t="s">
        <v>62</v>
      </c>
      <c r="G74" s="89">
        <f t="shared" ref="G74:M74" si="130">G72+G73</f>
        <v>0</v>
      </c>
      <c r="H74" s="89">
        <f t="shared" si="130"/>
        <v>0</v>
      </c>
      <c r="I74" s="89">
        <f t="shared" si="130"/>
        <v>0</v>
      </c>
      <c r="J74" s="89">
        <f t="shared" si="130"/>
        <v>0</v>
      </c>
      <c r="K74" s="89">
        <f t="shared" si="130"/>
        <v>0</v>
      </c>
      <c r="L74" s="89">
        <f t="shared" si="130"/>
        <v>0</v>
      </c>
      <c r="M74" s="89">
        <f t="shared" si="130"/>
        <v>0</v>
      </c>
      <c r="N74" s="89">
        <f t="shared" ref="N74:O74" si="131">N72+N73</f>
        <v>183340000</v>
      </c>
      <c r="O74" s="89">
        <f t="shared" si="131"/>
        <v>1208312000</v>
      </c>
      <c r="P74" s="89">
        <f t="shared" ref="P74" si="132">P72+P73</f>
        <v>0</v>
      </c>
      <c r="Q74" s="89">
        <f t="shared" ref="Q74:W74" si="133">Q72+Q73</f>
        <v>0</v>
      </c>
      <c r="R74" s="89">
        <f t="shared" si="133"/>
        <v>0</v>
      </c>
      <c r="S74" s="89">
        <f t="shared" si="133"/>
        <v>0</v>
      </c>
      <c r="T74" s="89">
        <f t="shared" si="133"/>
        <v>0</v>
      </c>
      <c r="U74" s="89">
        <f t="shared" si="133"/>
        <v>0</v>
      </c>
      <c r="V74" s="89">
        <f t="shared" ref="V74" si="134">V72+V73</f>
        <v>0</v>
      </c>
      <c r="W74" s="89">
        <f t="shared" si="133"/>
        <v>0</v>
      </c>
      <c r="X74" s="89">
        <f t="shared" si="123"/>
        <v>0</v>
      </c>
      <c r="Y74" s="89">
        <f t="shared" ref="Y74:AG74" si="135">Y72+Y73</f>
        <v>183340000</v>
      </c>
      <c r="Z74" s="89">
        <f t="shared" si="135"/>
        <v>0</v>
      </c>
      <c r="AA74" s="89">
        <f t="shared" si="135"/>
        <v>0</v>
      </c>
      <c r="AB74" s="89">
        <f t="shared" si="135"/>
        <v>1208312000</v>
      </c>
      <c r="AC74" s="89">
        <f t="shared" si="135"/>
        <v>0</v>
      </c>
      <c r="AD74" s="89">
        <f t="shared" si="135"/>
        <v>0</v>
      </c>
      <c r="AE74" s="89">
        <f t="shared" si="135"/>
        <v>0</v>
      </c>
      <c r="AF74" s="89">
        <f t="shared" si="135"/>
        <v>0</v>
      </c>
      <c r="AG74" s="89">
        <f t="shared" si="135"/>
        <v>0</v>
      </c>
      <c r="AH74" s="89">
        <f>AH72+AH73</f>
        <v>0</v>
      </c>
      <c r="AI74" s="89">
        <f t="shared" ref="AI74:AO74" si="136">AI72+AI73</f>
        <v>0</v>
      </c>
      <c r="AJ74" s="89">
        <f t="shared" si="136"/>
        <v>0</v>
      </c>
      <c r="AK74" s="89">
        <f t="shared" si="136"/>
        <v>0</v>
      </c>
      <c r="AL74" s="89">
        <f t="shared" si="136"/>
        <v>0</v>
      </c>
      <c r="AM74" s="89">
        <f t="shared" si="136"/>
        <v>0</v>
      </c>
      <c r="AN74" s="89">
        <f t="shared" si="136"/>
        <v>781893000</v>
      </c>
      <c r="AO74" s="89">
        <f t="shared" si="136"/>
        <v>781893000</v>
      </c>
      <c r="AP74" s="89">
        <f t="shared" si="124"/>
        <v>2955438000</v>
      </c>
      <c r="AQ74" s="89">
        <f t="shared" si="125"/>
        <v>183340000</v>
      </c>
      <c r="AR74" s="89">
        <f t="shared" si="125"/>
        <v>0</v>
      </c>
      <c r="AS74" s="89">
        <f t="shared" si="125"/>
        <v>0</v>
      </c>
      <c r="AT74" s="89">
        <f t="shared" si="125"/>
        <v>1208312000</v>
      </c>
      <c r="AU74" s="89">
        <f t="shared" si="125"/>
        <v>0</v>
      </c>
      <c r="AV74" s="89">
        <f t="shared" si="125"/>
        <v>0</v>
      </c>
      <c r="AW74" s="89">
        <f t="shared" si="125"/>
        <v>0</v>
      </c>
      <c r="AX74" s="89">
        <f t="shared" si="126"/>
        <v>183340000</v>
      </c>
      <c r="AY74" s="89">
        <f t="shared" si="127"/>
        <v>1208312000</v>
      </c>
      <c r="AZ74" s="89">
        <f t="shared" si="127"/>
        <v>0</v>
      </c>
      <c r="BA74" s="89">
        <f t="shared" si="128"/>
        <v>0</v>
      </c>
      <c r="BB74" s="89">
        <f t="shared" si="128"/>
        <v>0</v>
      </c>
      <c r="BC74" s="89">
        <f t="shared" si="128"/>
        <v>0</v>
      </c>
      <c r="BD74" s="89">
        <f t="shared" si="128"/>
        <v>0</v>
      </c>
      <c r="BE74" s="89">
        <f t="shared" si="128"/>
        <v>0</v>
      </c>
      <c r="BF74" s="89">
        <f t="shared" si="128"/>
        <v>781893000</v>
      </c>
      <c r="BG74" s="89">
        <f t="shared" si="129"/>
        <v>781893000</v>
      </c>
      <c r="BH74" s="111">
        <f>X74+AP74</f>
        <v>2955438000</v>
      </c>
    </row>
    <row r="75" spans="1:60" ht="22.5">
      <c r="A75" s="51"/>
      <c r="B75" s="108"/>
      <c r="C75" s="52"/>
      <c r="D75" s="52" t="s">
        <v>0</v>
      </c>
      <c r="E75" s="52" t="s">
        <v>0</v>
      </c>
      <c r="F75" s="53" t="s">
        <v>42</v>
      </c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91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91"/>
      <c r="AQ75" s="91"/>
      <c r="AR75" s="91"/>
      <c r="AS75" s="91"/>
      <c r="AT75" s="91"/>
      <c r="AU75" s="91"/>
      <c r="AV75" s="91"/>
      <c r="AW75" s="91"/>
      <c r="AX75" s="91"/>
      <c r="AY75" s="91"/>
      <c r="AZ75" s="91"/>
      <c r="BA75" s="91"/>
      <c r="BB75" s="91"/>
      <c r="BC75" s="91"/>
      <c r="BD75" s="91"/>
      <c r="BE75" s="91"/>
      <c r="BF75" s="91"/>
      <c r="BG75" s="91"/>
      <c r="BH75" s="112"/>
    </row>
    <row r="76" spans="1:60">
      <c r="A76" s="51"/>
      <c r="B76" s="108"/>
      <c r="C76" s="52" t="s">
        <v>155</v>
      </c>
      <c r="D76" s="52" t="s">
        <v>93</v>
      </c>
      <c r="E76" s="52" t="s">
        <v>0</v>
      </c>
      <c r="F76" s="54" t="s">
        <v>43</v>
      </c>
      <c r="G76" s="83"/>
      <c r="H76" s="83"/>
      <c r="I76" s="83"/>
      <c r="J76" s="83"/>
      <c r="K76" s="83"/>
      <c r="L76" s="83"/>
      <c r="M76" s="83"/>
      <c r="N76" s="83"/>
      <c r="O76" s="83"/>
      <c r="P76" s="89"/>
      <c r="Q76" s="83"/>
      <c r="R76" s="83"/>
      <c r="S76" s="83"/>
      <c r="T76" s="83"/>
      <c r="U76" s="83"/>
      <c r="V76" s="83"/>
      <c r="W76" s="83"/>
      <c r="X76" s="89">
        <f t="shared" ref="X76:X82" si="137">SUM(P76:W76)+SUM(G76:K76)</f>
        <v>0</v>
      </c>
      <c r="Y76" s="83"/>
      <c r="Z76" s="83"/>
      <c r="AA76" s="83"/>
      <c r="AB76" s="83"/>
      <c r="AC76" s="83"/>
      <c r="AD76" s="83"/>
      <c r="AE76" s="83"/>
      <c r="AF76" s="83"/>
      <c r="AG76" s="83"/>
      <c r="AH76" s="89"/>
      <c r="AI76" s="83"/>
      <c r="AJ76" s="83"/>
      <c r="AK76" s="83"/>
      <c r="AL76" s="83"/>
      <c r="AM76" s="83"/>
      <c r="AN76" s="83"/>
      <c r="AO76" s="83"/>
      <c r="AP76" s="89">
        <f t="shared" ref="AP76:AP82" si="138">SUM(AH76:AO76)+SUM(Y76:AC76)</f>
        <v>0</v>
      </c>
      <c r="AQ76" s="89">
        <f t="shared" ref="AQ76:AW82" si="139">G76+Y76</f>
        <v>0</v>
      </c>
      <c r="AR76" s="89">
        <f t="shared" si="139"/>
        <v>0</v>
      </c>
      <c r="AS76" s="89">
        <f t="shared" si="139"/>
        <v>0</v>
      </c>
      <c r="AT76" s="89">
        <f t="shared" si="139"/>
        <v>0</v>
      </c>
      <c r="AU76" s="89">
        <f t="shared" si="139"/>
        <v>0</v>
      </c>
      <c r="AV76" s="89">
        <f t="shared" si="139"/>
        <v>0</v>
      </c>
      <c r="AW76" s="89">
        <f t="shared" si="139"/>
        <v>0</v>
      </c>
      <c r="AX76" s="89">
        <f t="shared" ref="AX76:AX82" si="140">N76+AF76</f>
        <v>0</v>
      </c>
      <c r="AY76" s="89">
        <f t="shared" ref="AY76:AZ82" si="141">O76+AG76</f>
        <v>0</v>
      </c>
      <c r="AZ76" s="89">
        <f t="shared" si="141"/>
        <v>0</v>
      </c>
      <c r="BA76" s="89">
        <f t="shared" ref="BA76:BF82" si="142">Q76+AI76</f>
        <v>0</v>
      </c>
      <c r="BB76" s="89">
        <f t="shared" si="142"/>
        <v>0</v>
      </c>
      <c r="BC76" s="89">
        <f t="shared" si="142"/>
        <v>0</v>
      </c>
      <c r="BD76" s="89">
        <f t="shared" si="142"/>
        <v>0</v>
      </c>
      <c r="BE76" s="89">
        <f t="shared" si="142"/>
        <v>0</v>
      </c>
      <c r="BF76" s="89">
        <f t="shared" si="142"/>
        <v>0</v>
      </c>
      <c r="BG76" s="89">
        <f t="shared" ref="BG76:BG81" si="143">W76+AO76</f>
        <v>0</v>
      </c>
      <c r="BH76" s="111">
        <f t="shared" ref="BH76:BH82" si="144">X76+AP76</f>
        <v>0</v>
      </c>
    </row>
    <row r="77" spans="1:60">
      <c r="A77" s="51"/>
      <c r="B77" s="108"/>
      <c r="C77" s="52" t="s">
        <v>156</v>
      </c>
      <c r="D77" s="52" t="s">
        <v>93</v>
      </c>
      <c r="E77" s="52" t="s">
        <v>0</v>
      </c>
      <c r="F77" s="54" t="s">
        <v>44</v>
      </c>
      <c r="G77" s="83"/>
      <c r="H77" s="83"/>
      <c r="I77" s="83"/>
      <c r="J77" s="83"/>
      <c r="K77" s="83"/>
      <c r="L77" s="83"/>
      <c r="M77" s="83"/>
      <c r="N77" s="83"/>
      <c r="O77" s="83"/>
      <c r="P77" s="89"/>
      <c r="Q77" s="83"/>
      <c r="R77" s="83"/>
      <c r="S77" s="83"/>
      <c r="T77" s="83"/>
      <c r="U77" s="83"/>
      <c r="V77" s="83"/>
      <c r="W77" s="83"/>
      <c r="X77" s="89">
        <f t="shared" si="137"/>
        <v>0</v>
      </c>
      <c r="Y77" s="83"/>
      <c r="Z77" s="83"/>
      <c r="AA77" s="83"/>
      <c r="AB77" s="83"/>
      <c r="AC77" s="83"/>
      <c r="AD77" s="83"/>
      <c r="AE77" s="83"/>
      <c r="AF77" s="83"/>
      <c r="AG77" s="83"/>
      <c r="AH77" s="89"/>
      <c r="AI77" s="83"/>
      <c r="AJ77" s="83"/>
      <c r="AK77" s="83"/>
      <c r="AL77" s="83"/>
      <c r="AM77" s="83"/>
      <c r="AN77" s="83"/>
      <c r="AO77" s="83"/>
      <c r="AP77" s="89">
        <f t="shared" si="138"/>
        <v>0</v>
      </c>
      <c r="AQ77" s="89">
        <f t="shared" si="139"/>
        <v>0</v>
      </c>
      <c r="AR77" s="89">
        <f t="shared" si="139"/>
        <v>0</v>
      </c>
      <c r="AS77" s="89">
        <f t="shared" si="139"/>
        <v>0</v>
      </c>
      <c r="AT77" s="89">
        <f t="shared" si="139"/>
        <v>0</v>
      </c>
      <c r="AU77" s="89">
        <f t="shared" si="139"/>
        <v>0</v>
      </c>
      <c r="AV77" s="89">
        <f t="shared" si="139"/>
        <v>0</v>
      </c>
      <c r="AW77" s="89">
        <f t="shared" si="139"/>
        <v>0</v>
      </c>
      <c r="AX77" s="89">
        <f t="shared" si="140"/>
        <v>0</v>
      </c>
      <c r="AY77" s="89">
        <f t="shared" si="141"/>
        <v>0</v>
      </c>
      <c r="AZ77" s="89">
        <f t="shared" si="141"/>
        <v>0</v>
      </c>
      <c r="BA77" s="89">
        <f t="shared" si="142"/>
        <v>0</v>
      </c>
      <c r="BB77" s="89">
        <f t="shared" si="142"/>
        <v>0</v>
      </c>
      <c r="BC77" s="89">
        <f t="shared" si="142"/>
        <v>0</v>
      </c>
      <c r="BD77" s="89">
        <f t="shared" si="142"/>
        <v>0</v>
      </c>
      <c r="BE77" s="89">
        <f t="shared" si="142"/>
        <v>0</v>
      </c>
      <c r="BF77" s="89">
        <f t="shared" si="142"/>
        <v>0</v>
      </c>
      <c r="BG77" s="89">
        <f t="shared" si="143"/>
        <v>0</v>
      </c>
      <c r="BH77" s="111">
        <f t="shared" si="144"/>
        <v>0</v>
      </c>
    </row>
    <row r="78" spans="1:60" ht="16.5" customHeight="1">
      <c r="A78" s="51"/>
      <c r="B78" s="108"/>
      <c r="C78" s="52" t="s">
        <v>157</v>
      </c>
      <c r="D78" s="52" t="s">
        <v>93</v>
      </c>
      <c r="E78" s="52" t="s">
        <v>0</v>
      </c>
      <c r="F78" s="53" t="s">
        <v>63</v>
      </c>
      <c r="G78" s="89">
        <f t="shared" ref="G78:M78" si="145">G76+G77</f>
        <v>0</v>
      </c>
      <c r="H78" s="89">
        <f t="shared" si="145"/>
        <v>0</v>
      </c>
      <c r="I78" s="89">
        <f t="shared" si="145"/>
        <v>0</v>
      </c>
      <c r="J78" s="89">
        <f t="shared" si="145"/>
        <v>0</v>
      </c>
      <c r="K78" s="89">
        <f t="shared" si="145"/>
        <v>0</v>
      </c>
      <c r="L78" s="89">
        <f t="shared" si="145"/>
        <v>0</v>
      </c>
      <c r="M78" s="89">
        <f t="shared" si="145"/>
        <v>0</v>
      </c>
      <c r="N78" s="89">
        <f t="shared" ref="N78:O78" si="146">N76+N77</f>
        <v>0</v>
      </c>
      <c r="O78" s="89">
        <f t="shared" si="146"/>
        <v>0</v>
      </c>
      <c r="P78" s="89">
        <f t="shared" ref="P78" si="147">P76+P77</f>
        <v>0</v>
      </c>
      <c r="Q78" s="89">
        <f t="shared" ref="Q78:W78" si="148">Q76+Q77</f>
        <v>0</v>
      </c>
      <c r="R78" s="89">
        <f t="shared" si="148"/>
        <v>0</v>
      </c>
      <c r="S78" s="89">
        <f t="shared" si="148"/>
        <v>0</v>
      </c>
      <c r="T78" s="89">
        <f t="shared" si="148"/>
        <v>0</v>
      </c>
      <c r="U78" s="89">
        <f t="shared" si="148"/>
        <v>0</v>
      </c>
      <c r="V78" s="89">
        <f t="shared" ref="V78" si="149">V76+V77</f>
        <v>0</v>
      </c>
      <c r="W78" s="89">
        <f t="shared" si="148"/>
        <v>0</v>
      </c>
      <c r="X78" s="89">
        <f t="shared" si="137"/>
        <v>0</v>
      </c>
      <c r="Y78" s="89">
        <f t="shared" ref="Y78:AG78" si="150">Y76+Y77</f>
        <v>0</v>
      </c>
      <c r="Z78" s="89">
        <f t="shared" si="150"/>
        <v>0</v>
      </c>
      <c r="AA78" s="89">
        <f t="shared" si="150"/>
        <v>0</v>
      </c>
      <c r="AB78" s="89">
        <f t="shared" si="150"/>
        <v>0</v>
      </c>
      <c r="AC78" s="89">
        <f t="shared" si="150"/>
        <v>0</v>
      </c>
      <c r="AD78" s="89">
        <f t="shared" si="150"/>
        <v>0</v>
      </c>
      <c r="AE78" s="89">
        <f t="shared" si="150"/>
        <v>0</v>
      </c>
      <c r="AF78" s="89">
        <f t="shared" si="150"/>
        <v>0</v>
      </c>
      <c r="AG78" s="89">
        <f t="shared" si="150"/>
        <v>0</v>
      </c>
      <c r="AH78" s="89">
        <f t="shared" ref="AH78" si="151">AH76+AH77</f>
        <v>0</v>
      </c>
      <c r="AI78" s="89">
        <f t="shared" ref="AI78:AO78" si="152">AI76+AI77</f>
        <v>0</v>
      </c>
      <c r="AJ78" s="89">
        <f t="shared" si="152"/>
        <v>0</v>
      </c>
      <c r="AK78" s="89">
        <f t="shared" si="152"/>
        <v>0</v>
      </c>
      <c r="AL78" s="89">
        <f t="shared" si="152"/>
        <v>0</v>
      </c>
      <c r="AM78" s="89">
        <f t="shared" si="152"/>
        <v>0</v>
      </c>
      <c r="AN78" s="89">
        <f t="shared" si="152"/>
        <v>0</v>
      </c>
      <c r="AO78" s="89">
        <f t="shared" si="152"/>
        <v>0</v>
      </c>
      <c r="AP78" s="89">
        <f t="shared" si="138"/>
        <v>0</v>
      </c>
      <c r="AQ78" s="89">
        <f t="shared" si="139"/>
        <v>0</v>
      </c>
      <c r="AR78" s="89">
        <f t="shared" si="139"/>
        <v>0</v>
      </c>
      <c r="AS78" s="89">
        <f t="shared" si="139"/>
        <v>0</v>
      </c>
      <c r="AT78" s="89">
        <f t="shared" si="139"/>
        <v>0</v>
      </c>
      <c r="AU78" s="89">
        <f t="shared" si="139"/>
        <v>0</v>
      </c>
      <c r="AV78" s="89">
        <f t="shared" si="139"/>
        <v>0</v>
      </c>
      <c r="AW78" s="89">
        <f t="shared" si="139"/>
        <v>0</v>
      </c>
      <c r="AX78" s="89">
        <f t="shared" si="140"/>
        <v>0</v>
      </c>
      <c r="AY78" s="89">
        <f t="shared" si="141"/>
        <v>0</v>
      </c>
      <c r="AZ78" s="89">
        <f t="shared" si="141"/>
        <v>0</v>
      </c>
      <c r="BA78" s="89">
        <f t="shared" si="142"/>
        <v>0</v>
      </c>
      <c r="BB78" s="89">
        <f t="shared" si="142"/>
        <v>0</v>
      </c>
      <c r="BC78" s="89">
        <f t="shared" si="142"/>
        <v>0</v>
      </c>
      <c r="BD78" s="89">
        <f t="shared" si="142"/>
        <v>0</v>
      </c>
      <c r="BE78" s="89">
        <f t="shared" si="142"/>
        <v>0</v>
      </c>
      <c r="BF78" s="89">
        <f t="shared" si="142"/>
        <v>0</v>
      </c>
      <c r="BG78" s="89">
        <f t="shared" si="143"/>
        <v>0</v>
      </c>
      <c r="BH78" s="111">
        <f t="shared" si="144"/>
        <v>0</v>
      </c>
    </row>
    <row r="79" spans="1:60" ht="15" customHeight="1">
      <c r="A79" s="51"/>
      <c r="B79" s="108"/>
      <c r="C79" s="52" t="s">
        <v>158</v>
      </c>
      <c r="D79" s="52" t="s">
        <v>93</v>
      </c>
      <c r="E79" s="52" t="s">
        <v>0</v>
      </c>
      <c r="F79" s="54" t="s">
        <v>45</v>
      </c>
      <c r="G79" s="83"/>
      <c r="H79" s="83"/>
      <c r="I79" s="83"/>
      <c r="J79" s="83"/>
      <c r="K79" s="83"/>
      <c r="L79" s="83"/>
      <c r="M79" s="83"/>
      <c r="N79" s="83"/>
      <c r="O79" s="83"/>
      <c r="P79" s="89"/>
      <c r="Q79" s="83"/>
      <c r="R79" s="83"/>
      <c r="S79" s="83"/>
      <c r="T79" s="83"/>
      <c r="U79" s="83"/>
      <c r="V79" s="83"/>
      <c r="W79" s="83"/>
      <c r="X79" s="89">
        <f t="shared" si="137"/>
        <v>0</v>
      </c>
      <c r="Y79" s="83"/>
      <c r="Z79" s="83"/>
      <c r="AA79" s="83"/>
      <c r="AB79" s="83"/>
      <c r="AC79" s="83"/>
      <c r="AD79" s="83"/>
      <c r="AE79" s="83">
        <v>9620183000</v>
      </c>
      <c r="AF79" s="83"/>
      <c r="AG79" s="83"/>
      <c r="AH79" s="89"/>
      <c r="AI79" s="83"/>
      <c r="AJ79" s="83"/>
      <c r="AK79" s="83"/>
      <c r="AL79" s="83"/>
      <c r="AM79" s="83"/>
      <c r="AN79" s="83"/>
      <c r="AO79" s="83"/>
      <c r="AP79" s="89">
        <f t="shared" si="138"/>
        <v>0</v>
      </c>
      <c r="AQ79" s="89">
        <f t="shared" si="139"/>
        <v>0</v>
      </c>
      <c r="AR79" s="89">
        <f t="shared" si="139"/>
        <v>0</v>
      </c>
      <c r="AS79" s="89">
        <f t="shared" si="139"/>
        <v>0</v>
      </c>
      <c r="AT79" s="89">
        <f t="shared" si="139"/>
        <v>0</v>
      </c>
      <c r="AU79" s="89">
        <f t="shared" si="139"/>
        <v>0</v>
      </c>
      <c r="AV79" s="89">
        <f t="shared" si="139"/>
        <v>0</v>
      </c>
      <c r="AW79" s="89">
        <f t="shared" si="139"/>
        <v>9620183000</v>
      </c>
      <c r="AX79" s="89">
        <f t="shared" si="140"/>
        <v>0</v>
      </c>
      <c r="AY79" s="89">
        <f t="shared" si="141"/>
        <v>0</v>
      </c>
      <c r="AZ79" s="89">
        <f t="shared" si="141"/>
        <v>0</v>
      </c>
      <c r="BA79" s="89">
        <f t="shared" si="142"/>
        <v>0</v>
      </c>
      <c r="BB79" s="89">
        <f t="shared" si="142"/>
        <v>0</v>
      </c>
      <c r="BC79" s="89">
        <f t="shared" si="142"/>
        <v>0</v>
      </c>
      <c r="BD79" s="89">
        <f t="shared" si="142"/>
        <v>0</v>
      </c>
      <c r="BE79" s="89">
        <f t="shared" si="142"/>
        <v>0</v>
      </c>
      <c r="BF79" s="89">
        <f t="shared" si="142"/>
        <v>0</v>
      </c>
      <c r="BG79" s="89">
        <f t="shared" si="143"/>
        <v>0</v>
      </c>
      <c r="BH79" s="111">
        <f t="shared" si="144"/>
        <v>0</v>
      </c>
    </row>
    <row r="80" spans="1:60" ht="15" customHeight="1">
      <c r="A80" s="51"/>
      <c r="B80" s="108"/>
      <c r="C80" s="52" t="s">
        <v>159</v>
      </c>
      <c r="D80" s="52" t="s">
        <v>93</v>
      </c>
      <c r="E80" s="52" t="s">
        <v>0</v>
      </c>
      <c r="F80" s="54" t="s">
        <v>46</v>
      </c>
      <c r="G80" s="83"/>
      <c r="H80" s="83"/>
      <c r="I80" s="83"/>
      <c r="J80" s="83"/>
      <c r="K80" s="83"/>
      <c r="L80" s="83"/>
      <c r="M80" s="83"/>
      <c r="N80" s="83">
        <v>345917000</v>
      </c>
      <c r="O80" s="83"/>
      <c r="P80" s="89"/>
      <c r="Q80" s="83"/>
      <c r="R80" s="83"/>
      <c r="S80" s="83"/>
      <c r="T80" s="83"/>
      <c r="U80" s="83">
        <v>-7315361000</v>
      </c>
      <c r="V80" s="83"/>
      <c r="W80" s="83"/>
      <c r="X80" s="89">
        <f t="shared" si="137"/>
        <v>-7315361000</v>
      </c>
      <c r="Y80" s="83"/>
      <c r="Z80" s="83"/>
      <c r="AA80" s="83"/>
      <c r="AB80" s="83"/>
      <c r="AC80" s="83"/>
      <c r="AD80" s="83"/>
      <c r="AE80" s="83"/>
      <c r="AF80" s="83"/>
      <c r="AG80" s="83"/>
      <c r="AH80" s="89"/>
      <c r="AI80" s="83"/>
      <c r="AJ80" s="83"/>
      <c r="AK80" s="83"/>
      <c r="AL80" s="83"/>
      <c r="AM80" s="83"/>
      <c r="AN80" s="83"/>
      <c r="AO80" s="83"/>
      <c r="AP80" s="89">
        <f t="shared" si="138"/>
        <v>0</v>
      </c>
      <c r="AQ80" s="89">
        <f t="shared" si="139"/>
        <v>0</v>
      </c>
      <c r="AR80" s="89">
        <f t="shared" si="139"/>
        <v>0</v>
      </c>
      <c r="AS80" s="89">
        <f t="shared" si="139"/>
        <v>0</v>
      </c>
      <c r="AT80" s="89">
        <f t="shared" si="139"/>
        <v>0</v>
      </c>
      <c r="AU80" s="89">
        <f t="shared" si="139"/>
        <v>0</v>
      </c>
      <c r="AV80" s="89">
        <f t="shared" si="139"/>
        <v>0</v>
      </c>
      <c r="AW80" s="89">
        <f t="shared" si="139"/>
        <v>0</v>
      </c>
      <c r="AX80" s="89">
        <f t="shared" si="140"/>
        <v>345917000</v>
      </c>
      <c r="AY80" s="89">
        <f t="shared" si="141"/>
        <v>0</v>
      </c>
      <c r="AZ80" s="89">
        <f t="shared" si="141"/>
        <v>0</v>
      </c>
      <c r="BA80" s="89">
        <f t="shared" si="142"/>
        <v>0</v>
      </c>
      <c r="BB80" s="89">
        <f t="shared" si="142"/>
        <v>0</v>
      </c>
      <c r="BC80" s="89">
        <f t="shared" si="142"/>
        <v>0</v>
      </c>
      <c r="BD80" s="89">
        <f t="shared" si="142"/>
        <v>0</v>
      </c>
      <c r="BE80" s="89">
        <f t="shared" si="142"/>
        <v>-7315361000</v>
      </c>
      <c r="BF80" s="89">
        <f t="shared" si="142"/>
        <v>0</v>
      </c>
      <c r="BG80" s="89">
        <f t="shared" si="143"/>
        <v>0</v>
      </c>
      <c r="BH80" s="111">
        <f t="shared" si="144"/>
        <v>-7315361000</v>
      </c>
    </row>
    <row r="81" spans="1:60">
      <c r="A81" s="51"/>
      <c r="B81" s="108"/>
      <c r="C81" s="52" t="s">
        <v>160</v>
      </c>
      <c r="D81" s="52" t="s">
        <v>93</v>
      </c>
      <c r="E81" s="52" t="s">
        <v>0</v>
      </c>
      <c r="F81" s="53" t="s">
        <v>64</v>
      </c>
      <c r="G81" s="89">
        <f t="shared" ref="G81:M81" si="153">G62+G63+G64-G65-G66+G67+G68-G69+G70+G74-G78-G79-G80</f>
        <v>0</v>
      </c>
      <c r="H81" s="89">
        <f t="shared" si="153"/>
        <v>0</v>
      </c>
      <c r="I81" s="89">
        <f t="shared" si="153"/>
        <v>0</v>
      </c>
      <c r="J81" s="89">
        <f t="shared" si="153"/>
        <v>0</v>
      </c>
      <c r="K81" s="89">
        <f t="shared" si="153"/>
        <v>0</v>
      </c>
      <c r="L81" s="89">
        <f t="shared" si="153"/>
        <v>0</v>
      </c>
      <c r="M81" s="89">
        <f t="shared" si="153"/>
        <v>0</v>
      </c>
      <c r="N81" s="89">
        <f t="shared" ref="N81:O81" si="154">N62+N63+N64-N65-N66+N67+N68-N69+N70+N74-N78-N79-N80</f>
        <v>0</v>
      </c>
      <c r="O81" s="89">
        <f t="shared" si="154"/>
        <v>800963000</v>
      </c>
      <c r="P81" s="89">
        <f t="shared" ref="P81" si="155">P62+P63+P64-P65-P66+P67+P68-P69+P70+P74-P78-P79-P80</f>
        <v>0</v>
      </c>
      <c r="Q81" s="89">
        <f t="shared" ref="Q81:W81" si="156">Q62+Q63+Q64-Q65-Q66+Q67+Q68-Q69+Q70+Q74-Q78-Q79-Q80</f>
        <v>0</v>
      </c>
      <c r="R81" s="89">
        <f t="shared" si="156"/>
        <v>0</v>
      </c>
      <c r="S81" s="89">
        <f t="shared" si="156"/>
        <v>0</v>
      </c>
      <c r="T81" s="89">
        <f t="shared" si="156"/>
        <v>0</v>
      </c>
      <c r="U81" s="89">
        <f t="shared" si="156"/>
        <v>7315361000</v>
      </c>
      <c r="V81" s="89">
        <f t="shared" ref="V81" si="157">V62+V63+V64-V65-V66+V67+V68-V69+V70+V74-V78-V79-V80</f>
        <v>0</v>
      </c>
      <c r="W81" s="89">
        <f t="shared" si="156"/>
        <v>0</v>
      </c>
      <c r="X81" s="89">
        <f t="shared" si="137"/>
        <v>7315361000</v>
      </c>
      <c r="Y81" s="89">
        <f t="shared" ref="Y81:AG81" si="158">Y62+Y63+Y64-Y65-Y66+Y67+Y68-Y69+Y70+Y74-Y78-Y79-Y80</f>
        <v>345917000</v>
      </c>
      <c r="Z81" s="89">
        <f t="shared" si="158"/>
        <v>0</v>
      </c>
      <c r="AA81" s="89">
        <f t="shared" si="158"/>
        <v>0</v>
      </c>
      <c r="AB81" s="89">
        <f t="shared" si="158"/>
        <v>800963000</v>
      </c>
      <c r="AC81" s="89">
        <f t="shared" si="158"/>
        <v>0</v>
      </c>
      <c r="AD81" s="89">
        <f t="shared" si="158"/>
        <v>0</v>
      </c>
      <c r="AE81" s="89">
        <f t="shared" si="158"/>
        <v>-9620183000</v>
      </c>
      <c r="AF81" s="89">
        <f t="shared" si="158"/>
        <v>0</v>
      </c>
      <c r="AG81" s="89">
        <f t="shared" si="158"/>
        <v>0</v>
      </c>
      <c r="AH81" s="89">
        <f t="shared" ref="AH81" si="159">AH62+AH63+AH64-AH65-AH66+AH67+AH68-AH69+AH70+AH74-AH78-AH79-AH80</f>
        <v>0</v>
      </c>
      <c r="AI81" s="89">
        <f t="shared" ref="AI81:AO81" si="160">AI62+AI63+AI64-AI65-AI66+AI67+AI68-AI69+AI70+AI74-AI78-AI79-AI80</f>
        <v>0</v>
      </c>
      <c r="AJ81" s="89">
        <f t="shared" si="160"/>
        <v>0</v>
      </c>
      <c r="AK81" s="89">
        <f t="shared" si="160"/>
        <v>0</v>
      </c>
      <c r="AL81" s="89">
        <f t="shared" si="160"/>
        <v>0</v>
      </c>
      <c r="AM81" s="89">
        <f t="shared" si="160"/>
        <v>0</v>
      </c>
      <c r="AN81" s="89">
        <f t="shared" si="160"/>
        <v>-1383965000</v>
      </c>
      <c r="AO81" s="89">
        <f t="shared" si="160"/>
        <v>-1383965000</v>
      </c>
      <c r="AP81" s="89">
        <f t="shared" si="138"/>
        <v>-1621050000</v>
      </c>
      <c r="AQ81" s="89">
        <f t="shared" si="139"/>
        <v>345917000</v>
      </c>
      <c r="AR81" s="89">
        <f t="shared" si="139"/>
        <v>0</v>
      </c>
      <c r="AS81" s="89">
        <f t="shared" si="139"/>
        <v>0</v>
      </c>
      <c r="AT81" s="89">
        <f t="shared" si="139"/>
        <v>800963000</v>
      </c>
      <c r="AU81" s="89">
        <f t="shared" si="139"/>
        <v>0</v>
      </c>
      <c r="AV81" s="89">
        <f t="shared" si="139"/>
        <v>0</v>
      </c>
      <c r="AW81" s="89">
        <f t="shared" si="139"/>
        <v>-9620183000</v>
      </c>
      <c r="AX81" s="89">
        <f t="shared" si="140"/>
        <v>0</v>
      </c>
      <c r="AY81" s="89">
        <f t="shared" si="141"/>
        <v>800963000</v>
      </c>
      <c r="AZ81" s="89">
        <f t="shared" si="141"/>
        <v>0</v>
      </c>
      <c r="BA81" s="89">
        <f t="shared" si="142"/>
        <v>0</v>
      </c>
      <c r="BB81" s="89">
        <f t="shared" si="142"/>
        <v>0</v>
      </c>
      <c r="BC81" s="89">
        <f t="shared" si="142"/>
        <v>0</v>
      </c>
      <c r="BD81" s="89">
        <f t="shared" si="142"/>
        <v>0</v>
      </c>
      <c r="BE81" s="89">
        <f t="shared" si="142"/>
        <v>7315361000</v>
      </c>
      <c r="BF81" s="89">
        <f t="shared" si="142"/>
        <v>-1383965000</v>
      </c>
      <c r="BG81" s="89">
        <f t="shared" si="143"/>
        <v>-1383965000</v>
      </c>
      <c r="BH81" s="111">
        <f t="shared" si="144"/>
        <v>5694311000</v>
      </c>
    </row>
    <row r="82" spans="1:60">
      <c r="A82" s="51" t="s">
        <v>52</v>
      </c>
      <c r="B82" s="108"/>
      <c r="C82" s="52" t="s">
        <v>142</v>
      </c>
      <c r="D82" s="52" t="s">
        <v>3</v>
      </c>
      <c r="E82" s="52" t="s">
        <v>0</v>
      </c>
      <c r="F82" s="53" t="s">
        <v>186</v>
      </c>
      <c r="G82" s="89">
        <f t="shared" ref="G82:M82" si="161">G60+G81</f>
        <v>0</v>
      </c>
      <c r="H82" s="89">
        <f t="shared" si="161"/>
        <v>0</v>
      </c>
      <c r="I82" s="89">
        <f t="shared" si="161"/>
        <v>0</v>
      </c>
      <c r="J82" s="89">
        <f t="shared" si="161"/>
        <v>0</v>
      </c>
      <c r="K82" s="89">
        <f t="shared" si="161"/>
        <v>0</v>
      </c>
      <c r="L82" s="89">
        <f t="shared" si="161"/>
        <v>0</v>
      </c>
      <c r="M82" s="89">
        <f t="shared" si="161"/>
        <v>0</v>
      </c>
      <c r="N82" s="89">
        <f t="shared" ref="N82:O82" si="162">N60+N81</f>
        <v>20281948000</v>
      </c>
      <c r="O82" s="89">
        <f t="shared" si="162"/>
        <v>1664135000</v>
      </c>
      <c r="P82" s="89">
        <f t="shared" ref="P82" si="163">P60+P81</f>
        <v>0</v>
      </c>
      <c r="Q82" s="89">
        <f t="shared" ref="Q82:W82" si="164">Q60+Q81</f>
        <v>0</v>
      </c>
      <c r="R82" s="89">
        <f t="shared" si="164"/>
        <v>0</v>
      </c>
      <c r="S82" s="89">
        <f t="shared" si="164"/>
        <v>0</v>
      </c>
      <c r="T82" s="89">
        <f t="shared" si="164"/>
        <v>0</v>
      </c>
      <c r="U82" s="89">
        <f t="shared" si="164"/>
        <v>7315361000</v>
      </c>
      <c r="V82" s="89">
        <f t="shared" ref="V82" si="165">V60+V81</f>
        <v>0</v>
      </c>
      <c r="W82" s="89">
        <f t="shared" si="164"/>
        <v>0</v>
      </c>
      <c r="X82" s="89">
        <f t="shared" si="137"/>
        <v>7315361000</v>
      </c>
      <c r="Y82" s="89">
        <f t="shared" ref="Y82:AG82" si="166">Y60+Y81</f>
        <v>5651226000</v>
      </c>
      <c r="Z82" s="89">
        <f t="shared" si="166"/>
        <v>0</v>
      </c>
      <c r="AA82" s="89">
        <f t="shared" si="166"/>
        <v>0</v>
      </c>
      <c r="AB82" s="89">
        <f t="shared" si="166"/>
        <v>1664135000</v>
      </c>
      <c r="AC82" s="89">
        <f t="shared" si="166"/>
        <v>0</v>
      </c>
      <c r="AD82" s="89">
        <f t="shared" si="166"/>
        <v>0</v>
      </c>
      <c r="AE82" s="89">
        <f t="shared" si="166"/>
        <v>0</v>
      </c>
      <c r="AF82" s="89">
        <f t="shared" si="166"/>
        <v>0</v>
      </c>
      <c r="AG82" s="89">
        <f t="shared" si="166"/>
        <v>0</v>
      </c>
      <c r="AH82" s="89">
        <f t="shared" ref="AH82" si="167">AH60+AH81</f>
        <v>0</v>
      </c>
      <c r="AI82" s="89">
        <f t="shared" ref="AI82:AO82" si="168">AI60+AI81</f>
        <v>0</v>
      </c>
      <c r="AJ82" s="89">
        <f t="shared" si="168"/>
        <v>0</v>
      </c>
      <c r="AK82" s="89">
        <f t="shared" si="168"/>
        <v>0</v>
      </c>
      <c r="AL82" s="89">
        <f t="shared" si="168"/>
        <v>0</v>
      </c>
      <c r="AM82" s="89">
        <f t="shared" si="168"/>
        <v>0</v>
      </c>
      <c r="AN82" s="89">
        <f t="shared" si="168"/>
        <v>7435519000</v>
      </c>
      <c r="AO82" s="89">
        <f t="shared" si="168"/>
        <v>7435519000</v>
      </c>
      <c r="AP82" s="89">
        <f t="shared" si="138"/>
        <v>22186399000</v>
      </c>
      <c r="AQ82" s="89">
        <f t="shared" si="139"/>
        <v>5651226000</v>
      </c>
      <c r="AR82" s="89">
        <f t="shared" si="139"/>
        <v>0</v>
      </c>
      <c r="AS82" s="89">
        <f t="shared" si="139"/>
        <v>0</v>
      </c>
      <c r="AT82" s="89">
        <f t="shared" si="139"/>
        <v>1664135000</v>
      </c>
      <c r="AU82" s="89">
        <f t="shared" si="139"/>
        <v>0</v>
      </c>
      <c r="AV82" s="89">
        <f t="shared" si="139"/>
        <v>0</v>
      </c>
      <c r="AW82" s="89">
        <f t="shared" si="139"/>
        <v>0</v>
      </c>
      <c r="AX82" s="89">
        <f t="shared" si="140"/>
        <v>20281948000</v>
      </c>
      <c r="AY82" s="89">
        <f t="shared" si="141"/>
        <v>1664135000</v>
      </c>
      <c r="AZ82" s="89">
        <f t="shared" si="141"/>
        <v>0</v>
      </c>
      <c r="BA82" s="89">
        <f t="shared" si="142"/>
        <v>0</v>
      </c>
      <c r="BB82" s="89">
        <f t="shared" si="142"/>
        <v>0</v>
      </c>
      <c r="BC82" s="89">
        <f t="shared" si="142"/>
        <v>0</v>
      </c>
      <c r="BD82" s="89">
        <f t="shared" si="142"/>
        <v>0</v>
      </c>
      <c r="BE82" s="89">
        <f t="shared" si="142"/>
        <v>7315361000</v>
      </c>
      <c r="BF82" s="89">
        <f t="shared" si="142"/>
        <v>7435519000</v>
      </c>
      <c r="BG82" s="89">
        <f>W82+AO82</f>
        <v>7435519000</v>
      </c>
      <c r="BH82" s="111">
        <f t="shared" si="144"/>
        <v>29501760000</v>
      </c>
    </row>
    <row r="83" spans="1:60">
      <c r="A83" s="51"/>
      <c r="B83" s="108"/>
      <c r="C83" s="52"/>
      <c r="D83" s="52"/>
      <c r="E83" s="52"/>
      <c r="F83" s="54"/>
      <c r="G83" s="101">
        <f t="shared" ref="G83:AL83" si="169">G21-G82</f>
        <v>0</v>
      </c>
      <c r="H83" s="101">
        <f t="shared" si="169"/>
        <v>0</v>
      </c>
      <c r="I83" s="101">
        <f t="shared" si="169"/>
        <v>0</v>
      </c>
      <c r="J83" s="101">
        <f t="shared" si="169"/>
        <v>0</v>
      </c>
      <c r="K83" s="101">
        <f t="shared" si="169"/>
        <v>0</v>
      </c>
      <c r="L83" s="101">
        <f t="shared" si="169"/>
        <v>0</v>
      </c>
      <c r="M83" s="101">
        <f t="shared" si="169"/>
        <v>0</v>
      </c>
      <c r="N83" s="101">
        <f t="shared" si="169"/>
        <v>0</v>
      </c>
      <c r="O83" s="101">
        <f t="shared" si="169"/>
        <v>0</v>
      </c>
      <c r="P83" s="101">
        <f t="shared" si="169"/>
        <v>0</v>
      </c>
      <c r="Q83" s="101">
        <f t="shared" si="169"/>
        <v>0</v>
      </c>
      <c r="R83" s="101">
        <f t="shared" si="169"/>
        <v>0</v>
      </c>
      <c r="S83" s="101">
        <f t="shared" si="169"/>
        <v>0</v>
      </c>
      <c r="T83" s="101">
        <f t="shared" si="169"/>
        <v>0</v>
      </c>
      <c r="U83" s="101">
        <f t="shared" si="169"/>
        <v>0</v>
      </c>
      <c r="V83" s="101">
        <f t="shared" si="169"/>
        <v>0</v>
      </c>
      <c r="W83" s="101">
        <f t="shared" si="169"/>
        <v>0</v>
      </c>
      <c r="X83" s="101">
        <f t="shared" si="169"/>
        <v>0</v>
      </c>
      <c r="Y83" s="101">
        <f t="shared" si="169"/>
        <v>0</v>
      </c>
      <c r="Z83" s="101">
        <f t="shared" si="169"/>
        <v>0</v>
      </c>
      <c r="AA83" s="101">
        <f t="shared" si="169"/>
        <v>0</v>
      </c>
      <c r="AB83" s="101">
        <f t="shared" si="169"/>
        <v>0</v>
      </c>
      <c r="AC83" s="101">
        <f t="shared" si="169"/>
        <v>0</v>
      </c>
      <c r="AD83" s="101">
        <f t="shared" si="169"/>
        <v>0</v>
      </c>
      <c r="AE83" s="101">
        <f t="shared" si="169"/>
        <v>0</v>
      </c>
      <c r="AF83" s="101">
        <f t="shared" si="169"/>
        <v>0</v>
      </c>
      <c r="AG83" s="101">
        <f t="shared" si="169"/>
        <v>0</v>
      </c>
      <c r="AH83" s="101">
        <f t="shared" si="169"/>
        <v>0</v>
      </c>
      <c r="AI83" s="101">
        <f t="shared" si="169"/>
        <v>0</v>
      </c>
      <c r="AJ83" s="101">
        <f t="shared" si="169"/>
        <v>0</v>
      </c>
      <c r="AK83" s="101">
        <f t="shared" si="169"/>
        <v>0</v>
      </c>
      <c r="AL83" s="101">
        <f t="shared" si="169"/>
        <v>0</v>
      </c>
      <c r="AM83" s="101">
        <f t="shared" ref="AM83:BH83" si="170">AM21-AM82</f>
        <v>0</v>
      </c>
      <c r="AN83" s="101">
        <f t="shared" si="170"/>
        <v>0</v>
      </c>
      <c r="AO83" s="101">
        <f t="shared" si="170"/>
        <v>0</v>
      </c>
      <c r="AP83" s="101">
        <f t="shared" si="170"/>
        <v>0</v>
      </c>
      <c r="AQ83" s="101">
        <f t="shared" si="170"/>
        <v>0</v>
      </c>
      <c r="AR83" s="101">
        <f t="shared" si="170"/>
        <v>0</v>
      </c>
      <c r="AS83" s="101">
        <f t="shared" si="170"/>
        <v>0</v>
      </c>
      <c r="AT83" s="101">
        <f t="shared" si="170"/>
        <v>0</v>
      </c>
      <c r="AU83" s="101">
        <f t="shared" si="170"/>
        <v>0</v>
      </c>
      <c r="AV83" s="101">
        <f t="shared" si="170"/>
        <v>0</v>
      </c>
      <c r="AW83" s="101">
        <f t="shared" si="170"/>
        <v>0</v>
      </c>
      <c r="AX83" s="101">
        <f t="shared" si="170"/>
        <v>0</v>
      </c>
      <c r="AY83" s="101">
        <f t="shared" si="170"/>
        <v>0</v>
      </c>
      <c r="AZ83" s="101">
        <f t="shared" si="170"/>
        <v>0</v>
      </c>
      <c r="BA83" s="101">
        <f t="shared" si="170"/>
        <v>0</v>
      </c>
      <c r="BB83" s="101">
        <f t="shared" si="170"/>
        <v>0</v>
      </c>
      <c r="BC83" s="101">
        <f t="shared" si="170"/>
        <v>0</v>
      </c>
      <c r="BD83" s="101">
        <f t="shared" si="170"/>
        <v>0</v>
      </c>
      <c r="BE83" s="101">
        <f t="shared" si="170"/>
        <v>0</v>
      </c>
      <c r="BF83" s="101">
        <f t="shared" si="170"/>
        <v>0</v>
      </c>
      <c r="BG83" s="101">
        <f t="shared" si="170"/>
        <v>0</v>
      </c>
      <c r="BH83" s="113">
        <f t="shared" si="170"/>
        <v>0</v>
      </c>
    </row>
    <row r="84" spans="1:60">
      <c r="A84" s="51"/>
      <c r="B84" s="108"/>
      <c r="C84" s="52"/>
      <c r="D84" s="52" t="s">
        <v>0</v>
      </c>
      <c r="E84" s="52" t="s">
        <v>0</v>
      </c>
      <c r="F84" s="53" t="s">
        <v>47</v>
      </c>
      <c r="G84" s="52"/>
      <c r="H84" s="52"/>
      <c r="I84" s="52"/>
      <c r="J84" s="52"/>
      <c r="K84" s="52"/>
      <c r="L84" s="52"/>
      <c r="M84" s="52"/>
      <c r="N84" s="52"/>
      <c r="O84" s="52"/>
      <c r="P84" s="52"/>
      <c r="Q84" s="52"/>
      <c r="R84" s="52"/>
      <c r="S84" s="52"/>
      <c r="T84" s="52"/>
      <c r="U84" s="52"/>
      <c r="V84" s="52"/>
      <c r="W84" s="52"/>
      <c r="X84" s="91"/>
      <c r="Y84" s="52"/>
      <c r="Z84" s="52"/>
      <c r="AA84" s="52"/>
      <c r="AB84" s="52"/>
      <c r="AC84" s="52"/>
      <c r="AD84" s="52"/>
      <c r="AE84" s="52"/>
      <c r="AF84" s="52"/>
      <c r="AG84" s="52"/>
      <c r="AH84" s="52"/>
      <c r="AI84" s="52"/>
      <c r="AJ84" s="52"/>
      <c r="AK84" s="52"/>
      <c r="AL84" s="52"/>
      <c r="AM84" s="52"/>
      <c r="AN84" s="52"/>
      <c r="AO84" s="52"/>
      <c r="AP84" s="91"/>
      <c r="AQ84" s="91"/>
      <c r="AR84" s="91"/>
      <c r="AS84" s="91"/>
      <c r="AT84" s="91"/>
      <c r="AU84" s="91"/>
      <c r="AV84" s="91"/>
      <c r="AW84" s="91"/>
      <c r="AX84" s="52"/>
      <c r="AY84" s="52"/>
      <c r="AZ84" s="52"/>
      <c r="BA84" s="91"/>
      <c r="BB84" s="91"/>
      <c r="BC84" s="91"/>
      <c r="BD84" s="91"/>
      <c r="BE84" s="91"/>
      <c r="BF84" s="52"/>
      <c r="BG84" s="91"/>
      <c r="BH84" s="112"/>
    </row>
    <row r="85" spans="1:60">
      <c r="A85" s="51" t="s">
        <v>52</v>
      </c>
      <c r="B85" s="108"/>
      <c r="C85" s="52" t="s">
        <v>161</v>
      </c>
      <c r="D85" s="52" t="s">
        <v>3</v>
      </c>
      <c r="E85" s="52" t="s">
        <v>0</v>
      </c>
      <c r="F85" s="54" t="s">
        <v>48</v>
      </c>
      <c r="G85" s="83"/>
      <c r="H85" s="83"/>
      <c r="I85" s="83"/>
      <c r="J85" s="83"/>
      <c r="K85" s="83"/>
      <c r="L85" s="83"/>
      <c r="M85" s="83"/>
      <c r="N85" s="83"/>
      <c r="O85" s="83"/>
      <c r="P85" s="89"/>
      <c r="Q85" s="83"/>
      <c r="R85" s="83"/>
      <c r="S85" s="83"/>
      <c r="T85" s="83"/>
      <c r="U85" s="83"/>
      <c r="V85" s="83"/>
      <c r="W85" s="83"/>
      <c r="X85" s="89">
        <f t="shared" ref="X85:X87" si="171">SUM(P85:W85)+SUM(G85:K85)</f>
        <v>0</v>
      </c>
      <c r="Y85" s="83"/>
      <c r="Z85" s="83"/>
      <c r="AA85" s="83"/>
      <c r="AB85" s="83"/>
      <c r="AC85" s="83"/>
      <c r="AD85" s="83"/>
      <c r="AE85" s="83"/>
      <c r="AF85" s="83"/>
      <c r="AG85" s="83"/>
      <c r="AH85" s="89"/>
      <c r="AI85" s="83"/>
      <c r="AJ85" s="83"/>
      <c r="AK85" s="83"/>
      <c r="AL85" s="83"/>
      <c r="AM85" s="83"/>
      <c r="AN85" s="83"/>
      <c r="AO85" s="83"/>
      <c r="AP85" s="89">
        <f t="shared" ref="AP85:AP87" si="172">SUM(AH85:AO85)+SUM(Y85:AC85)</f>
        <v>0</v>
      </c>
      <c r="AQ85" s="89">
        <f t="shared" ref="AQ85:AW87" si="173">G85+Y85</f>
        <v>0</v>
      </c>
      <c r="AR85" s="89">
        <f t="shared" si="173"/>
        <v>0</v>
      </c>
      <c r="AS85" s="89">
        <f t="shared" si="173"/>
        <v>0</v>
      </c>
      <c r="AT85" s="89">
        <f t="shared" si="173"/>
        <v>0</v>
      </c>
      <c r="AU85" s="89">
        <f t="shared" si="173"/>
        <v>0</v>
      </c>
      <c r="AV85" s="89">
        <f t="shared" si="173"/>
        <v>0</v>
      </c>
      <c r="AW85" s="89">
        <f t="shared" si="173"/>
        <v>0</v>
      </c>
      <c r="AX85" s="89">
        <f t="shared" ref="AX85:AX87" si="174">N85+AF85</f>
        <v>0</v>
      </c>
      <c r="AY85" s="89">
        <f t="shared" ref="AY85:AZ87" si="175">O85+AG85</f>
        <v>0</v>
      </c>
      <c r="AZ85" s="89">
        <f t="shared" si="175"/>
        <v>0</v>
      </c>
      <c r="BA85" s="89">
        <f t="shared" ref="BA85:BF87" si="176">Q85+AI85</f>
        <v>0</v>
      </c>
      <c r="BB85" s="89">
        <f t="shared" si="176"/>
        <v>0</v>
      </c>
      <c r="BC85" s="89">
        <f t="shared" si="176"/>
        <v>0</v>
      </c>
      <c r="BD85" s="89">
        <f t="shared" si="176"/>
        <v>0</v>
      </c>
      <c r="BE85" s="89">
        <f t="shared" si="176"/>
        <v>0</v>
      </c>
      <c r="BF85" s="89">
        <f t="shared" si="176"/>
        <v>0</v>
      </c>
      <c r="BG85" s="89">
        <f t="shared" ref="BG85:BG87" si="177">W85+AO85</f>
        <v>0</v>
      </c>
      <c r="BH85" s="111">
        <f>X85+AP85</f>
        <v>0</v>
      </c>
    </row>
    <row r="86" spans="1:60">
      <c r="A86" s="51" t="s">
        <v>52</v>
      </c>
      <c r="B86" s="108"/>
      <c r="C86" s="52" t="s">
        <v>162</v>
      </c>
      <c r="D86" s="52" t="s">
        <v>3</v>
      </c>
      <c r="E86" s="52" t="s">
        <v>0</v>
      </c>
      <c r="F86" s="54" t="s">
        <v>49</v>
      </c>
      <c r="G86" s="83"/>
      <c r="H86" s="83"/>
      <c r="I86" s="83"/>
      <c r="J86" s="83"/>
      <c r="K86" s="83"/>
      <c r="L86" s="83"/>
      <c r="M86" s="83"/>
      <c r="N86" s="83"/>
      <c r="O86" s="83"/>
      <c r="P86" s="89"/>
      <c r="Q86" s="83"/>
      <c r="R86" s="83"/>
      <c r="S86" s="83"/>
      <c r="T86" s="83"/>
      <c r="U86" s="83"/>
      <c r="V86" s="83"/>
      <c r="W86" s="83"/>
      <c r="X86" s="89">
        <f t="shared" si="171"/>
        <v>0</v>
      </c>
      <c r="Y86" s="83"/>
      <c r="Z86" s="83"/>
      <c r="AA86" s="83"/>
      <c r="AB86" s="83"/>
      <c r="AC86" s="83"/>
      <c r="AD86" s="83"/>
      <c r="AE86" s="83"/>
      <c r="AF86" s="83"/>
      <c r="AG86" s="83"/>
      <c r="AH86" s="89"/>
      <c r="AI86" s="83"/>
      <c r="AJ86" s="83"/>
      <c r="AK86" s="83"/>
      <c r="AL86" s="83"/>
      <c r="AM86" s="83"/>
      <c r="AN86" s="83"/>
      <c r="AO86" s="83"/>
      <c r="AP86" s="89">
        <f t="shared" si="172"/>
        <v>0</v>
      </c>
      <c r="AQ86" s="89">
        <f t="shared" si="173"/>
        <v>0</v>
      </c>
      <c r="AR86" s="89">
        <f t="shared" si="173"/>
        <v>0</v>
      </c>
      <c r="AS86" s="89">
        <f t="shared" si="173"/>
        <v>0</v>
      </c>
      <c r="AT86" s="89">
        <f t="shared" si="173"/>
        <v>0</v>
      </c>
      <c r="AU86" s="89">
        <f t="shared" si="173"/>
        <v>0</v>
      </c>
      <c r="AV86" s="89">
        <f t="shared" si="173"/>
        <v>0</v>
      </c>
      <c r="AW86" s="89">
        <f t="shared" si="173"/>
        <v>0</v>
      </c>
      <c r="AX86" s="89">
        <f t="shared" si="174"/>
        <v>0</v>
      </c>
      <c r="AY86" s="89">
        <f t="shared" si="175"/>
        <v>0</v>
      </c>
      <c r="AZ86" s="89">
        <f t="shared" si="175"/>
        <v>0</v>
      </c>
      <c r="BA86" s="89">
        <f t="shared" si="176"/>
        <v>0</v>
      </c>
      <c r="BB86" s="89">
        <f t="shared" si="176"/>
        <v>0</v>
      </c>
      <c r="BC86" s="89">
        <f t="shared" si="176"/>
        <v>0</v>
      </c>
      <c r="BD86" s="89">
        <f t="shared" si="176"/>
        <v>0</v>
      </c>
      <c r="BE86" s="89">
        <f t="shared" si="176"/>
        <v>0</v>
      </c>
      <c r="BF86" s="89">
        <f t="shared" si="176"/>
        <v>0</v>
      </c>
      <c r="BG86" s="89">
        <f t="shared" si="177"/>
        <v>0</v>
      </c>
      <c r="BH86" s="111">
        <f>X86+AP86</f>
        <v>0</v>
      </c>
    </row>
    <row r="87" spans="1:60">
      <c r="A87" s="51" t="s">
        <v>52</v>
      </c>
      <c r="B87" s="108"/>
      <c r="C87" s="52" t="s">
        <v>163</v>
      </c>
      <c r="D87" s="52" t="s">
        <v>3</v>
      </c>
      <c r="E87" s="52" t="s">
        <v>0</v>
      </c>
      <c r="F87" s="54" t="s">
        <v>50</v>
      </c>
      <c r="G87" s="83"/>
      <c r="H87" s="83"/>
      <c r="I87" s="83"/>
      <c r="J87" s="83"/>
      <c r="K87" s="83"/>
      <c r="L87" s="83"/>
      <c r="M87" s="83"/>
      <c r="N87" s="83"/>
      <c r="O87" s="83"/>
      <c r="P87" s="89"/>
      <c r="Q87" s="83"/>
      <c r="R87" s="83"/>
      <c r="S87" s="83"/>
      <c r="T87" s="83"/>
      <c r="U87" s="83"/>
      <c r="V87" s="83"/>
      <c r="W87" s="83"/>
      <c r="X87" s="89">
        <f t="shared" si="171"/>
        <v>0</v>
      </c>
      <c r="Y87" s="83"/>
      <c r="Z87" s="83"/>
      <c r="AA87" s="83"/>
      <c r="AB87" s="83"/>
      <c r="AC87" s="83"/>
      <c r="AD87" s="83"/>
      <c r="AE87" s="83"/>
      <c r="AF87" s="83"/>
      <c r="AG87" s="83"/>
      <c r="AH87" s="89"/>
      <c r="AI87" s="83"/>
      <c r="AJ87" s="83"/>
      <c r="AK87" s="83"/>
      <c r="AL87" s="83"/>
      <c r="AM87" s="83"/>
      <c r="AN87" s="83"/>
      <c r="AO87" s="83"/>
      <c r="AP87" s="89">
        <f t="shared" si="172"/>
        <v>0</v>
      </c>
      <c r="AQ87" s="89">
        <f t="shared" si="173"/>
        <v>0</v>
      </c>
      <c r="AR87" s="89">
        <f t="shared" si="173"/>
        <v>0</v>
      </c>
      <c r="AS87" s="89">
        <f t="shared" si="173"/>
        <v>0</v>
      </c>
      <c r="AT87" s="89">
        <f t="shared" si="173"/>
        <v>0</v>
      </c>
      <c r="AU87" s="89">
        <f t="shared" si="173"/>
        <v>0</v>
      </c>
      <c r="AV87" s="89">
        <f t="shared" si="173"/>
        <v>0</v>
      </c>
      <c r="AW87" s="89">
        <f t="shared" si="173"/>
        <v>0</v>
      </c>
      <c r="AX87" s="89">
        <f t="shared" si="174"/>
        <v>0</v>
      </c>
      <c r="AY87" s="89">
        <f t="shared" si="175"/>
        <v>0</v>
      </c>
      <c r="AZ87" s="89">
        <f t="shared" si="175"/>
        <v>0</v>
      </c>
      <c r="BA87" s="89">
        <f t="shared" si="176"/>
        <v>0</v>
      </c>
      <c r="BB87" s="89">
        <f t="shared" si="176"/>
        <v>0</v>
      </c>
      <c r="BC87" s="89">
        <f t="shared" si="176"/>
        <v>0</v>
      </c>
      <c r="BD87" s="89">
        <f t="shared" si="176"/>
        <v>0</v>
      </c>
      <c r="BE87" s="89">
        <f t="shared" si="176"/>
        <v>0</v>
      </c>
      <c r="BF87" s="89">
        <f t="shared" si="176"/>
        <v>0</v>
      </c>
      <c r="BG87" s="89">
        <f t="shared" si="177"/>
        <v>0</v>
      </c>
      <c r="BH87" s="111">
        <f>X87+AP87</f>
        <v>0</v>
      </c>
    </row>
    <row r="88" spans="1:60">
      <c r="A88" s="51"/>
      <c r="B88" s="108"/>
      <c r="C88" s="52"/>
      <c r="D88" s="52"/>
      <c r="E88" s="52"/>
      <c r="F88" s="53"/>
      <c r="G88" s="52"/>
      <c r="H88" s="52"/>
      <c r="I88" s="52"/>
      <c r="J88" s="52"/>
      <c r="K88" s="52"/>
      <c r="L88" s="52"/>
      <c r="M88" s="52"/>
      <c r="N88" s="52"/>
      <c r="O88" s="52"/>
      <c r="P88" s="52"/>
      <c r="Q88" s="52"/>
      <c r="R88" s="52"/>
      <c r="S88" s="52"/>
      <c r="T88" s="52"/>
      <c r="U88" s="52"/>
      <c r="V88" s="52"/>
      <c r="W88" s="52"/>
      <c r="X88" s="52"/>
      <c r="Y88" s="52"/>
      <c r="Z88" s="52"/>
      <c r="AA88" s="52"/>
      <c r="AB88" s="52"/>
      <c r="AC88" s="52"/>
      <c r="AD88" s="52"/>
      <c r="AE88" s="52"/>
      <c r="AF88" s="52"/>
      <c r="AG88" s="52"/>
      <c r="AH88" s="52"/>
      <c r="AI88" s="52"/>
      <c r="AJ88" s="52"/>
      <c r="AK88" s="52"/>
      <c r="AL88" s="52"/>
      <c r="AM88" s="52"/>
      <c r="AN88" s="52"/>
      <c r="AO88" s="52"/>
      <c r="AP88" s="52"/>
      <c r="AQ88" s="52"/>
      <c r="AR88" s="52"/>
      <c r="AS88" s="52"/>
      <c r="AT88" s="52"/>
      <c r="AU88" s="52"/>
      <c r="AV88" s="52"/>
      <c r="AW88" s="52"/>
      <c r="AX88" s="52"/>
      <c r="AY88" s="52"/>
      <c r="AZ88" s="52"/>
      <c r="BA88" s="52"/>
      <c r="BB88" s="52"/>
      <c r="BC88" s="52"/>
      <c r="BD88" s="52"/>
      <c r="BE88" s="52"/>
      <c r="BF88" s="52"/>
      <c r="BG88" s="52"/>
      <c r="BH88" s="109"/>
    </row>
    <row r="89" spans="1:60" ht="22.5" customHeight="1" thickBot="1">
      <c r="A89" s="51"/>
      <c r="B89" s="114"/>
      <c r="C89" s="115"/>
      <c r="D89" s="115"/>
      <c r="E89" s="115"/>
      <c r="F89" s="116"/>
      <c r="G89" s="115"/>
      <c r="H89" s="115"/>
      <c r="I89" s="115"/>
      <c r="J89" s="115"/>
      <c r="K89" s="115"/>
      <c r="L89" s="115"/>
      <c r="M89" s="115"/>
      <c r="N89" s="115"/>
      <c r="O89" s="115"/>
      <c r="P89" s="115"/>
      <c r="Q89" s="115"/>
      <c r="R89" s="115"/>
      <c r="S89" s="115"/>
      <c r="T89" s="115"/>
      <c r="U89" s="115"/>
      <c r="V89" s="115"/>
      <c r="W89" s="115"/>
      <c r="X89" s="115"/>
      <c r="Y89" s="115"/>
      <c r="Z89" s="115"/>
      <c r="AA89" s="115"/>
      <c r="AB89" s="115"/>
      <c r="AC89" s="115"/>
      <c r="AD89" s="115"/>
      <c r="AE89" s="115"/>
      <c r="AF89" s="115"/>
      <c r="AG89" s="115"/>
      <c r="AH89" s="115"/>
      <c r="AI89" s="115"/>
      <c r="AJ89" s="115"/>
      <c r="AK89" s="115"/>
      <c r="AL89" s="115"/>
      <c r="AM89" s="115"/>
      <c r="AN89" s="115"/>
      <c r="AO89" s="115"/>
      <c r="AP89" s="115"/>
      <c r="AQ89" s="115"/>
      <c r="AR89" s="115"/>
      <c r="AS89" s="115"/>
      <c r="AT89" s="115"/>
      <c r="AU89" s="115"/>
      <c r="AV89" s="115"/>
      <c r="AW89" s="115"/>
      <c r="AX89" s="115"/>
      <c r="AY89" s="115"/>
      <c r="AZ89" s="115"/>
      <c r="BA89" s="115"/>
      <c r="BB89" s="115"/>
      <c r="BC89" s="115"/>
      <c r="BD89" s="115"/>
      <c r="BE89" s="115"/>
      <c r="BF89" s="115"/>
      <c r="BG89" s="115"/>
      <c r="BH89" s="117"/>
    </row>
    <row r="90" spans="1:60" ht="22.5" customHeight="1" thickBot="1">
      <c r="A90" s="47"/>
    </row>
    <row r="91" spans="1:60" ht="122.25" customHeight="1" thickBot="1">
      <c r="A91" s="47" t="s">
        <v>8</v>
      </c>
      <c r="B91" s="74" t="s">
        <v>0</v>
      </c>
      <c r="C91" s="75"/>
      <c r="D91" s="75"/>
      <c r="E91" s="75"/>
      <c r="F91" s="84" t="s">
        <v>51</v>
      </c>
      <c r="G91" s="144" t="s">
        <v>68</v>
      </c>
      <c r="H91" s="145"/>
      <c r="I91" s="145"/>
      <c r="J91" s="145"/>
      <c r="K91" s="145"/>
      <c r="L91" s="145"/>
      <c r="M91" s="145"/>
      <c r="N91" s="145"/>
      <c r="O91" s="145"/>
      <c r="P91" s="145"/>
      <c r="Q91" s="145"/>
      <c r="R91" s="145"/>
      <c r="S91" s="145"/>
      <c r="T91" s="145"/>
      <c r="U91" s="145"/>
      <c r="V91" s="14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  <c r="AG91" s="145"/>
      <c r="AH91" s="145"/>
      <c r="AI91" s="145"/>
      <c r="AJ91" s="145"/>
      <c r="AK91" s="145"/>
      <c r="AL91" s="145"/>
      <c r="AM91" s="145"/>
      <c r="AN91" s="145"/>
      <c r="AO91" s="145"/>
      <c r="AP91" s="145"/>
      <c r="AQ91" s="145"/>
      <c r="AR91" s="145"/>
      <c r="AS91" s="145"/>
      <c r="AT91" s="145"/>
      <c r="AU91" s="145"/>
      <c r="AV91" s="145"/>
      <c r="AW91" s="145"/>
      <c r="AX91" s="145"/>
      <c r="AY91" s="145"/>
      <c r="AZ91" s="145"/>
      <c r="BA91" s="145"/>
      <c r="BB91" s="145"/>
      <c r="BC91" s="145"/>
      <c r="BD91" s="145"/>
      <c r="BE91" s="145"/>
      <c r="BF91" s="145"/>
      <c r="BG91" s="145"/>
      <c r="BH91" s="146"/>
    </row>
    <row r="92" spans="1:60" ht="15.75" hidden="1" customHeight="1" thickBot="1">
      <c r="A92" s="48" t="s">
        <v>7</v>
      </c>
      <c r="B92" s="73" t="s">
        <v>0</v>
      </c>
      <c r="C92" s="72"/>
      <c r="D92" s="72" t="s">
        <v>135</v>
      </c>
      <c r="E92" s="72" t="s">
        <v>136</v>
      </c>
      <c r="F92" s="72"/>
      <c r="G92" s="49" t="s">
        <v>102</v>
      </c>
      <c r="H92" s="49" t="s">
        <v>102</v>
      </c>
      <c r="I92" s="49" t="s">
        <v>102</v>
      </c>
      <c r="J92" s="49" t="s">
        <v>102</v>
      </c>
      <c r="K92" s="49" t="s">
        <v>102</v>
      </c>
      <c r="L92" s="95" t="s">
        <v>102</v>
      </c>
      <c r="M92" s="49" t="s">
        <v>102</v>
      </c>
      <c r="N92" s="95" t="s">
        <v>102</v>
      </c>
      <c r="O92" s="49" t="s">
        <v>102</v>
      </c>
      <c r="P92" s="49" t="s">
        <v>102</v>
      </c>
      <c r="Q92" s="49" t="s">
        <v>102</v>
      </c>
      <c r="R92" s="49" t="s">
        <v>102</v>
      </c>
      <c r="S92" s="49" t="s">
        <v>102</v>
      </c>
      <c r="T92" s="49" t="s">
        <v>102</v>
      </c>
      <c r="U92" s="49" t="s">
        <v>102</v>
      </c>
      <c r="V92" s="49" t="s">
        <v>102</v>
      </c>
      <c r="W92" s="49" t="s">
        <v>102</v>
      </c>
      <c r="X92" s="49" t="s">
        <v>102</v>
      </c>
      <c r="Y92" s="49" t="s">
        <v>102</v>
      </c>
      <c r="Z92" s="49" t="s">
        <v>102</v>
      </c>
      <c r="AA92" s="49" t="s">
        <v>102</v>
      </c>
      <c r="AB92" s="49" t="s">
        <v>102</v>
      </c>
      <c r="AC92" s="49" t="s">
        <v>102</v>
      </c>
      <c r="AD92" s="49" t="s">
        <v>102</v>
      </c>
      <c r="AE92" s="49" t="s">
        <v>102</v>
      </c>
      <c r="AF92" s="95" t="s">
        <v>102</v>
      </c>
      <c r="AG92" s="49" t="s">
        <v>102</v>
      </c>
      <c r="AH92" s="49" t="s">
        <v>102</v>
      </c>
      <c r="AI92" s="49" t="s">
        <v>102</v>
      </c>
      <c r="AJ92" s="49" t="s">
        <v>102</v>
      </c>
      <c r="AK92" s="49" t="s">
        <v>102</v>
      </c>
      <c r="AL92" s="49" t="s">
        <v>102</v>
      </c>
      <c r="AM92" s="49" t="s">
        <v>102</v>
      </c>
      <c r="AN92" s="49" t="s">
        <v>102</v>
      </c>
      <c r="AO92" s="49" t="s">
        <v>102</v>
      </c>
      <c r="AP92" s="49" t="s">
        <v>102</v>
      </c>
      <c r="AQ92" s="49" t="s">
        <v>102</v>
      </c>
      <c r="AR92" s="49" t="s">
        <v>102</v>
      </c>
      <c r="AS92" s="49" t="s">
        <v>102</v>
      </c>
      <c r="AT92" s="49" t="s">
        <v>102</v>
      </c>
      <c r="AU92" s="49" t="s">
        <v>102</v>
      </c>
      <c r="AV92" s="49" t="s">
        <v>102</v>
      </c>
      <c r="AW92" s="49" t="s">
        <v>102</v>
      </c>
      <c r="AX92" s="95" t="s">
        <v>102</v>
      </c>
      <c r="AY92" s="49" t="s">
        <v>102</v>
      </c>
      <c r="AZ92" s="49" t="s">
        <v>102</v>
      </c>
      <c r="BA92" s="49" t="s">
        <v>102</v>
      </c>
      <c r="BB92" s="49" t="s">
        <v>102</v>
      </c>
      <c r="BC92" s="49" t="s">
        <v>102</v>
      </c>
      <c r="BD92" s="49" t="s">
        <v>102</v>
      </c>
      <c r="BE92" s="49" t="s">
        <v>102</v>
      </c>
      <c r="BF92" s="49" t="s">
        <v>102</v>
      </c>
      <c r="BG92" s="49" t="s">
        <v>102</v>
      </c>
      <c r="BH92" s="118" t="s">
        <v>102</v>
      </c>
    </row>
    <row r="93" spans="1:60" ht="123" customHeight="1" thickBot="1">
      <c r="A93" s="48"/>
      <c r="B93" s="147"/>
      <c r="C93" s="148"/>
      <c r="D93" s="148"/>
      <c r="E93" s="148"/>
      <c r="F93" s="148"/>
      <c r="G93" s="141" t="s">
        <v>70</v>
      </c>
      <c r="H93" s="142"/>
      <c r="I93" s="142"/>
      <c r="J93" s="142"/>
      <c r="K93" s="142"/>
      <c r="L93" s="142"/>
      <c r="M93" s="142"/>
      <c r="N93" s="142"/>
      <c r="O93" s="142"/>
      <c r="P93" s="142"/>
      <c r="Q93" s="142"/>
      <c r="R93" s="142"/>
      <c r="S93" s="142"/>
      <c r="T93" s="142"/>
      <c r="U93" s="142"/>
      <c r="V93" s="142"/>
      <c r="W93" s="142"/>
      <c r="X93" s="143"/>
      <c r="Y93" s="144" t="s">
        <v>71</v>
      </c>
      <c r="Z93" s="145"/>
      <c r="AA93" s="145"/>
      <c r="AB93" s="145"/>
      <c r="AC93" s="145"/>
      <c r="AD93" s="145"/>
      <c r="AE93" s="145"/>
      <c r="AF93" s="145"/>
      <c r="AG93" s="145"/>
      <c r="AH93" s="145"/>
      <c r="AI93" s="145"/>
      <c r="AJ93" s="145"/>
      <c r="AK93" s="145"/>
      <c r="AL93" s="145"/>
      <c r="AM93" s="145"/>
      <c r="AN93" s="145"/>
      <c r="AO93" s="145"/>
      <c r="AP93" s="146"/>
      <c r="AQ93" s="141" t="s">
        <v>72</v>
      </c>
      <c r="AR93" s="142"/>
      <c r="AS93" s="142"/>
      <c r="AT93" s="142"/>
      <c r="AU93" s="142"/>
      <c r="AV93" s="142"/>
      <c r="AW93" s="142"/>
      <c r="AX93" s="142"/>
      <c r="AY93" s="142"/>
      <c r="AZ93" s="142"/>
      <c r="BA93" s="142"/>
      <c r="BB93" s="142"/>
      <c r="BC93" s="142"/>
      <c r="BD93" s="142"/>
      <c r="BE93" s="142"/>
      <c r="BF93" s="142"/>
      <c r="BG93" s="142"/>
      <c r="BH93" s="143"/>
    </row>
    <row r="94" spans="1:60" ht="45" hidden="1" customHeight="1" thickBot="1">
      <c r="A94" s="48" t="s">
        <v>7</v>
      </c>
      <c r="B94" s="103" t="s">
        <v>0</v>
      </c>
      <c r="C94" s="80"/>
      <c r="D94" s="80"/>
      <c r="E94" s="81" t="s">
        <v>137</v>
      </c>
      <c r="F94" s="80"/>
      <c r="G94" s="77" t="s">
        <v>98</v>
      </c>
      <c r="H94" s="77" t="s">
        <v>98</v>
      </c>
      <c r="I94" s="77" t="s">
        <v>98</v>
      </c>
      <c r="J94" s="77" t="s">
        <v>98</v>
      </c>
      <c r="K94" s="77" t="s">
        <v>98</v>
      </c>
      <c r="L94" s="93" t="s">
        <v>98</v>
      </c>
      <c r="M94" s="77" t="s">
        <v>98</v>
      </c>
      <c r="N94" s="93" t="s">
        <v>98</v>
      </c>
      <c r="O94" s="77" t="s">
        <v>98</v>
      </c>
      <c r="P94" s="77" t="s">
        <v>98</v>
      </c>
      <c r="Q94" s="77" t="s">
        <v>98</v>
      </c>
      <c r="R94" s="77" t="s">
        <v>98</v>
      </c>
      <c r="S94" s="77" t="s">
        <v>98</v>
      </c>
      <c r="T94" s="77" t="s">
        <v>98</v>
      </c>
      <c r="U94" s="77" t="s">
        <v>98</v>
      </c>
      <c r="V94" s="77" t="s">
        <v>98</v>
      </c>
      <c r="W94" s="77" t="s">
        <v>98</v>
      </c>
      <c r="X94" s="77" t="s">
        <v>98</v>
      </c>
      <c r="Y94" s="77" t="s">
        <v>106</v>
      </c>
      <c r="Z94" s="77" t="s">
        <v>106</v>
      </c>
      <c r="AA94" s="77" t="s">
        <v>106</v>
      </c>
      <c r="AB94" s="77" t="s">
        <v>106</v>
      </c>
      <c r="AC94" s="77" t="s">
        <v>106</v>
      </c>
      <c r="AD94" s="77" t="s">
        <v>106</v>
      </c>
      <c r="AE94" s="77" t="s">
        <v>106</v>
      </c>
      <c r="AF94" s="77" t="s">
        <v>106</v>
      </c>
      <c r="AG94" s="77" t="s">
        <v>106</v>
      </c>
      <c r="AH94" s="77" t="s">
        <v>106</v>
      </c>
      <c r="AI94" s="77" t="s">
        <v>106</v>
      </c>
      <c r="AJ94" s="77" t="s">
        <v>106</v>
      </c>
      <c r="AK94" s="77" t="s">
        <v>106</v>
      </c>
      <c r="AL94" s="77" t="s">
        <v>106</v>
      </c>
      <c r="AM94" s="77" t="s">
        <v>106</v>
      </c>
      <c r="AN94" s="77" t="s">
        <v>106</v>
      </c>
      <c r="AO94" s="77" t="s">
        <v>106</v>
      </c>
      <c r="AP94" s="77" t="s">
        <v>106</v>
      </c>
      <c r="AQ94" s="77" t="s">
        <v>107</v>
      </c>
      <c r="AR94" s="77" t="s">
        <v>107</v>
      </c>
      <c r="AS94" s="77" t="s">
        <v>107</v>
      </c>
      <c r="AT94" s="77" t="s">
        <v>107</v>
      </c>
      <c r="AU94" s="77" t="s">
        <v>107</v>
      </c>
      <c r="AV94" s="77" t="s">
        <v>107</v>
      </c>
      <c r="AW94" s="77" t="s">
        <v>107</v>
      </c>
      <c r="AX94" s="77" t="s">
        <v>107</v>
      </c>
      <c r="AY94" s="77" t="s">
        <v>107</v>
      </c>
      <c r="AZ94" s="77" t="s">
        <v>107</v>
      </c>
      <c r="BA94" s="77" t="s">
        <v>107</v>
      </c>
      <c r="BB94" s="77" t="s">
        <v>107</v>
      </c>
      <c r="BC94" s="77" t="s">
        <v>107</v>
      </c>
      <c r="BD94" s="77" t="s">
        <v>107</v>
      </c>
      <c r="BE94" s="77" t="s">
        <v>107</v>
      </c>
      <c r="BF94" s="77" t="s">
        <v>107</v>
      </c>
      <c r="BG94" s="77" t="s">
        <v>107</v>
      </c>
      <c r="BH94" s="104" t="s">
        <v>107</v>
      </c>
    </row>
    <row r="95" spans="1:60" ht="105.75" customHeight="1" thickBot="1">
      <c r="A95" s="48"/>
      <c r="B95" s="147"/>
      <c r="C95" s="148"/>
      <c r="D95" s="148"/>
      <c r="E95" s="148"/>
      <c r="F95" s="148"/>
      <c r="G95" s="78" t="s">
        <v>73</v>
      </c>
      <c r="H95" s="82" t="s">
        <v>74</v>
      </c>
      <c r="I95" s="78" t="s">
        <v>75</v>
      </c>
      <c r="J95" s="82" t="s">
        <v>76</v>
      </c>
      <c r="K95" s="78" t="s">
        <v>77</v>
      </c>
      <c r="L95" s="94" t="s">
        <v>99</v>
      </c>
      <c r="M95" s="88" t="s">
        <v>83</v>
      </c>
      <c r="N95" s="98" t="s">
        <v>180</v>
      </c>
      <c r="O95" s="98" t="s">
        <v>182</v>
      </c>
      <c r="P95" s="82" t="s">
        <v>78</v>
      </c>
      <c r="Q95" s="78" t="s">
        <v>79</v>
      </c>
      <c r="R95" s="82" t="s">
        <v>80</v>
      </c>
      <c r="S95" s="78" t="s">
        <v>81</v>
      </c>
      <c r="T95" s="82" t="s">
        <v>82</v>
      </c>
      <c r="U95" s="82" t="s">
        <v>84</v>
      </c>
      <c r="V95" s="98" t="s">
        <v>183</v>
      </c>
      <c r="W95" s="78" t="s">
        <v>85</v>
      </c>
      <c r="X95" s="82" t="s">
        <v>86</v>
      </c>
      <c r="Y95" s="78" t="s">
        <v>73</v>
      </c>
      <c r="Z95" s="82" t="s">
        <v>74</v>
      </c>
      <c r="AA95" s="78" t="s">
        <v>75</v>
      </c>
      <c r="AB95" s="82" t="s">
        <v>76</v>
      </c>
      <c r="AC95" s="78" t="s">
        <v>77</v>
      </c>
      <c r="AD95" s="88" t="s">
        <v>99</v>
      </c>
      <c r="AE95" s="88" t="s">
        <v>83</v>
      </c>
      <c r="AF95" s="98" t="s">
        <v>180</v>
      </c>
      <c r="AG95" s="98" t="s">
        <v>182</v>
      </c>
      <c r="AH95" s="82" t="s">
        <v>78</v>
      </c>
      <c r="AI95" s="78" t="s">
        <v>79</v>
      </c>
      <c r="AJ95" s="82" t="s">
        <v>80</v>
      </c>
      <c r="AK95" s="78" t="s">
        <v>81</v>
      </c>
      <c r="AL95" s="82" t="s">
        <v>82</v>
      </c>
      <c r="AM95" s="82" t="s">
        <v>84</v>
      </c>
      <c r="AN95" s="98" t="s">
        <v>183</v>
      </c>
      <c r="AO95" s="78" t="s">
        <v>85</v>
      </c>
      <c r="AP95" s="82" t="s">
        <v>86</v>
      </c>
      <c r="AQ95" s="78" t="s">
        <v>73</v>
      </c>
      <c r="AR95" s="82" t="s">
        <v>74</v>
      </c>
      <c r="AS95" s="78" t="s">
        <v>75</v>
      </c>
      <c r="AT95" s="82" t="s">
        <v>76</v>
      </c>
      <c r="AU95" s="78" t="s">
        <v>77</v>
      </c>
      <c r="AV95" s="88" t="s">
        <v>99</v>
      </c>
      <c r="AW95" s="88" t="s">
        <v>83</v>
      </c>
      <c r="AX95" s="98" t="s">
        <v>180</v>
      </c>
      <c r="AY95" s="98" t="s">
        <v>182</v>
      </c>
      <c r="AZ95" s="82" t="s">
        <v>78</v>
      </c>
      <c r="BA95" s="78" t="s">
        <v>79</v>
      </c>
      <c r="BB95" s="82" t="s">
        <v>80</v>
      </c>
      <c r="BC95" s="78" t="s">
        <v>81</v>
      </c>
      <c r="BD95" s="82" t="s">
        <v>82</v>
      </c>
      <c r="BE95" s="82" t="s">
        <v>84</v>
      </c>
      <c r="BF95" s="98" t="s">
        <v>183</v>
      </c>
      <c r="BG95" s="78" t="s">
        <v>85</v>
      </c>
      <c r="BH95" s="82" t="s">
        <v>86</v>
      </c>
    </row>
    <row r="96" spans="1:60" ht="45" hidden="1" customHeight="1">
      <c r="A96" s="79" t="s">
        <v>7</v>
      </c>
      <c r="B96" s="103" t="s">
        <v>0</v>
      </c>
      <c r="C96" s="80"/>
      <c r="D96" s="80"/>
      <c r="E96" s="80" t="s">
        <v>138</v>
      </c>
      <c r="F96" s="80"/>
      <c r="G96" s="77" t="s">
        <v>108</v>
      </c>
      <c r="H96" s="77" t="s">
        <v>109</v>
      </c>
      <c r="I96" s="77" t="s">
        <v>110</v>
      </c>
      <c r="J96" s="77" t="s">
        <v>111</v>
      </c>
      <c r="K96" s="77" t="s">
        <v>112</v>
      </c>
      <c r="L96" s="93" t="s">
        <v>100</v>
      </c>
      <c r="M96" s="77" t="s">
        <v>101</v>
      </c>
      <c r="N96" s="99" t="s">
        <v>179</v>
      </c>
      <c r="O96" s="99" t="s">
        <v>181</v>
      </c>
      <c r="P96" s="77" t="s">
        <v>113</v>
      </c>
      <c r="Q96" s="77" t="s">
        <v>114</v>
      </c>
      <c r="R96" s="77" t="s">
        <v>115</v>
      </c>
      <c r="S96" s="77" t="s">
        <v>116</v>
      </c>
      <c r="T96" s="77" t="s">
        <v>117</v>
      </c>
      <c r="U96" s="77" t="s">
        <v>118</v>
      </c>
      <c r="V96" s="99" t="s">
        <v>184</v>
      </c>
      <c r="W96" s="77" t="s">
        <v>119</v>
      </c>
      <c r="X96" s="77" t="s">
        <v>120</v>
      </c>
      <c r="Y96" s="77" t="s">
        <v>108</v>
      </c>
      <c r="Z96" s="77" t="s">
        <v>109</v>
      </c>
      <c r="AA96" s="77" t="s">
        <v>110</v>
      </c>
      <c r="AB96" s="77" t="s">
        <v>111</v>
      </c>
      <c r="AC96" s="77" t="s">
        <v>112</v>
      </c>
      <c r="AD96" s="77" t="s">
        <v>100</v>
      </c>
      <c r="AE96" s="77" t="s">
        <v>101</v>
      </c>
      <c r="AF96" s="99" t="s">
        <v>179</v>
      </c>
      <c r="AG96" s="99" t="s">
        <v>181</v>
      </c>
      <c r="AH96" s="77" t="s">
        <v>113</v>
      </c>
      <c r="AI96" s="77" t="s">
        <v>114</v>
      </c>
      <c r="AJ96" s="77" t="s">
        <v>115</v>
      </c>
      <c r="AK96" s="77" t="s">
        <v>116</v>
      </c>
      <c r="AL96" s="77" t="s">
        <v>117</v>
      </c>
      <c r="AM96" s="77" t="s">
        <v>118</v>
      </c>
      <c r="AN96" s="99" t="s">
        <v>184</v>
      </c>
      <c r="AO96" s="77" t="s">
        <v>119</v>
      </c>
      <c r="AP96" s="77" t="s">
        <v>120</v>
      </c>
      <c r="AQ96" s="77" t="s">
        <v>108</v>
      </c>
      <c r="AR96" s="77" t="s">
        <v>109</v>
      </c>
      <c r="AS96" s="77" t="s">
        <v>110</v>
      </c>
      <c r="AT96" s="77" t="s">
        <v>111</v>
      </c>
      <c r="AU96" s="77" t="s">
        <v>112</v>
      </c>
      <c r="AV96" s="77" t="s">
        <v>100</v>
      </c>
      <c r="AW96" s="77" t="s">
        <v>101</v>
      </c>
      <c r="AX96" s="99" t="s">
        <v>179</v>
      </c>
      <c r="AY96" s="99" t="s">
        <v>181</v>
      </c>
      <c r="AZ96" s="77" t="s">
        <v>113</v>
      </c>
      <c r="BA96" s="77" t="s">
        <v>114</v>
      </c>
      <c r="BB96" s="77" t="s">
        <v>115</v>
      </c>
      <c r="BC96" s="77" t="s">
        <v>116</v>
      </c>
      <c r="BD96" s="77" t="s">
        <v>117</v>
      </c>
      <c r="BE96" s="77" t="s">
        <v>118</v>
      </c>
      <c r="BF96" s="99" t="s">
        <v>184</v>
      </c>
      <c r="BG96" s="77" t="s">
        <v>119</v>
      </c>
      <c r="BH96" s="104" t="s">
        <v>120</v>
      </c>
    </row>
    <row r="97" spans="1:60" ht="22.5" customHeight="1">
      <c r="B97" s="105"/>
      <c r="C97" s="106"/>
      <c r="D97" s="106"/>
      <c r="E97" s="106"/>
      <c r="F97" s="106"/>
      <c r="G97" s="106"/>
      <c r="H97" s="106"/>
      <c r="I97" s="106"/>
      <c r="J97" s="106"/>
      <c r="K97" s="106"/>
      <c r="L97" s="106"/>
      <c r="M97" s="106"/>
      <c r="N97" s="106"/>
      <c r="O97" s="106"/>
      <c r="P97" s="106"/>
      <c r="Q97" s="106"/>
      <c r="R97" s="106"/>
      <c r="S97" s="106"/>
      <c r="T97" s="106"/>
      <c r="U97" s="106"/>
      <c r="V97" s="106"/>
      <c r="W97" s="106"/>
      <c r="X97" s="106"/>
      <c r="Y97" s="106"/>
      <c r="Z97" s="106"/>
      <c r="AA97" s="106"/>
      <c r="AB97" s="106"/>
      <c r="AC97" s="106"/>
      <c r="AD97" s="106"/>
      <c r="AE97" s="106"/>
      <c r="AF97" s="106"/>
      <c r="AG97" s="106"/>
      <c r="AH97" s="106"/>
      <c r="AI97" s="106"/>
      <c r="AJ97" s="106"/>
      <c r="AK97" s="106"/>
      <c r="AL97" s="106"/>
      <c r="AM97" s="106"/>
      <c r="AN97" s="106"/>
      <c r="AO97" s="106"/>
      <c r="AP97" s="106"/>
      <c r="AQ97" s="106"/>
      <c r="AR97" s="106"/>
      <c r="AS97" s="106"/>
      <c r="AT97" s="106"/>
      <c r="AU97" s="106"/>
      <c r="AV97" s="106"/>
      <c r="AW97" s="106"/>
      <c r="AX97" s="106"/>
      <c r="AY97" s="106"/>
      <c r="AZ97" s="106"/>
      <c r="BA97" s="106"/>
      <c r="BB97" s="106"/>
      <c r="BC97" s="106"/>
      <c r="BD97" s="106"/>
      <c r="BE97" s="106"/>
      <c r="BF97" s="106"/>
      <c r="BG97" s="106"/>
      <c r="BH97" s="107"/>
    </row>
    <row r="98" spans="1:60" ht="22.5" customHeight="1">
      <c r="B98" s="105"/>
      <c r="C98" s="106"/>
      <c r="D98" s="106"/>
      <c r="E98" s="106"/>
      <c r="F98" s="50" t="s">
        <v>4</v>
      </c>
      <c r="G98" s="106"/>
      <c r="H98" s="106"/>
      <c r="I98" s="106"/>
      <c r="J98" s="106"/>
      <c r="K98" s="106"/>
      <c r="L98" s="106"/>
      <c r="M98" s="106"/>
      <c r="N98" s="106"/>
      <c r="O98" s="106"/>
      <c r="P98" s="106"/>
      <c r="Q98" s="106"/>
      <c r="R98" s="106"/>
      <c r="S98" s="106"/>
      <c r="T98" s="106"/>
      <c r="U98" s="106"/>
      <c r="V98" s="106"/>
      <c r="W98" s="106"/>
      <c r="X98" s="106"/>
      <c r="Y98" s="106"/>
      <c r="Z98" s="106"/>
      <c r="AA98" s="106"/>
      <c r="AB98" s="106"/>
      <c r="AC98" s="106"/>
      <c r="AD98" s="106"/>
      <c r="AE98" s="106"/>
      <c r="AF98" s="106"/>
      <c r="AG98" s="106"/>
      <c r="AH98" s="106"/>
      <c r="AI98" s="106"/>
      <c r="AJ98" s="106"/>
      <c r="AK98" s="106"/>
      <c r="AL98" s="106"/>
      <c r="AM98" s="106"/>
      <c r="AN98" s="106"/>
      <c r="AO98" s="106"/>
      <c r="AP98" s="106"/>
      <c r="AQ98" s="106"/>
      <c r="AR98" s="106"/>
      <c r="AS98" s="106"/>
      <c r="AT98" s="106"/>
      <c r="AU98" s="106"/>
      <c r="AV98" s="106"/>
      <c r="AW98" s="106"/>
      <c r="AX98" s="106"/>
      <c r="AY98" s="106"/>
      <c r="AZ98" s="106"/>
      <c r="BA98" s="106"/>
      <c r="BB98" s="106"/>
      <c r="BC98" s="106"/>
      <c r="BD98" s="106"/>
      <c r="BE98" s="106"/>
      <c r="BF98" s="106"/>
      <c r="BG98" s="106"/>
      <c r="BH98" s="107"/>
    </row>
    <row r="99" spans="1:60">
      <c r="A99" s="51"/>
      <c r="B99" s="108"/>
      <c r="C99" s="52"/>
      <c r="D99" s="52"/>
      <c r="E99" s="52"/>
      <c r="F99" s="53"/>
      <c r="G99" s="52"/>
      <c r="H99" s="52"/>
      <c r="I99" s="52"/>
      <c r="J99" s="52"/>
      <c r="K99" s="52"/>
      <c r="L99" s="52"/>
      <c r="M99" s="52"/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2"/>
      <c r="BE99" s="52"/>
      <c r="BF99" s="52"/>
      <c r="BG99" s="52"/>
      <c r="BH99" s="109"/>
    </row>
    <row r="100" spans="1:60">
      <c r="A100" s="51"/>
      <c r="B100" s="108"/>
      <c r="C100" s="123" t="s">
        <v>192</v>
      </c>
      <c r="D100" s="123" t="s">
        <v>3</v>
      </c>
      <c r="E100" s="123" t="s">
        <v>0</v>
      </c>
      <c r="F100" s="126" t="s">
        <v>196</v>
      </c>
      <c r="G100" s="55"/>
      <c r="H100" s="55"/>
      <c r="I100" s="55"/>
      <c r="J100" s="55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A100" s="55"/>
      <c r="AB100" s="55"/>
      <c r="AC100" s="55"/>
      <c r="AD100" s="55"/>
      <c r="AE100" s="55"/>
      <c r="AF100" s="55"/>
      <c r="AG100" s="55"/>
      <c r="AH100" s="55"/>
      <c r="AI100" s="55"/>
      <c r="AJ100" s="55"/>
      <c r="AK100" s="55"/>
      <c r="AL100" s="55"/>
      <c r="AM100" s="55"/>
      <c r="AN100" s="55"/>
      <c r="AO100" s="55"/>
      <c r="AP100" s="55"/>
      <c r="AQ100" s="55"/>
      <c r="AR100" s="55"/>
      <c r="AS100" s="55"/>
      <c r="AT100" s="55"/>
      <c r="AU100" s="55"/>
      <c r="AV100" s="55"/>
      <c r="AW100" s="55"/>
      <c r="AX100" s="55"/>
      <c r="AY100" s="55"/>
      <c r="AZ100" s="55"/>
      <c r="BA100" s="55"/>
      <c r="BB100" s="55"/>
      <c r="BC100" s="55"/>
      <c r="BD100" s="55"/>
      <c r="BE100" s="55"/>
      <c r="BF100" s="55"/>
      <c r="BG100" s="55"/>
      <c r="BH100" s="110"/>
    </row>
    <row r="101" spans="1:60" ht="22.5">
      <c r="A101" s="51"/>
      <c r="B101" s="108"/>
      <c r="C101" s="123" t="s">
        <v>193</v>
      </c>
      <c r="D101" s="123" t="s">
        <v>3</v>
      </c>
      <c r="E101" s="123" t="s">
        <v>0</v>
      </c>
      <c r="F101" s="126" t="s">
        <v>197</v>
      </c>
      <c r="G101" s="55"/>
      <c r="H101" s="55"/>
      <c r="I101" s="55"/>
      <c r="J101" s="55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A101" s="55"/>
      <c r="AB101" s="55"/>
      <c r="AC101" s="55"/>
      <c r="AD101" s="55"/>
      <c r="AE101" s="55"/>
      <c r="AF101" s="55"/>
      <c r="AG101" s="55"/>
      <c r="AH101" s="55"/>
      <c r="AI101" s="55"/>
      <c r="AJ101" s="55"/>
      <c r="AK101" s="55"/>
      <c r="AL101" s="55"/>
      <c r="AM101" s="55"/>
      <c r="AN101" s="55"/>
      <c r="AO101" s="55"/>
      <c r="AP101" s="55"/>
      <c r="AQ101" s="55"/>
      <c r="AR101" s="55"/>
      <c r="AS101" s="55"/>
      <c r="AT101" s="55"/>
      <c r="AU101" s="55"/>
      <c r="AV101" s="55"/>
      <c r="AW101" s="55"/>
      <c r="AX101" s="55"/>
      <c r="AY101" s="55"/>
      <c r="AZ101" s="55"/>
      <c r="BA101" s="55"/>
      <c r="BB101" s="55"/>
      <c r="BC101" s="55"/>
      <c r="BD101" s="55"/>
      <c r="BE101" s="55"/>
      <c r="BF101" s="55"/>
      <c r="BG101" s="55"/>
      <c r="BH101" s="110"/>
    </row>
    <row r="102" spans="1:60" ht="22.5">
      <c r="A102" s="51"/>
      <c r="B102" s="108"/>
      <c r="C102" s="123" t="s">
        <v>194</v>
      </c>
      <c r="D102" s="123" t="s">
        <v>3</v>
      </c>
      <c r="E102" s="123" t="s">
        <v>0</v>
      </c>
      <c r="F102" s="126" t="s">
        <v>198</v>
      </c>
      <c r="G102" s="55"/>
      <c r="H102" s="55"/>
      <c r="I102" s="55"/>
      <c r="J102" s="55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A102" s="55"/>
      <c r="AB102" s="55"/>
      <c r="AC102" s="55"/>
      <c r="AD102" s="55"/>
      <c r="AE102" s="55"/>
      <c r="AF102" s="55"/>
      <c r="AG102" s="55"/>
      <c r="AH102" s="55"/>
      <c r="AI102" s="55"/>
      <c r="AJ102" s="55"/>
      <c r="AK102" s="55"/>
      <c r="AL102" s="55"/>
      <c r="AM102" s="55"/>
      <c r="AN102" s="55"/>
      <c r="AO102" s="55"/>
      <c r="AP102" s="55"/>
      <c r="AQ102" s="55"/>
      <c r="AR102" s="55"/>
      <c r="AS102" s="55"/>
      <c r="AT102" s="55"/>
      <c r="AU102" s="55"/>
      <c r="AV102" s="55"/>
      <c r="AW102" s="55"/>
      <c r="AX102" s="55"/>
      <c r="AY102" s="55"/>
      <c r="AZ102" s="55"/>
      <c r="BA102" s="55"/>
      <c r="BB102" s="55"/>
      <c r="BC102" s="55"/>
      <c r="BD102" s="55"/>
      <c r="BE102" s="55"/>
      <c r="BF102" s="55"/>
      <c r="BG102" s="55"/>
      <c r="BH102" s="110"/>
    </row>
    <row r="103" spans="1:60">
      <c r="A103" s="51"/>
      <c r="B103" s="108"/>
      <c r="C103" s="123" t="s">
        <v>195</v>
      </c>
      <c r="D103" s="123" t="s">
        <v>3</v>
      </c>
      <c r="E103" s="123" t="s">
        <v>0</v>
      </c>
      <c r="F103" s="126" t="s">
        <v>199</v>
      </c>
      <c r="G103" s="55"/>
      <c r="H103" s="55"/>
      <c r="I103" s="55"/>
      <c r="J103" s="55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A103" s="55"/>
      <c r="AB103" s="55"/>
      <c r="AC103" s="55"/>
      <c r="AD103" s="55"/>
      <c r="AE103" s="55"/>
      <c r="AF103" s="55"/>
      <c r="AG103" s="55"/>
      <c r="AH103" s="55"/>
      <c r="AI103" s="55"/>
      <c r="AJ103" s="55"/>
      <c r="AK103" s="55"/>
      <c r="AL103" s="55"/>
      <c r="AM103" s="55"/>
      <c r="AN103" s="55"/>
      <c r="AO103" s="55"/>
      <c r="AP103" s="55"/>
      <c r="AQ103" s="55"/>
      <c r="AR103" s="55"/>
      <c r="AS103" s="55"/>
      <c r="AT103" s="55"/>
      <c r="AU103" s="55"/>
      <c r="AV103" s="55"/>
      <c r="AW103" s="55"/>
      <c r="AX103" s="55"/>
      <c r="AY103" s="55"/>
      <c r="AZ103" s="55"/>
      <c r="BA103" s="55"/>
      <c r="BB103" s="55"/>
      <c r="BC103" s="55"/>
      <c r="BD103" s="55"/>
      <c r="BE103" s="55"/>
      <c r="BF103" s="55"/>
      <c r="BG103" s="55"/>
      <c r="BH103" s="110"/>
    </row>
    <row r="104" spans="1:60" ht="22.5">
      <c r="A104" s="51"/>
      <c r="B104" s="108"/>
      <c r="C104" s="52" t="s">
        <v>139</v>
      </c>
      <c r="D104" s="52" t="s">
        <v>3</v>
      </c>
      <c r="E104" s="52" t="s">
        <v>0</v>
      </c>
      <c r="F104" s="54" t="s">
        <v>24</v>
      </c>
      <c r="G104" s="55"/>
      <c r="H104" s="55"/>
      <c r="I104" s="55"/>
      <c r="J104" s="55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A104" s="55"/>
      <c r="AB104" s="55"/>
      <c r="AC104" s="55"/>
      <c r="AD104" s="55"/>
      <c r="AE104" s="55"/>
      <c r="AF104" s="55"/>
      <c r="AG104" s="55"/>
      <c r="AH104" s="55"/>
      <c r="AI104" s="55"/>
      <c r="AJ104" s="55"/>
      <c r="AK104" s="55"/>
      <c r="AL104" s="55"/>
      <c r="AM104" s="55"/>
      <c r="AN104" s="55"/>
      <c r="AO104" s="55"/>
      <c r="AP104" s="55"/>
      <c r="AQ104" s="55"/>
      <c r="AR104" s="55"/>
      <c r="AS104" s="55"/>
      <c r="AT104" s="55"/>
      <c r="AU104" s="55"/>
      <c r="AV104" s="55"/>
      <c r="AW104" s="55"/>
      <c r="AX104" s="55"/>
      <c r="AY104" s="55"/>
      <c r="AZ104" s="55"/>
      <c r="BA104" s="55"/>
      <c r="BB104" s="55"/>
      <c r="BC104" s="55"/>
      <c r="BD104" s="55"/>
      <c r="BE104" s="55"/>
      <c r="BF104" s="55"/>
      <c r="BG104" s="55"/>
      <c r="BH104" s="110"/>
    </row>
    <row r="105" spans="1:60">
      <c r="A105" s="51"/>
      <c r="B105" s="108"/>
      <c r="C105" s="52" t="s">
        <v>140</v>
      </c>
      <c r="D105" s="52" t="s">
        <v>3</v>
      </c>
      <c r="E105" s="52" t="s">
        <v>0</v>
      </c>
      <c r="F105" s="54" t="s">
        <v>25</v>
      </c>
      <c r="G105" s="55"/>
      <c r="H105" s="55"/>
      <c r="I105" s="55"/>
      <c r="J105" s="55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A105" s="55"/>
      <c r="AB105" s="55"/>
      <c r="AC105" s="55"/>
      <c r="AD105" s="55"/>
      <c r="AE105" s="55"/>
      <c r="AF105" s="55"/>
      <c r="AG105" s="55"/>
      <c r="AH105" s="55"/>
      <c r="AI105" s="55"/>
      <c r="AJ105" s="55"/>
      <c r="AK105" s="55"/>
      <c r="AL105" s="55"/>
      <c r="AM105" s="55"/>
      <c r="AN105" s="55"/>
      <c r="AO105" s="55"/>
      <c r="AP105" s="55"/>
      <c r="AQ105" s="55"/>
      <c r="AR105" s="55"/>
      <c r="AS105" s="55"/>
      <c r="AT105" s="55"/>
      <c r="AU105" s="55"/>
      <c r="AV105" s="55"/>
      <c r="AW105" s="55"/>
      <c r="AX105" s="55"/>
      <c r="AY105" s="55"/>
      <c r="AZ105" s="55"/>
      <c r="BA105" s="55"/>
      <c r="BB105" s="55"/>
      <c r="BC105" s="55"/>
      <c r="BD105" s="55"/>
      <c r="BE105" s="55"/>
      <c r="BF105" s="55"/>
      <c r="BG105" s="55"/>
      <c r="BH105" s="110"/>
    </row>
    <row r="106" spans="1:60">
      <c r="A106" s="51"/>
      <c r="B106" s="108"/>
      <c r="C106" s="52" t="s">
        <v>141</v>
      </c>
      <c r="D106" s="52" t="s">
        <v>3</v>
      </c>
      <c r="E106" s="52" t="s">
        <v>0</v>
      </c>
      <c r="F106" s="54" t="s">
        <v>26</v>
      </c>
      <c r="G106" s="55"/>
      <c r="H106" s="55"/>
      <c r="I106" s="55"/>
      <c r="J106" s="55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A106" s="55"/>
      <c r="AB106" s="55"/>
      <c r="AC106" s="55"/>
      <c r="AD106" s="55"/>
      <c r="AE106" s="55"/>
      <c r="AF106" s="55"/>
      <c r="AG106" s="55"/>
      <c r="AH106" s="55"/>
      <c r="AI106" s="55"/>
      <c r="AJ106" s="55"/>
      <c r="AK106" s="55"/>
      <c r="AL106" s="55"/>
      <c r="AM106" s="55"/>
      <c r="AN106" s="55"/>
      <c r="AO106" s="55"/>
      <c r="AP106" s="55"/>
      <c r="AQ106" s="55"/>
      <c r="AR106" s="55"/>
      <c r="AS106" s="55"/>
      <c r="AT106" s="55"/>
      <c r="AU106" s="55"/>
      <c r="AV106" s="55"/>
      <c r="AW106" s="55"/>
      <c r="AX106" s="55"/>
      <c r="AY106" s="55"/>
      <c r="AZ106" s="55"/>
      <c r="BA106" s="55"/>
      <c r="BB106" s="55"/>
      <c r="BC106" s="55"/>
      <c r="BD106" s="55"/>
      <c r="BE106" s="55"/>
      <c r="BF106" s="55" t="s">
        <v>185</v>
      </c>
      <c r="BG106" s="55"/>
      <c r="BH106" s="110"/>
    </row>
    <row r="107" spans="1:60">
      <c r="A107" s="51"/>
      <c r="B107" s="108"/>
      <c r="C107" s="52"/>
      <c r="D107" s="52"/>
      <c r="E107" s="52" t="s">
        <v>0</v>
      </c>
      <c r="F107" s="53" t="s">
        <v>27</v>
      </c>
      <c r="G107" s="52"/>
      <c r="H107" s="52"/>
      <c r="I107" s="52"/>
      <c r="J107" s="52"/>
      <c r="K107" s="52"/>
      <c r="L107" s="52"/>
      <c r="M107" s="52"/>
      <c r="N107" s="52"/>
      <c r="O107" s="52"/>
      <c r="P107" s="52"/>
      <c r="Q107" s="52"/>
      <c r="R107" s="52"/>
      <c r="S107" s="52"/>
      <c r="T107" s="52"/>
      <c r="U107" s="52"/>
      <c r="V107" s="52"/>
      <c r="W107" s="52"/>
      <c r="X107" s="52"/>
      <c r="Y107" s="52"/>
      <c r="Z107" s="52"/>
      <c r="AA107" s="52"/>
      <c r="AB107" s="52"/>
      <c r="AC107" s="52"/>
      <c r="AD107" s="52"/>
      <c r="AE107" s="52"/>
      <c r="AF107" s="52"/>
      <c r="AG107" s="52"/>
      <c r="AH107" s="52"/>
      <c r="AI107" s="52"/>
      <c r="AJ107" s="52"/>
      <c r="AK107" s="52"/>
      <c r="AL107" s="52"/>
      <c r="AM107" s="52"/>
      <c r="AN107" s="52"/>
      <c r="AO107" s="52"/>
      <c r="AP107" s="52"/>
      <c r="AQ107" s="52"/>
      <c r="AR107" s="52"/>
      <c r="AS107" s="52"/>
      <c r="AT107" s="52"/>
      <c r="AU107" s="52"/>
      <c r="AV107" s="52"/>
      <c r="AW107" s="52"/>
      <c r="AX107" s="52"/>
      <c r="AY107" s="52"/>
      <c r="AZ107" s="52"/>
      <c r="BA107" s="52"/>
      <c r="BB107" s="52"/>
      <c r="BC107" s="52"/>
      <c r="BD107" s="52"/>
      <c r="BE107" s="52"/>
      <c r="BF107" s="52"/>
      <c r="BG107" s="52"/>
      <c r="BH107" s="109"/>
    </row>
    <row r="108" spans="1:60">
      <c r="A108" s="51" t="s">
        <v>52</v>
      </c>
      <c r="B108" s="108"/>
      <c r="C108" s="52" t="s">
        <v>142</v>
      </c>
      <c r="D108" s="52" t="s">
        <v>3</v>
      </c>
      <c r="E108" s="52" t="s">
        <v>0</v>
      </c>
      <c r="F108" s="53" t="s">
        <v>186</v>
      </c>
      <c r="G108" s="83"/>
      <c r="H108" s="83"/>
      <c r="I108" s="83"/>
      <c r="J108" s="83"/>
      <c r="K108" s="83"/>
      <c r="L108" s="83"/>
      <c r="M108" s="83"/>
      <c r="N108" s="83"/>
      <c r="O108" s="83"/>
      <c r="P108" s="89"/>
      <c r="Q108" s="83"/>
      <c r="R108" s="83"/>
      <c r="S108" s="83"/>
      <c r="T108" s="83"/>
      <c r="U108" s="83"/>
      <c r="V108" s="83"/>
      <c r="W108" s="83"/>
      <c r="X108" s="89">
        <f>SUM(P108:W108)+SUM(G108:K108)</f>
        <v>0</v>
      </c>
      <c r="Y108" s="83"/>
      <c r="Z108" s="83"/>
      <c r="AA108" s="83"/>
      <c r="AB108" s="83"/>
      <c r="AC108" s="83"/>
      <c r="AD108" s="83"/>
      <c r="AE108" s="83"/>
      <c r="AF108" s="83"/>
      <c r="AG108" s="83"/>
      <c r="AH108" s="89"/>
      <c r="AI108" s="83"/>
      <c r="AJ108" s="83"/>
      <c r="AK108" s="83"/>
      <c r="AL108" s="83"/>
      <c r="AM108" s="83"/>
      <c r="AN108" s="83"/>
      <c r="AO108" s="83"/>
      <c r="AP108" s="89">
        <f>SUM(AH108:AO108)+SUM(Y108:AC108)</f>
        <v>0</v>
      </c>
      <c r="AQ108" s="89">
        <f t="shared" ref="AQ108:AW108" si="178">G108+Y108</f>
        <v>0</v>
      </c>
      <c r="AR108" s="89">
        <f t="shared" si="178"/>
        <v>0</v>
      </c>
      <c r="AS108" s="89">
        <f t="shared" si="178"/>
        <v>0</v>
      </c>
      <c r="AT108" s="89">
        <f t="shared" si="178"/>
        <v>0</v>
      </c>
      <c r="AU108" s="89">
        <f t="shared" si="178"/>
        <v>0</v>
      </c>
      <c r="AV108" s="89">
        <f t="shared" si="178"/>
        <v>0</v>
      </c>
      <c r="AW108" s="89">
        <f t="shared" si="178"/>
        <v>0</v>
      </c>
      <c r="AX108" s="89">
        <f t="shared" ref="AX108" si="179">N108+AF108</f>
        <v>0</v>
      </c>
      <c r="AY108" s="89">
        <f t="shared" ref="AY108:AZ108" si="180">O108+AG108</f>
        <v>0</v>
      </c>
      <c r="AZ108" s="89">
        <f t="shared" si="180"/>
        <v>0</v>
      </c>
      <c r="BA108" s="89">
        <f t="shared" ref="BA108:BF108" si="181">Q108+AI108</f>
        <v>0</v>
      </c>
      <c r="BB108" s="89">
        <f t="shared" si="181"/>
        <v>0</v>
      </c>
      <c r="BC108" s="89">
        <f t="shared" si="181"/>
        <v>0</v>
      </c>
      <c r="BD108" s="89">
        <f t="shared" si="181"/>
        <v>0</v>
      </c>
      <c r="BE108" s="89">
        <f t="shared" si="181"/>
        <v>0</v>
      </c>
      <c r="BF108" s="89">
        <f t="shared" si="181"/>
        <v>0</v>
      </c>
      <c r="BG108" s="89">
        <f>W108+AO108</f>
        <v>0</v>
      </c>
      <c r="BH108" s="111">
        <f>X108+AP108</f>
        <v>0</v>
      </c>
    </row>
    <row r="109" spans="1:60">
      <c r="A109" s="51"/>
      <c r="B109" s="108"/>
      <c r="C109" s="52"/>
      <c r="D109" s="52"/>
      <c r="E109" s="52" t="s">
        <v>0</v>
      </c>
      <c r="F109" s="53" t="s">
        <v>29</v>
      </c>
      <c r="G109" s="52"/>
      <c r="H109" s="52"/>
      <c r="I109" s="52"/>
      <c r="J109" s="52"/>
      <c r="K109" s="52"/>
      <c r="L109" s="52"/>
      <c r="M109" s="52"/>
      <c r="N109" s="52"/>
      <c r="O109" s="52"/>
      <c r="P109" s="52"/>
      <c r="Q109" s="52"/>
      <c r="R109" s="52"/>
      <c r="S109" s="52"/>
      <c r="T109" s="52"/>
      <c r="U109" s="52"/>
      <c r="V109" s="52"/>
      <c r="W109" s="52"/>
      <c r="X109" s="91"/>
      <c r="Y109" s="52"/>
      <c r="Z109" s="52"/>
      <c r="AA109" s="52"/>
      <c r="AB109" s="52"/>
      <c r="AC109" s="52"/>
      <c r="AD109" s="52"/>
      <c r="AE109" s="52"/>
      <c r="AF109" s="52"/>
      <c r="AG109" s="52"/>
      <c r="AH109" s="52"/>
      <c r="AI109" s="52"/>
      <c r="AJ109" s="52"/>
      <c r="AK109" s="52"/>
      <c r="AL109" s="52"/>
      <c r="AM109" s="52"/>
      <c r="AN109" s="52"/>
      <c r="AO109" s="52"/>
      <c r="AP109" s="91"/>
      <c r="AQ109" s="91"/>
      <c r="AR109" s="91"/>
      <c r="AS109" s="91"/>
      <c r="AT109" s="91"/>
      <c r="AU109" s="91"/>
      <c r="AV109" s="91"/>
      <c r="AW109" s="91"/>
      <c r="AX109" s="91"/>
      <c r="AY109" s="91"/>
      <c r="AZ109" s="91"/>
      <c r="BA109" s="91"/>
      <c r="BB109" s="91"/>
      <c r="BC109" s="91"/>
      <c r="BD109" s="91"/>
      <c r="BE109" s="91"/>
      <c r="BF109" s="91"/>
      <c r="BG109" s="91"/>
      <c r="BH109" s="112"/>
    </row>
    <row r="110" spans="1:60" ht="22.5">
      <c r="A110" s="51"/>
      <c r="B110" s="108"/>
      <c r="C110" s="52" t="s">
        <v>143</v>
      </c>
      <c r="D110" s="52" t="s">
        <v>3</v>
      </c>
      <c r="E110" s="52" t="s">
        <v>0</v>
      </c>
      <c r="F110" s="54" t="s">
        <v>30</v>
      </c>
      <c r="G110" s="83"/>
      <c r="H110" s="83"/>
      <c r="I110" s="83"/>
      <c r="J110" s="83"/>
      <c r="K110" s="83"/>
      <c r="L110" s="83"/>
      <c r="M110" s="83"/>
      <c r="N110" s="83"/>
      <c r="O110" s="83"/>
      <c r="P110" s="89"/>
      <c r="Q110" s="83"/>
      <c r="R110" s="83"/>
      <c r="S110" s="83"/>
      <c r="T110" s="83"/>
      <c r="U110" s="83"/>
      <c r="V110" s="83"/>
      <c r="W110" s="83"/>
      <c r="X110" s="89">
        <f t="shared" ref="X110:X122" si="182">SUM(P110:W110)+SUM(G110:K110)</f>
        <v>0</v>
      </c>
      <c r="Y110" s="83"/>
      <c r="Z110" s="83"/>
      <c r="AA110" s="83"/>
      <c r="AB110" s="83"/>
      <c r="AC110" s="83"/>
      <c r="AD110" s="83"/>
      <c r="AE110" s="83"/>
      <c r="AF110" s="83"/>
      <c r="AG110" s="83"/>
      <c r="AH110" s="89"/>
      <c r="AI110" s="83"/>
      <c r="AJ110" s="83"/>
      <c r="AK110" s="83"/>
      <c r="AL110" s="83"/>
      <c r="AM110" s="83"/>
      <c r="AN110" s="83"/>
      <c r="AO110" s="83"/>
      <c r="AP110" s="89">
        <f t="shared" ref="AP110:AP122" si="183">SUM(AH110:AO110)+SUM(Y110:AC110)</f>
        <v>0</v>
      </c>
      <c r="AQ110" s="89">
        <f t="shared" ref="AQ110:AQ118" si="184">G110+Y110</f>
        <v>0</v>
      </c>
      <c r="AR110" s="89">
        <f t="shared" ref="AR110:AR118" si="185">H110+Z110</f>
        <v>0</v>
      </c>
      <c r="AS110" s="89">
        <f t="shared" ref="AS110:AS118" si="186">I110+AA110</f>
        <v>0</v>
      </c>
      <c r="AT110" s="89">
        <f t="shared" ref="AT110:AT118" si="187">J110+AB110</f>
        <v>0</v>
      </c>
      <c r="AU110" s="89">
        <f t="shared" ref="AU110:AU118" si="188">K110+AC110</f>
        <v>0</v>
      </c>
      <c r="AV110" s="89">
        <f t="shared" ref="AV110:AV118" si="189">L110+AD110</f>
        <v>0</v>
      </c>
      <c r="AW110" s="89">
        <f t="shared" ref="AW110:AW118" si="190">M110+AE110</f>
        <v>0</v>
      </c>
      <c r="AX110" s="89">
        <f t="shared" ref="AX110:AX118" si="191">N110+AF110</f>
        <v>0</v>
      </c>
      <c r="AY110" s="89">
        <f t="shared" ref="AY110:AZ118" si="192">O110+AG110</f>
        <v>0</v>
      </c>
      <c r="AZ110" s="89">
        <f t="shared" si="192"/>
        <v>0</v>
      </c>
      <c r="BA110" s="89">
        <f t="shared" ref="BA110:BA118" si="193">Q110+AI110</f>
        <v>0</v>
      </c>
      <c r="BB110" s="89">
        <f t="shared" ref="BB110:BB118" si="194">R110+AJ110</f>
        <v>0</v>
      </c>
      <c r="BC110" s="89">
        <f t="shared" ref="BC110:BC118" si="195">S110+AK110</f>
        <v>0</v>
      </c>
      <c r="BD110" s="89">
        <f t="shared" ref="BD110:BD118" si="196">T110+AL110</f>
        <v>0</v>
      </c>
      <c r="BE110" s="89">
        <f t="shared" ref="BE110:BF118" si="197">U110+AM110</f>
        <v>0</v>
      </c>
      <c r="BF110" s="89">
        <f t="shared" si="197"/>
        <v>0</v>
      </c>
      <c r="BG110" s="89">
        <f t="shared" ref="BG110:BG118" si="198">W110+AO110</f>
        <v>0</v>
      </c>
      <c r="BH110" s="111">
        <f t="shared" ref="BH110:BH118" si="199">X110+AP110</f>
        <v>0</v>
      </c>
    </row>
    <row r="111" spans="1:60" ht="22.5">
      <c r="A111" s="51"/>
      <c r="B111" s="108"/>
      <c r="C111" s="52" t="s">
        <v>144</v>
      </c>
      <c r="D111" s="52" t="s">
        <v>3</v>
      </c>
      <c r="E111" s="52" t="s">
        <v>0</v>
      </c>
      <c r="F111" s="54" t="s">
        <v>31</v>
      </c>
      <c r="G111" s="83"/>
      <c r="H111" s="83"/>
      <c r="I111" s="83"/>
      <c r="J111" s="83"/>
      <c r="K111" s="83"/>
      <c r="L111" s="83"/>
      <c r="M111" s="83"/>
      <c r="N111" s="83"/>
      <c r="O111" s="83"/>
      <c r="P111" s="89"/>
      <c r="Q111" s="83"/>
      <c r="R111" s="83"/>
      <c r="S111" s="83"/>
      <c r="T111" s="83"/>
      <c r="U111" s="83"/>
      <c r="V111" s="83"/>
      <c r="W111" s="83"/>
      <c r="X111" s="89">
        <f t="shared" si="182"/>
        <v>0</v>
      </c>
      <c r="Y111" s="83"/>
      <c r="Z111" s="83"/>
      <c r="AA111" s="83"/>
      <c r="AB111" s="83"/>
      <c r="AC111" s="83"/>
      <c r="AD111" s="83"/>
      <c r="AE111" s="83"/>
      <c r="AF111" s="83"/>
      <c r="AG111" s="83"/>
      <c r="AH111" s="89"/>
      <c r="AI111" s="83"/>
      <c r="AJ111" s="83"/>
      <c r="AK111" s="83"/>
      <c r="AL111" s="83"/>
      <c r="AM111" s="83"/>
      <c r="AN111" s="83"/>
      <c r="AO111" s="83"/>
      <c r="AP111" s="89">
        <f t="shared" si="183"/>
        <v>0</v>
      </c>
      <c r="AQ111" s="89">
        <f t="shared" si="184"/>
        <v>0</v>
      </c>
      <c r="AR111" s="89">
        <f t="shared" si="185"/>
        <v>0</v>
      </c>
      <c r="AS111" s="89">
        <f t="shared" si="186"/>
        <v>0</v>
      </c>
      <c r="AT111" s="89">
        <f t="shared" si="187"/>
        <v>0</v>
      </c>
      <c r="AU111" s="89">
        <f t="shared" si="188"/>
        <v>0</v>
      </c>
      <c r="AV111" s="89">
        <f t="shared" si="189"/>
        <v>0</v>
      </c>
      <c r="AW111" s="89">
        <f t="shared" si="190"/>
        <v>0</v>
      </c>
      <c r="AX111" s="89">
        <f t="shared" si="191"/>
        <v>0</v>
      </c>
      <c r="AY111" s="89">
        <f t="shared" si="192"/>
        <v>0</v>
      </c>
      <c r="AZ111" s="89">
        <f t="shared" si="192"/>
        <v>0</v>
      </c>
      <c r="BA111" s="89">
        <f t="shared" si="193"/>
        <v>0</v>
      </c>
      <c r="BB111" s="89">
        <f t="shared" si="194"/>
        <v>0</v>
      </c>
      <c r="BC111" s="89">
        <f t="shared" si="195"/>
        <v>0</v>
      </c>
      <c r="BD111" s="89">
        <f t="shared" si="196"/>
        <v>0</v>
      </c>
      <c r="BE111" s="89">
        <f t="shared" si="197"/>
        <v>0</v>
      </c>
      <c r="BF111" s="89">
        <f t="shared" si="197"/>
        <v>0</v>
      </c>
      <c r="BG111" s="89">
        <f t="shared" si="198"/>
        <v>0</v>
      </c>
      <c r="BH111" s="111">
        <f t="shared" si="199"/>
        <v>0</v>
      </c>
    </row>
    <row r="112" spans="1:60" ht="22.5">
      <c r="A112" s="51"/>
      <c r="B112" s="108"/>
      <c r="C112" s="52" t="s">
        <v>145</v>
      </c>
      <c r="D112" s="52" t="s">
        <v>3</v>
      </c>
      <c r="E112" s="52" t="s">
        <v>0</v>
      </c>
      <c r="F112" s="54" t="s">
        <v>32</v>
      </c>
      <c r="G112" s="83"/>
      <c r="H112" s="83"/>
      <c r="I112" s="83"/>
      <c r="J112" s="83"/>
      <c r="K112" s="83"/>
      <c r="L112" s="83"/>
      <c r="M112" s="83"/>
      <c r="N112" s="83"/>
      <c r="O112" s="83"/>
      <c r="P112" s="89"/>
      <c r="Q112" s="83"/>
      <c r="R112" s="83"/>
      <c r="S112" s="83"/>
      <c r="T112" s="83"/>
      <c r="U112" s="83"/>
      <c r="V112" s="83"/>
      <c r="W112" s="83"/>
      <c r="X112" s="89">
        <f t="shared" si="182"/>
        <v>0</v>
      </c>
      <c r="Y112" s="83"/>
      <c r="Z112" s="83"/>
      <c r="AA112" s="83"/>
      <c r="AB112" s="83"/>
      <c r="AC112" s="83"/>
      <c r="AD112" s="83"/>
      <c r="AE112" s="83"/>
      <c r="AF112" s="83"/>
      <c r="AG112" s="83"/>
      <c r="AH112" s="89"/>
      <c r="AI112" s="83"/>
      <c r="AJ112" s="83"/>
      <c r="AK112" s="83"/>
      <c r="AL112" s="83"/>
      <c r="AM112" s="83"/>
      <c r="AN112" s="83"/>
      <c r="AO112" s="83"/>
      <c r="AP112" s="89">
        <f t="shared" si="183"/>
        <v>0</v>
      </c>
      <c r="AQ112" s="89">
        <f t="shared" si="184"/>
        <v>0</v>
      </c>
      <c r="AR112" s="89">
        <f t="shared" si="185"/>
        <v>0</v>
      </c>
      <c r="AS112" s="89">
        <f t="shared" si="186"/>
        <v>0</v>
      </c>
      <c r="AT112" s="89">
        <f t="shared" si="187"/>
        <v>0</v>
      </c>
      <c r="AU112" s="89">
        <f t="shared" si="188"/>
        <v>0</v>
      </c>
      <c r="AV112" s="89">
        <f t="shared" si="189"/>
        <v>0</v>
      </c>
      <c r="AW112" s="89">
        <f t="shared" si="190"/>
        <v>0</v>
      </c>
      <c r="AX112" s="89">
        <f t="shared" si="191"/>
        <v>0</v>
      </c>
      <c r="AY112" s="89">
        <f t="shared" si="192"/>
        <v>0</v>
      </c>
      <c r="AZ112" s="89">
        <f t="shared" si="192"/>
        <v>0</v>
      </c>
      <c r="BA112" s="89">
        <f t="shared" si="193"/>
        <v>0</v>
      </c>
      <c r="BB112" s="89">
        <f t="shared" si="194"/>
        <v>0</v>
      </c>
      <c r="BC112" s="89">
        <f t="shared" si="195"/>
        <v>0</v>
      </c>
      <c r="BD112" s="89">
        <f t="shared" si="196"/>
        <v>0</v>
      </c>
      <c r="BE112" s="89">
        <f t="shared" si="197"/>
        <v>0</v>
      </c>
      <c r="BF112" s="89">
        <f t="shared" si="197"/>
        <v>0</v>
      </c>
      <c r="BG112" s="89">
        <f t="shared" si="198"/>
        <v>0</v>
      </c>
      <c r="BH112" s="111">
        <f t="shared" si="199"/>
        <v>0</v>
      </c>
    </row>
    <row r="113" spans="1:60">
      <c r="A113" s="51"/>
      <c r="B113" s="108"/>
      <c r="C113" s="52" t="s">
        <v>146</v>
      </c>
      <c r="D113" s="52" t="s">
        <v>3</v>
      </c>
      <c r="E113" s="52" t="s">
        <v>0</v>
      </c>
      <c r="F113" s="54" t="s">
        <v>33</v>
      </c>
      <c r="G113" s="83"/>
      <c r="H113" s="83"/>
      <c r="I113" s="83"/>
      <c r="J113" s="83"/>
      <c r="K113" s="83"/>
      <c r="L113" s="83"/>
      <c r="M113" s="83"/>
      <c r="N113" s="83"/>
      <c r="O113" s="83"/>
      <c r="P113" s="89"/>
      <c r="Q113" s="83"/>
      <c r="R113" s="83"/>
      <c r="S113" s="83"/>
      <c r="T113" s="83"/>
      <c r="U113" s="83"/>
      <c r="V113" s="83"/>
      <c r="W113" s="83"/>
      <c r="X113" s="89">
        <f t="shared" si="182"/>
        <v>0</v>
      </c>
      <c r="Y113" s="83"/>
      <c r="Z113" s="83"/>
      <c r="AA113" s="83"/>
      <c r="AB113" s="83"/>
      <c r="AC113" s="83"/>
      <c r="AD113" s="83"/>
      <c r="AE113" s="83"/>
      <c r="AF113" s="83"/>
      <c r="AG113" s="83"/>
      <c r="AH113" s="89"/>
      <c r="AI113" s="83"/>
      <c r="AJ113" s="83"/>
      <c r="AK113" s="83"/>
      <c r="AL113" s="83"/>
      <c r="AM113" s="83"/>
      <c r="AN113" s="83"/>
      <c r="AO113" s="83"/>
      <c r="AP113" s="89">
        <f t="shared" si="183"/>
        <v>0</v>
      </c>
      <c r="AQ113" s="89">
        <f t="shared" si="184"/>
        <v>0</v>
      </c>
      <c r="AR113" s="89">
        <f t="shared" si="185"/>
        <v>0</v>
      </c>
      <c r="AS113" s="89">
        <f t="shared" si="186"/>
        <v>0</v>
      </c>
      <c r="AT113" s="89">
        <f t="shared" si="187"/>
        <v>0</v>
      </c>
      <c r="AU113" s="89">
        <f t="shared" si="188"/>
        <v>0</v>
      </c>
      <c r="AV113" s="89">
        <f t="shared" si="189"/>
        <v>0</v>
      </c>
      <c r="AW113" s="89">
        <f t="shared" si="190"/>
        <v>0</v>
      </c>
      <c r="AX113" s="89">
        <f t="shared" si="191"/>
        <v>0</v>
      </c>
      <c r="AY113" s="89">
        <f t="shared" si="192"/>
        <v>0</v>
      </c>
      <c r="AZ113" s="89">
        <f t="shared" si="192"/>
        <v>0</v>
      </c>
      <c r="BA113" s="89">
        <f t="shared" si="193"/>
        <v>0</v>
      </c>
      <c r="BB113" s="89">
        <f t="shared" si="194"/>
        <v>0</v>
      </c>
      <c r="BC113" s="89">
        <f t="shared" si="195"/>
        <v>0</v>
      </c>
      <c r="BD113" s="89">
        <f t="shared" si="196"/>
        <v>0</v>
      </c>
      <c r="BE113" s="89">
        <f t="shared" si="197"/>
        <v>0</v>
      </c>
      <c r="BF113" s="89">
        <f t="shared" si="197"/>
        <v>0</v>
      </c>
      <c r="BG113" s="89">
        <f t="shared" si="198"/>
        <v>0</v>
      </c>
      <c r="BH113" s="111">
        <f t="shared" si="199"/>
        <v>0</v>
      </c>
    </row>
    <row r="114" spans="1:60" ht="22.5">
      <c r="A114" s="51"/>
      <c r="B114" s="108"/>
      <c r="C114" s="52" t="s">
        <v>147</v>
      </c>
      <c r="D114" s="52" t="s">
        <v>3</v>
      </c>
      <c r="E114" s="52" t="s">
        <v>0</v>
      </c>
      <c r="F114" s="54" t="s">
        <v>34</v>
      </c>
      <c r="G114" s="83"/>
      <c r="H114" s="83"/>
      <c r="I114" s="83"/>
      <c r="J114" s="83"/>
      <c r="K114" s="83"/>
      <c r="L114" s="83"/>
      <c r="M114" s="83"/>
      <c r="N114" s="83"/>
      <c r="O114" s="83"/>
      <c r="P114" s="89"/>
      <c r="Q114" s="83"/>
      <c r="R114" s="83"/>
      <c r="S114" s="83"/>
      <c r="T114" s="83"/>
      <c r="U114" s="83"/>
      <c r="V114" s="83"/>
      <c r="W114" s="83"/>
      <c r="X114" s="89">
        <f t="shared" si="182"/>
        <v>0</v>
      </c>
      <c r="Y114" s="83"/>
      <c r="Z114" s="83"/>
      <c r="AA114" s="83"/>
      <c r="AB114" s="83"/>
      <c r="AC114" s="83"/>
      <c r="AD114" s="83"/>
      <c r="AE114" s="83"/>
      <c r="AF114" s="83"/>
      <c r="AG114" s="83"/>
      <c r="AH114" s="89"/>
      <c r="AI114" s="83"/>
      <c r="AJ114" s="83"/>
      <c r="AK114" s="83"/>
      <c r="AL114" s="83"/>
      <c r="AM114" s="83"/>
      <c r="AN114" s="83"/>
      <c r="AO114" s="83"/>
      <c r="AP114" s="89">
        <f t="shared" si="183"/>
        <v>0</v>
      </c>
      <c r="AQ114" s="89">
        <f t="shared" si="184"/>
        <v>0</v>
      </c>
      <c r="AR114" s="89">
        <f t="shared" si="185"/>
        <v>0</v>
      </c>
      <c r="AS114" s="89">
        <f t="shared" si="186"/>
        <v>0</v>
      </c>
      <c r="AT114" s="89">
        <f t="shared" si="187"/>
        <v>0</v>
      </c>
      <c r="AU114" s="89">
        <f t="shared" si="188"/>
        <v>0</v>
      </c>
      <c r="AV114" s="89">
        <f t="shared" si="189"/>
        <v>0</v>
      </c>
      <c r="AW114" s="89">
        <f t="shared" si="190"/>
        <v>0</v>
      </c>
      <c r="AX114" s="89">
        <f t="shared" si="191"/>
        <v>0</v>
      </c>
      <c r="AY114" s="89">
        <f t="shared" si="192"/>
        <v>0</v>
      </c>
      <c r="AZ114" s="89">
        <f t="shared" si="192"/>
        <v>0</v>
      </c>
      <c r="BA114" s="89">
        <f t="shared" si="193"/>
        <v>0</v>
      </c>
      <c r="BB114" s="89">
        <f t="shared" si="194"/>
        <v>0</v>
      </c>
      <c r="BC114" s="89">
        <f t="shared" si="195"/>
        <v>0</v>
      </c>
      <c r="BD114" s="89">
        <f t="shared" si="196"/>
        <v>0</v>
      </c>
      <c r="BE114" s="89">
        <f t="shared" si="197"/>
        <v>0</v>
      </c>
      <c r="BF114" s="89">
        <f t="shared" si="197"/>
        <v>0</v>
      </c>
      <c r="BG114" s="89">
        <f t="shared" si="198"/>
        <v>0</v>
      </c>
      <c r="BH114" s="111">
        <f t="shared" si="199"/>
        <v>0</v>
      </c>
    </row>
    <row r="115" spans="1:60" ht="22.5">
      <c r="A115" s="51"/>
      <c r="B115" s="108"/>
      <c r="C115" s="52" t="s">
        <v>148</v>
      </c>
      <c r="D115" s="52" t="s">
        <v>3</v>
      </c>
      <c r="E115" s="52" t="s">
        <v>0</v>
      </c>
      <c r="F115" s="54" t="s">
        <v>35</v>
      </c>
      <c r="G115" s="83"/>
      <c r="H115" s="83"/>
      <c r="I115" s="83"/>
      <c r="J115" s="83"/>
      <c r="K115" s="83"/>
      <c r="L115" s="83"/>
      <c r="M115" s="83"/>
      <c r="N115" s="83"/>
      <c r="O115" s="83"/>
      <c r="P115" s="89"/>
      <c r="Q115" s="83"/>
      <c r="R115" s="83"/>
      <c r="S115" s="83"/>
      <c r="T115" s="83"/>
      <c r="U115" s="83"/>
      <c r="V115" s="83"/>
      <c r="W115" s="83"/>
      <c r="X115" s="89">
        <f t="shared" si="182"/>
        <v>0</v>
      </c>
      <c r="Y115" s="83"/>
      <c r="Z115" s="83"/>
      <c r="AA115" s="83"/>
      <c r="AB115" s="83"/>
      <c r="AC115" s="83"/>
      <c r="AD115" s="83"/>
      <c r="AE115" s="83"/>
      <c r="AF115" s="83"/>
      <c r="AG115" s="83"/>
      <c r="AH115" s="89"/>
      <c r="AI115" s="83"/>
      <c r="AJ115" s="83"/>
      <c r="AK115" s="83"/>
      <c r="AL115" s="83"/>
      <c r="AM115" s="83"/>
      <c r="AN115" s="83"/>
      <c r="AO115" s="83"/>
      <c r="AP115" s="89">
        <f t="shared" si="183"/>
        <v>0</v>
      </c>
      <c r="AQ115" s="89">
        <f t="shared" si="184"/>
        <v>0</v>
      </c>
      <c r="AR115" s="89">
        <f t="shared" si="185"/>
        <v>0</v>
      </c>
      <c r="AS115" s="89">
        <f t="shared" si="186"/>
        <v>0</v>
      </c>
      <c r="AT115" s="89">
        <f t="shared" si="187"/>
        <v>0</v>
      </c>
      <c r="AU115" s="89">
        <f t="shared" si="188"/>
        <v>0</v>
      </c>
      <c r="AV115" s="89">
        <f t="shared" si="189"/>
        <v>0</v>
      </c>
      <c r="AW115" s="89">
        <f t="shared" si="190"/>
        <v>0</v>
      </c>
      <c r="AX115" s="89">
        <f t="shared" si="191"/>
        <v>0</v>
      </c>
      <c r="AY115" s="89">
        <f t="shared" si="192"/>
        <v>0</v>
      </c>
      <c r="AZ115" s="89">
        <f t="shared" si="192"/>
        <v>0</v>
      </c>
      <c r="BA115" s="89">
        <f t="shared" si="193"/>
        <v>0</v>
      </c>
      <c r="BB115" s="89">
        <f t="shared" si="194"/>
        <v>0</v>
      </c>
      <c r="BC115" s="89">
        <f t="shared" si="195"/>
        <v>0</v>
      </c>
      <c r="BD115" s="89">
        <f t="shared" si="196"/>
        <v>0</v>
      </c>
      <c r="BE115" s="89">
        <f t="shared" si="197"/>
        <v>0</v>
      </c>
      <c r="BF115" s="89">
        <f t="shared" si="197"/>
        <v>0</v>
      </c>
      <c r="BG115" s="89">
        <f t="shared" si="198"/>
        <v>0</v>
      </c>
      <c r="BH115" s="111">
        <f t="shared" si="199"/>
        <v>0</v>
      </c>
    </row>
    <row r="116" spans="1:60" ht="22.5">
      <c r="A116" s="51"/>
      <c r="B116" s="108"/>
      <c r="C116" s="52" t="s">
        <v>149</v>
      </c>
      <c r="D116" s="52" t="s">
        <v>3</v>
      </c>
      <c r="E116" s="52" t="s">
        <v>0</v>
      </c>
      <c r="F116" s="54" t="s">
        <v>36</v>
      </c>
      <c r="G116" s="83"/>
      <c r="H116" s="83"/>
      <c r="I116" s="83"/>
      <c r="J116" s="83"/>
      <c r="K116" s="83"/>
      <c r="L116" s="83"/>
      <c r="M116" s="83"/>
      <c r="N116" s="83"/>
      <c r="O116" s="83"/>
      <c r="P116" s="89"/>
      <c r="Q116" s="83"/>
      <c r="R116" s="83"/>
      <c r="S116" s="83"/>
      <c r="T116" s="83"/>
      <c r="U116" s="83"/>
      <c r="V116" s="83"/>
      <c r="W116" s="83"/>
      <c r="X116" s="89">
        <f t="shared" si="182"/>
        <v>0</v>
      </c>
      <c r="Y116" s="83"/>
      <c r="Z116" s="83"/>
      <c r="AA116" s="83"/>
      <c r="AB116" s="83"/>
      <c r="AC116" s="83"/>
      <c r="AD116" s="83"/>
      <c r="AE116" s="83"/>
      <c r="AF116" s="83"/>
      <c r="AG116" s="83"/>
      <c r="AH116" s="89"/>
      <c r="AI116" s="83"/>
      <c r="AJ116" s="83"/>
      <c r="AK116" s="83"/>
      <c r="AL116" s="83"/>
      <c r="AM116" s="83"/>
      <c r="AN116" s="83"/>
      <c r="AO116" s="83"/>
      <c r="AP116" s="89">
        <f t="shared" si="183"/>
        <v>0</v>
      </c>
      <c r="AQ116" s="89">
        <f t="shared" si="184"/>
        <v>0</v>
      </c>
      <c r="AR116" s="89">
        <f t="shared" si="185"/>
        <v>0</v>
      </c>
      <c r="AS116" s="89">
        <f t="shared" si="186"/>
        <v>0</v>
      </c>
      <c r="AT116" s="89">
        <f t="shared" si="187"/>
        <v>0</v>
      </c>
      <c r="AU116" s="89">
        <f t="shared" si="188"/>
        <v>0</v>
      </c>
      <c r="AV116" s="89">
        <f t="shared" si="189"/>
        <v>0</v>
      </c>
      <c r="AW116" s="89">
        <f t="shared" si="190"/>
        <v>0</v>
      </c>
      <c r="AX116" s="89">
        <f t="shared" si="191"/>
        <v>0</v>
      </c>
      <c r="AY116" s="89">
        <f t="shared" si="192"/>
        <v>0</v>
      </c>
      <c r="AZ116" s="89">
        <f t="shared" si="192"/>
        <v>0</v>
      </c>
      <c r="BA116" s="89">
        <f t="shared" si="193"/>
        <v>0</v>
      </c>
      <c r="BB116" s="89">
        <f t="shared" si="194"/>
        <v>0</v>
      </c>
      <c r="BC116" s="89">
        <f t="shared" si="195"/>
        <v>0</v>
      </c>
      <c r="BD116" s="89">
        <f t="shared" si="196"/>
        <v>0</v>
      </c>
      <c r="BE116" s="89">
        <f t="shared" si="197"/>
        <v>0</v>
      </c>
      <c r="BF116" s="89">
        <f t="shared" si="197"/>
        <v>0</v>
      </c>
      <c r="BG116" s="89">
        <f t="shared" si="198"/>
        <v>0</v>
      </c>
      <c r="BH116" s="111">
        <f t="shared" si="199"/>
        <v>0</v>
      </c>
    </row>
    <row r="117" spans="1:60" ht="22.5">
      <c r="A117" s="51"/>
      <c r="B117" s="108"/>
      <c r="C117" s="52" t="s">
        <v>150</v>
      </c>
      <c r="D117" s="52" t="s">
        <v>3</v>
      </c>
      <c r="E117" s="52" t="s">
        <v>0</v>
      </c>
      <c r="F117" s="54" t="s">
        <v>37</v>
      </c>
      <c r="G117" s="85"/>
      <c r="H117" s="85"/>
      <c r="I117" s="85"/>
      <c r="J117" s="85"/>
      <c r="K117" s="85"/>
      <c r="L117" s="85"/>
      <c r="M117" s="85"/>
      <c r="N117" s="85"/>
      <c r="O117" s="85"/>
      <c r="P117" s="89"/>
      <c r="Q117" s="85"/>
      <c r="R117" s="85"/>
      <c r="S117" s="85"/>
      <c r="T117" s="85"/>
      <c r="U117" s="85"/>
      <c r="V117" s="85"/>
      <c r="W117" s="85"/>
      <c r="X117" s="89">
        <f t="shared" si="182"/>
        <v>0</v>
      </c>
      <c r="Y117" s="85"/>
      <c r="Z117" s="85"/>
      <c r="AA117" s="85"/>
      <c r="AB117" s="85"/>
      <c r="AC117" s="85"/>
      <c r="AD117" s="85"/>
      <c r="AE117" s="85"/>
      <c r="AF117" s="85"/>
      <c r="AG117" s="85"/>
      <c r="AH117" s="89"/>
      <c r="AI117" s="85"/>
      <c r="AJ117" s="85"/>
      <c r="AK117" s="85"/>
      <c r="AL117" s="85"/>
      <c r="AM117" s="85"/>
      <c r="AN117" s="85"/>
      <c r="AO117" s="85"/>
      <c r="AP117" s="89">
        <f t="shared" si="183"/>
        <v>0</v>
      </c>
      <c r="AQ117" s="89">
        <f t="shared" si="184"/>
        <v>0</v>
      </c>
      <c r="AR117" s="89">
        <f t="shared" si="185"/>
        <v>0</v>
      </c>
      <c r="AS117" s="89">
        <f t="shared" si="186"/>
        <v>0</v>
      </c>
      <c r="AT117" s="89">
        <f t="shared" si="187"/>
        <v>0</v>
      </c>
      <c r="AU117" s="89">
        <f t="shared" si="188"/>
        <v>0</v>
      </c>
      <c r="AV117" s="89">
        <f t="shared" si="189"/>
        <v>0</v>
      </c>
      <c r="AW117" s="89">
        <f t="shared" si="190"/>
        <v>0</v>
      </c>
      <c r="AX117" s="89">
        <f t="shared" si="191"/>
        <v>0</v>
      </c>
      <c r="AY117" s="89">
        <f t="shared" si="192"/>
        <v>0</v>
      </c>
      <c r="AZ117" s="89">
        <f t="shared" si="192"/>
        <v>0</v>
      </c>
      <c r="BA117" s="89">
        <f t="shared" si="193"/>
        <v>0</v>
      </c>
      <c r="BB117" s="89">
        <f t="shared" si="194"/>
        <v>0</v>
      </c>
      <c r="BC117" s="89">
        <f t="shared" si="195"/>
        <v>0</v>
      </c>
      <c r="BD117" s="89">
        <f t="shared" si="196"/>
        <v>0</v>
      </c>
      <c r="BE117" s="89">
        <f t="shared" si="197"/>
        <v>0</v>
      </c>
      <c r="BF117" s="89">
        <f t="shared" si="197"/>
        <v>0</v>
      </c>
      <c r="BG117" s="89">
        <f t="shared" si="198"/>
        <v>0</v>
      </c>
      <c r="BH117" s="111">
        <f t="shared" si="199"/>
        <v>0</v>
      </c>
    </row>
    <row r="118" spans="1:60" ht="22.5">
      <c r="A118" s="51"/>
      <c r="B118" s="108"/>
      <c r="C118" s="52" t="s">
        <v>151</v>
      </c>
      <c r="D118" s="52" t="s">
        <v>3</v>
      </c>
      <c r="E118" s="52" t="s">
        <v>0</v>
      </c>
      <c r="F118" s="54" t="s">
        <v>38</v>
      </c>
      <c r="G118" s="83"/>
      <c r="H118" s="83"/>
      <c r="I118" s="83"/>
      <c r="J118" s="83"/>
      <c r="K118" s="83"/>
      <c r="L118" s="83"/>
      <c r="M118" s="83"/>
      <c r="N118" s="83"/>
      <c r="O118" s="83"/>
      <c r="P118" s="89"/>
      <c r="Q118" s="83"/>
      <c r="R118" s="83"/>
      <c r="S118" s="83"/>
      <c r="T118" s="83"/>
      <c r="U118" s="83"/>
      <c r="V118" s="83"/>
      <c r="W118" s="83"/>
      <c r="X118" s="89">
        <f t="shared" si="182"/>
        <v>0</v>
      </c>
      <c r="Y118" s="83"/>
      <c r="Z118" s="83"/>
      <c r="AA118" s="83"/>
      <c r="AB118" s="83"/>
      <c r="AC118" s="83"/>
      <c r="AD118" s="83"/>
      <c r="AE118" s="83"/>
      <c r="AF118" s="83"/>
      <c r="AG118" s="83"/>
      <c r="AH118" s="89"/>
      <c r="AI118" s="83"/>
      <c r="AJ118" s="83"/>
      <c r="AK118" s="83"/>
      <c r="AL118" s="83"/>
      <c r="AM118" s="83"/>
      <c r="AN118" s="83"/>
      <c r="AO118" s="83"/>
      <c r="AP118" s="89">
        <f t="shared" si="183"/>
        <v>0</v>
      </c>
      <c r="AQ118" s="89">
        <f t="shared" si="184"/>
        <v>0</v>
      </c>
      <c r="AR118" s="89">
        <f t="shared" si="185"/>
        <v>0</v>
      </c>
      <c r="AS118" s="89">
        <f t="shared" si="186"/>
        <v>0</v>
      </c>
      <c r="AT118" s="89">
        <f t="shared" si="187"/>
        <v>0</v>
      </c>
      <c r="AU118" s="89">
        <f t="shared" si="188"/>
        <v>0</v>
      </c>
      <c r="AV118" s="89">
        <f t="shared" si="189"/>
        <v>0</v>
      </c>
      <c r="AW118" s="89">
        <f t="shared" si="190"/>
        <v>0</v>
      </c>
      <c r="AX118" s="89">
        <f t="shared" si="191"/>
        <v>0</v>
      </c>
      <c r="AY118" s="89">
        <f t="shared" si="192"/>
        <v>0</v>
      </c>
      <c r="AZ118" s="89">
        <f t="shared" si="192"/>
        <v>0</v>
      </c>
      <c r="BA118" s="89">
        <f t="shared" si="193"/>
        <v>0</v>
      </c>
      <c r="BB118" s="89">
        <f t="shared" si="194"/>
        <v>0</v>
      </c>
      <c r="BC118" s="89">
        <f t="shared" si="195"/>
        <v>0</v>
      </c>
      <c r="BD118" s="89">
        <f t="shared" si="196"/>
        <v>0</v>
      </c>
      <c r="BE118" s="89">
        <f t="shared" si="197"/>
        <v>0</v>
      </c>
      <c r="BF118" s="89">
        <f t="shared" si="197"/>
        <v>0</v>
      </c>
      <c r="BG118" s="89">
        <f t="shared" si="198"/>
        <v>0</v>
      </c>
      <c r="BH118" s="111">
        <f t="shared" si="199"/>
        <v>0</v>
      </c>
    </row>
    <row r="119" spans="1:60" ht="22.5">
      <c r="A119" s="51"/>
      <c r="B119" s="108"/>
      <c r="C119" s="52"/>
      <c r="D119" s="52"/>
      <c r="E119" s="52" t="s">
        <v>0</v>
      </c>
      <c r="F119" s="53" t="s">
        <v>39</v>
      </c>
      <c r="G119" s="52"/>
      <c r="H119" s="52"/>
      <c r="I119" s="52"/>
      <c r="J119" s="52"/>
      <c r="K119" s="52"/>
      <c r="L119" s="52"/>
      <c r="M119" s="52"/>
      <c r="N119" s="52"/>
      <c r="O119" s="52"/>
      <c r="P119" s="52"/>
      <c r="Q119" s="52"/>
      <c r="R119" s="52"/>
      <c r="S119" s="52"/>
      <c r="T119" s="52"/>
      <c r="U119" s="52"/>
      <c r="V119" s="52"/>
      <c r="W119" s="52"/>
      <c r="X119" s="52"/>
      <c r="Y119" s="52"/>
      <c r="Z119" s="52"/>
      <c r="AA119" s="52"/>
      <c r="AB119" s="52"/>
      <c r="AC119" s="52"/>
      <c r="AD119" s="52"/>
      <c r="AE119" s="52"/>
      <c r="AF119" s="52"/>
      <c r="AG119" s="52"/>
      <c r="AH119" s="52"/>
      <c r="AI119" s="52"/>
      <c r="AJ119" s="52"/>
      <c r="AK119" s="52"/>
      <c r="AL119" s="52"/>
      <c r="AM119" s="52"/>
      <c r="AN119" s="52"/>
      <c r="AO119" s="52"/>
      <c r="AP119" s="91">
        <f t="shared" si="183"/>
        <v>0</v>
      </c>
      <c r="AQ119" s="91"/>
      <c r="AR119" s="91"/>
      <c r="AS119" s="91"/>
      <c r="AT119" s="91"/>
      <c r="AU119" s="91"/>
      <c r="AV119" s="91"/>
      <c r="AW119" s="91"/>
      <c r="AX119" s="91"/>
      <c r="AY119" s="91"/>
      <c r="AZ119" s="91"/>
      <c r="BA119" s="91"/>
      <c r="BB119" s="91"/>
      <c r="BC119" s="91"/>
      <c r="BD119" s="91"/>
      <c r="BE119" s="91"/>
      <c r="BF119" s="91"/>
      <c r="BG119" s="91"/>
      <c r="BH119" s="112">
        <f t="shared" ref="BH119" si="200">SUM(AZ119:BG119)+SUM(AQ119:AU119)</f>
        <v>0</v>
      </c>
    </row>
    <row r="120" spans="1:60" ht="22.5">
      <c r="A120" s="51"/>
      <c r="B120" s="108"/>
      <c r="C120" s="52" t="s">
        <v>152</v>
      </c>
      <c r="D120" s="52" t="s">
        <v>3</v>
      </c>
      <c r="E120" s="52" t="s">
        <v>0</v>
      </c>
      <c r="F120" s="54" t="s">
        <v>40</v>
      </c>
      <c r="G120" s="83"/>
      <c r="H120" s="83"/>
      <c r="I120" s="83"/>
      <c r="J120" s="83"/>
      <c r="K120" s="83"/>
      <c r="L120" s="83"/>
      <c r="M120" s="83"/>
      <c r="N120" s="83"/>
      <c r="O120" s="83"/>
      <c r="P120" s="89"/>
      <c r="Q120" s="83"/>
      <c r="R120" s="83"/>
      <c r="S120" s="83"/>
      <c r="T120" s="83"/>
      <c r="U120" s="83"/>
      <c r="V120" s="83"/>
      <c r="W120" s="83"/>
      <c r="X120" s="89">
        <f t="shared" si="182"/>
        <v>0</v>
      </c>
      <c r="Y120" s="83"/>
      <c r="Z120" s="83"/>
      <c r="AA120" s="83"/>
      <c r="AB120" s="83"/>
      <c r="AC120" s="83"/>
      <c r="AD120" s="83"/>
      <c r="AE120" s="83"/>
      <c r="AF120" s="83"/>
      <c r="AG120" s="83"/>
      <c r="AH120" s="89"/>
      <c r="AI120" s="83"/>
      <c r="AJ120" s="83"/>
      <c r="AK120" s="83"/>
      <c r="AL120" s="83"/>
      <c r="AM120" s="83"/>
      <c r="AN120" s="83"/>
      <c r="AO120" s="83"/>
      <c r="AP120" s="89">
        <f t="shared" si="183"/>
        <v>0</v>
      </c>
      <c r="AQ120" s="89">
        <f t="shared" ref="AQ120:AW122" si="201">G120+Y120</f>
        <v>0</v>
      </c>
      <c r="AR120" s="89">
        <f t="shared" si="201"/>
        <v>0</v>
      </c>
      <c r="AS120" s="89">
        <f t="shared" si="201"/>
        <v>0</v>
      </c>
      <c r="AT120" s="89">
        <f t="shared" si="201"/>
        <v>0</v>
      </c>
      <c r="AU120" s="89">
        <f t="shared" si="201"/>
        <v>0</v>
      </c>
      <c r="AV120" s="89">
        <f t="shared" si="201"/>
        <v>0</v>
      </c>
      <c r="AW120" s="89">
        <f t="shared" si="201"/>
        <v>0</v>
      </c>
      <c r="AX120" s="89">
        <f t="shared" ref="AX120:AX122" si="202">N120+AF120</f>
        <v>0</v>
      </c>
      <c r="AY120" s="89">
        <f t="shared" ref="AY120:AZ122" si="203">O120+AG120</f>
        <v>0</v>
      </c>
      <c r="AZ120" s="89">
        <f t="shared" si="203"/>
        <v>0</v>
      </c>
      <c r="BA120" s="89">
        <f t="shared" ref="BA120:BF122" si="204">Q120+AI120</f>
        <v>0</v>
      </c>
      <c r="BB120" s="89">
        <f t="shared" si="204"/>
        <v>0</v>
      </c>
      <c r="BC120" s="89">
        <f t="shared" si="204"/>
        <v>0</v>
      </c>
      <c r="BD120" s="89">
        <f t="shared" si="204"/>
        <v>0</v>
      </c>
      <c r="BE120" s="89">
        <f t="shared" si="204"/>
        <v>0</v>
      </c>
      <c r="BF120" s="89">
        <f t="shared" si="204"/>
        <v>0</v>
      </c>
      <c r="BG120" s="89">
        <f t="shared" ref="BG120:BG122" si="205">W120+AO120</f>
        <v>0</v>
      </c>
      <c r="BH120" s="111">
        <f>X120+AP120</f>
        <v>0</v>
      </c>
    </row>
    <row r="121" spans="1:60" ht="22.5">
      <c r="A121" s="51"/>
      <c r="B121" s="108"/>
      <c r="C121" s="52" t="s">
        <v>153</v>
      </c>
      <c r="D121" s="52" t="s">
        <v>3</v>
      </c>
      <c r="E121" s="52" t="s">
        <v>0</v>
      </c>
      <c r="F121" s="54" t="s">
        <v>41</v>
      </c>
      <c r="G121" s="83"/>
      <c r="H121" s="83"/>
      <c r="I121" s="83"/>
      <c r="J121" s="83"/>
      <c r="K121" s="83"/>
      <c r="L121" s="83"/>
      <c r="M121" s="83"/>
      <c r="N121" s="83"/>
      <c r="O121" s="83"/>
      <c r="P121" s="89"/>
      <c r="Q121" s="83"/>
      <c r="R121" s="83"/>
      <c r="S121" s="83"/>
      <c r="T121" s="83"/>
      <c r="U121" s="83"/>
      <c r="V121" s="83"/>
      <c r="W121" s="83"/>
      <c r="X121" s="89">
        <f t="shared" si="182"/>
        <v>0</v>
      </c>
      <c r="Y121" s="83"/>
      <c r="Z121" s="83"/>
      <c r="AA121" s="83"/>
      <c r="AB121" s="83"/>
      <c r="AC121" s="83"/>
      <c r="AD121" s="83"/>
      <c r="AE121" s="83"/>
      <c r="AF121" s="83"/>
      <c r="AG121" s="83"/>
      <c r="AH121" s="89"/>
      <c r="AI121" s="83"/>
      <c r="AJ121" s="83"/>
      <c r="AK121" s="83"/>
      <c r="AL121" s="83"/>
      <c r="AM121" s="83"/>
      <c r="AN121" s="83"/>
      <c r="AO121" s="83"/>
      <c r="AP121" s="89">
        <f t="shared" si="183"/>
        <v>0</v>
      </c>
      <c r="AQ121" s="89">
        <f t="shared" si="201"/>
        <v>0</v>
      </c>
      <c r="AR121" s="89">
        <f t="shared" si="201"/>
        <v>0</v>
      </c>
      <c r="AS121" s="89">
        <f t="shared" si="201"/>
        <v>0</v>
      </c>
      <c r="AT121" s="89">
        <f t="shared" si="201"/>
        <v>0</v>
      </c>
      <c r="AU121" s="89">
        <f t="shared" si="201"/>
        <v>0</v>
      </c>
      <c r="AV121" s="89">
        <f t="shared" si="201"/>
        <v>0</v>
      </c>
      <c r="AW121" s="89">
        <f t="shared" si="201"/>
        <v>0</v>
      </c>
      <c r="AX121" s="89">
        <f t="shared" si="202"/>
        <v>0</v>
      </c>
      <c r="AY121" s="89">
        <f t="shared" si="203"/>
        <v>0</v>
      </c>
      <c r="AZ121" s="89">
        <f t="shared" si="203"/>
        <v>0</v>
      </c>
      <c r="BA121" s="89">
        <f t="shared" si="204"/>
        <v>0</v>
      </c>
      <c r="BB121" s="89">
        <f t="shared" si="204"/>
        <v>0</v>
      </c>
      <c r="BC121" s="89">
        <f t="shared" si="204"/>
        <v>0</v>
      </c>
      <c r="BD121" s="89">
        <f t="shared" si="204"/>
        <v>0</v>
      </c>
      <c r="BE121" s="89">
        <f t="shared" si="204"/>
        <v>0</v>
      </c>
      <c r="BF121" s="89">
        <f t="shared" si="204"/>
        <v>0</v>
      </c>
      <c r="BG121" s="89">
        <f t="shared" si="205"/>
        <v>0</v>
      </c>
      <c r="BH121" s="111">
        <f>X121+AP121</f>
        <v>0</v>
      </c>
    </row>
    <row r="122" spans="1:60" ht="22.5">
      <c r="A122" s="51"/>
      <c r="B122" s="108"/>
      <c r="C122" s="52" t="s">
        <v>154</v>
      </c>
      <c r="D122" s="52" t="s">
        <v>3</v>
      </c>
      <c r="E122" s="52" t="s">
        <v>0</v>
      </c>
      <c r="F122" s="53" t="s">
        <v>62</v>
      </c>
      <c r="G122" s="89">
        <f t="shared" ref="G122:M122" si="206">G120+G121</f>
        <v>0</v>
      </c>
      <c r="H122" s="89">
        <f t="shared" si="206"/>
        <v>0</v>
      </c>
      <c r="I122" s="89">
        <f t="shared" si="206"/>
        <v>0</v>
      </c>
      <c r="J122" s="89">
        <f t="shared" si="206"/>
        <v>0</v>
      </c>
      <c r="K122" s="89">
        <f t="shared" si="206"/>
        <v>0</v>
      </c>
      <c r="L122" s="89">
        <f t="shared" si="206"/>
        <v>0</v>
      </c>
      <c r="M122" s="89">
        <f t="shared" si="206"/>
        <v>0</v>
      </c>
      <c r="N122" s="89">
        <f t="shared" ref="N122:O122" si="207">N120+N121</f>
        <v>0</v>
      </c>
      <c r="O122" s="89">
        <f t="shared" si="207"/>
        <v>0</v>
      </c>
      <c r="P122" s="89">
        <f t="shared" ref="P122" si="208">P120+P121</f>
        <v>0</v>
      </c>
      <c r="Q122" s="89">
        <f t="shared" ref="Q122:W122" si="209">Q120+Q121</f>
        <v>0</v>
      </c>
      <c r="R122" s="89">
        <f t="shared" si="209"/>
        <v>0</v>
      </c>
      <c r="S122" s="89">
        <f t="shared" si="209"/>
        <v>0</v>
      </c>
      <c r="T122" s="89">
        <f t="shared" si="209"/>
        <v>0</v>
      </c>
      <c r="U122" s="89">
        <f t="shared" si="209"/>
        <v>0</v>
      </c>
      <c r="V122" s="89">
        <f t="shared" ref="V122" si="210">V120+V121</f>
        <v>0</v>
      </c>
      <c r="W122" s="89">
        <f t="shared" si="209"/>
        <v>0</v>
      </c>
      <c r="X122" s="89">
        <f t="shared" si="182"/>
        <v>0</v>
      </c>
      <c r="Y122" s="89">
        <f t="shared" ref="Y122:AG122" si="211">Y120+Y121</f>
        <v>0</v>
      </c>
      <c r="Z122" s="89">
        <f t="shared" si="211"/>
        <v>0</v>
      </c>
      <c r="AA122" s="89">
        <f t="shared" si="211"/>
        <v>0</v>
      </c>
      <c r="AB122" s="89">
        <f t="shared" si="211"/>
        <v>0</v>
      </c>
      <c r="AC122" s="89">
        <f t="shared" si="211"/>
        <v>0</v>
      </c>
      <c r="AD122" s="89">
        <f t="shared" si="211"/>
        <v>0</v>
      </c>
      <c r="AE122" s="89">
        <f t="shared" si="211"/>
        <v>0</v>
      </c>
      <c r="AF122" s="89">
        <f t="shared" si="211"/>
        <v>0</v>
      </c>
      <c r="AG122" s="89">
        <f t="shared" si="211"/>
        <v>0</v>
      </c>
      <c r="AH122" s="89">
        <f t="shared" ref="AH122" si="212">AH120+AH121</f>
        <v>0</v>
      </c>
      <c r="AI122" s="89">
        <f t="shared" ref="AI122:AO122" si="213">AI120+AI121</f>
        <v>0</v>
      </c>
      <c r="AJ122" s="89">
        <f t="shared" si="213"/>
        <v>0</v>
      </c>
      <c r="AK122" s="89">
        <f t="shared" si="213"/>
        <v>0</v>
      </c>
      <c r="AL122" s="89">
        <f t="shared" si="213"/>
        <v>0</v>
      </c>
      <c r="AM122" s="89">
        <f t="shared" si="213"/>
        <v>0</v>
      </c>
      <c r="AN122" s="89">
        <f t="shared" si="213"/>
        <v>0</v>
      </c>
      <c r="AO122" s="89">
        <f t="shared" si="213"/>
        <v>0</v>
      </c>
      <c r="AP122" s="89">
        <f t="shared" si="183"/>
        <v>0</v>
      </c>
      <c r="AQ122" s="89">
        <f t="shared" si="201"/>
        <v>0</v>
      </c>
      <c r="AR122" s="89">
        <f t="shared" si="201"/>
        <v>0</v>
      </c>
      <c r="AS122" s="89">
        <f t="shared" si="201"/>
        <v>0</v>
      </c>
      <c r="AT122" s="89">
        <f t="shared" si="201"/>
        <v>0</v>
      </c>
      <c r="AU122" s="89">
        <f t="shared" si="201"/>
        <v>0</v>
      </c>
      <c r="AV122" s="89">
        <f t="shared" si="201"/>
        <v>0</v>
      </c>
      <c r="AW122" s="89">
        <f t="shared" si="201"/>
        <v>0</v>
      </c>
      <c r="AX122" s="89">
        <f t="shared" si="202"/>
        <v>0</v>
      </c>
      <c r="AY122" s="89">
        <f t="shared" si="203"/>
        <v>0</v>
      </c>
      <c r="AZ122" s="89">
        <f t="shared" si="203"/>
        <v>0</v>
      </c>
      <c r="BA122" s="89">
        <f t="shared" si="204"/>
        <v>0</v>
      </c>
      <c r="BB122" s="89">
        <f t="shared" si="204"/>
        <v>0</v>
      </c>
      <c r="BC122" s="89">
        <f t="shared" si="204"/>
        <v>0</v>
      </c>
      <c r="BD122" s="89">
        <f t="shared" si="204"/>
        <v>0</v>
      </c>
      <c r="BE122" s="89">
        <f t="shared" si="204"/>
        <v>0</v>
      </c>
      <c r="BF122" s="89">
        <f t="shared" si="204"/>
        <v>0</v>
      </c>
      <c r="BG122" s="89">
        <f t="shared" si="205"/>
        <v>0</v>
      </c>
      <c r="BH122" s="111">
        <f>X122+AP122</f>
        <v>0</v>
      </c>
    </row>
    <row r="123" spans="1:60" ht="22.5">
      <c r="A123" s="51"/>
      <c r="B123" s="108"/>
      <c r="C123" s="52"/>
      <c r="D123" s="52"/>
      <c r="E123" s="52" t="s">
        <v>0</v>
      </c>
      <c r="F123" s="53" t="s">
        <v>42</v>
      </c>
      <c r="G123" s="52"/>
      <c r="H123" s="52"/>
      <c r="I123" s="52"/>
      <c r="J123" s="52"/>
      <c r="K123" s="52"/>
      <c r="L123" s="52"/>
      <c r="M123" s="52"/>
      <c r="N123" s="52"/>
      <c r="O123" s="52"/>
      <c r="P123" s="52"/>
      <c r="Q123" s="52"/>
      <c r="R123" s="52"/>
      <c r="S123" s="52"/>
      <c r="T123" s="52"/>
      <c r="U123" s="52"/>
      <c r="V123" s="52"/>
      <c r="W123" s="52"/>
      <c r="X123" s="91"/>
      <c r="Y123" s="52"/>
      <c r="Z123" s="52"/>
      <c r="AA123" s="52"/>
      <c r="AB123" s="52"/>
      <c r="AC123" s="52"/>
      <c r="AD123" s="52"/>
      <c r="AE123" s="52"/>
      <c r="AF123" s="52"/>
      <c r="AG123" s="52"/>
      <c r="AH123" s="52"/>
      <c r="AI123" s="52"/>
      <c r="AJ123" s="52"/>
      <c r="AK123" s="52"/>
      <c r="AL123" s="52"/>
      <c r="AM123" s="52"/>
      <c r="AN123" s="52"/>
      <c r="AO123" s="52"/>
      <c r="AP123" s="91"/>
      <c r="AQ123" s="91"/>
      <c r="AR123" s="91"/>
      <c r="AS123" s="91"/>
      <c r="AT123" s="91"/>
      <c r="AU123" s="91"/>
      <c r="AV123" s="91"/>
      <c r="AW123" s="91"/>
      <c r="AX123" s="91"/>
      <c r="AY123" s="91"/>
      <c r="AZ123" s="91"/>
      <c r="BA123" s="91"/>
      <c r="BB123" s="91"/>
      <c r="BC123" s="91"/>
      <c r="BD123" s="91"/>
      <c r="BE123" s="91"/>
      <c r="BF123" s="91"/>
      <c r="BG123" s="91"/>
      <c r="BH123" s="112"/>
    </row>
    <row r="124" spans="1:60">
      <c r="A124" s="51"/>
      <c r="B124" s="108"/>
      <c r="C124" s="52" t="s">
        <v>155</v>
      </c>
      <c r="D124" s="52" t="s">
        <v>3</v>
      </c>
      <c r="E124" s="52" t="s">
        <v>0</v>
      </c>
      <c r="F124" s="54" t="s">
        <v>43</v>
      </c>
      <c r="G124" s="83"/>
      <c r="H124" s="83"/>
      <c r="I124" s="83"/>
      <c r="J124" s="83"/>
      <c r="K124" s="83"/>
      <c r="L124" s="83"/>
      <c r="M124" s="83"/>
      <c r="N124" s="83"/>
      <c r="O124" s="83"/>
      <c r="P124" s="89"/>
      <c r="Q124" s="83"/>
      <c r="R124" s="83"/>
      <c r="S124" s="83"/>
      <c r="T124" s="83"/>
      <c r="U124" s="83"/>
      <c r="V124" s="83"/>
      <c r="W124" s="83"/>
      <c r="X124" s="89">
        <f t="shared" ref="X124:X130" si="214">SUM(P124:W124)+SUM(G124:K124)</f>
        <v>0</v>
      </c>
      <c r="Y124" s="83"/>
      <c r="Z124" s="83"/>
      <c r="AA124" s="83"/>
      <c r="AB124" s="83"/>
      <c r="AC124" s="83"/>
      <c r="AD124" s="83"/>
      <c r="AE124" s="83"/>
      <c r="AF124" s="83"/>
      <c r="AG124" s="83"/>
      <c r="AH124" s="89"/>
      <c r="AI124" s="83"/>
      <c r="AJ124" s="83"/>
      <c r="AK124" s="83"/>
      <c r="AL124" s="83"/>
      <c r="AM124" s="83"/>
      <c r="AN124" s="83"/>
      <c r="AO124" s="83"/>
      <c r="AP124" s="89">
        <f t="shared" ref="AP124:AP130" si="215">SUM(AH124:AO124)+SUM(Y124:AC124)</f>
        <v>0</v>
      </c>
      <c r="AQ124" s="89">
        <f t="shared" ref="AQ124:AW130" si="216">G124+Y124</f>
        <v>0</v>
      </c>
      <c r="AR124" s="89">
        <f t="shared" si="216"/>
        <v>0</v>
      </c>
      <c r="AS124" s="89">
        <f t="shared" si="216"/>
        <v>0</v>
      </c>
      <c r="AT124" s="89">
        <f t="shared" si="216"/>
        <v>0</v>
      </c>
      <c r="AU124" s="89">
        <f t="shared" si="216"/>
        <v>0</v>
      </c>
      <c r="AV124" s="89">
        <f t="shared" si="216"/>
        <v>0</v>
      </c>
      <c r="AW124" s="89">
        <f t="shared" si="216"/>
        <v>0</v>
      </c>
      <c r="AX124" s="89">
        <f t="shared" ref="AX124:AX130" si="217">N124+AF124</f>
        <v>0</v>
      </c>
      <c r="AY124" s="89">
        <f t="shared" ref="AY124:AZ130" si="218">O124+AG124</f>
        <v>0</v>
      </c>
      <c r="AZ124" s="89">
        <f t="shared" si="218"/>
        <v>0</v>
      </c>
      <c r="BA124" s="89">
        <f t="shared" ref="BA124:BF130" si="219">Q124+AI124</f>
        <v>0</v>
      </c>
      <c r="BB124" s="89">
        <f t="shared" si="219"/>
        <v>0</v>
      </c>
      <c r="BC124" s="89">
        <f t="shared" si="219"/>
        <v>0</v>
      </c>
      <c r="BD124" s="89">
        <f t="shared" si="219"/>
        <v>0</v>
      </c>
      <c r="BE124" s="89">
        <f t="shared" si="219"/>
        <v>0</v>
      </c>
      <c r="BF124" s="89">
        <f t="shared" si="219"/>
        <v>0</v>
      </c>
      <c r="BG124" s="89">
        <f t="shared" ref="BG124:BG130" si="220">W124+AO124</f>
        <v>0</v>
      </c>
      <c r="BH124" s="111">
        <f t="shared" ref="BH124:BH130" si="221">X124+AP124</f>
        <v>0</v>
      </c>
    </row>
    <row r="125" spans="1:60">
      <c r="A125" s="51"/>
      <c r="B125" s="108"/>
      <c r="C125" s="52" t="s">
        <v>156</v>
      </c>
      <c r="D125" s="52" t="s">
        <v>3</v>
      </c>
      <c r="E125" s="52" t="s">
        <v>0</v>
      </c>
      <c r="F125" s="54" t="s">
        <v>44</v>
      </c>
      <c r="G125" s="83"/>
      <c r="H125" s="83"/>
      <c r="I125" s="83"/>
      <c r="J125" s="83"/>
      <c r="K125" s="83"/>
      <c r="L125" s="83"/>
      <c r="M125" s="83"/>
      <c r="N125" s="83"/>
      <c r="O125" s="83"/>
      <c r="P125" s="89"/>
      <c r="Q125" s="83"/>
      <c r="R125" s="83"/>
      <c r="S125" s="83"/>
      <c r="T125" s="83"/>
      <c r="U125" s="83"/>
      <c r="V125" s="83"/>
      <c r="W125" s="83"/>
      <c r="X125" s="89">
        <f t="shared" si="214"/>
        <v>0</v>
      </c>
      <c r="Y125" s="83"/>
      <c r="Z125" s="83"/>
      <c r="AA125" s="83"/>
      <c r="AB125" s="83"/>
      <c r="AC125" s="83"/>
      <c r="AD125" s="83"/>
      <c r="AE125" s="83"/>
      <c r="AF125" s="83"/>
      <c r="AG125" s="83"/>
      <c r="AH125" s="89"/>
      <c r="AI125" s="83"/>
      <c r="AJ125" s="83"/>
      <c r="AK125" s="83"/>
      <c r="AL125" s="83"/>
      <c r="AM125" s="83"/>
      <c r="AN125" s="83"/>
      <c r="AO125" s="83"/>
      <c r="AP125" s="89">
        <f t="shared" si="215"/>
        <v>0</v>
      </c>
      <c r="AQ125" s="89">
        <f t="shared" si="216"/>
        <v>0</v>
      </c>
      <c r="AR125" s="89">
        <f t="shared" si="216"/>
        <v>0</v>
      </c>
      <c r="AS125" s="89">
        <f t="shared" si="216"/>
        <v>0</v>
      </c>
      <c r="AT125" s="89">
        <f t="shared" si="216"/>
        <v>0</v>
      </c>
      <c r="AU125" s="89">
        <f t="shared" si="216"/>
        <v>0</v>
      </c>
      <c r="AV125" s="89">
        <f t="shared" si="216"/>
        <v>0</v>
      </c>
      <c r="AW125" s="89">
        <f t="shared" si="216"/>
        <v>0</v>
      </c>
      <c r="AX125" s="89">
        <f t="shared" si="217"/>
        <v>0</v>
      </c>
      <c r="AY125" s="89">
        <f t="shared" si="218"/>
        <v>0</v>
      </c>
      <c r="AZ125" s="89">
        <f t="shared" si="218"/>
        <v>0</v>
      </c>
      <c r="BA125" s="89">
        <f t="shared" si="219"/>
        <v>0</v>
      </c>
      <c r="BB125" s="89">
        <f t="shared" si="219"/>
        <v>0</v>
      </c>
      <c r="BC125" s="89">
        <f t="shared" si="219"/>
        <v>0</v>
      </c>
      <c r="BD125" s="89">
        <f t="shared" si="219"/>
        <v>0</v>
      </c>
      <c r="BE125" s="89">
        <f t="shared" si="219"/>
        <v>0</v>
      </c>
      <c r="BF125" s="89">
        <f t="shared" si="219"/>
        <v>0</v>
      </c>
      <c r="BG125" s="89">
        <f t="shared" si="220"/>
        <v>0</v>
      </c>
      <c r="BH125" s="111">
        <f t="shared" si="221"/>
        <v>0</v>
      </c>
    </row>
    <row r="126" spans="1:60" ht="15" customHeight="1">
      <c r="A126" s="51"/>
      <c r="B126" s="108"/>
      <c r="C126" s="52" t="s">
        <v>157</v>
      </c>
      <c r="D126" s="52" t="s">
        <v>3</v>
      </c>
      <c r="E126" s="52" t="s">
        <v>0</v>
      </c>
      <c r="F126" s="53" t="s">
        <v>63</v>
      </c>
      <c r="G126" s="89">
        <f t="shared" ref="G126:M126" si="222">G124+G125</f>
        <v>0</v>
      </c>
      <c r="H126" s="89">
        <f t="shared" si="222"/>
        <v>0</v>
      </c>
      <c r="I126" s="89">
        <f t="shared" si="222"/>
        <v>0</v>
      </c>
      <c r="J126" s="89">
        <f t="shared" si="222"/>
        <v>0</v>
      </c>
      <c r="K126" s="89">
        <f t="shared" si="222"/>
        <v>0</v>
      </c>
      <c r="L126" s="89">
        <f t="shared" si="222"/>
        <v>0</v>
      </c>
      <c r="M126" s="89">
        <f t="shared" si="222"/>
        <v>0</v>
      </c>
      <c r="N126" s="89">
        <f t="shared" ref="N126:O126" si="223">N124+N125</f>
        <v>0</v>
      </c>
      <c r="O126" s="89">
        <f t="shared" si="223"/>
        <v>0</v>
      </c>
      <c r="P126" s="89">
        <f t="shared" ref="P126" si="224">P124+P125</f>
        <v>0</v>
      </c>
      <c r="Q126" s="89">
        <f t="shared" ref="Q126:W126" si="225">Q124+Q125</f>
        <v>0</v>
      </c>
      <c r="R126" s="89">
        <f t="shared" si="225"/>
        <v>0</v>
      </c>
      <c r="S126" s="89">
        <f t="shared" si="225"/>
        <v>0</v>
      </c>
      <c r="T126" s="89">
        <f t="shared" si="225"/>
        <v>0</v>
      </c>
      <c r="U126" s="89">
        <f t="shared" si="225"/>
        <v>0</v>
      </c>
      <c r="V126" s="89">
        <f t="shared" ref="V126" si="226">V124+V125</f>
        <v>0</v>
      </c>
      <c r="W126" s="89">
        <f t="shared" si="225"/>
        <v>0</v>
      </c>
      <c r="X126" s="89">
        <f t="shared" si="214"/>
        <v>0</v>
      </c>
      <c r="Y126" s="89">
        <f t="shared" ref="Y126:AG126" si="227">Y124+Y125</f>
        <v>0</v>
      </c>
      <c r="Z126" s="89">
        <f t="shared" si="227"/>
        <v>0</v>
      </c>
      <c r="AA126" s="89">
        <f t="shared" si="227"/>
        <v>0</v>
      </c>
      <c r="AB126" s="89">
        <f t="shared" si="227"/>
        <v>0</v>
      </c>
      <c r="AC126" s="89">
        <f t="shared" si="227"/>
        <v>0</v>
      </c>
      <c r="AD126" s="89">
        <f t="shared" si="227"/>
        <v>0</v>
      </c>
      <c r="AE126" s="89">
        <f t="shared" si="227"/>
        <v>0</v>
      </c>
      <c r="AF126" s="89">
        <f t="shared" si="227"/>
        <v>0</v>
      </c>
      <c r="AG126" s="89">
        <f t="shared" si="227"/>
        <v>0</v>
      </c>
      <c r="AH126" s="89">
        <f t="shared" ref="AH126" si="228">AH124+AH125</f>
        <v>0</v>
      </c>
      <c r="AI126" s="89">
        <f t="shared" ref="AI126:AO126" si="229">AI124+AI125</f>
        <v>0</v>
      </c>
      <c r="AJ126" s="89">
        <f t="shared" si="229"/>
        <v>0</v>
      </c>
      <c r="AK126" s="89">
        <f t="shared" si="229"/>
        <v>0</v>
      </c>
      <c r="AL126" s="89">
        <f t="shared" si="229"/>
        <v>0</v>
      </c>
      <c r="AM126" s="89">
        <f t="shared" si="229"/>
        <v>0</v>
      </c>
      <c r="AN126" s="89">
        <f t="shared" si="229"/>
        <v>0</v>
      </c>
      <c r="AO126" s="89">
        <f t="shared" si="229"/>
        <v>0</v>
      </c>
      <c r="AP126" s="89">
        <f t="shared" si="215"/>
        <v>0</v>
      </c>
      <c r="AQ126" s="89">
        <f t="shared" si="216"/>
        <v>0</v>
      </c>
      <c r="AR126" s="89">
        <f t="shared" si="216"/>
        <v>0</v>
      </c>
      <c r="AS126" s="89">
        <f t="shared" si="216"/>
        <v>0</v>
      </c>
      <c r="AT126" s="89">
        <f t="shared" si="216"/>
        <v>0</v>
      </c>
      <c r="AU126" s="89">
        <f t="shared" si="216"/>
        <v>0</v>
      </c>
      <c r="AV126" s="89">
        <f t="shared" si="216"/>
        <v>0</v>
      </c>
      <c r="AW126" s="89">
        <f t="shared" si="216"/>
        <v>0</v>
      </c>
      <c r="AX126" s="89">
        <f t="shared" si="217"/>
        <v>0</v>
      </c>
      <c r="AY126" s="89">
        <f t="shared" si="218"/>
        <v>0</v>
      </c>
      <c r="AZ126" s="89">
        <f t="shared" si="218"/>
        <v>0</v>
      </c>
      <c r="BA126" s="89">
        <f t="shared" si="219"/>
        <v>0</v>
      </c>
      <c r="BB126" s="89">
        <f t="shared" si="219"/>
        <v>0</v>
      </c>
      <c r="BC126" s="89">
        <f t="shared" si="219"/>
        <v>0</v>
      </c>
      <c r="BD126" s="89">
        <f t="shared" si="219"/>
        <v>0</v>
      </c>
      <c r="BE126" s="89">
        <f t="shared" si="219"/>
        <v>0</v>
      </c>
      <c r="BF126" s="89">
        <f t="shared" si="219"/>
        <v>0</v>
      </c>
      <c r="BG126" s="89">
        <f t="shared" si="220"/>
        <v>0</v>
      </c>
      <c r="BH126" s="111">
        <f t="shared" si="221"/>
        <v>0</v>
      </c>
    </row>
    <row r="127" spans="1:60" ht="22.5">
      <c r="A127" s="51"/>
      <c r="B127" s="108"/>
      <c r="C127" s="52" t="s">
        <v>158</v>
      </c>
      <c r="D127" s="52" t="s">
        <v>3</v>
      </c>
      <c r="E127" s="52" t="s">
        <v>0</v>
      </c>
      <c r="F127" s="54" t="s">
        <v>45</v>
      </c>
      <c r="G127" s="83"/>
      <c r="H127" s="83"/>
      <c r="I127" s="83"/>
      <c r="J127" s="83"/>
      <c r="K127" s="83"/>
      <c r="L127" s="83"/>
      <c r="M127" s="83"/>
      <c r="N127" s="83"/>
      <c r="O127" s="83"/>
      <c r="P127" s="89"/>
      <c r="Q127" s="83"/>
      <c r="R127" s="83"/>
      <c r="S127" s="83"/>
      <c r="T127" s="83"/>
      <c r="U127" s="83"/>
      <c r="V127" s="83"/>
      <c r="W127" s="83"/>
      <c r="X127" s="89">
        <f t="shared" si="214"/>
        <v>0</v>
      </c>
      <c r="Y127" s="83"/>
      <c r="Z127" s="83"/>
      <c r="AA127" s="83"/>
      <c r="AB127" s="83"/>
      <c r="AC127" s="83"/>
      <c r="AD127" s="83"/>
      <c r="AE127" s="83"/>
      <c r="AF127" s="83"/>
      <c r="AG127" s="83"/>
      <c r="AH127" s="89"/>
      <c r="AI127" s="83"/>
      <c r="AJ127" s="83"/>
      <c r="AK127" s="83"/>
      <c r="AL127" s="83"/>
      <c r="AM127" s="83"/>
      <c r="AN127" s="83"/>
      <c r="AO127" s="83"/>
      <c r="AP127" s="89">
        <f t="shared" si="215"/>
        <v>0</v>
      </c>
      <c r="AQ127" s="89">
        <f t="shared" si="216"/>
        <v>0</v>
      </c>
      <c r="AR127" s="89">
        <f t="shared" si="216"/>
        <v>0</v>
      </c>
      <c r="AS127" s="89">
        <f t="shared" si="216"/>
        <v>0</v>
      </c>
      <c r="AT127" s="89">
        <f t="shared" si="216"/>
        <v>0</v>
      </c>
      <c r="AU127" s="89">
        <f t="shared" si="216"/>
        <v>0</v>
      </c>
      <c r="AV127" s="89">
        <f t="shared" si="216"/>
        <v>0</v>
      </c>
      <c r="AW127" s="89">
        <f t="shared" si="216"/>
        <v>0</v>
      </c>
      <c r="AX127" s="89">
        <f t="shared" si="217"/>
        <v>0</v>
      </c>
      <c r="AY127" s="89">
        <f t="shared" si="218"/>
        <v>0</v>
      </c>
      <c r="AZ127" s="89">
        <f t="shared" si="218"/>
        <v>0</v>
      </c>
      <c r="BA127" s="89">
        <f t="shared" si="219"/>
        <v>0</v>
      </c>
      <c r="BB127" s="89">
        <f t="shared" si="219"/>
        <v>0</v>
      </c>
      <c r="BC127" s="89">
        <f t="shared" si="219"/>
        <v>0</v>
      </c>
      <c r="BD127" s="89">
        <f t="shared" si="219"/>
        <v>0</v>
      </c>
      <c r="BE127" s="89">
        <f t="shared" si="219"/>
        <v>0</v>
      </c>
      <c r="BF127" s="89">
        <f t="shared" si="219"/>
        <v>0</v>
      </c>
      <c r="BG127" s="89">
        <f t="shared" si="220"/>
        <v>0</v>
      </c>
      <c r="BH127" s="111">
        <f t="shared" si="221"/>
        <v>0</v>
      </c>
    </row>
    <row r="128" spans="1:60" ht="22.5">
      <c r="A128" s="51"/>
      <c r="B128" s="108"/>
      <c r="C128" s="52" t="s">
        <v>159</v>
      </c>
      <c r="D128" s="52" t="s">
        <v>3</v>
      </c>
      <c r="E128" s="52" t="s">
        <v>0</v>
      </c>
      <c r="F128" s="54" t="s">
        <v>46</v>
      </c>
      <c r="G128" s="83"/>
      <c r="H128" s="83"/>
      <c r="I128" s="83"/>
      <c r="J128" s="83"/>
      <c r="K128" s="83"/>
      <c r="L128" s="83"/>
      <c r="M128" s="83"/>
      <c r="N128" s="83"/>
      <c r="O128" s="83"/>
      <c r="P128" s="89"/>
      <c r="Q128" s="83"/>
      <c r="R128" s="83"/>
      <c r="S128" s="83"/>
      <c r="T128" s="83"/>
      <c r="U128" s="83"/>
      <c r="V128" s="83"/>
      <c r="W128" s="83"/>
      <c r="X128" s="89">
        <f t="shared" si="214"/>
        <v>0</v>
      </c>
      <c r="Y128" s="83"/>
      <c r="Z128" s="83"/>
      <c r="AA128" s="83"/>
      <c r="AB128" s="83"/>
      <c r="AC128" s="83"/>
      <c r="AD128" s="83"/>
      <c r="AE128" s="83"/>
      <c r="AF128" s="83"/>
      <c r="AG128" s="83"/>
      <c r="AH128" s="89"/>
      <c r="AI128" s="83"/>
      <c r="AJ128" s="83"/>
      <c r="AK128" s="83"/>
      <c r="AL128" s="83"/>
      <c r="AM128" s="83"/>
      <c r="AN128" s="83"/>
      <c r="AO128" s="83"/>
      <c r="AP128" s="89">
        <f t="shared" si="215"/>
        <v>0</v>
      </c>
      <c r="AQ128" s="89">
        <f t="shared" si="216"/>
        <v>0</v>
      </c>
      <c r="AR128" s="89">
        <f t="shared" si="216"/>
        <v>0</v>
      </c>
      <c r="AS128" s="89">
        <f t="shared" si="216"/>
        <v>0</v>
      </c>
      <c r="AT128" s="89">
        <f t="shared" si="216"/>
        <v>0</v>
      </c>
      <c r="AU128" s="89">
        <f t="shared" si="216"/>
        <v>0</v>
      </c>
      <c r="AV128" s="89">
        <f t="shared" si="216"/>
        <v>0</v>
      </c>
      <c r="AW128" s="89">
        <f t="shared" si="216"/>
        <v>0</v>
      </c>
      <c r="AX128" s="89">
        <f t="shared" si="217"/>
        <v>0</v>
      </c>
      <c r="AY128" s="89">
        <f t="shared" si="218"/>
        <v>0</v>
      </c>
      <c r="AZ128" s="89">
        <f t="shared" si="218"/>
        <v>0</v>
      </c>
      <c r="BA128" s="89">
        <f t="shared" si="219"/>
        <v>0</v>
      </c>
      <c r="BB128" s="89">
        <f t="shared" si="219"/>
        <v>0</v>
      </c>
      <c r="BC128" s="89">
        <f t="shared" si="219"/>
        <v>0</v>
      </c>
      <c r="BD128" s="89">
        <f t="shared" si="219"/>
        <v>0</v>
      </c>
      <c r="BE128" s="89">
        <f t="shared" si="219"/>
        <v>0</v>
      </c>
      <c r="BF128" s="89">
        <f t="shared" si="219"/>
        <v>0</v>
      </c>
      <c r="BG128" s="89">
        <f t="shared" si="220"/>
        <v>0</v>
      </c>
      <c r="BH128" s="111">
        <f t="shared" si="221"/>
        <v>0</v>
      </c>
    </row>
    <row r="129" spans="1:60">
      <c r="A129" s="51"/>
      <c r="B129" s="108"/>
      <c r="C129" s="52" t="s">
        <v>160</v>
      </c>
      <c r="D129" s="52" t="s">
        <v>3</v>
      </c>
      <c r="E129" s="52" t="s">
        <v>0</v>
      </c>
      <c r="F129" s="53" t="s">
        <v>64</v>
      </c>
      <c r="G129" s="89">
        <f t="shared" ref="G129:M129" si="230">G110+G111+G112-G113-G114+G115+G116-G117+G118+G122-G126-G127-G128</f>
        <v>0</v>
      </c>
      <c r="H129" s="89">
        <f t="shared" si="230"/>
        <v>0</v>
      </c>
      <c r="I129" s="89">
        <f t="shared" si="230"/>
        <v>0</v>
      </c>
      <c r="J129" s="89">
        <f t="shared" si="230"/>
        <v>0</v>
      </c>
      <c r="K129" s="89">
        <f t="shared" si="230"/>
        <v>0</v>
      </c>
      <c r="L129" s="89">
        <f t="shared" si="230"/>
        <v>0</v>
      </c>
      <c r="M129" s="89">
        <f t="shared" si="230"/>
        <v>0</v>
      </c>
      <c r="N129" s="89">
        <f t="shared" ref="N129:O129" si="231">N110+N111+N112-N113-N114+N115+N116-N117+N118+N122-N126-N127-N128</f>
        <v>0</v>
      </c>
      <c r="O129" s="89">
        <f t="shared" si="231"/>
        <v>0</v>
      </c>
      <c r="P129" s="89">
        <f t="shared" ref="P129" si="232">P110+P111+P112-P113-P114+P115+P116-P117+P118+P122-P126-P127-P128</f>
        <v>0</v>
      </c>
      <c r="Q129" s="89">
        <f t="shared" ref="Q129:W129" si="233">Q110+Q111+Q112-Q113-Q114+Q115+Q116-Q117+Q118+Q122-Q126-Q127-Q128</f>
        <v>0</v>
      </c>
      <c r="R129" s="89">
        <f t="shared" si="233"/>
        <v>0</v>
      </c>
      <c r="S129" s="89">
        <f t="shared" si="233"/>
        <v>0</v>
      </c>
      <c r="T129" s="89">
        <f t="shared" si="233"/>
        <v>0</v>
      </c>
      <c r="U129" s="89">
        <f t="shared" si="233"/>
        <v>0</v>
      </c>
      <c r="V129" s="89">
        <f t="shared" ref="V129" si="234">V110+V111+V112-V113-V114+V115+V116-V117+V118+V122-V126-V127-V128</f>
        <v>0</v>
      </c>
      <c r="W129" s="89">
        <f t="shared" si="233"/>
        <v>0</v>
      </c>
      <c r="X129" s="89">
        <f t="shared" si="214"/>
        <v>0</v>
      </c>
      <c r="Y129" s="89">
        <f t="shared" ref="Y129:AG129" si="235">Y110+Y111+Y112-Y113-Y114+Y115+Y116-Y117+Y118+Y122-Y126-Y127-Y128</f>
        <v>0</v>
      </c>
      <c r="Z129" s="89">
        <f t="shared" si="235"/>
        <v>0</v>
      </c>
      <c r="AA129" s="89">
        <f t="shared" si="235"/>
        <v>0</v>
      </c>
      <c r="AB129" s="89">
        <f t="shared" si="235"/>
        <v>0</v>
      </c>
      <c r="AC129" s="89">
        <f t="shared" si="235"/>
        <v>0</v>
      </c>
      <c r="AD129" s="89">
        <f t="shared" si="235"/>
        <v>0</v>
      </c>
      <c r="AE129" s="89">
        <f t="shared" si="235"/>
        <v>0</v>
      </c>
      <c r="AF129" s="89">
        <f t="shared" si="235"/>
        <v>0</v>
      </c>
      <c r="AG129" s="89">
        <f t="shared" si="235"/>
        <v>0</v>
      </c>
      <c r="AH129" s="89">
        <f t="shared" ref="AH129" si="236">AH110+AH111+AH112-AH113-AH114+AH115+AH116-AH117+AH118+AH122-AH126-AH127-AH128</f>
        <v>0</v>
      </c>
      <c r="AI129" s="89">
        <f t="shared" ref="AI129:AO129" si="237">AI110+AI111+AI112-AI113-AI114+AI115+AI116-AI117+AI118+AI122-AI126-AI127-AI128</f>
        <v>0</v>
      </c>
      <c r="AJ129" s="89">
        <f t="shared" si="237"/>
        <v>0</v>
      </c>
      <c r="AK129" s="89">
        <f t="shared" si="237"/>
        <v>0</v>
      </c>
      <c r="AL129" s="89">
        <f t="shared" si="237"/>
        <v>0</v>
      </c>
      <c r="AM129" s="89">
        <f t="shared" si="237"/>
        <v>0</v>
      </c>
      <c r="AN129" s="89">
        <f t="shared" si="237"/>
        <v>0</v>
      </c>
      <c r="AO129" s="89">
        <f t="shared" si="237"/>
        <v>0</v>
      </c>
      <c r="AP129" s="89">
        <f t="shared" si="215"/>
        <v>0</v>
      </c>
      <c r="AQ129" s="89">
        <f t="shared" si="216"/>
        <v>0</v>
      </c>
      <c r="AR129" s="89">
        <f t="shared" si="216"/>
        <v>0</v>
      </c>
      <c r="AS129" s="89">
        <f t="shared" si="216"/>
        <v>0</v>
      </c>
      <c r="AT129" s="89">
        <f t="shared" si="216"/>
        <v>0</v>
      </c>
      <c r="AU129" s="89">
        <f t="shared" si="216"/>
        <v>0</v>
      </c>
      <c r="AV129" s="89">
        <f t="shared" si="216"/>
        <v>0</v>
      </c>
      <c r="AW129" s="89">
        <f t="shared" si="216"/>
        <v>0</v>
      </c>
      <c r="AX129" s="89">
        <f t="shared" si="217"/>
        <v>0</v>
      </c>
      <c r="AY129" s="89">
        <f t="shared" si="218"/>
        <v>0</v>
      </c>
      <c r="AZ129" s="89">
        <f t="shared" si="218"/>
        <v>0</v>
      </c>
      <c r="BA129" s="89">
        <f t="shared" si="219"/>
        <v>0</v>
      </c>
      <c r="BB129" s="89">
        <f t="shared" si="219"/>
        <v>0</v>
      </c>
      <c r="BC129" s="89">
        <f t="shared" si="219"/>
        <v>0</v>
      </c>
      <c r="BD129" s="89">
        <f t="shared" si="219"/>
        <v>0</v>
      </c>
      <c r="BE129" s="89">
        <f t="shared" si="219"/>
        <v>0</v>
      </c>
      <c r="BF129" s="89">
        <f t="shared" si="219"/>
        <v>0</v>
      </c>
      <c r="BG129" s="89">
        <f t="shared" si="220"/>
        <v>0</v>
      </c>
      <c r="BH129" s="111">
        <f t="shared" si="221"/>
        <v>0</v>
      </c>
    </row>
    <row r="130" spans="1:60">
      <c r="A130" s="51"/>
      <c r="B130" s="108"/>
      <c r="C130" s="52" t="s">
        <v>142</v>
      </c>
      <c r="D130" s="52" t="s">
        <v>3</v>
      </c>
      <c r="E130" s="52" t="s">
        <v>0</v>
      </c>
      <c r="F130" s="53" t="s">
        <v>28</v>
      </c>
      <c r="G130" s="89">
        <f t="shared" ref="G130:M130" si="238">G108+G129</f>
        <v>0</v>
      </c>
      <c r="H130" s="89">
        <f t="shared" si="238"/>
        <v>0</v>
      </c>
      <c r="I130" s="89">
        <f t="shared" si="238"/>
        <v>0</v>
      </c>
      <c r="J130" s="89">
        <f t="shared" si="238"/>
        <v>0</v>
      </c>
      <c r="K130" s="89">
        <f t="shared" si="238"/>
        <v>0</v>
      </c>
      <c r="L130" s="89">
        <f t="shared" si="238"/>
        <v>0</v>
      </c>
      <c r="M130" s="89">
        <f t="shared" si="238"/>
        <v>0</v>
      </c>
      <c r="N130" s="89">
        <f t="shared" ref="N130:O130" si="239">N108+N129</f>
        <v>0</v>
      </c>
      <c r="O130" s="89">
        <f t="shared" si="239"/>
        <v>0</v>
      </c>
      <c r="P130" s="89">
        <f t="shared" ref="P130" si="240">P108+P129</f>
        <v>0</v>
      </c>
      <c r="Q130" s="89">
        <f t="shared" ref="Q130:W130" si="241">Q108+Q129</f>
        <v>0</v>
      </c>
      <c r="R130" s="89">
        <f t="shared" si="241"/>
        <v>0</v>
      </c>
      <c r="S130" s="89">
        <f t="shared" si="241"/>
        <v>0</v>
      </c>
      <c r="T130" s="89">
        <f t="shared" si="241"/>
        <v>0</v>
      </c>
      <c r="U130" s="89">
        <f t="shared" si="241"/>
        <v>0</v>
      </c>
      <c r="V130" s="89">
        <f t="shared" ref="V130" si="242">V108+V129</f>
        <v>0</v>
      </c>
      <c r="W130" s="89">
        <f t="shared" si="241"/>
        <v>0</v>
      </c>
      <c r="X130" s="89">
        <f t="shared" si="214"/>
        <v>0</v>
      </c>
      <c r="Y130" s="89">
        <f t="shared" ref="Y130:AG130" si="243">Y108+Y129</f>
        <v>0</v>
      </c>
      <c r="Z130" s="89">
        <f t="shared" si="243"/>
        <v>0</v>
      </c>
      <c r="AA130" s="89">
        <f t="shared" si="243"/>
        <v>0</v>
      </c>
      <c r="AB130" s="89">
        <f t="shared" si="243"/>
        <v>0</v>
      </c>
      <c r="AC130" s="89">
        <f t="shared" si="243"/>
        <v>0</v>
      </c>
      <c r="AD130" s="89">
        <f t="shared" si="243"/>
        <v>0</v>
      </c>
      <c r="AE130" s="89">
        <f t="shared" si="243"/>
        <v>0</v>
      </c>
      <c r="AF130" s="89">
        <f t="shared" si="243"/>
        <v>0</v>
      </c>
      <c r="AG130" s="89">
        <f t="shared" si="243"/>
        <v>0</v>
      </c>
      <c r="AH130" s="89">
        <f t="shared" ref="AH130" si="244">AH108+AH129</f>
        <v>0</v>
      </c>
      <c r="AI130" s="89">
        <f t="shared" ref="AI130:AO130" si="245">AI108+AI129</f>
        <v>0</v>
      </c>
      <c r="AJ130" s="89">
        <f t="shared" si="245"/>
        <v>0</v>
      </c>
      <c r="AK130" s="89">
        <f t="shared" si="245"/>
        <v>0</v>
      </c>
      <c r="AL130" s="89">
        <f t="shared" si="245"/>
        <v>0</v>
      </c>
      <c r="AM130" s="89">
        <f t="shared" si="245"/>
        <v>0</v>
      </c>
      <c r="AN130" s="89">
        <f t="shared" si="245"/>
        <v>0</v>
      </c>
      <c r="AO130" s="89">
        <f t="shared" si="245"/>
        <v>0</v>
      </c>
      <c r="AP130" s="89">
        <f t="shared" si="215"/>
        <v>0</v>
      </c>
      <c r="AQ130" s="89">
        <f t="shared" si="216"/>
        <v>0</v>
      </c>
      <c r="AR130" s="89">
        <f t="shared" si="216"/>
        <v>0</v>
      </c>
      <c r="AS130" s="89">
        <f t="shared" si="216"/>
        <v>0</v>
      </c>
      <c r="AT130" s="89">
        <f t="shared" si="216"/>
        <v>0</v>
      </c>
      <c r="AU130" s="89">
        <f t="shared" si="216"/>
        <v>0</v>
      </c>
      <c r="AV130" s="89">
        <f t="shared" si="216"/>
        <v>0</v>
      </c>
      <c r="AW130" s="89">
        <f t="shared" si="216"/>
        <v>0</v>
      </c>
      <c r="AX130" s="89">
        <f t="shared" si="217"/>
        <v>0</v>
      </c>
      <c r="AY130" s="89">
        <f t="shared" si="218"/>
        <v>0</v>
      </c>
      <c r="AZ130" s="89">
        <f t="shared" si="218"/>
        <v>0</v>
      </c>
      <c r="BA130" s="89">
        <f t="shared" si="219"/>
        <v>0</v>
      </c>
      <c r="BB130" s="89">
        <f t="shared" si="219"/>
        <v>0</v>
      </c>
      <c r="BC130" s="89">
        <f t="shared" si="219"/>
        <v>0</v>
      </c>
      <c r="BD130" s="89">
        <f t="shared" si="219"/>
        <v>0</v>
      </c>
      <c r="BE130" s="89">
        <f t="shared" si="219"/>
        <v>0</v>
      </c>
      <c r="BF130" s="89">
        <f t="shared" si="219"/>
        <v>0</v>
      </c>
      <c r="BG130" s="89">
        <f t="shared" si="220"/>
        <v>0</v>
      </c>
      <c r="BH130" s="111">
        <f t="shared" si="221"/>
        <v>0</v>
      </c>
    </row>
    <row r="131" spans="1:60">
      <c r="A131" s="51"/>
      <c r="B131" s="108"/>
      <c r="C131" s="52"/>
      <c r="D131" s="52"/>
      <c r="E131" s="52" t="s">
        <v>0</v>
      </c>
      <c r="F131" s="53" t="s">
        <v>47</v>
      </c>
      <c r="G131" s="52"/>
      <c r="H131" s="52"/>
      <c r="I131" s="52"/>
      <c r="J131" s="52"/>
      <c r="K131" s="52"/>
      <c r="L131" s="52"/>
      <c r="M131" s="52"/>
      <c r="N131" s="52"/>
      <c r="O131" s="52"/>
      <c r="P131" s="52"/>
      <c r="Q131" s="52"/>
      <c r="R131" s="52"/>
      <c r="S131" s="52"/>
      <c r="T131" s="52"/>
      <c r="U131" s="52"/>
      <c r="V131" s="52"/>
      <c r="W131" s="52"/>
      <c r="X131" s="91"/>
      <c r="Y131" s="52"/>
      <c r="Z131" s="52"/>
      <c r="AA131" s="52"/>
      <c r="AB131" s="52"/>
      <c r="AC131" s="52"/>
      <c r="AD131" s="52"/>
      <c r="AE131" s="52"/>
      <c r="AF131" s="52"/>
      <c r="AG131" s="52"/>
      <c r="AH131" s="52"/>
      <c r="AI131" s="52"/>
      <c r="AJ131" s="52"/>
      <c r="AK131" s="52"/>
      <c r="AL131" s="52"/>
      <c r="AM131" s="52"/>
      <c r="AN131" s="52"/>
      <c r="AO131" s="52"/>
      <c r="AP131" s="91"/>
      <c r="AQ131" s="91"/>
      <c r="AR131" s="91"/>
      <c r="AS131" s="91"/>
      <c r="AT131" s="91"/>
      <c r="AU131" s="91"/>
      <c r="AV131" s="91"/>
      <c r="AW131" s="91"/>
      <c r="AX131" s="91"/>
      <c r="AY131" s="91"/>
      <c r="AZ131" s="91"/>
      <c r="BA131" s="91"/>
      <c r="BB131" s="91"/>
      <c r="BC131" s="91"/>
      <c r="BD131" s="91"/>
      <c r="BE131" s="91"/>
      <c r="BF131" s="91"/>
      <c r="BG131" s="91"/>
      <c r="BH131" s="112"/>
    </row>
    <row r="132" spans="1:60">
      <c r="A132" s="51"/>
      <c r="B132" s="108"/>
      <c r="C132" s="52" t="s">
        <v>161</v>
      </c>
      <c r="D132" s="52" t="s">
        <v>3</v>
      </c>
      <c r="E132" s="52" t="s">
        <v>0</v>
      </c>
      <c r="F132" s="54" t="s">
        <v>48</v>
      </c>
      <c r="G132" s="83"/>
      <c r="H132" s="83"/>
      <c r="I132" s="83"/>
      <c r="J132" s="83"/>
      <c r="K132" s="83"/>
      <c r="L132" s="83"/>
      <c r="M132" s="83"/>
      <c r="N132" s="83"/>
      <c r="O132" s="83"/>
      <c r="P132" s="89"/>
      <c r="Q132" s="83"/>
      <c r="R132" s="83"/>
      <c r="S132" s="83"/>
      <c r="T132" s="83"/>
      <c r="U132" s="83"/>
      <c r="V132" s="83"/>
      <c r="W132" s="83"/>
      <c r="X132" s="89">
        <f t="shared" ref="X132:X134" si="246">SUM(P132:W132)+SUM(G132:K132)</f>
        <v>0</v>
      </c>
      <c r="Y132" s="83"/>
      <c r="Z132" s="83"/>
      <c r="AA132" s="83"/>
      <c r="AB132" s="83"/>
      <c r="AC132" s="83"/>
      <c r="AD132" s="83"/>
      <c r="AE132" s="83"/>
      <c r="AF132" s="83"/>
      <c r="AG132" s="83"/>
      <c r="AH132" s="89"/>
      <c r="AI132" s="83"/>
      <c r="AJ132" s="83"/>
      <c r="AK132" s="83"/>
      <c r="AL132" s="83"/>
      <c r="AM132" s="83"/>
      <c r="AN132" s="83"/>
      <c r="AO132" s="83"/>
      <c r="AP132" s="89">
        <f t="shared" ref="AP132:AP134" si="247">SUM(AH132:AO132)+SUM(Y132:AC132)</f>
        <v>0</v>
      </c>
      <c r="AQ132" s="89">
        <f t="shared" ref="AQ132:AW134" si="248">G132+Y132</f>
        <v>0</v>
      </c>
      <c r="AR132" s="89">
        <f t="shared" si="248"/>
        <v>0</v>
      </c>
      <c r="AS132" s="89">
        <f t="shared" si="248"/>
        <v>0</v>
      </c>
      <c r="AT132" s="89">
        <f t="shared" si="248"/>
        <v>0</v>
      </c>
      <c r="AU132" s="89">
        <f t="shared" si="248"/>
        <v>0</v>
      </c>
      <c r="AV132" s="89">
        <f t="shared" si="248"/>
        <v>0</v>
      </c>
      <c r="AW132" s="89">
        <f t="shared" si="248"/>
        <v>0</v>
      </c>
      <c r="AX132" s="89">
        <f t="shared" ref="AX132:AX134" si="249">N132+AF132</f>
        <v>0</v>
      </c>
      <c r="AY132" s="89">
        <f t="shared" ref="AY132:AZ134" si="250">O132+AG132</f>
        <v>0</v>
      </c>
      <c r="AZ132" s="89">
        <f t="shared" si="250"/>
        <v>0</v>
      </c>
      <c r="BA132" s="89">
        <f t="shared" ref="BA132:BF134" si="251">Q132+AI132</f>
        <v>0</v>
      </c>
      <c r="BB132" s="89">
        <f t="shared" si="251"/>
        <v>0</v>
      </c>
      <c r="BC132" s="89">
        <f t="shared" si="251"/>
        <v>0</v>
      </c>
      <c r="BD132" s="89">
        <f t="shared" si="251"/>
        <v>0</v>
      </c>
      <c r="BE132" s="89">
        <f t="shared" si="251"/>
        <v>0</v>
      </c>
      <c r="BF132" s="89">
        <f t="shared" si="251"/>
        <v>0</v>
      </c>
      <c r="BG132" s="89">
        <f t="shared" ref="BG132:BG134" si="252">W132+AO132</f>
        <v>0</v>
      </c>
      <c r="BH132" s="111">
        <f>X132+AP132</f>
        <v>0</v>
      </c>
    </row>
    <row r="133" spans="1:60">
      <c r="A133" s="51"/>
      <c r="B133" s="108"/>
      <c r="C133" s="52" t="s">
        <v>162</v>
      </c>
      <c r="D133" s="52" t="s">
        <v>3</v>
      </c>
      <c r="E133" s="52" t="s">
        <v>0</v>
      </c>
      <c r="F133" s="54" t="s">
        <v>49</v>
      </c>
      <c r="G133" s="83"/>
      <c r="H133" s="83"/>
      <c r="I133" s="83"/>
      <c r="J133" s="83"/>
      <c r="K133" s="83"/>
      <c r="L133" s="83"/>
      <c r="M133" s="83"/>
      <c r="N133" s="83"/>
      <c r="O133" s="83"/>
      <c r="P133" s="89"/>
      <c r="Q133" s="83"/>
      <c r="R133" s="83"/>
      <c r="S133" s="83"/>
      <c r="T133" s="83"/>
      <c r="U133" s="83"/>
      <c r="V133" s="83"/>
      <c r="W133" s="83"/>
      <c r="X133" s="89">
        <f t="shared" si="246"/>
        <v>0</v>
      </c>
      <c r="Y133" s="83"/>
      <c r="Z133" s="83"/>
      <c r="AA133" s="83"/>
      <c r="AB133" s="83"/>
      <c r="AC133" s="83"/>
      <c r="AD133" s="83"/>
      <c r="AE133" s="83"/>
      <c r="AF133" s="83"/>
      <c r="AG133" s="83"/>
      <c r="AH133" s="89"/>
      <c r="AI133" s="83"/>
      <c r="AJ133" s="83"/>
      <c r="AK133" s="83"/>
      <c r="AL133" s="83"/>
      <c r="AM133" s="83"/>
      <c r="AN133" s="83"/>
      <c r="AO133" s="83"/>
      <c r="AP133" s="89">
        <f t="shared" si="247"/>
        <v>0</v>
      </c>
      <c r="AQ133" s="89">
        <f t="shared" si="248"/>
        <v>0</v>
      </c>
      <c r="AR133" s="89">
        <f t="shared" si="248"/>
        <v>0</v>
      </c>
      <c r="AS133" s="89">
        <f t="shared" si="248"/>
        <v>0</v>
      </c>
      <c r="AT133" s="89">
        <f t="shared" si="248"/>
        <v>0</v>
      </c>
      <c r="AU133" s="89">
        <f t="shared" si="248"/>
        <v>0</v>
      </c>
      <c r="AV133" s="89">
        <f t="shared" si="248"/>
        <v>0</v>
      </c>
      <c r="AW133" s="89">
        <f t="shared" si="248"/>
        <v>0</v>
      </c>
      <c r="AX133" s="89">
        <f t="shared" si="249"/>
        <v>0</v>
      </c>
      <c r="AY133" s="89">
        <f t="shared" si="250"/>
        <v>0</v>
      </c>
      <c r="AZ133" s="89">
        <f t="shared" si="250"/>
        <v>0</v>
      </c>
      <c r="BA133" s="89">
        <f t="shared" si="251"/>
        <v>0</v>
      </c>
      <c r="BB133" s="89">
        <f t="shared" si="251"/>
        <v>0</v>
      </c>
      <c r="BC133" s="89">
        <f t="shared" si="251"/>
        <v>0</v>
      </c>
      <c r="BD133" s="89">
        <f t="shared" si="251"/>
        <v>0</v>
      </c>
      <c r="BE133" s="89">
        <f t="shared" si="251"/>
        <v>0</v>
      </c>
      <c r="BF133" s="89">
        <f t="shared" si="251"/>
        <v>0</v>
      </c>
      <c r="BG133" s="89">
        <f t="shared" si="252"/>
        <v>0</v>
      </c>
      <c r="BH133" s="111">
        <f>X133+AP133</f>
        <v>0</v>
      </c>
    </row>
    <row r="134" spans="1:60">
      <c r="A134" s="51"/>
      <c r="B134" s="108"/>
      <c r="C134" s="52" t="s">
        <v>163</v>
      </c>
      <c r="D134" s="52" t="s">
        <v>3</v>
      </c>
      <c r="E134" s="52" t="s">
        <v>0</v>
      </c>
      <c r="F134" s="54" t="s">
        <v>50</v>
      </c>
      <c r="G134" s="83"/>
      <c r="H134" s="83"/>
      <c r="I134" s="83"/>
      <c r="J134" s="83"/>
      <c r="K134" s="83"/>
      <c r="L134" s="83"/>
      <c r="M134" s="83"/>
      <c r="N134" s="83"/>
      <c r="O134" s="83"/>
      <c r="P134" s="89"/>
      <c r="Q134" s="83"/>
      <c r="R134" s="83"/>
      <c r="S134" s="83"/>
      <c r="T134" s="83"/>
      <c r="U134" s="83"/>
      <c r="V134" s="83"/>
      <c r="W134" s="83"/>
      <c r="X134" s="89">
        <f t="shared" si="246"/>
        <v>0</v>
      </c>
      <c r="Y134" s="83"/>
      <c r="Z134" s="83"/>
      <c r="AA134" s="83"/>
      <c r="AB134" s="83"/>
      <c r="AC134" s="83"/>
      <c r="AD134" s="83"/>
      <c r="AE134" s="83"/>
      <c r="AF134" s="83"/>
      <c r="AG134" s="83"/>
      <c r="AH134" s="89"/>
      <c r="AI134" s="83"/>
      <c r="AJ134" s="83"/>
      <c r="AK134" s="83"/>
      <c r="AL134" s="83"/>
      <c r="AM134" s="83"/>
      <c r="AN134" s="83"/>
      <c r="AO134" s="83"/>
      <c r="AP134" s="89">
        <f t="shared" si="247"/>
        <v>0</v>
      </c>
      <c r="AQ134" s="89">
        <f t="shared" si="248"/>
        <v>0</v>
      </c>
      <c r="AR134" s="89">
        <f t="shared" si="248"/>
        <v>0</v>
      </c>
      <c r="AS134" s="89">
        <f t="shared" si="248"/>
        <v>0</v>
      </c>
      <c r="AT134" s="89">
        <f t="shared" si="248"/>
        <v>0</v>
      </c>
      <c r="AU134" s="89">
        <f t="shared" si="248"/>
        <v>0</v>
      </c>
      <c r="AV134" s="89">
        <f t="shared" si="248"/>
        <v>0</v>
      </c>
      <c r="AW134" s="89">
        <f t="shared" si="248"/>
        <v>0</v>
      </c>
      <c r="AX134" s="89">
        <f t="shared" si="249"/>
        <v>0</v>
      </c>
      <c r="AY134" s="89">
        <f t="shared" si="250"/>
        <v>0</v>
      </c>
      <c r="AZ134" s="89">
        <f t="shared" si="250"/>
        <v>0</v>
      </c>
      <c r="BA134" s="89">
        <f t="shared" si="251"/>
        <v>0</v>
      </c>
      <c r="BB134" s="89">
        <f t="shared" si="251"/>
        <v>0</v>
      </c>
      <c r="BC134" s="89">
        <f t="shared" si="251"/>
        <v>0</v>
      </c>
      <c r="BD134" s="89">
        <f t="shared" si="251"/>
        <v>0</v>
      </c>
      <c r="BE134" s="89">
        <f t="shared" si="251"/>
        <v>0</v>
      </c>
      <c r="BF134" s="89">
        <f t="shared" si="251"/>
        <v>0</v>
      </c>
      <c r="BG134" s="89">
        <f t="shared" si="252"/>
        <v>0</v>
      </c>
      <c r="BH134" s="111">
        <f>X134+AP134</f>
        <v>0</v>
      </c>
    </row>
    <row r="135" spans="1:60">
      <c r="A135" s="51"/>
      <c r="B135" s="108"/>
      <c r="C135" s="52"/>
      <c r="D135" s="52"/>
      <c r="E135" s="52"/>
      <c r="F135" s="53"/>
      <c r="G135" s="52"/>
      <c r="H135" s="52"/>
      <c r="I135" s="52"/>
      <c r="J135" s="52"/>
      <c r="K135" s="52"/>
      <c r="L135" s="52"/>
      <c r="M135" s="52"/>
      <c r="N135" s="52"/>
      <c r="O135" s="52"/>
      <c r="P135" s="52"/>
      <c r="Q135" s="52"/>
      <c r="R135" s="52"/>
      <c r="S135" s="52"/>
      <c r="T135" s="52"/>
      <c r="U135" s="52"/>
      <c r="V135" s="52"/>
      <c r="W135" s="52"/>
      <c r="X135" s="52"/>
      <c r="Y135" s="52"/>
      <c r="Z135" s="52"/>
      <c r="AA135" s="52"/>
      <c r="AB135" s="52"/>
      <c r="AC135" s="52"/>
      <c r="AD135" s="52"/>
      <c r="AE135" s="52"/>
      <c r="AF135" s="52"/>
      <c r="AG135" s="52"/>
      <c r="AH135" s="52"/>
      <c r="AI135" s="52"/>
      <c r="AJ135" s="52"/>
      <c r="AK135" s="52"/>
      <c r="AL135" s="52"/>
      <c r="AM135" s="52"/>
      <c r="AN135" s="52"/>
      <c r="AO135" s="52"/>
      <c r="AP135" s="52"/>
      <c r="AQ135" s="52"/>
      <c r="AR135" s="52"/>
      <c r="AS135" s="52"/>
      <c r="AT135" s="52"/>
      <c r="AU135" s="52"/>
      <c r="AV135" s="52"/>
      <c r="AW135" s="52"/>
      <c r="AX135" s="52"/>
      <c r="AY135" s="52"/>
      <c r="AZ135" s="52"/>
      <c r="BA135" s="52"/>
      <c r="BB135" s="52"/>
      <c r="BC135" s="52"/>
      <c r="BD135" s="52"/>
      <c r="BE135" s="52"/>
      <c r="BF135" s="52"/>
      <c r="BG135" s="52"/>
      <c r="BH135" s="109"/>
    </row>
    <row r="136" spans="1:60">
      <c r="A136" s="51"/>
      <c r="B136" s="108"/>
      <c r="C136" s="52"/>
      <c r="D136" s="52"/>
      <c r="E136" s="52"/>
      <c r="F136" s="53"/>
      <c r="G136" s="52"/>
      <c r="H136" s="52"/>
      <c r="I136" s="52"/>
      <c r="J136" s="52"/>
      <c r="K136" s="52"/>
      <c r="L136" s="52"/>
      <c r="M136" s="52"/>
      <c r="N136" s="52"/>
      <c r="O136" s="52"/>
      <c r="P136" s="52"/>
      <c r="Q136" s="52"/>
      <c r="R136" s="52"/>
      <c r="S136" s="52"/>
      <c r="T136" s="52"/>
      <c r="U136" s="52"/>
      <c r="V136" s="52"/>
      <c r="W136" s="52"/>
      <c r="X136" s="52"/>
      <c r="Y136" s="52"/>
      <c r="Z136" s="52"/>
      <c r="AA136" s="52"/>
      <c r="AB136" s="52"/>
      <c r="AC136" s="52"/>
      <c r="AD136" s="52"/>
      <c r="AE136" s="52"/>
      <c r="AF136" s="52"/>
      <c r="AG136" s="52"/>
      <c r="AH136" s="52"/>
      <c r="AI136" s="52"/>
      <c r="AJ136" s="52"/>
      <c r="AK136" s="52"/>
      <c r="AL136" s="52"/>
      <c r="AM136" s="52"/>
      <c r="AN136" s="52"/>
      <c r="AO136" s="52"/>
      <c r="AP136" s="52"/>
      <c r="AQ136" s="52"/>
      <c r="AR136" s="52"/>
      <c r="AS136" s="52"/>
      <c r="AT136" s="52"/>
      <c r="AU136" s="52"/>
      <c r="AV136" s="52"/>
      <c r="AW136" s="52"/>
      <c r="AX136" s="52"/>
      <c r="AY136" s="52"/>
      <c r="AZ136" s="52"/>
      <c r="BA136" s="52"/>
      <c r="BB136" s="52"/>
      <c r="BC136" s="52"/>
      <c r="BD136" s="52"/>
      <c r="BE136" s="52"/>
      <c r="BF136" s="52"/>
      <c r="BG136" s="52"/>
      <c r="BH136" s="109"/>
    </row>
    <row r="137" spans="1:60" ht="22.5" customHeight="1">
      <c r="B137" s="105"/>
      <c r="C137" s="106"/>
      <c r="D137" s="106"/>
      <c r="E137" s="106"/>
      <c r="F137" s="50" t="s">
        <v>5</v>
      </c>
      <c r="G137" s="106"/>
      <c r="H137" s="106"/>
      <c r="I137" s="106"/>
      <c r="J137" s="106"/>
      <c r="K137" s="106"/>
      <c r="L137" s="106"/>
      <c r="M137" s="106"/>
      <c r="N137" s="106"/>
      <c r="O137" s="106"/>
      <c r="P137" s="106"/>
      <c r="Q137" s="106"/>
      <c r="R137" s="106"/>
      <c r="S137" s="106"/>
      <c r="T137" s="106"/>
      <c r="U137" s="106"/>
      <c r="V137" s="106"/>
      <c r="W137" s="106"/>
      <c r="X137" s="106"/>
      <c r="Y137" s="106"/>
      <c r="Z137" s="106"/>
      <c r="AA137" s="106"/>
      <c r="AB137" s="106"/>
      <c r="AC137" s="106"/>
      <c r="AD137" s="106"/>
      <c r="AE137" s="106"/>
      <c r="AF137" s="106"/>
      <c r="AG137" s="106"/>
      <c r="AH137" s="106"/>
      <c r="AI137" s="106"/>
      <c r="AJ137" s="106"/>
      <c r="AK137" s="106"/>
      <c r="AL137" s="106"/>
      <c r="AM137" s="106"/>
      <c r="AN137" s="106"/>
      <c r="AO137" s="106"/>
      <c r="AP137" s="106"/>
      <c r="AQ137" s="106"/>
      <c r="AR137" s="106"/>
      <c r="AS137" s="106"/>
      <c r="AT137" s="106"/>
      <c r="AU137" s="106"/>
      <c r="AV137" s="106"/>
      <c r="AW137" s="106"/>
      <c r="AX137" s="106"/>
      <c r="AY137" s="106"/>
      <c r="AZ137" s="106"/>
      <c r="BA137" s="106"/>
      <c r="BB137" s="106"/>
      <c r="BC137" s="106"/>
      <c r="BD137" s="106"/>
      <c r="BE137" s="106"/>
      <c r="BF137" s="106"/>
      <c r="BG137" s="106"/>
      <c r="BH137" s="107"/>
    </row>
    <row r="138" spans="1:60">
      <c r="A138" s="51"/>
      <c r="B138" s="108"/>
      <c r="C138" s="52"/>
      <c r="D138" s="52"/>
      <c r="E138" s="52"/>
      <c r="F138" s="53"/>
      <c r="G138" s="52"/>
      <c r="H138" s="52"/>
      <c r="I138" s="52"/>
      <c r="J138" s="52"/>
      <c r="K138" s="52"/>
      <c r="L138" s="52"/>
      <c r="M138" s="52"/>
      <c r="N138" s="52"/>
      <c r="O138" s="52"/>
      <c r="P138" s="52"/>
      <c r="Q138" s="52"/>
      <c r="R138" s="52"/>
      <c r="S138" s="52"/>
      <c r="T138" s="52"/>
      <c r="U138" s="52"/>
      <c r="V138" s="52"/>
      <c r="W138" s="52"/>
      <c r="X138" s="52"/>
      <c r="Y138" s="52"/>
      <c r="Z138" s="52"/>
      <c r="AA138" s="52"/>
      <c r="AB138" s="52"/>
      <c r="AC138" s="52"/>
      <c r="AD138" s="52"/>
      <c r="AE138" s="52"/>
      <c r="AF138" s="52"/>
      <c r="AG138" s="52"/>
      <c r="AH138" s="52"/>
      <c r="AI138" s="52"/>
      <c r="AJ138" s="52"/>
      <c r="AK138" s="52"/>
      <c r="AL138" s="52"/>
      <c r="AM138" s="52"/>
      <c r="AN138" s="52"/>
      <c r="AO138" s="52"/>
      <c r="AP138" s="52"/>
      <c r="AQ138" s="52"/>
      <c r="AR138" s="52"/>
      <c r="AS138" s="52"/>
      <c r="AT138" s="52"/>
      <c r="AU138" s="52"/>
      <c r="AV138" s="52"/>
      <c r="AW138" s="52"/>
      <c r="AX138" s="52"/>
      <c r="AY138" s="52"/>
      <c r="AZ138" s="52"/>
      <c r="BA138" s="52"/>
      <c r="BB138" s="52"/>
      <c r="BC138" s="52"/>
      <c r="BD138" s="52"/>
      <c r="BE138" s="52"/>
      <c r="BF138" s="52"/>
      <c r="BG138" s="52"/>
      <c r="BH138" s="109"/>
    </row>
    <row r="139" spans="1:60">
      <c r="A139" s="51"/>
      <c r="B139" s="108"/>
      <c r="C139" s="123" t="s">
        <v>192</v>
      </c>
      <c r="D139" s="123" t="s">
        <v>93</v>
      </c>
      <c r="E139" s="123" t="s">
        <v>0</v>
      </c>
      <c r="F139" s="126" t="s">
        <v>196</v>
      </c>
      <c r="G139" s="55"/>
      <c r="H139" s="55"/>
      <c r="I139" s="55"/>
      <c r="J139" s="55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  <c r="AA139" s="55"/>
      <c r="AB139" s="55"/>
      <c r="AC139" s="55"/>
      <c r="AD139" s="55"/>
      <c r="AE139" s="55"/>
      <c r="AF139" s="55"/>
      <c r="AG139" s="55"/>
      <c r="AH139" s="55"/>
      <c r="AI139" s="55"/>
      <c r="AJ139" s="55"/>
      <c r="AK139" s="55"/>
      <c r="AL139" s="55"/>
      <c r="AM139" s="55"/>
      <c r="AN139" s="55"/>
      <c r="AO139" s="55"/>
      <c r="AP139" s="55"/>
      <c r="AQ139" s="55"/>
      <c r="AR139" s="55"/>
      <c r="AS139" s="55"/>
      <c r="AT139" s="55"/>
      <c r="AU139" s="55"/>
      <c r="AV139" s="55"/>
      <c r="AW139" s="55"/>
      <c r="AX139" s="55"/>
      <c r="AY139" s="55"/>
      <c r="AZ139" s="55"/>
      <c r="BA139" s="55"/>
      <c r="BB139" s="55"/>
      <c r="BC139" s="55"/>
      <c r="BD139" s="55"/>
      <c r="BE139" s="55"/>
      <c r="BF139" s="55"/>
      <c r="BG139" s="55"/>
      <c r="BH139" s="110"/>
    </row>
    <row r="140" spans="1:60" ht="22.5">
      <c r="A140" s="51"/>
      <c r="B140" s="108"/>
      <c r="C140" s="123" t="s">
        <v>193</v>
      </c>
      <c r="D140" s="123" t="s">
        <v>93</v>
      </c>
      <c r="E140" s="123" t="s">
        <v>0</v>
      </c>
      <c r="F140" s="126" t="s">
        <v>197</v>
      </c>
      <c r="G140" s="55"/>
      <c r="H140" s="55"/>
      <c r="I140" s="55"/>
      <c r="J140" s="55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  <c r="AA140" s="55"/>
      <c r="AB140" s="55"/>
      <c r="AC140" s="55"/>
      <c r="AD140" s="55"/>
      <c r="AE140" s="55"/>
      <c r="AF140" s="55"/>
      <c r="AG140" s="55"/>
      <c r="AH140" s="55"/>
      <c r="AI140" s="55"/>
      <c r="AJ140" s="55"/>
      <c r="AK140" s="55"/>
      <c r="AL140" s="55"/>
      <c r="AM140" s="55"/>
      <c r="AN140" s="55"/>
      <c r="AO140" s="55"/>
      <c r="AP140" s="55"/>
      <c r="AQ140" s="55"/>
      <c r="AR140" s="55"/>
      <c r="AS140" s="55"/>
      <c r="AT140" s="55"/>
      <c r="AU140" s="55"/>
      <c r="AV140" s="55"/>
      <c r="AW140" s="55"/>
      <c r="AX140" s="55"/>
      <c r="AY140" s="55"/>
      <c r="AZ140" s="55"/>
      <c r="BA140" s="55"/>
      <c r="BB140" s="55"/>
      <c r="BC140" s="55"/>
      <c r="BD140" s="55"/>
      <c r="BE140" s="55"/>
      <c r="BF140" s="55"/>
      <c r="BG140" s="55"/>
      <c r="BH140" s="110"/>
    </row>
    <row r="141" spans="1:60" ht="22.5">
      <c r="A141" s="51"/>
      <c r="B141" s="108"/>
      <c r="C141" s="123" t="s">
        <v>194</v>
      </c>
      <c r="D141" s="123" t="s">
        <v>93</v>
      </c>
      <c r="E141" s="123" t="s">
        <v>0</v>
      </c>
      <c r="F141" s="126" t="s">
        <v>198</v>
      </c>
      <c r="G141" s="55"/>
      <c r="H141" s="55"/>
      <c r="I141" s="55"/>
      <c r="J141" s="55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  <c r="AA141" s="55"/>
      <c r="AB141" s="55"/>
      <c r="AC141" s="55"/>
      <c r="AD141" s="55"/>
      <c r="AE141" s="55"/>
      <c r="AF141" s="55"/>
      <c r="AG141" s="55"/>
      <c r="AH141" s="55"/>
      <c r="AI141" s="55"/>
      <c r="AJ141" s="55"/>
      <c r="AK141" s="55"/>
      <c r="AL141" s="55"/>
      <c r="AM141" s="55"/>
      <c r="AN141" s="55"/>
      <c r="AO141" s="55"/>
      <c r="AP141" s="55"/>
      <c r="AQ141" s="55"/>
      <c r="AR141" s="55"/>
      <c r="AS141" s="55"/>
      <c r="AT141" s="55"/>
      <c r="AU141" s="55"/>
      <c r="AV141" s="55"/>
      <c r="AW141" s="55"/>
      <c r="AX141" s="55"/>
      <c r="AY141" s="55"/>
      <c r="AZ141" s="55"/>
      <c r="BA141" s="55"/>
      <c r="BB141" s="55"/>
      <c r="BC141" s="55"/>
      <c r="BD141" s="55"/>
      <c r="BE141" s="55"/>
      <c r="BF141" s="55"/>
      <c r="BG141" s="55"/>
      <c r="BH141" s="110"/>
    </row>
    <row r="142" spans="1:60">
      <c r="A142" s="51"/>
      <c r="B142" s="108"/>
      <c r="C142" s="123" t="s">
        <v>195</v>
      </c>
      <c r="D142" s="123" t="s">
        <v>93</v>
      </c>
      <c r="E142" s="123" t="s">
        <v>0</v>
      </c>
      <c r="F142" s="126" t="s">
        <v>199</v>
      </c>
      <c r="G142" s="55"/>
      <c r="H142" s="55"/>
      <c r="I142" s="55"/>
      <c r="J142" s="55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  <c r="AA142" s="55"/>
      <c r="AB142" s="55"/>
      <c r="AC142" s="55"/>
      <c r="AD142" s="55"/>
      <c r="AE142" s="55"/>
      <c r="AF142" s="55"/>
      <c r="AG142" s="55"/>
      <c r="AH142" s="55"/>
      <c r="AI142" s="55"/>
      <c r="AJ142" s="55"/>
      <c r="AK142" s="55"/>
      <c r="AL142" s="55"/>
      <c r="AM142" s="55"/>
      <c r="AN142" s="55"/>
      <c r="AO142" s="55"/>
      <c r="AP142" s="55"/>
      <c r="AQ142" s="55"/>
      <c r="AR142" s="55"/>
      <c r="AS142" s="55"/>
      <c r="AT142" s="55"/>
      <c r="AU142" s="55"/>
      <c r="AV142" s="55"/>
      <c r="AW142" s="55"/>
      <c r="AX142" s="55"/>
      <c r="AY142" s="55"/>
      <c r="AZ142" s="55"/>
      <c r="BA142" s="55"/>
      <c r="BB142" s="55"/>
      <c r="BC142" s="55"/>
      <c r="BD142" s="55"/>
      <c r="BE142" s="55"/>
      <c r="BF142" s="55"/>
      <c r="BG142" s="55"/>
      <c r="BH142" s="110"/>
    </row>
    <row r="143" spans="1:60" ht="22.5">
      <c r="A143" s="51"/>
      <c r="B143" s="108"/>
      <c r="C143" s="52" t="s">
        <v>139</v>
      </c>
      <c r="D143" s="52" t="s">
        <v>93</v>
      </c>
      <c r="E143" s="52" t="s">
        <v>0</v>
      </c>
      <c r="F143" s="54" t="s">
        <v>24</v>
      </c>
      <c r="G143" s="55"/>
      <c r="H143" s="55"/>
      <c r="I143" s="55"/>
      <c r="J143" s="55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  <c r="AA143" s="55"/>
      <c r="AB143" s="55"/>
      <c r="AC143" s="55"/>
      <c r="AD143" s="55"/>
      <c r="AE143" s="55"/>
      <c r="AF143" s="55"/>
      <c r="AG143" s="55"/>
      <c r="AH143" s="55"/>
      <c r="AI143" s="55"/>
      <c r="AJ143" s="55"/>
      <c r="AK143" s="55"/>
      <c r="AL143" s="55"/>
      <c r="AM143" s="55"/>
      <c r="AN143" s="55"/>
      <c r="AO143" s="55"/>
      <c r="AP143" s="55"/>
      <c r="AQ143" s="55"/>
      <c r="AR143" s="55"/>
      <c r="AS143" s="55"/>
      <c r="AT143" s="55"/>
      <c r="AU143" s="55"/>
      <c r="AV143" s="55"/>
      <c r="AW143" s="55"/>
      <c r="AX143" s="55"/>
      <c r="AY143" s="55"/>
      <c r="AZ143" s="55"/>
      <c r="BA143" s="55"/>
      <c r="BB143" s="55"/>
      <c r="BC143" s="55"/>
      <c r="BD143" s="55"/>
      <c r="BE143" s="55"/>
      <c r="BF143" s="55"/>
      <c r="BG143" s="55"/>
      <c r="BH143" s="110"/>
    </row>
    <row r="144" spans="1:60">
      <c r="A144" s="51"/>
      <c r="B144" s="108"/>
      <c r="C144" s="52" t="s">
        <v>140</v>
      </c>
      <c r="D144" s="52" t="s">
        <v>93</v>
      </c>
      <c r="E144" s="52" t="s">
        <v>0</v>
      </c>
      <c r="F144" s="54" t="s">
        <v>25</v>
      </c>
      <c r="G144" s="55"/>
      <c r="H144" s="55"/>
      <c r="I144" s="55"/>
      <c r="J144" s="55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  <c r="AA144" s="55"/>
      <c r="AB144" s="55"/>
      <c r="AC144" s="55"/>
      <c r="AD144" s="55"/>
      <c r="AE144" s="55"/>
      <c r="AF144" s="55"/>
      <c r="AG144" s="55"/>
      <c r="AH144" s="55"/>
      <c r="AI144" s="55"/>
      <c r="AJ144" s="55"/>
      <c r="AK144" s="55"/>
      <c r="AL144" s="55"/>
      <c r="AM144" s="55"/>
      <c r="AN144" s="55"/>
      <c r="AO144" s="55"/>
      <c r="AP144" s="55"/>
      <c r="AQ144" s="55"/>
      <c r="AR144" s="55"/>
      <c r="AS144" s="55"/>
      <c r="AT144" s="55"/>
      <c r="AU144" s="55"/>
      <c r="AV144" s="55"/>
      <c r="AW144" s="55"/>
      <c r="AX144" s="55"/>
      <c r="AY144" s="55"/>
      <c r="AZ144" s="55"/>
      <c r="BA144" s="55"/>
      <c r="BB144" s="55"/>
      <c r="BC144" s="55"/>
      <c r="BD144" s="55"/>
      <c r="BE144" s="55"/>
      <c r="BF144" s="55"/>
      <c r="BG144" s="55"/>
      <c r="BH144" s="110"/>
    </row>
    <row r="145" spans="1:60">
      <c r="A145" s="51"/>
      <c r="B145" s="108"/>
      <c r="C145" s="52" t="s">
        <v>141</v>
      </c>
      <c r="D145" s="52" t="s">
        <v>93</v>
      </c>
      <c r="E145" s="52" t="s">
        <v>0</v>
      </c>
      <c r="F145" s="54" t="s">
        <v>26</v>
      </c>
      <c r="G145" s="55"/>
      <c r="H145" s="55"/>
      <c r="I145" s="55"/>
      <c r="J145" s="55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  <c r="AA145" s="55"/>
      <c r="AB145" s="55"/>
      <c r="AC145" s="55"/>
      <c r="AD145" s="55"/>
      <c r="AE145" s="55"/>
      <c r="AF145" s="55"/>
      <c r="AG145" s="55"/>
      <c r="AH145" s="55"/>
      <c r="AI145" s="55"/>
      <c r="AJ145" s="55"/>
      <c r="AK145" s="55"/>
      <c r="AL145" s="55"/>
      <c r="AM145" s="55"/>
      <c r="AN145" s="55"/>
      <c r="AO145" s="55"/>
      <c r="AP145" s="55"/>
      <c r="AQ145" s="55"/>
      <c r="AR145" s="55"/>
      <c r="AS145" s="55"/>
      <c r="AT145" s="55"/>
      <c r="AU145" s="55"/>
      <c r="AV145" s="55"/>
      <c r="AW145" s="55"/>
      <c r="AX145" s="55"/>
      <c r="AY145" s="55"/>
      <c r="AZ145" s="55"/>
      <c r="BA145" s="55"/>
      <c r="BB145" s="55"/>
      <c r="BC145" s="55"/>
      <c r="BD145" s="55"/>
      <c r="BE145" s="55"/>
      <c r="BF145" s="55"/>
      <c r="BG145" s="55"/>
      <c r="BH145" s="110"/>
    </row>
    <row r="146" spans="1:60">
      <c r="A146" s="51"/>
      <c r="B146" s="108"/>
      <c r="C146" s="52"/>
      <c r="D146" s="52"/>
      <c r="E146" s="52" t="s">
        <v>0</v>
      </c>
      <c r="F146" s="53" t="s">
        <v>27</v>
      </c>
      <c r="G146" s="52"/>
      <c r="H146" s="52"/>
      <c r="I146" s="52"/>
      <c r="J146" s="52"/>
      <c r="K146" s="52"/>
      <c r="L146" s="52"/>
      <c r="M146" s="52"/>
      <c r="N146" s="52"/>
      <c r="O146" s="52"/>
      <c r="P146" s="52"/>
      <c r="Q146" s="52"/>
      <c r="R146" s="52"/>
      <c r="S146" s="52"/>
      <c r="T146" s="52"/>
      <c r="U146" s="52"/>
      <c r="V146" s="52"/>
      <c r="W146" s="52"/>
      <c r="X146" s="52"/>
      <c r="Y146" s="52"/>
      <c r="Z146" s="52"/>
      <c r="AA146" s="52"/>
      <c r="AB146" s="52"/>
      <c r="AC146" s="52"/>
      <c r="AD146" s="52"/>
      <c r="AE146" s="52"/>
      <c r="AF146" s="52"/>
      <c r="AG146" s="52"/>
      <c r="AH146" s="52"/>
      <c r="AI146" s="52"/>
      <c r="AJ146" s="52"/>
      <c r="AK146" s="52"/>
      <c r="AL146" s="52"/>
      <c r="AM146" s="52"/>
      <c r="AN146" s="52"/>
      <c r="AO146" s="52"/>
      <c r="AP146" s="52"/>
      <c r="AQ146" s="52"/>
      <c r="AR146" s="52"/>
      <c r="AS146" s="52"/>
      <c r="AT146" s="52"/>
      <c r="AU146" s="52"/>
      <c r="AV146" s="52"/>
      <c r="AW146" s="52"/>
      <c r="AX146" s="52"/>
      <c r="AY146" s="52"/>
      <c r="AZ146" s="52"/>
      <c r="BA146" s="52"/>
      <c r="BB146" s="52"/>
      <c r="BC146" s="52"/>
      <c r="BD146" s="52"/>
      <c r="BE146" s="52"/>
      <c r="BF146" s="52"/>
      <c r="BG146" s="52"/>
      <c r="BH146" s="109"/>
    </row>
    <row r="147" spans="1:60">
      <c r="A147" s="51" t="s">
        <v>52</v>
      </c>
      <c r="B147" s="108"/>
      <c r="C147" s="52" t="s">
        <v>142</v>
      </c>
      <c r="D147" s="52" t="s">
        <v>9</v>
      </c>
      <c r="E147" s="52" t="s">
        <v>0</v>
      </c>
      <c r="F147" s="53" t="s">
        <v>187</v>
      </c>
      <c r="G147" s="83"/>
      <c r="H147" s="83"/>
      <c r="I147" s="83"/>
      <c r="J147" s="83"/>
      <c r="K147" s="83"/>
      <c r="L147" s="83"/>
      <c r="M147" s="83"/>
      <c r="N147" s="83"/>
      <c r="O147" s="83"/>
      <c r="P147" s="89"/>
      <c r="Q147" s="83"/>
      <c r="R147" s="83"/>
      <c r="S147" s="83"/>
      <c r="T147" s="83"/>
      <c r="U147" s="83"/>
      <c r="V147" s="83"/>
      <c r="W147" s="83"/>
      <c r="X147" s="89">
        <f>SUM(P147:W147)+SUM(G147:K147)</f>
        <v>0</v>
      </c>
      <c r="Y147" s="83"/>
      <c r="Z147" s="83"/>
      <c r="AA147" s="83"/>
      <c r="AB147" s="83"/>
      <c r="AC147" s="83"/>
      <c r="AD147" s="83"/>
      <c r="AE147" s="83"/>
      <c r="AF147" s="83"/>
      <c r="AG147" s="83"/>
      <c r="AH147" s="89"/>
      <c r="AI147" s="83"/>
      <c r="AJ147" s="83"/>
      <c r="AK147" s="83"/>
      <c r="AL147" s="83"/>
      <c r="AM147" s="83"/>
      <c r="AN147" s="83"/>
      <c r="AO147" s="83"/>
      <c r="AP147" s="89">
        <f>SUM(AH147:AO147)+SUM(Y147:AC147)</f>
        <v>0</v>
      </c>
      <c r="AQ147" s="89">
        <f t="shared" ref="AQ147:AW147" si="253">G147+Y147</f>
        <v>0</v>
      </c>
      <c r="AR147" s="89">
        <f t="shared" si="253"/>
        <v>0</v>
      </c>
      <c r="AS147" s="89">
        <f t="shared" si="253"/>
        <v>0</v>
      </c>
      <c r="AT147" s="89">
        <f t="shared" si="253"/>
        <v>0</v>
      </c>
      <c r="AU147" s="89">
        <f t="shared" si="253"/>
        <v>0</v>
      </c>
      <c r="AV147" s="89">
        <f t="shared" si="253"/>
        <v>0</v>
      </c>
      <c r="AW147" s="89">
        <f t="shared" si="253"/>
        <v>0</v>
      </c>
      <c r="AX147" s="89">
        <f t="shared" ref="AX147" si="254">N147+AF147</f>
        <v>0</v>
      </c>
      <c r="AY147" s="89">
        <f t="shared" ref="AY147:AZ147" si="255">O147+AG147</f>
        <v>0</v>
      </c>
      <c r="AZ147" s="89">
        <f t="shared" si="255"/>
        <v>0</v>
      </c>
      <c r="BA147" s="89">
        <f t="shared" ref="BA147:BF147" si="256">Q147+AI147</f>
        <v>0</v>
      </c>
      <c r="BB147" s="89">
        <f t="shared" si="256"/>
        <v>0</v>
      </c>
      <c r="BC147" s="89">
        <f t="shared" si="256"/>
        <v>0</v>
      </c>
      <c r="BD147" s="89">
        <f t="shared" si="256"/>
        <v>0</v>
      </c>
      <c r="BE147" s="89">
        <f t="shared" si="256"/>
        <v>0</v>
      </c>
      <c r="BF147" s="89">
        <f t="shared" si="256"/>
        <v>0</v>
      </c>
      <c r="BG147" s="89">
        <f>W147+AO147</f>
        <v>0</v>
      </c>
      <c r="BH147" s="111">
        <f>X147+AP147</f>
        <v>0</v>
      </c>
    </row>
    <row r="148" spans="1:60">
      <c r="A148" s="51"/>
      <c r="B148" s="108"/>
      <c r="C148" s="52"/>
      <c r="D148" s="52" t="s">
        <v>0</v>
      </c>
      <c r="E148" s="52" t="s">
        <v>0</v>
      </c>
      <c r="F148" s="53" t="s">
        <v>29</v>
      </c>
      <c r="G148" s="52"/>
      <c r="H148" s="52"/>
      <c r="I148" s="52"/>
      <c r="J148" s="52"/>
      <c r="K148" s="52"/>
      <c r="L148" s="52"/>
      <c r="M148" s="52"/>
      <c r="N148" s="52"/>
      <c r="O148" s="52"/>
      <c r="P148" s="52"/>
      <c r="Q148" s="52"/>
      <c r="R148" s="52"/>
      <c r="S148" s="52"/>
      <c r="T148" s="52"/>
      <c r="U148" s="52"/>
      <c r="V148" s="52"/>
      <c r="W148" s="52"/>
      <c r="X148" s="91"/>
      <c r="Y148" s="52"/>
      <c r="Z148" s="52"/>
      <c r="AA148" s="52"/>
      <c r="AB148" s="52"/>
      <c r="AC148" s="52"/>
      <c r="AD148" s="52"/>
      <c r="AE148" s="52"/>
      <c r="AF148" s="52"/>
      <c r="AG148" s="52"/>
      <c r="AH148" s="52"/>
      <c r="AI148" s="52"/>
      <c r="AJ148" s="52"/>
      <c r="AK148" s="52"/>
      <c r="AL148" s="52"/>
      <c r="AM148" s="52"/>
      <c r="AN148" s="52"/>
      <c r="AO148" s="52"/>
      <c r="AP148" s="91"/>
      <c r="AQ148" s="91"/>
      <c r="AR148" s="91"/>
      <c r="AS148" s="91"/>
      <c r="AT148" s="91"/>
      <c r="AU148" s="91"/>
      <c r="AV148" s="91"/>
      <c r="AW148" s="91"/>
      <c r="AX148" s="91"/>
      <c r="AY148" s="91"/>
      <c r="AZ148" s="91"/>
      <c r="BA148" s="91"/>
      <c r="BB148" s="91"/>
      <c r="BC148" s="91"/>
      <c r="BD148" s="91"/>
      <c r="BE148" s="91"/>
      <c r="BF148" s="91"/>
      <c r="BG148" s="91"/>
      <c r="BH148" s="112"/>
    </row>
    <row r="149" spans="1:60" ht="22.5">
      <c r="A149" s="51"/>
      <c r="B149" s="108"/>
      <c r="C149" s="52" t="s">
        <v>143</v>
      </c>
      <c r="D149" s="52" t="s">
        <v>93</v>
      </c>
      <c r="E149" s="52" t="s">
        <v>0</v>
      </c>
      <c r="F149" s="54" t="s">
        <v>30</v>
      </c>
      <c r="G149" s="83"/>
      <c r="H149" s="83"/>
      <c r="I149" s="83"/>
      <c r="J149" s="83"/>
      <c r="K149" s="83"/>
      <c r="L149" s="83"/>
      <c r="M149" s="83"/>
      <c r="N149" s="83"/>
      <c r="O149" s="83"/>
      <c r="P149" s="89"/>
      <c r="Q149" s="83"/>
      <c r="R149" s="83"/>
      <c r="S149" s="83"/>
      <c r="T149" s="83"/>
      <c r="U149" s="83"/>
      <c r="V149" s="83"/>
      <c r="W149" s="83"/>
      <c r="X149" s="89">
        <f t="shared" ref="X149:X157" si="257">SUM(P149:W149)+SUM(G149:K149)</f>
        <v>0</v>
      </c>
      <c r="Y149" s="83"/>
      <c r="Z149" s="83"/>
      <c r="AA149" s="83"/>
      <c r="AB149" s="83"/>
      <c r="AC149" s="83"/>
      <c r="AD149" s="83"/>
      <c r="AE149" s="83"/>
      <c r="AF149" s="83"/>
      <c r="AG149" s="83"/>
      <c r="AH149" s="89"/>
      <c r="AI149" s="83"/>
      <c r="AJ149" s="83"/>
      <c r="AK149" s="83"/>
      <c r="AL149" s="83"/>
      <c r="AM149" s="83"/>
      <c r="AN149" s="83"/>
      <c r="AO149" s="83"/>
      <c r="AP149" s="89">
        <f t="shared" ref="AP149:AP157" si="258">SUM(AH149:AO149)+SUM(Y149:AC149)</f>
        <v>0</v>
      </c>
      <c r="AQ149" s="89">
        <f t="shared" ref="AQ149:AQ157" si="259">G149+Y149</f>
        <v>0</v>
      </c>
      <c r="AR149" s="89">
        <f t="shared" ref="AR149:AR157" si="260">H149+Z149</f>
        <v>0</v>
      </c>
      <c r="AS149" s="89">
        <f t="shared" ref="AS149:AS157" si="261">I149+AA149</f>
        <v>0</v>
      </c>
      <c r="AT149" s="89">
        <f t="shared" ref="AT149:AT157" si="262">J149+AB149</f>
        <v>0</v>
      </c>
      <c r="AU149" s="89">
        <f t="shared" ref="AU149:AU157" si="263">K149+AC149</f>
        <v>0</v>
      </c>
      <c r="AV149" s="89">
        <f t="shared" ref="AV149:AV157" si="264">L149+AD149</f>
        <v>0</v>
      </c>
      <c r="AW149" s="89">
        <f t="shared" ref="AW149:AW157" si="265">M149+AE149</f>
        <v>0</v>
      </c>
      <c r="AX149" s="89">
        <f t="shared" ref="AX149:AX157" si="266">N149+AF149</f>
        <v>0</v>
      </c>
      <c r="AY149" s="89">
        <f t="shared" ref="AY149:AZ157" si="267">O149+AG149</f>
        <v>0</v>
      </c>
      <c r="AZ149" s="89">
        <f t="shared" si="267"/>
        <v>0</v>
      </c>
      <c r="BA149" s="89">
        <f t="shared" ref="BA149:BA157" si="268">Q149+AI149</f>
        <v>0</v>
      </c>
      <c r="BB149" s="89">
        <f t="shared" ref="BB149:BB157" si="269">R149+AJ149</f>
        <v>0</v>
      </c>
      <c r="BC149" s="89">
        <f t="shared" ref="BC149:BC157" si="270">S149+AK149</f>
        <v>0</v>
      </c>
      <c r="BD149" s="89">
        <f t="shared" ref="BD149:BD157" si="271">T149+AL149</f>
        <v>0</v>
      </c>
      <c r="BE149" s="89">
        <f t="shared" ref="BE149:BF157" si="272">U149+AM149</f>
        <v>0</v>
      </c>
      <c r="BF149" s="89">
        <f t="shared" si="272"/>
        <v>0</v>
      </c>
      <c r="BG149" s="89">
        <f t="shared" ref="BG149:BG157" si="273">W149+AO149</f>
        <v>0</v>
      </c>
      <c r="BH149" s="111">
        <f t="shared" ref="BH149:BH157" si="274">X149+AP149</f>
        <v>0</v>
      </c>
    </row>
    <row r="150" spans="1:60" ht="22.5">
      <c r="A150" s="51"/>
      <c r="B150" s="108"/>
      <c r="C150" s="52" t="s">
        <v>144</v>
      </c>
      <c r="D150" s="52" t="s">
        <v>93</v>
      </c>
      <c r="E150" s="52" t="s">
        <v>0</v>
      </c>
      <c r="F150" s="54" t="s">
        <v>31</v>
      </c>
      <c r="G150" s="83"/>
      <c r="H150" s="83"/>
      <c r="I150" s="83"/>
      <c r="J150" s="83"/>
      <c r="K150" s="83"/>
      <c r="L150" s="83"/>
      <c r="M150" s="83"/>
      <c r="N150" s="83"/>
      <c r="O150" s="83"/>
      <c r="P150" s="89"/>
      <c r="Q150" s="83"/>
      <c r="R150" s="83"/>
      <c r="S150" s="83"/>
      <c r="T150" s="83"/>
      <c r="U150" s="83"/>
      <c r="V150" s="83"/>
      <c r="W150" s="83"/>
      <c r="X150" s="89">
        <f t="shared" si="257"/>
        <v>0</v>
      </c>
      <c r="Y150" s="83"/>
      <c r="Z150" s="83"/>
      <c r="AA150" s="83"/>
      <c r="AB150" s="83"/>
      <c r="AC150" s="83"/>
      <c r="AD150" s="83"/>
      <c r="AE150" s="83"/>
      <c r="AF150" s="83"/>
      <c r="AG150" s="83"/>
      <c r="AH150" s="89"/>
      <c r="AI150" s="83"/>
      <c r="AJ150" s="83"/>
      <c r="AK150" s="83"/>
      <c r="AL150" s="83"/>
      <c r="AM150" s="83"/>
      <c r="AN150" s="83"/>
      <c r="AO150" s="83"/>
      <c r="AP150" s="89">
        <f t="shared" si="258"/>
        <v>0</v>
      </c>
      <c r="AQ150" s="89">
        <f t="shared" si="259"/>
        <v>0</v>
      </c>
      <c r="AR150" s="89">
        <f t="shared" si="260"/>
        <v>0</v>
      </c>
      <c r="AS150" s="89">
        <f t="shared" si="261"/>
        <v>0</v>
      </c>
      <c r="AT150" s="89">
        <f t="shared" si="262"/>
        <v>0</v>
      </c>
      <c r="AU150" s="89">
        <f t="shared" si="263"/>
        <v>0</v>
      </c>
      <c r="AV150" s="89">
        <f t="shared" si="264"/>
        <v>0</v>
      </c>
      <c r="AW150" s="89">
        <f t="shared" si="265"/>
        <v>0</v>
      </c>
      <c r="AX150" s="89">
        <f t="shared" si="266"/>
        <v>0</v>
      </c>
      <c r="AY150" s="89">
        <f t="shared" si="267"/>
        <v>0</v>
      </c>
      <c r="AZ150" s="89">
        <f t="shared" si="267"/>
        <v>0</v>
      </c>
      <c r="BA150" s="89">
        <f t="shared" si="268"/>
        <v>0</v>
      </c>
      <c r="BB150" s="89">
        <f t="shared" si="269"/>
        <v>0</v>
      </c>
      <c r="BC150" s="89">
        <f t="shared" si="270"/>
        <v>0</v>
      </c>
      <c r="BD150" s="89">
        <f t="shared" si="271"/>
        <v>0</v>
      </c>
      <c r="BE150" s="89">
        <f t="shared" si="272"/>
        <v>0</v>
      </c>
      <c r="BF150" s="89">
        <f t="shared" si="272"/>
        <v>0</v>
      </c>
      <c r="BG150" s="89">
        <f t="shared" si="273"/>
        <v>0</v>
      </c>
      <c r="BH150" s="111">
        <f t="shared" si="274"/>
        <v>0</v>
      </c>
    </row>
    <row r="151" spans="1:60" ht="15" customHeight="1">
      <c r="A151" s="51"/>
      <c r="B151" s="108"/>
      <c r="C151" s="52" t="s">
        <v>145</v>
      </c>
      <c r="D151" s="52" t="s">
        <v>93</v>
      </c>
      <c r="E151" s="52" t="s">
        <v>0</v>
      </c>
      <c r="F151" s="54" t="s">
        <v>32</v>
      </c>
      <c r="G151" s="83"/>
      <c r="H151" s="83"/>
      <c r="I151" s="83"/>
      <c r="J151" s="83"/>
      <c r="K151" s="83"/>
      <c r="L151" s="83"/>
      <c r="M151" s="83"/>
      <c r="N151" s="83"/>
      <c r="O151" s="83"/>
      <c r="P151" s="89"/>
      <c r="Q151" s="83"/>
      <c r="R151" s="83"/>
      <c r="S151" s="83"/>
      <c r="T151" s="83"/>
      <c r="U151" s="83"/>
      <c r="V151" s="83"/>
      <c r="W151" s="83"/>
      <c r="X151" s="89">
        <f t="shared" si="257"/>
        <v>0</v>
      </c>
      <c r="Y151" s="83"/>
      <c r="Z151" s="83"/>
      <c r="AA151" s="83"/>
      <c r="AB151" s="83"/>
      <c r="AC151" s="83"/>
      <c r="AD151" s="83"/>
      <c r="AE151" s="83"/>
      <c r="AF151" s="83"/>
      <c r="AG151" s="83"/>
      <c r="AH151" s="89"/>
      <c r="AI151" s="83"/>
      <c r="AJ151" s="83"/>
      <c r="AK151" s="83"/>
      <c r="AL151" s="83"/>
      <c r="AM151" s="83"/>
      <c r="AN151" s="83"/>
      <c r="AO151" s="83"/>
      <c r="AP151" s="89">
        <f t="shared" si="258"/>
        <v>0</v>
      </c>
      <c r="AQ151" s="89">
        <f t="shared" si="259"/>
        <v>0</v>
      </c>
      <c r="AR151" s="89">
        <f t="shared" si="260"/>
        <v>0</v>
      </c>
      <c r="AS151" s="89">
        <f t="shared" si="261"/>
        <v>0</v>
      </c>
      <c r="AT151" s="89">
        <f t="shared" si="262"/>
        <v>0</v>
      </c>
      <c r="AU151" s="89">
        <f t="shared" si="263"/>
        <v>0</v>
      </c>
      <c r="AV151" s="89">
        <f t="shared" si="264"/>
        <v>0</v>
      </c>
      <c r="AW151" s="89">
        <f t="shared" si="265"/>
        <v>0</v>
      </c>
      <c r="AX151" s="89">
        <f t="shared" si="266"/>
        <v>0</v>
      </c>
      <c r="AY151" s="89">
        <f t="shared" si="267"/>
        <v>0</v>
      </c>
      <c r="AZ151" s="89">
        <f t="shared" si="267"/>
        <v>0</v>
      </c>
      <c r="BA151" s="89">
        <f t="shared" si="268"/>
        <v>0</v>
      </c>
      <c r="BB151" s="89">
        <f t="shared" si="269"/>
        <v>0</v>
      </c>
      <c r="BC151" s="89">
        <f t="shared" si="270"/>
        <v>0</v>
      </c>
      <c r="BD151" s="89">
        <f t="shared" si="271"/>
        <v>0</v>
      </c>
      <c r="BE151" s="89">
        <f t="shared" si="272"/>
        <v>0</v>
      </c>
      <c r="BF151" s="89">
        <f t="shared" si="272"/>
        <v>0</v>
      </c>
      <c r="BG151" s="89">
        <f t="shared" si="273"/>
        <v>0</v>
      </c>
      <c r="BH151" s="111">
        <f t="shared" si="274"/>
        <v>0</v>
      </c>
    </row>
    <row r="152" spans="1:60">
      <c r="A152" s="51"/>
      <c r="B152" s="108"/>
      <c r="C152" s="52" t="s">
        <v>146</v>
      </c>
      <c r="D152" s="52" t="s">
        <v>93</v>
      </c>
      <c r="E152" s="52" t="s">
        <v>0</v>
      </c>
      <c r="F152" s="54" t="s">
        <v>33</v>
      </c>
      <c r="G152" s="83"/>
      <c r="H152" s="83"/>
      <c r="I152" s="83"/>
      <c r="J152" s="83"/>
      <c r="K152" s="83"/>
      <c r="L152" s="83"/>
      <c r="M152" s="83"/>
      <c r="N152" s="83"/>
      <c r="O152" s="83"/>
      <c r="P152" s="89"/>
      <c r="Q152" s="83"/>
      <c r="R152" s="83"/>
      <c r="S152" s="83"/>
      <c r="T152" s="83"/>
      <c r="U152" s="83"/>
      <c r="V152" s="83"/>
      <c r="W152" s="83"/>
      <c r="X152" s="89">
        <f t="shared" si="257"/>
        <v>0</v>
      </c>
      <c r="Y152" s="83"/>
      <c r="Z152" s="83"/>
      <c r="AA152" s="83"/>
      <c r="AB152" s="83"/>
      <c r="AC152" s="83"/>
      <c r="AD152" s="83"/>
      <c r="AE152" s="83"/>
      <c r="AF152" s="83"/>
      <c r="AG152" s="83"/>
      <c r="AH152" s="89"/>
      <c r="AI152" s="83"/>
      <c r="AJ152" s="83"/>
      <c r="AK152" s="83"/>
      <c r="AL152" s="83"/>
      <c r="AM152" s="83"/>
      <c r="AN152" s="83"/>
      <c r="AO152" s="83"/>
      <c r="AP152" s="89">
        <f t="shared" si="258"/>
        <v>0</v>
      </c>
      <c r="AQ152" s="89">
        <f t="shared" si="259"/>
        <v>0</v>
      </c>
      <c r="AR152" s="89">
        <f t="shared" si="260"/>
        <v>0</v>
      </c>
      <c r="AS152" s="89">
        <f t="shared" si="261"/>
        <v>0</v>
      </c>
      <c r="AT152" s="89">
        <f t="shared" si="262"/>
        <v>0</v>
      </c>
      <c r="AU152" s="89">
        <f t="shared" si="263"/>
        <v>0</v>
      </c>
      <c r="AV152" s="89">
        <f t="shared" si="264"/>
        <v>0</v>
      </c>
      <c r="AW152" s="89">
        <f t="shared" si="265"/>
        <v>0</v>
      </c>
      <c r="AX152" s="89">
        <f t="shared" si="266"/>
        <v>0</v>
      </c>
      <c r="AY152" s="89">
        <f t="shared" si="267"/>
        <v>0</v>
      </c>
      <c r="AZ152" s="89">
        <f t="shared" si="267"/>
        <v>0</v>
      </c>
      <c r="BA152" s="89">
        <f t="shared" si="268"/>
        <v>0</v>
      </c>
      <c r="BB152" s="89">
        <f t="shared" si="269"/>
        <v>0</v>
      </c>
      <c r="BC152" s="89">
        <f t="shared" si="270"/>
        <v>0</v>
      </c>
      <c r="BD152" s="89">
        <f t="shared" si="271"/>
        <v>0</v>
      </c>
      <c r="BE152" s="89">
        <f t="shared" si="272"/>
        <v>0</v>
      </c>
      <c r="BF152" s="89">
        <f t="shared" si="272"/>
        <v>0</v>
      </c>
      <c r="BG152" s="89">
        <f t="shared" si="273"/>
        <v>0</v>
      </c>
      <c r="BH152" s="111">
        <f t="shared" si="274"/>
        <v>0</v>
      </c>
    </row>
    <row r="153" spans="1:60" ht="22.5">
      <c r="A153" s="51"/>
      <c r="B153" s="108"/>
      <c r="C153" s="52" t="s">
        <v>147</v>
      </c>
      <c r="D153" s="52" t="s">
        <v>93</v>
      </c>
      <c r="E153" s="52" t="s">
        <v>0</v>
      </c>
      <c r="F153" s="54" t="s">
        <v>34</v>
      </c>
      <c r="G153" s="83"/>
      <c r="H153" s="83"/>
      <c r="I153" s="83"/>
      <c r="J153" s="83"/>
      <c r="K153" s="83"/>
      <c r="L153" s="83"/>
      <c r="M153" s="83"/>
      <c r="N153" s="83"/>
      <c r="O153" s="83"/>
      <c r="P153" s="89"/>
      <c r="Q153" s="83"/>
      <c r="R153" s="83"/>
      <c r="S153" s="83"/>
      <c r="T153" s="83"/>
      <c r="U153" s="83"/>
      <c r="V153" s="83"/>
      <c r="W153" s="83"/>
      <c r="X153" s="89">
        <f t="shared" si="257"/>
        <v>0</v>
      </c>
      <c r="Y153" s="83"/>
      <c r="Z153" s="83"/>
      <c r="AA153" s="83"/>
      <c r="AB153" s="83"/>
      <c r="AC153" s="83"/>
      <c r="AD153" s="83"/>
      <c r="AE153" s="83"/>
      <c r="AF153" s="83"/>
      <c r="AG153" s="83"/>
      <c r="AH153" s="89"/>
      <c r="AI153" s="83"/>
      <c r="AJ153" s="83"/>
      <c r="AK153" s="83"/>
      <c r="AL153" s="83"/>
      <c r="AM153" s="83"/>
      <c r="AN153" s="83"/>
      <c r="AO153" s="83"/>
      <c r="AP153" s="89">
        <f t="shared" si="258"/>
        <v>0</v>
      </c>
      <c r="AQ153" s="89">
        <f t="shared" si="259"/>
        <v>0</v>
      </c>
      <c r="AR153" s="89">
        <f t="shared" si="260"/>
        <v>0</v>
      </c>
      <c r="AS153" s="89">
        <f t="shared" si="261"/>
        <v>0</v>
      </c>
      <c r="AT153" s="89">
        <f t="shared" si="262"/>
        <v>0</v>
      </c>
      <c r="AU153" s="89">
        <f t="shared" si="263"/>
        <v>0</v>
      </c>
      <c r="AV153" s="89">
        <f t="shared" si="264"/>
        <v>0</v>
      </c>
      <c r="AW153" s="89">
        <f t="shared" si="265"/>
        <v>0</v>
      </c>
      <c r="AX153" s="89">
        <f t="shared" si="266"/>
        <v>0</v>
      </c>
      <c r="AY153" s="89">
        <f t="shared" si="267"/>
        <v>0</v>
      </c>
      <c r="AZ153" s="89">
        <f t="shared" si="267"/>
        <v>0</v>
      </c>
      <c r="BA153" s="89">
        <f t="shared" si="268"/>
        <v>0</v>
      </c>
      <c r="BB153" s="89">
        <f t="shared" si="269"/>
        <v>0</v>
      </c>
      <c r="BC153" s="89">
        <f t="shared" si="270"/>
        <v>0</v>
      </c>
      <c r="BD153" s="89">
        <f t="shared" si="271"/>
        <v>0</v>
      </c>
      <c r="BE153" s="89">
        <f t="shared" si="272"/>
        <v>0</v>
      </c>
      <c r="BF153" s="89">
        <f t="shared" si="272"/>
        <v>0</v>
      </c>
      <c r="BG153" s="89">
        <f t="shared" si="273"/>
        <v>0</v>
      </c>
      <c r="BH153" s="111">
        <f t="shared" si="274"/>
        <v>0</v>
      </c>
    </row>
    <row r="154" spans="1:60" ht="22.5">
      <c r="A154" s="51"/>
      <c r="B154" s="108"/>
      <c r="C154" s="52" t="s">
        <v>148</v>
      </c>
      <c r="D154" s="52" t="s">
        <v>93</v>
      </c>
      <c r="E154" s="52" t="s">
        <v>0</v>
      </c>
      <c r="F154" s="54" t="s">
        <v>35</v>
      </c>
      <c r="G154" s="83"/>
      <c r="H154" s="83"/>
      <c r="I154" s="83"/>
      <c r="J154" s="83"/>
      <c r="K154" s="83"/>
      <c r="L154" s="83"/>
      <c r="M154" s="83"/>
      <c r="N154" s="83"/>
      <c r="O154" s="83"/>
      <c r="P154" s="89"/>
      <c r="Q154" s="83"/>
      <c r="R154" s="83"/>
      <c r="S154" s="83"/>
      <c r="T154" s="83"/>
      <c r="U154" s="83"/>
      <c r="V154" s="83"/>
      <c r="W154" s="83"/>
      <c r="X154" s="89">
        <f t="shared" si="257"/>
        <v>0</v>
      </c>
      <c r="Y154" s="83"/>
      <c r="Z154" s="83"/>
      <c r="AA154" s="83"/>
      <c r="AB154" s="83"/>
      <c r="AC154" s="83"/>
      <c r="AD154" s="83"/>
      <c r="AE154" s="83"/>
      <c r="AF154" s="83"/>
      <c r="AG154" s="83"/>
      <c r="AH154" s="89"/>
      <c r="AI154" s="83"/>
      <c r="AJ154" s="83"/>
      <c r="AK154" s="83"/>
      <c r="AL154" s="83"/>
      <c r="AM154" s="83"/>
      <c r="AN154" s="83"/>
      <c r="AO154" s="83"/>
      <c r="AP154" s="89">
        <f t="shared" si="258"/>
        <v>0</v>
      </c>
      <c r="AQ154" s="89">
        <f t="shared" si="259"/>
        <v>0</v>
      </c>
      <c r="AR154" s="89">
        <f t="shared" si="260"/>
        <v>0</v>
      </c>
      <c r="AS154" s="89">
        <f t="shared" si="261"/>
        <v>0</v>
      </c>
      <c r="AT154" s="89">
        <f t="shared" si="262"/>
        <v>0</v>
      </c>
      <c r="AU154" s="89">
        <f t="shared" si="263"/>
        <v>0</v>
      </c>
      <c r="AV154" s="89">
        <f t="shared" si="264"/>
        <v>0</v>
      </c>
      <c r="AW154" s="89">
        <f t="shared" si="265"/>
        <v>0</v>
      </c>
      <c r="AX154" s="89">
        <f t="shared" si="266"/>
        <v>0</v>
      </c>
      <c r="AY154" s="89">
        <f t="shared" si="267"/>
        <v>0</v>
      </c>
      <c r="AZ154" s="89">
        <f t="shared" si="267"/>
        <v>0</v>
      </c>
      <c r="BA154" s="89">
        <f t="shared" si="268"/>
        <v>0</v>
      </c>
      <c r="BB154" s="89">
        <f t="shared" si="269"/>
        <v>0</v>
      </c>
      <c r="BC154" s="89">
        <f t="shared" si="270"/>
        <v>0</v>
      </c>
      <c r="BD154" s="89">
        <f t="shared" si="271"/>
        <v>0</v>
      </c>
      <c r="BE154" s="89">
        <f t="shared" si="272"/>
        <v>0</v>
      </c>
      <c r="BF154" s="89">
        <f t="shared" si="272"/>
        <v>0</v>
      </c>
      <c r="BG154" s="89">
        <f t="shared" si="273"/>
        <v>0</v>
      </c>
      <c r="BH154" s="111">
        <f t="shared" si="274"/>
        <v>0</v>
      </c>
    </row>
    <row r="155" spans="1:60" ht="22.5">
      <c r="A155" s="51"/>
      <c r="B155" s="108"/>
      <c r="C155" s="52" t="s">
        <v>149</v>
      </c>
      <c r="D155" s="52" t="s">
        <v>93</v>
      </c>
      <c r="E155" s="52" t="s">
        <v>0</v>
      </c>
      <c r="F155" s="54" t="s">
        <v>36</v>
      </c>
      <c r="G155" s="83"/>
      <c r="H155" s="83"/>
      <c r="I155" s="83"/>
      <c r="J155" s="83"/>
      <c r="K155" s="83"/>
      <c r="L155" s="83"/>
      <c r="M155" s="83"/>
      <c r="N155" s="83"/>
      <c r="O155" s="83"/>
      <c r="P155" s="89"/>
      <c r="Q155" s="83"/>
      <c r="R155" s="83"/>
      <c r="S155" s="83"/>
      <c r="T155" s="83"/>
      <c r="U155" s="83"/>
      <c r="V155" s="83"/>
      <c r="W155" s="83"/>
      <c r="X155" s="89">
        <f t="shared" si="257"/>
        <v>0</v>
      </c>
      <c r="Y155" s="83"/>
      <c r="Z155" s="83"/>
      <c r="AA155" s="83"/>
      <c r="AB155" s="83"/>
      <c r="AC155" s="83"/>
      <c r="AD155" s="83"/>
      <c r="AE155" s="83"/>
      <c r="AF155" s="83"/>
      <c r="AG155" s="83"/>
      <c r="AH155" s="89"/>
      <c r="AI155" s="83"/>
      <c r="AJ155" s="83"/>
      <c r="AK155" s="83"/>
      <c r="AL155" s="83"/>
      <c r="AM155" s="83"/>
      <c r="AN155" s="83"/>
      <c r="AO155" s="83"/>
      <c r="AP155" s="89">
        <f t="shared" si="258"/>
        <v>0</v>
      </c>
      <c r="AQ155" s="89">
        <f t="shared" si="259"/>
        <v>0</v>
      </c>
      <c r="AR155" s="89">
        <f t="shared" si="260"/>
        <v>0</v>
      </c>
      <c r="AS155" s="89">
        <f t="shared" si="261"/>
        <v>0</v>
      </c>
      <c r="AT155" s="89">
        <f t="shared" si="262"/>
        <v>0</v>
      </c>
      <c r="AU155" s="89">
        <f t="shared" si="263"/>
        <v>0</v>
      </c>
      <c r="AV155" s="89">
        <f t="shared" si="264"/>
        <v>0</v>
      </c>
      <c r="AW155" s="89">
        <f t="shared" si="265"/>
        <v>0</v>
      </c>
      <c r="AX155" s="89">
        <f t="shared" si="266"/>
        <v>0</v>
      </c>
      <c r="AY155" s="89">
        <f t="shared" si="267"/>
        <v>0</v>
      </c>
      <c r="AZ155" s="89">
        <f t="shared" si="267"/>
        <v>0</v>
      </c>
      <c r="BA155" s="89">
        <f t="shared" si="268"/>
        <v>0</v>
      </c>
      <c r="BB155" s="89">
        <f t="shared" si="269"/>
        <v>0</v>
      </c>
      <c r="BC155" s="89">
        <f t="shared" si="270"/>
        <v>0</v>
      </c>
      <c r="BD155" s="89">
        <f t="shared" si="271"/>
        <v>0</v>
      </c>
      <c r="BE155" s="89">
        <f t="shared" si="272"/>
        <v>0</v>
      </c>
      <c r="BF155" s="89">
        <f t="shared" si="272"/>
        <v>0</v>
      </c>
      <c r="BG155" s="89">
        <f t="shared" si="273"/>
        <v>0</v>
      </c>
      <c r="BH155" s="111">
        <f t="shared" si="274"/>
        <v>0</v>
      </c>
    </row>
    <row r="156" spans="1:60" ht="22.5">
      <c r="A156" s="51"/>
      <c r="B156" s="108"/>
      <c r="C156" s="52" t="s">
        <v>150</v>
      </c>
      <c r="D156" s="52" t="s">
        <v>93</v>
      </c>
      <c r="E156" s="52" t="s">
        <v>0</v>
      </c>
      <c r="F156" s="54" t="s">
        <v>37</v>
      </c>
      <c r="G156" s="85"/>
      <c r="H156" s="85"/>
      <c r="I156" s="85"/>
      <c r="J156" s="85"/>
      <c r="K156" s="85"/>
      <c r="L156" s="85"/>
      <c r="M156" s="85"/>
      <c r="N156" s="85"/>
      <c r="O156" s="85"/>
      <c r="P156" s="89"/>
      <c r="Q156" s="85"/>
      <c r="R156" s="85"/>
      <c r="S156" s="85"/>
      <c r="T156" s="85"/>
      <c r="U156" s="85"/>
      <c r="V156" s="85"/>
      <c r="W156" s="85"/>
      <c r="X156" s="89">
        <f t="shared" si="257"/>
        <v>0</v>
      </c>
      <c r="Y156" s="85"/>
      <c r="Z156" s="85"/>
      <c r="AA156" s="85"/>
      <c r="AB156" s="85"/>
      <c r="AC156" s="85"/>
      <c r="AD156" s="85"/>
      <c r="AE156" s="85"/>
      <c r="AF156" s="85"/>
      <c r="AG156" s="85"/>
      <c r="AH156" s="89"/>
      <c r="AI156" s="85"/>
      <c r="AJ156" s="85"/>
      <c r="AK156" s="85"/>
      <c r="AL156" s="85"/>
      <c r="AM156" s="85"/>
      <c r="AN156" s="85"/>
      <c r="AO156" s="85"/>
      <c r="AP156" s="89">
        <f t="shared" si="258"/>
        <v>0</v>
      </c>
      <c r="AQ156" s="89">
        <f t="shared" si="259"/>
        <v>0</v>
      </c>
      <c r="AR156" s="89">
        <f t="shared" si="260"/>
        <v>0</v>
      </c>
      <c r="AS156" s="89">
        <f t="shared" si="261"/>
        <v>0</v>
      </c>
      <c r="AT156" s="89">
        <f t="shared" si="262"/>
        <v>0</v>
      </c>
      <c r="AU156" s="89">
        <f t="shared" si="263"/>
        <v>0</v>
      </c>
      <c r="AV156" s="89">
        <f t="shared" si="264"/>
        <v>0</v>
      </c>
      <c r="AW156" s="89">
        <f t="shared" si="265"/>
        <v>0</v>
      </c>
      <c r="AX156" s="89">
        <f t="shared" si="266"/>
        <v>0</v>
      </c>
      <c r="AY156" s="89">
        <f t="shared" si="267"/>
        <v>0</v>
      </c>
      <c r="AZ156" s="89">
        <f t="shared" si="267"/>
        <v>0</v>
      </c>
      <c r="BA156" s="89">
        <f t="shared" si="268"/>
        <v>0</v>
      </c>
      <c r="BB156" s="89">
        <f t="shared" si="269"/>
        <v>0</v>
      </c>
      <c r="BC156" s="89">
        <f t="shared" si="270"/>
        <v>0</v>
      </c>
      <c r="BD156" s="89">
        <f t="shared" si="271"/>
        <v>0</v>
      </c>
      <c r="BE156" s="89">
        <f t="shared" si="272"/>
        <v>0</v>
      </c>
      <c r="BF156" s="89">
        <f t="shared" si="272"/>
        <v>0</v>
      </c>
      <c r="BG156" s="89">
        <f t="shared" si="273"/>
        <v>0</v>
      </c>
      <c r="BH156" s="111">
        <f t="shared" si="274"/>
        <v>0</v>
      </c>
    </row>
    <row r="157" spans="1:60" ht="22.5">
      <c r="A157" s="51"/>
      <c r="B157" s="108"/>
      <c r="C157" s="52" t="s">
        <v>151</v>
      </c>
      <c r="D157" s="52" t="s">
        <v>93</v>
      </c>
      <c r="E157" s="52" t="s">
        <v>0</v>
      </c>
      <c r="F157" s="54" t="s">
        <v>38</v>
      </c>
      <c r="G157" s="83"/>
      <c r="H157" s="83"/>
      <c r="I157" s="83"/>
      <c r="J157" s="83"/>
      <c r="K157" s="83"/>
      <c r="L157" s="83"/>
      <c r="M157" s="83"/>
      <c r="N157" s="83"/>
      <c r="O157" s="83"/>
      <c r="P157" s="89"/>
      <c r="Q157" s="83"/>
      <c r="R157" s="83"/>
      <c r="S157" s="83"/>
      <c r="T157" s="83"/>
      <c r="U157" s="83"/>
      <c r="V157" s="83"/>
      <c r="W157" s="83"/>
      <c r="X157" s="89">
        <f t="shared" si="257"/>
        <v>0</v>
      </c>
      <c r="Y157" s="83"/>
      <c r="Z157" s="83"/>
      <c r="AA157" s="83"/>
      <c r="AB157" s="83"/>
      <c r="AC157" s="83"/>
      <c r="AD157" s="83"/>
      <c r="AE157" s="83"/>
      <c r="AF157" s="83"/>
      <c r="AG157" s="83"/>
      <c r="AH157" s="89"/>
      <c r="AI157" s="83"/>
      <c r="AJ157" s="83"/>
      <c r="AK157" s="83"/>
      <c r="AL157" s="83"/>
      <c r="AM157" s="83"/>
      <c r="AN157" s="83"/>
      <c r="AO157" s="83"/>
      <c r="AP157" s="89">
        <f t="shared" si="258"/>
        <v>0</v>
      </c>
      <c r="AQ157" s="89">
        <f t="shared" si="259"/>
        <v>0</v>
      </c>
      <c r="AR157" s="89">
        <f t="shared" si="260"/>
        <v>0</v>
      </c>
      <c r="AS157" s="89">
        <f t="shared" si="261"/>
        <v>0</v>
      </c>
      <c r="AT157" s="89">
        <f t="shared" si="262"/>
        <v>0</v>
      </c>
      <c r="AU157" s="89">
        <f t="shared" si="263"/>
        <v>0</v>
      </c>
      <c r="AV157" s="89">
        <f t="shared" si="264"/>
        <v>0</v>
      </c>
      <c r="AW157" s="89">
        <f t="shared" si="265"/>
        <v>0</v>
      </c>
      <c r="AX157" s="89">
        <f t="shared" si="266"/>
        <v>0</v>
      </c>
      <c r="AY157" s="89">
        <f t="shared" si="267"/>
        <v>0</v>
      </c>
      <c r="AZ157" s="89">
        <f t="shared" si="267"/>
        <v>0</v>
      </c>
      <c r="BA157" s="89">
        <f t="shared" si="268"/>
        <v>0</v>
      </c>
      <c r="BB157" s="89">
        <f t="shared" si="269"/>
        <v>0</v>
      </c>
      <c r="BC157" s="89">
        <f t="shared" si="270"/>
        <v>0</v>
      </c>
      <c r="BD157" s="89">
        <f t="shared" si="271"/>
        <v>0</v>
      </c>
      <c r="BE157" s="89">
        <f t="shared" si="272"/>
        <v>0</v>
      </c>
      <c r="BF157" s="89">
        <f t="shared" si="272"/>
        <v>0</v>
      </c>
      <c r="BG157" s="89">
        <f t="shared" si="273"/>
        <v>0</v>
      </c>
      <c r="BH157" s="111">
        <f t="shared" si="274"/>
        <v>0</v>
      </c>
    </row>
    <row r="158" spans="1:60" ht="22.5">
      <c r="A158" s="51"/>
      <c r="B158" s="108"/>
      <c r="C158" s="52"/>
      <c r="D158" s="52" t="s">
        <v>0</v>
      </c>
      <c r="E158" s="52" t="s">
        <v>0</v>
      </c>
      <c r="F158" s="53" t="s">
        <v>39</v>
      </c>
      <c r="G158" s="52"/>
      <c r="H158" s="52"/>
      <c r="I158" s="52"/>
      <c r="J158" s="52"/>
      <c r="K158" s="52"/>
      <c r="L158" s="52"/>
      <c r="M158" s="52"/>
      <c r="N158" s="52"/>
      <c r="O158" s="52"/>
      <c r="P158" s="52"/>
      <c r="Q158" s="52"/>
      <c r="R158" s="52"/>
      <c r="S158" s="52"/>
      <c r="T158" s="52"/>
      <c r="U158" s="52"/>
      <c r="V158" s="52"/>
      <c r="W158" s="52"/>
      <c r="X158" s="91"/>
      <c r="Y158" s="52"/>
      <c r="Z158" s="52"/>
      <c r="AA158" s="52"/>
      <c r="AB158" s="52"/>
      <c r="AC158" s="52"/>
      <c r="AD158" s="52"/>
      <c r="AE158" s="52"/>
      <c r="AF158" s="52"/>
      <c r="AG158" s="52"/>
      <c r="AH158" s="52"/>
      <c r="AI158" s="52"/>
      <c r="AJ158" s="52"/>
      <c r="AK158" s="52"/>
      <c r="AL158" s="52"/>
      <c r="AM158" s="52"/>
      <c r="AN158" s="52"/>
      <c r="AO158" s="52"/>
      <c r="AP158" s="91"/>
      <c r="AQ158" s="91"/>
      <c r="AR158" s="91"/>
      <c r="AS158" s="91"/>
      <c r="AT158" s="91"/>
      <c r="AU158" s="91"/>
      <c r="AV158" s="91"/>
      <c r="AW158" s="91"/>
      <c r="AX158" s="91"/>
      <c r="AY158" s="91"/>
      <c r="AZ158" s="91"/>
      <c r="BA158" s="91"/>
      <c r="BB158" s="91"/>
      <c r="BC158" s="91"/>
      <c r="BD158" s="91"/>
      <c r="BE158" s="91"/>
      <c r="BF158" s="91"/>
      <c r="BG158" s="91"/>
      <c r="BH158" s="112"/>
    </row>
    <row r="159" spans="1:60" ht="22.5">
      <c r="A159" s="51"/>
      <c r="B159" s="108"/>
      <c r="C159" s="52" t="s">
        <v>152</v>
      </c>
      <c r="D159" s="52" t="s">
        <v>93</v>
      </c>
      <c r="E159" s="52" t="s">
        <v>0</v>
      </c>
      <c r="F159" s="54" t="s">
        <v>40</v>
      </c>
      <c r="G159" s="83"/>
      <c r="H159" s="83"/>
      <c r="I159" s="83"/>
      <c r="J159" s="83"/>
      <c r="K159" s="83"/>
      <c r="L159" s="83"/>
      <c r="M159" s="83"/>
      <c r="N159" s="83"/>
      <c r="O159" s="83"/>
      <c r="P159" s="89"/>
      <c r="Q159" s="83"/>
      <c r="R159" s="83"/>
      <c r="S159" s="83"/>
      <c r="T159" s="83"/>
      <c r="U159" s="83"/>
      <c r="V159" s="83"/>
      <c r="W159" s="83"/>
      <c r="X159" s="89">
        <f t="shared" ref="X159:X161" si="275">SUM(P159:W159)+SUM(G159:K159)</f>
        <v>0</v>
      </c>
      <c r="Y159" s="83"/>
      <c r="Z159" s="83"/>
      <c r="AA159" s="83"/>
      <c r="AB159" s="83"/>
      <c r="AC159" s="83"/>
      <c r="AD159" s="83"/>
      <c r="AE159" s="83"/>
      <c r="AF159" s="83"/>
      <c r="AG159" s="83"/>
      <c r="AH159" s="89"/>
      <c r="AI159" s="83"/>
      <c r="AJ159" s="83"/>
      <c r="AK159" s="83"/>
      <c r="AL159" s="83"/>
      <c r="AM159" s="83"/>
      <c r="AN159" s="83"/>
      <c r="AO159" s="83"/>
      <c r="AP159" s="89">
        <f t="shared" ref="AP159:AP161" si="276">SUM(AH159:AO159)+SUM(Y159:AC159)</f>
        <v>0</v>
      </c>
      <c r="AQ159" s="89">
        <f t="shared" ref="AQ159:AW161" si="277">G159+Y159</f>
        <v>0</v>
      </c>
      <c r="AR159" s="89">
        <f t="shared" si="277"/>
        <v>0</v>
      </c>
      <c r="AS159" s="89">
        <f t="shared" si="277"/>
        <v>0</v>
      </c>
      <c r="AT159" s="89">
        <f t="shared" si="277"/>
        <v>0</v>
      </c>
      <c r="AU159" s="89">
        <f t="shared" si="277"/>
        <v>0</v>
      </c>
      <c r="AV159" s="89">
        <f t="shared" si="277"/>
        <v>0</v>
      </c>
      <c r="AW159" s="89">
        <f t="shared" si="277"/>
        <v>0</v>
      </c>
      <c r="AX159" s="89">
        <f t="shared" ref="AX159:AX161" si="278">N159+AF159</f>
        <v>0</v>
      </c>
      <c r="AY159" s="89">
        <f t="shared" ref="AY159:AZ161" si="279">O159+AG159</f>
        <v>0</v>
      </c>
      <c r="AZ159" s="89">
        <f t="shared" si="279"/>
        <v>0</v>
      </c>
      <c r="BA159" s="89">
        <f t="shared" ref="BA159:BF161" si="280">Q159+AI159</f>
        <v>0</v>
      </c>
      <c r="BB159" s="89">
        <f t="shared" si="280"/>
        <v>0</v>
      </c>
      <c r="BC159" s="89">
        <f t="shared" si="280"/>
        <v>0</v>
      </c>
      <c r="BD159" s="89">
        <f t="shared" si="280"/>
        <v>0</v>
      </c>
      <c r="BE159" s="89">
        <f t="shared" si="280"/>
        <v>0</v>
      </c>
      <c r="BF159" s="89">
        <f t="shared" si="280"/>
        <v>0</v>
      </c>
      <c r="BG159" s="89">
        <f t="shared" ref="BG159:BG161" si="281">W159+AO159</f>
        <v>0</v>
      </c>
      <c r="BH159" s="111">
        <f>X159+AP159</f>
        <v>0</v>
      </c>
    </row>
    <row r="160" spans="1:60" ht="22.5">
      <c r="A160" s="51"/>
      <c r="B160" s="108"/>
      <c r="C160" s="52" t="s">
        <v>153</v>
      </c>
      <c r="D160" s="52" t="s">
        <v>93</v>
      </c>
      <c r="E160" s="52" t="s">
        <v>0</v>
      </c>
      <c r="F160" s="54" t="s">
        <v>41</v>
      </c>
      <c r="G160" s="83"/>
      <c r="H160" s="83"/>
      <c r="I160" s="83"/>
      <c r="J160" s="83"/>
      <c r="K160" s="83"/>
      <c r="L160" s="83"/>
      <c r="M160" s="83"/>
      <c r="N160" s="83"/>
      <c r="O160" s="83"/>
      <c r="P160" s="89"/>
      <c r="Q160" s="83"/>
      <c r="R160" s="83"/>
      <c r="S160" s="83"/>
      <c r="T160" s="83"/>
      <c r="U160" s="83"/>
      <c r="V160" s="83"/>
      <c r="W160" s="83"/>
      <c r="X160" s="89">
        <f t="shared" si="275"/>
        <v>0</v>
      </c>
      <c r="Y160" s="83"/>
      <c r="Z160" s="83"/>
      <c r="AA160" s="83"/>
      <c r="AB160" s="83"/>
      <c r="AC160" s="83"/>
      <c r="AD160" s="83"/>
      <c r="AE160" s="83"/>
      <c r="AF160" s="83"/>
      <c r="AG160" s="83"/>
      <c r="AH160" s="89"/>
      <c r="AI160" s="83"/>
      <c r="AJ160" s="83"/>
      <c r="AK160" s="83"/>
      <c r="AL160" s="83"/>
      <c r="AM160" s="83"/>
      <c r="AN160" s="83"/>
      <c r="AO160" s="83"/>
      <c r="AP160" s="89">
        <f t="shared" si="276"/>
        <v>0</v>
      </c>
      <c r="AQ160" s="89">
        <f t="shared" si="277"/>
        <v>0</v>
      </c>
      <c r="AR160" s="89">
        <f t="shared" si="277"/>
        <v>0</v>
      </c>
      <c r="AS160" s="89">
        <f t="shared" si="277"/>
        <v>0</v>
      </c>
      <c r="AT160" s="89">
        <f t="shared" si="277"/>
        <v>0</v>
      </c>
      <c r="AU160" s="89">
        <f t="shared" si="277"/>
        <v>0</v>
      </c>
      <c r="AV160" s="89">
        <f t="shared" si="277"/>
        <v>0</v>
      </c>
      <c r="AW160" s="89">
        <f t="shared" si="277"/>
        <v>0</v>
      </c>
      <c r="AX160" s="89">
        <f t="shared" si="278"/>
        <v>0</v>
      </c>
      <c r="AY160" s="89">
        <f t="shared" si="279"/>
        <v>0</v>
      </c>
      <c r="AZ160" s="89">
        <f t="shared" si="279"/>
        <v>0</v>
      </c>
      <c r="BA160" s="89">
        <f t="shared" si="280"/>
        <v>0</v>
      </c>
      <c r="BB160" s="89">
        <f t="shared" si="280"/>
        <v>0</v>
      </c>
      <c r="BC160" s="89">
        <f t="shared" si="280"/>
        <v>0</v>
      </c>
      <c r="BD160" s="89">
        <f t="shared" si="280"/>
        <v>0</v>
      </c>
      <c r="BE160" s="89">
        <f t="shared" si="280"/>
        <v>0</v>
      </c>
      <c r="BF160" s="89">
        <f t="shared" si="280"/>
        <v>0</v>
      </c>
      <c r="BG160" s="89">
        <f t="shared" si="281"/>
        <v>0</v>
      </c>
      <c r="BH160" s="111">
        <f>X160+AP160</f>
        <v>0</v>
      </c>
    </row>
    <row r="161" spans="1:60" ht="22.5">
      <c r="A161" s="51"/>
      <c r="B161" s="108"/>
      <c r="C161" s="52" t="s">
        <v>154</v>
      </c>
      <c r="D161" s="52" t="s">
        <v>93</v>
      </c>
      <c r="E161" s="52" t="s">
        <v>0</v>
      </c>
      <c r="F161" s="53" t="s">
        <v>62</v>
      </c>
      <c r="G161" s="89">
        <f t="shared" ref="G161:M161" si="282">G159+G160</f>
        <v>0</v>
      </c>
      <c r="H161" s="89">
        <f t="shared" si="282"/>
        <v>0</v>
      </c>
      <c r="I161" s="89">
        <f t="shared" si="282"/>
        <v>0</v>
      </c>
      <c r="J161" s="89">
        <f t="shared" si="282"/>
        <v>0</v>
      </c>
      <c r="K161" s="89">
        <f t="shared" si="282"/>
        <v>0</v>
      </c>
      <c r="L161" s="89">
        <f t="shared" si="282"/>
        <v>0</v>
      </c>
      <c r="M161" s="89">
        <f t="shared" si="282"/>
        <v>0</v>
      </c>
      <c r="N161" s="89">
        <f t="shared" ref="N161:O161" si="283">N159+N160</f>
        <v>0</v>
      </c>
      <c r="O161" s="89">
        <f t="shared" si="283"/>
        <v>0</v>
      </c>
      <c r="P161" s="89">
        <f t="shared" ref="P161" si="284">P159+P160</f>
        <v>0</v>
      </c>
      <c r="Q161" s="89">
        <f t="shared" ref="Q161:W161" si="285">Q159+Q160</f>
        <v>0</v>
      </c>
      <c r="R161" s="89">
        <f t="shared" si="285"/>
        <v>0</v>
      </c>
      <c r="S161" s="89">
        <f t="shared" si="285"/>
        <v>0</v>
      </c>
      <c r="T161" s="89">
        <f t="shared" si="285"/>
        <v>0</v>
      </c>
      <c r="U161" s="89">
        <f t="shared" si="285"/>
        <v>0</v>
      </c>
      <c r="V161" s="89">
        <f t="shared" ref="V161" si="286">V159+V160</f>
        <v>0</v>
      </c>
      <c r="W161" s="89">
        <f t="shared" si="285"/>
        <v>0</v>
      </c>
      <c r="X161" s="89">
        <f t="shared" si="275"/>
        <v>0</v>
      </c>
      <c r="Y161" s="89">
        <f t="shared" ref="Y161:AG161" si="287">Y159+Y160</f>
        <v>0</v>
      </c>
      <c r="Z161" s="89">
        <f t="shared" si="287"/>
        <v>0</v>
      </c>
      <c r="AA161" s="89">
        <f t="shared" si="287"/>
        <v>0</v>
      </c>
      <c r="AB161" s="89">
        <f t="shared" si="287"/>
        <v>0</v>
      </c>
      <c r="AC161" s="89">
        <f t="shared" si="287"/>
        <v>0</v>
      </c>
      <c r="AD161" s="89">
        <f t="shared" si="287"/>
        <v>0</v>
      </c>
      <c r="AE161" s="89">
        <f t="shared" si="287"/>
        <v>0</v>
      </c>
      <c r="AF161" s="89">
        <f t="shared" si="287"/>
        <v>0</v>
      </c>
      <c r="AG161" s="89">
        <f t="shared" si="287"/>
        <v>0</v>
      </c>
      <c r="AH161" s="89">
        <f t="shared" ref="AH161" si="288">AH159+AH160</f>
        <v>0</v>
      </c>
      <c r="AI161" s="89">
        <f t="shared" ref="AI161:AO161" si="289">AI159+AI160</f>
        <v>0</v>
      </c>
      <c r="AJ161" s="89">
        <f t="shared" si="289"/>
        <v>0</v>
      </c>
      <c r="AK161" s="89">
        <f t="shared" si="289"/>
        <v>0</v>
      </c>
      <c r="AL161" s="89">
        <f t="shared" si="289"/>
        <v>0</v>
      </c>
      <c r="AM161" s="89">
        <f t="shared" si="289"/>
        <v>0</v>
      </c>
      <c r="AN161" s="89">
        <f t="shared" si="289"/>
        <v>0</v>
      </c>
      <c r="AO161" s="89">
        <f t="shared" si="289"/>
        <v>0</v>
      </c>
      <c r="AP161" s="89">
        <f t="shared" si="276"/>
        <v>0</v>
      </c>
      <c r="AQ161" s="89">
        <f t="shared" si="277"/>
        <v>0</v>
      </c>
      <c r="AR161" s="89">
        <f t="shared" si="277"/>
        <v>0</v>
      </c>
      <c r="AS161" s="89">
        <f t="shared" si="277"/>
        <v>0</v>
      </c>
      <c r="AT161" s="89">
        <f t="shared" si="277"/>
        <v>0</v>
      </c>
      <c r="AU161" s="89">
        <f t="shared" si="277"/>
        <v>0</v>
      </c>
      <c r="AV161" s="89">
        <f t="shared" si="277"/>
        <v>0</v>
      </c>
      <c r="AW161" s="89">
        <f t="shared" si="277"/>
        <v>0</v>
      </c>
      <c r="AX161" s="89">
        <f t="shared" si="278"/>
        <v>0</v>
      </c>
      <c r="AY161" s="89">
        <f t="shared" si="279"/>
        <v>0</v>
      </c>
      <c r="AZ161" s="89">
        <f t="shared" si="279"/>
        <v>0</v>
      </c>
      <c r="BA161" s="89">
        <f t="shared" si="280"/>
        <v>0</v>
      </c>
      <c r="BB161" s="89">
        <f t="shared" si="280"/>
        <v>0</v>
      </c>
      <c r="BC161" s="89">
        <f t="shared" si="280"/>
        <v>0</v>
      </c>
      <c r="BD161" s="89">
        <f t="shared" si="280"/>
        <v>0</v>
      </c>
      <c r="BE161" s="89">
        <f t="shared" si="280"/>
        <v>0</v>
      </c>
      <c r="BF161" s="89">
        <f t="shared" si="280"/>
        <v>0</v>
      </c>
      <c r="BG161" s="89">
        <f t="shared" si="281"/>
        <v>0</v>
      </c>
      <c r="BH161" s="111">
        <f>X161+AP161</f>
        <v>0</v>
      </c>
    </row>
    <row r="162" spans="1:60" ht="22.5">
      <c r="A162" s="51"/>
      <c r="B162" s="108"/>
      <c r="C162" s="52"/>
      <c r="D162" s="52" t="s">
        <v>0</v>
      </c>
      <c r="E162" s="52" t="s">
        <v>0</v>
      </c>
      <c r="F162" s="53" t="s">
        <v>42</v>
      </c>
      <c r="G162" s="52"/>
      <c r="H162" s="52"/>
      <c r="I162" s="52"/>
      <c r="J162" s="52"/>
      <c r="K162" s="52"/>
      <c r="L162" s="52"/>
      <c r="M162" s="52"/>
      <c r="N162" s="52"/>
      <c r="O162" s="52"/>
      <c r="P162" s="52"/>
      <c r="Q162" s="52"/>
      <c r="R162" s="52"/>
      <c r="S162" s="52"/>
      <c r="T162" s="52"/>
      <c r="U162" s="52"/>
      <c r="V162" s="52"/>
      <c r="W162" s="52"/>
      <c r="X162" s="91"/>
      <c r="Y162" s="52"/>
      <c r="Z162" s="52"/>
      <c r="AA162" s="52"/>
      <c r="AB162" s="52"/>
      <c r="AC162" s="52"/>
      <c r="AD162" s="52"/>
      <c r="AE162" s="52"/>
      <c r="AF162" s="52"/>
      <c r="AG162" s="52"/>
      <c r="AH162" s="52"/>
      <c r="AI162" s="52"/>
      <c r="AJ162" s="52"/>
      <c r="AK162" s="52"/>
      <c r="AL162" s="52"/>
      <c r="AM162" s="52"/>
      <c r="AN162" s="52"/>
      <c r="AO162" s="52"/>
      <c r="AP162" s="91"/>
      <c r="AQ162" s="91"/>
      <c r="AR162" s="91"/>
      <c r="AS162" s="91"/>
      <c r="AT162" s="91"/>
      <c r="AU162" s="91"/>
      <c r="AV162" s="91"/>
      <c r="AW162" s="91"/>
      <c r="AX162" s="91"/>
      <c r="AY162" s="91"/>
      <c r="AZ162" s="91"/>
      <c r="BA162" s="91"/>
      <c r="BB162" s="91"/>
      <c r="BC162" s="91"/>
      <c r="BD162" s="91"/>
      <c r="BE162" s="91"/>
      <c r="BF162" s="91"/>
      <c r="BG162" s="91"/>
      <c r="BH162" s="112"/>
    </row>
    <row r="163" spans="1:60">
      <c r="A163" s="51"/>
      <c r="B163" s="108"/>
      <c r="C163" s="52" t="s">
        <v>155</v>
      </c>
      <c r="D163" s="52" t="s">
        <v>93</v>
      </c>
      <c r="E163" s="52" t="s">
        <v>0</v>
      </c>
      <c r="F163" s="54" t="s">
        <v>43</v>
      </c>
      <c r="G163" s="83"/>
      <c r="H163" s="83"/>
      <c r="I163" s="83"/>
      <c r="J163" s="83"/>
      <c r="K163" s="83"/>
      <c r="L163" s="83"/>
      <c r="M163" s="83"/>
      <c r="N163" s="83"/>
      <c r="O163" s="83"/>
      <c r="P163" s="89"/>
      <c r="Q163" s="83"/>
      <c r="R163" s="83"/>
      <c r="S163" s="83"/>
      <c r="T163" s="83"/>
      <c r="U163" s="83"/>
      <c r="V163" s="83"/>
      <c r="W163" s="83"/>
      <c r="X163" s="89">
        <f t="shared" ref="X163:X169" si="290">SUM(P163:W163)+SUM(G163:K163)</f>
        <v>0</v>
      </c>
      <c r="Y163" s="83"/>
      <c r="Z163" s="83"/>
      <c r="AA163" s="83"/>
      <c r="AB163" s="83"/>
      <c r="AC163" s="83"/>
      <c r="AD163" s="83"/>
      <c r="AE163" s="83"/>
      <c r="AF163" s="83"/>
      <c r="AG163" s="83"/>
      <c r="AH163" s="89"/>
      <c r="AI163" s="83"/>
      <c r="AJ163" s="83"/>
      <c r="AK163" s="83"/>
      <c r="AL163" s="83"/>
      <c r="AM163" s="83"/>
      <c r="AN163" s="83"/>
      <c r="AO163" s="83"/>
      <c r="AP163" s="89">
        <f t="shared" ref="AP163:AP169" si="291">SUM(AH163:AO163)+SUM(Y163:AC163)</f>
        <v>0</v>
      </c>
      <c r="AQ163" s="89">
        <f t="shared" ref="AQ163:AW169" si="292">G163+Y163</f>
        <v>0</v>
      </c>
      <c r="AR163" s="89">
        <f t="shared" si="292"/>
        <v>0</v>
      </c>
      <c r="AS163" s="89">
        <f t="shared" si="292"/>
        <v>0</v>
      </c>
      <c r="AT163" s="89">
        <f t="shared" si="292"/>
        <v>0</v>
      </c>
      <c r="AU163" s="89">
        <f t="shared" si="292"/>
        <v>0</v>
      </c>
      <c r="AV163" s="89">
        <f t="shared" si="292"/>
        <v>0</v>
      </c>
      <c r="AW163" s="89">
        <f t="shared" si="292"/>
        <v>0</v>
      </c>
      <c r="AX163" s="89">
        <f t="shared" ref="AX163:AX169" si="293">N163+AF163</f>
        <v>0</v>
      </c>
      <c r="AY163" s="89">
        <f t="shared" ref="AY163:AZ169" si="294">O163+AG163</f>
        <v>0</v>
      </c>
      <c r="AZ163" s="89">
        <f t="shared" si="294"/>
        <v>0</v>
      </c>
      <c r="BA163" s="89">
        <f t="shared" ref="BA163:BF169" si="295">Q163+AI163</f>
        <v>0</v>
      </c>
      <c r="BB163" s="89">
        <f t="shared" si="295"/>
        <v>0</v>
      </c>
      <c r="BC163" s="89">
        <f t="shared" si="295"/>
        <v>0</v>
      </c>
      <c r="BD163" s="89">
        <f t="shared" si="295"/>
        <v>0</v>
      </c>
      <c r="BE163" s="89">
        <f t="shared" si="295"/>
        <v>0</v>
      </c>
      <c r="BF163" s="89">
        <f t="shared" si="295"/>
        <v>0</v>
      </c>
      <c r="BG163" s="89">
        <f t="shared" ref="BG163:BG169" si="296">W163+AO163</f>
        <v>0</v>
      </c>
      <c r="BH163" s="111">
        <f t="shared" ref="BH163:BH169" si="297">X163+AP163</f>
        <v>0</v>
      </c>
    </row>
    <row r="164" spans="1:60">
      <c r="A164" s="51"/>
      <c r="B164" s="108"/>
      <c r="C164" s="52" t="s">
        <v>156</v>
      </c>
      <c r="D164" s="52" t="s">
        <v>93</v>
      </c>
      <c r="E164" s="52" t="s">
        <v>0</v>
      </c>
      <c r="F164" s="54" t="s">
        <v>44</v>
      </c>
      <c r="G164" s="83"/>
      <c r="H164" s="83"/>
      <c r="I164" s="83"/>
      <c r="J164" s="83"/>
      <c r="K164" s="83"/>
      <c r="L164" s="83"/>
      <c r="M164" s="83"/>
      <c r="N164" s="83"/>
      <c r="O164" s="83"/>
      <c r="P164" s="89"/>
      <c r="Q164" s="83"/>
      <c r="R164" s="83"/>
      <c r="S164" s="83"/>
      <c r="T164" s="83"/>
      <c r="U164" s="83"/>
      <c r="V164" s="83"/>
      <c r="W164" s="83"/>
      <c r="X164" s="89">
        <f t="shared" si="290"/>
        <v>0</v>
      </c>
      <c r="Y164" s="83"/>
      <c r="Z164" s="83"/>
      <c r="AA164" s="83"/>
      <c r="AB164" s="83"/>
      <c r="AC164" s="83"/>
      <c r="AD164" s="83"/>
      <c r="AE164" s="83"/>
      <c r="AF164" s="83"/>
      <c r="AG164" s="83"/>
      <c r="AH164" s="89"/>
      <c r="AI164" s="83"/>
      <c r="AJ164" s="83"/>
      <c r="AK164" s="83"/>
      <c r="AL164" s="83"/>
      <c r="AM164" s="83"/>
      <c r="AN164" s="83"/>
      <c r="AO164" s="83"/>
      <c r="AP164" s="89">
        <f t="shared" si="291"/>
        <v>0</v>
      </c>
      <c r="AQ164" s="89">
        <f t="shared" si="292"/>
        <v>0</v>
      </c>
      <c r="AR164" s="89">
        <f t="shared" si="292"/>
        <v>0</v>
      </c>
      <c r="AS164" s="89">
        <f t="shared" si="292"/>
        <v>0</v>
      </c>
      <c r="AT164" s="89">
        <f t="shared" si="292"/>
        <v>0</v>
      </c>
      <c r="AU164" s="89">
        <f t="shared" si="292"/>
        <v>0</v>
      </c>
      <c r="AV164" s="89">
        <f t="shared" si="292"/>
        <v>0</v>
      </c>
      <c r="AW164" s="89">
        <f t="shared" si="292"/>
        <v>0</v>
      </c>
      <c r="AX164" s="89">
        <f t="shared" si="293"/>
        <v>0</v>
      </c>
      <c r="AY164" s="89">
        <f t="shared" si="294"/>
        <v>0</v>
      </c>
      <c r="AZ164" s="89">
        <f t="shared" si="294"/>
        <v>0</v>
      </c>
      <c r="BA164" s="89">
        <f t="shared" si="295"/>
        <v>0</v>
      </c>
      <c r="BB164" s="89">
        <f t="shared" si="295"/>
        <v>0</v>
      </c>
      <c r="BC164" s="89">
        <f t="shared" si="295"/>
        <v>0</v>
      </c>
      <c r="BD164" s="89">
        <f t="shared" si="295"/>
        <v>0</v>
      </c>
      <c r="BE164" s="89">
        <f t="shared" si="295"/>
        <v>0</v>
      </c>
      <c r="BF164" s="89">
        <f t="shared" si="295"/>
        <v>0</v>
      </c>
      <c r="BG164" s="89">
        <f t="shared" si="296"/>
        <v>0</v>
      </c>
      <c r="BH164" s="111">
        <f t="shared" si="297"/>
        <v>0</v>
      </c>
    </row>
    <row r="165" spans="1:60" ht="16.5" customHeight="1">
      <c r="A165" s="51"/>
      <c r="B165" s="108"/>
      <c r="C165" s="52" t="s">
        <v>157</v>
      </c>
      <c r="D165" s="52" t="s">
        <v>93</v>
      </c>
      <c r="E165" s="52" t="s">
        <v>0</v>
      </c>
      <c r="F165" s="53" t="s">
        <v>63</v>
      </c>
      <c r="G165" s="89">
        <f t="shared" ref="G165:M165" si="298">G163+G164</f>
        <v>0</v>
      </c>
      <c r="H165" s="89">
        <f t="shared" si="298"/>
        <v>0</v>
      </c>
      <c r="I165" s="89">
        <f t="shared" si="298"/>
        <v>0</v>
      </c>
      <c r="J165" s="89">
        <f t="shared" si="298"/>
        <v>0</v>
      </c>
      <c r="K165" s="89">
        <f t="shared" si="298"/>
        <v>0</v>
      </c>
      <c r="L165" s="89">
        <f t="shared" si="298"/>
        <v>0</v>
      </c>
      <c r="M165" s="89">
        <f t="shared" si="298"/>
        <v>0</v>
      </c>
      <c r="N165" s="89">
        <f t="shared" ref="N165:O165" si="299">N163+N164</f>
        <v>0</v>
      </c>
      <c r="O165" s="89">
        <f t="shared" si="299"/>
        <v>0</v>
      </c>
      <c r="P165" s="89">
        <f t="shared" ref="P165" si="300">P163+P164</f>
        <v>0</v>
      </c>
      <c r="Q165" s="89">
        <f t="shared" ref="Q165:W165" si="301">Q163+Q164</f>
        <v>0</v>
      </c>
      <c r="R165" s="89">
        <f t="shared" si="301"/>
        <v>0</v>
      </c>
      <c r="S165" s="89">
        <f t="shared" si="301"/>
        <v>0</v>
      </c>
      <c r="T165" s="89">
        <f t="shared" si="301"/>
        <v>0</v>
      </c>
      <c r="U165" s="89">
        <f t="shared" si="301"/>
        <v>0</v>
      </c>
      <c r="V165" s="89">
        <f t="shared" ref="V165" si="302">V163+V164</f>
        <v>0</v>
      </c>
      <c r="W165" s="89">
        <f t="shared" si="301"/>
        <v>0</v>
      </c>
      <c r="X165" s="89">
        <f t="shared" si="290"/>
        <v>0</v>
      </c>
      <c r="Y165" s="89">
        <f t="shared" ref="Y165:AG165" si="303">Y163+Y164</f>
        <v>0</v>
      </c>
      <c r="Z165" s="89">
        <f t="shared" si="303"/>
        <v>0</v>
      </c>
      <c r="AA165" s="89">
        <f t="shared" si="303"/>
        <v>0</v>
      </c>
      <c r="AB165" s="89">
        <f t="shared" si="303"/>
        <v>0</v>
      </c>
      <c r="AC165" s="89">
        <f t="shared" si="303"/>
        <v>0</v>
      </c>
      <c r="AD165" s="89">
        <f t="shared" si="303"/>
        <v>0</v>
      </c>
      <c r="AE165" s="89">
        <f t="shared" si="303"/>
        <v>0</v>
      </c>
      <c r="AF165" s="89">
        <f t="shared" si="303"/>
        <v>0</v>
      </c>
      <c r="AG165" s="89">
        <f t="shared" si="303"/>
        <v>0</v>
      </c>
      <c r="AH165" s="89">
        <f t="shared" ref="AH165" si="304">AH163+AH164</f>
        <v>0</v>
      </c>
      <c r="AI165" s="89">
        <f t="shared" ref="AI165:AO165" si="305">AI163+AI164</f>
        <v>0</v>
      </c>
      <c r="AJ165" s="89">
        <f t="shared" si="305"/>
        <v>0</v>
      </c>
      <c r="AK165" s="89">
        <f t="shared" si="305"/>
        <v>0</v>
      </c>
      <c r="AL165" s="89">
        <f t="shared" si="305"/>
        <v>0</v>
      </c>
      <c r="AM165" s="89">
        <f t="shared" si="305"/>
        <v>0</v>
      </c>
      <c r="AN165" s="89">
        <f t="shared" si="305"/>
        <v>0</v>
      </c>
      <c r="AO165" s="89">
        <f t="shared" si="305"/>
        <v>0</v>
      </c>
      <c r="AP165" s="89">
        <f t="shared" si="291"/>
        <v>0</v>
      </c>
      <c r="AQ165" s="89">
        <f t="shared" si="292"/>
        <v>0</v>
      </c>
      <c r="AR165" s="89">
        <f t="shared" si="292"/>
        <v>0</v>
      </c>
      <c r="AS165" s="89">
        <f t="shared" si="292"/>
        <v>0</v>
      </c>
      <c r="AT165" s="89">
        <f t="shared" si="292"/>
        <v>0</v>
      </c>
      <c r="AU165" s="89">
        <f t="shared" si="292"/>
        <v>0</v>
      </c>
      <c r="AV165" s="89">
        <f t="shared" si="292"/>
        <v>0</v>
      </c>
      <c r="AW165" s="89">
        <f t="shared" si="292"/>
        <v>0</v>
      </c>
      <c r="AX165" s="89">
        <f t="shared" si="293"/>
        <v>0</v>
      </c>
      <c r="AY165" s="89">
        <f t="shared" si="294"/>
        <v>0</v>
      </c>
      <c r="AZ165" s="89">
        <f t="shared" si="294"/>
        <v>0</v>
      </c>
      <c r="BA165" s="89">
        <f t="shared" si="295"/>
        <v>0</v>
      </c>
      <c r="BB165" s="89">
        <f t="shared" si="295"/>
        <v>0</v>
      </c>
      <c r="BC165" s="89">
        <f t="shared" si="295"/>
        <v>0</v>
      </c>
      <c r="BD165" s="89">
        <f t="shared" si="295"/>
        <v>0</v>
      </c>
      <c r="BE165" s="89">
        <f t="shared" si="295"/>
        <v>0</v>
      </c>
      <c r="BF165" s="89">
        <f t="shared" si="295"/>
        <v>0</v>
      </c>
      <c r="BG165" s="89">
        <f t="shared" si="296"/>
        <v>0</v>
      </c>
      <c r="BH165" s="111">
        <f t="shared" si="297"/>
        <v>0</v>
      </c>
    </row>
    <row r="166" spans="1:60" ht="15" customHeight="1">
      <c r="A166" s="51"/>
      <c r="B166" s="108"/>
      <c r="C166" s="52" t="s">
        <v>158</v>
      </c>
      <c r="D166" s="52" t="s">
        <v>93</v>
      </c>
      <c r="E166" s="52" t="s">
        <v>0</v>
      </c>
      <c r="F166" s="54" t="s">
        <v>45</v>
      </c>
      <c r="G166" s="83"/>
      <c r="H166" s="83"/>
      <c r="I166" s="83"/>
      <c r="J166" s="83"/>
      <c r="K166" s="83"/>
      <c r="L166" s="83"/>
      <c r="M166" s="83"/>
      <c r="N166" s="83"/>
      <c r="O166" s="83"/>
      <c r="P166" s="89"/>
      <c r="Q166" s="83"/>
      <c r="R166" s="83"/>
      <c r="S166" s="83"/>
      <c r="T166" s="83"/>
      <c r="U166" s="83"/>
      <c r="V166" s="83"/>
      <c r="W166" s="83"/>
      <c r="X166" s="89">
        <f t="shared" si="290"/>
        <v>0</v>
      </c>
      <c r="Y166" s="83"/>
      <c r="Z166" s="83"/>
      <c r="AA166" s="83"/>
      <c r="AB166" s="83"/>
      <c r="AC166" s="83"/>
      <c r="AD166" s="83"/>
      <c r="AE166" s="83"/>
      <c r="AF166" s="83"/>
      <c r="AG166" s="83"/>
      <c r="AH166" s="89"/>
      <c r="AI166" s="83"/>
      <c r="AJ166" s="83"/>
      <c r="AK166" s="83"/>
      <c r="AL166" s="83"/>
      <c r="AM166" s="83"/>
      <c r="AN166" s="83"/>
      <c r="AO166" s="83"/>
      <c r="AP166" s="89">
        <f t="shared" si="291"/>
        <v>0</v>
      </c>
      <c r="AQ166" s="89">
        <f t="shared" si="292"/>
        <v>0</v>
      </c>
      <c r="AR166" s="89">
        <f t="shared" si="292"/>
        <v>0</v>
      </c>
      <c r="AS166" s="89">
        <f t="shared" si="292"/>
        <v>0</v>
      </c>
      <c r="AT166" s="89">
        <f t="shared" si="292"/>
        <v>0</v>
      </c>
      <c r="AU166" s="89">
        <f t="shared" si="292"/>
        <v>0</v>
      </c>
      <c r="AV166" s="89">
        <f t="shared" si="292"/>
        <v>0</v>
      </c>
      <c r="AW166" s="89">
        <f t="shared" si="292"/>
        <v>0</v>
      </c>
      <c r="AX166" s="89">
        <f t="shared" si="293"/>
        <v>0</v>
      </c>
      <c r="AY166" s="89">
        <f t="shared" si="294"/>
        <v>0</v>
      </c>
      <c r="AZ166" s="89">
        <f t="shared" si="294"/>
        <v>0</v>
      </c>
      <c r="BA166" s="89">
        <f t="shared" si="295"/>
        <v>0</v>
      </c>
      <c r="BB166" s="89">
        <f t="shared" si="295"/>
        <v>0</v>
      </c>
      <c r="BC166" s="89">
        <f t="shared" si="295"/>
        <v>0</v>
      </c>
      <c r="BD166" s="89">
        <f t="shared" si="295"/>
        <v>0</v>
      </c>
      <c r="BE166" s="89">
        <f t="shared" si="295"/>
        <v>0</v>
      </c>
      <c r="BF166" s="89">
        <f t="shared" si="295"/>
        <v>0</v>
      </c>
      <c r="BG166" s="89">
        <f t="shared" si="296"/>
        <v>0</v>
      </c>
      <c r="BH166" s="111">
        <f t="shared" si="297"/>
        <v>0</v>
      </c>
    </row>
    <row r="167" spans="1:60" ht="15" customHeight="1">
      <c r="A167" s="51"/>
      <c r="B167" s="108"/>
      <c r="C167" s="52" t="s">
        <v>159</v>
      </c>
      <c r="D167" s="52" t="s">
        <v>93</v>
      </c>
      <c r="E167" s="52" t="s">
        <v>0</v>
      </c>
      <c r="F167" s="54" t="s">
        <v>46</v>
      </c>
      <c r="G167" s="83"/>
      <c r="H167" s="83"/>
      <c r="I167" s="83"/>
      <c r="J167" s="83"/>
      <c r="K167" s="83"/>
      <c r="L167" s="83"/>
      <c r="M167" s="83"/>
      <c r="N167" s="83"/>
      <c r="O167" s="83"/>
      <c r="P167" s="89"/>
      <c r="Q167" s="83"/>
      <c r="R167" s="83"/>
      <c r="S167" s="83"/>
      <c r="T167" s="83"/>
      <c r="U167" s="83"/>
      <c r="V167" s="83"/>
      <c r="W167" s="83"/>
      <c r="X167" s="89">
        <f t="shared" si="290"/>
        <v>0</v>
      </c>
      <c r="Y167" s="83"/>
      <c r="Z167" s="83"/>
      <c r="AA167" s="83"/>
      <c r="AB167" s="83"/>
      <c r="AC167" s="83"/>
      <c r="AD167" s="83"/>
      <c r="AE167" s="83"/>
      <c r="AF167" s="83"/>
      <c r="AG167" s="83"/>
      <c r="AH167" s="89"/>
      <c r="AI167" s="83"/>
      <c r="AJ167" s="83"/>
      <c r="AK167" s="83"/>
      <c r="AL167" s="83"/>
      <c r="AM167" s="83"/>
      <c r="AN167" s="83"/>
      <c r="AO167" s="83"/>
      <c r="AP167" s="89">
        <f t="shared" si="291"/>
        <v>0</v>
      </c>
      <c r="AQ167" s="89">
        <f t="shared" si="292"/>
        <v>0</v>
      </c>
      <c r="AR167" s="89">
        <f t="shared" si="292"/>
        <v>0</v>
      </c>
      <c r="AS167" s="89">
        <f t="shared" si="292"/>
        <v>0</v>
      </c>
      <c r="AT167" s="89">
        <f t="shared" si="292"/>
        <v>0</v>
      </c>
      <c r="AU167" s="89">
        <f t="shared" si="292"/>
        <v>0</v>
      </c>
      <c r="AV167" s="89">
        <f t="shared" si="292"/>
        <v>0</v>
      </c>
      <c r="AW167" s="89">
        <f t="shared" si="292"/>
        <v>0</v>
      </c>
      <c r="AX167" s="89">
        <f t="shared" si="293"/>
        <v>0</v>
      </c>
      <c r="AY167" s="89">
        <f t="shared" si="294"/>
        <v>0</v>
      </c>
      <c r="AZ167" s="89">
        <f t="shared" si="294"/>
        <v>0</v>
      </c>
      <c r="BA167" s="89">
        <f t="shared" si="295"/>
        <v>0</v>
      </c>
      <c r="BB167" s="89">
        <f t="shared" si="295"/>
        <v>0</v>
      </c>
      <c r="BC167" s="89">
        <f t="shared" si="295"/>
        <v>0</v>
      </c>
      <c r="BD167" s="89">
        <f t="shared" si="295"/>
        <v>0</v>
      </c>
      <c r="BE167" s="89">
        <f t="shared" si="295"/>
        <v>0</v>
      </c>
      <c r="BF167" s="89">
        <f t="shared" si="295"/>
        <v>0</v>
      </c>
      <c r="BG167" s="89">
        <f t="shared" si="296"/>
        <v>0</v>
      </c>
      <c r="BH167" s="111">
        <f t="shared" si="297"/>
        <v>0</v>
      </c>
    </row>
    <row r="168" spans="1:60">
      <c r="A168" s="51"/>
      <c r="B168" s="108"/>
      <c r="C168" s="52" t="s">
        <v>160</v>
      </c>
      <c r="D168" s="52" t="s">
        <v>93</v>
      </c>
      <c r="E168" s="52" t="s">
        <v>0</v>
      </c>
      <c r="F168" s="53" t="s">
        <v>64</v>
      </c>
      <c r="G168" s="89">
        <f t="shared" ref="G168:M168" si="306">G149+G150+G151-G152-G153+G154+G155-G156+G157+G161-G165-G166-G167</f>
        <v>0</v>
      </c>
      <c r="H168" s="89">
        <f t="shared" si="306"/>
        <v>0</v>
      </c>
      <c r="I168" s="89">
        <f t="shared" si="306"/>
        <v>0</v>
      </c>
      <c r="J168" s="89">
        <f t="shared" si="306"/>
        <v>0</v>
      </c>
      <c r="K168" s="89">
        <f t="shared" si="306"/>
        <v>0</v>
      </c>
      <c r="L168" s="89">
        <f t="shared" si="306"/>
        <v>0</v>
      </c>
      <c r="M168" s="89">
        <f t="shared" si="306"/>
        <v>0</v>
      </c>
      <c r="N168" s="89">
        <f t="shared" ref="N168:O168" si="307">N149+N150+N151-N152-N153+N154+N155-N156+N157+N161-N165-N166-N167</f>
        <v>0</v>
      </c>
      <c r="O168" s="89">
        <f t="shared" si="307"/>
        <v>0</v>
      </c>
      <c r="P168" s="89">
        <f t="shared" ref="P168" si="308">P149+P150+P151-P152-P153+P154+P155-P156+P157+P161-P165-P166-P167</f>
        <v>0</v>
      </c>
      <c r="Q168" s="89">
        <f t="shared" ref="Q168:W168" si="309">Q149+Q150+Q151-Q152-Q153+Q154+Q155-Q156+Q157+Q161-Q165-Q166-Q167</f>
        <v>0</v>
      </c>
      <c r="R168" s="89">
        <f t="shared" si="309"/>
        <v>0</v>
      </c>
      <c r="S168" s="89">
        <f t="shared" si="309"/>
        <v>0</v>
      </c>
      <c r="T168" s="89">
        <f t="shared" si="309"/>
        <v>0</v>
      </c>
      <c r="U168" s="89">
        <f t="shared" si="309"/>
        <v>0</v>
      </c>
      <c r="V168" s="89">
        <f t="shared" ref="V168" si="310">V149+V150+V151-V152-V153+V154+V155-V156+V157+V161-V165-V166-V167</f>
        <v>0</v>
      </c>
      <c r="W168" s="89">
        <f t="shared" si="309"/>
        <v>0</v>
      </c>
      <c r="X168" s="89">
        <f t="shared" si="290"/>
        <v>0</v>
      </c>
      <c r="Y168" s="89">
        <f t="shared" ref="Y168:AG168" si="311">Y149+Y150+Y151-Y152-Y153+Y154+Y155-Y156+Y157+Y161-Y165-Y166-Y167</f>
        <v>0</v>
      </c>
      <c r="Z168" s="89">
        <f t="shared" si="311"/>
        <v>0</v>
      </c>
      <c r="AA168" s="89">
        <f t="shared" si="311"/>
        <v>0</v>
      </c>
      <c r="AB168" s="89">
        <f t="shared" si="311"/>
        <v>0</v>
      </c>
      <c r="AC168" s="89">
        <f t="shared" si="311"/>
        <v>0</v>
      </c>
      <c r="AD168" s="89">
        <f t="shared" si="311"/>
        <v>0</v>
      </c>
      <c r="AE168" s="89">
        <f t="shared" si="311"/>
        <v>0</v>
      </c>
      <c r="AF168" s="89">
        <f t="shared" si="311"/>
        <v>0</v>
      </c>
      <c r="AG168" s="89">
        <f t="shared" si="311"/>
        <v>0</v>
      </c>
      <c r="AH168" s="89">
        <f t="shared" ref="AH168" si="312">AH149+AH150+AH151-AH152-AH153+AH154+AH155-AH156+AH157+AH161-AH165-AH166-AH167</f>
        <v>0</v>
      </c>
      <c r="AI168" s="89">
        <f t="shared" ref="AI168:AO168" si="313">AI149+AI150+AI151-AI152-AI153+AI154+AI155-AI156+AI157+AI161-AI165-AI166-AI167</f>
        <v>0</v>
      </c>
      <c r="AJ168" s="89">
        <f t="shared" si="313"/>
        <v>0</v>
      </c>
      <c r="AK168" s="89">
        <f t="shared" si="313"/>
        <v>0</v>
      </c>
      <c r="AL168" s="89">
        <f t="shared" si="313"/>
        <v>0</v>
      </c>
      <c r="AM168" s="89">
        <f t="shared" si="313"/>
        <v>0</v>
      </c>
      <c r="AN168" s="89">
        <f t="shared" si="313"/>
        <v>0</v>
      </c>
      <c r="AO168" s="89">
        <f t="shared" si="313"/>
        <v>0</v>
      </c>
      <c r="AP168" s="89">
        <f t="shared" si="291"/>
        <v>0</v>
      </c>
      <c r="AQ168" s="89">
        <f t="shared" si="292"/>
        <v>0</v>
      </c>
      <c r="AR168" s="89">
        <f t="shared" si="292"/>
        <v>0</v>
      </c>
      <c r="AS168" s="89">
        <f t="shared" si="292"/>
        <v>0</v>
      </c>
      <c r="AT168" s="89">
        <f t="shared" si="292"/>
        <v>0</v>
      </c>
      <c r="AU168" s="89">
        <f t="shared" si="292"/>
        <v>0</v>
      </c>
      <c r="AV168" s="89">
        <f t="shared" si="292"/>
        <v>0</v>
      </c>
      <c r="AW168" s="89">
        <f t="shared" si="292"/>
        <v>0</v>
      </c>
      <c r="AX168" s="89">
        <f t="shared" si="293"/>
        <v>0</v>
      </c>
      <c r="AY168" s="89">
        <f t="shared" si="294"/>
        <v>0</v>
      </c>
      <c r="AZ168" s="89">
        <f t="shared" si="294"/>
        <v>0</v>
      </c>
      <c r="BA168" s="89">
        <f t="shared" si="295"/>
        <v>0</v>
      </c>
      <c r="BB168" s="89">
        <f t="shared" si="295"/>
        <v>0</v>
      </c>
      <c r="BC168" s="89">
        <f t="shared" si="295"/>
        <v>0</v>
      </c>
      <c r="BD168" s="89">
        <f t="shared" si="295"/>
        <v>0</v>
      </c>
      <c r="BE168" s="89">
        <f t="shared" si="295"/>
        <v>0</v>
      </c>
      <c r="BF168" s="89">
        <f t="shared" si="295"/>
        <v>0</v>
      </c>
      <c r="BG168" s="89">
        <f t="shared" si="296"/>
        <v>0</v>
      </c>
      <c r="BH168" s="111">
        <f t="shared" si="297"/>
        <v>0</v>
      </c>
    </row>
    <row r="169" spans="1:60">
      <c r="A169" s="51" t="s">
        <v>52</v>
      </c>
      <c r="B169" s="108"/>
      <c r="C169" s="52" t="s">
        <v>142</v>
      </c>
      <c r="D169" s="52" t="s">
        <v>3</v>
      </c>
      <c r="E169" s="52" t="s">
        <v>0</v>
      </c>
      <c r="F169" s="53" t="s">
        <v>186</v>
      </c>
      <c r="G169" s="89">
        <f t="shared" ref="G169:M169" si="314">G147+G168</f>
        <v>0</v>
      </c>
      <c r="H169" s="89">
        <f t="shared" si="314"/>
        <v>0</v>
      </c>
      <c r="I169" s="89">
        <f t="shared" si="314"/>
        <v>0</v>
      </c>
      <c r="J169" s="89">
        <f t="shared" si="314"/>
        <v>0</v>
      </c>
      <c r="K169" s="89">
        <f t="shared" si="314"/>
        <v>0</v>
      </c>
      <c r="L169" s="89">
        <f t="shared" si="314"/>
        <v>0</v>
      </c>
      <c r="M169" s="89">
        <f t="shared" si="314"/>
        <v>0</v>
      </c>
      <c r="N169" s="89">
        <f t="shared" ref="N169:O169" si="315">N147+N168</f>
        <v>0</v>
      </c>
      <c r="O169" s="89">
        <f t="shared" si="315"/>
        <v>0</v>
      </c>
      <c r="P169" s="89">
        <f t="shared" ref="P169" si="316">P147+P168</f>
        <v>0</v>
      </c>
      <c r="Q169" s="89">
        <f t="shared" ref="Q169:W169" si="317">Q147+Q168</f>
        <v>0</v>
      </c>
      <c r="R169" s="89">
        <f t="shared" si="317"/>
        <v>0</v>
      </c>
      <c r="S169" s="89">
        <f t="shared" si="317"/>
        <v>0</v>
      </c>
      <c r="T169" s="89">
        <f t="shared" si="317"/>
        <v>0</v>
      </c>
      <c r="U169" s="89">
        <f t="shared" si="317"/>
        <v>0</v>
      </c>
      <c r="V169" s="89">
        <f t="shared" ref="V169" si="318">V147+V168</f>
        <v>0</v>
      </c>
      <c r="W169" s="89">
        <f t="shared" si="317"/>
        <v>0</v>
      </c>
      <c r="X169" s="89">
        <f t="shared" si="290"/>
        <v>0</v>
      </c>
      <c r="Y169" s="89">
        <f t="shared" ref="Y169:AG169" si="319">Y147+Y168</f>
        <v>0</v>
      </c>
      <c r="Z169" s="89">
        <f t="shared" si="319"/>
        <v>0</v>
      </c>
      <c r="AA169" s="89">
        <f t="shared" si="319"/>
        <v>0</v>
      </c>
      <c r="AB169" s="89">
        <f t="shared" si="319"/>
        <v>0</v>
      </c>
      <c r="AC169" s="89">
        <f t="shared" si="319"/>
        <v>0</v>
      </c>
      <c r="AD169" s="89">
        <f t="shared" si="319"/>
        <v>0</v>
      </c>
      <c r="AE169" s="89">
        <f t="shared" si="319"/>
        <v>0</v>
      </c>
      <c r="AF169" s="89">
        <f t="shared" si="319"/>
        <v>0</v>
      </c>
      <c r="AG169" s="89">
        <f t="shared" si="319"/>
        <v>0</v>
      </c>
      <c r="AH169" s="89">
        <f t="shared" ref="AH169" si="320">AH147+AH168</f>
        <v>0</v>
      </c>
      <c r="AI169" s="89">
        <f t="shared" ref="AI169:AO169" si="321">AI147+AI168</f>
        <v>0</v>
      </c>
      <c r="AJ169" s="89">
        <f t="shared" si="321"/>
        <v>0</v>
      </c>
      <c r="AK169" s="89">
        <f t="shared" si="321"/>
        <v>0</v>
      </c>
      <c r="AL169" s="89">
        <f t="shared" si="321"/>
        <v>0</v>
      </c>
      <c r="AM169" s="89">
        <f t="shared" si="321"/>
        <v>0</v>
      </c>
      <c r="AN169" s="89">
        <f t="shared" si="321"/>
        <v>0</v>
      </c>
      <c r="AO169" s="89">
        <f t="shared" si="321"/>
        <v>0</v>
      </c>
      <c r="AP169" s="89">
        <f t="shared" si="291"/>
        <v>0</v>
      </c>
      <c r="AQ169" s="89">
        <f t="shared" si="292"/>
        <v>0</v>
      </c>
      <c r="AR169" s="89">
        <f t="shared" si="292"/>
        <v>0</v>
      </c>
      <c r="AS169" s="89">
        <f t="shared" si="292"/>
        <v>0</v>
      </c>
      <c r="AT169" s="89">
        <f t="shared" si="292"/>
        <v>0</v>
      </c>
      <c r="AU169" s="89">
        <f t="shared" si="292"/>
        <v>0</v>
      </c>
      <c r="AV169" s="89">
        <f t="shared" si="292"/>
        <v>0</v>
      </c>
      <c r="AW169" s="89">
        <f t="shared" si="292"/>
        <v>0</v>
      </c>
      <c r="AX169" s="89">
        <f t="shared" si="293"/>
        <v>0</v>
      </c>
      <c r="AY169" s="89">
        <f t="shared" si="294"/>
        <v>0</v>
      </c>
      <c r="AZ169" s="89">
        <f t="shared" si="294"/>
        <v>0</v>
      </c>
      <c r="BA169" s="89">
        <f t="shared" si="295"/>
        <v>0</v>
      </c>
      <c r="BB169" s="89">
        <f t="shared" si="295"/>
        <v>0</v>
      </c>
      <c r="BC169" s="89">
        <f t="shared" si="295"/>
        <v>0</v>
      </c>
      <c r="BD169" s="89">
        <f t="shared" si="295"/>
        <v>0</v>
      </c>
      <c r="BE169" s="89">
        <f t="shared" si="295"/>
        <v>0</v>
      </c>
      <c r="BF169" s="89">
        <f t="shared" si="295"/>
        <v>0</v>
      </c>
      <c r="BG169" s="89">
        <f t="shared" si="296"/>
        <v>0</v>
      </c>
      <c r="BH169" s="111">
        <f t="shared" si="297"/>
        <v>0</v>
      </c>
    </row>
    <row r="170" spans="1:60">
      <c r="A170" s="51"/>
      <c r="B170" s="108"/>
      <c r="C170" s="52"/>
      <c r="D170" s="52"/>
      <c r="E170" s="52"/>
      <c r="F170" s="54"/>
      <c r="G170" s="101">
        <f t="shared" ref="G170:AL170" si="322">G108-G169</f>
        <v>0</v>
      </c>
      <c r="H170" s="101">
        <f t="shared" si="322"/>
        <v>0</v>
      </c>
      <c r="I170" s="101">
        <f t="shared" si="322"/>
        <v>0</v>
      </c>
      <c r="J170" s="101">
        <f t="shared" si="322"/>
        <v>0</v>
      </c>
      <c r="K170" s="101">
        <f t="shared" si="322"/>
        <v>0</v>
      </c>
      <c r="L170" s="101">
        <f t="shared" si="322"/>
        <v>0</v>
      </c>
      <c r="M170" s="101">
        <f t="shared" si="322"/>
        <v>0</v>
      </c>
      <c r="N170" s="101">
        <f t="shared" si="322"/>
        <v>0</v>
      </c>
      <c r="O170" s="101">
        <f t="shared" si="322"/>
        <v>0</v>
      </c>
      <c r="P170" s="101">
        <f t="shared" si="322"/>
        <v>0</v>
      </c>
      <c r="Q170" s="101">
        <f t="shared" si="322"/>
        <v>0</v>
      </c>
      <c r="R170" s="101">
        <f t="shared" si="322"/>
        <v>0</v>
      </c>
      <c r="S170" s="101">
        <f t="shared" si="322"/>
        <v>0</v>
      </c>
      <c r="T170" s="101">
        <f t="shared" si="322"/>
        <v>0</v>
      </c>
      <c r="U170" s="101">
        <f t="shared" si="322"/>
        <v>0</v>
      </c>
      <c r="V170" s="101">
        <f t="shared" si="322"/>
        <v>0</v>
      </c>
      <c r="W170" s="101">
        <f t="shared" si="322"/>
        <v>0</v>
      </c>
      <c r="X170" s="101">
        <f t="shared" si="322"/>
        <v>0</v>
      </c>
      <c r="Y170" s="101">
        <f t="shared" si="322"/>
        <v>0</v>
      </c>
      <c r="Z170" s="101">
        <f t="shared" si="322"/>
        <v>0</v>
      </c>
      <c r="AA170" s="101">
        <f t="shared" si="322"/>
        <v>0</v>
      </c>
      <c r="AB170" s="101">
        <f t="shared" si="322"/>
        <v>0</v>
      </c>
      <c r="AC170" s="101">
        <f t="shared" si="322"/>
        <v>0</v>
      </c>
      <c r="AD170" s="101">
        <f t="shared" si="322"/>
        <v>0</v>
      </c>
      <c r="AE170" s="101">
        <f t="shared" si="322"/>
        <v>0</v>
      </c>
      <c r="AF170" s="101">
        <f t="shared" si="322"/>
        <v>0</v>
      </c>
      <c r="AG170" s="101">
        <f t="shared" si="322"/>
        <v>0</v>
      </c>
      <c r="AH170" s="101">
        <f t="shared" si="322"/>
        <v>0</v>
      </c>
      <c r="AI170" s="101">
        <f t="shared" si="322"/>
        <v>0</v>
      </c>
      <c r="AJ170" s="101">
        <f t="shared" si="322"/>
        <v>0</v>
      </c>
      <c r="AK170" s="101">
        <f t="shared" si="322"/>
        <v>0</v>
      </c>
      <c r="AL170" s="101">
        <f t="shared" si="322"/>
        <v>0</v>
      </c>
      <c r="AM170" s="101">
        <f t="shared" ref="AM170:BH170" si="323">AM108-AM169</f>
        <v>0</v>
      </c>
      <c r="AN170" s="101">
        <f t="shared" si="323"/>
        <v>0</v>
      </c>
      <c r="AO170" s="101">
        <f t="shared" si="323"/>
        <v>0</v>
      </c>
      <c r="AP170" s="101">
        <f t="shared" si="323"/>
        <v>0</v>
      </c>
      <c r="AQ170" s="101">
        <f t="shared" si="323"/>
        <v>0</v>
      </c>
      <c r="AR170" s="101">
        <f t="shared" si="323"/>
        <v>0</v>
      </c>
      <c r="AS170" s="101">
        <f t="shared" si="323"/>
        <v>0</v>
      </c>
      <c r="AT170" s="101">
        <f t="shared" si="323"/>
        <v>0</v>
      </c>
      <c r="AU170" s="101">
        <f t="shared" si="323"/>
        <v>0</v>
      </c>
      <c r="AV170" s="101">
        <f t="shared" si="323"/>
        <v>0</v>
      </c>
      <c r="AW170" s="101">
        <f t="shared" si="323"/>
        <v>0</v>
      </c>
      <c r="AX170" s="101">
        <f t="shared" si="323"/>
        <v>0</v>
      </c>
      <c r="AY170" s="101">
        <f t="shared" si="323"/>
        <v>0</v>
      </c>
      <c r="AZ170" s="101">
        <f t="shared" si="323"/>
        <v>0</v>
      </c>
      <c r="BA170" s="101">
        <f t="shared" si="323"/>
        <v>0</v>
      </c>
      <c r="BB170" s="101">
        <f t="shared" si="323"/>
        <v>0</v>
      </c>
      <c r="BC170" s="101">
        <f t="shared" si="323"/>
        <v>0</v>
      </c>
      <c r="BD170" s="101">
        <f t="shared" si="323"/>
        <v>0</v>
      </c>
      <c r="BE170" s="101">
        <f t="shared" si="323"/>
        <v>0</v>
      </c>
      <c r="BF170" s="101">
        <f t="shared" si="323"/>
        <v>0</v>
      </c>
      <c r="BG170" s="101">
        <f t="shared" si="323"/>
        <v>0</v>
      </c>
      <c r="BH170" s="113">
        <f t="shared" si="323"/>
        <v>0</v>
      </c>
    </row>
    <row r="171" spans="1:60">
      <c r="A171" s="51"/>
      <c r="B171" s="108"/>
      <c r="C171" s="52"/>
      <c r="D171" s="52" t="s">
        <v>0</v>
      </c>
      <c r="E171" s="52" t="s">
        <v>0</v>
      </c>
      <c r="F171" s="53" t="s">
        <v>47</v>
      </c>
      <c r="G171" s="52"/>
      <c r="H171" s="52"/>
      <c r="I171" s="52"/>
      <c r="J171" s="52"/>
      <c r="K171" s="52"/>
      <c r="L171" s="52"/>
      <c r="M171" s="52"/>
      <c r="N171" s="52"/>
      <c r="O171" s="52"/>
      <c r="P171" s="52"/>
      <c r="Q171" s="52"/>
      <c r="R171" s="52"/>
      <c r="S171" s="52"/>
      <c r="T171" s="52"/>
      <c r="U171" s="52"/>
      <c r="V171" s="52"/>
      <c r="W171" s="52"/>
      <c r="X171" s="91"/>
      <c r="Y171" s="52"/>
      <c r="Z171" s="52"/>
      <c r="AA171" s="52"/>
      <c r="AB171" s="52"/>
      <c r="AC171" s="52"/>
      <c r="AD171" s="52"/>
      <c r="AE171" s="52"/>
      <c r="AF171" s="52"/>
      <c r="AG171" s="52"/>
      <c r="AH171" s="52"/>
      <c r="AI171" s="52"/>
      <c r="AJ171" s="52"/>
      <c r="AK171" s="52"/>
      <c r="AL171" s="52"/>
      <c r="AM171" s="52"/>
      <c r="AN171" s="52"/>
      <c r="AO171" s="52"/>
      <c r="AP171" s="91"/>
      <c r="AQ171" s="91"/>
      <c r="AR171" s="91"/>
      <c r="AS171" s="91"/>
      <c r="AT171" s="91"/>
      <c r="AU171" s="91"/>
      <c r="AV171" s="91"/>
      <c r="AW171" s="91"/>
      <c r="AX171" s="52"/>
      <c r="AY171" s="52"/>
      <c r="AZ171" s="52"/>
      <c r="BA171" s="91"/>
      <c r="BB171" s="91"/>
      <c r="BC171" s="91"/>
      <c r="BD171" s="91"/>
      <c r="BE171" s="91"/>
      <c r="BF171" s="52"/>
      <c r="BG171" s="91"/>
      <c r="BH171" s="112"/>
    </row>
    <row r="172" spans="1:60">
      <c r="A172" s="51" t="s">
        <v>52</v>
      </c>
      <c r="B172" s="108"/>
      <c r="C172" s="52" t="s">
        <v>161</v>
      </c>
      <c r="D172" s="52" t="s">
        <v>3</v>
      </c>
      <c r="E172" s="52" t="s">
        <v>0</v>
      </c>
      <c r="F172" s="54" t="s">
        <v>48</v>
      </c>
      <c r="G172" s="83"/>
      <c r="H172" s="83"/>
      <c r="I172" s="83"/>
      <c r="J172" s="83"/>
      <c r="K172" s="83"/>
      <c r="L172" s="83"/>
      <c r="M172" s="83"/>
      <c r="N172" s="83"/>
      <c r="O172" s="83"/>
      <c r="P172" s="89"/>
      <c r="Q172" s="83"/>
      <c r="R172" s="83"/>
      <c r="S172" s="83"/>
      <c r="T172" s="83"/>
      <c r="U172" s="83"/>
      <c r="V172" s="83"/>
      <c r="W172" s="83"/>
      <c r="X172" s="89">
        <f t="shared" ref="X172:X174" si="324">SUM(P172:W172)+SUM(G172:K172)</f>
        <v>0</v>
      </c>
      <c r="Y172" s="83"/>
      <c r="Z172" s="83"/>
      <c r="AA172" s="83"/>
      <c r="AB172" s="83"/>
      <c r="AC172" s="83"/>
      <c r="AD172" s="83"/>
      <c r="AE172" s="83"/>
      <c r="AF172" s="83"/>
      <c r="AG172" s="83"/>
      <c r="AH172" s="83"/>
      <c r="AI172" s="83"/>
      <c r="AJ172" s="83"/>
      <c r="AK172" s="83"/>
      <c r="AL172" s="83"/>
      <c r="AM172" s="83"/>
      <c r="AN172" s="83"/>
      <c r="AO172" s="83"/>
      <c r="AP172" s="89">
        <f t="shared" ref="AP172:AP174" si="325">SUM(AH172:AO172)+SUM(Y172:AC172)</f>
        <v>0</v>
      </c>
      <c r="AQ172" s="89">
        <f t="shared" ref="AQ172:AW174" si="326">G172+Y172</f>
        <v>0</v>
      </c>
      <c r="AR172" s="89">
        <f t="shared" si="326"/>
        <v>0</v>
      </c>
      <c r="AS172" s="89">
        <f t="shared" si="326"/>
        <v>0</v>
      </c>
      <c r="AT172" s="89">
        <f t="shared" si="326"/>
        <v>0</v>
      </c>
      <c r="AU172" s="89">
        <f t="shared" si="326"/>
        <v>0</v>
      </c>
      <c r="AV172" s="89">
        <f t="shared" si="326"/>
        <v>0</v>
      </c>
      <c r="AW172" s="89">
        <f t="shared" si="326"/>
        <v>0</v>
      </c>
      <c r="AX172" s="89">
        <f t="shared" ref="AX172:AX174" si="327">N172+AF172</f>
        <v>0</v>
      </c>
      <c r="AY172" s="89">
        <f t="shared" ref="AY172:AZ174" si="328">O172+AG172</f>
        <v>0</v>
      </c>
      <c r="AZ172" s="89">
        <f t="shared" si="328"/>
        <v>0</v>
      </c>
      <c r="BA172" s="89">
        <f t="shared" ref="BA172:BF174" si="329">Q172+AI172</f>
        <v>0</v>
      </c>
      <c r="BB172" s="89">
        <f t="shared" si="329"/>
        <v>0</v>
      </c>
      <c r="BC172" s="89">
        <f t="shared" si="329"/>
        <v>0</v>
      </c>
      <c r="BD172" s="89">
        <f t="shared" si="329"/>
        <v>0</v>
      </c>
      <c r="BE172" s="89">
        <f t="shared" si="329"/>
        <v>0</v>
      </c>
      <c r="BF172" s="89">
        <f t="shared" si="329"/>
        <v>0</v>
      </c>
      <c r="BG172" s="89">
        <f t="shared" ref="BG172:BG174" si="330">W172+AO172</f>
        <v>0</v>
      </c>
      <c r="BH172" s="111">
        <f>X172+AP172</f>
        <v>0</v>
      </c>
    </row>
    <row r="173" spans="1:60">
      <c r="A173" s="51" t="s">
        <v>52</v>
      </c>
      <c r="B173" s="108"/>
      <c r="C173" s="52" t="s">
        <v>162</v>
      </c>
      <c r="D173" s="52" t="s">
        <v>3</v>
      </c>
      <c r="E173" s="52" t="s">
        <v>0</v>
      </c>
      <c r="F173" s="54" t="s">
        <v>49</v>
      </c>
      <c r="G173" s="83"/>
      <c r="H173" s="83"/>
      <c r="I173" s="83"/>
      <c r="J173" s="83"/>
      <c r="K173" s="83"/>
      <c r="L173" s="83"/>
      <c r="M173" s="83"/>
      <c r="N173" s="83"/>
      <c r="O173" s="83"/>
      <c r="P173" s="89"/>
      <c r="Q173" s="83"/>
      <c r="R173" s="83"/>
      <c r="S173" s="83"/>
      <c r="T173" s="83"/>
      <c r="U173" s="83"/>
      <c r="V173" s="83"/>
      <c r="W173" s="83"/>
      <c r="X173" s="89">
        <f t="shared" si="324"/>
        <v>0</v>
      </c>
      <c r="Y173" s="83"/>
      <c r="Z173" s="83"/>
      <c r="AA173" s="83"/>
      <c r="AB173" s="83"/>
      <c r="AC173" s="83"/>
      <c r="AD173" s="83"/>
      <c r="AE173" s="83"/>
      <c r="AF173" s="83"/>
      <c r="AG173" s="83"/>
      <c r="AH173" s="83"/>
      <c r="AI173" s="83"/>
      <c r="AJ173" s="83"/>
      <c r="AK173" s="83"/>
      <c r="AL173" s="83"/>
      <c r="AM173" s="83"/>
      <c r="AN173" s="83"/>
      <c r="AO173" s="83"/>
      <c r="AP173" s="89">
        <f t="shared" si="325"/>
        <v>0</v>
      </c>
      <c r="AQ173" s="89">
        <f t="shared" si="326"/>
        <v>0</v>
      </c>
      <c r="AR173" s="89">
        <f t="shared" si="326"/>
        <v>0</v>
      </c>
      <c r="AS173" s="89">
        <f t="shared" si="326"/>
        <v>0</v>
      </c>
      <c r="AT173" s="89">
        <f t="shared" si="326"/>
        <v>0</v>
      </c>
      <c r="AU173" s="89">
        <f t="shared" si="326"/>
        <v>0</v>
      </c>
      <c r="AV173" s="89">
        <f t="shared" si="326"/>
        <v>0</v>
      </c>
      <c r="AW173" s="89">
        <f t="shared" si="326"/>
        <v>0</v>
      </c>
      <c r="AX173" s="89">
        <f t="shared" si="327"/>
        <v>0</v>
      </c>
      <c r="AY173" s="89">
        <f t="shared" si="328"/>
        <v>0</v>
      </c>
      <c r="AZ173" s="89">
        <f t="shared" si="328"/>
        <v>0</v>
      </c>
      <c r="BA173" s="89">
        <f t="shared" si="329"/>
        <v>0</v>
      </c>
      <c r="BB173" s="89">
        <f t="shared" si="329"/>
        <v>0</v>
      </c>
      <c r="BC173" s="89">
        <f t="shared" si="329"/>
        <v>0</v>
      </c>
      <c r="BD173" s="89">
        <f t="shared" si="329"/>
        <v>0</v>
      </c>
      <c r="BE173" s="89">
        <f t="shared" si="329"/>
        <v>0</v>
      </c>
      <c r="BF173" s="89">
        <f t="shared" si="329"/>
        <v>0</v>
      </c>
      <c r="BG173" s="89">
        <f t="shared" si="330"/>
        <v>0</v>
      </c>
      <c r="BH173" s="111">
        <f>X173+AP173</f>
        <v>0</v>
      </c>
    </row>
    <row r="174" spans="1:60">
      <c r="A174" s="51" t="s">
        <v>52</v>
      </c>
      <c r="B174" s="108"/>
      <c r="C174" s="52" t="s">
        <v>163</v>
      </c>
      <c r="D174" s="52" t="s">
        <v>3</v>
      </c>
      <c r="E174" s="52" t="s">
        <v>0</v>
      </c>
      <c r="F174" s="54" t="s">
        <v>50</v>
      </c>
      <c r="G174" s="83"/>
      <c r="H174" s="83"/>
      <c r="I174" s="83"/>
      <c r="J174" s="83"/>
      <c r="K174" s="83"/>
      <c r="L174" s="83"/>
      <c r="M174" s="83"/>
      <c r="N174" s="83"/>
      <c r="O174" s="83"/>
      <c r="P174" s="89"/>
      <c r="Q174" s="83"/>
      <c r="R174" s="83"/>
      <c r="S174" s="83"/>
      <c r="T174" s="83"/>
      <c r="U174" s="83"/>
      <c r="V174" s="83"/>
      <c r="W174" s="83"/>
      <c r="X174" s="89">
        <f t="shared" si="324"/>
        <v>0</v>
      </c>
      <c r="Y174" s="83"/>
      <c r="Z174" s="83"/>
      <c r="AA174" s="83"/>
      <c r="AB174" s="83"/>
      <c r="AC174" s="83"/>
      <c r="AD174" s="83"/>
      <c r="AE174" s="83"/>
      <c r="AF174" s="83"/>
      <c r="AG174" s="83"/>
      <c r="AH174" s="83"/>
      <c r="AI174" s="83"/>
      <c r="AJ174" s="83"/>
      <c r="AK174" s="83"/>
      <c r="AL174" s="83"/>
      <c r="AM174" s="83"/>
      <c r="AN174" s="83"/>
      <c r="AO174" s="83"/>
      <c r="AP174" s="89">
        <f t="shared" si="325"/>
        <v>0</v>
      </c>
      <c r="AQ174" s="89">
        <f t="shared" si="326"/>
        <v>0</v>
      </c>
      <c r="AR174" s="89">
        <f t="shared" si="326"/>
        <v>0</v>
      </c>
      <c r="AS174" s="89">
        <f t="shared" si="326"/>
        <v>0</v>
      </c>
      <c r="AT174" s="89">
        <f t="shared" si="326"/>
        <v>0</v>
      </c>
      <c r="AU174" s="89">
        <f t="shared" si="326"/>
        <v>0</v>
      </c>
      <c r="AV174" s="89">
        <f t="shared" si="326"/>
        <v>0</v>
      </c>
      <c r="AW174" s="89">
        <f t="shared" si="326"/>
        <v>0</v>
      </c>
      <c r="AX174" s="89">
        <f t="shared" si="327"/>
        <v>0</v>
      </c>
      <c r="AY174" s="89">
        <f t="shared" si="328"/>
        <v>0</v>
      </c>
      <c r="AZ174" s="89">
        <f t="shared" si="328"/>
        <v>0</v>
      </c>
      <c r="BA174" s="89">
        <f t="shared" si="329"/>
        <v>0</v>
      </c>
      <c r="BB174" s="89">
        <f t="shared" si="329"/>
        <v>0</v>
      </c>
      <c r="BC174" s="89">
        <f t="shared" si="329"/>
        <v>0</v>
      </c>
      <c r="BD174" s="89">
        <f t="shared" si="329"/>
        <v>0</v>
      </c>
      <c r="BE174" s="89">
        <f t="shared" si="329"/>
        <v>0</v>
      </c>
      <c r="BF174" s="89">
        <f t="shared" si="329"/>
        <v>0</v>
      </c>
      <c r="BG174" s="89">
        <f t="shared" si="330"/>
        <v>0</v>
      </c>
      <c r="BH174" s="111">
        <f>X174+AP174</f>
        <v>0</v>
      </c>
    </row>
    <row r="175" spans="1:60">
      <c r="A175" s="51"/>
      <c r="B175" s="108"/>
      <c r="C175" s="52"/>
      <c r="D175" s="52"/>
      <c r="E175" s="52"/>
      <c r="F175" s="53"/>
      <c r="G175" s="52"/>
      <c r="H175" s="52"/>
      <c r="I175" s="52"/>
      <c r="J175" s="52"/>
      <c r="K175" s="52"/>
      <c r="L175" s="52"/>
      <c r="M175" s="52"/>
      <c r="N175" s="52"/>
      <c r="O175" s="52"/>
      <c r="P175" s="52"/>
      <c r="Q175" s="52"/>
      <c r="R175" s="52"/>
      <c r="S175" s="52"/>
      <c r="T175" s="52"/>
      <c r="U175" s="52"/>
      <c r="V175" s="52"/>
      <c r="W175" s="52"/>
      <c r="X175" s="52"/>
      <c r="Y175" s="52"/>
      <c r="Z175" s="52"/>
      <c r="AA175" s="52"/>
      <c r="AB175" s="52"/>
      <c r="AC175" s="52"/>
      <c r="AD175" s="52"/>
      <c r="AE175" s="52"/>
      <c r="AF175" s="52"/>
      <c r="AG175" s="52"/>
      <c r="AH175" s="52"/>
      <c r="AI175" s="52"/>
      <c r="AJ175" s="52"/>
      <c r="AK175" s="52"/>
      <c r="AL175" s="52"/>
      <c r="AM175" s="52"/>
      <c r="AN175" s="52"/>
      <c r="AO175" s="52"/>
      <c r="AP175" s="52"/>
      <c r="AQ175" s="52"/>
      <c r="AR175" s="52"/>
      <c r="AS175" s="52"/>
      <c r="AT175" s="52"/>
      <c r="AU175" s="52"/>
      <c r="AV175" s="52"/>
      <c r="AW175" s="52"/>
      <c r="AX175" s="52"/>
      <c r="AY175" s="52"/>
      <c r="AZ175" s="52"/>
      <c r="BA175" s="52"/>
      <c r="BB175" s="52"/>
      <c r="BC175" s="52"/>
      <c r="BD175" s="52"/>
      <c r="BE175" s="52"/>
      <c r="BF175" s="52"/>
      <c r="BG175" s="52"/>
      <c r="BH175" s="109"/>
    </row>
    <row r="176" spans="1:60" ht="22.5" customHeight="1" thickBot="1">
      <c r="A176" s="51"/>
      <c r="B176" s="114"/>
      <c r="C176" s="115"/>
      <c r="D176" s="115"/>
      <c r="E176" s="115"/>
      <c r="F176" s="116"/>
      <c r="G176" s="115"/>
      <c r="H176" s="115"/>
      <c r="I176" s="115"/>
      <c r="J176" s="115"/>
      <c r="K176" s="115"/>
      <c r="L176" s="115"/>
      <c r="M176" s="115"/>
      <c r="N176" s="115"/>
      <c r="O176" s="115"/>
      <c r="P176" s="115"/>
      <c r="Q176" s="115"/>
      <c r="R176" s="115"/>
      <c r="S176" s="115"/>
      <c r="T176" s="115"/>
      <c r="U176" s="115"/>
      <c r="V176" s="115"/>
      <c r="W176" s="115"/>
      <c r="X176" s="115"/>
      <c r="Y176" s="115"/>
      <c r="Z176" s="115"/>
      <c r="AA176" s="115"/>
      <c r="AB176" s="115"/>
      <c r="AC176" s="115"/>
      <c r="AD176" s="115"/>
      <c r="AE176" s="115"/>
      <c r="AF176" s="115"/>
      <c r="AG176" s="115"/>
      <c r="AH176" s="115"/>
      <c r="AI176" s="115"/>
      <c r="AJ176" s="115"/>
      <c r="AK176" s="115"/>
      <c r="AL176" s="115"/>
      <c r="AM176" s="115"/>
      <c r="AN176" s="115"/>
      <c r="AO176" s="115"/>
      <c r="AP176" s="115"/>
      <c r="AQ176" s="115"/>
      <c r="AR176" s="115"/>
      <c r="AS176" s="115"/>
      <c r="AT176" s="115"/>
      <c r="AU176" s="115"/>
      <c r="AV176" s="115"/>
      <c r="AW176" s="115"/>
      <c r="AX176" s="115"/>
      <c r="AY176" s="115"/>
      <c r="AZ176" s="115"/>
      <c r="BA176" s="115"/>
      <c r="BB176" s="115"/>
      <c r="BC176" s="115"/>
      <c r="BD176" s="115"/>
      <c r="BE176" s="115"/>
      <c r="BF176" s="115"/>
      <c r="BG176" s="115"/>
      <c r="BH176" s="117"/>
    </row>
    <row r="178" spans="1:60" ht="15.75" thickBot="1"/>
    <row r="179" spans="1:60" ht="122.25" customHeight="1" thickBot="1">
      <c r="A179" s="47" t="s">
        <v>8</v>
      </c>
      <c r="B179" s="74" t="s">
        <v>0</v>
      </c>
      <c r="C179" s="75"/>
      <c r="D179" s="75"/>
      <c r="E179" s="75"/>
      <c r="F179" s="84" t="s">
        <v>51</v>
      </c>
      <c r="G179" s="141" t="s">
        <v>69</v>
      </c>
      <c r="H179" s="142"/>
      <c r="I179" s="142"/>
      <c r="J179" s="142"/>
      <c r="K179" s="142"/>
      <c r="L179" s="142"/>
      <c r="M179" s="142"/>
      <c r="N179" s="142"/>
      <c r="O179" s="142"/>
      <c r="P179" s="142"/>
      <c r="Q179" s="142"/>
      <c r="R179" s="142"/>
      <c r="S179" s="142"/>
      <c r="T179" s="142"/>
      <c r="U179" s="142"/>
      <c r="V179" s="142"/>
      <c r="W179" s="142"/>
      <c r="X179" s="142"/>
      <c r="Y179" s="142"/>
      <c r="Z179" s="142"/>
      <c r="AA179" s="142"/>
      <c r="AB179" s="142"/>
      <c r="AC179" s="142"/>
      <c r="AD179" s="142"/>
      <c r="AE179" s="142"/>
      <c r="AF179" s="142"/>
      <c r="AG179" s="142"/>
      <c r="AH179" s="142"/>
      <c r="AI179" s="142"/>
      <c r="AJ179" s="142"/>
      <c r="AK179" s="142"/>
      <c r="AL179" s="142"/>
      <c r="AM179" s="142"/>
      <c r="AN179" s="142"/>
      <c r="AO179" s="142"/>
      <c r="AP179" s="142"/>
      <c r="AQ179" s="142"/>
      <c r="AR179" s="142"/>
      <c r="AS179" s="142"/>
      <c r="AT179" s="142"/>
      <c r="AU179" s="142"/>
      <c r="AV179" s="142"/>
      <c r="AW179" s="142"/>
      <c r="AX179" s="142"/>
      <c r="AY179" s="142"/>
      <c r="AZ179" s="142"/>
      <c r="BA179" s="142"/>
      <c r="BB179" s="142"/>
      <c r="BC179" s="142"/>
      <c r="BD179" s="142"/>
      <c r="BE179" s="142"/>
      <c r="BF179" s="142"/>
      <c r="BG179" s="142"/>
      <c r="BH179" s="143"/>
    </row>
    <row r="180" spans="1:60" ht="15.75" hidden="1" customHeight="1" thickBot="1">
      <c r="A180" s="48" t="s">
        <v>7</v>
      </c>
      <c r="B180" s="73" t="s">
        <v>0</v>
      </c>
      <c r="C180" s="72"/>
      <c r="D180" s="72" t="s">
        <v>135</v>
      </c>
      <c r="E180" s="72" t="s">
        <v>136</v>
      </c>
      <c r="F180" s="72"/>
      <c r="G180" s="49" t="s">
        <v>103</v>
      </c>
      <c r="H180" s="49" t="s">
        <v>103</v>
      </c>
      <c r="I180" s="49" t="s">
        <v>103</v>
      </c>
      <c r="J180" s="49" t="s">
        <v>103</v>
      </c>
      <c r="K180" s="49" t="s">
        <v>103</v>
      </c>
      <c r="L180" s="95" t="s">
        <v>103</v>
      </c>
      <c r="M180" s="49" t="s">
        <v>103</v>
      </c>
      <c r="N180" s="95" t="s">
        <v>103</v>
      </c>
      <c r="O180" s="49" t="s">
        <v>103</v>
      </c>
      <c r="P180" s="49" t="s">
        <v>103</v>
      </c>
      <c r="Q180" s="49" t="s">
        <v>103</v>
      </c>
      <c r="R180" s="49" t="s">
        <v>103</v>
      </c>
      <c r="S180" s="49" t="s">
        <v>103</v>
      </c>
      <c r="T180" s="49" t="s">
        <v>103</v>
      </c>
      <c r="U180" s="49" t="s">
        <v>103</v>
      </c>
      <c r="V180" s="49" t="s">
        <v>103</v>
      </c>
      <c r="W180" s="49" t="s">
        <v>103</v>
      </c>
      <c r="X180" s="49" t="s">
        <v>103</v>
      </c>
      <c r="Y180" s="49" t="s">
        <v>103</v>
      </c>
      <c r="Z180" s="49" t="s">
        <v>103</v>
      </c>
      <c r="AA180" s="49" t="s">
        <v>103</v>
      </c>
      <c r="AB180" s="49" t="s">
        <v>103</v>
      </c>
      <c r="AC180" s="49" t="s">
        <v>103</v>
      </c>
      <c r="AD180" s="49" t="s">
        <v>103</v>
      </c>
      <c r="AE180" s="49" t="s">
        <v>103</v>
      </c>
      <c r="AF180" s="95" t="s">
        <v>103</v>
      </c>
      <c r="AG180" s="49" t="s">
        <v>103</v>
      </c>
      <c r="AH180" s="49" t="s">
        <v>103</v>
      </c>
      <c r="AI180" s="49" t="s">
        <v>103</v>
      </c>
      <c r="AJ180" s="49" t="s">
        <v>103</v>
      </c>
      <c r="AK180" s="49" t="s">
        <v>103</v>
      </c>
      <c r="AL180" s="49" t="s">
        <v>103</v>
      </c>
      <c r="AM180" s="49" t="s">
        <v>103</v>
      </c>
      <c r="AN180" s="49" t="s">
        <v>103</v>
      </c>
      <c r="AO180" s="49" t="s">
        <v>103</v>
      </c>
      <c r="AP180" s="49" t="s">
        <v>103</v>
      </c>
      <c r="AQ180" s="49" t="s">
        <v>103</v>
      </c>
      <c r="AR180" s="49" t="s">
        <v>103</v>
      </c>
      <c r="AS180" s="49" t="s">
        <v>103</v>
      </c>
      <c r="AT180" s="49" t="s">
        <v>103</v>
      </c>
      <c r="AU180" s="49" t="s">
        <v>103</v>
      </c>
      <c r="AV180" s="49" t="s">
        <v>103</v>
      </c>
      <c r="AW180" s="49" t="s">
        <v>103</v>
      </c>
      <c r="AX180" s="95" t="s">
        <v>103</v>
      </c>
      <c r="AY180" s="49" t="s">
        <v>103</v>
      </c>
      <c r="AZ180" s="49" t="s">
        <v>103</v>
      </c>
      <c r="BA180" s="49" t="s">
        <v>103</v>
      </c>
      <c r="BB180" s="49" t="s">
        <v>103</v>
      </c>
      <c r="BC180" s="49" t="s">
        <v>103</v>
      </c>
      <c r="BD180" s="49" t="s">
        <v>103</v>
      </c>
      <c r="BE180" s="49" t="s">
        <v>103</v>
      </c>
      <c r="BF180" s="49" t="s">
        <v>103</v>
      </c>
      <c r="BG180" s="49" t="s">
        <v>103</v>
      </c>
      <c r="BH180" s="118" t="s">
        <v>103</v>
      </c>
    </row>
    <row r="181" spans="1:60" ht="123" customHeight="1" thickBot="1">
      <c r="A181" s="48"/>
      <c r="B181" s="147"/>
      <c r="C181" s="148"/>
      <c r="D181" s="148"/>
      <c r="E181" s="148"/>
      <c r="F181" s="148"/>
      <c r="G181" s="141" t="s">
        <v>70</v>
      </c>
      <c r="H181" s="142"/>
      <c r="I181" s="142"/>
      <c r="J181" s="142"/>
      <c r="K181" s="142"/>
      <c r="L181" s="142"/>
      <c r="M181" s="142"/>
      <c r="N181" s="142"/>
      <c r="O181" s="142"/>
      <c r="P181" s="142"/>
      <c r="Q181" s="142"/>
      <c r="R181" s="142"/>
      <c r="S181" s="142"/>
      <c r="T181" s="142"/>
      <c r="U181" s="142"/>
      <c r="V181" s="142"/>
      <c r="W181" s="142"/>
      <c r="X181" s="143"/>
      <c r="Y181" s="144" t="s">
        <v>71</v>
      </c>
      <c r="Z181" s="145"/>
      <c r="AA181" s="145"/>
      <c r="AB181" s="145"/>
      <c r="AC181" s="145"/>
      <c r="AD181" s="145"/>
      <c r="AE181" s="145"/>
      <c r="AF181" s="145"/>
      <c r="AG181" s="145"/>
      <c r="AH181" s="145"/>
      <c r="AI181" s="145"/>
      <c r="AJ181" s="145"/>
      <c r="AK181" s="145"/>
      <c r="AL181" s="145"/>
      <c r="AM181" s="145"/>
      <c r="AN181" s="145"/>
      <c r="AO181" s="145"/>
      <c r="AP181" s="146"/>
      <c r="AQ181" s="141" t="s">
        <v>72</v>
      </c>
      <c r="AR181" s="142"/>
      <c r="AS181" s="142"/>
      <c r="AT181" s="142"/>
      <c r="AU181" s="142"/>
      <c r="AV181" s="142"/>
      <c r="AW181" s="142"/>
      <c r="AX181" s="142"/>
      <c r="AY181" s="142"/>
      <c r="AZ181" s="142"/>
      <c r="BA181" s="142"/>
      <c r="BB181" s="142"/>
      <c r="BC181" s="142"/>
      <c r="BD181" s="142"/>
      <c r="BE181" s="142"/>
      <c r="BF181" s="142"/>
      <c r="BG181" s="142"/>
      <c r="BH181" s="143"/>
    </row>
    <row r="182" spans="1:60" ht="45" hidden="1" customHeight="1" thickBot="1">
      <c r="A182" s="48" t="s">
        <v>7</v>
      </c>
      <c r="B182" s="103" t="s">
        <v>0</v>
      </c>
      <c r="C182" s="80"/>
      <c r="D182" s="80"/>
      <c r="E182" s="81" t="s">
        <v>137</v>
      </c>
      <c r="F182" s="80"/>
      <c r="G182" s="77" t="s">
        <v>98</v>
      </c>
      <c r="H182" s="77" t="s">
        <v>98</v>
      </c>
      <c r="I182" s="77" t="s">
        <v>98</v>
      </c>
      <c r="J182" s="77" t="s">
        <v>98</v>
      </c>
      <c r="K182" s="77" t="s">
        <v>98</v>
      </c>
      <c r="L182" s="93" t="s">
        <v>98</v>
      </c>
      <c r="M182" s="77" t="s">
        <v>98</v>
      </c>
      <c r="N182" s="93" t="s">
        <v>98</v>
      </c>
      <c r="O182" s="77" t="s">
        <v>98</v>
      </c>
      <c r="P182" s="77" t="s">
        <v>98</v>
      </c>
      <c r="Q182" s="77" t="s">
        <v>98</v>
      </c>
      <c r="R182" s="77" t="s">
        <v>98</v>
      </c>
      <c r="S182" s="77" t="s">
        <v>98</v>
      </c>
      <c r="T182" s="77" t="s">
        <v>98</v>
      </c>
      <c r="U182" s="77" t="s">
        <v>98</v>
      </c>
      <c r="V182" s="77" t="s">
        <v>98</v>
      </c>
      <c r="W182" s="77" t="s">
        <v>98</v>
      </c>
      <c r="X182" s="77" t="s">
        <v>98</v>
      </c>
      <c r="Y182" s="77" t="s">
        <v>106</v>
      </c>
      <c r="Z182" s="77" t="s">
        <v>106</v>
      </c>
      <c r="AA182" s="77" t="s">
        <v>106</v>
      </c>
      <c r="AB182" s="77" t="s">
        <v>106</v>
      </c>
      <c r="AC182" s="77" t="s">
        <v>106</v>
      </c>
      <c r="AD182" s="77" t="s">
        <v>106</v>
      </c>
      <c r="AE182" s="77" t="s">
        <v>106</v>
      </c>
      <c r="AF182" s="77" t="s">
        <v>106</v>
      </c>
      <c r="AG182" s="77" t="s">
        <v>106</v>
      </c>
      <c r="AH182" s="77" t="s">
        <v>106</v>
      </c>
      <c r="AI182" s="77" t="s">
        <v>106</v>
      </c>
      <c r="AJ182" s="77" t="s">
        <v>106</v>
      </c>
      <c r="AK182" s="77" t="s">
        <v>106</v>
      </c>
      <c r="AL182" s="77" t="s">
        <v>106</v>
      </c>
      <c r="AM182" s="77" t="s">
        <v>106</v>
      </c>
      <c r="AN182" s="77" t="s">
        <v>106</v>
      </c>
      <c r="AO182" s="77" t="s">
        <v>106</v>
      </c>
      <c r="AP182" s="77" t="s">
        <v>106</v>
      </c>
      <c r="AQ182" s="77" t="s">
        <v>107</v>
      </c>
      <c r="AR182" s="77" t="s">
        <v>107</v>
      </c>
      <c r="AS182" s="77" t="s">
        <v>107</v>
      </c>
      <c r="AT182" s="77" t="s">
        <v>107</v>
      </c>
      <c r="AU182" s="77" t="s">
        <v>107</v>
      </c>
      <c r="AV182" s="77" t="s">
        <v>107</v>
      </c>
      <c r="AW182" s="77" t="s">
        <v>107</v>
      </c>
      <c r="AX182" s="77" t="s">
        <v>107</v>
      </c>
      <c r="AY182" s="77" t="s">
        <v>107</v>
      </c>
      <c r="AZ182" s="77" t="s">
        <v>107</v>
      </c>
      <c r="BA182" s="77" t="s">
        <v>107</v>
      </c>
      <c r="BB182" s="77" t="s">
        <v>107</v>
      </c>
      <c r="BC182" s="77" t="s">
        <v>107</v>
      </c>
      <c r="BD182" s="77" t="s">
        <v>107</v>
      </c>
      <c r="BE182" s="77" t="s">
        <v>107</v>
      </c>
      <c r="BF182" s="77" t="s">
        <v>107</v>
      </c>
      <c r="BG182" s="77" t="s">
        <v>107</v>
      </c>
      <c r="BH182" s="104" t="s">
        <v>107</v>
      </c>
    </row>
    <row r="183" spans="1:60" ht="120.75" customHeight="1" thickBot="1">
      <c r="A183" s="48"/>
      <c r="B183" s="147"/>
      <c r="C183" s="148"/>
      <c r="D183" s="148"/>
      <c r="E183" s="148"/>
      <c r="F183" s="148"/>
      <c r="G183" s="78" t="s">
        <v>73</v>
      </c>
      <c r="H183" s="82" t="s">
        <v>74</v>
      </c>
      <c r="I183" s="78" t="s">
        <v>75</v>
      </c>
      <c r="J183" s="82" t="s">
        <v>76</v>
      </c>
      <c r="K183" s="78" t="s">
        <v>77</v>
      </c>
      <c r="L183" s="94" t="s">
        <v>99</v>
      </c>
      <c r="M183" s="88" t="s">
        <v>83</v>
      </c>
      <c r="N183" s="98" t="s">
        <v>180</v>
      </c>
      <c r="O183" s="98" t="s">
        <v>182</v>
      </c>
      <c r="P183" s="82" t="s">
        <v>78</v>
      </c>
      <c r="Q183" s="78" t="s">
        <v>79</v>
      </c>
      <c r="R183" s="82" t="s">
        <v>80</v>
      </c>
      <c r="S183" s="78" t="s">
        <v>81</v>
      </c>
      <c r="T183" s="82" t="s">
        <v>82</v>
      </c>
      <c r="U183" s="82" t="s">
        <v>84</v>
      </c>
      <c r="V183" s="98" t="s">
        <v>183</v>
      </c>
      <c r="W183" s="78" t="s">
        <v>85</v>
      </c>
      <c r="X183" s="82" t="s">
        <v>86</v>
      </c>
      <c r="Y183" s="78" t="s">
        <v>73</v>
      </c>
      <c r="Z183" s="82" t="s">
        <v>74</v>
      </c>
      <c r="AA183" s="78" t="s">
        <v>75</v>
      </c>
      <c r="AB183" s="82" t="s">
        <v>76</v>
      </c>
      <c r="AC183" s="78" t="s">
        <v>77</v>
      </c>
      <c r="AD183" s="88" t="s">
        <v>99</v>
      </c>
      <c r="AE183" s="88" t="s">
        <v>83</v>
      </c>
      <c r="AF183" s="98" t="s">
        <v>180</v>
      </c>
      <c r="AG183" s="98" t="s">
        <v>182</v>
      </c>
      <c r="AH183" s="82" t="s">
        <v>78</v>
      </c>
      <c r="AI183" s="78" t="s">
        <v>79</v>
      </c>
      <c r="AJ183" s="82" t="s">
        <v>80</v>
      </c>
      <c r="AK183" s="78" t="s">
        <v>81</v>
      </c>
      <c r="AL183" s="82" t="s">
        <v>82</v>
      </c>
      <c r="AM183" s="82" t="s">
        <v>84</v>
      </c>
      <c r="AN183" s="98" t="s">
        <v>183</v>
      </c>
      <c r="AO183" s="78" t="s">
        <v>85</v>
      </c>
      <c r="AP183" s="82" t="s">
        <v>86</v>
      </c>
      <c r="AQ183" s="78" t="s">
        <v>73</v>
      </c>
      <c r="AR183" s="82" t="s">
        <v>74</v>
      </c>
      <c r="AS183" s="78" t="s">
        <v>75</v>
      </c>
      <c r="AT183" s="82" t="s">
        <v>76</v>
      </c>
      <c r="AU183" s="78" t="s">
        <v>77</v>
      </c>
      <c r="AV183" s="88" t="s">
        <v>99</v>
      </c>
      <c r="AW183" s="88" t="s">
        <v>83</v>
      </c>
      <c r="AX183" s="98" t="s">
        <v>180</v>
      </c>
      <c r="AY183" s="98" t="s">
        <v>182</v>
      </c>
      <c r="AZ183" s="82" t="s">
        <v>78</v>
      </c>
      <c r="BA183" s="78" t="s">
        <v>79</v>
      </c>
      <c r="BB183" s="82" t="s">
        <v>80</v>
      </c>
      <c r="BC183" s="78" t="s">
        <v>81</v>
      </c>
      <c r="BD183" s="82" t="s">
        <v>82</v>
      </c>
      <c r="BE183" s="82" t="s">
        <v>84</v>
      </c>
      <c r="BF183" s="98" t="s">
        <v>183</v>
      </c>
      <c r="BG183" s="78" t="s">
        <v>85</v>
      </c>
      <c r="BH183" s="82" t="s">
        <v>86</v>
      </c>
    </row>
    <row r="184" spans="1:60" ht="45" hidden="1" customHeight="1">
      <c r="A184" s="79" t="s">
        <v>7</v>
      </c>
      <c r="B184" s="103" t="s">
        <v>0</v>
      </c>
      <c r="C184" s="80"/>
      <c r="D184" s="80"/>
      <c r="E184" s="80" t="s">
        <v>138</v>
      </c>
      <c r="F184" s="80"/>
      <c r="G184" s="77" t="s">
        <v>108</v>
      </c>
      <c r="H184" s="77" t="s">
        <v>109</v>
      </c>
      <c r="I184" s="77" t="s">
        <v>110</v>
      </c>
      <c r="J184" s="77" t="s">
        <v>111</v>
      </c>
      <c r="K184" s="77" t="s">
        <v>112</v>
      </c>
      <c r="L184" s="93" t="s">
        <v>100</v>
      </c>
      <c r="M184" s="77" t="s">
        <v>101</v>
      </c>
      <c r="N184" s="99" t="s">
        <v>179</v>
      </c>
      <c r="O184" s="99" t="s">
        <v>181</v>
      </c>
      <c r="P184" s="77" t="s">
        <v>113</v>
      </c>
      <c r="Q184" s="77" t="s">
        <v>114</v>
      </c>
      <c r="R184" s="77" t="s">
        <v>115</v>
      </c>
      <c r="S184" s="77" t="s">
        <v>116</v>
      </c>
      <c r="T184" s="77" t="s">
        <v>117</v>
      </c>
      <c r="U184" s="77" t="s">
        <v>118</v>
      </c>
      <c r="V184" s="99" t="s">
        <v>184</v>
      </c>
      <c r="W184" s="77" t="s">
        <v>119</v>
      </c>
      <c r="X184" s="77" t="s">
        <v>120</v>
      </c>
      <c r="Y184" s="77" t="s">
        <v>108</v>
      </c>
      <c r="Z184" s="77" t="s">
        <v>109</v>
      </c>
      <c r="AA184" s="77" t="s">
        <v>110</v>
      </c>
      <c r="AB184" s="77" t="s">
        <v>111</v>
      </c>
      <c r="AC184" s="77" t="s">
        <v>112</v>
      </c>
      <c r="AD184" s="77" t="s">
        <v>100</v>
      </c>
      <c r="AE184" s="77" t="s">
        <v>101</v>
      </c>
      <c r="AF184" s="99" t="s">
        <v>179</v>
      </c>
      <c r="AG184" s="99" t="s">
        <v>181</v>
      </c>
      <c r="AH184" s="77" t="s">
        <v>113</v>
      </c>
      <c r="AI184" s="77" t="s">
        <v>114</v>
      </c>
      <c r="AJ184" s="77" t="s">
        <v>115</v>
      </c>
      <c r="AK184" s="77" t="s">
        <v>116</v>
      </c>
      <c r="AL184" s="77" t="s">
        <v>117</v>
      </c>
      <c r="AM184" s="77" t="s">
        <v>118</v>
      </c>
      <c r="AN184" s="99" t="s">
        <v>184</v>
      </c>
      <c r="AO184" s="77" t="s">
        <v>119</v>
      </c>
      <c r="AP184" s="77" t="s">
        <v>120</v>
      </c>
      <c r="AQ184" s="77" t="s">
        <v>108</v>
      </c>
      <c r="AR184" s="77" t="s">
        <v>109</v>
      </c>
      <c r="AS184" s="77" t="s">
        <v>110</v>
      </c>
      <c r="AT184" s="77" t="s">
        <v>111</v>
      </c>
      <c r="AU184" s="77" t="s">
        <v>112</v>
      </c>
      <c r="AV184" s="77" t="s">
        <v>100</v>
      </c>
      <c r="AW184" s="77" t="s">
        <v>101</v>
      </c>
      <c r="AX184" s="99" t="s">
        <v>179</v>
      </c>
      <c r="AY184" s="99" t="s">
        <v>181</v>
      </c>
      <c r="AZ184" s="77" t="s">
        <v>113</v>
      </c>
      <c r="BA184" s="77" t="s">
        <v>114</v>
      </c>
      <c r="BB184" s="77" t="s">
        <v>115</v>
      </c>
      <c r="BC184" s="77" t="s">
        <v>116</v>
      </c>
      <c r="BD184" s="77" t="s">
        <v>117</v>
      </c>
      <c r="BE184" s="77" t="s">
        <v>118</v>
      </c>
      <c r="BF184" s="99" t="s">
        <v>184</v>
      </c>
      <c r="BG184" s="77" t="s">
        <v>119</v>
      </c>
      <c r="BH184" s="104" t="s">
        <v>120</v>
      </c>
    </row>
    <row r="185" spans="1:60" ht="22.5" customHeight="1">
      <c r="B185" s="105"/>
      <c r="C185" s="106"/>
      <c r="D185" s="106"/>
      <c r="E185" s="106"/>
      <c r="F185" s="106"/>
      <c r="G185" s="106"/>
      <c r="H185" s="106"/>
      <c r="I185" s="106"/>
      <c r="J185" s="106"/>
      <c r="K185" s="106"/>
      <c r="L185" s="106"/>
      <c r="M185" s="106"/>
      <c r="N185" s="106"/>
      <c r="O185" s="106"/>
      <c r="P185" s="106"/>
      <c r="Q185" s="106"/>
      <c r="R185" s="106"/>
      <c r="S185" s="106"/>
      <c r="T185" s="106"/>
      <c r="U185" s="106"/>
      <c r="V185" s="106"/>
      <c r="W185" s="106"/>
      <c r="X185" s="106"/>
      <c r="Y185" s="106"/>
      <c r="Z185" s="106"/>
      <c r="AA185" s="106"/>
      <c r="AB185" s="106"/>
      <c r="AC185" s="106"/>
      <c r="AD185" s="106"/>
      <c r="AE185" s="106"/>
      <c r="AF185" s="106"/>
      <c r="AG185" s="106"/>
      <c r="AH185" s="106"/>
      <c r="AI185" s="106"/>
      <c r="AJ185" s="106"/>
      <c r="AK185" s="106"/>
      <c r="AL185" s="106"/>
      <c r="AM185" s="106"/>
      <c r="AN185" s="106"/>
      <c r="AO185" s="106"/>
      <c r="AP185" s="106"/>
      <c r="AQ185" s="106"/>
      <c r="AR185" s="106"/>
      <c r="AS185" s="106"/>
      <c r="AT185" s="106"/>
      <c r="AU185" s="106"/>
      <c r="AV185" s="106"/>
      <c r="AW185" s="106"/>
      <c r="AX185" s="106"/>
      <c r="AY185" s="106"/>
      <c r="AZ185" s="106"/>
      <c r="BA185" s="106"/>
      <c r="BB185" s="106"/>
      <c r="BC185" s="106"/>
      <c r="BD185" s="106"/>
      <c r="BE185" s="106"/>
      <c r="BF185" s="106"/>
      <c r="BG185" s="106"/>
      <c r="BH185" s="107"/>
    </row>
    <row r="186" spans="1:60" ht="22.5" customHeight="1">
      <c r="B186" s="105"/>
      <c r="C186" s="106"/>
      <c r="D186" s="106"/>
      <c r="E186" s="106"/>
      <c r="F186" s="50" t="s">
        <v>4</v>
      </c>
      <c r="G186" s="106"/>
      <c r="H186" s="106"/>
      <c r="I186" s="106"/>
      <c r="J186" s="106"/>
      <c r="K186" s="106"/>
      <c r="L186" s="106"/>
      <c r="M186" s="106"/>
      <c r="N186" s="106"/>
      <c r="O186" s="106"/>
      <c r="P186" s="106"/>
      <c r="Q186" s="106"/>
      <c r="R186" s="106"/>
      <c r="S186" s="106"/>
      <c r="T186" s="106"/>
      <c r="U186" s="106"/>
      <c r="V186" s="106"/>
      <c r="W186" s="106"/>
      <c r="X186" s="106"/>
      <c r="Y186" s="106"/>
      <c r="Z186" s="106"/>
      <c r="AA186" s="106"/>
      <c r="AB186" s="106"/>
      <c r="AC186" s="106"/>
      <c r="AD186" s="106"/>
      <c r="AE186" s="106"/>
      <c r="AF186" s="106"/>
      <c r="AG186" s="106"/>
      <c r="AH186" s="106"/>
      <c r="AI186" s="106"/>
      <c r="AJ186" s="106"/>
      <c r="AK186" s="106"/>
      <c r="AL186" s="106"/>
      <c r="AM186" s="106"/>
      <c r="AN186" s="106"/>
      <c r="AO186" s="106"/>
      <c r="AP186" s="106"/>
      <c r="AQ186" s="106"/>
      <c r="AR186" s="106"/>
      <c r="AS186" s="106"/>
      <c r="AT186" s="106"/>
      <c r="AU186" s="106"/>
      <c r="AV186" s="106"/>
      <c r="AW186" s="106"/>
      <c r="AX186" s="106"/>
      <c r="AY186" s="106"/>
      <c r="AZ186" s="106"/>
      <c r="BA186" s="106"/>
      <c r="BB186" s="106"/>
      <c r="BC186" s="106"/>
      <c r="BD186" s="106"/>
      <c r="BE186" s="106"/>
      <c r="BF186" s="106"/>
      <c r="BG186" s="106"/>
      <c r="BH186" s="107"/>
    </row>
    <row r="187" spans="1:60">
      <c r="A187" s="51"/>
      <c r="B187" s="108"/>
      <c r="C187" s="52"/>
      <c r="D187" s="52"/>
      <c r="E187" s="52"/>
      <c r="F187" s="53"/>
      <c r="G187" s="52"/>
      <c r="H187" s="52"/>
      <c r="I187" s="52"/>
      <c r="J187" s="52"/>
      <c r="K187" s="52"/>
      <c r="L187" s="52"/>
      <c r="M187" s="52"/>
      <c r="N187" s="52"/>
      <c r="O187" s="52"/>
      <c r="P187" s="52"/>
      <c r="Q187" s="52"/>
      <c r="R187" s="52"/>
      <c r="S187" s="52"/>
      <c r="T187" s="52"/>
      <c r="U187" s="52"/>
      <c r="V187" s="52"/>
      <c r="W187" s="52"/>
      <c r="X187" s="52"/>
      <c r="Y187" s="52"/>
      <c r="Z187" s="52"/>
      <c r="AA187" s="52"/>
      <c r="AB187" s="52"/>
      <c r="AC187" s="52"/>
      <c r="AD187" s="52"/>
      <c r="AE187" s="52"/>
      <c r="AF187" s="52"/>
      <c r="AG187" s="52"/>
      <c r="AH187" s="52"/>
      <c r="AI187" s="52"/>
      <c r="AJ187" s="52"/>
      <c r="AK187" s="52"/>
      <c r="AL187" s="52"/>
      <c r="AM187" s="52"/>
      <c r="AN187" s="52"/>
      <c r="AO187" s="52"/>
      <c r="AP187" s="52"/>
      <c r="AQ187" s="52"/>
      <c r="AR187" s="52"/>
      <c r="AS187" s="52"/>
      <c r="AT187" s="52"/>
      <c r="AU187" s="52"/>
      <c r="AV187" s="52"/>
      <c r="AW187" s="52"/>
      <c r="AX187" s="52"/>
      <c r="AY187" s="52"/>
      <c r="AZ187" s="52"/>
      <c r="BA187" s="52"/>
      <c r="BB187" s="52"/>
      <c r="BC187" s="52"/>
      <c r="BD187" s="52"/>
      <c r="BE187" s="52"/>
      <c r="BF187" s="52"/>
      <c r="BG187" s="52"/>
      <c r="BH187" s="109"/>
    </row>
    <row r="188" spans="1:60">
      <c r="A188" s="51"/>
      <c r="B188" s="108"/>
      <c r="C188" s="123" t="s">
        <v>192</v>
      </c>
      <c r="D188" s="123" t="s">
        <v>3</v>
      </c>
      <c r="E188" s="123" t="s">
        <v>0</v>
      </c>
      <c r="F188" s="126" t="s">
        <v>196</v>
      </c>
      <c r="G188" s="55"/>
      <c r="H188" s="55"/>
      <c r="I188" s="55"/>
      <c r="J188" s="55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  <c r="AA188" s="55"/>
      <c r="AB188" s="55"/>
      <c r="AC188" s="55"/>
      <c r="AD188" s="55"/>
      <c r="AE188" s="55"/>
      <c r="AF188" s="55"/>
      <c r="AG188" s="55"/>
      <c r="AH188" s="55"/>
      <c r="AI188" s="55"/>
      <c r="AJ188" s="55"/>
      <c r="AK188" s="55"/>
      <c r="AL188" s="55"/>
      <c r="AM188" s="55"/>
      <c r="AN188" s="55"/>
      <c r="AO188" s="55"/>
      <c r="AP188" s="55"/>
      <c r="AQ188" s="55"/>
      <c r="AR188" s="55"/>
      <c r="AS188" s="55"/>
      <c r="AT188" s="55"/>
      <c r="AU188" s="55"/>
      <c r="AV188" s="55"/>
      <c r="AW188" s="55"/>
      <c r="AX188" s="55"/>
      <c r="AY188" s="55"/>
      <c r="AZ188" s="55"/>
      <c r="BA188" s="55"/>
      <c r="BB188" s="55"/>
      <c r="BC188" s="55"/>
      <c r="BD188" s="55"/>
      <c r="BE188" s="55"/>
      <c r="BF188" s="55"/>
      <c r="BG188" s="55"/>
      <c r="BH188" s="110"/>
    </row>
    <row r="189" spans="1:60" ht="22.5">
      <c r="A189" s="51"/>
      <c r="B189" s="108"/>
      <c r="C189" s="123" t="s">
        <v>193</v>
      </c>
      <c r="D189" s="123" t="s">
        <v>3</v>
      </c>
      <c r="E189" s="123" t="s">
        <v>0</v>
      </c>
      <c r="F189" s="126" t="s">
        <v>197</v>
      </c>
      <c r="G189" s="55"/>
      <c r="H189" s="55"/>
      <c r="I189" s="55"/>
      <c r="J189" s="55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  <c r="AA189" s="55"/>
      <c r="AB189" s="55"/>
      <c r="AC189" s="55"/>
      <c r="AD189" s="55"/>
      <c r="AE189" s="55"/>
      <c r="AF189" s="55"/>
      <c r="AG189" s="55"/>
      <c r="AH189" s="55"/>
      <c r="AI189" s="55"/>
      <c r="AJ189" s="55"/>
      <c r="AK189" s="55"/>
      <c r="AL189" s="55"/>
      <c r="AM189" s="55"/>
      <c r="AN189" s="55"/>
      <c r="AO189" s="55"/>
      <c r="AP189" s="55"/>
      <c r="AQ189" s="55"/>
      <c r="AR189" s="55"/>
      <c r="AS189" s="55"/>
      <c r="AT189" s="55"/>
      <c r="AU189" s="55"/>
      <c r="AV189" s="55"/>
      <c r="AW189" s="55"/>
      <c r="AX189" s="55"/>
      <c r="AY189" s="55"/>
      <c r="AZ189" s="55"/>
      <c r="BA189" s="55"/>
      <c r="BB189" s="55"/>
      <c r="BC189" s="55"/>
      <c r="BD189" s="55"/>
      <c r="BE189" s="55"/>
      <c r="BF189" s="55"/>
      <c r="BG189" s="55"/>
      <c r="BH189" s="110"/>
    </row>
    <row r="190" spans="1:60" ht="22.5">
      <c r="A190" s="51"/>
      <c r="B190" s="108"/>
      <c r="C190" s="123" t="s">
        <v>194</v>
      </c>
      <c r="D190" s="123" t="s">
        <v>3</v>
      </c>
      <c r="E190" s="123" t="s">
        <v>0</v>
      </c>
      <c r="F190" s="126" t="s">
        <v>198</v>
      </c>
      <c r="G190" s="55"/>
      <c r="H190" s="55"/>
      <c r="I190" s="55"/>
      <c r="J190" s="55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  <c r="AA190" s="55"/>
      <c r="AB190" s="55"/>
      <c r="AC190" s="55"/>
      <c r="AD190" s="55"/>
      <c r="AE190" s="55"/>
      <c r="AF190" s="55"/>
      <c r="AG190" s="55"/>
      <c r="AH190" s="55"/>
      <c r="AI190" s="55"/>
      <c r="AJ190" s="55"/>
      <c r="AK190" s="55"/>
      <c r="AL190" s="55"/>
      <c r="AM190" s="55"/>
      <c r="AN190" s="55"/>
      <c r="AO190" s="55"/>
      <c r="AP190" s="55"/>
      <c r="AQ190" s="55"/>
      <c r="AR190" s="55"/>
      <c r="AS190" s="55"/>
      <c r="AT190" s="55"/>
      <c r="AU190" s="55"/>
      <c r="AV190" s="55"/>
      <c r="AW190" s="55"/>
      <c r="AX190" s="55"/>
      <c r="AY190" s="55"/>
      <c r="AZ190" s="55"/>
      <c r="BA190" s="55"/>
      <c r="BB190" s="55"/>
      <c r="BC190" s="55"/>
      <c r="BD190" s="55"/>
      <c r="BE190" s="55"/>
      <c r="BF190" s="55"/>
      <c r="BG190" s="55"/>
      <c r="BH190" s="110"/>
    </row>
    <row r="191" spans="1:60">
      <c r="A191" s="51"/>
      <c r="B191" s="108"/>
      <c r="C191" s="123" t="s">
        <v>195</v>
      </c>
      <c r="D191" s="123" t="s">
        <v>3</v>
      </c>
      <c r="E191" s="123" t="s">
        <v>0</v>
      </c>
      <c r="F191" s="126" t="s">
        <v>199</v>
      </c>
      <c r="G191" s="55"/>
      <c r="H191" s="55"/>
      <c r="I191" s="55"/>
      <c r="J191" s="55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  <c r="AA191" s="55"/>
      <c r="AB191" s="55"/>
      <c r="AC191" s="55"/>
      <c r="AD191" s="55"/>
      <c r="AE191" s="55"/>
      <c r="AF191" s="55"/>
      <c r="AG191" s="55"/>
      <c r="AH191" s="55"/>
      <c r="AI191" s="55"/>
      <c r="AJ191" s="55"/>
      <c r="AK191" s="55"/>
      <c r="AL191" s="55"/>
      <c r="AM191" s="55"/>
      <c r="AN191" s="55"/>
      <c r="AO191" s="55"/>
      <c r="AP191" s="55"/>
      <c r="AQ191" s="55"/>
      <c r="AR191" s="55"/>
      <c r="AS191" s="55"/>
      <c r="AT191" s="55"/>
      <c r="AU191" s="55"/>
      <c r="AV191" s="55"/>
      <c r="AW191" s="55"/>
      <c r="AX191" s="55"/>
      <c r="AY191" s="55"/>
      <c r="AZ191" s="55"/>
      <c r="BA191" s="55"/>
      <c r="BB191" s="55"/>
      <c r="BC191" s="55"/>
      <c r="BD191" s="55"/>
      <c r="BE191" s="55"/>
      <c r="BF191" s="55"/>
      <c r="BG191" s="55"/>
      <c r="BH191" s="110"/>
    </row>
    <row r="192" spans="1:60" ht="22.5">
      <c r="A192" s="51"/>
      <c r="B192" s="108"/>
      <c r="C192" s="52" t="s">
        <v>139</v>
      </c>
      <c r="D192" s="52" t="s">
        <v>3</v>
      </c>
      <c r="E192" s="52" t="s">
        <v>0</v>
      </c>
      <c r="F192" s="54" t="s">
        <v>24</v>
      </c>
      <c r="G192" s="55"/>
      <c r="H192" s="55"/>
      <c r="I192" s="55"/>
      <c r="J192" s="55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  <c r="AA192" s="55"/>
      <c r="AB192" s="55"/>
      <c r="AC192" s="55"/>
      <c r="AD192" s="55"/>
      <c r="AE192" s="55"/>
      <c r="AF192" s="55"/>
      <c r="AG192" s="55"/>
      <c r="AH192" s="55"/>
      <c r="AI192" s="55"/>
      <c r="AJ192" s="55"/>
      <c r="AK192" s="55"/>
      <c r="AL192" s="55"/>
      <c r="AM192" s="55"/>
      <c r="AN192" s="55"/>
      <c r="AO192" s="55"/>
      <c r="AP192" s="55"/>
      <c r="AQ192" s="55"/>
      <c r="AR192" s="55"/>
      <c r="AS192" s="55"/>
      <c r="AT192" s="55"/>
      <c r="AU192" s="55"/>
      <c r="AV192" s="55"/>
      <c r="AW192" s="55"/>
      <c r="AX192" s="55"/>
      <c r="AY192" s="55"/>
      <c r="AZ192" s="55"/>
      <c r="BA192" s="55"/>
      <c r="BB192" s="55"/>
      <c r="BC192" s="55"/>
      <c r="BD192" s="55"/>
      <c r="BE192" s="55"/>
      <c r="BF192" s="55"/>
      <c r="BG192" s="55"/>
      <c r="BH192" s="110"/>
    </row>
    <row r="193" spans="1:60">
      <c r="A193" s="51"/>
      <c r="B193" s="108"/>
      <c r="C193" s="52" t="s">
        <v>140</v>
      </c>
      <c r="D193" s="52" t="s">
        <v>3</v>
      </c>
      <c r="E193" s="52" t="s">
        <v>0</v>
      </c>
      <c r="F193" s="54" t="s">
        <v>25</v>
      </c>
      <c r="G193" s="55"/>
      <c r="H193" s="55"/>
      <c r="I193" s="55"/>
      <c r="J193" s="55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  <c r="AA193" s="55"/>
      <c r="AB193" s="55"/>
      <c r="AC193" s="55"/>
      <c r="AD193" s="55"/>
      <c r="AE193" s="55"/>
      <c r="AF193" s="55"/>
      <c r="AG193" s="55"/>
      <c r="AH193" s="55"/>
      <c r="AI193" s="55"/>
      <c r="AJ193" s="55"/>
      <c r="AK193" s="55"/>
      <c r="AL193" s="55"/>
      <c r="AM193" s="55"/>
      <c r="AN193" s="55"/>
      <c r="AO193" s="55"/>
      <c r="AP193" s="55"/>
      <c r="AQ193" s="55"/>
      <c r="AR193" s="55"/>
      <c r="AS193" s="55"/>
      <c r="AT193" s="55"/>
      <c r="AU193" s="55"/>
      <c r="AV193" s="55"/>
      <c r="AW193" s="55"/>
      <c r="AX193" s="55"/>
      <c r="AY193" s="55"/>
      <c r="AZ193" s="55"/>
      <c r="BA193" s="55"/>
      <c r="BB193" s="55"/>
      <c r="BC193" s="55"/>
      <c r="BD193" s="55"/>
      <c r="BE193" s="55"/>
      <c r="BF193" s="55"/>
      <c r="BG193" s="55"/>
      <c r="BH193" s="110"/>
    </row>
    <row r="194" spans="1:60">
      <c r="A194" s="51"/>
      <c r="B194" s="108"/>
      <c r="C194" s="52" t="s">
        <v>141</v>
      </c>
      <c r="D194" s="52" t="s">
        <v>3</v>
      </c>
      <c r="E194" s="52" t="s">
        <v>0</v>
      </c>
      <c r="F194" s="54" t="s">
        <v>26</v>
      </c>
      <c r="G194" s="55"/>
      <c r="H194" s="55"/>
      <c r="I194" s="55"/>
      <c r="J194" s="55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  <c r="AA194" s="55"/>
      <c r="AB194" s="55"/>
      <c r="AC194" s="55"/>
      <c r="AD194" s="55"/>
      <c r="AE194" s="55"/>
      <c r="AF194" s="55"/>
      <c r="AG194" s="55"/>
      <c r="AH194" s="55"/>
      <c r="AI194" s="55"/>
      <c r="AJ194" s="55"/>
      <c r="AK194" s="55"/>
      <c r="AL194" s="55"/>
      <c r="AM194" s="55"/>
      <c r="AN194" s="55"/>
      <c r="AO194" s="55"/>
      <c r="AP194" s="55"/>
      <c r="AQ194" s="55"/>
      <c r="AR194" s="55"/>
      <c r="AS194" s="55"/>
      <c r="AT194" s="55"/>
      <c r="AU194" s="55"/>
      <c r="AV194" s="55"/>
      <c r="AW194" s="55"/>
      <c r="AX194" s="55"/>
      <c r="AY194" s="55"/>
      <c r="AZ194" s="55"/>
      <c r="BA194" s="55"/>
      <c r="BB194" s="55"/>
      <c r="BC194" s="55"/>
      <c r="BD194" s="55"/>
      <c r="BE194" s="55"/>
      <c r="BF194" s="55" t="s">
        <v>185</v>
      </c>
      <c r="BG194" s="55"/>
      <c r="BH194" s="110"/>
    </row>
    <row r="195" spans="1:60">
      <c r="A195" s="51"/>
      <c r="B195" s="108"/>
      <c r="C195" s="52"/>
      <c r="D195" s="52"/>
      <c r="E195" s="52" t="s">
        <v>0</v>
      </c>
      <c r="F195" s="53" t="s">
        <v>27</v>
      </c>
      <c r="G195" s="52"/>
      <c r="H195" s="52"/>
      <c r="I195" s="52"/>
      <c r="J195" s="52"/>
      <c r="K195" s="52"/>
      <c r="L195" s="52"/>
      <c r="M195" s="52"/>
      <c r="N195" s="52"/>
      <c r="O195" s="52"/>
      <c r="P195" s="52"/>
      <c r="Q195" s="52"/>
      <c r="R195" s="52"/>
      <c r="S195" s="52"/>
      <c r="T195" s="52"/>
      <c r="U195" s="52"/>
      <c r="V195" s="52"/>
      <c r="W195" s="52"/>
      <c r="X195" s="52"/>
      <c r="Y195" s="52"/>
      <c r="Z195" s="52"/>
      <c r="AA195" s="52"/>
      <c r="AB195" s="52"/>
      <c r="AC195" s="52"/>
      <c r="AD195" s="52"/>
      <c r="AE195" s="52"/>
      <c r="AF195" s="52"/>
      <c r="AG195" s="52"/>
      <c r="AH195" s="52"/>
      <c r="AI195" s="52"/>
      <c r="AJ195" s="52"/>
      <c r="AK195" s="52"/>
      <c r="AL195" s="52"/>
      <c r="AM195" s="52"/>
      <c r="AN195" s="52"/>
      <c r="AO195" s="52"/>
      <c r="AP195" s="52"/>
      <c r="AQ195" s="52"/>
      <c r="AR195" s="52"/>
      <c r="AS195" s="52"/>
      <c r="AT195" s="52"/>
      <c r="AU195" s="52"/>
      <c r="AV195" s="52"/>
      <c r="AW195" s="52"/>
      <c r="AX195" s="52"/>
      <c r="AY195" s="52"/>
      <c r="AZ195" s="52"/>
      <c r="BA195" s="52"/>
      <c r="BB195" s="52"/>
      <c r="BC195" s="52"/>
      <c r="BD195" s="52"/>
      <c r="BE195" s="52"/>
      <c r="BF195" s="52"/>
      <c r="BG195" s="52"/>
      <c r="BH195" s="109"/>
    </row>
    <row r="196" spans="1:60">
      <c r="A196" s="51" t="s">
        <v>52</v>
      </c>
      <c r="B196" s="108"/>
      <c r="C196" s="52" t="s">
        <v>142</v>
      </c>
      <c r="D196" s="52" t="s">
        <v>3</v>
      </c>
      <c r="E196" s="52" t="s">
        <v>0</v>
      </c>
      <c r="F196" s="53" t="s">
        <v>186</v>
      </c>
      <c r="G196" s="83"/>
      <c r="H196" s="83"/>
      <c r="I196" s="83"/>
      <c r="J196" s="83"/>
      <c r="K196" s="83"/>
      <c r="L196" s="83"/>
      <c r="M196" s="83"/>
      <c r="N196" s="83"/>
      <c r="O196" s="83"/>
      <c r="P196" s="89"/>
      <c r="Q196" s="83"/>
      <c r="R196" s="83"/>
      <c r="S196" s="83"/>
      <c r="T196" s="83"/>
      <c r="U196" s="83"/>
      <c r="V196" s="83"/>
      <c r="W196" s="83"/>
      <c r="X196" s="89">
        <f>SUM(P196:W196)+SUM(G196:K196)</f>
        <v>0</v>
      </c>
      <c r="Y196" s="83"/>
      <c r="Z196" s="83"/>
      <c r="AA196" s="83"/>
      <c r="AB196" s="83"/>
      <c r="AC196" s="83"/>
      <c r="AD196" s="83"/>
      <c r="AE196" s="83"/>
      <c r="AF196" s="83"/>
      <c r="AG196" s="83"/>
      <c r="AH196" s="89"/>
      <c r="AI196" s="83"/>
      <c r="AJ196" s="83"/>
      <c r="AK196" s="83"/>
      <c r="AL196" s="83"/>
      <c r="AM196" s="83"/>
      <c r="AN196" s="83"/>
      <c r="AO196" s="83"/>
      <c r="AP196" s="89">
        <f>SUM(AH196:AO196)+SUM(Y196:AC196)</f>
        <v>0</v>
      </c>
      <c r="AQ196" s="89">
        <f t="shared" ref="AQ196:AW196" si="331">G196+Y196</f>
        <v>0</v>
      </c>
      <c r="AR196" s="89">
        <f t="shared" si="331"/>
        <v>0</v>
      </c>
      <c r="AS196" s="89">
        <f t="shared" si="331"/>
        <v>0</v>
      </c>
      <c r="AT196" s="89">
        <f t="shared" si="331"/>
        <v>0</v>
      </c>
      <c r="AU196" s="89">
        <f t="shared" si="331"/>
        <v>0</v>
      </c>
      <c r="AV196" s="89">
        <f t="shared" si="331"/>
        <v>0</v>
      </c>
      <c r="AW196" s="89">
        <f t="shared" si="331"/>
        <v>0</v>
      </c>
      <c r="AX196" s="89">
        <f t="shared" ref="AX196" si="332">N196+AF196</f>
        <v>0</v>
      </c>
      <c r="AY196" s="89">
        <f t="shared" ref="AY196:AZ196" si="333">O196+AG196</f>
        <v>0</v>
      </c>
      <c r="AZ196" s="89">
        <f t="shared" si="333"/>
        <v>0</v>
      </c>
      <c r="BA196" s="89">
        <f t="shared" ref="BA196:BF196" si="334">Q196+AI196</f>
        <v>0</v>
      </c>
      <c r="BB196" s="89">
        <f t="shared" si="334"/>
        <v>0</v>
      </c>
      <c r="BC196" s="89">
        <f t="shared" si="334"/>
        <v>0</v>
      </c>
      <c r="BD196" s="89">
        <f t="shared" si="334"/>
        <v>0</v>
      </c>
      <c r="BE196" s="89">
        <f t="shared" si="334"/>
        <v>0</v>
      </c>
      <c r="BF196" s="89">
        <f t="shared" si="334"/>
        <v>0</v>
      </c>
      <c r="BG196" s="89">
        <f>W196+AO196</f>
        <v>0</v>
      </c>
      <c r="BH196" s="111">
        <f>X196+AP196</f>
        <v>0</v>
      </c>
    </row>
    <row r="197" spans="1:60">
      <c r="A197" s="51"/>
      <c r="B197" s="108"/>
      <c r="C197" s="52"/>
      <c r="D197" s="52"/>
      <c r="E197" s="52" t="s">
        <v>0</v>
      </c>
      <c r="F197" s="53" t="s">
        <v>29</v>
      </c>
      <c r="G197" s="52"/>
      <c r="H197" s="52"/>
      <c r="I197" s="52"/>
      <c r="J197" s="52"/>
      <c r="K197" s="52"/>
      <c r="L197" s="52"/>
      <c r="M197" s="52"/>
      <c r="N197" s="52"/>
      <c r="O197" s="52"/>
      <c r="P197" s="52"/>
      <c r="Q197" s="52"/>
      <c r="R197" s="52"/>
      <c r="S197" s="52"/>
      <c r="T197" s="52"/>
      <c r="U197" s="52"/>
      <c r="V197" s="52"/>
      <c r="W197" s="52"/>
      <c r="X197" s="91"/>
      <c r="Y197" s="52"/>
      <c r="Z197" s="52"/>
      <c r="AA197" s="52"/>
      <c r="AB197" s="52"/>
      <c r="AC197" s="52"/>
      <c r="AD197" s="52"/>
      <c r="AE197" s="52"/>
      <c r="AF197" s="52"/>
      <c r="AG197" s="52"/>
      <c r="AH197" s="52"/>
      <c r="AI197" s="52"/>
      <c r="AJ197" s="52"/>
      <c r="AK197" s="52"/>
      <c r="AL197" s="52"/>
      <c r="AM197" s="52"/>
      <c r="AN197" s="52"/>
      <c r="AO197" s="52"/>
      <c r="AP197" s="91"/>
      <c r="AQ197" s="91"/>
      <c r="AR197" s="91"/>
      <c r="AS197" s="91"/>
      <c r="AT197" s="91"/>
      <c r="AU197" s="91"/>
      <c r="AV197" s="91"/>
      <c r="AW197" s="91"/>
      <c r="AX197" s="91"/>
      <c r="AY197" s="91"/>
      <c r="AZ197" s="91"/>
      <c r="BA197" s="91"/>
      <c r="BB197" s="91"/>
      <c r="BC197" s="91"/>
      <c r="BD197" s="91"/>
      <c r="BE197" s="91"/>
      <c r="BF197" s="91"/>
      <c r="BG197" s="91"/>
      <c r="BH197" s="112"/>
    </row>
    <row r="198" spans="1:60" ht="22.5">
      <c r="A198" s="51"/>
      <c r="B198" s="108"/>
      <c r="C198" s="52" t="s">
        <v>143</v>
      </c>
      <c r="D198" s="52" t="s">
        <v>3</v>
      </c>
      <c r="E198" s="52" t="s">
        <v>0</v>
      </c>
      <c r="F198" s="54" t="s">
        <v>30</v>
      </c>
      <c r="G198" s="83"/>
      <c r="H198" s="83"/>
      <c r="I198" s="83"/>
      <c r="J198" s="83"/>
      <c r="K198" s="83"/>
      <c r="L198" s="83"/>
      <c r="M198" s="83"/>
      <c r="N198" s="83"/>
      <c r="O198" s="83"/>
      <c r="P198" s="89"/>
      <c r="Q198" s="83"/>
      <c r="R198" s="83"/>
      <c r="S198" s="83"/>
      <c r="T198" s="83"/>
      <c r="U198" s="83"/>
      <c r="V198" s="83"/>
      <c r="W198" s="83"/>
      <c r="X198" s="89">
        <f t="shared" ref="X198:X210" si="335">SUM(P198:W198)+SUM(G198:K198)</f>
        <v>0</v>
      </c>
      <c r="Y198" s="83"/>
      <c r="Z198" s="83"/>
      <c r="AA198" s="83"/>
      <c r="AB198" s="83"/>
      <c r="AC198" s="83"/>
      <c r="AD198" s="83"/>
      <c r="AE198" s="83"/>
      <c r="AF198" s="83"/>
      <c r="AG198" s="83"/>
      <c r="AH198" s="89"/>
      <c r="AI198" s="83"/>
      <c r="AJ198" s="83"/>
      <c r="AK198" s="83"/>
      <c r="AL198" s="83"/>
      <c r="AM198" s="83"/>
      <c r="AN198" s="83"/>
      <c r="AO198" s="83"/>
      <c r="AP198" s="89">
        <f t="shared" ref="AP198:AP210" si="336">SUM(AH198:AO198)+SUM(Y198:AC198)</f>
        <v>0</v>
      </c>
      <c r="AQ198" s="89">
        <f t="shared" ref="AQ198:AQ206" si="337">G198+Y198</f>
        <v>0</v>
      </c>
      <c r="AR198" s="89">
        <f t="shared" ref="AR198:AR206" si="338">H198+Z198</f>
        <v>0</v>
      </c>
      <c r="AS198" s="89">
        <f t="shared" ref="AS198:AS206" si="339">I198+AA198</f>
        <v>0</v>
      </c>
      <c r="AT198" s="89">
        <f t="shared" ref="AT198:AT206" si="340">J198+AB198</f>
        <v>0</v>
      </c>
      <c r="AU198" s="89">
        <f t="shared" ref="AU198:AU206" si="341">K198+AC198</f>
        <v>0</v>
      </c>
      <c r="AV198" s="89">
        <f t="shared" ref="AV198:AV206" si="342">L198+AD198</f>
        <v>0</v>
      </c>
      <c r="AW198" s="89">
        <f t="shared" ref="AW198:AW206" si="343">M198+AE198</f>
        <v>0</v>
      </c>
      <c r="AX198" s="89">
        <f t="shared" ref="AX198:AX206" si="344">N198+AF198</f>
        <v>0</v>
      </c>
      <c r="AY198" s="89">
        <f t="shared" ref="AY198:AZ206" si="345">O198+AG198</f>
        <v>0</v>
      </c>
      <c r="AZ198" s="89">
        <f t="shared" si="345"/>
        <v>0</v>
      </c>
      <c r="BA198" s="89">
        <f t="shared" ref="BA198:BA206" si="346">Q198+AI198</f>
        <v>0</v>
      </c>
      <c r="BB198" s="89">
        <f t="shared" ref="BB198:BB206" si="347">R198+AJ198</f>
        <v>0</v>
      </c>
      <c r="BC198" s="89">
        <f t="shared" ref="BC198:BC206" si="348">S198+AK198</f>
        <v>0</v>
      </c>
      <c r="BD198" s="89">
        <f t="shared" ref="BD198:BD206" si="349">T198+AL198</f>
        <v>0</v>
      </c>
      <c r="BE198" s="89">
        <f t="shared" ref="BE198:BF206" si="350">U198+AM198</f>
        <v>0</v>
      </c>
      <c r="BF198" s="89">
        <f t="shared" si="350"/>
        <v>0</v>
      </c>
      <c r="BG198" s="89">
        <f t="shared" ref="BG198:BG206" si="351">W198+AO198</f>
        <v>0</v>
      </c>
      <c r="BH198" s="111">
        <f t="shared" ref="BH198:BH206" si="352">X198+AP198</f>
        <v>0</v>
      </c>
    </row>
    <row r="199" spans="1:60" ht="22.5">
      <c r="A199" s="51"/>
      <c r="B199" s="108"/>
      <c r="C199" s="52" t="s">
        <v>144</v>
      </c>
      <c r="D199" s="52" t="s">
        <v>3</v>
      </c>
      <c r="E199" s="52" t="s">
        <v>0</v>
      </c>
      <c r="F199" s="54" t="s">
        <v>31</v>
      </c>
      <c r="G199" s="83"/>
      <c r="H199" s="83"/>
      <c r="I199" s="83"/>
      <c r="J199" s="83"/>
      <c r="K199" s="83"/>
      <c r="L199" s="83"/>
      <c r="M199" s="83"/>
      <c r="N199" s="83"/>
      <c r="O199" s="83"/>
      <c r="P199" s="89"/>
      <c r="Q199" s="83"/>
      <c r="R199" s="83"/>
      <c r="S199" s="83"/>
      <c r="T199" s="83"/>
      <c r="U199" s="83"/>
      <c r="V199" s="83"/>
      <c r="W199" s="83"/>
      <c r="X199" s="89">
        <f t="shared" si="335"/>
        <v>0</v>
      </c>
      <c r="Y199" s="83"/>
      <c r="Z199" s="83"/>
      <c r="AA199" s="83"/>
      <c r="AB199" s="83"/>
      <c r="AC199" s="83"/>
      <c r="AD199" s="83"/>
      <c r="AE199" s="83"/>
      <c r="AF199" s="83"/>
      <c r="AG199" s="83"/>
      <c r="AH199" s="89"/>
      <c r="AI199" s="83"/>
      <c r="AJ199" s="83"/>
      <c r="AK199" s="83"/>
      <c r="AL199" s="83"/>
      <c r="AM199" s="83"/>
      <c r="AN199" s="83"/>
      <c r="AO199" s="83"/>
      <c r="AP199" s="89">
        <f t="shared" si="336"/>
        <v>0</v>
      </c>
      <c r="AQ199" s="89">
        <f t="shared" si="337"/>
        <v>0</v>
      </c>
      <c r="AR199" s="89">
        <f t="shared" si="338"/>
        <v>0</v>
      </c>
      <c r="AS199" s="89">
        <f t="shared" si="339"/>
        <v>0</v>
      </c>
      <c r="AT199" s="89">
        <f t="shared" si="340"/>
        <v>0</v>
      </c>
      <c r="AU199" s="89">
        <f t="shared" si="341"/>
        <v>0</v>
      </c>
      <c r="AV199" s="89">
        <f t="shared" si="342"/>
        <v>0</v>
      </c>
      <c r="AW199" s="89">
        <f t="shared" si="343"/>
        <v>0</v>
      </c>
      <c r="AX199" s="89">
        <f t="shared" si="344"/>
        <v>0</v>
      </c>
      <c r="AY199" s="89">
        <f t="shared" si="345"/>
        <v>0</v>
      </c>
      <c r="AZ199" s="89">
        <f t="shared" si="345"/>
        <v>0</v>
      </c>
      <c r="BA199" s="89">
        <f t="shared" si="346"/>
        <v>0</v>
      </c>
      <c r="BB199" s="89">
        <f t="shared" si="347"/>
        <v>0</v>
      </c>
      <c r="BC199" s="89">
        <f t="shared" si="348"/>
        <v>0</v>
      </c>
      <c r="BD199" s="89">
        <f t="shared" si="349"/>
        <v>0</v>
      </c>
      <c r="BE199" s="89">
        <f t="shared" si="350"/>
        <v>0</v>
      </c>
      <c r="BF199" s="89">
        <f t="shared" si="350"/>
        <v>0</v>
      </c>
      <c r="BG199" s="89">
        <f t="shared" si="351"/>
        <v>0</v>
      </c>
      <c r="BH199" s="111">
        <f t="shared" si="352"/>
        <v>0</v>
      </c>
    </row>
    <row r="200" spans="1:60" ht="22.5">
      <c r="A200" s="51"/>
      <c r="B200" s="108"/>
      <c r="C200" s="52" t="s">
        <v>145</v>
      </c>
      <c r="D200" s="52" t="s">
        <v>3</v>
      </c>
      <c r="E200" s="52" t="s">
        <v>0</v>
      </c>
      <c r="F200" s="54" t="s">
        <v>32</v>
      </c>
      <c r="G200" s="83"/>
      <c r="H200" s="83"/>
      <c r="I200" s="83"/>
      <c r="J200" s="83"/>
      <c r="K200" s="83"/>
      <c r="L200" s="83"/>
      <c r="M200" s="83"/>
      <c r="N200" s="83"/>
      <c r="O200" s="83"/>
      <c r="P200" s="89"/>
      <c r="Q200" s="83"/>
      <c r="R200" s="83"/>
      <c r="S200" s="83"/>
      <c r="T200" s="83"/>
      <c r="U200" s="83"/>
      <c r="V200" s="83"/>
      <c r="W200" s="83"/>
      <c r="X200" s="89">
        <f t="shared" si="335"/>
        <v>0</v>
      </c>
      <c r="Y200" s="83"/>
      <c r="Z200" s="83"/>
      <c r="AA200" s="83"/>
      <c r="AB200" s="83"/>
      <c r="AC200" s="83"/>
      <c r="AD200" s="83"/>
      <c r="AE200" s="83"/>
      <c r="AF200" s="83"/>
      <c r="AG200" s="83"/>
      <c r="AH200" s="89"/>
      <c r="AI200" s="83"/>
      <c r="AJ200" s="83"/>
      <c r="AK200" s="83"/>
      <c r="AL200" s="83"/>
      <c r="AM200" s="83"/>
      <c r="AN200" s="83"/>
      <c r="AO200" s="83"/>
      <c r="AP200" s="89">
        <f t="shared" si="336"/>
        <v>0</v>
      </c>
      <c r="AQ200" s="89">
        <f t="shared" si="337"/>
        <v>0</v>
      </c>
      <c r="AR200" s="89">
        <f t="shared" si="338"/>
        <v>0</v>
      </c>
      <c r="AS200" s="89">
        <f t="shared" si="339"/>
        <v>0</v>
      </c>
      <c r="AT200" s="89">
        <f t="shared" si="340"/>
        <v>0</v>
      </c>
      <c r="AU200" s="89">
        <f t="shared" si="341"/>
        <v>0</v>
      </c>
      <c r="AV200" s="89">
        <f t="shared" si="342"/>
        <v>0</v>
      </c>
      <c r="AW200" s="89">
        <f t="shared" si="343"/>
        <v>0</v>
      </c>
      <c r="AX200" s="89">
        <f t="shared" si="344"/>
        <v>0</v>
      </c>
      <c r="AY200" s="89">
        <f t="shared" si="345"/>
        <v>0</v>
      </c>
      <c r="AZ200" s="89">
        <f t="shared" si="345"/>
        <v>0</v>
      </c>
      <c r="BA200" s="89">
        <f t="shared" si="346"/>
        <v>0</v>
      </c>
      <c r="BB200" s="89">
        <f t="shared" si="347"/>
        <v>0</v>
      </c>
      <c r="BC200" s="89">
        <f t="shared" si="348"/>
        <v>0</v>
      </c>
      <c r="BD200" s="89">
        <f t="shared" si="349"/>
        <v>0</v>
      </c>
      <c r="BE200" s="89">
        <f t="shared" si="350"/>
        <v>0</v>
      </c>
      <c r="BF200" s="89">
        <f t="shared" si="350"/>
        <v>0</v>
      </c>
      <c r="BG200" s="89">
        <f t="shared" si="351"/>
        <v>0</v>
      </c>
      <c r="BH200" s="111">
        <f t="shared" si="352"/>
        <v>0</v>
      </c>
    </row>
    <row r="201" spans="1:60">
      <c r="A201" s="51"/>
      <c r="B201" s="108"/>
      <c r="C201" s="52" t="s">
        <v>146</v>
      </c>
      <c r="D201" s="52" t="s">
        <v>3</v>
      </c>
      <c r="E201" s="52" t="s">
        <v>0</v>
      </c>
      <c r="F201" s="54" t="s">
        <v>33</v>
      </c>
      <c r="G201" s="83"/>
      <c r="H201" s="83"/>
      <c r="I201" s="83"/>
      <c r="J201" s="83"/>
      <c r="K201" s="83"/>
      <c r="L201" s="83"/>
      <c r="M201" s="83"/>
      <c r="N201" s="83"/>
      <c r="O201" s="83"/>
      <c r="P201" s="89"/>
      <c r="Q201" s="83"/>
      <c r="R201" s="83"/>
      <c r="S201" s="83"/>
      <c r="T201" s="83"/>
      <c r="U201" s="83"/>
      <c r="V201" s="83"/>
      <c r="W201" s="83"/>
      <c r="X201" s="89">
        <f t="shared" si="335"/>
        <v>0</v>
      </c>
      <c r="Y201" s="83"/>
      <c r="Z201" s="83"/>
      <c r="AA201" s="83"/>
      <c r="AB201" s="83"/>
      <c r="AC201" s="83"/>
      <c r="AD201" s="83"/>
      <c r="AE201" s="83"/>
      <c r="AF201" s="83"/>
      <c r="AG201" s="83"/>
      <c r="AH201" s="89"/>
      <c r="AI201" s="83"/>
      <c r="AJ201" s="83"/>
      <c r="AK201" s="83"/>
      <c r="AL201" s="83"/>
      <c r="AM201" s="83"/>
      <c r="AN201" s="83"/>
      <c r="AO201" s="83"/>
      <c r="AP201" s="89">
        <f t="shared" si="336"/>
        <v>0</v>
      </c>
      <c r="AQ201" s="89">
        <f t="shared" si="337"/>
        <v>0</v>
      </c>
      <c r="AR201" s="89">
        <f t="shared" si="338"/>
        <v>0</v>
      </c>
      <c r="AS201" s="89">
        <f t="shared" si="339"/>
        <v>0</v>
      </c>
      <c r="AT201" s="89">
        <f t="shared" si="340"/>
        <v>0</v>
      </c>
      <c r="AU201" s="89">
        <f t="shared" si="341"/>
        <v>0</v>
      </c>
      <c r="AV201" s="89">
        <f t="shared" si="342"/>
        <v>0</v>
      </c>
      <c r="AW201" s="89">
        <f t="shared" si="343"/>
        <v>0</v>
      </c>
      <c r="AX201" s="89">
        <f t="shared" si="344"/>
        <v>0</v>
      </c>
      <c r="AY201" s="89">
        <f t="shared" si="345"/>
        <v>0</v>
      </c>
      <c r="AZ201" s="89">
        <f t="shared" si="345"/>
        <v>0</v>
      </c>
      <c r="BA201" s="89">
        <f t="shared" si="346"/>
        <v>0</v>
      </c>
      <c r="BB201" s="89">
        <f t="shared" si="347"/>
        <v>0</v>
      </c>
      <c r="BC201" s="89">
        <f t="shared" si="348"/>
        <v>0</v>
      </c>
      <c r="BD201" s="89">
        <f t="shared" si="349"/>
        <v>0</v>
      </c>
      <c r="BE201" s="89">
        <f t="shared" si="350"/>
        <v>0</v>
      </c>
      <c r="BF201" s="89">
        <f t="shared" si="350"/>
        <v>0</v>
      </c>
      <c r="BG201" s="89">
        <f t="shared" si="351"/>
        <v>0</v>
      </c>
      <c r="BH201" s="111">
        <f t="shared" si="352"/>
        <v>0</v>
      </c>
    </row>
    <row r="202" spans="1:60" ht="22.5">
      <c r="A202" s="51"/>
      <c r="B202" s="108"/>
      <c r="C202" s="52" t="s">
        <v>147</v>
      </c>
      <c r="D202" s="52" t="s">
        <v>3</v>
      </c>
      <c r="E202" s="52" t="s">
        <v>0</v>
      </c>
      <c r="F202" s="54" t="s">
        <v>34</v>
      </c>
      <c r="G202" s="83"/>
      <c r="H202" s="83"/>
      <c r="I202" s="83"/>
      <c r="J202" s="83"/>
      <c r="K202" s="83"/>
      <c r="L202" s="83"/>
      <c r="M202" s="83"/>
      <c r="N202" s="83"/>
      <c r="O202" s="83"/>
      <c r="P202" s="89"/>
      <c r="Q202" s="83"/>
      <c r="R202" s="83"/>
      <c r="S202" s="83"/>
      <c r="T202" s="83"/>
      <c r="U202" s="83"/>
      <c r="V202" s="83"/>
      <c r="W202" s="83"/>
      <c r="X202" s="89">
        <f t="shared" si="335"/>
        <v>0</v>
      </c>
      <c r="Y202" s="83"/>
      <c r="Z202" s="83"/>
      <c r="AA202" s="83"/>
      <c r="AB202" s="83"/>
      <c r="AC202" s="83"/>
      <c r="AD202" s="83"/>
      <c r="AE202" s="83"/>
      <c r="AF202" s="83"/>
      <c r="AG202" s="83"/>
      <c r="AH202" s="89"/>
      <c r="AI202" s="83"/>
      <c r="AJ202" s="83"/>
      <c r="AK202" s="83"/>
      <c r="AL202" s="83"/>
      <c r="AM202" s="83"/>
      <c r="AN202" s="83"/>
      <c r="AO202" s="83"/>
      <c r="AP202" s="89">
        <f t="shared" si="336"/>
        <v>0</v>
      </c>
      <c r="AQ202" s="89">
        <f t="shared" si="337"/>
        <v>0</v>
      </c>
      <c r="AR202" s="89">
        <f t="shared" si="338"/>
        <v>0</v>
      </c>
      <c r="AS202" s="89">
        <f t="shared" si="339"/>
        <v>0</v>
      </c>
      <c r="AT202" s="89">
        <f t="shared" si="340"/>
        <v>0</v>
      </c>
      <c r="AU202" s="89">
        <f t="shared" si="341"/>
        <v>0</v>
      </c>
      <c r="AV202" s="89">
        <f t="shared" si="342"/>
        <v>0</v>
      </c>
      <c r="AW202" s="89">
        <f t="shared" si="343"/>
        <v>0</v>
      </c>
      <c r="AX202" s="89">
        <f t="shared" si="344"/>
        <v>0</v>
      </c>
      <c r="AY202" s="89">
        <f t="shared" si="345"/>
        <v>0</v>
      </c>
      <c r="AZ202" s="89">
        <f t="shared" si="345"/>
        <v>0</v>
      </c>
      <c r="BA202" s="89">
        <f t="shared" si="346"/>
        <v>0</v>
      </c>
      <c r="BB202" s="89">
        <f t="shared" si="347"/>
        <v>0</v>
      </c>
      <c r="BC202" s="89">
        <f t="shared" si="348"/>
        <v>0</v>
      </c>
      <c r="BD202" s="89">
        <f t="shared" si="349"/>
        <v>0</v>
      </c>
      <c r="BE202" s="89">
        <f t="shared" si="350"/>
        <v>0</v>
      </c>
      <c r="BF202" s="89">
        <f t="shared" si="350"/>
        <v>0</v>
      </c>
      <c r="BG202" s="89">
        <f t="shared" si="351"/>
        <v>0</v>
      </c>
      <c r="BH202" s="111">
        <f t="shared" si="352"/>
        <v>0</v>
      </c>
    </row>
    <row r="203" spans="1:60" ht="22.5">
      <c r="A203" s="51"/>
      <c r="B203" s="108"/>
      <c r="C203" s="52" t="s">
        <v>148</v>
      </c>
      <c r="D203" s="52" t="s">
        <v>3</v>
      </c>
      <c r="E203" s="52" t="s">
        <v>0</v>
      </c>
      <c r="F203" s="54" t="s">
        <v>35</v>
      </c>
      <c r="G203" s="83"/>
      <c r="H203" s="83"/>
      <c r="I203" s="83"/>
      <c r="J203" s="83"/>
      <c r="K203" s="83"/>
      <c r="L203" s="83"/>
      <c r="M203" s="83"/>
      <c r="N203" s="83"/>
      <c r="O203" s="83"/>
      <c r="P203" s="89"/>
      <c r="Q203" s="83"/>
      <c r="R203" s="83"/>
      <c r="S203" s="83"/>
      <c r="T203" s="83"/>
      <c r="U203" s="83"/>
      <c r="V203" s="83"/>
      <c r="W203" s="83"/>
      <c r="X203" s="89">
        <f t="shared" si="335"/>
        <v>0</v>
      </c>
      <c r="Y203" s="83"/>
      <c r="Z203" s="83"/>
      <c r="AA203" s="83"/>
      <c r="AB203" s="83"/>
      <c r="AC203" s="83"/>
      <c r="AD203" s="83"/>
      <c r="AE203" s="83"/>
      <c r="AF203" s="83"/>
      <c r="AG203" s="83"/>
      <c r="AH203" s="89"/>
      <c r="AI203" s="83"/>
      <c r="AJ203" s="83"/>
      <c r="AK203" s="83"/>
      <c r="AL203" s="83"/>
      <c r="AM203" s="83"/>
      <c r="AN203" s="83"/>
      <c r="AO203" s="83"/>
      <c r="AP203" s="89">
        <f t="shared" si="336"/>
        <v>0</v>
      </c>
      <c r="AQ203" s="89">
        <f t="shared" si="337"/>
        <v>0</v>
      </c>
      <c r="AR203" s="89">
        <f t="shared" si="338"/>
        <v>0</v>
      </c>
      <c r="AS203" s="89">
        <f t="shared" si="339"/>
        <v>0</v>
      </c>
      <c r="AT203" s="89">
        <f t="shared" si="340"/>
        <v>0</v>
      </c>
      <c r="AU203" s="89">
        <f t="shared" si="341"/>
        <v>0</v>
      </c>
      <c r="AV203" s="89">
        <f t="shared" si="342"/>
        <v>0</v>
      </c>
      <c r="AW203" s="89">
        <f t="shared" si="343"/>
        <v>0</v>
      </c>
      <c r="AX203" s="89">
        <f t="shared" si="344"/>
        <v>0</v>
      </c>
      <c r="AY203" s="89">
        <f t="shared" si="345"/>
        <v>0</v>
      </c>
      <c r="AZ203" s="89">
        <f t="shared" si="345"/>
        <v>0</v>
      </c>
      <c r="BA203" s="89">
        <f t="shared" si="346"/>
        <v>0</v>
      </c>
      <c r="BB203" s="89">
        <f t="shared" si="347"/>
        <v>0</v>
      </c>
      <c r="BC203" s="89">
        <f t="shared" si="348"/>
        <v>0</v>
      </c>
      <c r="BD203" s="89">
        <f t="shared" si="349"/>
        <v>0</v>
      </c>
      <c r="BE203" s="89">
        <f t="shared" si="350"/>
        <v>0</v>
      </c>
      <c r="BF203" s="89">
        <f t="shared" si="350"/>
        <v>0</v>
      </c>
      <c r="BG203" s="89">
        <f t="shared" si="351"/>
        <v>0</v>
      </c>
      <c r="BH203" s="111">
        <f t="shared" si="352"/>
        <v>0</v>
      </c>
    </row>
    <row r="204" spans="1:60" ht="22.5">
      <c r="A204" s="51"/>
      <c r="B204" s="108"/>
      <c r="C204" s="52" t="s">
        <v>149</v>
      </c>
      <c r="D204" s="52" t="s">
        <v>3</v>
      </c>
      <c r="E204" s="52" t="s">
        <v>0</v>
      </c>
      <c r="F204" s="54" t="s">
        <v>36</v>
      </c>
      <c r="G204" s="83"/>
      <c r="H204" s="83"/>
      <c r="I204" s="83"/>
      <c r="J204" s="83"/>
      <c r="K204" s="83"/>
      <c r="L204" s="83"/>
      <c r="M204" s="83"/>
      <c r="N204" s="83"/>
      <c r="O204" s="83"/>
      <c r="P204" s="89"/>
      <c r="Q204" s="83"/>
      <c r="R204" s="83"/>
      <c r="S204" s="83"/>
      <c r="T204" s="83"/>
      <c r="U204" s="83"/>
      <c r="V204" s="83"/>
      <c r="W204" s="83"/>
      <c r="X204" s="89">
        <f t="shared" si="335"/>
        <v>0</v>
      </c>
      <c r="Y204" s="83"/>
      <c r="Z204" s="83"/>
      <c r="AA204" s="83"/>
      <c r="AB204" s="83"/>
      <c r="AC204" s="83"/>
      <c r="AD204" s="83"/>
      <c r="AE204" s="83"/>
      <c r="AF204" s="83"/>
      <c r="AG204" s="83"/>
      <c r="AH204" s="89"/>
      <c r="AI204" s="83"/>
      <c r="AJ204" s="83"/>
      <c r="AK204" s="83"/>
      <c r="AL204" s="83"/>
      <c r="AM204" s="83"/>
      <c r="AN204" s="83"/>
      <c r="AO204" s="83"/>
      <c r="AP204" s="89">
        <f t="shared" si="336"/>
        <v>0</v>
      </c>
      <c r="AQ204" s="89">
        <f t="shared" si="337"/>
        <v>0</v>
      </c>
      <c r="AR204" s="89">
        <f t="shared" si="338"/>
        <v>0</v>
      </c>
      <c r="AS204" s="89">
        <f t="shared" si="339"/>
        <v>0</v>
      </c>
      <c r="AT204" s="89">
        <f t="shared" si="340"/>
        <v>0</v>
      </c>
      <c r="AU204" s="89">
        <f t="shared" si="341"/>
        <v>0</v>
      </c>
      <c r="AV204" s="89">
        <f t="shared" si="342"/>
        <v>0</v>
      </c>
      <c r="AW204" s="89">
        <f t="shared" si="343"/>
        <v>0</v>
      </c>
      <c r="AX204" s="89">
        <f t="shared" si="344"/>
        <v>0</v>
      </c>
      <c r="AY204" s="89">
        <f t="shared" si="345"/>
        <v>0</v>
      </c>
      <c r="AZ204" s="89">
        <f t="shared" si="345"/>
        <v>0</v>
      </c>
      <c r="BA204" s="89">
        <f t="shared" si="346"/>
        <v>0</v>
      </c>
      <c r="BB204" s="89">
        <f t="shared" si="347"/>
        <v>0</v>
      </c>
      <c r="BC204" s="89">
        <f t="shared" si="348"/>
        <v>0</v>
      </c>
      <c r="BD204" s="89">
        <f t="shared" si="349"/>
        <v>0</v>
      </c>
      <c r="BE204" s="89">
        <f t="shared" si="350"/>
        <v>0</v>
      </c>
      <c r="BF204" s="89">
        <f t="shared" si="350"/>
        <v>0</v>
      </c>
      <c r="BG204" s="89">
        <f t="shared" si="351"/>
        <v>0</v>
      </c>
      <c r="BH204" s="111">
        <f t="shared" si="352"/>
        <v>0</v>
      </c>
    </row>
    <row r="205" spans="1:60" ht="22.5">
      <c r="A205" s="51"/>
      <c r="B205" s="108"/>
      <c r="C205" s="52" t="s">
        <v>150</v>
      </c>
      <c r="D205" s="52" t="s">
        <v>3</v>
      </c>
      <c r="E205" s="52" t="s">
        <v>0</v>
      </c>
      <c r="F205" s="54" t="s">
        <v>37</v>
      </c>
      <c r="G205" s="85"/>
      <c r="H205" s="85"/>
      <c r="I205" s="85"/>
      <c r="J205" s="85"/>
      <c r="K205" s="85"/>
      <c r="L205" s="85"/>
      <c r="M205" s="85"/>
      <c r="N205" s="85"/>
      <c r="O205" s="85"/>
      <c r="P205" s="89"/>
      <c r="Q205" s="85"/>
      <c r="R205" s="85"/>
      <c r="S205" s="85"/>
      <c r="T205" s="85"/>
      <c r="U205" s="85"/>
      <c r="V205" s="85"/>
      <c r="W205" s="85"/>
      <c r="X205" s="89">
        <f t="shared" si="335"/>
        <v>0</v>
      </c>
      <c r="Y205" s="85"/>
      <c r="Z205" s="85"/>
      <c r="AA205" s="85"/>
      <c r="AB205" s="85"/>
      <c r="AC205" s="85"/>
      <c r="AD205" s="85"/>
      <c r="AE205" s="85"/>
      <c r="AF205" s="85"/>
      <c r="AG205" s="85"/>
      <c r="AH205" s="89"/>
      <c r="AI205" s="85"/>
      <c r="AJ205" s="85"/>
      <c r="AK205" s="85"/>
      <c r="AL205" s="85"/>
      <c r="AM205" s="85"/>
      <c r="AN205" s="85"/>
      <c r="AO205" s="85"/>
      <c r="AP205" s="89">
        <f t="shared" si="336"/>
        <v>0</v>
      </c>
      <c r="AQ205" s="89">
        <f t="shared" si="337"/>
        <v>0</v>
      </c>
      <c r="AR205" s="89">
        <f t="shared" si="338"/>
        <v>0</v>
      </c>
      <c r="AS205" s="89">
        <f t="shared" si="339"/>
        <v>0</v>
      </c>
      <c r="AT205" s="89">
        <f t="shared" si="340"/>
        <v>0</v>
      </c>
      <c r="AU205" s="89">
        <f t="shared" si="341"/>
        <v>0</v>
      </c>
      <c r="AV205" s="89">
        <f t="shared" si="342"/>
        <v>0</v>
      </c>
      <c r="AW205" s="89">
        <f t="shared" si="343"/>
        <v>0</v>
      </c>
      <c r="AX205" s="89">
        <f t="shared" si="344"/>
        <v>0</v>
      </c>
      <c r="AY205" s="89">
        <f t="shared" si="345"/>
        <v>0</v>
      </c>
      <c r="AZ205" s="89">
        <f t="shared" si="345"/>
        <v>0</v>
      </c>
      <c r="BA205" s="89">
        <f t="shared" si="346"/>
        <v>0</v>
      </c>
      <c r="BB205" s="89">
        <f t="shared" si="347"/>
        <v>0</v>
      </c>
      <c r="BC205" s="89">
        <f t="shared" si="348"/>
        <v>0</v>
      </c>
      <c r="BD205" s="89">
        <f t="shared" si="349"/>
        <v>0</v>
      </c>
      <c r="BE205" s="89">
        <f t="shared" si="350"/>
        <v>0</v>
      </c>
      <c r="BF205" s="89">
        <f t="shared" si="350"/>
        <v>0</v>
      </c>
      <c r="BG205" s="89">
        <f t="shared" si="351"/>
        <v>0</v>
      </c>
      <c r="BH205" s="111">
        <f t="shared" si="352"/>
        <v>0</v>
      </c>
    </row>
    <row r="206" spans="1:60" ht="22.5">
      <c r="A206" s="51"/>
      <c r="B206" s="108"/>
      <c r="C206" s="52" t="s">
        <v>151</v>
      </c>
      <c r="D206" s="52" t="s">
        <v>3</v>
      </c>
      <c r="E206" s="52" t="s">
        <v>0</v>
      </c>
      <c r="F206" s="54" t="s">
        <v>38</v>
      </c>
      <c r="G206" s="83"/>
      <c r="H206" s="83"/>
      <c r="I206" s="83"/>
      <c r="J206" s="83"/>
      <c r="K206" s="83"/>
      <c r="L206" s="83"/>
      <c r="M206" s="83"/>
      <c r="N206" s="83"/>
      <c r="O206" s="83"/>
      <c r="P206" s="89"/>
      <c r="Q206" s="83"/>
      <c r="R206" s="83"/>
      <c r="S206" s="83"/>
      <c r="T206" s="83"/>
      <c r="U206" s="83"/>
      <c r="V206" s="83"/>
      <c r="W206" s="83"/>
      <c r="X206" s="89">
        <f t="shared" si="335"/>
        <v>0</v>
      </c>
      <c r="Y206" s="83"/>
      <c r="Z206" s="83"/>
      <c r="AA206" s="83"/>
      <c r="AB206" s="83"/>
      <c r="AC206" s="83"/>
      <c r="AD206" s="83"/>
      <c r="AE206" s="83"/>
      <c r="AF206" s="83"/>
      <c r="AG206" s="83"/>
      <c r="AH206" s="89"/>
      <c r="AI206" s="83"/>
      <c r="AJ206" s="83"/>
      <c r="AK206" s="83"/>
      <c r="AL206" s="83"/>
      <c r="AM206" s="83"/>
      <c r="AN206" s="83"/>
      <c r="AO206" s="83"/>
      <c r="AP206" s="89">
        <f t="shared" si="336"/>
        <v>0</v>
      </c>
      <c r="AQ206" s="89">
        <f t="shared" si="337"/>
        <v>0</v>
      </c>
      <c r="AR206" s="89">
        <f t="shared" si="338"/>
        <v>0</v>
      </c>
      <c r="AS206" s="89">
        <f t="shared" si="339"/>
        <v>0</v>
      </c>
      <c r="AT206" s="89">
        <f t="shared" si="340"/>
        <v>0</v>
      </c>
      <c r="AU206" s="89">
        <f t="shared" si="341"/>
        <v>0</v>
      </c>
      <c r="AV206" s="89">
        <f t="shared" si="342"/>
        <v>0</v>
      </c>
      <c r="AW206" s="89">
        <f t="shared" si="343"/>
        <v>0</v>
      </c>
      <c r="AX206" s="89">
        <f t="shared" si="344"/>
        <v>0</v>
      </c>
      <c r="AY206" s="89">
        <f t="shared" si="345"/>
        <v>0</v>
      </c>
      <c r="AZ206" s="89">
        <f t="shared" si="345"/>
        <v>0</v>
      </c>
      <c r="BA206" s="89">
        <f t="shared" si="346"/>
        <v>0</v>
      </c>
      <c r="BB206" s="89">
        <f t="shared" si="347"/>
        <v>0</v>
      </c>
      <c r="BC206" s="89">
        <f t="shared" si="348"/>
        <v>0</v>
      </c>
      <c r="BD206" s="89">
        <f t="shared" si="349"/>
        <v>0</v>
      </c>
      <c r="BE206" s="89">
        <f t="shared" si="350"/>
        <v>0</v>
      </c>
      <c r="BF206" s="89">
        <f t="shared" si="350"/>
        <v>0</v>
      </c>
      <c r="BG206" s="89">
        <f t="shared" si="351"/>
        <v>0</v>
      </c>
      <c r="BH206" s="111">
        <f t="shared" si="352"/>
        <v>0</v>
      </c>
    </row>
    <row r="207" spans="1:60" ht="22.5">
      <c r="A207" s="51"/>
      <c r="B207" s="108"/>
      <c r="C207" s="52"/>
      <c r="D207" s="52"/>
      <c r="E207" s="52" t="s">
        <v>0</v>
      </c>
      <c r="F207" s="53" t="s">
        <v>39</v>
      </c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52"/>
      <c r="Z207" s="52"/>
      <c r="AA207" s="52"/>
      <c r="AB207" s="52"/>
      <c r="AC207" s="52"/>
      <c r="AD207" s="52"/>
      <c r="AE207" s="52"/>
      <c r="AF207" s="52"/>
      <c r="AG207" s="52"/>
      <c r="AH207" s="52"/>
      <c r="AI207" s="52"/>
      <c r="AJ207" s="52"/>
      <c r="AK207" s="52"/>
      <c r="AL207" s="52"/>
      <c r="AM207" s="52"/>
      <c r="AN207" s="52"/>
      <c r="AO207" s="52"/>
      <c r="AP207" s="91">
        <f t="shared" si="336"/>
        <v>0</v>
      </c>
      <c r="AQ207" s="91"/>
      <c r="AR207" s="91"/>
      <c r="AS207" s="91"/>
      <c r="AT207" s="91"/>
      <c r="AU207" s="91"/>
      <c r="AV207" s="91"/>
      <c r="AW207" s="91"/>
      <c r="AX207" s="91"/>
      <c r="AY207" s="91"/>
      <c r="AZ207" s="91"/>
      <c r="BA207" s="91"/>
      <c r="BB207" s="91"/>
      <c r="BC207" s="91"/>
      <c r="BD207" s="91"/>
      <c r="BE207" s="91"/>
      <c r="BF207" s="91"/>
      <c r="BG207" s="91"/>
      <c r="BH207" s="112"/>
    </row>
    <row r="208" spans="1:60" ht="22.5">
      <c r="A208" s="51"/>
      <c r="B208" s="108"/>
      <c r="C208" s="52" t="s">
        <v>152</v>
      </c>
      <c r="D208" s="52" t="s">
        <v>3</v>
      </c>
      <c r="E208" s="52" t="s">
        <v>0</v>
      </c>
      <c r="F208" s="54" t="s">
        <v>40</v>
      </c>
      <c r="G208" s="83"/>
      <c r="H208" s="83"/>
      <c r="I208" s="83"/>
      <c r="J208" s="83"/>
      <c r="K208" s="83"/>
      <c r="L208" s="83"/>
      <c r="M208" s="83"/>
      <c r="N208" s="83"/>
      <c r="O208" s="83"/>
      <c r="P208" s="89"/>
      <c r="Q208" s="83"/>
      <c r="R208" s="83"/>
      <c r="S208" s="83"/>
      <c r="T208" s="83"/>
      <c r="U208" s="83"/>
      <c r="V208" s="83"/>
      <c r="W208" s="83"/>
      <c r="X208" s="89">
        <f t="shared" si="335"/>
        <v>0</v>
      </c>
      <c r="Y208" s="83"/>
      <c r="Z208" s="83"/>
      <c r="AA208" s="83"/>
      <c r="AB208" s="83"/>
      <c r="AC208" s="83"/>
      <c r="AD208" s="83"/>
      <c r="AE208" s="83"/>
      <c r="AF208" s="83"/>
      <c r="AG208" s="83"/>
      <c r="AH208" s="89"/>
      <c r="AI208" s="83"/>
      <c r="AJ208" s="83"/>
      <c r="AK208" s="83"/>
      <c r="AL208" s="83"/>
      <c r="AM208" s="83"/>
      <c r="AN208" s="83"/>
      <c r="AO208" s="83"/>
      <c r="AP208" s="89">
        <f t="shared" si="336"/>
        <v>0</v>
      </c>
      <c r="AQ208" s="89">
        <f t="shared" ref="AQ208:AW210" si="353">G208+Y208</f>
        <v>0</v>
      </c>
      <c r="AR208" s="89">
        <f t="shared" si="353"/>
        <v>0</v>
      </c>
      <c r="AS208" s="89">
        <f t="shared" si="353"/>
        <v>0</v>
      </c>
      <c r="AT208" s="89">
        <f t="shared" si="353"/>
        <v>0</v>
      </c>
      <c r="AU208" s="89">
        <f t="shared" si="353"/>
        <v>0</v>
      </c>
      <c r="AV208" s="89">
        <f t="shared" si="353"/>
        <v>0</v>
      </c>
      <c r="AW208" s="89">
        <f t="shared" si="353"/>
        <v>0</v>
      </c>
      <c r="AX208" s="89">
        <f t="shared" ref="AX208:AX210" si="354">N208+AF208</f>
        <v>0</v>
      </c>
      <c r="AY208" s="89">
        <f t="shared" ref="AY208:AZ210" si="355">O208+AG208</f>
        <v>0</v>
      </c>
      <c r="AZ208" s="89">
        <f t="shared" si="355"/>
        <v>0</v>
      </c>
      <c r="BA208" s="89">
        <f t="shared" ref="BA208:BF210" si="356">Q208+AI208</f>
        <v>0</v>
      </c>
      <c r="BB208" s="89">
        <f t="shared" si="356"/>
        <v>0</v>
      </c>
      <c r="BC208" s="89">
        <f t="shared" si="356"/>
        <v>0</v>
      </c>
      <c r="BD208" s="89">
        <f t="shared" si="356"/>
        <v>0</v>
      </c>
      <c r="BE208" s="89">
        <f t="shared" si="356"/>
        <v>0</v>
      </c>
      <c r="BF208" s="89">
        <f t="shared" si="356"/>
        <v>0</v>
      </c>
      <c r="BG208" s="89">
        <f t="shared" ref="BG208:BG210" si="357">W208+AO208</f>
        <v>0</v>
      </c>
      <c r="BH208" s="111">
        <f>X208+AP208</f>
        <v>0</v>
      </c>
    </row>
    <row r="209" spans="1:60" ht="22.5">
      <c r="A209" s="51"/>
      <c r="B209" s="108"/>
      <c r="C209" s="52" t="s">
        <v>153</v>
      </c>
      <c r="D209" s="52" t="s">
        <v>3</v>
      </c>
      <c r="E209" s="52" t="s">
        <v>0</v>
      </c>
      <c r="F209" s="54" t="s">
        <v>41</v>
      </c>
      <c r="G209" s="83"/>
      <c r="H209" s="83"/>
      <c r="I209" s="83"/>
      <c r="J209" s="83"/>
      <c r="K209" s="83"/>
      <c r="L209" s="83"/>
      <c r="M209" s="83"/>
      <c r="N209" s="83"/>
      <c r="O209" s="83"/>
      <c r="P209" s="89"/>
      <c r="Q209" s="83"/>
      <c r="R209" s="83"/>
      <c r="S209" s="83"/>
      <c r="T209" s="83"/>
      <c r="U209" s="83"/>
      <c r="V209" s="83"/>
      <c r="W209" s="83"/>
      <c r="X209" s="89">
        <f t="shared" si="335"/>
        <v>0</v>
      </c>
      <c r="Y209" s="83"/>
      <c r="Z209" s="83"/>
      <c r="AA209" s="83"/>
      <c r="AB209" s="83"/>
      <c r="AC209" s="83"/>
      <c r="AD209" s="83"/>
      <c r="AE209" s="83"/>
      <c r="AF209" s="83"/>
      <c r="AG209" s="83"/>
      <c r="AH209" s="89"/>
      <c r="AI209" s="83"/>
      <c r="AJ209" s="83"/>
      <c r="AK209" s="83"/>
      <c r="AL209" s="83"/>
      <c r="AM209" s="83"/>
      <c r="AN209" s="83"/>
      <c r="AO209" s="83"/>
      <c r="AP209" s="89">
        <f t="shared" si="336"/>
        <v>0</v>
      </c>
      <c r="AQ209" s="89">
        <f t="shared" si="353"/>
        <v>0</v>
      </c>
      <c r="AR209" s="89">
        <f t="shared" si="353"/>
        <v>0</v>
      </c>
      <c r="AS209" s="89">
        <f t="shared" si="353"/>
        <v>0</v>
      </c>
      <c r="AT209" s="89">
        <f t="shared" si="353"/>
        <v>0</v>
      </c>
      <c r="AU209" s="89">
        <f t="shared" si="353"/>
        <v>0</v>
      </c>
      <c r="AV209" s="89">
        <f t="shared" si="353"/>
        <v>0</v>
      </c>
      <c r="AW209" s="89">
        <f t="shared" si="353"/>
        <v>0</v>
      </c>
      <c r="AX209" s="89">
        <f t="shared" si="354"/>
        <v>0</v>
      </c>
      <c r="AY209" s="89">
        <f t="shared" si="355"/>
        <v>0</v>
      </c>
      <c r="AZ209" s="89">
        <f t="shared" si="355"/>
        <v>0</v>
      </c>
      <c r="BA209" s="89">
        <f t="shared" si="356"/>
        <v>0</v>
      </c>
      <c r="BB209" s="89">
        <f t="shared" si="356"/>
        <v>0</v>
      </c>
      <c r="BC209" s="89">
        <f t="shared" si="356"/>
        <v>0</v>
      </c>
      <c r="BD209" s="89">
        <f t="shared" si="356"/>
        <v>0</v>
      </c>
      <c r="BE209" s="89">
        <f t="shared" si="356"/>
        <v>0</v>
      </c>
      <c r="BF209" s="89">
        <f t="shared" si="356"/>
        <v>0</v>
      </c>
      <c r="BG209" s="89">
        <f t="shared" si="357"/>
        <v>0</v>
      </c>
      <c r="BH209" s="111">
        <f>X209+AP209</f>
        <v>0</v>
      </c>
    </row>
    <row r="210" spans="1:60" ht="22.5">
      <c r="A210" s="51"/>
      <c r="B210" s="108"/>
      <c r="C210" s="52" t="s">
        <v>154</v>
      </c>
      <c r="D210" s="52" t="s">
        <v>3</v>
      </c>
      <c r="E210" s="52" t="s">
        <v>0</v>
      </c>
      <c r="F210" s="53" t="s">
        <v>62</v>
      </c>
      <c r="G210" s="89">
        <f t="shared" ref="G210:M210" si="358">G208+G209</f>
        <v>0</v>
      </c>
      <c r="H210" s="89">
        <f t="shared" si="358"/>
        <v>0</v>
      </c>
      <c r="I210" s="89">
        <f t="shared" si="358"/>
        <v>0</v>
      </c>
      <c r="J210" s="89">
        <f t="shared" si="358"/>
        <v>0</v>
      </c>
      <c r="K210" s="89">
        <f t="shared" si="358"/>
        <v>0</v>
      </c>
      <c r="L210" s="89">
        <f t="shared" si="358"/>
        <v>0</v>
      </c>
      <c r="M210" s="89">
        <f t="shared" si="358"/>
        <v>0</v>
      </c>
      <c r="N210" s="89">
        <f t="shared" ref="N210:O210" si="359">N208+N209</f>
        <v>0</v>
      </c>
      <c r="O210" s="89">
        <f t="shared" si="359"/>
        <v>0</v>
      </c>
      <c r="P210" s="89">
        <f t="shared" ref="P210" si="360">P208+P209</f>
        <v>0</v>
      </c>
      <c r="Q210" s="89">
        <f t="shared" ref="Q210:W210" si="361">Q208+Q209</f>
        <v>0</v>
      </c>
      <c r="R210" s="89">
        <f t="shared" si="361"/>
        <v>0</v>
      </c>
      <c r="S210" s="89">
        <f t="shared" si="361"/>
        <v>0</v>
      </c>
      <c r="T210" s="89">
        <f t="shared" si="361"/>
        <v>0</v>
      </c>
      <c r="U210" s="89">
        <f t="shared" si="361"/>
        <v>0</v>
      </c>
      <c r="V210" s="89">
        <f t="shared" ref="V210" si="362">V208+V209</f>
        <v>0</v>
      </c>
      <c r="W210" s="89">
        <f t="shared" si="361"/>
        <v>0</v>
      </c>
      <c r="X210" s="89">
        <f t="shared" si="335"/>
        <v>0</v>
      </c>
      <c r="Y210" s="89">
        <f t="shared" ref="Y210:AG210" si="363">Y208+Y209</f>
        <v>0</v>
      </c>
      <c r="Z210" s="89">
        <f t="shared" si="363"/>
        <v>0</v>
      </c>
      <c r="AA210" s="89">
        <f t="shared" si="363"/>
        <v>0</v>
      </c>
      <c r="AB210" s="89">
        <f t="shared" si="363"/>
        <v>0</v>
      </c>
      <c r="AC210" s="89">
        <f t="shared" si="363"/>
        <v>0</v>
      </c>
      <c r="AD210" s="89">
        <f t="shared" si="363"/>
        <v>0</v>
      </c>
      <c r="AE210" s="89">
        <f t="shared" si="363"/>
        <v>0</v>
      </c>
      <c r="AF210" s="89">
        <f t="shared" si="363"/>
        <v>0</v>
      </c>
      <c r="AG210" s="89">
        <f t="shared" si="363"/>
        <v>0</v>
      </c>
      <c r="AH210" s="89">
        <f t="shared" ref="AH210" si="364">AH208+AH209</f>
        <v>0</v>
      </c>
      <c r="AI210" s="89">
        <f t="shared" ref="AI210:AO210" si="365">AI208+AI209</f>
        <v>0</v>
      </c>
      <c r="AJ210" s="89">
        <f t="shared" si="365"/>
        <v>0</v>
      </c>
      <c r="AK210" s="89">
        <f t="shared" si="365"/>
        <v>0</v>
      </c>
      <c r="AL210" s="89">
        <f t="shared" si="365"/>
        <v>0</v>
      </c>
      <c r="AM210" s="89">
        <f t="shared" si="365"/>
        <v>0</v>
      </c>
      <c r="AN210" s="89">
        <f t="shared" si="365"/>
        <v>0</v>
      </c>
      <c r="AO210" s="89">
        <f t="shared" si="365"/>
        <v>0</v>
      </c>
      <c r="AP210" s="89">
        <f t="shared" si="336"/>
        <v>0</v>
      </c>
      <c r="AQ210" s="89">
        <f t="shared" si="353"/>
        <v>0</v>
      </c>
      <c r="AR210" s="89">
        <f t="shared" si="353"/>
        <v>0</v>
      </c>
      <c r="AS210" s="89">
        <f t="shared" si="353"/>
        <v>0</v>
      </c>
      <c r="AT210" s="89">
        <f t="shared" si="353"/>
        <v>0</v>
      </c>
      <c r="AU210" s="89">
        <f t="shared" si="353"/>
        <v>0</v>
      </c>
      <c r="AV210" s="89">
        <f t="shared" si="353"/>
        <v>0</v>
      </c>
      <c r="AW210" s="89">
        <f t="shared" si="353"/>
        <v>0</v>
      </c>
      <c r="AX210" s="89">
        <f t="shared" si="354"/>
        <v>0</v>
      </c>
      <c r="AY210" s="89">
        <f t="shared" si="355"/>
        <v>0</v>
      </c>
      <c r="AZ210" s="89">
        <f t="shared" si="355"/>
        <v>0</v>
      </c>
      <c r="BA210" s="89">
        <f t="shared" si="356"/>
        <v>0</v>
      </c>
      <c r="BB210" s="89">
        <f t="shared" si="356"/>
        <v>0</v>
      </c>
      <c r="BC210" s="89">
        <f t="shared" si="356"/>
        <v>0</v>
      </c>
      <c r="BD210" s="89">
        <f t="shared" si="356"/>
        <v>0</v>
      </c>
      <c r="BE210" s="89">
        <f t="shared" si="356"/>
        <v>0</v>
      </c>
      <c r="BF210" s="89">
        <f t="shared" si="356"/>
        <v>0</v>
      </c>
      <c r="BG210" s="89">
        <f t="shared" si="357"/>
        <v>0</v>
      </c>
      <c r="BH210" s="111">
        <f>X210+AP210</f>
        <v>0</v>
      </c>
    </row>
    <row r="211" spans="1:60" ht="22.5">
      <c r="A211" s="51"/>
      <c r="B211" s="108"/>
      <c r="C211" s="52"/>
      <c r="D211" s="52"/>
      <c r="E211" s="52" t="s">
        <v>0</v>
      </c>
      <c r="F211" s="53" t="s">
        <v>42</v>
      </c>
      <c r="G211" s="52"/>
      <c r="H211" s="52"/>
      <c r="I211" s="52"/>
      <c r="J211" s="52"/>
      <c r="K211" s="52"/>
      <c r="L211" s="52"/>
      <c r="M211" s="52"/>
      <c r="N211" s="52"/>
      <c r="O211" s="52"/>
      <c r="P211" s="52"/>
      <c r="Q211" s="52"/>
      <c r="R211" s="52"/>
      <c r="S211" s="52"/>
      <c r="T211" s="52"/>
      <c r="U211" s="52"/>
      <c r="V211" s="52"/>
      <c r="W211" s="52"/>
      <c r="X211" s="91"/>
      <c r="Y211" s="52"/>
      <c r="Z211" s="52"/>
      <c r="AA211" s="52"/>
      <c r="AB211" s="52"/>
      <c r="AC211" s="52"/>
      <c r="AD211" s="52"/>
      <c r="AE211" s="52"/>
      <c r="AF211" s="52"/>
      <c r="AG211" s="52"/>
      <c r="AH211" s="52"/>
      <c r="AI211" s="52"/>
      <c r="AJ211" s="52"/>
      <c r="AK211" s="52"/>
      <c r="AL211" s="52"/>
      <c r="AM211" s="52"/>
      <c r="AN211" s="52"/>
      <c r="AO211" s="52"/>
      <c r="AP211" s="91"/>
      <c r="AQ211" s="91"/>
      <c r="AR211" s="91"/>
      <c r="AS211" s="91"/>
      <c r="AT211" s="91"/>
      <c r="AU211" s="91"/>
      <c r="AV211" s="91"/>
      <c r="AW211" s="91"/>
      <c r="AX211" s="91"/>
      <c r="AY211" s="91"/>
      <c r="AZ211" s="91"/>
      <c r="BA211" s="91"/>
      <c r="BB211" s="91"/>
      <c r="BC211" s="91"/>
      <c r="BD211" s="91"/>
      <c r="BE211" s="91"/>
      <c r="BF211" s="91"/>
      <c r="BG211" s="91"/>
      <c r="BH211" s="112"/>
    </row>
    <row r="212" spans="1:60">
      <c r="A212" s="51"/>
      <c r="B212" s="108"/>
      <c r="C212" s="52" t="s">
        <v>155</v>
      </c>
      <c r="D212" s="52" t="s">
        <v>3</v>
      </c>
      <c r="E212" s="52" t="s">
        <v>0</v>
      </c>
      <c r="F212" s="54" t="s">
        <v>43</v>
      </c>
      <c r="G212" s="83"/>
      <c r="H212" s="83"/>
      <c r="I212" s="83"/>
      <c r="J212" s="83"/>
      <c r="K212" s="83"/>
      <c r="L212" s="83"/>
      <c r="M212" s="83"/>
      <c r="N212" s="83"/>
      <c r="O212" s="83"/>
      <c r="P212" s="89"/>
      <c r="Q212" s="83"/>
      <c r="R212" s="83"/>
      <c r="S212" s="83"/>
      <c r="T212" s="83"/>
      <c r="U212" s="83"/>
      <c r="V212" s="83"/>
      <c r="W212" s="83"/>
      <c r="X212" s="89">
        <f t="shared" ref="X212:X218" si="366">SUM(P212:W212)+SUM(G212:K212)</f>
        <v>0</v>
      </c>
      <c r="Y212" s="83"/>
      <c r="Z212" s="83"/>
      <c r="AA212" s="83"/>
      <c r="AB212" s="83"/>
      <c r="AC212" s="83"/>
      <c r="AD212" s="83"/>
      <c r="AE212" s="83"/>
      <c r="AF212" s="83"/>
      <c r="AG212" s="83"/>
      <c r="AH212" s="89"/>
      <c r="AI212" s="83"/>
      <c r="AJ212" s="83"/>
      <c r="AK212" s="83"/>
      <c r="AL212" s="83"/>
      <c r="AM212" s="83"/>
      <c r="AN212" s="83"/>
      <c r="AO212" s="83"/>
      <c r="AP212" s="89">
        <f t="shared" ref="AP212:AP218" si="367">SUM(AH212:AO212)+SUM(Y212:AC212)</f>
        <v>0</v>
      </c>
      <c r="AQ212" s="89">
        <f t="shared" ref="AQ212:AW218" si="368">G212+Y212</f>
        <v>0</v>
      </c>
      <c r="AR212" s="89">
        <f t="shared" si="368"/>
        <v>0</v>
      </c>
      <c r="AS212" s="89">
        <f t="shared" si="368"/>
        <v>0</v>
      </c>
      <c r="AT212" s="89">
        <f t="shared" si="368"/>
        <v>0</v>
      </c>
      <c r="AU212" s="89">
        <f t="shared" si="368"/>
        <v>0</v>
      </c>
      <c r="AV212" s="89">
        <f t="shared" si="368"/>
        <v>0</v>
      </c>
      <c r="AW212" s="89">
        <f t="shared" si="368"/>
        <v>0</v>
      </c>
      <c r="AX212" s="89">
        <f t="shared" ref="AX212:AX218" si="369">N212+AF212</f>
        <v>0</v>
      </c>
      <c r="AY212" s="89">
        <f t="shared" ref="AY212:AZ218" si="370">O212+AG212</f>
        <v>0</v>
      </c>
      <c r="AZ212" s="89">
        <f t="shared" si="370"/>
        <v>0</v>
      </c>
      <c r="BA212" s="89">
        <f t="shared" ref="BA212:BF218" si="371">Q212+AI212</f>
        <v>0</v>
      </c>
      <c r="BB212" s="89">
        <f t="shared" si="371"/>
        <v>0</v>
      </c>
      <c r="BC212" s="89">
        <f t="shared" si="371"/>
        <v>0</v>
      </c>
      <c r="BD212" s="89">
        <f t="shared" si="371"/>
        <v>0</v>
      </c>
      <c r="BE212" s="89">
        <f t="shared" si="371"/>
        <v>0</v>
      </c>
      <c r="BF212" s="89">
        <f t="shared" si="371"/>
        <v>0</v>
      </c>
      <c r="BG212" s="89">
        <f t="shared" ref="BG212:BG218" si="372">W212+AO212</f>
        <v>0</v>
      </c>
      <c r="BH212" s="111">
        <f t="shared" ref="BH212:BH218" si="373">X212+AP212</f>
        <v>0</v>
      </c>
    </row>
    <row r="213" spans="1:60">
      <c r="A213" s="51"/>
      <c r="B213" s="108"/>
      <c r="C213" s="52" t="s">
        <v>156</v>
      </c>
      <c r="D213" s="52" t="s">
        <v>3</v>
      </c>
      <c r="E213" s="52" t="s">
        <v>0</v>
      </c>
      <c r="F213" s="54" t="s">
        <v>44</v>
      </c>
      <c r="G213" s="83"/>
      <c r="H213" s="83"/>
      <c r="I213" s="83"/>
      <c r="J213" s="83"/>
      <c r="K213" s="83"/>
      <c r="L213" s="83"/>
      <c r="M213" s="83"/>
      <c r="N213" s="83"/>
      <c r="O213" s="83"/>
      <c r="P213" s="89"/>
      <c r="Q213" s="83"/>
      <c r="R213" s="83"/>
      <c r="S213" s="83"/>
      <c r="T213" s="83"/>
      <c r="U213" s="83"/>
      <c r="V213" s="83"/>
      <c r="W213" s="83"/>
      <c r="X213" s="89">
        <f t="shared" si="366"/>
        <v>0</v>
      </c>
      <c r="Y213" s="83"/>
      <c r="Z213" s="83"/>
      <c r="AA213" s="83"/>
      <c r="AB213" s="83"/>
      <c r="AC213" s="83"/>
      <c r="AD213" s="83"/>
      <c r="AE213" s="83"/>
      <c r="AF213" s="83"/>
      <c r="AG213" s="83"/>
      <c r="AH213" s="89"/>
      <c r="AI213" s="83"/>
      <c r="AJ213" s="83"/>
      <c r="AK213" s="83"/>
      <c r="AL213" s="83"/>
      <c r="AM213" s="83"/>
      <c r="AN213" s="83"/>
      <c r="AO213" s="83"/>
      <c r="AP213" s="89">
        <f t="shared" si="367"/>
        <v>0</v>
      </c>
      <c r="AQ213" s="89">
        <f t="shared" si="368"/>
        <v>0</v>
      </c>
      <c r="AR213" s="89">
        <f t="shared" si="368"/>
        <v>0</v>
      </c>
      <c r="AS213" s="89">
        <f t="shared" si="368"/>
        <v>0</v>
      </c>
      <c r="AT213" s="89">
        <f t="shared" si="368"/>
        <v>0</v>
      </c>
      <c r="AU213" s="89">
        <f t="shared" si="368"/>
        <v>0</v>
      </c>
      <c r="AV213" s="89">
        <f t="shared" si="368"/>
        <v>0</v>
      </c>
      <c r="AW213" s="89">
        <f t="shared" si="368"/>
        <v>0</v>
      </c>
      <c r="AX213" s="89">
        <f t="shared" si="369"/>
        <v>0</v>
      </c>
      <c r="AY213" s="89">
        <f t="shared" si="370"/>
        <v>0</v>
      </c>
      <c r="AZ213" s="89">
        <f t="shared" si="370"/>
        <v>0</v>
      </c>
      <c r="BA213" s="89">
        <f t="shared" si="371"/>
        <v>0</v>
      </c>
      <c r="BB213" s="89">
        <f t="shared" si="371"/>
        <v>0</v>
      </c>
      <c r="BC213" s="89">
        <f t="shared" si="371"/>
        <v>0</v>
      </c>
      <c r="BD213" s="89">
        <f t="shared" si="371"/>
        <v>0</v>
      </c>
      <c r="BE213" s="89">
        <f t="shared" si="371"/>
        <v>0</v>
      </c>
      <c r="BF213" s="89">
        <f t="shared" si="371"/>
        <v>0</v>
      </c>
      <c r="BG213" s="89">
        <f t="shared" si="372"/>
        <v>0</v>
      </c>
      <c r="BH213" s="111">
        <f t="shared" si="373"/>
        <v>0</v>
      </c>
    </row>
    <row r="214" spans="1:60" ht="15" customHeight="1">
      <c r="A214" s="51"/>
      <c r="B214" s="108"/>
      <c r="C214" s="52" t="s">
        <v>157</v>
      </c>
      <c r="D214" s="52" t="s">
        <v>3</v>
      </c>
      <c r="E214" s="52" t="s">
        <v>0</v>
      </c>
      <c r="F214" s="53" t="s">
        <v>63</v>
      </c>
      <c r="G214" s="89">
        <f t="shared" ref="G214:M214" si="374">G212+G213</f>
        <v>0</v>
      </c>
      <c r="H214" s="89">
        <f t="shared" si="374"/>
        <v>0</v>
      </c>
      <c r="I214" s="89">
        <f t="shared" si="374"/>
        <v>0</v>
      </c>
      <c r="J214" s="89">
        <f t="shared" si="374"/>
        <v>0</v>
      </c>
      <c r="K214" s="89">
        <f t="shared" si="374"/>
        <v>0</v>
      </c>
      <c r="L214" s="89">
        <f t="shared" si="374"/>
        <v>0</v>
      </c>
      <c r="M214" s="89">
        <f t="shared" si="374"/>
        <v>0</v>
      </c>
      <c r="N214" s="89">
        <f t="shared" ref="N214:O214" si="375">N212+N213</f>
        <v>0</v>
      </c>
      <c r="O214" s="89">
        <f t="shared" si="375"/>
        <v>0</v>
      </c>
      <c r="P214" s="89">
        <f t="shared" ref="P214" si="376">P212+P213</f>
        <v>0</v>
      </c>
      <c r="Q214" s="89">
        <f t="shared" ref="Q214:W214" si="377">Q212+Q213</f>
        <v>0</v>
      </c>
      <c r="R214" s="89">
        <f t="shared" si="377"/>
        <v>0</v>
      </c>
      <c r="S214" s="89">
        <f t="shared" si="377"/>
        <v>0</v>
      </c>
      <c r="T214" s="89">
        <f t="shared" si="377"/>
        <v>0</v>
      </c>
      <c r="U214" s="89">
        <f t="shared" si="377"/>
        <v>0</v>
      </c>
      <c r="V214" s="89">
        <f t="shared" ref="V214" si="378">V212+V213</f>
        <v>0</v>
      </c>
      <c r="W214" s="89">
        <f t="shared" si="377"/>
        <v>0</v>
      </c>
      <c r="X214" s="89">
        <f t="shared" si="366"/>
        <v>0</v>
      </c>
      <c r="Y214" s="89">
        <f t="shared" ref="Y214:AG214" si="379">Y212+Y213</f>
        <v>0</v>
      </c>
      <c r="Z214" s="89">
        <f t="shared" si="379"/>
        <v>0</v>
      </c>
      <c r="AA214" s="89">
        <f t="shared" si="379"/>
        <v>0</v>
      </c>
      <c r="AB214" s="89">
        <f t="shared" si="379"/>
        <v>0</v>
      </c>
      <c r="AC214" s="89">
        <f t="shared" si="379"/>
        <v>0</v>
      </c>
      <c r="AD214" s="89">
        <f t="shared" si="379"/>
        <v>0</v>
      </c>
      <c r="AE214" s="89">
        <f t="shared" si="379"/>
        <v>0</v>
      </c>
      <c r="AF214" s="89">
        <f t="shared" si="379"/>
        <v>0</v>
      </c>
      <c r="AG214" s="89">
        <f t="shared" si="379"/>
        <v>0</v>
      </c>
      <c r="AH214" s="89">
        <f t="shared" ref="AH214" si="380">AH212+AH213</f>
        <v>0</v>
      </c>
      <c r="AI214" s="89">
        <f t="shared" ref="AI214:AO214" si="381">AI212+AI213</f>
        <v>0</v>
      </c>
      <c r="AJ214" s="89">
        <f t="shared" si="381"/>
        <v>0</v>
      </c>
      <c r="AK214" s="89">
        <f t="shared" si="381"/>
        <v>0</v>
      </c>
      <c r="AL214" s="89">
        <f t="shared" si="381"/>
        <v>0</v>
      </c>
      <c r="AM214" s="89">
        <f t="shared" si="381"/>
        <v>0</v>
      </c>
      <c r="AN214" s="89">
        <f t="shared" si="381"/>
        <v>0</v>
      </c>
      <c r="AO214" s="89">
        <f t="shared" si="381"/>
        <v>0</v>
      </c>
      <c r="AP214" s="89">
        <f t="shared" si="367"/>
        <v>0</v>
      </c>
      <c r="AQ214" s="89">
        <f t="shared" si="368"/>
        <v>0</v>
      </c>
      <c r="AR214" s="89">
        <f t="shared" si="368"/>
        <v>0</v>
      </c>
      <c r="AS214" s="89">
        <f t="shared" si="368"/>
        <v>0</v>
      </c>
      <c r="AT214" s="89">
        <f t="shared" si="368"/>
        <v>0</v>
      </c>
      <c r="AU214" s="89">
        <f t="shared" si="368"/>
        <v>0</v>
      </c>
      <c r="AV214" s="89">
        <f t="shared" si="368"/>
        <v>0</v>
      </c>
      <c r="AW214" s="89">
        <f t="shared" si="368"/>
        <v>0</v>
      </c>
      <c r="AX214" s="89">
        <f t="shared" si="369"/>
        <v>0</v>
      </c>
      <c r="AY214" s="89">
        <f t="shared" si="370"/>
        <v>0</v>
      </c>
      <c r="AZ214" s="89">
        <f t="shared" si="370"/>
        <v>0</v>
      </c>
      <c r="BA214" s="89">
        <f t="shared" si="371"/>
        <v>0</v>
      </c>
      <c r="BB214" s="89">
        <f t="shared" si="371"/>
        <v>0</v>
      </c>
      <c r="BC214" s="89">
        <f t="shared" si="371"/>
        <v>0</v>
      </c>
      <c r="BD214" s="89">
        <f t="shared" si="371"/>
        <v>0</v>
      </c>
      <c r="BE214" s="89">
        <f t="shared" si="371"/>
        <v>0</v>
      </c>
      <c r="BF214" s="89">
        <f t="shared" si="371"/>
        <v>0</v>
      </c>
      <c r="BG214" s="89">
        <f t="shared" si="372"/>
        <v>0</v>
      </c>
      <c r="BH214" s="111">
        <f t="shared" si="373"/>
        <v>0</v>
      </c>
    </row>
    <row r="215" spans="1:60" ht="22.5">
      <c r="A215" s="51"/>
      <c r="B215" s="108"/>
      <c r="C215" s="52" t="s">
        <v>158</v>
      </c>
      <c r="D215" s="52" t="s">
        <v>3</v>
      </c>
      <c r="E215" s="52" t="s">
        <v>0</v>
      </c>
      <c r="F215" s="54" t="s">
        <v>45</v>
      </c>
      <c r="G215" s="83"/>
      <c r="H215" s="83"/>
      <c r="I215" s="83"/>
      <c r="J215" s="83"/>
      <c r="K215" s="83"/>
      <c r="L215" s="83"/>
      <c r="M215" s="83"/>
      <c r="N215" s="83"/>
      <c r="O215" s="83"/>
      <c r="P215" s="89"/>
      <c r="Q215" s="83"/>
      <c r="R215" s="83"/>
      <c r="S215" s="83"/>
      <c r="T215" s="83"/>
      <c r="U215" s="83"/>
      <c r="V215" s="83"/>
      <c r="W215" s="83"/>
      <c r="X215" s="89">
        <f t="shared" si="366"/>
        <v>0</v>
      </c>
      <c r="Y215" s="83"/>
      <c r="Z215" s="83"/>
      <c r="AA215" s="83"/>
      <c r="AB215" s="83"/>
      <c r="AC215" s="83"/>
      <c r="AD215" s="83"/>
      <c r="AE215" s="83"/>
      <c r="AF215" s="83"/>
      <c r="AG215" s="83"/>
      <c r="AH215" s="89"/>
      <c r="AI215" s="83"/>
      <c r="AJ215" s="83"/>
      <c r="AK215" s="83"/>
      <c r="AL215" s="83"/>
      <c r="AM215" s="83"/>
      <c r="AN215" s="83"/>
      <c r="AO215" s="83"/>
      <c r="AP215" s="89">
        <f t="shared" si="367"/>
        <v>0</v>
      </c>
      <c r="AQ215" s="89">
        <f t="shared" si="368"/>
        <v>0</v>
      </c>
      <c r="AR215" s="89">
        <f t="shared" si="368"/>
        <v>0</v>
      </c>
      <c r="AS215" s="89">
        <f t="shared" si="368"/>
        <v>0</v>
      </c>
      <c r="AT215" s="89">
        <f t="shared" si="368"/>
        <v>0</v>
      </c>
      <c r="AU215" s="89">
        <f t="shared" si="368"/>
        <v>0</v>
      </c>
      <c r="AV215" s="89">
        <f t="shared" si="368"/>
        <v>0</v>
      </c>
      <c r="AW215" s="89">
        <f t="shared" si="368"/>
        <v>0</v>
      </c>
      <c r="AX215" s="89">
        <f t="shared" si="369"/>
        <v>0</v>
      </c>
      <c r="AY215" s="89">
        <f t="shared" si="370"/>
        <v>0</v>
      </c>
      <c r="AZ215" s="89">
        <f t="shared" si="370"/>
        <v>0</v>
      </c>
      <c r="BA215" s="89">
        <f t="shared" si="371"/>
        <v>0</v>
      </c>
      <c r="BB215" s="89">
        <f t="shared" si="371"/>
        <v>0</v>
      </c>
      <c r="BC215" s="89">
        <f t="shared" si="371"/>
        <v>0</v>
      </c>
      <c r="BD215" s="89">
        <f t="shared" si="371"/>
        <v>0</v>
      </c>
      <c r="BE215" s="89">
        <f t="shared" si="371"/>
        <v>0</v>
      </c>
      <c r="BF215" s="89">
        <f t="shared" si="371"/>
        <v>0</v>
      </c>
      <c r="BG215" s="89">
        <f t="shared" si="372"/>
        <v>0</v>
      </c>
      <c r="BH215" s="111">
        <f t="shared" si="373"/>
        <v>0</v>
      </c>
    </row>
    <row r="216" spans="1:60" ht="22.5">
      <c r="A216" s="51"/>
      <c r="B216" s="108"/>
      <c r="C216" s="52" t="s">
        <v>159</v>
      </c>
      <c r="D216" s="52" t="s">
        <v>3</v>
      </c>
      <c r="E216" s="52" t="s">
        <v>0</v>
      </c>
      <c r="F216" s="54" t="s">
        <v>46</v>
      </c>
      <c r="G216" s="83"/>
      <c r="H216" s="83"/>
      <c r="I216" s="83"/>
      <c r="J216" s="83"/>
      <c r="K216" s="83"/>
      <c r="L216" s="83"/>
      <c r="M216" s="83"/>
      <c r="N216" s="83"/>
      <c r="O216" s="83"/>
      <c r="P216" s="89"/>
      <c r="Q216" s="83"/>
      <c r="R216" s="83"/>
      <c r="S216" s="83"/>
      <c r="T216" s="83"/>
      <c r="U216" s="83"/>
      <c r="V216" s="83"/>
      <c r="W216" s="83"/>
      <c r="X216" s="89">
        <f t="shared" si="366"/>
        <v>0</v>
      </c>
      <c r="Y216" s="83"/>
      <c r="Z216" s="83"/>
      <c r="AA216" s="83"/>
      <c r="AB216" s="83"/>
      <c r="AC216" s="83"/>
      <c r="AD216" s="83"/>
      <c r="AE216" s="83"/>
      <c r="AF216" s="83"/>
      <c r="AG216" s="83"/>
      <c r="AH216" s="89"/>
      <c r="AI216" s="83"/>
      <c r="AJ216" s="83"/>
      <c r="AK216" s="83"/>
      <c r="AL216" s="83"/>
      <c r="AM216" s="83"/>
      <c r="AN216" s="83"/>
      <c r="AO216" s="83"/>
      <c r="AP216" s="89">
        <f t="shared" si="367"/>
        <v>0</v>
      </c>
      <c r="AQ216" s="89">
        <f t="shared" si="368"/>
        <v>0</v>
      </c>
      <c r="AR216" s="89">
        <f t="shared" si="368"/>
        <v>0</v>
      </c>
      <c r="AS216" s="89">
        <f t="shared" si="368"/>
        <v>0</v>
      </c>
      <c r="AT216" s="89">
        <f t="shared" si="368"/>
        <v>0</v>
      </c>
      <c r="AU216" s="89">
        <f t="shared" si="368"/>
        <v>0</v>
      </c>
      <c r="AV216" s="89">
        <f t="shared" si="368"/>
        <v>0</v>
      </c>
      <c r="AW216" s="89">
        <f t="shared" si="368"/>
        <v>0</v>
      </c>
      <c r="AX216" s="89">
        <f t="shared" si="369"/>
        <v>0</v>
      </c>
      <c r="AY216" s="89">
        <f t="shared" si="370"/>
        <v>0</v>
      </c>
      <c r="AZ216" s="89">
        <f t="shared" si="370"/>
        <v>0</v>
      </c>
      <c r="BA216" s="89">
        <f t="shared" si="371"/>
        <v>0</v>
      </c>
      <c r="BB216" s="89">
        <f t="shared" si="371"/>
        <v>0</v>
      </c>
      <c r="BC216" s="89">
        <f t="shared" si="371"/>
        <v>0</v>
      </c>
      <c r="BD216" s="89">
        <f t="shared" si="371"/>
        <v>0</v>
      </c>
      <c r="BE216" s="89">
        <f t="shared" si="371"/>
        <v>0</v>
      </c>
      <c r="BF216" s="89">
        <f t="shared" si="371"/>
        <v>0</v>
      </c>
      <c r="BG216" s="89">
        <f t="shared" si="372"/>
        <v>0</v>
      </c>
      <c r="BH216" s="111">
        <f t="shared" si="373"/>
        <v>0</v>
      </c>
    </row>
    <row r="217" spans="1:60">
      <c r="A217" s="51"/>
      <c r="B217" s="108"/>
      <c r="C217" s="52" t="s">
        <v>160</v>
      </c>
      <c r="D217" s="52" t="s">
        <v>3</v>
      </c>
      <c r="E217" s="52" t="s">
        <v>0</v>
      </c>
      <c r="F217" s="53" t="s">
        <v>64</v>
      </c>
      <c r="G217" s="89">
        <f t="shared" ref="G217:M217" si="382">G198+G199+G200-G201-G202+G203+G204-G205+G206+G210-G214-G215-G216</f>
        <v>0</v>
      </c>
      <c r="H217" s="89">
        <f t="shared" si="382"/>
        <v>0</v>
      </c>
      <c r="I217" s="89">
        <f t="shared" si="382"/>
        <v>0</v>
      </c>
      <c r="J217" s="89">
        <f t="shared" si="382"/>
        <v>0</v>
      </c>
      <c r="K217" s="89">
        <f t="shared" si="382"/>
        <v>0</v>
      </c>
      <c r="L217" s="89">
        <f t="shared" si="382"/>
        <v>0</v>
      </c>
      <c r="M217" s="89">
        <f t="shared" si="382"/>
        <v>0</v>
      </c>
      <c r="N217" s="89">
        <f t="shared" ref="N217:O217" si="383">N198+N199+N200-N201-N202+N203+N204-N205+N206+N210-N214-N215-N216</f>
        <v>0</v>
      </c>
      <c r="O217" s="89">
        <f t="shared" si="383"/>
        <v>0</v>
      </c>
      <c r="P217" s="89">
        <f t="shared" ref="P217" si="384">P198+P199+P200-P201-P202+P203+P204-P205+P206+P210-P214-P215-P216</f>
        <v>0</v>
      </c>
      <c r="Q217" s="89">
        <f t="shared" ref="Q217:W217" si="385">Q198+Q199+Q200-Q201-Q202+Q203+Q204-Q205+Q206+Q210-Q214-Q215-Q216</f>
        <v>0</v>
      </c>
      <c r="R217" s="89">
        <f t="shared" si="385"/>
        <v>0</v>
      </c>
      <c r="S217" s="89">
        <f t="shared" si="385"/>
        <v>0</v>
      </c>
      <c r="T217" s="89">
        <f t="shared" si="385"/>
        <v>0</v>
      </c>
      <c r="U217" s="89">
        <f t="shared" si="385"/>
        <v>0</v>
      </c>
      <c r="V217" s="89">
        <f t="shared" ref="V217" si="386">V198+V199+V200-V201-V202+V203+V204-V205+V206+V210-V214-V215-V216</f>
        <v>0</v>
      </c>
      <c r="W217" s="89">
        <f t="shared" si="385"/>
        <v>0</v>
      </c>
      <c r="X217" s="89">
        <f t="shared" si="366"/>
        <v>0</v>
      </c>
      <c r="Y217" s="89">
        <f t="shared" ref="Y217:AG217" si="387">Y198+Y199+Y200-Y201-Y202+Y203+Y204-Y205+Y206+Y210-Y214-Y215-Y216</f>
        <v>0</v>
      </c>
      <c r="Z217" s="89">
        <f t="shared" si="387"/>
        <v>0</v>
      </c>
      <c r="AA217" s="89">
        <f t="shared" si="387"/>
        <v>0</v>
      </c>
      <c r="AB217" s="89">
        <f t="shared" si="387"/>
        <v>0</v>
      </c>
      <c r="AC217" s="89">
        <f t="shared" si="387"/>
        <v>0</v>
      </c>
      <c r="AD217" s="89">
        <f t="shared" si="387"/>
        <v>0</v>
      </c>
      <c r="AE217" s="89">
        <f t="shared" si="387"/>
        <v>0</v>
      </c>
      <c r="AF217" s="89">
        <f t="shared" si="387"/>
        <v>0</v>
      </c>
      <c r="AG217" s="89">
        <f t="shared" si="387"/>
        <v>0</v>
      </c>
      <c r="AH217" s="89">
        <f t="shared" ref="AH217" si="388">AH198+AH199+AH200-AH201-AH202+AH203+AH204-AH205+AH206+AH210-AH214-AH215-AH216</f>
        <v>0</v>
      </c>
      <c r="AI217" s="89">
        <f t="shared" ref="AI217:AO217" si="389">AI198+AI199+AI200-AI201-AI202+AI203+AI204-AI205+AI206+AI210-AI214-AI215-AI216</f>
        <v>0</v>
      </c>
      <c r="AJ217" s="89">
        <f t="shared" si="389"/>
        <v>0</v>
      </c>
      <c r="AK217" s="89">
        <f t="shared" si="389"/>
        <v>0</v>
      </c>
      <c r="AL217" s="89">
        <f t="shared" si="389"/>
        <v>0</v>
      </c>
      <c r="AM217" s="89">
        <f t="shared" si="389"/>
        <v>0</v>
      </c>
      <c r="AN217" s="89">
        <f t="shared" si="389"/>
        <v>0</v>
      </c>
      <c r="AO217" s="89">
        <f t="shared" si="389"/>
        <v>0</v>
      </c>
      <c r="AP217" s="89">
        <f t="shared" si="367"/>
        <v>0</v>
      </c>
      <c r="AQ217" s="89">
        <f t="shared" si="368"/>
        <v>0</v>
      </c>
      <c r="AR217" s="89">
        <f t="shared" si="368"/>
        <v>0</v>
      </c>
      <c r="AS217" s="89">
        <f t="shared" si="368"/>
        <v>0</v>
      </c>
      <c r="AT217" s="89">
        <f t="shared" si="368"/>
        <v>0</v>
      </c>
      <c r="AU217" s="89">
        <f t="shared" si="368"/>
        <v>0</v>
      </c>
      <c r="AV217" s="89">
        <f t="shared" si="368"/>
        <v>0</v>
      </c>
      <c r="AW217" s="89">
        <f t="shared" si="368"/>
        <v>0</v>
      </c>
      <c r="AX217" s="89">
        <f t="shared" si="369"/>
        <v>0</v>
      </c>
      <c r="AY217" s="89">
        <f t="shared" si="370"/>
        <v>0</v>
      </c>
      <c r="AZ217" s="89">
        <f t="shared" si="370"/>
        <v>0</v>
      </c>
      <c r="BA217" s="89">
        <f t="shared" si="371"/>
        <v>0</v>
      </c>
      <c r="BB217" s="89">
        <f t="shared" si="371"/>
        <v>0</v>
      </c>
      <c r="BC217" s="89">
        <f t="shared" si="371"/>
        <v>0</v>
      </c>
      <c r="BD217" s="89">
        <f t="shared" si="371"/>
        <v>0</v>
      </c>
      <c r="BE217" s="89">
        <f t="shared" si="371"/>
        <v>0</v>
      </c>
      <c r="BF217" s="89">
        <f t="shared" si="371"/>
        <v>0</v>
      </c>
      <c r="BG217" s="89">
        <f t="shared" si="372"/>
        <v>0</v>
      </c>
      <c r="BH217" s="111">
        <f t="shared" si="373"/>
        <v>0</v>
      </c>
    </row>
    <row r="218" spans="1:60">
      <c r="A218" s="51"/>
      <c r="B218" s="108"/>
      <c r="C218" s="52" t="s">
        <v>142</v>
      </c>
      <c r="D218" s="52" t="s">
        <v>3</v>
      </c>
      <c r="E218" s="52" t="s">
        <v>0</v>
      </c>
      <c r="F218" s="53" t="s">
        <v>28</v>
      </c>
      <c r="G218" s="89">
        <f t="shared" ref="G218:M218" si="390">G196+G217</f>
        <v>0</v>
      </c>
      <c r="H218" s="89">
        <f t="shared" si="390"/>
        <v>0</v>
      </c>
      <c r="I218" s="89">
        <f t="shared" si="390"/>
        <v>0</v>
      </c>
      <c r="J218" s="89">
        <f t="shared" si="390"/>
        <v>0</v>
      </c>
      <c r="K218" s="89">
        <f t="shared" si="390"/>
        <v>0</v>
      </c>
      <c r="L218" s="89">
        <f t="shared" si="390"/>
        <v>0</v>
      </c>
      <c r="M218" s="89">
        <f t="shared" si="390"/>
        <v>0</v>
      </c>
      <c r="N218" s="89">
        <f t="shared" ref="N218:O218" si="391">N196+N217</f>
        <v>0</v>
      </c>
      <c r="O218" s="89">
        <f t="shared" si="391"/>
        <v>0</v>
      </c>
      <c r="P218" s="89">
        <f t="shared" ref="P218" si="392">P196+P217</f>
        <v>0</v>
      </c>
      <c r="Q218" s="89">
        <f t="shared" ref="Q218:W218" si="393">Q196+Q217</f>
        <v>0</v>
      </c>
      <c r="R218" s="89">
        <f t="shared" si="393"/>
        <v>0</v>
      </c>
      <c r="S218" s="89">
        <f t="shared" si="393"/>
        <v>0</v>
      </c>
      <c r="T218" s="89">
        <f t="shared" si="393"/>
        <v>0</v>
      </c>
      <c r="U218" s="89">
        <f t="shared" si="393"/>
        <v>0</v>
      </c>
      <c r="V218" s="89">
        <f t="shared" ref="V218" si="394">V196+V217</f>
        <v>0</v>
      </c>
      <c r="W218" s="89">
        <f t="shared" si="393"/>
        <v>0</v>
      </c>
      <c r="X218" s="89">
        <f t="shared" si="366"/>
        <v>0</v>
      </c>
      <c r="Y218" s="89">
        <f t="shared" ref="Y218:AG218" si="395">Y196+Y217</f>
        <v>0</v>
      </c>
      <c r="Z218" s="89">
        <f t="shared" si="395"/>
        <v>0</v>
      </c>
      <c r="AA218" s="89">
        <f t="shared" si="395"/>
        <v>0</v>
      </c>
      <c r="AB218" s="89">
        <f t="shared" si="395"/>
        <v>0</v>
      </c>
      <c r="AC218" s="89">
        <f t="shared" si="395"/>
        <v>0</v>
      </c>
      <c r="AD218" s="89">
        <f t="shared" si="395"/>
        <v>0</v>
      </c>
      <c r="AE218" s="89">
        <f t="shared" si="395"/>
        <v>0</v>
      </c>
      <c r="AF218" s="89">
        <f t="shared" si="395"/>
        <v>0</v>
      </c>
      <c r="AG218" s="89">
        <f t="shared" si="395"/>
        <v>0</v>
      </c>
      <c r="AH218" s="89">
        <f t="shared" ref="AH218" si="396">AH196+AH217</f>
        <v>0</v>
      </c>
      <c r="AI218" s="89">
        <f t="shared" ref="AI218:AO218" si="397">AI196+AI217</f>
        <v>0</v>
      </c>
      <c r="AJ218" s="89">
        <f t="shared" si="397"/>
        <v>0</v>
      </c>
      <c r="AK218" s="89">
        <f t="shared" si="397"/>
        <v>0</v>
      </c>
      <c r="AL218" s="89">
        <f t="shared" si="397"/>
        <v>0</v>
      </c>
      <c r="AM218" s="89">
        <f t="shared" si="397"/>
        <v>0</v>
      </c>
      <c r="AN218" s="89">
        <f t="shared" si="397"/>
        <v>0</v>
      </c>
      <c r="AO218" s="89">
        <f t="shared" si="397"/>
        <v>0</v>
      </c>
      <c r="AP218" s="89">
        <f t="shared" si="367"/>
        <v>0</v>
      </c>
      <c r="AQ218" s="89">
        <f t="shared" si="368"/>
        <v>0</v>
      </c>
      <c r="AR218" s="89">
        <f t="shared" si="368"/>
        <v>0</v>
      </c>
      <c r="AS218" s="89">
        <f t="shared" si="368"/>
        <v>0</v>
      </c>
      <c r="AT218" s="89">
        <f t="shared" si="368"/>
        <v>0</v>
      </c>
      <c r="AU218" s="89">
        <f t="shared" si="368"/>
        <v>0</v>
      </c>
      <c r="AV218" s="89">
        <f t="shared" si="368"/>
        <v>0</v>
      </c>
      <c r="AW218" s="89">
        <f t="shared" si="368"/>
        <v>0</v>
      </c>
      <c r="AX218" s="89">
        <f t="shared" si="369"/>
        <v>0</v>
      </c>
      <c r="AY218" s="89">
        <f t="shared" si="370"/>
        <v>0</v>
      </c>
      <c r="AZ218" s="89">
        <f t="shared" si="370"/>
        <v>0</v>
      </c>
      <c r="BA218" s="89">
        <f t="shared" si="371"/>
        <v>0</v>
      </c>
      <c r="BB218" s="89">
        <f t="shared" si="371"/>
        <v>0</v>
      </c>
      <c r="BC218" s="89">
        <f t="shared" si="371"/>
        <v>0</v>
      </c>
      <c r="BD218" s="89">
        <f t="shared" si="371"/>
        <v>0</v>
      </c>
      <c r="BE218" s="89">
        <f t="shared" si="371"/>
        <v>0</v>
      </c>
      <c r="BF218" s="89">
        <f t="shared" si="371"/>
        <v>0</v>
      </c>
      <c r="BG218" s="89">
        <f t="shared" si="372"/>
        <v>0</v>
      </c>
      <c r="BH218" s="111">
        <f t="shared" si="373"/>
        <v>0</v>
      </c>
    </row>
    <row r="219" spans="1:60">
      <c r="A219" s="51"/>
      <c r="B219" s="108"/>
      <c r="C219" s="52"/>
      <c r="D219" s="52"/>
      <c r="E219" s="52" t="s">
        <v>0</v>
      </c>
      <c r="F219" s="53" t="s">
        <v>47</v>
      </c>
      <c r="G219" s="52"/>
      <c r="H219" s="52"/>
      <c r="I219" s="52"/>
      <c r="J219" s="52"/>
      <c r="K219" s="52"/>
      <c r="L219" s="52"/>
      <c r="M219" s="52"/>
      <c r="N219" s="52"/>
      <c r="O219" s="52"/>
      <c r="P219" s="52"/>
      <c r="Q219" s="52"/>
      <c r="R219" s="52"/>
      <c r="S219" s="52"/>
      <c r="T219" s="52"/>
      <c r="U219" s="52"/>
      <c r="V219" s="52"/>
      <c r="W219" s="52"/>
      <c r="X219" s="91"/>
      <c r="Y219" s="52"/>
      <c r="Z219" s="52"/>
      <c r="AA219" s="52"/>
      <c r="AB219" s="52"/>
      <c r="AC219" s="52"/>
      <c r="AD219" s="52"/>
      <c r="AE219" s="52"/>
      <c r="AF219" s="52"/>
      <c r="AG219" s="52"/>
      <c r="AH219" s="52"/>
      <c r="AI219" s="52"/>
      <c r="AJ219" s="52"/>
      <c r="AK219" s="52"/>
      <c r="AL219" s="52"/>
      <c r="AM219" s="52"/>
      <c r="AN219" s="52"/>
      <c r="AO219" s="52"/>
      <c r="AP219" s="91"/>
      <c r="AQ219" s="91"/>
      <c r="AR219" s="91"/>
      <c r="AS219" s="91"/>
      <c r="AT219" s="91"/>
      <c r="AU219" s="91"/>
      <c r="AV219" s="91"/>
      <c r="AW219" s="91"/>
      <c r="AX219" s="91"/>
      <c r="AY219" s="91"/>
      <c r="AZ219" s="91"/>
      <c r="BA219" s="91"/>
      <c r="BB219" s="91"/>
      <c r="BC219" s="91"/>
      <c r="BD219" s="91"/>
      <c r="BE219" s="91"/>
      <c r="BF219" s="91"/>
      <c r="BG219" s="91"/>
      <c r="BH219" s="112"/>
    </row>
    <row r="220" spans="1:60">
      <c r="A220" s="51"/>
      <c r="B220" s="108"/>
      <c r="C220" s="52" t="s">
        <v>161</v>
      </c>
      <c r="D220" s="52" t="s">
        <v>3</v>
      </c>
      <c r="E220" s="52" t="s">
        <v>0</v>
      </c>
      <c r="F220" s="54" t="s">
        <v>48</v>
      </c>
      <c r="G220" s="83"/>
      <c r="H220" s="83"/>
      <c r="I220" s="83"/>
      <c r="J220" s="83"/>
      <c r="K220" s="83"/>
      <c r="L220" s="83"/>
      <c r="M220" s="83"/>
      <c r="N220" s="83"/>
      <c r="O220" s="83"/>
      <c r="P220" s="83"/>
      <c r="Q220" s="83"/>
      <c r="R220" s="83"/>
      <c r="S220" s="83"/>
      <c r="T220" s="83"/>
      <c r="U220" s="83"/>
      <c r="V220" s="83"/>
      <c r="W220" s="83"/>
      <c r="X220" s="89">
        <f t="shared" ref="X220:X222" si="398">SUM(P220:W220)+SUM(G220:K220)</f>
        <v>0</v>
      </c>
      <c r="Y220" s="83"/>
      <c r="Z220" s="83"/>
      <c r="AA220" s="83"/>
      <c r="AB220" s="83"/>
      <c r="AC220" s="83"/>
      <c r="AD220" s="83"/>
      <c r="AE220" s="83"/>
      <c r="AF220" s="83"/>
      <c r="AG220" s="83"/>
      <c r="AH220" s="89"/>
      <c r="AI220" s="83"/>
      <c r="AJ220" s="83"/>
      <c r="AK220" s="83"/>
      <c r="AL220" s="83"/>
      <c r="AM220" s="83"/>
      <c r="AN220" s="83"/>
      <c r="AO220" s="83"/>
      <c r="AP220" s="89">
        <f t="shared" ref="AP220:AP222" si="399">SUM(AH220:AO220)+SUM(Y220:AC220)</f>
        <v>0</v>
      </c>
      <c r="AQ220" s="89">
        <f t="shared" ref="AQ220:AW222" si="400">G220+Y220</f>
        <v>0</v>
      </c>
      <c r="AR220" s="89">
        <f t="shared" si="400"/>
        <v>0</v>
      </c>
      <c r="AS220" s="89">
        <f t="shared" si="400"/>
        <v>0</v>
      </c>
      <c r="AT220" s="89">
        <f t="shared" si="400"/>
        <v>0</v>
      </c>
      <c r="AU220" s="89">
        <f t="shared" si="400"/>
        <v>0</v>
      </c>
      <c r="AV220" s="89">
        <f t="shared" si="400"/>
        <v>0</v>
      </c>
      <c r="AW220" s="89">
        <f t="shared" si="400"/>
        <v>0</v>
      </c>
      <c r="AX220" s="89">
        <f t="shared" ref="AX220:AX222" si="401">N220+AF220</f>
        <v>0</v>
      </c>
      <c r="AY220" s="89">
        <f t="shared" ref="AY220:AZ222" si="402">O220+AG220</f>
        <v>0</v>
      </c>
      <c r="AZ220" s="89">
        <f t="shared" si="402"/>
        <v>0</v>
      </c>
      <c r="BA220" s="89">
        <f t="shared" ref="BA220:BF222" si="403">Q220+AI220</f>
        <v>0</v>
      </c>
      <c r="BB220" s="89">
        <f t="shared" si="403"/>
        <v>0</v>
      </c>
      <c r="BC220" s="89">
        <f t="shared" si="403"/>
        <v>0</v>
      </c>
      <c r="BD220" s="89">
        <f t="shared" si="403"/>
        <v>0</v>
      </c>
      <c r="BE220" s="89">
        <f t="shared" si="403"/>
        <v>0</v>
      </c>
      <c r="BF220" s="89">
        <f t="shared" si="403"/>
        <v>0</v>
      </c>
      <c r="BG220" s="89">
        <f t="shared" ref="BG220:BG222" si="404">W220+AO220</f>
        <v>0</v>
      </c>
      <c r="BH220" s="111">
        <f>X220+AP220</f>
        <v>0</v>
      </c>
    </row>
    <row r="221" spans="1:60">
      <c r="A221" s="51"/>
      <c r="B221" s="108"/>
      <c r="C221" s="52" t="s">
        <v>162</v>
      </c>
      <c r="D221" s="52" t="s">
        <v>3</v>
      </c>
      <c r="E221" s="52" t="s">
        <v>0</v>
      </c>
      <c r="F221" s="54" t="s">
        <v>49</v>
      </c>
      <c r="G221" s="83"/>
      <c r="H221" s="83"/>
      <c r="I221" s="83"/>
      <c r="J221" s="83"/>
      <c r="K221" s="83"/>
      <c r="L221" s="83"/>
      <c r="M221" s="83"/>
      <c r="N221" s="83"/>
      <c r="O221" s="83"/>
      <c r="P221" s="83"/>
      <c r="Q221" s="83"/>
      <c r="R221" s="83"/>
      <c r="S221" s="83"/>
      <c r="T221" s="83"/>
      <c r="U221" s="83"/>
      <c r="V221" s="83"/>
      <c r="W221" s="83"/>
      <c r="X221" s="89">
        <f t="shared" si="398"/>
        <v>0</v>
      </c>
      <c r="Y221" s="83"/>
      <c r="Z221" s="83"/>
      <c r="AA221" s="83"/>
      <c r="AB221" s="83"/>
      <c r="AC221" s="83"/>
      <c r="AD221" s="83"/>
      <c r="AE221" s="83"/>
      <c r="AF221" s="83"/>
      <c r="AG221" s="83"/>
      <c r="AH221" s="89"/>
      <c r="AI221" s="83"/>
      <c r="AJ221" s="83"/>
      <c r="AK221" s="83"/>
      <c r="AL221" s="83"/>
      <c r="AM221" s="83"/>
      <c r="AN221" s="83"/>
      <c r="AO221" s="83"/>
      <c r="AP221" s="89">
        <f t="shared" si="399"/>
        <v>0</v>
      </c>
      <c r="AQ221" s="89">
        <f t="shared" si="400"/>
        <v>0</v>
      </c>
      <c r="AR221" s="89">
        <f t="shared" si="400"/>
        <v>0</v>
      </c>
      <c r="AS221" s="89">
        <f t="shared" si="400"/>
        <v>0</v>
      </c>
      <c r="AT221" s="89">
        <f t="shared" si="400"/>
        <v>0</v>
      </c>
      <c r="AU221" s="89">
        <f t="shared" si="400"/>
        <v>0</v>
      </c>
      <c r="AV221" s="89">
        <f t="shared" si="400"/>
        <v>0</v>
      </c>
      <c r="AW221" s="89">
        <f t="shared" si="400"/>
        <v>0</v>
      </c>
      <c r="AX221" s="89">
        <f t="shared" si="401"/>
        <v>0</v>
      </c>
      <c r="AY221" s="89">
        <f t="shared" si="402"/>
        <v>0</v>
      </c>
      <c r="AZ221" s="89">
        <f t="shared" si="402"/>
        <v>0</v>
      </c>
      <c r="BA221" s="89">
        <f t="shared" si="403"/>
        <v>0</v>
      </c>
      <c r="BB221" s="89">
        <f t="shared" si="403"/>
        <v>0</v>
      </c>
      <c r="BC221" s="89">
        <f t="shared" si="403"/>
        <v>0</v>
      </c>
      <c r="BD221" s="89">
        <f t="shared" si="403"/>
        <v>0</v>
      </c>
      <c r="BE221" s="89">
        <f t="shared" si="403"/>
        <v>0</v>
      </c>
      <c r="BF221" s="89">
        <f t="shared" si="403"/>
        <v>0</v>
      </c>
      <c r="BG221" s="89">
        <f t="shared" si="404"/>
        <v>0</v>
      </c>
      <c r="BH221" s="111">
        <f>X221+AP221</f>
        <v>0</v>
      </c>
    </row>
    <row r="222" spans="1:60">
      <c r="A222" s="51"/>
      <c r="B222" s="108"/>
      <c r="C222" s="52" t="s">
        <v>163</v>
      </c>
      <c r="D222" s="52" t="s">
        <v>3</v>
      </c>
      <c r="E222" s="52" t="s">
        <v>0</v>
      </c>
      <c r="F222" s="54" t="s">
        <v>50</v>
      </c>
      <c r="G222" s="83"/>
      <c r="H222" s="83"/>
      <c r="I222" s="83"/>
      <c r="J222" s="83"/>
      <c r="K222" s="83"/>
      <c r="L222" s="83"/>
      <c r="M222" s="83"/>
      <c r="N222" s="83"/>
      <c r="O222" s="83"/>
      <c r="P222" s="83"/>
      <c r="Q222" s="83"/>
      <c r="R222" s="83"/>
      <c r="S222" s="83"/>
      <c r="T222" s="83"/>
      <c r="U222" s="83"/>
      <c r="V222" s="83"/>
      <c r="W222" s="83"/>
      <c r="X222" s="89">
        <f t="shared" si="398"/>
        <v>0</v>
      </c>
      <c r="Y222" s="83"/>
      <c r="Z222" s="83"/>
      <c r="AA222" s="83"/>
      <c r="AB222" s="83"/>
      <c r="AC222" s="83"/>
      <c r="AD222" s="83"/>
      <c r="AE222" s="83"/>
      <c r="AF222" s="83"/>
      <c r="AG222" s="83"/>
      <c r="AH222" s="89"/>
      <c r="AI222" s="83"/>
      <c r="AJ222" s="83"/>
      <c r="AK222" s="83"/>
      <c r="AL222" s="83"/>
      <c r="AM222" s="83"/>
      <c r="AN222" s="83"/>
      <c r="AO222" s="83"/>
      <c r="AP222" s="89">
        <f t="shared" si="399"/>
        <v>0</v>
      </c>
      <c r="AQ222" s="89">
        <f t="shared" si="400"/>
        <v>0</v>
      </c>
      <c r="AR222" s="89">
        <f t="shared" si="400"/>
        <v>0</v>
      </c>
      <c r="AS222" s="89">
        <f t="shared" si="400"/>
        <v>0</v>
      </c>
      <c r="AT222" s="89">
        <f t="shared" si="400"/>
        <v>0</v>
      </c>
      <c r="AU222" s="89">
        <f t="shared" si="400"/>
        <v>0</v>
      </c>
      <c r="AV222" s="89">
        <f t="shared" si="400"/>
        <v>0</v>
      </c>
      <c r="AW222" s="89">
        <f t="shared" si="400"/>
        <v>0</v>
      </c>
      <c r="AX222" s="89">
        <f t="shared" si="401"/>
        <v>0</v>
      </c>
      <c r="AY222" s="89">
        <f t="shared" si="402"/>
        <v>0</v>
      </c>
      <c r="AZ222" s="89">
        <f t="shared" si="402"/>
        <v>0</v>
      </c>
      <c r="BA222" s="89">
        <f t="shared" si="403"/>
        <v>0</v>
      </c>
      <c r="BB222" s="89">
        <f t="shared" si="403"/>
        <v>0</v>
      </c>
      <c r="BC222" s="89">
        <f t="shared" si="403"/>
        <v>0</v>
      </c>
      <c r="BD222" s="89">
        <f t="shared" si="403"/>
        <v>0</v>
      </c>
      <c r="BE222" s="89">
        <f t="shared" si="403"/>
        <v>0</v>
      </c>
      <c r="BF222" s="89">
        <f t="shared" si="403"/>
        <v>0</v>
      </c>
      <c r="BG222" s="89">
        <f t="shared" si="404"/>
        <v>0</v>
      </c>
      <c r="BH222" s="111">
        <f>X222+AP222</f>
        <v>0</v>
      </c>
    </row>
    <row r="223" spans="1:60">
      <c r="A223" s="51"/>
      <c r="B223" s="108"/>
      <c r="C223" s="52"/>
      <c r="D223" s="52"/>
      <c r="E223" s="52"/>
      <c r="F223" s="53"/>
      <c r="G223" s="52"/>
      <c r="H223" s="52"/>
      <c r="I223" s="52"/>
      <c r="J223" s="52"/>
      <c r="K223" s="52"/>
      <c r="L223" s="52"/>
      <c r="M223" s="52"/>
      <c r="N223" s="52"/>
      <c r="O223" s="52"/>
      <c r="P223" s="52"/>
      <c r="Q223" s="52"/>
      <c r="R223" s="52"/>
      <c r="S223" s="52"/>
      <c r="T223" s="52"/>
      <c r="U223" s="52"/>
      <c r="V223" s="52"/>
      <c r="W223" s="52"/>
      <c r="X223" s="52"/>
      <c r="Y223" s="52"/>
      <c r="Z223" s="52"/>
      <c r="AA223" s="52"/>
      <c r="AB223" s="52"/>
      <c r="AC223" s="52"/>
      <c r="AD223" s="52"/>
      <c r="AE223" s="52"/>
      <c r="AF223" s="52"/>
      <c r="AG223" s="52"/>
      <c r="AH223" s="52"/>
      <c r="AI223" s="52"/>
      <c r="AJ223" s="52"/>
      <c r="AK223" s="52"/>
      <c r="AL223" s="52"/>
      <c r="AM223" s="52"/>
      <c r="AN223" s="52"/>
      <c r="AO223" s="52"/>
      <c r="AP223" s="52"/>
      <c r="AQ223" s="52"/>
      <c r="AR223" s="52"/>
      <c r="AS223" s="52"/>
      <c r="AT223" s="52"/>
      <c r="AU223" s="52"/>
      <c r="AV223" s="52"/>
      <c r="AW223" s="52"/>
      <c r="AX223" s="52"/>
      <c r="AY223" s="52"/>
      <c r="AZ223" s="52"/>
      <c r="BA223" s="52"/>
      <c r="BB223" s="52"/>
      <c r="BC223" s="52"/>
      <c r="BD223" s="52"/>
      <c r="BE223" s="52"/>
      <c r="BF223" s="52"/>
      <c r="BG223" s="52"/>
      <c r="BH223" s="109"/>
    </row>
    <row r="224" spans="1:60">
      <c r="A224" s="51"/>
      <c r="B224" s="108"/>
      <c r="C224" s="52"/>
      <c r="D224" s="52"/>
      <c r="E224" s="52"/>
      <c r="F224" s="53"/>
      <c r="G224" s="52"/>
      <c r="H224" s="52"/>
      <c r="I224" s="52"/>
      <c r="J224" s="52"/>
      <c r="K224" s="52"/>
      <c r="L224" s="52"/>
      <c r="M224" s="52"/>
      <c r="N224" s="52"/>
      <c r="O224" s="52"/>
      <c r="P224" s="52"/>
      <c r="Q224" s="52"/>
      <c r="R224" s="52"/>
      <c r="S224" s="52"/>
      <c r="T224" s="52"/>
      <c r="U224" s="52"/>
      <c r="V224" s="52"/>
      <c r="W224" s="52"/>
      <c r="X224" s="52"/>
      <c r="Y224" s="52"/>
      <c r="Z224" s="52"/>
      <c r="AA224" s="52"/>
      <c r="AB224" s="52"/>
      <c r="AC224" s="52"/>
      <c r="AD224" s="52"/>
      <c r="AE224" s="52"/>
      <c r="AF224" s="52"/>
      <c r="AG224" s="52"/>
      <c r="AH224" s="52"/>
      <c r="AI224" s="52"/>
      <c r="AJ224" s="52"/>
      <c r="AK224" s="52"/>
      <c r="AL224" s="52"/>
      <c r="AM224" s="52"/>
      <c r="AN224" s="52"/>
      <c r="AO224" s="52"/>
      <c r="AP224" s="52"/>
      <c r="AQ224" s="52"/>
      <c r="AR224" s="52"/>
      <c r="AS224" s="52"/>
      <c r="AT224" s="52"/>
      <c r="AU224" s="52"/>
      <c r="AV224" s="52"/>
      <c r="AW224" s="52"/>
      <c r="AX224" s="52"/>
      <c r="AY224" s="52"/>
      <c r="AZ224" s="52"/>
      <c r="BA224" s="52"/>
      <c r="BB224" s="52"/>
      <c r="BC224" s="52"/>
      <c r="BD224" s="52"/>
      <c r="BE224" s="52"/>
      <c r="BF224" s="52"/>
      <c r="BG224" s="52"/>
      <c r="BH224" s="109"/>
    </row>
    <row r="225" spans="1:60" ht="22.5" customHeight="1">
      <c r="B225" s="105"/>
      <c r="C225" s="106"/>
      <c r="D225" s="106"/>
      <c r="E225" s="106"/>
      <c r="F225" s="50" t="s">
        <v>5</v>
      </c>
      <c r="G225" s="106"/>
      <c r="H225" s="106"/>
      <c r="I225" s="106"/>
      <c r="J225" s="106"/>
      <c r="K225" s="106"/>
      <c r="L225" s="106"/>
      <c r="M225" s="106"/>
      <c r="N225" s="106"/>
      <c r="O225" s="106"/>
      <c r="P225" s="106"/>
      <c r="Q225" s="106"/>
      <c r="R225" s="106"/>
      <c r="S225" s="106"/>
      <c r="T225" s="106"/>
      <c r="U225" s="106"/>
      <c r="V225" s="106"/>
      <c r="W225" s="106"/>
      <c r="X225" s="106"/>
      <c r="Y225" s="106"/>
      <c r="Z225" s="106"/>
      <c r="AA225" s="106"/>
      <c r="AB225" s="106"/>
      <c r="AC225" s="106"/>
      <c r="AD225" s="106"/>
      <c r="AE225" s="106"/>
      <c r="AF225" s="106"/>
      <c r="AG225" s="106"/>
      <c r="AH225" s="106"/>
      <c r="AI225" s="106"/>
      <c r="AJ225" s="106"/>
      <c r="AK225" s="106"/>
      <c r="AL225" s="106"/>
      <c r="AM225" s="106"/>
      <c r="AN225" s="106"/>
      <c r="AO225" s="106"/>
      <c r="AP225" s="106"/>
      <c r="AQ225" s="106"/>
      <c r="AR225" s="106"/>
      <c r="AS225" s="106"/>
      <c r="AT225" s="106"/>
      <c r="AU225" s="106"/>
      <c r="AV225" s="106"/>
      <c r="AW225" s="106"/>
      <c r="AX225" s="106"/>
      <c r="AY225" s="106"/>
      <c r="AZ225" s="106"/>
      <c r="BA225" s="106"/>
      <c r="BB225" s="106"/>
      <c r="BC225" s="106"/>
      <c r="BD225" s="106"/>
      <c r="BE225" s="106"/>
      <c r="BF225" s="106"/>
      <c r="BG225" s="106"/>
      <c r="BH225" s="107"/>
    </row>
    <row r="226" spans="1:60">
      <c r="A226" s="51"/>
      <c r="B226" s="108"/>
      <c r="C226" s="52"/>
      <c r="D226" s="52"/>
      <c r="E226" s="52"/>
      <c r="F226" s="53"/>
      <c r="G226" s="52"/>
      <c r="H226" s="52"/>
      <c r="I226" s="52"/>
      <c r="J226" s="52"/>
      <c r="K226" s="52"/>
      <c r="L226" s="52"/>
      <c r="M226" s="52"/>
      <c r="N226" s="52"/>
      <c r="O226" s="52"/>
      <c r="P226" s="52"/>
      <c r="Q226" s="52"/>
      <c r="R226" s="52"/>
      <c r="S226" s="52"/>
      <c r="T226" s="52"/>
      <c r="U226" s="52"/>
      <c r="V226" s="52"/>
      <c r="W226" s="52"/>
      <c r="X226" s="52"/>
      <c r="Y226" s="52"/>
      <c r="Z226" s="52"/>
      <c r="AA226" s="52"/>
      <c r="AB226" s="52"/>
      <c r="AC226" s="52"/>
      <c r="AD226" s="52"/>
      <c r="AE226" s="52"/>
      <c r="AF226" s="52"/>
      <c r="AG226" s="52"/>
      <c r="AH226" s="52"/>
      <c r="AI226" s="52"/>
      <c r="AJ226" s="52"/>
      <c r="AK226" s="52"/>
      <c r="AL226" s="52"/>
      <c r="AM226" s="52"/>
      <c r="AN226" s="52"/>
      <c r="AO226" s="52"/>
      <c r="AP226" s="52"/>
      <c r="AQ226" s="52"/>
      <c r="AR226" s="52"/>
      <c r="AS226" s="52"/>
      <c r="AT226" s="52"/>
      <c r="AU226" s="52"/>
      <c r="AV226" s="52"/>
      <c r="AW226" s="52"/>
      <c r="AX226" s="52"/>
      <c r="AY226" s="52"/>
      <c r="AZ226" s="52"/>
      <c r="BA226" s="52"/>
      <c r="BB226" s="52"/>
      <c r="BC226" s="52"/>
      <c r="BD226" s="52"/>
      <c r="BE226" s="52"/>
      <c r="BF226" s="52"/>
      <c r="BG226" s="52"/>
      <c r="BH226" s="109"/>
    </row>
    <row r="227" spans="1:60">
      <c r="A227" s="51"/>
      <c r="B227" s="108"/>
      <c r="C227" s="123" t="s">
        <v>192</v>
      </c>
      <c r="D227" s="123" t="s">
        <v>93</v>
      </c>
      <c r="E227" s="123" t="s">
        <v>0</v>
      </c>
      <c r="F227" s="126" t="s">
        <v>196</v>
      </c>
      <c r="G227" s="55"/>
      <c r="H227" s="55"/>
      <c r="I227" s="55"/>
      <c r="J227" s="55"/>
      <c r="K227" s="55"/>
      <c r="L227" s="55"/>
      <c r="M227" s="55"/>
      <c r="N227" s="55"/>
      <c r="O227" s="55"/>
      <c r="P227" s="55"/>
      <c r="Q227" s="55"/>
      <c r="R227" s="55"/>
      <c r="S227" s="55"/>
      <c r="T227" s="55"/>
      <c r="U227" s="55"/>
      <c r="V227" s="55"/>
      <c r="W227" s="55"/>
      <c r="X227" s="55"/>
      <c r="Y227" s="55"/>
      <c r="Z227" s="55"/>
      <c r="AA227" s="55"/>
      <c r="AB227" s="55"/>
      <c r="AC227" s="55"/>
      <c r="AD227" s="55"/>
      <c r="AE227" s="55"/>
      <c r="AF227" s="55"/>
      <c r="AG227" s="55"/>
      <c r="AH227" s="55"/>
      <c r="AI227" s="55"/>
      <c r="AJ227" s="55"/>
      <c r="AK227" s="55"/>
      <c r="AL227" s="55"/>
      <c r="AM227" s="55"/>
      <c r="AN227" s="55"/>
      <c r="AO227" s="55"/>
      <c r="AP227" s="55"/>
      <c r="AQ227" s="55"/>
      <c r="AR227" s="55"/>
      <c r="AS227" s="55"/>
      <c r="AT227" s="55"/>
      <c r="AU227" s="55"/>
      <c r="AV227" s="55"/>
      <c r="AW227" s="55"/>
      <c r="AX227" s="55"/>
      <c r="AY227" s="55"/>
      <c r="AZ227" s="55"/>
      <c r="BA227" s="55"/>
      <c r="BB227" s="55"/>
      <c r="BC227" s="55"/>
      <c r="BD227" s="55"/>
      <c r="BE227" s="55"/>
      <c r="BF227" s="55"/>
      <c r="BG227" s="55"/>
      <c r="BH227" s="110"/>
    </row>
    <row r="228" spans="1:60" ht="22.5">
      <c r="A228" s="51"/>
      <c r="B228" s="108"/>
      <c r="C228" s="123" t="s">
        <v>193</v>
      </c>
      <c r="D228" s="123" t="s">
        <v>93</v>
      </c>
      <c r="E228" s="123" t="s">
        <v>0</v>
      </c>
      <c r="F228" s="126" t="s">
        <v>197</v>
      </c>
      <c r="G228" s="55"/>
      <c r="H228" s="55"/>
      <c r="I228" s="55"/>
      <c r="J228" s="55"/>
      <c r="K228" s="55"/>
      <c r="L228" s="55"/>
      <c r="M228" s="55"/>
      <c r="N228" s="55"/>
      <c r="O228" s="55"/>
      <c r="P228" s="55"/>
      <c r="Q228" s="55"/>
      <c r="R228" s="55"/>
      <c r="S228" s="55"/>
      <c r="T228" s="55"/>
      <c r="U228" s="55"/>
      <c r="V228" s="55"/>
      <c r="W228" s="55"/>
      <c r="X228" s="55"/>
      <c r="Y228" s="55"/>
      <c r="Z228" s="55"/>
      <c r="AA228" s="55"/>
      <c r="AB228" s="55"/>
      <c r="AC228" s="55"/>
      <c r="AD228" s="55"/>
      <c r="AE228" s="55"/>
      <c r="AF228" s="55"/>
      <c r="AG228" s="55"/>
      <c r="AH228" s="55"/>
      <c r="AI228" s="55"/>
      <c r="AJ228" s="55"/>
      <c r="AK228" s="55"/>
      <c r="AL228" s="55"/>
      <c r="AM228" s="55"/>
      <c r="AN228" s="55"/>
      <c r="AO228" s="55"/>
      <c r="AP228" s="55"/>
      <c r="AQ228" s="55"/>
      <c r="AR228" s="55"/>
      <c r="AS228" s="55"/>
      <c r="AT228" s="55"/>
      <c r="AU228" s="55"/>
      <c r="AV228" s="55"/>
      <c r="AW228" s="55"/>
      <c r="AX228" s="55"/>
      <c r="AY228" s="55"/>
      <c r="AZ228" s="55"/>
      <c r="BA228" s="55"/>
      <c r="BB228" s="55"/>
      <c r="BC228" s="55"/>
      <c r="BD228" s="55"/>
      <c r="BE228" s="55"/>
      <c r="BF228" s="55"/>
      <c r="BG228" s="55"/>
      <c r="BH228" s="110"/>
    </row>
    <row r="229" spans="1:60" ht="22.5">
      <c r="A229" s="51"/>
      <c r="B229" s="108"/>
      <c r="C229" s="123" t="s">
        <v>194</v>
      </c>
      <c r="D229" s="123" t="s">
        <v>93</v>
      </c>
      <c r="E229" s="123" t="s">
        <v>0</v>
      </c>
      <c r="F229" s="126" t="s">
        <v>198</v>
      </c>
      <c r="G229" s="55"/>
      <c r="H229" s="55"/>
      <c r="I229" s="55"/>
      <c r="J229" s="55"/>
      <c r="K229" s="55"/>
      <c r="L229" s="55"/>
      <c r="M229" s="55"/>
      <c r="N229" s="55"/>
      <c r="O229" s="55"/>
      <c r="P229" s="55"/>
      <c r="Q229" s="55"/>
      <c r="R229" s="55"/>
      <c r="S229" s="55"/>
      <c r="T229" s="55"/>
      <c r="U229" s="55"/>
      <c r="V229" s="55"/>
      <c r="W229" s="55"/>
      <c r="X229" s="55"/>
      <c r="Y229" s="55"/>
      <c r="Z229" s="55"/>
      <c r="AA229" s="55"/>
      <c r="AB229" s="55"/>
      <c r="AC229" s="55"/>
      <c r="AD229" s="55"/>
      <c r="AE229" s="55"/>
      <c r="AF229" s="55"/>
      <c r="AG229" s="55"/>
      <c r="AH229" s="55"/>
      <c r="AI229" s="55"/>
      <c r="AJ229" s="55"/>
      <c r="AK229" s="55"/>
      <c r="AL229" s="55"/>
      <c r="AM229" s="55"/>
      <c r="AN229" s="55"/>
      <c r="AO229" s="55"/>
      <c r="AP229" s="55"/>
      <c r="AQ229" s="55"/>
      <c r="AR229" s="55"/>
      <c r="AS229" s="55"/>
      <c r="AT229" s="55"/>
      <c r="AU229" s="55"/>
      <c r="AV229" s="55"/>
      <c r="AW229" s="55"/>
      <c r="AX229" s="55"/>
      <c r="AY229" s="55"/>
      <c r="AZ229" s="55"/>
      <c r="BA229" s="55"/>
      <c r="BB229" s="55"/>
      <c r="BC229" s="55"/>
      <c r="BD229" s="55"/>
      <c r="BE229" s="55"/>
      <c r="BF229" s="55"/>
      <c r="BG229" s="55"/>
      <c r="BH229" s="110"/>
    </row>
    <row r="230" spans="1:60">
      <c r="A230" s="51"/>
      <c r="B230" s="108"/>
      <c r="C230" s="123" t="s">
        <v>195</v>
      </c>
      <c r="D230" s="123" t="s">
        <v>93</v>
      </c>
      <c r="E230" s="123" t="s">
        <v>0</v>
      </c>
      <c r="F230" s="126" t="s">
        <v>199</v>
      </c>
      <c r="G230" s="55"/>
      <c r="H230" s="55"/>
      <c r="I230" s="55"/>
      <c r="J230" s="55"/>
      <c r="K230" s="55"/>
      <c r="L230" s="55"/>
      <c r="M230" s="55"/>
      <c r="N230" s="55"/>
      <c r="O230" s="55"/>
      <c r="P230" s="55"/>
      <c r="Q230" s="55"/>
      <c r="R230" s="55"/>
      <c r="S230" s="55"/>
      <c r="T230" s="55"/>
      <c r="U230" s="55"/>
      <c r="V230" s="55"/>
      <c r="W230" s="55"/>
      <c r="X230" s="55"/>
      <c r="Y230" s="55"/>
      <c r="Z230" s="55"/>
      <c r="AA230" s="55"/>
      <c r="AB230" s="55"/>
      <c r="AC230" s="55"/>
      <c r="AD230" s="55"/>
      <c r="AE230" s="55"/>
      <c r="AF230" s="55"/>
      <c r="AG230" s="55"/>
      <c r="AH230" s="55"/>
      <c r="AI230" s="55"/>
      <c r="AJ230" s="55"/>
      <c r="AK230" s="55"/>
      <c r="AL230" s="55"/>
      <c r="AM230" s="55"/>
      <c r="AN230" s="55"/>
      <c r="AO230" s="55"/>
      <c r="AP230" s="55"/>
      <c r="AQ230" s="55"/>
      <c r="AR230" s="55"/>
      <c r="AS230" s="55"/>
      <c r="AT230" s="55"/>
      <c r="AU230" s="55"/>
      <c r="AV230" s="55"/>
      <c r="AW230" s="55"/>
      <c r="AX230" s="55"/>
      <c r="AY230" s="55"/>
      <c r="AZ230" s="55"/>
      <c r="BA230" s="55"/>
      <c r="BB230" s="55"/>
      <c r="BC230" s="55"/>
      <c r="BD230" s="55"/>
      <c r="BE230" s="55"/>
      <c r="BF230" s="55"/>
      <c r="BG230" s="55"/>
      <c r="BH230" s="110"/>
    </row>
    <row r="231" spans="1:60" ht="22.5">
      <c r="A231" s="51"/>
      <c r="B231" s="108"/>
      <c r="C231" s="52" t="s">
        <v>139</v>
      </c>
      <c r="D231" s="52" t="s">
        <v>93</v>
      </c>
      <c r="E231" s="52" t="s">
        <v>0</v>
      </c>
      <c r="F231" s="54" t="s">
        <v>24</v>
      </c>
      <c r="G231" s="55"/>
      <c r="H231" s="55"/>
      <c r="I231" s="55"/>
      <c r="J231" s="55"/>
      <c r="K231" s="55"/>
      <c r="L231" s="55"/>
      <c r="M231" s="55"/>
      <c r="N231" s="55"/>
      <c r="O231" s="55"/>
      <c r="P231" s="55"/>
      <c r="Q231" s="55"/>
      <c r="R231" s="55"/>
      <c r="S231" s="55"/>
      <c r="T231" s="55"/>
      <c r="U231" s="55"/>
      <c r="V231" s="55"/>
      <c r="W231" s="55"/>
      <c r="X231" s="55"/>
      <c r="Y231" s="55"/>
      <c r="Z231" s="55"/>
      <c r="AA231" s="55"/>
      <c r="AB231" s="55"/>
      <c r="AC231" s="55"/>
      <c r="AD231" s="55"/>
      <c r="AE231" s="55"/>
      <c r="AF231" s="55"/>
      <c r="AG231" s="55"/>
      <c r="AH231" s="55"/>
      <c r="AI231" s="55"/>
      <c r="AJ231" s="55"/>
      <c r="AK231" s="55"/>
      <c r="AL231" s="55"/>
      <c r="AM231" s="55"/>
      <c r="AN231" s="55"/>
      <c r="AO231" s="55"/>
      <c r="AP231" s="55"/>
      <c r="AQ231" s="55"/>
      <c r="AR231" s="55"/>
      <c r="AS231" s="55"/>
      <c r="AT231" s="55"/>
      <c r="AU231" s="55"/>
      <c r="AV231" s="55"/>
      <c r="AW231" s="55"/>
      <c r="AX231" s="55"/>
      <c r="AY231" s="55"/>
      <c r="AZ231" s="55"/>
      <c r="BA231" s="55"/>
      <c r="BB231" s="55"/>
      <c r="BC231" s="55"/>
      <c r="BD231" s="55"/>
      <c r="BE231" s="55"/>
      <c r="BF231" s="55"/>
      <c r="BG231" s="55"/>
      <c r="BH231" s="110"/>
    </row>
    <row r="232" spans="1:60">
      <c r="A232" s="51"/>
      <c r="B232" s="108"/>
      <c r="C232" s="52" t="s">
        <v>140</v>
      </c>
      <c r="D232" s="52" t="s">
        <v>93</v>
      </c>
      <c r="E232" s="52" t="s">
        <v>0</v>
      </c>
      <c r="F232" s="54" t="s">
        <v>25</v>
      </c>
      <c r="G232" s="55"/>
      <c r="H232" s="55"/>
      <c r="I232" s="55"/>
      <c r="J232" s="55"/>
      <c r="K232" s="55"/>
      <c r="L232" s="55"/>
      <c r="M232" s="55"/>
      <c r="N232" s="55"/>
      <c r="O232" s="55"/>
      <c r="P232" s="55"/>
      <c r="Q232" s="55"/>
      <c r="R232" s="55"/>
      <c r="S232" s="55"/>
      <c r="T232" s="55"/>
      <c r="U232" s="55"/>
      <c r="V232" s="55"/>
      <c r="W232" s="55"/>
      <c r="X232" s="55"/>
      <c r="Y232" s="55"/>
      <c r="Z232" s="55"/>
      <c r="AA232" s="55"/>
      <c r="AB232" s="55"/>
      <c r="AC232" s="55"/>
      <c r="AD232" s="55"/>
      <c r="AE232" s="55"/>
      <c r="AF232" s="55"/>
      <c r="AG232" s="55"/>
      <c r="AH232" s="55"/>
      <c r="AI232" s="55"/>
      <c r="AJ232" s="55"/>
      <c r="AK232" s="55"/>
      <c r="AL232" s="55"/>
      <c r="AM232" s="55"/>
      <c r="AN232" s="55"/>
      <c r="AO232" s="55"/>
      <c r="AP232" s="55"/>
      <c r="AQ232" s="55"/>
      <c r="AR232" s="55"/>
      <c r="AS232" s="55"/>
      <c r="AT232" s="55"/>
      <c r="AU232" s="55"/>
      <c r="AV232" s="55"/>
      <c r="AW232" s="55"/>
      <c r="AX232" s="55"/>
      <c r="AY232" s="55"/>
      <c r="AZ232" s="55"/>
      <c r="BA232" s="55"/>
      <c r="BB232" s="55"/>
      <c r="BC232" s="55"/>
      <c r="BD232" s="55"/>
      <c r="BE232" s="55"/>
      <c r="BF232" s="55"/>
      <c r="BG232" s="55"/>
      <c r="BH232" s="110"/>
    </row>
    <row r="233" spans="1:60">
      <c r="A233" s="51"/>
      <c r="B233" s="108"/>
      <c r="C233" s="52" t="s">
        <v>141</v>
      </c>
      <c r="D233" s="52" t="s">
        <v>93</v>
      </c>
      <c r="E233" s="52" t="s">
        <v>0</v>
      </c>
      <c r="F233" s="54" t="s">
        <v>26</v>
      </c>
      <c r="G233" s="55"/>
      <c r="H233" s="55"/>
      <c r="I233" s="55"/>
      <c r="J233" s="55"/>
      <c r="K233" s="55"/>
      <c r="L233" s="55"/>
      <c r="M233" s="55"/>
      <c r="N233" s="55"/>
      <c r="O233" s="55"/>
      <c r="P233" s="55"/>
      <c r="Q233" s="55"/>
      <c r="R233" s="55"/>
      <c r="S233" s="55"/>
      <c r="T233" s="55"/>
      <c r="U233" s="55"/>
      <c r="V233" s="55"/>
      <c r="W233" s="55"/>
      <c r="X233" s="55"/>
      <c r="Y233" s="55"/>
      <c r="Z233" s="55"/>
      <c r="AA233" s="55"/>
      <c r="AB233" s="55"/>
      <c r="AC233" s="55"/>
      <c r="AD233" s="55"/>
      <c r="AE233" s="55"/>
      <c r="AF233" s="55"/>
      <c r="AG233" s="55"/>
      <c r="AH233" s="55"/>
      <c r="AI233" s="55"/>
      <c r="AJ233" s="55"/>
      <c r="AK233" s="55"/>
      <c r="AL233" s="55"/>
      <c r="AM233" s="55"/>
      <c r="AN233" s="55"/>
      <c r="AO233" s="55"/>
      <c r="AP233" s="55"/>
      <c r="AQ233" s="55"/>
      <c r="AR233" s="55"/>
      <c r="AS233" s="55"/>
      <c r="AT233" s="55"/>
      <c r="AU233" s="55"/>
      <c r="AV233" s="55"/>
      <c r="AW233" s="55"/>
      <c r="AX233" s="55"/>
      <c r="AY233" s="55"/>
      <c r="AZ233" s="55"/>
      <c r="BA233" s="55"/>
      <c r="BB233" s="55"/>
      <c r="BC233" s="55"/>
      <c r="BD233" s="55"/>
      <c r="BE233" s="55"/>
      <c r="BF233" s="55"/>
      <c r="BG233" s="55"/>
      <c r="BH233" s="110"/>
    </row>
    <row r="234" spans="1:60">
      <c r="A234" s="51"/>
      <c r="B234" s="108"/>
      <c r="C234" s="52"/>
      <c r="D234" s="52"/>
      <c r="E234" s="52" t="s">
        <v>0</v>
      </c>
      <c r="F234" s="53" t="s">
        <v>27</v>
      </c>
      <c r="G234" s="52"/>
      <c r="H234" s="52"/>
      <c r="I234" s="52"/>
      <c r="J234" s="52"/>
      <c r="K234" s="52"/>
      <c r="L234" s="52"/>
      <c r="M234" s="52"/>
      <c r="N234" s="52"/>
      <c r="O234" s="52"/>
      <c r="P234" s="52"/>
      <c r="Q234" s="52"/>
      <c r="R234" s="52"/>
      <c r="S234" s="52"/>
      <c r="T234" s="52"/>
      <c r="U234" s="52"/>
      <c r="V234" s="52"/>
      <c r="W234" s="52"/>
      <c r="X234" s="52"/>
      <c r="Y234" s="52"/>
      <c r="Z234" s="52"/>
      <c r="AA234" s="52"/>
      <c r="AB234" s="52"/>
      <c r="AC234" s="52"/>
      <c r="AD234" s="52"/>
      <c r="AE234" s="52"/>
      <c r="AF234" s="52"/>
      <c r="AG234" s="52"/>
      <c r="AH234" s="52"/>
      <c r="AI234" s="52"/>
      <c r="AJ234" s="52"/>
      <c r="AK234" s="52"/>
      <c r="AL234" s="52"/>
      <c r="AM234" s="52"/>
      <c r="AN234" s="52"/>
      <c r="AO234" s="52"/>
      <c r="AP234" s="52"/>
      <c r="AQ234" s="52"/>
      <c r="AR234" s="52"/>
      <c r="AS234" s="52"/>
      <c r="AT234" s="52"/>
      <c r="AU234" s="52"/>
      <c r="AV234" s="52"/>
      <c r="AW234" s="52"/>
      <c r="AX234" s="52"/>
      <c r="AY234" s="52"/>
      <c r="AZ234" s="52"/>
      <c r="BA234" s="52"/>
      <c r="BB234" s="52"/>
      <c r="BC234" s="52"/>
      <c r="BD234" s="52"/>
      <c r="BE234" s="52"/>
      <c r="BF234" s="52"/>
      <c r="BG234" s="52"/>
      <c r="BH234" s="109"/>
    </row>
    <row r="235" spans="1:60">
      <c r="A235" s="51" t="s">
        <v>52</v>
      </c>
      <c r="B235" s="108"/>
      <c r="C235" s="52" t="s">
        <v>142</v>
      </c>
      <c r="D235" s="52" t="s">
        <v>9</v>
      </c>
      <c r="E235" s="52" t="s">
        <v>0</v>
      </c>
      <c r="F235" s="53" t="s">
        <v>187</v>
      </c>
      <c r="G235" s="83"/>
      <c r="H235" s="83"/>
      <c r="I235" s="83"/>
      <c r="J235" s="83"/>
      <c r="K235" s="83"/>
      <c r="L235" s="83"/>
      <c r="M235" s="83"/>
      <c r="N235" s="83"/>
      <c r="O235" s="83"/>
      <c r="P235" s="89"/>
      <c r="Q235" s="83"/>
      <c r="R235" s="83"/>
      <c r="S235" s="83"/>
      <c r="T235" s="83"/>
      <c r="U235" s="83"/>
      <c r="V235" s="83"/>
      <c r="W235" s="83"/>
      <c r="X235" s="89">
        <f>SUM(P235:W235)+SUM(G235:K235)</f>
        <v>0</v>
      </c>
      <c r="Y235" s="83"/>
      <c r="Z235" s="83"/>
      <c r="AA235" s="83"/>
      <c r="AB235" s="83"/>
      <c r="AC235" s="83"/>
      <c r="AD235" s="83"/>
      <c r="AE235" s="83"/>
      <c r="AF235" s="83"/>
      <c r="AG235" s="83"/>
      <c r="AH235" s="89"/>
      <c r="AI235" s="83"/>
      <c r="AJ235" s="83"/>
      <c r="AK235" s="83"/>
      <c r="AL235" s="83"/>
      <c r="AM235" s="83"/>
      <c r="AN235" s="83"/>
      <c r="AO235" s="83"/>
      <c r="AP235" s="89">
        <f>SUM(AH235:AO235)+SUM(Y235:AC235)</f>
        <v>0</v>
      </c>
      <c r="AQ235" s="89">
        <f t="shared" ref="AQ235:AW235" si="405">G235+Y235</f>
        <v>0</v>
      </c>
      <c r="AR235" s="89">
        <f t="shared" si="405"/>
        <v>0</v>
      </c>
      <c r="AS235" s="89">
        <f t="shared" si="405"/>
        <v>0</v>
      </c>
      <c r="AT235" s="89">
        <f t="shared" si="405"/>
        <v>0</v>
      </c>
      <c r="AU235" s="89">
        <f t="shared" si="405"/>
        <v>0</v>
      </c>
      <c r="AV235" s="89">
        <f t="shared" si="405"/>
        <v>0</v>
      </c>
      <c r="AW235" s="89">
        <f t="shared" si="405"/>
        <v>0</v>
      </c>
      <c r="AX235" s="89">
        <f t="shared" ref="AX235" si="406">N235+AF235</f>
        <v>0</v>
      </c>
      <c r="AY235" s="89">
        <f t="shared" ref="AY235:AZ235" si="407">O235+AG235</f>
        <v>0</v>
      </c>
      <c r="AZ235" s="89">
        <f t="shared" si="407"/>
        <v>0</v>
      </c>
      <c r="BA235" s="89">
        <f t="shared" ref="BA235:BF235" si="408">Q235+AI235</f>
        <v>0</v>
      </c>
      <c r="BB235" s="89">
        <f t="shared" si="408"/>
        <v>0</v>
      </c>
      <c r="BC235" s="89">
        <f t="shared" si="408"/>
        <v>0</v>
      </c>
      <c r="BD235" s="89">
        <f t="shared" si="408"/>
        <v>0</v>
      </c>
      <c r="BE235" s="89">
        <f t="shared" si="408"/>
        <v>0</v>
      </c>
      <c r="BF235" s="89">
        <f t="shared" si="408"/>
        <v>0</v>
      </c>
      <c r="BG235" s="89">
        <f>W235+AO235</f>
        <v>0</v>
      </c>
      <c r="BH235" s="111">
        <f>X235+AP235</f>
        <v>0</v>
      </c>
    </row>
    <row r="236" spans="1:60">
      <c r="A236" s="51"/>
      <c r="B236" s="108"/>
      <c r="C236" s="52"/>
      <c r="D236" s="52" t="s">
        <v>0</v>
      </c>
      <c r="E236" s="52" t="s">
        <v>0</v>
      </c>
      <c r="F236" s="53" t="s">
        <v>29</v>
      </c>
      <c r="G236" s="52"/>
      <c r="H236" s="52"/>
      <c r="I236" s="52"/>
      <c r="J236" s="52"/>
      <c r="K236" s="52"/>
      <c r="L236" s="52"/>
      <c r="M236" s="52"/>
      <c r="N236" s="52"/>
      <c r="O236" s="52"/>
      <c r="P236" s="52"/>
      <c r="Q236" s="52"/>
      <c r="R236" s="52"/>
      <c r="S236" s="52"/>
      <c r="T236" s="52"/>
      <c r="U236" s="52"/>
      <c r="V236" s="52"/>
      <c r="W236" s="52"/>
      <c r="X236" s="91"/>
      <c r="Y236" s="52"/>
      <c r="Z236" s="52"/>
      <c r="AA236" s="52"/>
      <c r="AB236" s="52"/>
      <c r="AC236" s="52"/>
      <c r="AD236" s="52"/>
      <c r="AE236" s="52"/>
      <c r="AF236" s="52"/>
      <c r="AG236" s="52"/>
      <c r="AH236" s="52"/>
      <c r="AI236" s="52"/>
      <c r="AJ236" s="52"/>
      <c r="AK236" s="52"/>
      <c r="AL236" s="52"/>
      <c r="AM236" s="52"/>
      <c r="AN236" s="52"/>
      <c r="AO236" s="52"/>
      <c r="AP236" s="91"/>
      <c r="AQ236" s="91"/>
      <c r="AR236" s="91"/>
      <c r="AS236" s="91"/>
      <c r="AT236" s="91"/>
      <c r="AU236" s="91"/>
      <c r="AV236" s="91"/>
      <c r="AW236" s="91"/>
      <c r="AX236" s="91"/>
      <c r="AY236" s="91"/>
      <c r="AZ236" s="91"/>
      <c r="BA236" s="91"/>
      <c r="BB236" s="91"/>
      <c r="BC236" s="91"/>
      <c r="BD236" s="91"/>
      <c r="BE236" s="91"/>
      <c r="BF236" s="91"/>
      <c r="BG236" s="91"/>
      <c r="BH236" s="112"/>
    </row>
    <row r="237" spans="1:60" ht="22.5">
      <c r="A237" s="51"/>
      <c r="B237" s="108"/>
      <c r="C237" s="52" t="s">
        <v>143</v>
      </c>
      <c r="D237" s="52" t="s">
        <v>93</v>
      </c>
      <c r="E237" s="52" t="s">
        <v>0</v>
      </c>
      <c r="F237" s="54" t="s">
        <v>30</v>
      </c>
      <c r="G237" s="83"/>
      <c r="H237" s="83"/>
      <c r="I237" s="83"/>
      <c r="J237" s="83"/>
      <c r="K237" s="83"/>
      <c r="L237" s="83"/>
      <c r="M237" s="83"/>
      <c r="N237" s="83"/>
      <c r="O237" s="83"/>
      <c r="P237" s="89"/>
      <c r="Q237" s="83"/>
      <c r="R237" s="83"/>
      <c r="S237" s="83"/>
      <c r="T237" s="83"/>
      <c r="U237" s="83"/>
      <c r="V237" s="83"/>
      <c r="W237" s="83"/>
      <c r="X237" s="89">
        <f t="shared" ref="X237:X245" si="409">SUM(P237:W237)+SUM(G237:K237)</f>
        <v>0</v>
      </c>
      <c r="Y237" s="83"/>
      <c r="Z237" s="83"/>
      <c r="AA237" s="83"/>
      <c r="AB237" s="83"/>
      <c r="AC237" s="83"/>
      <c r="AD237" s="83"/>
      <c r="AE237" s="83"/>
      <c r="AF237" s="83"/>
      <c r="AG237" s="83"/>
      <c r="AH237" s="89"/>
      <c r="AI237" s="83"/>
      <c r="AJ237" s="83"/>
      <c r="AK237" s="83"/>
      <c r="AL237" s="83"/>
      <c r="AM237" s="83"/>
      <c r="AN237" s="83"/>
      <c r="AO237" s="83"/>
      <c r="AP237" s="89">
        <f t="shared" ref="AP237:AP245" si="410">SUM(AH237:AO237)+SUM(Y237:AC237)</f>
        <v>0</v>
      </c>
      <c r="AQ237" s="89">
        <f t="shared" ref="AQ237:AQ245" si="411">G237+Y237</f>
        <v>0</v>
      </c>
      <c r="AR237" s="89">
        <f t="shared" ref="AR237:AR245" si="412">H237+Z237</f>
        <v>0</v>
      </c>
      <c r="AS237" s="89">
        <f t="shared" ref="AS237:AS245" si="413">I237+AA237</f>
        <v>0</v>
      </c>
      <c r="AT237" s="89">
        <f t="shared" ref="AT237:AT245" si="414">J237+AB237</f>
        <v>0</v>
      </c>
      <c r="AU237" s="89">
        <f t="shared" ref="AU237:AU245" si="415">K237+AC237</f>
        <v>0</v>
      </c>
      <c r="AV237" s="89">
        <f t="shared" ref="AV237:AV245" si="416">L237+AD237</f>
        <v>0</v>
      </c>
      <c r="AW237" s="89">
        <f t="shared" ref="AW237:AW245" si="417">M237+AE237</f>
        <v>0</v>
      </c>
      <c r="AX237" s="89">
        <f t="shared" ref="AX237:AX245" si="418">N237+AF237</f>
        <v>0</v>
      </c>
      <c r="AY237" s="89">
        <f t="shared" ref="AY237:AZ245" si="419">O237+AG237</f>
        <v>0</v>
      </c>
      <c r="AZ237" s="89">
        <f t="shared" si="419"/>
        <v>0</v>
      </c>
      <c r="BA237" s="89">
        <f t="shared" ref="BA237:BA245" si="420">Q237+AI237</f>
        <v>0</v>
      </c>
      <c r="BB237" s="89">
        <f t="shared" ref="BB237:BB245" si="421">R237+AJ237</f>
        <v>0</v>
      </c>
      <c r="BC237" s="89">
        <f t="shared" ref="BC237:BC245" si="422">S237+AK237</f>
        <v>0</v>
      </c>
      <c r="BD237" s="89">
        <f t="shared" ref="BD237:BD245" si="423">T237+AL237</f>
        <v>0</v>
      </c>
      <c r="BE237" s="89">
        <f t="shared" ref="BE237:BF245" si="424">U237+AM237</f>
        <v>0</v>
      </c>
      <c r="BF237" s="89">
        <f t="shared" si="424"/>
        <v>0</v>
      </c>
      <c r="BG237" s="89">
        <f t="shared" ref="BG237:BG245" si="425">W237+AO237</f>
        <v>0</v>
      </c>
      <c r="BH237" s="111">
        <f t="shared" ref="BH237:BH245" si="426">X237+AP237</f>
        <v>0</v>
      </c>
    </row>
    <row r="238" spans="1:60" ht="22.5">
      <c r="A238" s="51"/>
      <c r="B238" s="108"/>
      <c r="C238" s="52" t="s">
        <v>144</v>
      </c>
      <c r="D238" s="52" t="s">
        <v>93</v>
      </c>
      <c r="E238" s="52" t="s">
        <v>0</v>
      </c>
      <c r="F238" s="54" t="s">
        <v>31</v>
      </c>
      <c r="G238" s="83"/>
      <c r="H238" s="83"/>
      <c r="I238" s="83"/>
      <c r="J238" s="83"/>
      <c r="K238" s="83"/>
      <c r="L238" s="83"/>
      <c r="M238" s="83"/>
      <c r="N238" s="83"/>
      <c r="O238" s="83"/>
      <c r="P238" s="89"/>
      <c r="Q238" s="83"/>
      <c r="R238" s="83"/>
      <c r="S238" s="83"/>
      <c r="T238" s="83"/>
      <c r="U238" s="83"/>
      <c r="V238" s="83"/>
      <c r="W238" s="83"/>
      <c r="X238" s="89">
        <f t="shared" si="409"/>
        <v>0</v>
      </c>
      <c r="Y238" s="83"/>
      <c r="Z238" s="83"/>
      <c r="AA238" s="83"/>
      <c r="AB238" s="83"/>
      <c r="AC238" s="83"/>
      <c r="AD238" s="83"/>
      <c r="AE238" s="83"/>
      <c r="AF238" s="83"/>
      <c r="AG238" s="83"/>
      <c r="AH238" s="89"/>
      <c r="AI238" s="83"/>
      <c r="AJ238" s="83"/>
      <c r="AK238" s="83"/>
      <c r="AL238" s="83"/>
      <c r="AM238" s="83"/>
      <c r="AN238" s="83"/>
      <c r="AO238" s="83"/>
      <c r="AP238" s="89">
        <f t="shared" si="410"/>
        <v>0</v>
      </c>
      <c r="AQ238" s="89">
        <f t="shared" si="411"/>
        <v>0</v>
      </c>
      <c r="AR238" s="89">
        <f t="shared" si="412"/>
        <v>0</v>
      </c>
      <c r="AS238" s="89">
        <f t="shared" si="413"/>
        <v>0</v>
      </c>
      <c r="AT238" s="89">
        <f t="shared" si="414"/>
        <v>0</v>
      </c>
      <c r="AU238" s="89">
        <f t="shared" si="415"/>
        <v>0</v>
      </c>
      <c r="AV238" s="89">
        <f t="shared" si="416"/>
        <v>0</v>
      </c>
      <c r="AW238" s="89">
        <f t="shared" si="417"/>
        <v>0</v>
      </c>
      <c r="AX238" s="89">
        <f t="shared" si="418"/>
        <v>0</v>
      </c>
      <c r="AY238" s="89">
        <f t="shared" si="419"/>
        <v>0</v>
      </c>
      <c r="AZ238" s="89">
        <f t="shared" si="419"/>
        <v>0</v>
      </c>
      <c r="BA238" s="89">
        <f t="shared" si="420"/>
        <v>0</v>
      </c>
      <c r="BB238" s="89">
        <f t="shared" si="421"/>
        <v>0</v>
      </c>
      <c r="BC238" s="89">
        <f t="shared" si="422"/>
        <v>0</v>
      </c>
      <c r="BD238" s="89">
        <f t="shared" si="423"/>
        <v>0</v>
      </c>
      <c r="BE238" s="89">
        <f t="shared" si="424"/>
        <v>0</v>
      </c>
      <c r="BF238" s="89">
        <f t="shared" si="424"/>
        <v>0</v>
      </c>
      <c r="BG238" s="89">
        <f t="shared" si="425"/>
        <v>0</v>
      </c>
      <c r="BH238" s="111">
        <f t="shared" si="426"/>
        <v>0</v>
      </c>
    </row>
    <row r="239" spans="1:60" ht="15" customHeight="1">
      <c r="A239" s="51"/>
      <c r="B239" s="108"/>
      <c r="C239" s="52" t="s">
        <v>145</v>
      </c>
      <c r="D239" s="52" t="s">
        <v>93</v>
      </c>
      <c r="E239" s="52" t="s">
        <v>0</v>
      </c>
      <c r="F239" s="54" t="s">
        <v>32</v>
      </c>
      <c r="G239" s="83"/>
      <c r="H239" s="83"/>
      <c r="I239" s="83"/>
      <c r="J239" s="83"/>
      <c r="K239" s="83"/>
      <c r="L239" s="83"/>
      <c r="M239" s="83"/>
      <c r="N239" s="83"/>
      <c r="O239" s="83"/>
      <c r="P239" s="89"/>
      <c r="Q239" s="83"/>
      <c r="R239" s="83"/>
      <c r="S239" s="83"/>
      <c r="T239" s="83"/>
      <c r="U239" s="83"/>
      <c r="V239" s="83"/>
      <c r="W239" s="83"/>
      <c r="X239" s="89">
        <f t="shared" si="409"/>
        <v>0</v>
      </c>
      <c r="Y239" s="83"/>
      <c r="Z239" s="83"/>
      <c r="AA239" s="83"/>
      <c r="AB239" s="83"/>
      <c r="AC239" s="83"/>
      <c r="AD239" s="83"/>
      <c r="AE239" s="83"/>
      <c r="AF239" s="83"/>
      <c r="AG239" s="83"/>
      <c r="AH239" s="89"/>
      <c r="AI239" s="83"/>
      <c r="AJ239" s="83"/>
      <c r="AK239" s="83"/>
      <c r="AL239" s="83"/>
      <c r="AM239" s="83"/>
      <c r="AN239" s="83"/>
      <c r="AO239" s="83"/>
      <c r="AP239" s="89">
        <f t="shared" si="410"/>
        <v>0</v>
      </c>
      <c r="AQ239" s="89">
        <f t="shared" si="411"/>
        <v>0</v>
      </c>
      <c r="AR239" s="89">
        <f t="shared" si="412"/>
        <v>0</v>
      </c>
      <c r="AS239" s="89">
        <f t="shared" si="413"/>
        <v>0</v>
      </c>
      <c r="AT239" s="89">
        <f t="shared" si="414"/>
        <v>0</v>
      </c>
      <c r="AU239" s="89">
        <f t="shared" si="415"/>
        <v>0</v>
      </c>
      <c r="AV239" s="89">
        <f t="shared" si="416"/>
        <v>0</v>
      </c>
      <c r="AW239" s="89">
        <f t="shared" si="417"/>
        <v>0</v>
      </c>
      <c r="AX239" s="89">
        <f t="shared" si="418"/>
        <v>0</v>
      </c>
      <c r="AY239" s="89">
        <f t="shared" si="419"/>
        <v>0</v>
      </c>
      <c r="AZ239" s="89">
        <f t="shared" si="419"/>
        <v>0</v>
      </c>
      <c r="BA239" s="89">
        <f t="shared" si="420"/>
        <v>0</v>
      </c>
      <c r="BB239" s="89">
        <f t="shared" si="421"/>
        <v>0</v>
      </c>
      <c r="BC239" s="89">
        <f t="shared" si="422"/>
        <v>0</v>
      </c>
      <c r="BD239" s="89">
        <f t="shared" si="423"/>
        <v>0</v>
      </c>
      <c r="BE239" s="89">
        <f t="shared" si="424"/>
        <v>0</v>
      </c>
      <c r="BF239" s="89">
        <f t="shared" si="424"/>
        <v>0</v>
      </c>
      <c r="BG239" s="89">
        <f t="shared" si="425"/>
        <v>0</v>
      </c>
      <c r="BH239" s="111">
        <f t="shared" si="426"/>
        <v>0</v>
      </c>
    </row>
    <row r="240" spans="1:60">
      <c r="A240" s="51"/>
      <c r="B240" s="108"/>
      <c r="C240" s="52" t="s">
        <v>146</v>
      </c>
      <c r="D240" s="52" t="s">
        <v>93</v>
      </c>
      <c r="E240" s="52" t="s">
        <v>0</v>
      </c>
      <c r="F240" s="54" t="s">
        <v>33</v>
      </c>
      <c r="G240" s="83"/>
      <c r="H240" s="83"/>
      <c r="I240" s="83"/>
      <c r="J240" s="83"/>
      <c r="K240" s="83"/>
      <c r="L240" s="83"/>
      <c r="M240" s="83"/>
      <c r="N240" s="83"/>
      <c r="O240" s="83"/>
      <c r="P240" s="89"/>
      <c r="Q240" s="83"/>
      <c r="R240" s="83"/>
      <c r="S240" s="83"/>
      <c r="T240" s="83"/>
      <c r="U240" s="83"/>
      <c r="V240" s="83"/>
      <c r="W240" s="83"/>
      <c r="X240" s="89">
        <f t="shared" si="409"/>
        <v>0</v>
      </c>
      <c r="Y240" s="83"/>
      <c r="Z240" s="83"/>
      <c r="AA240" s="83"/>
      <c r="AB240" s="83"/>
      <c r="AC240" s="83"/>
      <c r="AD240" s="83"/>
      <c r="AE240" s="83"/>
      <c r="AF240" s="83"/>
      <c r="AG240" s="83"/>
      <c r="AH240" s="89"/>
      <c r="AI240" s="83"/>
      <c r="AJ240" s="83"/>
      <c r="AK240" s="83"/>
      <c r="AL240" s="83"/>
      <c r="AM240" s="83"/>
      <c r="AN240" s="83"/>
      <c r="AO240" s="83"/>
      <c r="AP240" s="89">
        <f t="shared" si="410"/>
        <v>0</v>
      </c>
      <c r="AQ240" s="89">
        <f t="shared" si="411"/>
        <v>0</v>
      </c>
      <c r="AR240" s="89">
        <f t="shared" si="412"/>
        <v>0</v>
      </c>
      <c r="AS240" s="89">
        <f t="shared" si="413"/>
        <v>0</v>
      </c>
      <c r="AT240" s="89">
        <f t="shared" si="414"/>
        <v>0</v>
      </c>
      <c r="AU240" s="89">
        <f t="shared" si="415"/>
        <v>0</v>
      </c>
      <c r="AV240" s="89">
        <f t="shared" si="416"/>
        <v>0</v>
      </c>
      <c r="AW240" s="89">
        <f t="shared" si="417"/>
        <v>0</v>
      </c>
      <c r="AX240" s="89">
        <f t="shared" si="418"/>
        <v>0</v>
      </c>
      <c r="AY240" s="89">
        <f t="shared" si="419"/>
        <v>0</v>
      </c>
      <c r="AZ240" s="89">
        <f t="shared" si="419"/>
        <v>0</v>
      </c>
      <c r="BA240" s="89">
        <f t="shared" si="420"/>
        <v>0</v>
      </c>
      <c r="BB240" s="89">
        <f t="shared" si="421"/>
        <v>0</v>
      </c>
      <c r="BC240" s="89">
        <f t="shared" si="422"/>
        <v>0</v>
      </c>
      <c r="BD240" s="89">
        <f t="shared" si="423"/>
        <v>0</v>
      </c>
      <c r="BE240" s="89">
        <f t="shared" si="424"/>
        <v>0</v>
      </c>
      <c r="BF240" s="89">
        <f t="shared" si="424"/>
        <v>0</v>
      </c>
      <c r="BG240" s="89">
        <f t="shared" si="425"/>
        <v>0</v>
      </c>
      <c r="BH240" s="111">
        <f t="shared" si="426"/>
        <v>0</v>
      </c>
    </row>
    <row r="241" spans="1:60" ht="22.5">
      <c r="A241" s="51"/>
      <c r="B241" s="108"/>
      <c r="C241" s="52" t="s">
        <v>147</v>
      </c>
      <c r="D241" s="52" t="s">
        <v>93</v>
      </c>
      <c r="E241" s="52" t="s">
        <v>0</v>
      </c>
      <c r="F241" s="54" t="s">
        <v>34</v>
      </c>
      <c r="G241" s="83"/>
      <c r="H241" s="83"/>
      <c r="I241" s="83"/>
      <c r="J241" s="83"/>
      <c r="K241" s="83"/>
      <c r="L241" s="83"/>
      <c r="M241" s="83"/>
      <c r="N241" s="83"/>
      <c r="O241" s="83"/>
      <c r="P241" s="89"/>
      <c r="Q241" s="83"/>
      <c r="R241" s="83"/>
      <c r="S241" s="83"/>
      <c r="T241" s="83"/>
      <c r="U241" s="83"/>
      <c r="V241" s="83"/>
      <c r="W241" s="83"/>
      <c r="X241" s="89">
        <f t="shared" si="409"/>
        <v>0</v>
      </c>
      <c r="Y241" s="83"/>
      <c r="Z241" s="83"/>
      <c r="AA241" s="83"/>
      <c r="AB241" s="83"/>
      <c r="AC241" s="83"/>
      <c r="AD241" s="83"/>
      <c r="AE241" s="83"/>
      <c r="AF241" s="83"/>
      <c r="AG241" s="83"/>
      <c r="AH241" s="89"/>
      <c r="AI241" s="83"/>
      <c r="AJ241" s="83"/>
      <c r="AK241" s="83"/>
      <c r="AL241" s="83"/>
      <c r="AM241" s="83"/>
      <c r="AN241" s="83"/>
      <c r="AO241" s="83"/>
      <c r="AP241" s="89">
        <f t="shared" si="410"/>
        <v>0</v>
      </c>
      <c r="AQ241" s="89">
        <f t="shared" si="411"/>
        <v>0</v>
      </c>
      <c r="AR241" s="89">
        <f t="shared" si="412"/>
        <v>0</v>
      </c>
      <c r="AS241" s="89">
        <f t="shared" si="413"/>
        <v>0</v>
      </c>
      <c r="AT241" s="89">
        <f t="shared" si="414"/>
        <v>0</v>
      </c>
      <c r="AU241" s="89">
        <f t="shared" si="415"/>
        <v>0</v>
      </c>
      <c r="AV241" s="89">
        <f t="shared" si="416"/>
        <v>0</v>
      </c>
      <c r="AW241" s="89">
        <f t="shared" si="417"/>
        <v>0</v>
      </c>
      <c r="AX241" s="89">
        <f t="shared" si="418"/>
        <v>0</v>
      </c>
      <c r="AY241" s="89">
        <f t="shared" si="419"/>
        <v>0</v>
      </c>
      <c r="AZ241" s="89">
        <f t="shared" si="419"/>
        <v>0</v>
      </c>
      <c r="BA241" s="89">
        <f t="shared" si="420"/>
        <v>0</v>
      </c>
      <c r="BB241" s="89">
        <f t="shared" si="421"/>
        <v>0</v>
      </c>
      <c r="BC241" s="89">
        <f t="shared" si="422"/>
        <v>0</v>
      </c>
      <c r="BD241" s="89">
        <f t="shared" si="423"/>
        <v>0</v>
      </c>
      <c r="BE241" s="89">
        <f t="shared" si="424"/>
        <v>0</v>
      </c>
      <c r="BF241" s="89">
        <f t="shared" si="424"/>
        <v>0</v>
      </c>
      <c r="BG241" s="89">
        <f t="shared" si="425"/>
        <v>0</v>
      </c>
      <c r="BH241" s="111">
        <f t="shared" si="426"/>
        <v>0</v>
      </c>
    </row>
    <row r="242" spans="1:60" ht="22.5">
      <c r="A242" s="51"/>
      <c r="B242" s="108"/>
      <c r="C242" s="52" t="s">
        <v>148</v>
      </c>
      <c r="D242" s="52" t="s">
        <v>93</v>
      </c>
      <c r="E242" s="52" t="s">
        <v>0</v>
      </c>
      <c r="F242" s="54" t="s">
        <v>35</v>
      </c>
      <c r="G242" s="83"/>
      <c r="H242" s="83"/>
      <c r="I242" s="83"/>
      <c r="J242" s="83"/>
      <c r="K242" s="83"/>
      <c r="L242" s="83"/>
      <c r="M242" s="83"/>
      <c r="N242" s="83"/>
      <c r="O242" s="83"/>
      <c r="P242" s="89"/>
      <c r="Q242" s="83"/>
      <c r="R242" s="83"/>
      <c r="S242" s="83"/>
      <c r="T242" s="83"/>
      <c r="U242" s="83"/>
      <c r="V242" s="83"/>
      <c r="W242" s="83"/>
      <c r="X242" s="89">
        <f t="shared" si="409"/>
        <v>0</v>
      </c>
      <c r="Y242" s="83"/>
      <c r="Z242" s="83"/>
      <c r="AA242" s="83"/>
      <c r="AB242" s="83"/>
      <c r="AC242" s="83"/>
      <c r="AD242" s="83"/>
      <c r="AE242" s="83"/>
      <c r="AF242" s="83"/>
      <c r="AG242" s="83"/>
      <c r="AH242" s="89"/>
      <c r="AI242" s="83"/>
      <c r="AJ242" s="83"/>
      <c r="AK242" s="83"/>
      <c r="AL242" s="83"/>
      <c r="AM242" s="83"/>
      <c r="AN242" s="83"/>
      <c r="AO242" s="83"/>
      <c r="AP242" s="89">
        <f t="shared" si="410"/>
        <v>0</v>
      </c>
      <c r="AQ242" s="89">
        <f t="shared" si="411"/>
        <v>0</v>
      </c>
      <c r="AR242" s="89">
        <f t="shared" si="412"/>
        <v>0</v>
      </c>
      <c r="AS242" s="89">
        <f t="shared" si="413"/>
        <v>0</v>
      </c>
      <c r="AT242" s="89">
        <f t="shared" si="414"/>
        <v>0</v>
      </c>
      <c r="AU242" s="89">
        <f t="shared" si="415"/>
        <v>0</v>
      </c>
      <c r="AV242" s="89">
        <f t="shared" si="416"/>
        <v>0</v>
      </c>
      <c r="AW242" s="89">
        <f t="shared" si="417"/>
        <v>0</v>
      </c>
      <c r="AX242" s="89">
        <f t="shared" si="418"/>
        <v>0</v>
      </c>
      <c r="AY242" s="89">
        <f t="shared" si="419"/>
        <v>0</v>
      </c>
      <c r="AZ242" s="89">
        <f t="shared" si="419"/>
        <v>0</v>
      </c>
      <c r="BA242" s="89">
        <f t="shared" si="420"/>
        <v>0</v>
      </c>
      <c r="BB242" s="89">
        <f t="shared" si="421"/>
        <v>0</v>
      </c>
      <c r="BC242" s="89">
        <f t="shared" si="422"/>
        <v>0</v>
      </c>
      <c r="BD242" s="89">
        <f t="shared" si="423"/>
        <v>0</v>
      </c>
      <c r="BE242" s="89">
        <f t="shared" si="424"/>
        <v>0</v>
      </c>
      <c r="BF242" s="89">
        <f t="shared" si="424"/>
        <v>0</v>
      </c>
      <c r="BG242" s="89">
        <f t="shared" si="425"/>
        <v>0</v>
      </c>
      <c r="BH242" s="111">
        <f t="shared" si="426"/>
        <v>0</v>
      </c>
    </row>
    <row r="243" spans="1:60" ht="22.5">
      <c r="A243" s="51"/>
      <c r="B243" s="108"/>
      <c r="C243" s="52" t="s">
        <v>149</v>
      </c>
      <c r="D243" s="52" t="s">
        <v>93</v>
      </c>
      <c r="E243" s="52" t="s">
        <v>0</v>
      </c>
      <c r="F243" s="54" t="s">
        <v>36</v>
      </c>
      <c r="G243" s="83"/>
      <c r="H243" s="83"/>
      <c r="I243" s="83"/>
      <c r="J243" s="83"/>
      <c r="K243" s="83"/>
      <c r="L243" s="83"/>
      <c r="M243" s="83"/>
      <c r="N243" s="83"/>
      <c r="O243" s="83"/>
      <c r="P243" s="89"/>
      <c r="Q243" s="83"/>
      <c r="R243" s="83"/>
      <c r="S243" s="83"/>
      <c r="T243" s="83"/>
      <c r="U243" s="83"/>
      <c r="V243" s="83"/>
      <c r="W243" s="83"/>
      <c r="X243" s="89">
        <f t="shared" si="409"/>
        <v>0</v>
      </c>
      <c r="Y243" s="83"/>
      <c r="Z243" s="83"/>
      <c r="AA243" s="83"/>
      <c r="AB243" s="83"/>
      <c r="AC243" s="83"/>
      <c r="AD243" s="83"/>
      <c r="AE243" s="83"/>
      <c r="AF243" s="83"/>
      <c r="AG243" s="83"/>
      <c r="AH243" s="89"/>
      <c r="AI243" s="83"/>
      <c r="AJ243" s="83"/>
      <c r="AK243" s="83"/>
      <c r="AL243" s="83"/>
      <c r="AM243" s="83"/>
      <c r="AN243" s="83"/>
      <c r="AO243" s="83"/>
      <c r="AP243" s="89">
        <f t="shared" si="410"/>
        <v>0</v>
      </c>
      <c r="AQ243" s="89">
        <f t="shared" si="411"/>
        <v>0</v>
      </c>
      <c r="AR243" s="89">
        <f t="shared" si="412"/>
        <v>0</v>
      </c>
      <c r="AS243" s="89">
        <f t="shared" si="413"/>
        <v>0</v>
      </c>
      <c r="AT243" s="89">
        <f t="shared" si="414"/>
        <v>0</v>
      </c>
      <c r="AU243" s="89">
        <f t="shared" si="415"/>
        <v>0</v>
      </c>
      <c r="AV243" s="89">
        <f t="shared" si="416"/>
        <v>0</v>
      </c>
      <c r="AW243" s="89">
        <f t="shared" si="417"/>
        <v>0</v>
      </c>
      <c r="AX243" s="89">
        <f t="shared" si="418"/>
        <v>0</v>
      </c>
      <c r="AY243" s="89">
        <f t="shared" si="419"/>
        <v>0</v>
      </c>
      <c r="AZ243" s="89">
        <f t="shared" si="419"/>
        <v>0</v>
      </c>
      <c r="BA243" s="89">
        <f t="shared" si="420"/>
        <v>0</v>
      </c>
      <c r="BB243" s="89">
        <f t="shared" si="421"/>
        <v>0</v>
      </c>
      <c r="BC243" s="89">
        <f t="shared" si="422"/>
        <v>0</v>
      </c>
      <c r="BD243" s="89">
        <f t="shared" si="423"/>
        <v>0</v>
      </c>
      <c r="BE243" s="89">
        <f t="shared" si="424"/>
        <v>0</v>
      </c>
      <c r="BF243" s="89">
        <f t="shared" si="424"/>
        <v>0</v>
      </c>
      <c r="BG243" s="89">
        <f t="shared" si="425"/>
        <v>0</v>
      </c>
      <c r="BH243" s="111">
        <f t="shared" si="426"/>
        <v>0</v>
      </c>
    </row>
    <row r="244" spans="1:60" ht="22.5">
      <c r="A244" s="51"/>
      <c r="B244" s="108"/>
      <c r="C244" s="52" t="s">
        <v>150</v>
      </c>
      <c r="D244" s="52" t="s">
        <v>93</v>
      </c>
      <c r="E244" s="52" t="s">
        <v>0</v>
      </c>
      <c r="F244" s="54" t="s">
        <v>37</v>
      </c>
      <c r="G244" s="85"/>
      <c r="H244" s="85"/>
      <c r="I244" s="85"/>
      <c r="J244" s="85"/>
      <c r="K244" s="85"/>
      <c r="L244" s="85"/>
      <c r="M244" s="85"/>
      <c r="N244" s="85"/>
      <c r="O244" s="85"/>
      <c r="P244" s="89"/>
      <c r="Q244" s="85"/>
      <c r="R244" s="85"/>
      <c r="S244" s="85"/>
      <c r="T244" s="85"/>
      <c r="U244" s="85"/>
      <c r="V244" s="85"/>
      <c r="W244" s="85"/>
      <c r="X244" s="89">
        <f t="shared" si="409"/>
        <v>0</v>
      </c>
      <c r="Y244" s="85"/>
      <c r="Z244" s="85"/>
      <c r="AA244" s="85"/>
      <c r="AB244" s="85"/>
      <c r="AC244" s="85"/>
      <c r="AD244" s="85"/>
      <c r="AE244" s="85"/>
      <c r="AF244" s="85"/>
      <c r="AG244" s="85"/>
      <c r="AH244" s="89"/>
      <c r="AI244" s="85"/>
      <c r="AJ244" s="85"/>
      <c r="AK244" s="85"/>
      <c r="AL244" s="85"/>
      <c r="AM244" s="85"/>
      <c r="AN244" s="85"/>
      <c r="AO244" s="85"/>
      <c r="AP244" s="89">
        <f t="shared" si="410"/>
        <v>0</v>
      </c>
      <c r="AQ244" s="89">
        <f t="shared" si="411"/>
        <v>0</v>
      </c>
      <c r="AR244" s="89">
        <f t="shared" si="412"/>
        <v>0</v>
      </c>
      <c r="AS244" s="89">
        <f t="shared" si="413"/>
        <v>0</v>
      </c>
      <c r="AT244" s="89">
        <f t="shared" si="414"/>
        <v>0</v>
      </c>
      <c r="AU244" s="89">
        <f t="shared" si="415"/>
        <v>0</v>
      </c>
      <c r="AV244" s="89">
        <f t="shared" si="416"/>
        <v>0</v>
      </c>
      <c r="AW244" s="89">
        <f t="shared" si="417"/>
        <v>0</v>
      </c>
      <c r="AX244" s="89">
        <f t="shared" si="418"/>
        <v>0</v>
      </c>
      <c r="AY244" s="89">
        <f t="shared" si="419"/>
        <v>0</v>
      </c>
      <c r="AZ244" s="89">
        <f t="shared" si="419"/>
        <v>0</v>
      </c>
      <c r="BA244" s="89">
        <f t="shared" si="420"/>
        <v>0</v>
      </c>
      <c r="BB244" s="89">
        <f t="shared" si="421"/>
        <v>0</v>
      </c>
      <c r="BC244" s="89">
        <f t="shared" si="422"/>
        <v>0</v>
      </c>
      <c r="BD244" s="89">
        <f t="shared" si="423"/>
        <v>0</v>
      </c>
      <c r="BE244" s="89">
        <f t="shared" si="424"/>
        <v>0</v>
      </c>
      <c r="BF244" s="89">
        <f t="shared" si="424"/>
        <v>0</v>
      </c>
      <c r="BG244" s="89">
        <f t="shared" si="425"/>
        <v>0</v>
      </c>
      <c r="BH244" s="111">
        <f t="shared" si="426"/>
        <v>0</v>
      </c>
    </row>
    <row r="245" spans="1:60" ht="22.5">
      <c r="A245" s="51"/>
      <c r="B245" s="108"/>
      <c r="C245" s="52" t="s">
        <v>151</v>
      </c>
      <c r="D245" s="52" t="s">
        <v>93</v>
      </c>
      <c r="E245" s="52" t="s">
        <v>0</v>
      </c>
      <c r="F245" s="54" t="s">
        <v>38</v>
      </c>
      <c r="G245" s="83"/>
      <c r="H245" s="83"/>
      <c r="I245" s="83"/>
      <c r="J245" s="83"/>
      <c r="K245" s="83"/>
      <c r="L245" s="83"/>
      <c r="M245" s="83"/>
      <c r="N245" s="83"/>
      <c r="O245" s="83"/>
      <c r="P245" s="89"/>
      <c r="Q245" s="83"/>
      <c r="R245" s="83"/>
      <c r="S245" s="83"/>
      <c r="T245" s="83"/>
      <c r="U245" s="83"/>
      <c r="V245" s="83"/>
      <c r="W245" s="83"/>
      <c r="X245" s="89">
        <f t="shared" si="409"/>
        <v>0</v>
      </c>
      <c r="Y245" s="83"/>
      <c r="Z245" s="83"/>
      <c r="AA245" s="83"/>
      <c r="AB245" s="83"/>
      <c r="AC245" s="83"/>
      <c r="AD245" s="83"/>
      <c r="AE245" s="83"/>
      <c r="AF245" s="83"/>
      <c r="AG245" s="83"/>
      <c r="AH245" s="89"/>
      <c r="AI245" s="83"/>
      <c r="AJ245" s="83"/>
      <c r="AK245" s="83"/>
      <c r="AL245" s="83"/>
      <c r="AM245" s="83"/>
      <c r="AN245" s="83"/>
      <c r="AO245" s="83"/>
      <c r="AP245" s="89">
        <f t="shared" si="410"/>
        <v>0</v>
      </c>
      <c r="AQ245" s="89">
        <f t="shared" si="411"/>
        <v>0</v>
      </c>
      <c r="AR245" s="89">
        <f t="shared" si="412"/>
        <v>0</v>
      </c>
      <c r="AS245" s="89">
        <f t="shared" si="413"/>
        <v>0</v>
      </c>
      <c r="AT245" s="89">
        <f t="shared" si="414"/>
        <v>0</v>
      </c>
      <c r="AU245" s="89">
        <f t="shared" si="415"/>
        <v>0</v>
      </c>
      <c r="AV245" s="89">
        <f t="shared" si="416"/>
        <v>0</v>
      </c>
      <c r="AW245" s="89">
        <f t="shared" si="417"/>
        <v>0</v>
      </c>
      <c r="AX245" s="89">
        <f t="shared" si="418"/>
        <v>0</v>
      </c>
      <c r="AY245" s="89">
        <f t="shared" si="419"/>
        <v>0</v>
      </c>
      <c r="AZ245" s="89">
        <f t="shared" si="419"/>
        <v>0</v>
      </c>
      <c r="BA245" s="89">
        <f t="shared" si="420"/>
        <v>0</v>
      </c>
      <c r="BB245" s="89">
        <f t="shared" si="421"/>
        <v>0</v>
      </c>
      <c r="BC245" s="89">
        <f t="shared" si="422"/>
        <v>0</v>
      </c>
      <c r="BD245" s="89">
        <f t="shared" si="423"/>
        <v>0</v>
      </c>
      <c r="BE245" s="89">
        <f t="shared" si="424"/>
        <v>0</v>
      </c>
      <c r="BF245" s="89">
        <f t="shared" si="424"/>
        <v>0</v>
      </c>
      <c r="BG245" s="89">
        <f t="shared" si="425"/>
        <v>0</v>
      </c>
      <c r="BH245" s="111">
        <f t="shared" si="426"/>
        <v>0</v>
      </c>
    </row>
    <row r="246" spans="1:60" ht="22.5">
      <c r="A246" s="51"/>
      <c r="B246" s="108"/>
      <c r="C246" s="52"/>
      <c r="D246" s="52" t="s">
        <v>0</v>
      </c>
      <c r="E246" s="52" t="s">
        <v>0</v>
      </c>
      <c r="F246" s="53" t="s">
        <v>39</v>
      </c>
      <c r="G246" s="52"/>
      <c r="H246" s="52"/>
      <c r="I246" s="52"/>
      <c r="J246" s="52"/>
      <c r="K246" s="52"/>
      <c r="L246" s="52"/>
      <c r="M246" s="52"/>
      <c r="N246" s="52"/>
      <c r="O246" s="52"/>
      <c r="P246" s="52"/>
      <c r="Q246" s="52"/>
      <c r="R246" s="52"/>
      <c r="S246" s="52"/>
      <c r="T246" s="52"/>
      <c r="U246" s="52"/>
      <c r="V246" s="52"/>
      <c r="W246" s="52"/>
      <c r="X246" s="91"/>
      <c r="Y246" s="52"/>
      <c r="Z246" s="52"/>
      <c r="AA246" s="52"/>
      <c r="AB246" s="52"/>
      <c r="AC246" s="52"/>
      <c r="AD246" s="52"/>
      <c r="AE246" s="52"/>
      <c r="AF246" s="52"/>
      <c r="AG246" s="52"/>
      <c r="AH246" s="52"/>
      <c r="AI246" s="52"/>
      <c r="AJ246" s="52"/>
      <c r="AK246" s="52"/>
      <c r="AL246" s="52"/>
      <c r="AM246" s="52"/>
      <c r="AN246" s="52"/>
      <c r="AO246" s="52"/>
      <c r="AP246" s="91"/>
      <c r="AQ246" s="91"/>
      <c r="AR246" s="91"/>
      <c r="AS246" s="91"/>
      <c r="AT246" s="91"/>
      <c r="AU246" s="91"/>
      <c r="AV246" s="91"/>
      <c r="AW246" s="91"/>
      <c r="AX246" s="91"/>
      <c r="AY246" s="91"/>
      <c r="AZ246" s="91"/>
      <c r="BA246" s="91"/>
      <c r="BB246" s="91"/>
      <c r="BC246" s="91"/>
      <c r="BD246" s="91"/>
      <c r="BE246" s="91"/>
      <c r="BF246" s="91"/>
      <c r="BG246" s="91"/>
      <c r="BH246" s="112"/>
    </row>
    <row r="247" spans="1:60" ht="22.5">
      <c r="A247" s="51"/>
      <c r="B247" s="108"/>
      <c r="C247" s="52" t="s">
        <v>152</v>
      </c>
      <c r="D247" s="52" t="s">
        <v>93</v>
      </c>
      <c r="E247" s="52" t="s">
        <v>0</v>
      </c>
      <c r="F247" s="54" t="s">
        <v>40</v>
      </c>
      <c r="G247" s="83"/>
      <c r="H247" s="83"/>
      <c r="I247" s="83"/>
      <c r="J247" s="83"/>
      <c r="K247" s="83"/>
      <c r="L247" s="83"/>
      <c r="M247" s="83"/>
      <c r="N247" s="83"/>
      <c r="O247" s="83"/>
      <c r="P247" s="89"/>
      <c r="Q247" s="83"/>
      <c r="R247" s="83"/>
      <c r="S247" s="83"/>
      <c r="T247" s="83"/>
      <c r="U247" s="83"/>
      <c r="V247" s="83"/>
      <c r="W247" s="83"/>
      <c r="X247" s="89">
        <f t="shared" ref="X247:X249" si="427">SUM(P247:W247)+SUM(G247:K247)</f>
        <v>0</v>
      </c>
      <c r="Y247" s="83"/>
      <c r="Z247" s="83"/>
      <c r="AA247" s="83"/>
      <c r="AB247" s="83"/>
      <c r="AC247" s="83"/>
      <c r="AD247" s="83"/>
      <c r="AE247" s="83"/>
      <c r="AF247" s="83"/>
      <c r="AG247" s="83"/>
      <c r="AH247" s="89"/>
      <c r="AI247" s="83"/>
      <c r="AJ247" s="83"/>
      <c r="AK247" s="83"/>
      <c r="AL247" s="83"/>
      <c r="AM247" s="83"/>
      <c r="AN247" s="83"/>
      <c r="AO247" s="83"/>
      <c r="AP247" s="89">
        <f t="shared" ref="AP247:AP249" si="428">SUM(AH247:AO247)+SUM(Y247:AC247)</f>
        <v>0</v>
      </c>
      <c r="AQ247" s="89">
        <f t="shared" ref="AQ247:AW249" si="429">G247+Y247</f>
        <v>0</v>
      </c>
      <c r="AR247" s="89">
        <f t="shared" si="429"/>
        <v>0</v>
      </c>
      <c r="AS247" s="89">
        <f t="shared" si="429"/>
        <v>0</v>
      </c>
      <c r="AT247" s="89">
        <f t="shared" si="429"/>
        <v>0</v>
      </c>
      <c r="AU247" s="89">
        <f t="shared" si="429"/>
        <v>0</v>
      </c>
      <c r="AV247" s="89">
        <f t="shared" si="429"/>
        <v>0</v>
      </c>
      <c r="AW247" s="89">
        <f t="shared" si="429"/>
        <v>0</v>
      </c>
      <c r="AX247" s="89">
        <f t="shared" ref="AX247:AX249" si="430">N247+AF247</f>
        <v>0</v>
      </c>
      <c r="AY247" s="89">
        <f t="shared" ref="AY247:AZ249" si="431">O247+AG247</f>
        <v>0</v>
      </c>
      <c r="AZ247" s="89">
        <f t="shared" si="431"/>
        <v>0</v>
      </c>
      <c r="BA247" s="89">
        <f t="shared" ref="BA247:BF249" si="432">Q247+AI247</f>
        <v>0</v>
      </c>
      <c r="BB247" s="89">
        <f t="shared" si="432"/>
        <v>0</v>
      </c>
      <c r="BC247" s="89">
        <f t="shared" si="432"/>
        <v>0</v>
      </c>
      <c r="BD247" s="89">
        <f t="shared" si="432"/>
        <v>0</v>
      </c>
      <c r="BE247" s="89">
        <f t="shared" si="432"/>
        <v>0</v>
      </c>
      <c r="BF247" s="89">
        <f t="shared" si="432"/>
        <v>0</v>
      </c>
      <c r="BG247" s="89">
        <f t="shared" ref="BG247:BG249" si="433">W247+AO247</f>
        <v>0</v>
      </c>
      <c r="BH247" s="111">
        <f>X247+AP247</f>
        <v>0</v>
      </c>
    </row>
    <row r="248" spans="1:60" ht="22.5">
      <c r="A248" s="51"/>
      <c r="B248" s="108"/>
      <c r="C248" s="52" t="s">
        <v>153</v>
      </c>
      <c r="D248" s="52" t="s">
        <v>93</v>
      </c>
      <c r="E248" s="52" t="s">
        <v>0</v>
      </c>
      <c r="F248" s="54" t="s">
        <v>41</v>
      </c>
      <c r="G248" s="83"/>
      <c r="H248" s="83"/>
      <c r="I248" s="83"/>
      <c r="J248" s="83"/>
      <c r="K248" s="83"/>
      <c r="L248" s="83"/>
      <c r="M248" s="83"/>
      <c r="N248" s="83"/>
      <c r="O248" s="83"/>
      <c r="P248" s="89"/>
      <c r="Q248" s="83"/>
      <c r="R248" s="83"/>
      <c r="S248" s="83"/>
      <c r="T248" s="83"/>
      <c r="U248" s="83"/>
      <c r="V248" s="83"/>
      <c r="W248" s="83"/>
      <c r="X248" s="89">
        <f t="shared" si="427"/>
        <v>0</v>
      </c>
      <c r="Y248" s="83"/>
      <c r="Z248" s="83"/>
      <c r="AA248" s="83"/>
      <c r="AB248" s="83"/>
      <c r="AC248" s="83"/>
      <c r="AD248" s="83"/>
      <c r="AE248" s="83"/>
      <c r="AF248" s="83"/>
      <c r="AG248" s="83"/>
      <c r="AH248" s="89"/>
      <c r="AI248" s="83"/>
      <c r="AJ248" s="83"/>
      <c r="AK248" s="83"/>
      <c r="AL248" s="83"/>
      <c r="AM248" s="83"/>
      <c r="AN248" s="83"/>
      <c r="AO248" s="83"/>
      <c r="AP248" s="89">
        <f t="shared" si="428"/>
        <v>0</v>
      </c>
      <c r="AQ248" s="89">
        <f t="shared" si="429"/>
        <v>0</v>
      </c>
      <c r="AR248" s="89">
        <f t="shared" si="429"/>
        <v>0</v>
      </c>
      <c r="AS248" s="89">
        <f t="shared" si="429"/>
        <v>0</v>
      </c>
      <c r="AT248" s="89">
        <f t="shared" si="429"/>
        <v>0</v>
      </c>
      <c r="AU248" s="89">
        <f t="shared" si="429"/>
        <v>0</v>
      </c>
      <c r="AV248" s="89">
        <f t="shared" si="429"/>
        <v>0</v>
      </c>
      <c r="AW248" s="89">
        <f t="shared" si="429"/>
        <v>0</v>
      </c>
      <c r="AX248" s="89">
        <f t="shared" si="430"/>
        <v>0</v>
      </c>
      <c r="AY248" s="89">
        <f t="shared" si="431"/>
        <v>0</v>
      </c>
      <c r="AZ248" s="89">
        <f t="shared" si="431"/>
        <v>0</v>
      </c>
      <c r="BA248" s="89">
        <f t="shared" si="432"/>
        <v>0</v>
      </c>
      <c r="BB248" s="89">
        <f t="shared" si="432"/>
        <v>0</v>
      </c>
      <c r="BC248" s="89">
        <f t="shared" si="432"/>
        <v>0</v>
      </c>
      <c r="BD248" s="89">
        <f t="shared" si="432"/>
        <v>0</v>
      </c>
      <c r="BE248" s="89">
        <f t="shared" si="432"/>
        <v>0</v>
      </c>
      <c r="BF248" s="89">
        <f t="shared" si="432"/>
        <v>0</v>
      </c>
      <c r="BG248" s="89">
        <f t="shared" si="433"/>
        <v>0</v>
      </c>
      <c r="BH248" s="111">
        <f>X248+AP248</f>
        <v>0</v>
      </c>
    </row>
    <row r="249" spans="1:60" ht="22.5">
      <c r="A249" s="51"/>
      <c r="B249" s="108"/>
      <c r="C249" s="52" t="s">
        <v>154</v>
      </c>
      <c r="D249" s="52" t="s">
        <v>93</v>
      </c>
      <c r="E249" s="52" t="s">
        <v>0</v>
      </c>
      <c r="F249" s="53" t="s">
        <v>62</v>
      </c>
      <c r="G249" s="89">
        <f t="shared" ref="G249:M249" si="434">G247+G248</f>
        <v>0</v>
      </c>
      <c r="H249" s="89">
        <f t="shared" si="434"/>
        <v>0</v>
      </c>
      <c r="I249" s="89">
        <f t="shared" si="434"/>
        <v>0</v>
      </c>
      <c r="J249" s="89">
        <f t="shared" si="434"/>
        <v>0</v>
      </c>
      <c r="K249" s="89">
        <f t="shared" si="434"/>
        <v>0</v>
      </c>
      <c r="L249" s="89">
        <f t="shared" si="434"/>
        <v>0</v>
      </c>
      <c r="M249" s="89">
        <f t="shared" si="434"/>
        <v>0</v>
      </c>
      <c r="N249" s="89">
        <f t="shared" ref="N249:O249" si="435">N247+N248</f>
        <v>0</v>
      </c>
      <c r="O249" s="89">
        <f t="shared" si="435"/>
        <v>0</v>
      </c>
      <c r="P249" s="89">
        <f t="shared" ref="P249" si="436">P247+P248</f>
        <v>0</v>
      </c>
      <c r="Q249" s="89">
        <f t="shared" ref="Q249:W249" si="437">Q247+Q248</f>
        <v>0</v>
      </c>
      <c r="R249" s="89">
        <f t="shared" si="437"/>
        <v>0</v>
      </c>
      <c r="S249" s="89">
        <f t="shared" si="437"/>
        <v>0</v>
      </c>
      <c r="T249" s="89">
        <f t="shared" si="437"/>
        <v>0</v>
      </c>
      <c r="U249" s="89">
        <f t="shared" si="437"/>
        <v>0</v>
      </c>
      <c r="V249" s="89">
        <f t="shared" ref="V249" si="438">V247+V248</f>
        <v>0</v>
      </c>
      <c r="W249" s="89">
        <f t="shared" si="437"/>
        <v>0</v>
      </c>
      <c r="X249" s="89">
        <f t="shared" si="427"/>
        <v>0</v>
      </c>
      <c r="Y249" s="89">
        <f t="shared" ref="Y249:AG249" si="439">Y247+Y248</f>
        <v>0</v>
      </c>
      <c r="Z249" s="89">
        <f t="shared" si="439"/>
        <v>0</v>
      </c>
      <c r="AA249" s="89">
        <f t="shared" si="439"/>
        <v>0</v>
      </c>
      <c r="AB249" s="89">
        <f t="shared" si="439"/>
        <v>0</v>
      </c>
      <c r="AC249" s="89">
        <f t="shared" si="439"/>
        <v>0</v>
      </c>
      <c r="AD249" s="89">
        <f t="shared" si="439"/>
        <v>0</v>
      </c>
      <c r="AE249" s="89">
        <f t="shared" si="439"/>
        <v>0</v>
      </c>
      <c r="AF249" s="89">
        <f t="shared" si="439"/>
        <v>0</v>
      </c>
      <c r="AG249" s="89">
        <f t="shared" si="439"/>
        <v>0</v>
      </c>
      <c r="AH249" s="89">
        <f t="shared" ref="AH249" si="440">AH247+AH248</f>
        <v>0</v>
      </c>
      <c r="AI249" s="89">
        <f t="shared" ref="AI249:AO249" si="441">AI247+AI248</f>
        <v>0</v>
      </c>
      <c r="AJ249" s="89">
        <f t="shared" si="441"/>
        <v>0</v>
      </c>
      <c r="AK249" s="89">
        <f t="shared" si="441"/>
        <v>0</v>
      </c>
      <c r="AL249" s="89">
        <f t="shared" si="441"/>
        <v>0</v>
      </c>
      <c r="AM249" s="89">
        <f t="shared" si="441"/>
        <v>0</v>
      </c>
      <c r="AN249" s="89">
        <f t="shared" si="441"/>
        <v>0</v>
      </c>
      <c r="AO249" s="89">
        <f t="shared" si="441"/>
        <v>0</v>
      </c>
      <c r="AP249" s="89">
        <f t="shared" si="428"/>
        <v>0</v>
      </c>
      <c r="AQ249" s="89">
        <f t="shared" si="429"/>
        <v>0</v>
      </c>
      <c r="AR249" s="89">
        <f t="shared" si="429"/>
        <v>0</v>
      </c>
      <c r="AS249" s="89">
        <f t="shared" si="429"/>
        <v>0</v>
      </c>
      <c r="AT249" s="89">
        <f t="shared" si="429"/>
        <v>0</v>
      </c>
      <c r="AU249" s="89">
        <f t="shared" si="429"/>
        <v>0</v>
      </c>
      <c r="AV249" s="89">
        <f t="shared" si="429"/>
        <v>0</v>
      </c>
      <c r="AW249" s="89">
        <f t="shared" si="429"/>
        <v>0</v>
      </c>
      <c r="AX249" s="89">
        <f t="shared" si="430"/>
        <v>0</v>
      </c>
      <c r="AY249" s="89">
        <f t="shared" si="431"/>
        <v>0</v>
      </c>
      <c r="AZ249" s="89">
        <f t="shared" si="431"/>
        <v>0</v>
      </c>
      <c r="BA249" s="89">
        <f t="shared" si="432"/>
        <v>0</v>
      </c>
      <c r="BB249" s="89">
        <f t="shared" si="432"/>
        <v>0</v>
      </c>
      <c r="BC249" s="89">
        <f t="shared" si="432"/>
        <v>0</v>
      </c>
      <c r="BD249" s="89">
        <f t="shared" si="432"/>
        <v>0</v>
      </c>
      <c r="BE249" s="89">
        <f t="shared" si="432"/>
        <v>0</v>
      </c>
      <c r="BF249" s="89">
        <f t="shared" si="432"/>
        <v>0</v>
      </c>
      <c r="BG249" s="89">
        <f t="shared" si="433"/>
        <v>0</v>
      </c>
      <c r="BH249" s="111">
        <f>X249+AP249</f>
        <v>0</v>
      </c>
    </row>
    <row r="250" spans="1:60" ht="22.5">
      <c r="A250" s="51"/>
      <c r="B250" s="108"/>
      <c r="C250" s="52"/>
      <c r="D250" s="52" t="s">
        <v>0</v>
      </c>
      <c r="E250" s="52" t="s">
        <v>0</v>
      </c>
      <c r="F250" s="53" t="s">
        <v>42</v>
      </c>
      <c r="G250" s="52"/>
      <c r="H250" s="52"/>
      <c r="I250" s="52"/>
      <c r="J250" s="52"/>
      <c r="K250" s="52"/>
      <c r="L250" s="52"/>
      <c r="M250" s="52"/>
      <c r="N250" s="52"/>
      <c r="O250" s="52"/>
      <c r="P250" s="52"/>
      <c r="Q250" s="52"/>
      <c r="R250" s="52"/>
      <c r="S250" s="52"/>
      <c r="T250" s="52"/>
      <c r="U250" s="52"/>
      <c r="V250" s="52"/>
      <c r="W250" s="52"/>
      <c r="X250" s="91"/>
      <c r="Y250" s="52"/>
      <c r="Z250" s="52"/>
      <c r="AA250" s="52"/>
      <c r="AB250" s="52"/>
      <c r="AC250" s="52"/>
      <c r="AD250" s="52"/>
      <c r="AE250" s="52"/>
      <c r="AF250" s="52"/>
      <c r="AG250" s="52"/>
      <c r="AH250" s="52"/>
      <c r="AI250" s="52"/>
      <c r="AJ250" s="52"/>
      <c r="AK250" s="52"/>
      <c r="AL250" s="52"/>
      <c r="AM250" s="52"/>
      <c r="AN250" s="52"/>
      <c r="AO250" s="52"/>
      <c r="AP250" s="91"/>
      <c r="AQ250" s="91"/>
      <c r="AR250" s="91"/>
      <c r="AS250" s="91"/>
      <c r="AT250" s="91"/>
      <c r="AU250" s="91"/>
      <c r="AV250" s="91"/>
      <c r="AW250" s="91"/>
      <c r="AX250" s="91"/>
      <c r="AY250" s="91"/>
      <c r="AZ250" s="91"/>
      <c r="BA250" s="91"/>
      <c r="BB250" s="91"/>
      <c r="BC250" s="91"/>
      <c r="BD250" s="91"/>
      <c r="BE250" s="91"/>
      <c r="BF250" s="91"/>
      <c r="BG250" s="91"/>
      <c r="BH250" s="112"/>
    </row>
    <row r="251" spans="1:60">
      <c r="A251" s="51"/>
      <c r="B251" s="108"/>
      <c r="C251" s="52" t="s">
        <v>155</v>
      </c>
      <c r="D251" s="52" t="s">
        <v>93</v>
      </c>
      <c r="E251" s="52" t="s">
        <v>0</v>
      </c>
      <c r="F251" s="54" t="s">
        <v>43</v>
      </c>
      <c r="G251" s="83"/>
      <c r="H251" s="83"/>
      <c r="I251" s="83"/>
      <c r="J251" s="83"/>
      <c r="K251" s="83"/>
      <c r="L251" s="83"/>
      <c r="M251" s="83"/>
      <c r="N251" s="83"/>
      <c r="O251" s="83"/>
      <c r="P251" s="89"/>
      <c r="Q251" s="83"/>
      <c r="R251" s="83"/>
      <c r="S251" s="83"/>
      <c r="T251" s="83"/>
      <c r="U251" s="83"/>
      <c r="V251" s="83"/>
      <c r="W251" s="83"/>
      <c r="X251" s="89">
        <f t="shared" ref="X251:X257" si="442">SUM(P251:W251)+SUM(G251:K251)</f>
        <v>0</v>
      </c>
      <c r="Y251" s="83"/>
      <c r="Z251" s="83"/>
      <c r="AA251" s="83"/>
      <c r="AB251" s="83"/>
      <c r="AC251" s="83"/>
      <c r="AD251" s="83"/>
      <c r="AE251" s="83"/>
      <c r="AF251" s="83"/>
      <c r="AG251" s="83"/>
      <c r="AH251" s="89"/>
      <c r="AI251" s="83"/>
      <c r="AJ251" s="83"/>
      <c r="AK251" s="83"/>
      <c r="AL251" s="83"/>
      <c r="AM251" s="83"/>
      <c r="AN251" s="83"/>
      <c r="AO251" s="83"/>
      <c r="AP251" s="89">
        <f t="shared" ref="AP251:AP257" si="443">SUM(AH251:AO251)+SUM(Y251:AC251)</f>
        <v>0</v>
      </c>
      <c r="AQ251" s="89">
        <f t="shared" ref="AQ251:AW257" si="444">G251+Y251</f>
        <v>0</v>
      </c>
      <c r="AR251" s="89">
        <f t="shared" si="444"/>
        <v>0</v>
      </c>
      <c r="AS251" s="89">
        <f t="shared" si="444"/>
        <v>0</v>
      </c>
      <c r="AT251" s="89">
        <f t="shared" si="444"/>
        <v>0</v>
      </c>
      <c r="AU251" s="89">
        <f t="shared" si="444"/>
        <v>0</v>
      </c>
      <c r="AV251" s="89">
        <f t="shared" si="444"/>
        <v>0</v>
      </c>
      <c r="AW251" s="89">
        <f t="shared" si="444"/>
        <v>0</v>
      </c>
      <c r="AX251" s="89">
        <f t="shared" ref="AX251:AX257" si="445">N251+AF251</f>
        <v>0</v>
      </c>
      <c r="AY251" s="89">
        <f t="shared" ref="AY251:AZ257" si="446">O251+AG251</f>
        <v>0</v>
      </c>
      <c r="AZ251" s="89">
        <f t="shared" si="446"/>
        <v>0</v>
      </c>
      <c r="BA251" s="89">
        <f t="shared" ref="BA251:BF257" si="447">Q251+AI251</f>
        <v>0</v>
      </c>
      <c r="BB251" s="89">
        <f t="shared" si="447"/>
        <v>0</v>
      </c>
      <c r="BC251" s="89">
        <f t="shared" si="447"/>
        <v>0</v>
      </c>
      <c r="BD251" s="89">
        <f t="shared" si="447"/>
        <v>0</v>
      </c>
      <c r="BE251" s="89">
        <f t="shared" si="447"/>
        <v>0</v>
      </c>
      <c r="BF251" s="89">
        <f t="shared" si="447"/>
        <v>0</v>
      </c>
      <c r="BG251" s="89">
        <f t="shared" ref="BG251:BG257" si="448">W251+AO251</f>
        <v>0</v>
      </c>
      <c r="BH251" s="111">
        <f t="shared" ref="BH251:BH257" si="449">X251+AP251</f>
        <v>0</v>
      </c>
    </row>
    <row r="252" spans="1:60">
      <c r="A252" s="51"/>
      <c r="B252" s="108"/>
      <c r="C252" s="52" t="s">
        <v>156</v>
      </c>
      <c r="D252" s="52" t="s">
        <v>93</v>
      </c>
      <c r="E252" s="52" t="s">
        <v>0</v>
      </c>
      <c r="F252" s="54" t="s">
        <v>44</v>
      </c>
      <c r="G252" s="83"/>
      <c r="H252" s="83"/>
      <c r="I252" s="83"/>
      <c r="J252" s="83"/>
      <c r="K252" s="83"/>
      <c r="L252" s="83"/>
      <c r="M252" s="83"/>
      <c r="N252" s="83"/>
      <c r="O252" s="83"/>
      <c r="P252" s="89"/>
      <c r="Q252" s="83"/>
      <c r="R252" s="83"/>
      <c r="S252" s="83"/>
      <c r="T252" s="83"/>
      <c r="U252" s="83"/>
      <c r="V252" s="83"/>
      <c r="W252" s="83"/>
      <c r="X252" s="89">
        <f t="shared" si="442"/>
        <v>0</v>
      </c>
      <c r="Y252" s="83"/>
      <c r="Z252" s="83"/>
      <c r="AA252" s="83"/>
      <c r="AB252" s="83"/>
      <c r="AC252" s="83"/>
      <c r="AD252" s="83"/>
      <c r="AE252" s="83"/>
      <c r="AF252" s="83"/>
      <c r="AG252" s="83"/>
      <c r="AH252" s="89"/>
      <c r="AI252" s="83"/>
      <c r="AJ252" s="83"/>
      <c r="AK252" s="83"/>
      <c r="AL252" s="83"/>
      <c r="AM252" s="83"/>
      <c r="AN252" s="83"/>
      <c r="AO252" s="83"/>
      <c r="AP252" s="89">
        <f t="shared" si="443"/>
        <v>0</v>
      </c>
      <c r="AQ252" s="89">
        <f t="shared" si="444"/>
        <v>0</v>
      </c>
      <c r="AR252" s="89">
        <f t="shared" si="444"/>
        <v>0</v>
      </c>
      <c r="AS252" s="89">
        <f t="shared" si="444"/>
        <v>0</v>
      </c>
      <c r="AT252" s="89">
        <f t="shared" si="444"/>
        <v>0</v>
      </c>
      <c r="AU252" s="89">
        <f t="shared" si="444"/>
        <v>0</v>
      </c>
      <c r="AV252" s="89">
        <f t="shared" si="444"/>
        <v>0</v>
      </c>
      <c r="AW252" s="89">
        <f t="shared" si="444"/>
        <v>0</v>
      </c>
      <c r="AX252" s="89">
        <f t="shared" si="445"/>
        <v>0</v>
      </c>
      <c r="AY252" s="89">
        <f t="shared" si="446"/>
        <v>0</v>
      </c>
      <c r="AZ252" s="89">
        <f t="shared" si="446"/>
        <v>0</v>
      </c>
      <c r="BA252" s="89">
        <f t="shared" si="447"/>
        <v>0</v>
      </c>
      <c r="BB252" s="89">
        <f t="shared" si="447"/>
        <v>0</v>
      </c>
      <c r="BC252" s="89">
        <f t="shared" si="447"/>
        <v>0</v>
      </c>
      <c r="BD252" s="89">
        <f t="shared" si="447"/>
        <v>0</v>
      </c>
      <c r="BE252" s="89">
        <f t="shared" si="447"/>
        <v>0</v>
      </c>
      <c r="BF252" s="89">
        <f t="shared" si="447"/>
        <v>0</v>
      </c>
      <c r="BG252" s="89">
        <f t="shared" si="448"/>
        <v>0</v>
      </c>
      <c r="BH252" s="111">
        <f t="shared" si="449"/>
        <v>0</v>
      </c>
    </row>
    <row r="253" spans="1:60" ht="16.5" customHeight="1">
      <c r="A253" s="51"/>
      <c r="B253" s="108"/>
      <c r="C253" s="52" t="s">
        <v>157</v>
      </c>
      <c r="D253" s="52" t="s">
        <v>93</v>
      </c>
      <c r="E253" s="52" t="s">
        <v>0</v>
      </c>
      <c r="F253" s="53" t="s">
        <v>63</v>
      </c>
      <c r="G253" s="89">
        <f t="shared" ref="G253:M253" si="450">G251+G252</f>
        <v>0</v>
      </c>
      <c r="H253" s="89">
        <f t="shared" si="450"/>
        <v>0</v>
      </c>
      <c r="I253" s="89">
        <f t="shared" si="450"/>
        <v>0</v>
      </c>
      <c r="J253" s="89">
        <f t="shared" si="450"/>
        <v>0</v>
      </c>
      <c r="K253" s="89">
        <f t="shared" si="450"/>
        <v>0</v>
      </c>
      <c r="L253" s="89">
        <f t="shared" si="450"/>
        <v>0</v>
      </c>
      <c r="M253" s="89">
        <f t="shared" si="450"/>
        <v>0</v>
      </c>
      <c r="N253" s="89">
        <f t="shared" ref="N253:O253" si="451">N251+N252</f>
        <v>0</v>
      </c>
      <c r="O253" s="89">
        <f t="shared" si="451"/>
        <v>0</v>
      </c>
      <c r="P253" s="89">
        <f t="shared" ref="P253" si="452">P251+P252</f>
        <v>0</v>
      </c>
      <c r="Q253" s="89">
        <f t="shared" ref="Q253:W253" si="453">Q251+Q252</f>
        <v>0</v>
      </c>
      <c r="R253" s="89">
        <f t="shared" si="453"/>
        <v>0</v>
      </c>
      <c r="S253" s="89">
        <f t="shared" si="453"/>
        <v>0</v>
      </c>
      <c r="T253" s="89">
        <f t="shared" si="453"/>
        <v>0</v>
      </c>
      <c r="U253" s="89">
        <f t="shared" si="453"/>
        <v>0</v>
      </c>
      <c r="V253" s="89">
        <f t="shared" ref="V253" si="454">V251+V252</f>
        <v>0</v>
      </c>
      <c r="W253" s="89">
        <f t="shared" si="453"/>
        <v>0</v>
      </c>
      <c r="X253" s="89">
        <f t="shared" si="442"/>
        <v>0</v>
      </c>
      <c r="Y253" s="89">
        <f t="shared" ref="Y253:AG253" si="455">Y251+Y252</f>
        <v>0</v>
      </c>
      <c r="Z253" s="89">
        <f t="shared" si="455"/>
        <v>0</v>
      </c>
      <c r="AA253" s="89">
        <f t="shared" si="455"/>
        <v>0</v>
      </c>
      <c r="AB253" s="89">
        <f t="shared" si="455"/>
        <v>0</v>
      </c>
      <c r="AC253" s="89">
        <f t="shared" si="455"/>
        <v>0</v>
      </c>
      <c r="AD253" s="89">
        <f t="shared" si="455"/>
        <v>0</v>
      </c>
      <c r="AE253" s="89">
        <f t="shared" si="455"/>
        <v>0</v>
      </c>
      <c r="AF253" s="89">
        <f t="shared" si="455"/>
        <v>0</v>
      </c>
      <c r="AG253" s="89">
        <f t="shared" si="455"/>
        <v>0</v>
      </c>
      <c r="AH253" s="89">
        <f t="shared" ref="AH253" si="456">AH251+AH252</f>
        <v>0</v>
      </c>
      <c r="AI253" s="89">
        <f t="shared" ref="AI253:AO253" si="457">AI251+AI252</f>
        <v>0</v>
      </c>
      <c r="AJ253" s="89">
        <f t="shared" si="457"/>
        <v>0</v>
      </c>
      <c r="AK253" s="89">
        <f t="shared" si="457"/>
        <v>0</v>
      </c>
      <c r="AL253" s="89">
        <f t="shared" si="457"/>
        <v>0</v>
      </c>
      <c r="AM253" s="89">
        <f t="shared" si="457"/>
        <v>0</v>
      </c>
      <c r="AN253" s="89">
        <f t="shared" si="457"/>
        <v>0</v>
      </c>
      <c r="AO253" s="89">
        <f t="shared" si="457"/>
        <v>0</v>
      </c>
      <c r="AP253" s="89">
        <f t="shared" si="443"/>
        <v>0</v>
      </c>
      <c r="AQ253" s="89">
        <f t="shared" si="444"/>
        <v>0</v>
      </c>
      <c r="AR253" s="89">
        <f t="shared" si="444"/>
        <v>0</v>
      </c>
      <c r="AS253" s="89">
        <f t="shared" si="444"/>
        <v>0</v>
      </c>
      <c r="AT253" s="89">
        <f t="shared" si="444"/>
        <v>0</v>
      </c>
      <c r="AU253" s="89">
        <f t="shared" si="444"/>
        <v>0</v>
      </c>
      <c r="AV253" s="89">
        <f t="shared" si="444"/>
        <v>0</v>
      </c>
      <c r="AW253" s="89">
        <f t="shared" si="444"/>
        <v>0</v>
      </c>
      <c r="AX253" s="89">
        <f t="shared" si="445"/>
        <v>0</v>
      </c>
      <c r="AY253" s="89">
        <f t="shared" si="446"/>
        <v>0</v>
      </c>
      <c r="AZ253" s="89">
        <f t="shared" si="446"/>
        <v>0</v>
      </c>
      <c r="BA253" s="89">
        <f t="shared" si="447"/>
        <v>0</v>
      </c>
      <c r="BB253" s="89">
        <f t="shared" si="447"/>
        <v>0</v>
      </c>
      <c r="BC253" s="89">
        <f t="shared" si="447"/>
        <v>0</v>
      </c>
      <c r="BD253" s="89">
        <f t="shared" si="447"/>
        <v>0</v>
      </c>
      <c r="BE253" s="89">
        <f t="shared" si="447"/>
        <v>0</v>
      </c>
      <c r="BF253" s="89">
        <f t="shared" si="447"/>
        <v>0</v>
      </c>
      <c r="BG253" s="89">
        <f t="shared" si="448"/>
        <v>0</v>
      </c>
      <c r="BH253" s="111">
        <f t="shared" si="449"/>
        <v>0</v>
      </c>
    </row>
    <row r="254" spans="1:60" ht="15" customHeight="1">
      <c r="A254" s="51"/>
      <c r="B254" s="108"/>
      <c r="C254" s="52" t="s">
        <v>158</v>
      </c>
      <c r="D254" s="52" t="s">
        <v>93</v>
      </c>
      <c r="E254" s="52" t="s">
        <v>0</v>
      </c>
      <c r="F254" s="54" t="s">
        <v>45</v>
      </c>
      <c r="G254" s="83"/>
      <c r="H254" s="83"/>
      <c r="I254" s="83"/>
      <c r="J254" s="83"/>
      <c r="K254" s="83"/>
      <c r="L254" s="83"/>
      <c r="M254" s="83"/>
      <c r="N254" s="83"/>
      <c r="O254" s="83"/>
      <c r="P254" s="89"/>
      <c r="Q254" s="83"/>
      <c r="R254" s="83"/>
      <c r="S254" s="83"/>
      <c r="T254" s="83"/>
      <c r="U254" s="83"/>
      <c r="V254" s="83"/>
      <c r="W254" s="83"/>
      <c r="X254" s="89">
        <f t="shared" si="442"/>
        <v>0</v>
      </c>
      <c r="Y254" s="83"/>
      <c r="Z254" s="83"/>
      <c r="AA254" s="83"/>
      <c r="AB254" s="83"/>
      <c r="AC254" s="83"/>
      <c r="AD254" s="83"/>
      <c r="AE254" s="83"/>
      <c r="AF254" s="83"/>
      <c r="AG254" s="83"/>
      <c r="AH254" s="89"/>
      <c r="AI254" s="83"/>
      <c r="AJ254" s="83"/>
      <c r="AK254" s="83"/>
      <c r="AL254" s="83"/>
      <c r="AM254" s="83"/>
      <c r="AN254" s="83"/>
      <c r="AO254" s="83"/>
      <c r="AP254" s="89">
        <f t="shared" si="443"/>
        <v>0</v>
      </c>
      <c r="AQ254" s="89">
        <f t="shared" si="444"/>
        <v>0</v>
      </c>
      <c r="AR254" s="89">
        <f t="shared" si="444"/>
        <v>0</v>
      </c>
      <c r="AS254" s="89">
        <f t="shared" si="444"/>
        <v>0</v>
      </c>
      <c r="AT254" s="89">
        <f t="shared" si="444"/>
        <v>0</v>
      </c>
      <c r="AU254" s="89">
        <f t="shared" si="444"/>
        <v>0</v>
      </c>
      <c r="AV254" s="89">
        <f t="shared" si="444"/>
        <v>0</v>
      </c>
      <c r="AW254" s="89">
        <f t="shared" si="444"/>
        <v>0</v>
      </c>
      <c r="AX254" s="89">
        <f t="shared" si="445"/>
        <v>0</v>
      </c>
      <c r="AY254" s="89">
        <f t="shared" si="446"/>
        <v>0</v>
      </c>
      <c r="AZ254" s="89">
        <f t="shared" si="446"/>
        <v>0</v>
      </c>
      <c r="BA254" s="89">
        <f t="shared" si="447"/>
        <v>0</v>
      </c>
      <c r="BB254" s="89">
        <f t="shared" si="447"/>
        <v>0</v>
      </c>
      <c r="BC254" s="89">
        <f t="shared" si="447"/>
        <v>0</v>
      </c>
      <c r="BD254" s="89">
        <f t="shared" si="447"/>
        <v>0</v>
      </c>
      <c r="BE254" s="89">
        <f t="shared" si="447"/>
        <v>0</v>
      </c>
      <c r="BF254" s="89">
        <f t="shared" si="447"/>
        <v>0</v>
      </c>
      <c r="BG254" s="89">
        <f t="shared" si="448"/>
        <v>0</v>
      </c>
      <c r="BH254" s="111">
        <f t="shared" si="449"/>
        <v>0</v>
      </c>
    </row>
    <row r="255" spans="1:60" ht="15" customHeight="1">
      <c r="A255" s="51"/>
      <c r="B255" s="108"/>
      <c r="C255" s="52" t="s">
        <v>159</v>
      </c>
      <c r="D255" s="52" t="s">
        <v>93</v>
      </c>
      <c r="E255" s="52" t="s">
        <v>0</v>
      </c>
      <c r="F255" s="54" t="s">
        <v>46</v>
      </c>
      <c r="G255" s="83"/>
      <c r="H255" s="83"/>
      <c r="I255" s="83"/>
      <c r="J255" s="83"/>
      <c r="K255" s="83"/>
      <c r="L255" s="83"/>
      <c r="M255" s="83"/>
      <c r="N255" s="83"/>
      <c r="O255" s="83"/>
      <c r="P255" s="89"/>
      <c r="Q255" s="83"/>
      <c r="R255" s="83"/>
      <c r="S255" s="83"/>
      <c r="T255" s="83"/>
      <c r="U255" s="83"/>
      <c r="V255" s="83"/>
      <c r="W255" s="83"/>
      <c r="X255" s="89">
        <f t="shared" si="442"/>
        <v>0</v>
      </c>
      <c r="Y255" s="83"/>
      <c r="Z255" s="83"/>
      <c r="AA255" s="83"/>
      <c r="AB255" s="83"/>
      <c r="AC255" s="83"/>
      <c r="AD255" s="83"/>
      <c r="AE255" s="83"/>
      <c r="AF255" s="83"/>
      <c r="AG255" s="83"/>
      <c r="AH255" s="89"/>
      <c r="AI255" s="83"/>
      <c r="AJ255" s="83"/>
      <c r="AK255" s="83"/>
      <c r="AL255" s="83"/>
      <c r="AM255" s="83"/>
      <c r="AN255" s="83"/>
      <c r="AO255" s="83"/>
      <c r="AP255" s="89">
        <f t="shared" si="443"/>
        <v>0</v>
      </c>
      <c r="AQ255" s="89">
        <f t="shared" si="444"/>
        <v>0</v>
      </c>
      <c r="AR255" s="89">
        <f t="shared" si="444"/>
        <v>0</v>
      </c>
      <c r="AS255" s="89">
        <f t="shared" si="444"/>
        <v>0</v>
      </c>
      <c r="AT255" s="89">
        <f t="shared" si="444"/>
        <v>0</v>
      </c>
      <c r="AU255" s="89">
        <f t="shared" si="444"/>
        <v>0</v>
      </c>
      <c r="AV255" s="89">
        <f t="shared" si="444"/>
        <v>0</v>
      </c>
      <c r="AW255" s="89">
        <f t="shared" si="444"/>
        <v>0</v>
      </c>
      <c r="AX255" s="89">
        <f t="shared" si="445"/>
        <v>0</v>
      </c>
      <c r="AY255" s="89">
        <f t="shared" si="446"/>
        <v>0</v>
      </c>
      <c r="AZ255" s="89">
        <f t="shared" si="446"/>
        <v>0</v>
      </c>
      <c r="BA255" s="89">
        <f t="shared" si="447"/>
        <v>0</v>
      </c>
      <c r="BB255" s="89">
        <f t="shared" si="447"/>
        <v>0</v>
      </c>
      <c r="BC255" s="89">
        <f t="shared" si="447"/>
        <v>0</v>
      </c>
      <c r="BD255" s="89">
        <f t="shared" si="447"/>
        <v>0</v>
      </c>
      <c r="BE255" s="89">
        <f t="shared" si="447"/>
        <v>0</v>
      </c>
      <c r="BF255" s="89">
        <f t="shared" si="447"/>
        <v>0</v>
      </c>
      <c r="BG255" s="89">
        <f t="shared" si="448"/>
        <v>0</v>
      </c>
      <c r="BH255" s="111">
        <f t="shared" si="449"/>
        <v>0</v>
      </c>
    </row>
    <row r="256" spans="1:60">
      <c r="A256" s="51"/>
      <c r="B256" s="108"/>
      <c r="C256" s="52" t="s">
        <v>160</v>
      </c>
      <c r="D256" s="52" t="s">
        <v>93</v>
      </c>
      <c r="E256" s="52" t="s">
        <v>0</v>
      </c>
      <c r="F256" s="53" t="s">
        <v>64</v>
      </c>
      <c r="G256" s="89">
        <f t="shared" ref="G256:M256" si="458">G237+G238+G239-G240-G241+G242+G243-G244+G245+G249-G253-G254-G255</f>
        <v>0</v>
      </c>
      <c r="H256" s="89">
        <f t="shared" si="458"/>
        <v>0</v>
      </c>
      <c r="I256" s="89">
        <f t="shared" si="458"/>
        <v>0</v>
      </c>
      <c r="J256" s="89">
        <f t="shared" si="458"/>
        <v>0</v>
      </c>
      <c r="K256" s="89">
        <f t="shared" si="458"/>
        <v>0</v>
      </c>
      <c r="L256" s="89">
        <f t="shared" si="458"/>
        <v>0</v>
      </c>
      <c r="M256" s="89">
        <f t="shared" si="458"/>
        <v>0</v>
      </c>
      <c r="N256" s="89">
        <f t="shared" ref="N256:O256" si="459">N237+N238+N239-N240-N241+N242+N243-N244+N245+N249-N253-N254-N255</f>
        <v>0</v>
      </c>
      <c r="O256" s="89">
        <f t="shared" si="459"/>
        <v>0</v>
      </c>
      <c r="P256" s="89">
        <f t="shared" ref="P256" si="460">P237+P238+P239-P240-P241+P242+P243-P244+P245+P249-P253-P254-P255</f>
        <v>0</v>
      </c>
      <c r="Q256" s="89">
        <f t="shared" ref="Q256:W256" si="461">Q237+Q238+Q239-Q240-Q241+Q242+Q243-Q244+Q245+Q249-Q253-Q254-Q255</f>
        <v>0</v>
      </c>
      <c r="R256" s="89">
        <f t="shared" si="461"/>
        <v>0</v>
      </c>
      <c r="S256" s="89">
        <f t="shared" si="461"/>
        <v>0</v>
      </c>
      <c r="T256" s="89">
        <f t="shared" si="461"/>
        <v>0</v>
      </c>
      <c r="U256" s="89">
        <f t="shared" si="461"/>
        <v>0</v>
      </c>
      <c r="V256" s="89">
        <f t="shared" ref="V256" si="462">V237+V238+V239-V240-V241+V242+V243-V244+V245+V249-V253-V254-V255</f>
        <v>0</v>
      </c>
      <c r="W256" s="89">
        <f t="shared" si="461"/>
        <v>0</v>
      </c>
      <c r="X256" s="89">
        <f t="shared" si="442"/>
        <v>0</v>
      </c>
      <c r="Y256" s="89">
        <f t="shared" ref="Y256:AG256" si="463">Y237+Y238+Y239-Y240-Y241+Y242+Y243-Y244+Y245+Y249-Y253-Y254-Y255</f>
        <v>0</v>
      </c>
      <c r="Z256" s="89">
        <f t="shared" si="463"/>
        <v>0</v>
      </c>
      <c r="AA256" s="89">
        <f t="shared" si="463"/>
        <v>0</v>
      </c>
      <c r="AB256" s="89">
        <f t="shared" si="463"/>
        <v>0</v>
      </c>
      <c r="AC256" s="89">
        <f t="shared" si="463"/>
        <v>0</v>
      </c>
      <c r="AD256" s="89">
        <f t="shared" si="463"/>
        <v>0</v>
      </c>
      <c r="AE256" s="89">
        <f t="shared" si="463"/>
        <v>0</v>
      </c>
      <c r="AF256" s="89">
        <f t="shared" si="463"/>
        <v>0</v>
      </c>
      <c r="AG256" s="89">
        <f t="shared" si="463"/>
        <v>0</v>
      </c>
      <c r="AH256" s="89">
        <f t="shared" ref="AH256" si="464">AH237+AH238+AH239-AH240-AH241+AH242+AH243-AH244+AH245+AH249-AH253-AH254-AH255</f>
        <v>0</v>
      </c>
      <c r="AI256" s="89">
        <f t="shared" ref="AI256:AO256" si="465">AI237+AI238+AI239-AI240-AI241+AI242+AI243-AI244+AI245+AI249-AI253-AI254-AI255</f>
        <v>0</v>
      </c>
      <c r="AJ256" s="89">
        <f t="shared" si="465"/>
        <v>0</v>
      </c>
      <c r="AK256" s="89">
        <f t="shared" si="465"/>
        <v>0</v>
      </c>
      <c r="AL256" s="89">
        <f t="shared" si="465"/>
        <v>0</v>
      </c>
      <c r="AM256" s="89">
        <f t="shared" si="465"/>
        <v>0</v>
      </c>
      <c r="AN256" s="89">
        <f t="shared" si="465"/>
        <v>0</v>
      </c>
      <c r="AO256" s="89">
        <f t="shared" si="465"/>
        <v>0</v>
      </c>
      <c r="AP256" s="89">
        <f t="shared" si="443"/>
        <v>0</v>
      </c>
      <c r="AQ256" s="89">
        <f t="shared" si="444"/>
        <v>0</v>
      </c>
      <c r="AR256" s="89">
        <f t="shared" si="444"/>
        <v>0</v>
      </c>
      <c r="AS256" s="89">
        <f t="shared" si="444"/>
        <v>0</v>
      </c>
      <c r="AT256" s="89">
        <f t="shared" si="444"/>
        <v>0</v>
      </c>
      <c r="AU256" s="89">
        <f t="shared" si="444"/>
        <v>0</v>
      </c>
      <c r="AV256" s="89">
        <f t="shared" si="444"/>
        <v>0</v>
      </c>
      <c r="AW256" s="89">
        <f t="shared" si="444"/>
        <v>0</v>
      </c>
      <c r="AX256" s="89">
        <f t="shared" si="445"/>
        <v>0</v>
      </c>
      <c r="AY256" s="89">
        <f t="shared" si="446"/>
        <v>0</v>
      </c>
      <c r="AZ256" s="89">
        <f t="shared" si="446"/>
        <v>0</v>
      </c>
      <c r="BA256" s="89">
        <f t="shared" si="447"/>
        <v>0</v>
      </c>
      <c r="BB256" s="89">
        <f t="shared" si="447"/>
        <v>0</v>
      </c>
      <c r="BC256" s="89">
        <f t="shared" si="447"/>
        <v>0</v>
      </c>
      <c r="BD256" s="89">
        <f t="shared" si="447"/>
        <v>0</v>
      </c>
      <c r="BE256" s="89">
        <f t="shared" si="447"/>
        <v>0</v>
      </c>
      <c r="BF256" s="89">
        <f t="shared" si="447"/>
        <v>0</v>
      </c>
      <c r="BG256" s="89">
        <f t="shared" si="448"/>
        <v>0</v>
      </c>
      <c r="BH256" s="111">
        <f t="shared" si="449"/>
        <v>0</v>
      </c>
    </row>
    <row r="257" spans="1:60">
      <c r="A257" s="51" t="s">
        <v>52</v>
      </c>
      <c r="B257" s="108"/>
      <c r="C257" s="52" t="s">
        <v>142</v>
      </c>
      <c r="D257" s="52" t="s">
        <v>3</v>
      </c>
      <c r="E257" s="52" t="s">
        <v>0</v>
      </c>
      <c r="F257" s="53" t="s">
        <v>186</v>
      </c>
      <c r="G257" s="89">
        <f t="shared" ref="G257:M257" si="466">G235+G256</f>
        <v>0</v>
      </c>
      <c r="H257" s="89">
        <f t="shared" si="466"/>
        <v>0</v>
      </c>
      <c r="I257" s="89">
        <f t="shared" si="466"/>
        <v>0</v>
      </c>
      <c r="J257" s="89">
        <f t="shared" si="466"/>
        <v>0</v>
      </c>
      <c r="K257" s="89">
        <f t="shared" si="466"/>
        <v>0</v>
      </c>
      <c r="L257" s="89">
        <f t="shared" si="466"/>
        <v>0</v>
      </c>
      <c r="M257" s="89">
        <f t="shared" si="466"/>
        <v>0</v>
      </c>
      <c r="N257" s="89">
        <f t="shared" ref="N257:O257" si="467">N235+N256</f>
        <v>0</v>
      </c>
      <c r="O257" s="89">
        <f t="shared" si="467"/>
        <v>0</v>
      </c>
      <c r="P257" s="89">
        <f t="shared" ref="P257" si="468">P235+P256</f>
        <v>0</v>
      </c>
      <c r="Q257" s="89">
        <f t="shared" ref="Q257:W257" si="469">Q235+Q256</f>
        <v>0</v>
      </c>
      <c r="R257" s="89">
        <f t="shared" si="469"/>
        <v>0</v>
      </c>
      <c r="S257" s="89">
        <f t="shared" si="469"/>
        <v>0</v>
      </c>
      <c r="T257" s="89">
        <f t="shared" si="469"/>
        <v>0</v>
      </c>
      <c r="U257" s="89">
        <f t="shared" si="469"/>
        <v>0</v>
      </c>
      <c r="V257" s="89">
        <f t="shared" ref="V257" si="470">V235+V256</f>
        <v>0</v>
      </c>
      <c r="W257" s="89">
        <f t="shared" si="469"/>
        <v>0</v>
      </c>
      <c r="X257" s="89">
        <f t="shared" si="442"/>
        <v>0</v>
      </c>
      <c r="Y257" s="89">
        <f t="shared" ref="Y257:AG257" si="471">Y235+Y256</f>
        <v>0</v>
      </c>
      <c r="Z257" s="89">
        <f t="shared" si="471"/>
        <v>0</v>
      </c>
      <c r="AA257" s="89">
        <f t="shared" si="471"/>
        <v>0</v>
      </c>
      <c r="AB257" s="89">
        <f t="shared" si="471"/>
        <v>0</v>
      </c>
      <c r="AC257" s="89">
        <f t="shared" si="471"/>
        <v>0</v>
      </c>
      <c r="AD257" s="89">
        <f t="shared" si="471"/>
        <v>0</v>
      </c>
      <c r="AE257" s="89">
        <f t="shared" si="471"/>
        <v>0</v>
      </c>
      <c r="AF257" s="89">
        <f t="shared" si="471"/>
        <v>0</v>
      </c>
      <c r="AG257" s="89">
        <f t="shared" si="471"/>
        <v>0</v>
      </c>
      <c r="AH257" s="89">
        <f t="shared" ref="AH257" si="472">AH235+AH256</f>
        <v>0</v>
      </c>
      <c r="AI257" s="89">
        <f t="shared" ref="AI257:AO257" si="473">AI235+AI256</f>
        <v>0</v>
      </c>
      <c r="AJ257" s="89">
        <f t="shared" si="473"/>
        <v>0</v>
      </c>
      <c r="AK257" s="89">
        <f t="shared" si="473"/>
        <v>0</v>
      </c>
      <c r="AL257" s="89">
        <f t="shared" si="473"/>
        <v>0</v>
      </c>
      <c r="AM257" s="89">
        <f t="shared" si="473"/>
        <v>0</v>
      </c>
      <c r="AN257" s="89">
        <f t="shared" si="473"/>
        <v>0</v>
      </c>
      <c r="AO257" s="89">
        <f t="shared" si="473"/>
        <v>0</v>
      </c>
      <c r="AP257" s="89">
        <f t="shared" si="443"/>
        <v>0</v>
      </c>
      <c r="AQ257" s="89">
        <f t="shared" si="444"/>
        <v>0</v>
      </c>
      <c r="AR257" s="89">
        <f t="shared" si="444"/>
        <v>0</v>
      </c>
      <c r="AS257" s="89">
        <f t="shared" si="444"/>
        <v>0</v>
      </c>
      <c r="AT257" s="89">
        <f t="shared" si="444"/>
        <v>0</v>
      </c>
      <c r="AU257" s="89">
        <f t="shared" si="444"/>
        <v>0</v>
      </c>
      <c r="AV257" s="89">
        <f t="shared" si="444"/>
        <v>0</v>
      </c>
      <c r="AW257" s="89">
        <f t="shared" si="444"/>
        <v>0</v>
      </c>
      <c r="AX257" s="89">
        <f t="shared" si="445"/>
        <v>0</v>
      </c>
      <c r="AY257" s="89">
        <f t="shared" si="446"/>
        <v>0</v>
      </c>
      <c r="AZ257" s="89">
        <f t="shared" si="446"/>
        <v>0</v>
      </c>
      <c r="BA257" s="89">
        <f t="shared" si="447"/>
        <v>0</v>
      </c>
      <c r="BB257" s="89">
        <f t="shared" si="447"/>
        <v>0</v>
      </c>
      <c r="BC257" s="89">
        <f t="shared" si="447"/>
        <v>0</v>
      </c>
      <c r="BD257" s="89">
        <f t="shared" si="447"/>
        <v>0</v>
      </c>
      <c r="BE257" s="89">
        <f t="shared" si="447"/>
        <v>0</v>
      </c>
      <c r="BF257" s="89">
        <f t="shared" si="447"/>
        <v>0</v>
      </c>
      <c r="BG257" s="89">
        <f t="shared" si="448"/>
        <v>0</v>
      </c>
      <c r="BH257" s="111">
        <f t="shared" si="449"/>
        <v>0</v>
      </c>
    </row>
    <row r="258" spans="1:60">
      <c r="A258" s="51"/>
      <c r="B258" s="108"/>
      <c r="C258" s="52"/>
      <c r="D258" s="52"/>
      <c r="E258" s="52"/>
      <c r="F258" s="54"/>
      <c r="G258" s="101">
        <f t="shared" ref="G258:AL258" si="474">G196-G257</f>
        <v>0</v>
      </c>
      <c r="H258" s="101">
        <f t="shared" si="474"/>
        <v>0</v>
      </c>
      <c r="I258" s="101">
        <f t="shared" si="474"/>
        <v>0</v>
      </c>
      <c r="J258" s="101">
        <f t="shared" si="474"/>
        <v>0</v>
      </c>
      <c r="K258" s="101">
        <f t="shared" si="474"/>
        <v>0</v>
      </c>
      <c r="L258" s="101">
        <f t="shared" si="474"/>
        <v>0</v>
      </c>
      <c r="M258" s="101">
        <f t="shared" si="474"/>
        <v>0</v>
      </c>
      <c r="N258" s="101">
        <f t="shared" si="474"/>
        <v>0</v>
      </c>
      <c r="O258" s="101">
        <f t="shared" si="474"/>
        <v>0</v>
      </c>
      <c r="P258" s="101">
        <f t="shared" si="474"/>
        <v>0</v>
      </c>
      <c r="Q258" s="101">
        <f t="shared" si="474"/>
        <v>0</v>
      </c>
      <c r="R258" s="101">
        <f t="shared" si="474"/>
        <v>0</v>
      </c>
      <c r="S258" s="101">
        <f t="shared" si="474"/>
        <v>0</v>
      </c>
      <c r="T258" s="101">
        <f t="shared" si="474"/>
        <v>0</v>
      </c>
      <c r="U258" s="101">
        <f t="shared" si="474"/>
        <v>0</v>
      </c>
      <c r="V258" s="101">
        <f t="shared" si="474"/>
        <v>0</v>
      </c>
      <c r="W258" s="101">
        <f t="shared" si="474"/>
        <v>0</v>
      </c>
      <c r="X258" s="101">
        <f t="shared" si="474"/>
        <v>0</v>
      </c>
      <c r="Y258" s="101">
        <f t="shared" si="474"/>
        <v>0</v>
      </c>
      <c r="Z258" s="101">
        <f t="shared" si="474"/>
        <v>0</v>
      </c>
      <c r="AA258" s="101">
        <f t="shared" si="474"/>
        <v>0</v>
      </c>
      <c r="AB258" s="101">
        <f t="shared" si="474"/>
        <v>0</v>
      </c>
      <c r="AC258" s="101">
        <f t="shared" si="474"/>
        <v>0</v>
      </c>
      <c r="AD258" s="101">
        <f t="shared" si="474"/>
        <v>0</v>
      </c>
      <c r="AE258" s="101">
        <f t="shared" si="474"/>
        <v>0</v>
      </c>
      <c r="AF258" s="101">
        <f t="shared" si="474"/>
        <v>0</v>
      </c>
      <c r="AG258" s="101">
        <f t="shared" si="474"/>
        <v>0</v>
      </c>
      <c r="AH258" s="101">
        <f t="shared" si="474"/>
        <v>0</v>
      </c>
      <c r="AI258" s="101">
        <f t="shared" si="474"/>
        <v>0</v>
      </c>
      <c r="AJ258" s="101">
        <f t="shared" si="474"/>
        <v>0</v>
      </c>
      <c r="AK258" s="101">
        <f t="shared" si="474"/>
        <v>0</v>
      </c>
      <c r="AL258" s="101">
        <f t="shared" si="474"/>
        <v>0</v>
      </c>
      <c r="AM258" s="101">
        <f t="shared" ref="AM258:BH258" si="475">AM196-AM257</f>
        <v>0</v>
      </c>
      <c r="AN258" s="101">
        <f t="shared" si="475"/>
        <v>0</v>
      </c>
      <c r="AO258" s="101">
        <f t="shared" si="475"/>
        <v>0</v>
      </c>
      <c r="AP258" s="101">
        <f t="shared" si="475"/>
        <v>0</v>
      </c>
      <c r="AQ258" s="101">
        <f t="shared" si="475"/>
        <v>0</v>
      </c>
      <c r="AR258" s="101">
        <f t="shared" si="475"/>
        <v>0</v>
      </c>
      <c r="AS258" s="101">
        <f t="shared" si="475"/>
        <v>0</v>
      </c>
      <c r="AT258" s="101">
        <f t="shared" si="475"/>
        <v>0</v>
      </c>
      <c r="AU258" s="101">
        <f t="shared" si="475"/>
        <v>0</v>
      </c>
      <c r="AV258" s="101">
        <f t="shared" si="475"/>
        <v>0</v>
      </c>
      <c r="AW258" s="101">
        <f t="shared" si="475"/>
        <v>0</v>
      </c>
      <c r="AX258" s="101">
        <f t="shared" si="475"/>
        <v>0</v>
      </c>
      <c r="AY258" s="101">
        <f t="shared" si="475"/>
        <v>0</v>
      </c>
      <c r="AZ258" s="101">
        <f t="shared" si="475"/>
        <v>0</v>
      </c>
      <c r="BA258" s="101">
        <f t="shared" si="475"/>
        <v>0</v>
      </c>
      <c r="BB258" s="101">
        <f t="shared" si="475"/>
        <v>0</v>
      </c>
      <c r="BC258" s="101">
        <f t="shared" si="475"/>
        <v>0</v>
      </c>
      <c r="BD258" s="101">
        <f t="shared" si="475"/>
        <v>0</v>
      </c>
      <c r="BE258" s="101">
        <f t="shared" si="475"/>
        <v>0</v>
      </c>
      <c r="BF258" s="101">
        <f t="shared" si="475"/>
        <v>0</v>
      </c>
      <c r="BG258" s="101">
        <f t="shared" si="475"/>
        <v>0</v>
      </c>
      <c r="BH258" s="113">
        <f t="shared" si="475"/>
        <v>0</v>
      </c>
    </row>
    <row r="259" spans="1:60">
      <c r="A259" s="51"/>
      <c r="B259" s="108"/>
      <c r="C259" s="52"/>
      <c r="D259" s="52" t="s">
        <v>0</v>
      </c>
      <c r="E259" s="52" t="s">
        <v>0</v>
      </c>
      <c r="F259" s="53" t="s">
        <v>47</v>
      </c>
      <c r="G259" s="52"/>
      <c r="H259" s="52"/>
      <c r="I259" s="52"/>
      <c r="J259" s="52"/>
      <c r="K259" s="52"/>
      <c r="L259" s="52"/>
      <c r="M259" s="52"/>
      <c r="N259" s="52"/>
      <c r="O259" s="52"/>
      <c r="P259" s="52"/>
      <c r="Q259" s="52"/>
      <c r="R259" s="52"/>
      <c r="S259" s="52"/>
      <c r="T259" s="52"/>
      <c r="U259" s="52"/>
      <c r="V259" s="52"/>
      <c r="W259" s="52"/>
      <c r="X259" s="91"/>
      <c r="Y259" s="52"/>
      <c r="Z259" s="52"/>
      <c r="AA259" s="52"/>
      <c r="AB259" s="52"/>
      <c r="AC259" s="52"/>
      <c r="AD259" s="52"/>
      <c r="AE259" s="52"/>
      <c r="AF259" s="52"/>
      <c r="AG259" s="52"/>
      <c r="AH259" s="52"/>
      <c r="AI259" s="52"/>
      <c r="AJ259" s="52"/>
      <c r="AK259" s="52"/>
      <c r="AL259" s="52"/>
      <c r="AM259" s="52"/>
      <c r="AN259" s="52"/>
      <c r="AO259" s="52"/>
      <c r="AP259" s="91"/>
      <c r="AQ259" s="91"/>
      <c r="AR259" s="91"/>
      <c r="AS259" s="91"/>
      <c r="AT259" s="91"/>
      <c r="AU259" s="91"/>
      <c r="AV259" s="91"/>
      <c r="AW259" s="91"/>
      <c r="AX259" s="52"/>
      <c r="AY259" s="52"/>
      <c r="AZ259" s="52"/>
      <c r="BA259" s="91"/>
      <c r="BB259" s="91"/>
      <c r="BC259" s="91"/>
      <c r="BD259" s="91"/>
      <c r="BE259" s="91"/>
      <c r="BF259" s="52"/>
      <c r="BG259" s="91"/>
      <c r="BH259" s="112"/>
    </row>
    <row r="260" spans="1:60">
      <c r="A260" s="51" t="s">
        <v>52</v>
      </c>
      <c r="B260" s="108"/>
      <c r="C260" s="52" t="s">
        <v>161</v>
      </c>
      <c r="D260" s="52" t="s">
        <v>3</v>
      </c>
      <c r="E260" s="52" t="s">
        <v>0</v>
      </c>
      <c r="F260" s="54" t="s">
        <v>48</v>
      </c>
      <c r="G260" s="83"/>
      <c r="H260" s="83"/>
      <c r="I260" s="83"/>
      <c r="J260" s="83"/>
      <c r="K260" s="83"/>
      <c r="L260" s="83"/>
      <c r="M260" s="83"/>
      <c r="N260" s="83"/>
      <c r="O260" s="83"/>
      <c r="P260" s="89"/>
      <c r="Q260" s="83"/>
      <c r="R260" s="83"/>
      <c r="S260" s="83"/>
      <c r="T260" s="83"/>
      <c r="U260" s="83"/>
      <c r="V260" s="83"/>
      <c r="W260" s="83"/>
      <c r="X260" s="89">
        <f t="shared" ref="X260:X262" si="476">SUM(P260:W260)+SUM(G260:K260)</f>
        <v>0</v>
      </c>
      <c r="Y260" s="83"/>
      <c r="Z260" s="83"/>
      <c r="AA260" s="83"/>
      <c r="AB260" s="83"/>
      <c r="AC260" s="83"/>
      <c r="AD260" s="83"/>
      <c r="AE260" s="83"/>
      <c r="AF260" s="83"/>
      <c r="AG260" s="83"/>
      <c r="AH260" s="89"/>
      <c r="AI260" s="83"/>
      <c r="AJ260" s="83"/>
      <c r="AK260" s="83"/>
      <c r="AL260" s="83"/>
      <c r="AM260" s="83"/>
      <c r="AN260" s="83"/>
      <c r="AO260" s="83"/>
      <c r="AP260" s="89">
        <f t="shared" ref="AP260:AP262" si="477">SUM(AH260:AO260)+SUM(Y260:AC260)</f>
        <v>0</v>
      </c>
      <c r="AQ260" s="89">
        <f t="shared" ref="AQ260:AW262" si="478">G260+Y260</f>
        <v>0</v>
      </c>
      <c r="AR260" s="89">
        <f t="shared" si="478"/>
        <v>0</v>
      </c>
      <c r="AS260" s="89">
        <f t="shared" si="478"/>
        <v>0</v>
      </c>
      <c r="AT260" s="89">
        <f t="shared" si="478"/>
        <v>0</v>
      </c>
      <c r="AU260" s="89">
        <f t="shared" si="478"/>
        <v>0</v>
      </c>
      <c r="AV260" s="89">
        <f t="shared" si="478"/>
        <v>0</v>
      </c>
      <c r="AW260" s="89">
        <f t="shared" si="478"/>
        <v>0</v>
      </c>
      <c r="AX260" s="89">
        <f t="shared" ref="AX260:AX262" si="479">N260+AF260</f>
        <v>0</v>
      </c>
      <c r="AY260" s="89">
        <f t="shared" ref="AY260:AZ262" si="480">O260+AG260</f>
        <v>0</v>
      </c>
      <c r="AZ260" s="89">
        <f t="shared" si="480"/>
        <v>0</v>
      </c>
      <c r="BA260" s="89">
        <f t="shared" ref="BA260:BF262" si="481">Q260+AI260</f>
        <v>0</v>
      </c>
      <c r="BB260" s="89">
        <f t="shared" si="481"/>
        <v>0</v>
      </c>
      <c r="BC260" s="89">
        <f t="shared" si="481"/>
        <v>0</v>
      </c>
      <c r="BD260" s="89">
        <f t="shared" si="481"/>
        <v>0</v>
      </c>
      <c r="BE260" s="89">
        <f t="shared" si="481"/>
        <v>0</v>
      </c>
      <c r="BF260" s="89">
        <f t="shared" si="481"/>
        <v>0</v>
      </c>
      <c r="BG260" s="89">
        <f t="shared" ref="BG260:BG262" si="482">W260+AO260</f>
        <v>0</v>
      </c>
      <c r="BH260" s="111">
        <f>X260+AP260</f>
        <v>0</v>
      </c>
    </row>
    <row r="261" spans="1:60">
      <c r="A261" s="51" t="s">
        <v>52</v>
      </c>
      <c r="B261" s="108"/>
      <c r="C261" s="52" t="s">
        <v>162</v>
      </c>
      <c r="D261" s="52" t="s">
        <v>3</v>
      </c>
      <c r="E261" s="52" t="s">
        <v>0</v>
      </c>
      <c r="F261" s="54" t="s">
        <v>49</v>
      </c>
      <c r="G261" s="83"/>
      <c r="H261" s="83"/>
      <c r="I261" s="83"/>
      <c r="J261" s="83"/>
      <c r="K261" s="83"/>
      <c r="L261" s="83"/>
      <c r="M261" s="83"/>
      <c r="N261" s="83"/>
      <c r="O261" s="83"/>
      <c r="P261" s="89"/>
      <c r="Q261" s="83"/>
      <c r="R261" s="83"/>
      <c r="S261" s="83"/>
      <c r="T261" s="83"/>
      <c r="U261" s="83"/>
      <c r="V261" s="83"/>
      <c r="W261" s="83"/>
      <c r="X261" s="89">
        <f t="shared" si="476"/>
        <v>0</v>
      </c>
      <c r="Y261" s="83"/>
      <c r="Z261" s="83"/>
      <c r="AA261" s="83"/>
      <c r="AB261" s="83"/>
      <c r="AC261" s="83"/>
      <c r="AD261" s="83"/>
      <c r="AE261" s="83"/>
      <c r="AF261" s="83"/>
      <c r="AG261" s="83"/>
      <c r="AH261" s="89"/>
      <c r="AI261" s="83"/>
      <c r="AJ261" s="83"/>
      <c r="AK261" s="83"/>
      <c r="AL261" s="83"/>
      <c r="AM261" s="83"/>
      <c r="AN261" s="83"/>
      <c r="AO261" s="83"/>
      <c r="AP261" s="89">
        <f t="shared" si="477"/>
        <v>0</v>
      </c>
      <c r="AQ261" s="89">
        <f t="shared" si="478"/>
        <v>0</v>
      </c>
      <c r="AR261" s="89">
        <f t="shared" si="478"/>
        <v>0</v>
      </c>
      <c r="AS261" s="89">
        <f t="shared" si="478"/>
        <v>0</v>
      </c>
      <c r="AT261" s="89">
        <f t="shared" si="478"/>
        <v>0</v>
      </c>
      <c r="AU261" s="89">
        <f t="shared" si="478"/>
        <v>0</v>
      </c>
      <c r="AV261" s="89">
        <f t="shared" si="478"/>
        <v>0</v>
      </c>
      <c r="AW261" s="89">
        <f t="shared" si="478"/>
        <v>0</v>
      </c>
      <c r="AX261" s="89">
        <f t="shared" si="479"/>
        <v>0</v>
      </c>
      <c r="AY261" s="89">
        <f t="shared" si="480"/>
        <v>0</v>
      </c>
      <c r="AZ261" s="89">
        <f t="shared" si="480"/>
        <v>0</v>
      </c>
      <c r="BA261" s="89">
        <f t="shared" si="481"/>
        <v>0</v>
      </c>
      <c r="BB261" s="89">
        <f t="shared" si="481"/>
        <v>0</v>
      </c>
      <c r="BC261" s="89">
        <f t="shared" si="481"/>
        <v>0</v>
      </c>
      <c r="BD261" s="89">
        <f t="shared" si="481"/>
        <v>0</v>
      </c>
      <c r="BE261" s="89">
        <f t="shared" si="481"/>
        <v>0</v>
      </c>
      <c r="BF261" s="89">
        <f t="shared" si="481"/>
        <v>0</v>
      </c>
      <c r="BG261" s="89">
        <f t="shared" si="482"/>
        <v>0</v>
      </c>
      <c r="BH261" s="111">
        <f>X261+AP261</f>
        <v>0</v>
      </c>
    </row>
    <row r="262" spans="1:60">
      <c r="A262" s="51" t="s">
        <v>52</v>
      </c>
      <c r="B262" s="108"/>
      <c r="C262" s="52" t="s">
        <v>163</v>
      </c>
      <c r="D262" s="52" t="s">
        <v>3</v>
      </c>
      <c r="E262" s="52" t="s">
        <v>0</v>
      </c>
      <c r="F262" s="54" t="s">
        <v>50</v>
      </c>
      <c r="G262" s="83"/>
      <c r="H262" s="83"/>
      <c r="I262" s="83"/>
      <c r="J262" s="83"/>
      <c r="K262" s="83"/>
      <c r="L262" s="83"/>
      <c r="M262" s="83"/>
      <c r="N262" s="83"/>
      <c r="O262" s="83"/>
      <c r="P262" s="89"/>
      <c r="Q262" s="83"/>
      <c r="R262" s="83"/>
      <c r="S262" s="83"/>
      <c r="T262" s="83"/>
      <c r="U262" s="83"/>
      <c r="V262" s="83"/>
      <c r="W262" s="83"/>
      <c r="X262" s="89">
        <f t="shared" si="476"/>
        <v>0</v>
      </c>
      <c r="Y262" s="83"/>
      <c r="Z262" s="83"/>
      <c r="AA262" s="83"/>
      <c r="AB262" s="83"/>
      <c r="AC262" s="83"/>
      <c r="AD262" s="83"/>
      <c r="AE262" s="83"/>
      <c r="AF262" s="83"/>
      <c r="AG262" s="83"/>
      <c r="AH262" s="89"/>
      <c r="AI262" s="83"/>
      <c r="AJ262" s="83"/>
      <c r="AK262" s="83"/>
      <c r="AL262" s="83"/>
      <c r="AM262" s="83"/>
      <c r="AN262" s="83"/>
      <c r="AO262" s="83"/>
      <c r="AP262" s="89">
        <f t="shared" si="477"/>
        <v>0</v>
      </c>
      <c r="AQ262" s="89">
        <f t="shared" si="478"/>
        <v>0</v>
      </c>
      <c r="AR262" s="89">
        <f t="shared" si="478"/>
        <v>0</v>
      </c>
      <c r="AS262" s="89">
        <f t="shared" si="478"/>
        <v>0</v>
      </c>
      <c r="AT262" s="89">
        <f t="shared" si="478"/>
        <v>0</v>
      </c>
      <c r="AU262" s="89">
        <f t="shared" si="478"/>
        <v>0</v>
      </c>
      <c r="AV262" s="89">
        <f t="shared" si="478"/>
        <v>0</v>
      </c>
      <c r="AW262" s="89">
        <f t="shared" si="478"/>
        <v>0</v>
      </c>
      <c r="AX262" s="89">
        <f t="shared" si="479"/>
        <v>0</v>
      </c>
      <c r="AY262" s="89">
        <f t="shared" si="480"/>
        <v>0</v>
      </c>
      <c r="AZ262" s="89">
        <f t="shared" si="480"/>
        <v>0</v>
      </c>
      <c r="BA262" s="89">
        <f t="shared" si="481"/>
        <v>0</v>
      </c>
      <c r="BB262" s="89">
        <f t="shared" si="481"/>
        <v>0</v>
      </c>
      <c r="BC262" s="89">
        <f t="shared" si="481"/>
        <v>0</v>
      </c>
      <c r="BD262" s="89">
        <f t="shared" si="481"/>
        <v>0</v>
      </c>
      <c r="BE262" s="89">
        <f t="shared" si="481"/>
        <v>0</v>
      </c>
      <c r="BF262" s="89">
        <f t="shared" si="481"/>
        <v>0</v>
      </c>
      <c r="BG262" s="89">
        <f t="shared" si="482"/>
        <v>0</v>
      </c>
      <c r="BH262" s="111">
        <f>X262+AP262</f>
        <v>0</v>
      </c>
    </row>
    <row r="263" spans="1:60">
      <c r="A263" s="51"/>
      <c r="B263" s="108"/>
      <c r="C263" s="52"/>
      <c r="D263" s="52"/>
      <c r="E263" s="52"/>
      <c r="F263" s="53"/>
      <c r="G263" s="52"/>
      <c r="H263" s="52"/>
      <c r="I263" s="52"/>
      <c r="J263" s="52"/>
      <c r="K263" s="52"/>
      <c r="L263" s="52"/>
      <c r="M263" s="52"/>
      <c r="N263" s="52"/>
      <c r="O263" s="52"/>
      <c r="P263" s="52"/>
      <c r="Q263" s="52"/>
      <c r="R263" s="52"/>
      <c r="S263" s="52"/>
      <c r="T263" s="52"/>
      <c r="U263" s="52"/>
      <c r="V263" s="52"/>
      <c r="W263" s="52"/>
      <c r="X263" s="52"/>
      <c r="Y263" s="52"/>
      <c r="Z263" s="52"/>
      <c r="AA263" s="52"/>
      <c r="AB263" s="52"/>
      <c r="AC263" s="52"/>
      <c r="AD263" s="52"/>
      <c r="AE263" s="52"/>
      <c r="AF263" s="52"/>
      <c r="AG263" s="52"/>
      <c r="AH263" s="52"/>
      <c r="AI263" s="52"/>
      <c r="AJ263" s="52"/>
      <c r="AK263" s="52"/>
      <c r="AL263" s="52"/>
      <c r="AM263" s="52"/>
      <c r="AN263" s="52"/>
      <c r="AO263" s="52"/>
      <c r="AP263" s="52"/>
      <c r="AQ263" s="52"/>
      <c r="AR263" s="52"/>
      <c r="AS263" s="52"/>
      <c r="AT263" s="52"/>
      <c r="AU263" s="52"/>
      <c r="AV263" s="52"/>
      <c r="AW263" s="52"/>
      <c r="AX263" s="52"/>
      <c r="AY263" s="52"/>
      <c r="AZ263" s="52"/>
      <c r="BA263" s="52"/>
      <c r="BB263" s="52"/>
      <c r="BC263" s="52"/>
      <c r="BD263" s="52"/>
      <c r="BE263" s="52"/>
      <c r="BF263" s="52"/>
      <c r="BG263" s="52"/>
      <c r="BH263" s="109"/>
    </row>
    <row r="264" spans="1:60" ht="22.5" customHeight="1" thickBot="1">
      <c r="A264" s="51"/>
      <c r="B264" s="114"/>
      <c r="C264" s="115"/>
      <c r="D264" s="115"/>
      <c r="E264" s="115"/>
      <c r="F264" s="116"/>
      <c r="G264" s="115"/>
      <c r="H264" s="115"/>
      <c r="I264" s="115"/>
      <c r="J264" s="115"/>
      <c r="K264" s="115"/>
      <c r="L264" s="115"/>
      <c r="M264" s="115"/>
      <c r="N264" s="115"/>
      <c r="O264" s="115"/>
      <c r="P264" s="115"/>
      <c r="Q264" s="115"/>
      <c r="R264" s="115"/>
      <c r="S264" s="115"/>
      <c r="T264" s="115"/>
      <c r="U264" s="115"/>
      <c r="V264" s="115"/>
      <c r="W264" s="115"/>
      <c r="X264" s="115"/>
      <c r="Y264" s="115"/>
      <c r="Z264" s="115"/>
      <c r="AA264" s="115"/>
      <c r="AB264" s="115"/>
      <c r="AC264" s="115"/>
      <c r="AD264" s="115"/>
      <c r="AE264" s="115"/>
      <c r="AF264" s="115"/>
      <c r="AG264" s="115"/>
      <c r="AH264" s="115"/>
      <c r="AI264" s="115"/>
      <c r="AJ264" s="115"/>
      <c r="AK264" s="115"/>
      <c r="AL264" s="115"/>
      <c r="AM264" s="115"/>
      <c r="AN264" s="115"/>
      <c r="AO264" s="115"/>
      <c r="AP264" s="115"/>
      <c r="AQ264" s="115"/>
      <c r="AR264" s="115"/>
      <c r="AS264" s="115"/>
      <c r="AT264" s="115"/>
      <c r="AU264" s="115"/>
      <c r="AV264" s="115"/>
      <c r="AW264" s="115"/>
      <c r="AX264" s="115"/>
      <c r="AY264" s="115"/>
      <c r="AZ264" s="115"/>
      <c r="BA264" s="115"/>
      <c r="BB264" s="115"/>
      <c r="BC264" s="115"/>
      <c r="BD264" s="115"/>
      <c r="BE264" s="115"/>
      <c r="BF264" s="115"/>
      <c r="BG264" s="115"/>
      <c r="BH264" s="117"/>
    </row>
    <row r="266" spans="1:60" ht="15.75" thickBot="1"/>
    <row r="267" spans="1:60" ht="122.25" customHeight="1" thickBot="1">
      <c r="A267" s="47" t="s">
        <v>8</v>
      </c>
      <c r="B267" s="74" t="s">
        <v>0</v>
      </c>
      <c r="C267" s="75"/>
      <c r="D267" s="75"/>
      <c r="E267" s="75"/>
      <c r="F267" s="84" t="s">
        <v>51</v>
      </c>
      <c r="G267" s="144" t="s">
        <v>66</v>
      </c>
      <c r="H267" s="145"/>
      <c r="I267" s="145"/>
      <c r="J267" s="145"/>
      <c r="K267" s="145"/>
      <c r="L267" s="145"/>
      <c r="M267" s="145"/>
      <c r="N267" s="145"/>
      <c r="O267" s="145"/>
      <c r="P267" s="145"/>
      <c r="Q267" s="145"/>
      <c r="R267" s="145"/>
      <c r="S267" s="145"/>
      <c r="T267" s="145"/>
      <c r="U267" s="145"/>
      <c r="V267" s="14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  <c r="AG267" s="145"/>
      <c r="AH267" s="145"/>
      <c r="AI267" s="145"/>
      <c r="AJ267" s="145"/>
      <c r="AK267" s="145"/>
      <c r="AL267" s="145"/>
      <c r="AM267" s="145"/>
      <c r="AN267" s="145"/>
      <c r="AO267" s="145"/>
      <c r="AP267" s="145"/>
      <c r="AQ267" s="145"/>
      <c r="AR267" s="145"/>
      <c r="AS267" s="145"/>
      <c r="AT267" s="145"/>
      <c r="AU267" s="145"/>
      <c r="AV267" s="145"/>
      <c r="AW267" s="145"/>
      <c r="AX267" s="145"/>
      <c r="AY267" s="145"/>
      <c r="AZ267" s="145"/>
      <c r="BA267" s="145"/>
      <c r="BB267" s="145"/>
      <c r="BC267" s="145"/>
      <c r="BD267" s="145"/>
      <c r="BE267" s="145"/>
      <c r="BF267" s="145"/>
      <c r="BG267" s="145"/>
      <c r="BH267" s="146"/>
    </row>
    <row r="268" spans="1:60" ht="15.75" hidden="1" customHeight="1" thickBot="1">
      <c r="A268" s="48" t="s">
        <v>7</v>
      </c>
      <c r="B268" s="73" t="s">
        <v>0</v>
      </c>
      <c r="C268" s="72"/>
      <c r="D268" s="72" t="s">
        <v>135</v>
      </c>
      <c r="E268" s="72" t="s">
        <v>136</v>
      </c>
      <c r="F268" s="72"/>
      <c r="G268" s="49" t="s">
        <v>104</v>
      </c>
      <c r="H268" s="49" t="s">
        <v>104</v>
      </c>
      <c r="I268" s="49" t="s">
        <v>104</v>
      </c>
      <c r="J268" s="49" t="s">
        <v>104</v>
      </c>
      <c r="K268" s="49" t="s">
        <v>104</v>
      </c>
      <c r="L268" s="95" t="s">
        <v>104</v>
      </c>
      <c r="M268" s="49" t="s">
        <v>104</v>
      </c>
      <c r="N268" s="95" t="s">
        <v>104</v>
      </c>
      <c r="O268" s="49" t="s">
        <v>104</v>
      </c>
      <c r="P268" s="49" t="s">
        <v>104</v>
      </c>
      <c r="Q268" s="49" t="s">
        <v>104</v>
      </c>
      <c r="R268" s="49" t="s">
        <v>104</v>
      </c>
      <c r="S268" s="49" t="s">
        <v>104</v>
      </c>
      <c r="T268" s="49" t="s">
        <v>104</v>
      </c>
      <c r="U268" s="49" t="s">
        <v>104</v>
      </c>
      <c r="V268" s="49" t="s">
        <v>104</v>
      </c>
      <c r="W268" s="49" t="s">
        <v>104</v>
      </c>
      <c r="X268" s="49" t="s">
        <v>104</v>
      </c>
      <c r="Y268" s="49" t="s">
        <v>104</v>
      </c>
      <c r="Z268" s="49" t="s">
        <v>104</v>
      </c>
      <c r="AA268" s="49" t="s">
        <v>104</v>
      </c>
      <c r="AB268" s="49" t="s">
        <v>104</v>
      </c>
      <c r="AC268" s="49" t="s">
        <v>104</v>
      </c>
      <c r="AD268" s="49" t="s">
        <v>104</v>
      </c>
      <c r="AE268" s="49" t="s">
        <v>104</v>
      </c>
      <c r="AF268" s="95" t="s">
        <v>104</v>
      </c>
      <c r="AG268" s="49" t="s">
        <v>104</v>
      </c>
      <c r="AH268" s="49" t="s">
        <v>104</v>
      </c>
      <c r="AI268" s="49" t="s">
        <v>104</v>
      </c>
      <c r="AJ268" s="49" t="s">
        <v>104</v>
      </c>
      <c r="AK268" s="49" t="s">
        <v>104</v>
      </c>
      <c r="AL268" s="49" t="s">
        <v>104</v>
      </c>
      <c r="AM268" s="49" t="s">
        <v>104</v>
      </c>
      <c r="AN268" s="49" t="s">
        <v>104</v>
      </c>
      <c r="AO268" s="49" t="s">
        <v>104</v>
      </c>
      <c r="AP268" s="49" t="s">
        <v>104</v>
      </c>
      <c r="AQ268" s="49" t="s">
        <v>104</v>
      </c>
      <c r="AR268" s="49" t="s">
        <v>104</v>
      </c>
      <c r="AS268" s="49" t="s">
        <v>104</v>
      </c>
      <c r="AT268" s="49" t="s">
        <v>104</v>
      </c>
      <c r="AU268" s="49" t="s">
        <v>104</v>
      </c>
      <c r="AV268" s="49" t="s">
        <v>104</v>
      </c>
      <c r="AW268" s="49" t="s">
        <v>104</v>
      </c>
      <c r="AX268" s="95" t="s">
        <v>104</v>
      </c>
      <c r="AY268" s="49" t="s">
        <v>104</v>
      </c>
      <c r="AZ268" s="49" t="s">
        <v>104</v>
      </c>
      <c r="BA268" s="49" t="s">
        <v>104</v>
      </c>
      <c r="BB268" s="49" t="s">
        <v>104</v>
      </c>
      <c r="BC268" s="49" t="s">
        <v>104</v>
      </c>
      <c r="BD268" s="49" t="s">
        <v>104</v>
      </c>
      <c r="BE268" s="49" t="s">
        <v>104</v>
      </c>
      <c r="BF268" s="49" t="s">
        <v>104</v>
      </c>
      <c r="BG268" s="49" t="s">
        <v>104</v>
      </c>
      <c r="BH268" s="118" t="s">
        <v>104</v>
      </c>
    </row>
    <row r="269" spans="1:60" ht="123" customHeight="1" thickBot="1">
      <c r="A269" s="48"/>
      <c r="B269" s="147"/>
      <c r="C269" s="148"/>
      <c r="D269" s="148"/>
      <c r="E269" s="148"/>
      <c r="F269" s="148"/>
      <c r="G269" s="141" t="s">
        <v>70</v>
      </c>
      <c r="H269" s="142"/>
      <c r="I269" s="142"/>
      <c r="J269" s="142"/>
      <c r="K269" s="142"/>
      <c r="L269" s="142"/>
      <c r="M269" s="142"/>
      <c r="N269" s="142"/>
      <c r="O269" s="142"/>
      <c r="P269" s="142"/>
      <c r="Q269" s="142"/>
      <c r="R269" s="142"/>
      <c r="S269" s="142"/>
      <c r="T269" s="142"/>
      <c r="U269" s="142"/>
      <c r="V269" s="142"/>
      <c r="W269" s="142"/>
      <c r="X269" s="143"/>
      <c r="Y269" s="144" t="s">
        <v>71</v>
      </c>
      <c r="Z269" s="145"/>
      <c r="AA269" s="145"/>
      <c r="AB269" s="145"/>
      <c r="AC269" s="145"/>
      <c r="AD269" s="145"/>
      <c r="AE269" s="145"/>
      <c r="AF269" s="145"/>
      <c r="AG269" s="145"/>
      <c r="AH269" s="145"/>
      <c r="AI269" s="145"/>
      <c r="AJ269" s="145"/>
      <c r="AK269" s="145"/>
      <c r="AL269" s="145"/>
      <c r="AM269" s="145"/>
      <c r="AN269" s="145"/>
      <c r="AO269" s="145"/>
      <c r="AP269" s="146"/>
      <c r="AQ269" s="141" t="s">
        <v>72</v>
      </c>
      <c r="AR269" s="142"/>
      <c r="AS269" s="142"/>
      <c r="AT269" s="142"/>
      <c r="AU269" s="142"/>
      <c r="AV269" s="142"/>
      <c r="AW269" s="142"/>
      <c r="AX269" s="142"/>
      <c r="AY269" s="142"/>
      <c r="AZ269" s="142"/>
      <c r="BA269" s="142"/>
      <c r="BB269" s="142"/>
      <c r="BC269" s="142"/>
      <c r="BD269" s="142"/>
      <c r="BE269" s="142"/>
      <c r="BF269" s="142"/>
      <c r="BG269" s="142"/>
      <c r="BH269" s="143"/>
    </row>
    <row r="270" spans="1:60" ht="45" hidden="1" customHeight="1" thickBot="1">
      <c r="A270" s="48" t="s">
        <v>7</v>
      </c>
      <c r="B270" s="103" t="s">
        <v>0</v>
      </c>
      <c r="C270" s="80"/>
      <c r="D270" s="80"/>
      <c r="E270" s="81" t="s">
        <v>137</v>
      </c>
      <c r="F270" s="80"/>
      <c r="G270" s="77" t="s">
        <v>98</v>
      </c>
      <c r="H270" s="77" t="s">
        <v>98</v>
      </c>
      <c r="I270" s="77" t="s">
        <v>98</v>
      </c>
      <c r="J270" s="77" t="s">
        <v>98</v>
      </c>
      <c r="K270" s="77" t="s">
        <v>98</v>
      </c>
      <c r="L270" s="93" t="s">
        <v>98</v>
      </c>
      <c r="M270" s="77" t="s">
        <v>98</v>
      </c>
      <c r="N270" s="93" t="s">
        <v>98</v>
      </c>
      <c r="O270" s="77" t="s">
        <v>98</v>
      </c>
      <c r="P270" s="77" t="s">
        <v>98</v>
      </c>
      <c r="Q270" s="77" t="s">
        <v>98</v>
      </c>
      <c r="R270" s="77" t="s">
        <v>98</v>
      </c>
      <c r="S270" s="77" t="s">
        <v>98</v>
      </c>
      <c r="T270" s="77" t="s">
        <v>98</v>
      </c>
      <c r="U270" s="77" t="s">
        <v>98</v>
      </c>
      <c r="V270" s="77" t="s">
        <v>98</v>
      </c>
      <c r="W270" s="77" t="s">
        <v>98</v>
      </c>
      <c r="X270" s="77" t="s">
        <v>98</v>
      </c>
      <c r="Y270" s="77" t="s">
        <v>106</v>
      </c>
      <c r="Z270" s="77" t="s">
        <v>106</v>
      </c>
      <c r="AA270" s="77" t="s">
        <v>106</v>
      </c>
      <c r="AB270" s="77" t="s">
        <v>106</v>
      </c>
      <c r="AC270" s="77" t="s">
        <v>106</v>
      </c>
      <c r="AD270" s="77" t="s">
        <v>106</v>
      </c>
      <c r="AE270" s="77" t="s">
        <v>106</v>
      </c>
      <c r="AF270" s="77" t="s">
        <v>106</v>
      </c>
      <c r="AG270" s="77" t="s">
        <v>106</v>
      </c>
      <c r="AH270" s="77" t="s">
        <v>106</v>
      </c>
      <c r="AI270" s="77" t="s">
        <v>106</v>
      </c>
      <c r="AJ270" s="77" t="s">
        <v>106</v>
      </c>
      <c r="AK270" s="77" t="s">
        <v>106</v>
      </c>
      <c r="AL270" s="77" t="s">
        <v>106</v>
      </c>
      <c r="AM270" s="77" t="s">
        <v>106</v>
      </c>
      <c r="AN270" s="77" t="s">
        <v>106</v>
      </c>
      <c r="AO270" s="77" t="s">
        <v>106</v>
      </c>
      <c r="AP270" s="77" t="s">
        <v>106</v>
      </c>
      <c r="AQ270" s="77" t="s">
        <v>107</v>
      </c>
      <c r="AR270" s="77" t="s">
        <v>107</v>
      </c>
      <c r="AS270" s="77" t="s">
        <v>107</v>
      </c>
      <c r="AT270" s="77" t="s">
        <v>107</v>
      </c>
      <c r="AU270" s="77" t="s">
        <v>107</v>
      </c>
      <c r="AV270" s="77" t="s">
        <v>107</v>
      </c>
      <c r="AW270" s="77" t="s">
        <v>107</v>
      </c>
      <c r="AX270" s="77" t="s">
        <v>107</v>
      </c>
      <c r="AY270" s="77" t="s">
        <v>107</v>
      </c>
      <c r="AZ270" s="77" t="s">
        <v>107</v>
      </c>
      <c r="BA270" s="77" t="s">
        <v>107</v>
      </c>
      <c r="BB270" s="77" t="s">
        <v>107</v>
      </c>
      <c r="BC270" s="77" t="s">
        <v>107</v>
      </c>
      <c r="BD270" s="77" t="s">
        <v>107</v>
      </c>
      <c r="BE270" s="77" t="s">
        <v>107</v>
      </c>
      <c r="BF270" s="77" t="s">
        <v>107</v>
      </c>
      <c r="BG270" s="77" t="s">
        <v>107</v>
      </c>
      <c r="BH270" s="104" t="s">
        <v>107</v>
      </c>
    </row>
    <row r="271" spans="1:60" ht="120.75" customHeight="1" thickBot="1">
      <c r="A271" s="48"/>
      <c r="B271" s="147"/>
      <c r="C271" s="148"/>
      <c r="D271" s="148"/>
      <c r="E271" s="148"/>
      <c r="F271" s="148"/>
      <c r="G271" s="78" t="s">
        <v>73</v>
      </c>
      <c r="H271" s="82" t="s">
        <v>74</v>
      </c>
      <c r="I271" s="78" t="s">
        <v>75</v>
      </c>
      <c r="J271" s="82" t="s">
        <v>76</v>
      </c>
      <c r="K271" s="78" t="s">
        <v>77</v>
      </c>
      <c r="L271" s="94" t="s">
        <v>99</v>
      </c>
      <c r="M271" s="88" t="s">
        <v>83</v>
      </c>
      <c r="N271" s="98" t="s">
        <v>180</v>
      </c>
      <c r="O271" s="98" t="s">
        <v>182</v>
      </c>
      <c r="P271" s="82" t="s">
        <v>78</v>
      </c>
      <c r="Q271" s="78" t="s">
        <v>79</v>
      </c>
      <c r="R271" s="82" t="s">
        <v>80</v>
      </c>
      <c r="S271" s="78" t="s">
        <v>81</v>
      </c>
      <c r="T271" s="82" t="s">
        <v>82</v>
      </c>
      <c r="U271" s="82" t="s">
        <v>84</v>
      </c>
      <c r="V271" s="98" t="s">
        <v>183</v>
      </c>
      <c r="W271" s="78" t="s">
        <v>85</v>
      </c>
      <c r="X271" s="82" t="s">
        <v>86</v>
      </c>
      <c r="Y271" s="78" t="s">
        <v>73</v>
      </c>
      <c r="Z271" s="82" t="s">
        <v>74</v>
      </c>
      <c r="AA271" s="78" t="s">
        <v>75</v>
      </c>
      <c r="AB271" s="82" t="s">
        <v>76</v>
      </c>
      <c r="AC271" s="78" t="s">
        <v>77</v>
      </c>
      <c r="AD271" s="88" t="s">
        <v>99</v>
      </c>
      <c r="AE271" s="88" t="s">
        <v>83</v>
      </c>
      <c r="AF271" s="98" t="s">
        <v>180</v>
      </c>
      <c r="AG271" s="98" t="s">
        <v>182</v>
      </c>
      <c r="AH271" s="82" t="s">
        <v>78</v>
      </c>
      <c r="AI271" s="78" t="s">
        <v>79</v>
      </c>
      <c r="AJ271" s="82" t="s">
        <v>80</v>
      </c>
      <c r="AK271" s="78" t="s">
        <v>81</v>
      </c>
      <c r="AL271" s="82" t="s">
        <v>82</v>
      </c>
      <c r="AM271" s="82" t="s">
        <v>84</v>
      </c>
      <c r="AN271" s="98" t="s">
        <v>183</v>
      </c>
      <c r="AO271" s="78" t="s">
        <v>85</v>
      </c>
      <c r="AP271" s="82" t="s">
        <v>86</v>
      </c>
      <c r="AQ271" s="78" t="s">
        <v>73</v>
      </c>
      <c r="AR271" s="82" t="s">
        <v>74</v>
      </c>
      <c r="AS271" s="78" t="s">
        <v>75</v>
      </c>
      <c r="AT271" s="82" t="s">
        <v>76</v>
      </c>
      <c r="AU271" s="78" t="s">
        <v>77</v>
      </c>
      <c r="AV271" s="88" t="s">
        <v>99</v>
      </c>
      <c r="AW271" s="88" t="s">
        <v>83</v>
      </c>
      <c r="AX271" s="98" t="s">
        <v>180</v>
      </c>
      <c r="AY271" s="98" t="s">
        <v>182</v>
      </c>
      <c r="AZ271" s="82" t="s">
        <v>78</v>
      </c>
      <c r="BA271" s="78" t="s">
        <v>79</v>
      </c>
      <c r="BB271" s="82" t="s">
        <v>80</v>
      </c>
      <c r="BC271" s="78" t="s">
        <v>81</v>
      </c>
      <c r="BD271" s="82" t="s">
        <v>82</v>
      </c>
      <c r="BE271" s="82" t="s">
        <v>84</v>
      </c>
      <c r="BF271" s="98" t="s">
        <v>183</v>
      </c>
      <c r="BG271" s="78" t="s">
        <v>85</v>
      </c>
      <c r="BH271" s="82" t="s">
        <v>86</v>
      </c>
    </row>
    <row r="272" spans="1:60" ht="45" hidden="1" customHeight="1">
      <c r="A272" s="79" t="s">
        <v>7</v>
      </c>
      <c r="B272" s="103" t="s">
        <v>0</v>
      </c>
      <c r="C272" s="80"/>
      <c r="D272" s="80"/>
      <c r="E272" s="80" t="s">
        <v>138</v>
      </c>
      <c r="F272" s="80"/>
      <c r="G272" s="77" t="s">
        <v>108</v>
      </c>
      <c r="H272" s="77" t="s">
        <v>109</v>
      </c>
      <c r="I272" s="77" t="s">
        <v>110</v>
      </c>
      <c r="J272" s="77" t="s">
        <v>111</v>
      </c>
      <c r="K272" s="77" t="s">
        <v>112</v>
      </c>
      <c r="L272" s="93" t="s">
        <v>100</v>
      </c>
      <c r="M272" s="77" t="s">
        <v>101</v>
      </c>
      <c r="N272" s="99" t="s">
        <v>179</v>
      </c>
      <c r="O272" s="99" t="s">
        <v>181</v>
      </c>
      <c r="P272" s="77" t="s">
        <v>113</v>
      </c>
      <c r="Q272" s="77" t="s">
        <v>114</v>
      </c>
      <c r="R272" s="77" t="s">
        <v>115</v>
      </c>
      <c r="S272" s="77" t="s">
        <v>116</v>
      </c>
      <c r="T272" s="77" t="s">
        <v>117</v>
      </c>
      <c r="U272" s="77" t="s">
        <v>118</v>
      </c>
      <c r="V272" s="99" t="s">
        <v>184</v>
      </c>
      <c r="W272" s="77" t="s">
        <v>119</v>
      </c>
      <c r="X272" s="77" t="s">
        <v>120</v>
      </c>
      <c r="Y272" s="77" t="s">
        <v>108</v>
      </c>
      <c r="Z272" s="77" t="s">
        <v>109</v>
      </c>
      <c r="AA272" s="77" t="s">
        <v>110</v>
      </c>
      <c r="AB272" s="77" t="s">
        <v>111</v>
      </c>
      <c r="AC272" s="77" t="s">
        <v>112</v>
      </c>
      <c r="AD272" s="77" t="s">
        <v>100</v>
      </c>
      <c r="AE272" s="77" t="s">
        <v>101</v>
      </c>
      <c r="AF272" s="99" t="s">
        <v>179</v>
      </c>
      <c r="AG272" s="99" t="s">
        <v>181</v>
      </c>
      <c r="AH272" s="77" t="s">
        <v>113</v>
      </c>
      <c r="AI272" s="77" t="s">
        <v>114</v>
      </c>
      <c r="AJ272" s="77" t="s">
        <v>115</v>
      </c>
      <c r="AK272" s="77" t="s">
        <v>116</v>
      </c>
      <c r="AL272" s="77" t="s">
        <v>117</v>
      </c>
      <c r="AM272" s="77" t="s">
        <v>118</v>
      </c>
      <c r="AN272" s="99" t="s">
        <v>184</v>
      </c>
      <c r="AO272" s="77" t="s">
        <v>119</v>
      </c>
      <c r="AP272" s="77" t="s">
        <v>120</v>
      </c>
      <c r="AQ272" s="77" t="s">
        <v>108</v>
      </c>
      <c r="AR272" s="77" t="s">
        <v>109</v>
      </c>
      <c r="AS272" s="77" t="s">
        <v>110</v>
      </c>
      <c r="AT272" s="77" t="s">
        <v>111</v>
      </c>
      <c r="AU272" s="77" t="s">
        <v>112</v>
      </c>
      <c r="AV272" s="77" t="s">
        <v>100</v>
      </c>
      <c r="AW272" s="77" t="s">
        <v>101</v>
      </c>
      <c r="AX272" s="99" t="s">
        <v>179</v>
      </c>
      <c r="AY272" s="99" t="s">
        <v>181</v>
      </c>
      <c r="AZ272" s="77" t="s">
        <v>113</v>
      </c>
      <c r="BA272" s="77" t="s">
        <v>114</v>
      </c>
      <c r="BB272" s="77" t="s">
        <v>115</v>
      </c>
      <c r="BC272" s="77" t="s">
        <v>116</v>
      </c>
      <c r="BD272" s="77" t="s">
        <v>117</v>
      </c>
      <c r="BE272" s="77" t="s">
        <v>118</v>
      </c>
      <c r="BF272" s="99" t="s">
        <v>184</v>
      </c>
      <c r="BG272" s="77" t="s">
        <v>119</v>
      </c>
      <c r="BH272" s="104" t="s">
        <v>120</v>
      </c>
    </row>
    <row r="273" spans="1:60" ht="22.5" customHeight="1">
      <c r="B273" s="105"/>
      <c r="C273" s="106"/>
      <c r="D273" s="106"/>
      <c r="E273" s="106"/>
      <c r="F273" s="106"/>
      <c r="G273" s="106"/>
      <c r="H273" s="106"/>
      <c r="I273" s="106"/>
      <c r="J273" s="106"/>
      <c r="K273" s="106"/>
      <c r="L273" s="106"/>
      <c r="M273" s="106"/>
      <c r="N273" s="106"/>
      <c r="O273" s="106"/>
      <c r="P273" s="106"/>
      <c r="Q273" s="106"/>
      <c r="R273" s="106"/>
      <c r="S273" s="106"/>
      <c r="T273" s="106"/>
      <c r="U273" s="106"/>
      <c r="V273" s="106"/>
      <c r="W273" s="106"/>
      <c r="X273" s="106"/>
      <c r="Y273" s="106"/>
      <c r="Z273" s="106"/>
      <c r="AA273" s="106"/>
      <c r="AB273" s="106"/>
      <c r="AC273" s="106"/>
      <c r="AD273" s="106"/>
      <c r="AE273" s="106"/>
      <c r="AF273" s="106"/>
      <c r="AG273" s="106"/>
      <c r="AH273" s="106"/>
      <c r="AI273" s="106"/>
      <c r="AJ273" s="106"/>
      <c r="AK273" s="106"/>
      <c r="AL273" s="106"/>
      <c r="AM273" s="106"/>
      <c r="AN273" s="106"/>
      <c r="AO273" s="106"/>
      <c r="AP273" s="106"/>
      <c r="AQ273" s="106"/>
      <c r="AR273" s="106"/>
      <c r="AS273" s="106"/>
      <c r="AT273" s="106"/>
      <c r="AU273" s="106"/>
      <c r="AV273" s="106"/>
      <c r="AW273" s="106"/>
      <c r="AX273" s="106"/>
      <c r="AY273" s="106"/>
      <c r="AZ273" s="106"/>
      <c r="BA273" s="106"/>
      <c r="BB273" s="106"/>
      <c r="BC273" s="106"/>
      <c r="BD273" s="106"/>
      <c r="BE273" s="106"/>
      <c r="BF273" s="106"/>
      <c r="BG273" s="106"/>
      <c r="BH273" s="107"/>
    </row>
    <row r="274" spans="1:60" ht="22.5" customHeight="1">
      <c r="B274" s="105"/>
      <c r="C274" s="106"/>
      <c r="D274" s="106"/>
      <c r="E274" s="106"/>
      <c r="F274" s="50" t="s">
        <v>4</v>
      </c>
      <c r="G274" s="106"/>
      <c r="H274" s="106"/>
      <c r="I274" s="106"/>
      <c r="J274" s="106"/>
      <c r="K274" s="106"/>
      <c r="L274" s="106"/>
      <c r="M274" s="106"/>
      <c r="N274" s="106"/>
      <c r="O274" s="106"/>
      <c r="P274" s="106"/>
      <c r="Q274" s="106"/>
      <c r="R274" s="106"/>
      <c r="S274" s="106"/>
      <c r="T274" s="106"/>
      <c r="U274" s="106"/>
      <c r="V274" s="106"/>
      <c r="W274" s="106"/>
      <c r="X274" s="106"/>
      <c r="Y274" s="106"/>
      <c r="Z274" s="106"/>
      <c r="AA274" s="106"/>
      <c r="AB274" s="106"/>
      <c r="AC274" s="106"/>
      <c r="AD274" s="106"/>
      <c r="AE274" s="106"/>
      <c r="AF274" s="106"/>
      <c r="AG274" s="106"/>
      <c r="AH274" s="106"/>
      <c r="AI274" s="106"/>
      <c r="AJ274" s="106"/>
      <c r="AK274" s="106"/>
      <c r="AL274" s="106"/>
      <c r="AM274" s="106"/>
      <c r="AN274" s="106"/>
      <c r="AO274" s="106"/>
      <c r="AP274" s="106"/>
      <c r="AQ274" s="106"/>
      <c r="AR274" s="106"/>
      <c r="AS274" s="106"/>
      <c r="AT274" s="106"/>
      <c r="AU274" s="106"/>
      <c r="AV274" s="106"/>
      <c r="AW274" s="106"/>
      <c r="AX274" s="106"/>
      <c r="AY274" s="106"/>
      <c r="AZ274" s="106"/>
      <c r="BA274" s="106"/>
      <c r="BB274" s="106"/>
      <c r="BC274" s="106"/>
      <c r="BD274" s="106"/>
      <c r="BE274" s="106"/>
      <c r="BF274" s="106"/>
      <c r="BG274" s="106"/>
      <c r="BH274" s="107"/>
    </row>
    <row r="275" spans="1:60">
      <c r="A275" s="51"/>
      <c r="B275" s="108"/>
      <c r="C275" s="52"/>
      <c r="D275" s="52"/>
      <c r="E275" s="52"/>
      <c r="F275" s="53"/>
      <c r="G275" s="52"/>
      <c r="H275" s="52"/>
      <c r="I275" s="52"/>
      <c r="J275" s="52"/>
      <c r="K275" s="52"/>
      <c r="L275" s="52"/>
      <c r="M275" s="52"/>
      <c r="N275" s="52"/>
      <c r="O275" s="52"/>
      <c r="P275" s="52"/>
      <c r="Q275" s="52"/>
      <c r="R275" s="52"/>
      <c r="S275" s="52"/>
      <c r="T275" s="52"/>
      <c r="U275" s="52"/>
      <c r="V275" s="52"/>
      <c r="W275" s="52"/>
      <c r="X275" s="52"/>
      <c r="Y275" s="52"/>
      <c r="Z275" s="52"/>
      <c r="AA275" s="52"/>
      <c r="AB275" s="52"/>
      <c r="AC275" s="52"/>
      <c r="AD275" s="52"/>
      <c r="AE275" s="52"/>
      <c r="AF275" s="52"/>
      <c r="AG275" s="52"/>
      <c r="AH275" s="52"/>
      <c r="AI275" s="52"/>
      <c r="AJ275" s="52"/>
      <c r="AK275" s="52"/>
      <c r="AL275" s="52"/>
      <c r="AM275" s="52"/>
      <c r="AN275" s="52"/>
      <c r="AO275" s="52"/>
      <c r="AP275" s="52"/>
      <c r="AQ275" s="52"/>
      <c r="AR275" s="52"/>
      <c r="AS275" s="52"/>
      <c r="AT275" s="52"/>
      <c r="AU275" s="52"/>
      <c r="AV275" s="52"/>
      <c r="AW275" s="52"/>
      <c r="AX275" s="52"/>
      <c r="AY275" s="52"/>
      <c r="AZ275" s="52"/>
      <c r="BA275" s="52"/>
      <c r="BB275" s="52"/>
      <c r="BC275" s="52"/>
      <c r="BD275" s="52"/>
      <c r="BE275" s="52"/>
      <c r="BF275" s="52"/>
      <c r="BG275" s="52"/>
      <c r="BH275" s="109"/>
    </row>
    <row r="276" spans="1:60">
      <c r="A276" s="51"/>
      <c r="B276" s="108"/>
      <c r="C276" s="123" t="s">
        <v>192</v>
      </c>
      <c r="D276" s="123" t="s">
        <v>3</v>
      </c>
      <c r="E276" s="123" t="s">
        <v>0</v>
      </c>
      <c r="F276" s="126" t="s">
        <v>196</v>
      </c>
      <c r="G276" s="55"/>
      <c r="H276" s="55"/>
      <c r="I276" s="55"/>
      <c r="J276" s="55"/>
      <c r="K276" s="55"/>
      <c r="L276" s="55"/>
      <c r="M276" s="55"/>
      <c r="N276" s="55"/>
      <c r="O276" s="55"/>
      <c r="P276" s="55"/>
      <c r="Q276" s="55"/>
      <c r="R276" s="55"/>
      <c r="S276" s="55"/>
      <c r="T276" s="55"/>
      <c r="U276" s="55"/>
      <c r="V276" s="55"/>
      <c r="W276" s="55"/>
      <c r="X276" s="55"/>
      <c r="Y276" s="55"/>
      <c r="Z276" s="55"/>
      <c r="AA276" s="55"/>
      <c r="AB276" s="55"/>
      <c r="AC276" s="55"/>
      <c r="AD276" s="55"/>
      <c r="AE276" s="55"/>
      <c r="AF276" s="55"/>
      <c r="AG276" s="55"/>
      <c r="AH276" s="55"/>
      <c r="AI276" s="55"/>
      <c r="AJ276" s="55"/>
      <c r="AK276" s="55"/>
      <c r="AL276" s="55"/>
      <c r="AM276" s="55"/>
      <c r="AN276" s="55"/>
      <c r="AO276" s="55"/>
      <c r="AP276" s="55"/>
      <c r="AQ276" s="55"/>
      <c r="AR276" s="55"/>
      <c r="AS276" s="55"/>
      <c r="AT276" s="55"/>
      <c r="AU276" s="55"/>
      <c r="AV276" s="55"/>
      <c r="AW276" s="55"/>
      <c r="AX276" s="55"/>
      <c r="AY276" s="55"/>
      <c r="AZ276" s="55"/>
      <c r="BA276" s="55"/>
      <c r="BB276" s="55"/>
      <c r="BC276" s="55"/>
      <c r="BD276" s="55"/>
      <c r="BE276" s="55"/>
      <c r="BF276" s="55"/>
      <c r="BG276" s="55"/>
      <c r="BH276" s="110"/>
    </row>
    <row r="277" spans="1:60" ht="22.5">
      <c r="A277" s="51"/>
      <c r="B277" s="108"/>
      <c r="C277" s="123" t="s">
        <v>193</v>
      </c>
      <c r="D277" s="123" t="s">
        <v>3</v>
      </c>
      <c r="E277" s="123" t="s">
        <v>0</v>
      </c>
      <c r="F277" s="126" t="s">
        <v>197</v>
      </c>
      <c r="G277" s="55"/>
      <c r="H277" s="55"/>
      <c r="I277" s="55"/>
      <c r="J277" s="55"/>
      <c r="K277" s="55"/>
      <c r="L277" s="55"/>
      <c r="M277" s="55"/>
      <c r="N277" s="55"/>
      <c r="O277" s="55"/>
      <c r="P277" s="55"/>
      <c r="Q277" s="55"/>
      <c r="R277" s="55"/>
      <c r="S277" s="55"/>
      <c r="T277" s="55"/>
      <c r="U277" s="55"/>
      <c r="V277" s="55"/>
      <c r="W277" s="55"/>
      <c r="X277" s="55"/>
      <c r="Y277" s="55"/>
      <c r="Z277" s="55"/>
      <c r="AA277" s="55"/>
      <c r="AB277" s="55"/>
      <c r="AC277" s="55"/>
      <c r="AD277" s="55"/>
      <c r="AE277" s="55"/>
      <c r="AF277" s="55"/>
      <c r="AG277" s="55"/>
      <c r="AH277" s="55"/>
      <c r="AI277" s="55"/>
      <c r="AJ277" s="55"/>
      <c r="AK277" s="55"/>
      <c r="AL277" s="55"/>
      <c r="AM277" s="55"/>
      <c r="AN277" s="55"/>
      <c r="AO277" s="55"/>
      <c r="AP277" s="55"/>
      <c r="AQ277" s="55"/>
      <c r="AR277" s="55"/>
      <c r="AS277" s="55"/>
      <c r="AT277" s="55"/>
      <c r="AU277" s="55"/>
      <c r="AV277" s="55"/>
      <c r="AW277" s="55"/>
      <c r="AX277" s="55"/>
      <c r="AY277" s="55"/>
      <c r="AZ277" s="55"/>
      <c r="BA277" s="55"/>
      <c r="BB277" s="55"/>
      <c r="BC277" s="55"/>
      <c r="BD277" s="55"/>
      <c r="BE277" s="55"/>
      <c r="BF277" s="55"/>
      <c r="BG277" s="55"/>
      <c r="BH277" s="110"/>
    </row>
    <row r="278" spans="1:60" ht="22.5">
      <c r="A278" s="51"/>
      <c r="B278" s="108"/>
      <c r="C278" s="123" t="s">
        <v>194</v>
      </c>
      <c r="D278" s="123" t="s">
        <v>3</v>
      </c>
      <c r="E278" s="123" t="s">
        <v>0</v>
      </c>
      <c r="F278" s="126" t="s">
        <v>198</v>
      </c>
      <c r="G278" s="55"/>
      <c r="H278" s="55"/>
      <c r="I278" s="55"/>
      <c r="J278" s="55"/>
      <c r="K278" s="55"/>
      <c r="L278" s="55"/>
      <c r="M278" s="55"/>
      <c r="N278" s="55"/>
      <c r="O278" s="55"/>
      <c r="P278" s="55"/>
      <c r="Q278" s="55"/>
      <c r="R278" s="55"/>
      <c r="S278" s="55"/>
      <c r="T278" s="55"/>
      <c r="U278" s="55"/>
      <c r="V278" s="55"/>
      <c r="W278" s="55"/>
      <c r="X278" s="55"/>
      <c r="Y278" s="55"/>
      <c r="Z278" s="55"/>
      <c r="AA278" s="55"/>
      <c r="AB278" s="55"/>
      <c r="AC278" s="55"/>
      <c r="AD278" s="55"/>
      <c r="AE278" s="55"/>
      <c r="AF278" s="55"/>
      <c r="AG278" s="55"/>
      <c r="AH278" s="55"/>
      <c r="AI278" s="55"/>
      <c r="AJ278" s="55"/>
      <c r="AK278" s="55"/>
      <c r="AL278" s="55"/>
      <c r="AM278" s="55"/>
      <c r="AN278" s="55"/>
      <c r="AO278" s="55"/>
      <c r="AP278" s="55"/>
      <c r="AQ278" s="55"/>
      <c r="AR278" s="55"/>
      <c r="AS278" s="55"/>
      <c r="AT278" s="55"/>
      <c r="AU278" s="55"/>
      <c r="AV278" s="55"/>
      <c r="AW278" s="55"/>
      <c r="AX278" s="55"/>
      <c r="AY278" s="55"/>
      <c r="AZ278" s="55"/>
      <c r="BA278" s="55"/>
      <c r="BB278" s="55"/>
      <c r="BC278" s="55"/>
      <c r="BD278" s="55"/>
      <c r="BE278" s="55"/>
      <c r="BF278" s="55"/>
      <c r="BG278" s="55"/>
      <c r="BH278" s="110"/>
    </row>
    <row r="279" spans="1:60">
      <c r="A279" s="51"/>
      <c r="B279" s="108"/>
      <c r="C279" s="123" t="s">
        <v>195</v>
      </c>
      <c r="D279" s="123" t="s">
        <v>3</v>
      </c>
      <c r="E279" s="123" t="s">
        <v>0</v>
      </c>
      <c r="F279" s="126" t="s">
        <v>199</v>
      </c>
      <c r="G279" s="55"/>
      <c r="H279" s="55"/>
      <c r="I279" s="55"/>
      <c r="J279" s="55"/>
      <c r="K279" s="55"/>
      <c r="L279" s="55"/>
      <c r="M279" s="55"/>
      <c r="N279" s="55"/>
      <c r="O279" s="55"/>
      <c r="P279" s="55"/>
      <c r="Q279" s="55"/>
      <c r="R279" s="55"/>
      <c r="S279" s="55"/>
      <c r="T279" s="55"/>
      <c r="U279" s="55"/>
      <c r="V279" s="55"/>
      <c r="W279" s="55"/>
      <c r="X279" s="55"/>
      <c r="Y279" s="55"/>
      <c r="Z279" s="55"/>
      <c r="AA279" s="55"/>
      <c r="AB279" s="55"/>
      <c r="AC279" s="55"/>
      <c r="AD279" s="55"/>
      <c r="AE279" s="55"/>
      <c r="AF279" s="55"/>
      <c r="AG279" s="55"/>
      <c r="AH279" s="55"/>
      <c r="AI279" s="55"/>
      <c r="AJ279" s="55"/>
      <c r="AK279" s="55"/>
      <c r="AL279" s="55"/>
      <c r="AM279" s="55"/>
      <c r="AN279" s="55"/>
      <c r="AO279" s="55"/>
      <c r="AP279" s="55"/>
      <c r="AQ279" s="55"/>
      <c r="AR279" s="55"/>
      <c r="AS279" s="55"/>
      <c r="AT279" s="55"/>
      <c r="AU279" s="55"/>
      <c r="AV279" s="55"/>
      <c r="AW279" s="55"/>
      <c r="AX279" s="55"/>
      <c r="AY279" s="55"/>
      <c r="AZ279" s="55"/>
      <c r="BA279" s="55"/>
      <c r="BB279" s="55"/>
      <c r="BC279" s="55"/>
      <c r="BD279" s="55"/>
      <c r="BE279" s="55"/>
      <c r="BF279" s="55"/>
      <c r="BG279" s="55"/>
      <c r="BH279" s="110"/>
    </row>
    <row r="280" spans="1:60" ht="22.5">
      <c r="A280" s="51"/>
      <c r="B280" s="108"/>
      <c r="C280" s="52" t="s">
        <v>139</v>
      </c>
      <c r="D280" s="52" t="s">
        <v>3</v>
      </c>
      <c r="E280" s="52" t="s">
        <v>0</v>
      </c>
      <c r="F280" s="54" t="s">
        <v>24</v>
      </c>
      <c r="G280" s="90"/>
      <c r="H280" s="90"/>
      <c r="I280" s="90"/>
      <c r="J280" s="90"/>
      <c r="K280" s="90"/>
      <c r="L280" s="90"/>
      <c r="M280" s="90"/>
      <c r="N280" s="90"/>
      <c r="O280" s="90"/>
      <c r="P280" s="90"/>
      <c r="Q280" s="90"/>
      <c r="R280" s="90"/>
      <c r="S280" s="90"/>
      <c r="T280" s="90"/>
      <c r="U280" s="90"/>
      <c r="V280" s="90"/>
      <c r="W280" s="90"/>
      <c r="X280" s="90"/>
      <c r="Y280" s="90"/>
      <c r="Z280" s="90"/>
      <c r="AA280" s="90"/>
      <c r="AB280" s="90"/>
      <c r="AC280" s="90"/>
      <c r="AD280" s="90"/>
      <c r="AE280" s="90"/>
      <c r="AF280" s="90"/>
      <c r="AG280" s="90"/>
      <c r="AH280" s="90"/>
      <c r="AI280" s="90"/>
      <c r="AJ280" s="90"/>
      <c r="AK280" s="90"/>
      <c r="AL280" s="90"/>
      <c r="AM280" s="90"/>
      <c r="AN280" s="90"/>
      <c r="AO280" s="90"/>
      <c r="AP280" s="90"/>
      <c r="AQ280" s="90"/>
      <c r="AR280" s="90"/>
      <c r="AS280" s="90"/>
      <c r="AT280" s="90"/>
      <c r="AU280" s="90"/>
      <c r="AV280" s="90"/>
      <c r="AW280" s="90"/>
      <c r="AX280" s="55"/>
      <c r="AY280" s="55"/>
      <c r="AZ280" s="55"/>
      <c r="BA280" s="90"/>
      <c r="BB280" s="90"/>
      <c r="BC280" s="90"/>
      <c r="BD280" s="90"/>
      <c r="BE280" s="90"/>
      <c r="BF280" s="55"/>
      <c r="BG280" s="90"/>
      <c r="BH280" s="119"/>
    </row>
    <row r="281" spans="1:60">
      <c r="A281" s="51"/>
      <c r="B281" s="108"/>
      <c r="C281" s="52" t="s">
        <v>140</v>
      </c>
      <c r="D281" s="52" t="s">
        <v>3</v>
      </c>
      <c r="E281" s="52" t="s">
        <v>0</v>
      </c>
      <c r="F281" s="54" t="s">
        <v>25</v>
      </c>
      <c r="G281" s="90"/>
      <c r="H281" s="90"/>
      <c r="I281" s="90"/>
      <c r="J281" s="90"/>
      <c r="K281" s="90"/>
      <c r="L281" s="90"/>
      <c r="M281" s="90"/>
      <c r="N281" s="90"/>
      <c r="O281" s="90"/>
      <c r="P281" s="90"/>
      <c r="Q281" s="90"/>
      <c r="R281" s="90"/>
      <c r="S281" s="90"/>
      <c r="T281" s="90"/>
      <c r="U281" s="90"/>
      <c r="V281" s="90"/>
      <c r="W281" s="90"/>
      <c r="X281" s="90"/>
      <c r="Y281" s="90"/>
      <c r="Z281" s="90"/>
      <c r="AA281" s="90"/>
      <c r="AB281" s="90"/>
      <c r="AC281" s="90"/>
      <c r="AD281" s="90"/>
      <c r="AE281" s="90"/>
      <c r="AF281" s="90"/>
      <c r="AG281" s="90"/>
      <c r="AH281" s="90"/>
      <c r="AI281" s="90"/>
      <c r="AJ281" s="90"/>
      <c r="AK281" s="90"/>
      <c r="AL281" s="90"/>
      <c r="AM281" s="90"/>
      <c r="AN281" s="90"/>
      <c r="AO281" s="90"/>
      <c r="AP281" s="90"/>
      <c r="AQ281" s="90"/>
      <c r="AR281" s="90"/>
      <c r="AS281" s="90"/>
      <c r="AT281" s="90"/>
      <c r="AU281" s="90"/>
      <c r="AV281" s="90"/>
      <c r="AW281" s="90"/>
      <c r="AX281" s="55"/>
      <c r="AY281" s="55"/>
      <c r="AZ281" s="55"/>
      <c r="BA281" s="90"/>
      <c r="BB281" s="90"/>
      <c r="BC281" s="90"/>
      <c r="BD281" s="90"/>
      <c r="BE281" s="90"/>
      <c r="BF281" s="55"/>
      <c r="BG281" s="90"/>
      <c r="BH281" s="119"/>
    </row>
    <row r="282" spans="1:60">
      <c r="A282" s="51"/>
      <c r="B282" s="108"/>
      <c r="C282" s="52" t="s">
        <v>141</v>
      </c>
      <c r="D282" s="52" t="s">
        <v>3</v>
      </c>
      <c r="E282" s="52" t="s">
        <v>0</v>
      </c>
      <c r="F282" s="54" t="s">
        <v>26</v>
      </c>
      <c r="G282" s="90"/>
      <c r="H282" s="90"/>
      <c r="I282" s="90"/>
      <c r="J282" s="90"/>
      <c r="K282" s="90"/>
      <c r="L282" s="90"/>
      <c r="M282" s="90"/>
      <c r="N282" s="90"/>
      <c r="O282" s="90"/>
      <c r="P282" s="90"/>
      <c r="Q282" s="90"/>
      <c r="R282" s="90"/>
      <c r="S282" s="90"/>
      <c r="T282" s="90"/>
      <c r="U282" s="90"/>
      <c r="V282" s="90"/>
      <c r="W282" s="90"/>
      <c r="X282" s="90"/>
      <c r="Y282" s="90"/>
      <c r="Z282" s="90"/>
      <c r="AA282" s="90"/>
      <c r="AB282" s="90"/>
      <c r="AC282" s="90"/>
      <c r="AD282" s="90"/>
      <c r="AE282" s="90"/>
      <c r="AF282" s="90"/>
      <c r="AG282" s="90"/>
      <c r="AH282" s="90"/>
      <c r="AI282" s="90"/>
      <c r="AJ282" s="90"/>
      <c r="AK282" s="90"/>
      <c r="AL282" s="90"/>
      <c r="AM282" s="90"/>
      <c r="AN282" s="90"/>
      <c r="AO282" s="90"/>
      <c r="AP282" s="90"/>
      <c r="AQ282" s="90"/>
      <c r="AR282" s="90"/>
      <c r="AS282" s="90"/>
      <c r="AT282" s="90"/>
      <c r="AU282" s="90"/>
      <c r="AV282" s="90"/>
      <c r="AW282" s="90"/>
      <c r="AX282" s="55"/>
      <c r="AY282" s="55"/>
      <c r="AZ282" s="55"/>
      <c r="BA282" s="90"/>
      <c r="BB282" s="90"/>
      <c r="BC282" s="90"/>
      <c r="BD282" s="90"/>
      <c r="BE282" s="90"/>
      <c r="BF282" s="55" t="s">
        <v>185</v>
      </c>
      <c r="BG282" s="90"/>
      <c r="BH282" s="119"/>
    </row>
    <row r="283" spans="1:60">
      <c r="A283" s="51"/>
      <c r="B283" s="108"/>
      <c r="C283" s="52"/>
      <c r="D283" s="52"/>
      <c r="E283" s="52" t="s">
        <v>0</v>
      </c>
      <c r="F283" s="53" t="s">
        <v>27</v>
      </c>
      <c r="G283" s="91"/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  <c r="X283" s="91"/>
      <c r="Y283" s="91"/>
      <c r="Z283" s="91"/>
      <c r="AA283" s="91"/>
      <c r="AB283" s="91"/>
      <c r="AC283" s="91"/>
      <c r="AD283" s="91"/>
      <c r="AE283" s="91"/>
      <c r="AF283" s="91"/>
      <c r="AG283" s="91"/>
      <c r="AH283" s="91"/>
      <c r="AI283" s="91"/>
      <c r="AJ283" s="91"/>
      <c r="AK283" s="91"/>
      <c r="AL283" s="91"/>
      <c r="AM283" s="91"/>
      <c r="AN283" s="91"/>
      <c r="AO283" s="91"/>
      <c r="AP283" s="91"/>
      <c r="AQ283" s="91"/>
      <c r="AR283" s="91"/>
      <c r="AS283" s="91"/>
      <c r="AT283" s="91"/>
      <c r="AU283" s="91"/>
      <c r="AV283" s="91"/>
      <c r="AW283" s="91"/>
      <c r="AX283" s="52"/>
      <c r="AY283" s="52"/>
      <c r="AZ283" s="52"/>
      <c r="BA283" s="91"/>
      <c r="BB283" s="91"/>
      <c r="BC283" s="91"/>
      <c r="BD283" s="91"/>
      <c r="BE283" s="91"/>
      <c r="BF283" s="52"/>
      <c r="BG283" s="91"/>
      <c r="BH283" s="112"/>
    </row>
    <row r="284" spans="1:60">
      <c r="A284" s="51" t="s">
        <v>52</v>
      </c>
      <c r="B284" s="108"/>
      <c r="C284" s="52" t="s">
        <v>142</v>
      </c>
      <c r="D284" s="52" t="s">
        <v>3</v>
      </c>
      <c r="E284" s="52" t="s">
        <v>0</v>
      </c>
      <c r="F284" s="53" t="s">
        <v>186</v>
      </c>
      <c r="G284" s="89">
        <f t="shared" ref="G284:W284" si="483">G108+G196</f>
        <v>0</v>
      </c>
      <c r="H284" s="89">
        <f t="shared" si="483"/>
        <v>0</v>
      </c>
      <c r="I284" s="89">
        <f t="shared" si="483"/>
        <v>0</v>
      </c>
      <c r="J284" s="89">
        <f t="shared" si="483"/>
        <v>0</v>
      </c>
      <c r="K284" s="89">
        <f t="shared" si="483"/>
        <v>0</v>
      </c>
      <c r="L284" s="89">
        <f t="shared" si="483"/>
        <v>0</v>
      </c>
      <c r="M284" s="89">
        <f t="shared" si="483"/>
        <v>0</v>
      </c>
      <c r="N284" s="89">
        <f t="shared" si="483"/>
        <v>0</v>
      </c>
      <c r="O284" s="89">
        <f t="shared" si="483"/>
        <v>0</v>
      </c>
      <c r="P284" s="89">
        <f t="shared" si="483"/>
        <v>0</v>
      </c>
      <c r="Q284" s="89">
        <f t="shared" si="483"/>
        <v>0</v>
      </c>
      <c r="R284" s="89">
        <f t="shared" si="483"/>
        <v>0</v>
      </c>
      <c r="S284" s="89">
        <f t="shared" si="483"/>
        <v>0</v>
      </c>
      <c r="T284" s="89">
        <f t="shared" si="483"/>
        <v>0</v>
      </c>
      <c r="U284" s="89">
        <f t="shared" si="483"/>
        <v>0</v>
      </c>
      <c r="V284" s="89">
        <f t="shared" si="483"/>
        <v>0</v>
      </c>
      <c r="W284" s="89">
        <f t="shared" si="483"/>
        <v>0</v>
      </c>
      <c r="X284" s="89">
        <f>SUM(P284:W284)+SUM(G284:K284)</f>
        <v>0</v>
      </c>
      <c r="Y284" s="89">
        <f t="shared" ref="Y284:AO284" si="484">Y108+Y196</f>
        <v>0</v>
      </c>
      <c r="Z284" s="89">
        <f t="shared" si="484"/>
        <v>0</v>
      </c>
      <c r="AA284" s="89">
        <f t="shared" si="484"/>
        <v>0</v>
      </c>
      <c r="AB284" s="89">
        <f t="shared" si="484"/>
        <v>0</v>
      </c>
      <c r="AC284" s="89">
        <f t="shared" si="484"/>
        <v>0</v>
      </c>
      <c r="AD284" s="89">
        <f t="shared" si="484"/>
        <v>0</v>
      </c>
      <c r="AE284" s="89">
        <f t="shared" si="484"/>
        <v>0</v>
      </c>
      <c r="AF284" s="89">
        <f t="shared" si="484"/>
        <v>0</v>
      </c>
      <c r="AG284" s="89">
        <f t="shared" si="484"/>
        <v>0</v>
      </c>
      <c r="AH284" s="89">
        <f t="shared" si="484"/>
        <v>0</v>
      </c>
      <c r="AI284" s="89">
        <f t="shared" si="484"/>
        <v>0</v>
      </c>
      <c r="AJ284" s="89">
        <f t="shared" si="484"/>
        <v>0</v>
      </c>
      <c r="AK284" s="89">
        <f t="shared" si="484"/>
        <v>0</v>
      </c>
      <c r="AL284" s="89">
        <f t="shared" si="484"/>
        <v>0</v>
      </c>
      <c r="AM284" s="89">
        <f t="shared" si="484"/>
        <v>0</v>
      </c>
      <c r="AN284" s="89">
        <f t="shared" si="484"/>
        <v>0</v>
      </c>
      <c r="AO284" s="89">
        <f t="shared" si="484"/>
        <v>0</v>
      </c>
      <c r="AP284" s="89">
        <f>SUM(AH284:AO284)+SUM(Y284:AC284)</f>
        <v>0</v>
      </c>
      <c r="AQ284" s="89">
        <f t="shared" ref="AQ284:AW284" si="485">AQ108+AQ196</f>
        <v>0</v>
      </c>
      <c r="AR284" s="89">
        <f t="shared" si="485"/>
        <v>0</v>
      </c>
      <c r="AS284" s="89">
        <f t="shared" si="485"/>
        <v>0</v>
      </c>
      <c r="AT284" s="89">
        <f t="shared" si="485"/>
        <v>0</v>
      </c>
      <c r="AU284" s="89">
        <f t="shared" si="485"/>
        <v>0</v>
      </c>
      <c r="AV284" s="89">
        <f t="shared" si="485"/>
        <v>0</v>
      </c>
      <c r="AW284" s="89">
        <f t="shared" si="485"/>
        <v>0</v>
      </c>
      <c r="AX284" s="89">
        <f t="shared" ref="AX284" si="486">N284+AF284</f>
        <v>0</v>
      </c>
      <c r="AY284" s="89">
        <f t="shared" ref="AY284:AZ284" si="487">O284+AG284</f>
        <v>0</v>
      </c>
      <c r="AZ284" s="89">
        <f t="shared" si="487"/>
        <v>0</v>
      </c>
      <c r="BA284" s="89">
        <f>BA108+BA196</f>
        <v>0</v>
      </c>
      <c r="BB284" s="89">
        <f>BB108+BB196</f>
        <v>0</v>
      </c>
      <c r="BC284" s="89">
        <f>BC108+BC196</f>
        <v>0</v>
      </c>
      <c r="BD284" s="89">
        <f>BD108+BD196</f>
        <v>0</v>
      </c>
      <c r="BE284" s="89">
        <f>BE108+BE196</f>
        <v>0</v>
      </c>
      <c r="BF284" s="89">
        <f t="shared" ref="BF284" si="488">V284+AN284</f>
        <v>0</v>
      </c>
      <c r="BG284" s="89">
        <f>BG108+BG196</f>
        <v>0</v>
      </c>
      <c r="BH284" s="111">
        <f>X284+AP284</f>
        <v>0</v>
      </c>
    </row>
    <row r="285" spans="1:60">
      <c r="A285" s="51"/>
      <c r="B285" s="108"/>
      <c r="C285" s="52"/>
      <c r="D285" s="52"/>
      <c r="E285" s="52" t="s">
        <v>0</v>
      </c>
      <c r="F285" s="53" t="s">
        <v>29</v>
      </c>
      <c r="G285" s="91"/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  <c r="X285" s="91"/>
      <c r="Y285" s="91"/>
      <c r="Z285" s="91"/>
      <c r="AA285" s="91"/>
      <c r="AB285" s="91"/>
      <c r="AC285" s="91"/>
      <c r="AD285" s="91"/>
      <c r="AE285" s="91"/>
      <c r="AF285" s="91"/>
      <c r="AG285" s="91"/>
      <c r="AH285" s="91"/>
      <c r="AI285" s="91"/>
      <c r="AJ285" s="91"/>
      <c r="AK285" s="91"/>
      <c r="AL285" s="91"/>
      <c r="AM285" s="91"/>
      <c r="AN285" s="91"/>
      <c r="AO285" s="91"/>
      <c r="AP285" s="91"/>
      <c r="AQ285" s="91"/>
      <c r="AR285" s="91"/>
      <c r="AS285" s="91"/>
      <c r="AT285" s="91"/>
      <c r="AU285" s="91"/>
      <c r="AV285" s="91"/>
      <c r="AW285" s="91"/>
      <c r="AX285" s="91"/>
      <c r="AY285" s="91"/>
      <c r="AZ285" s="91"/>
      <c r="BA285" s="91"/>
      <c r="BB285" s="91"/>
      <c r="BC285" s="91"/>
      <c r="BD285" s="91"/>
      <c r="BE285" s="91"/>
      <c r="BF285" s="91"/>
      <c r="BG285" s="91"/>
      <c r="BH285" s="112"/>
    </row>
    <row r="286" spans="1:60" ht="22.5">
      <c r="A286" s="51"/>
      <c r="B286" s="108"/>
      <c r="C286" s="52" t="s">
        <v>143</v>
      </c>
      <c r="D286" s="52" t="s">
        <v>3</v>
      </c>
      <c r="E286" s="52" t="s">
        <v>0</v>
      </c>
      <c r="F286" s="54" t="s">
        <v>30</v>
      </c>
      <c r="G286" s="89">
        <f t="shared" ref="G286:W286" si="489">G110+G198</f>
        <v>0</v>
      </c>
      <c r="H286" s="89">
        <f t="shared" si="489"/>
        <v>0</v>
      </c>
      <c r="I286" s="89">
        <f t="shared" si="489"/>
        <v>0</v>
      </c>
      <c r="J286" s="89">
        <f t="shared" si="489"/>
        <v>0</v>
      </c>
      <c r="K286" s="89">
        <f t="shared" si="489"/>
        <v>0</v>
      </c>
      <c r="L286" s="89">
        <f t="shared" si="489"/>
        <v>0</v>
      </c>
      <c r="M286" s="89">
        <f t="shared" si="489"/>
        <v>0</v>
      </c>
      <c r="N286" s="89">
        <f t="shared" si="489"/>
        <v>0</v>
      </c>
      <c r="O286" s="89">
        <f t="shared" si="489"/>
        <v>0</v>
      </c>
      <c r="P286" s="89">
        <f t="shared" si="489"/>
        <v>0</v>
      </c>
      <c r="Q286" s="89">
        <f t="shared" si="489"/>
        <v>0</v>
      </c>
      <c r="R286" s="89">
        <f t="shared" si="489"/>
        <v>0</v>
      </c>
      <c r="S286" s="89">
        <f t="shared" si="489"/>
        <v>0</v>
      </c>
      <c r="T286" s="89">
        <f t="shared" si="489"/>
        <v>0</v>
      </c>
      <c r="U286" s="89">
        <f t="shared" si="489"/>
        <v>0</v>
      </c>
      <c r="V286" s="89">
        <f t="shared" si="489"/>
        <v>0</v>
      </c>
      <c r="W286" s="89">
        <f t="shared" si="489"/>
        <v>0</v>
      </c>
      <c r="X286" s="89">
        <f t="shared" ref="X286:X298" si="490">SUM(P286:W286)+SUM(G286:K286)</f>
        <v>0</v>
      </c>
      <c r="Y286" s="89">
        <f t="shared" ref="Y286:AO286" si="491">Y110+Y198</f>
        <v>0</v>
      </c>
      <c r="Z286" s="89">
        <f t="shared" si="491"/>
        <v>0</v>
      </c>
      <c r="AA286" s="89">
        <f t="shared" si="491"/>
        <v>0</v>
      </c>
      <c r="AB286" s="89">
        <f t="shared" si="491"/>
        <v>0</v>
      </c>
      <c r="AC286" s="89">
        <f t="shared" si="491"/>
        <v>0</v>
      </c>
      <c r="AD286" s="89">
        <f t="shared" si="491"/>
        <v>0</v>
      </c>
      <c r="AE286" s="89">
        <f t="shared" si="491"/>
        <v>0</v>
      </c>
      <c r="AF286" s="89">
        <f t="shared" si="491"/>
        <v>0</v>
      </c>
      <c r="AG286" s="89">
        <f t="shared" si="491"/>
        <v>0</v>
      </c>
      <c r="AH286" s="89">
        <f t="shared" si="491"/>
        <v>0</v>
      </c>
      <c r="AI286" s="89">
        <f t="shared" si="491"/>
        <v>0</v>
      </c>
      <c r="AJ286" s="89">
        <f t="shared" si="491"/>
        <v>0</v>
      </c>
      <c r="AK286" s="89">
        <f t="shared" si="491"/>
        <v>0</v>
      </c>
      <c r="AL286" s="89">
        <f t="shared" si="491"/>
        <v>0</v>
      </c>
      <c r="AM286" s="89">
        <f t="shared" si="491"/>
        <v>0</v>
      </c>
      <c r="AN286" s="89">
        <f t="shared" si="491"/>
        <v>0</v>
      </c>
      <c r="AO286" s="89">
        <f t="shared" si="491"/>
        <v>0</v>
      </c>
      <c r="AP286" s="89">
        <f t="shared" ref="AP286:AP298" si="492">SUM(AH286:AO286)+SUM(Y286:AC286)</f>
        <v>0</v>
      </c>
      <c r="AQ286" s="89">
        <f t="shared" ref="AQ286:AW294" si="493">AQ110+AQ198</f>
        <v>0</v>
      </c>
      <c r="AR286" s="89">
        <f t="shared" si="493"/>
        <v>0</v>
      </c>
      <c r="AS286" s="89">
        <f t="shared" si="493"/>
        <v>0</v>
      </c>
      <c r="AT286" s="89">
        <f t="shared" si="493"/>
        <v>0</v>
      </c>
      <c r="AU286" s="89">
        <f t="shared" si="493"/>
        <v>0</v>
      </c>
      <c r="AV286" s="89">
        <f t="shared" si="493"/>
        <v>0</v>
      </c>
      <c r="AW286" s="89">
        <f t="shared" si="493"/>
        <v>0</v>
      </c>
      <c r="AX286" s="89">
        <f t="shared" ref="AX286:AX294" si="494">N286+AF286</f>
        <v>0</v>
      </c>
      <c r="AY286" s="89">
        <f t="shared" ref="AY286:AZ294" si="495">O286+AG286</f>
        <v>0</v>
      </c>
      <c r="AZ286" s="89">
        <f t="shared" si="495"/>
        <v>0</v>
      </c>
      <c r="BA286" s="89">
        <f t="shared" ref="BA286:BE294" si="496">BA110+BA198</f>
        <v>0</v>
      </c>
      <c r="BB286" s="89">
        <f t="shared" si="496"/>
        <v>0</v>
      </c>
      <c r="BC286" s="89">
        <f t="shared" si="496"/>
        <v>0</v>
      </c>
      <c r="BD286" s="89">
        <f t="shared" si="496"/>
        <v>0</v>
      </c>
      <c r="BE286" s="89">
        <f t="shared" si="496"/>
        <v>0</v>
      </c>
      <c r="BF286" s="89">
        <f t="shared" ref="BF286:BF294" si="497">V286+AN286</f>
        <v>0</v>
      </c>
      <c r="BG286" s="89">
        <f t="shared" ref="BG286:BG294" si="498">BG110+BG198</f>
        <v>0</v>
      </c>
      <c r="BH286" s="111">
        <f t="shared" ref="BH286:BH294" si="499">X286+AP286</f>
        <v>0</v>
      </c>
    </row>
    <row r="287" spans="1:60" ht="22.5">
      <c r="A287" s="51"/>
      <c r="B287" s="108"/>
      <c r="C287" s="52" t="s">
        <v>144</v>
      </c>
      <c r="D287" s="52" t="s">
        <v>3</v>
      </c>
      <c r="E287" s="52" t="s">
        <v>0</v>
      </c>
      <c r="F287" s="54" t="s">
        <v>31</v>
      </c>
      <c r="G287" s="89">
        <f t="shared" ref="G287:W287" si="500">G111+G199</f>
        <v>0</v>
      </c>
      <c r="H287" s="89">
        <f t="shared" si="500"/>
        <v>0</v>
      </c>
      <c r="I287" s="89">
        <f t="shared" si="500"/>
        <v>0</v>
      </c>
      <c r="J287" s="89">
        <f t="shared" si="500"/>
        <v>0</v>
      </c>
      <c r="K287" s="89">
        <f t="shared" si="500"/>
        <v>0</v>
      </c>
      <c r="L287" s="89">
        <f t="shared" si="500"/>
        <v>0</v>
      </c>
      <c r="M287" s="89">
        <f t="shared" si="500"/>
        <v>0</v>
      </c>
      <c r="N287" s="89">
        <f t="shared" si="500"/>
        <v>0</v>
      </c>
      <c r="O287" s="89">
        <f t="shared" si="500"/>
        <v>0</v>
      </c>
      <c r="P287" s="89">
        <f t="shared" si="500"/>
        <v>0</v>
      </c>
      <c r="Q287" s="89">
        <f t="shared" si="500"/>
        <v>0</v>
      </c>
      <c r="R287" s="89">
        <f t="shared" si="500"/>
        <v>0</v>
      </c>
      <c r="S287" s="89">
        <f t="shared" si="500"/>
        <v>0</v>
      </c>
      <c r="T287" s="89">
        <f t="shared" si="500"/>
        <v>0</v>
      </c>
      <c r="U287" s="89">
        <f t="shared" si="500"/>
        <v>0</v>
      </c>
      <c r="V287" s="89">
        <f t="shared" si="500"/>
        <v>0</v>
      </c>
      <c r="W287" s="89">
        <f t="shared" si="500"/>
        <v>0</v>
      </c>
      <c r="X287" s="89">
        <f t="shared" si="490"/>
        <v>0</v>
      </c>
      <c r="Y287" s="89">
        <f t="shared" ref="Y287:AO287" si="501">Y111+Y199</f>
        <v>0</v>
      </c>
      <c r="Z287" s="89">
        <f t="shared" si="501"/>
        <v>0</v>
      </c>
      <c r="AA287" s="89">
        <f t="shared" si="501"/>
        <v>0</v>
      </c>
      <c r="AB287" s="89">
        <f t="shared" si="501"/>
        <v>0</v>
      </c>
      <c r="AC287" s="89">
        <f t="shared" si="501"/>
        <v>0</v>
      </c>
      <c r="AD287" s="89">
        <f t="shared" si="501"/>
        <v>0</v>
      </c>
      <c r="AE287" s="89">
        <f t="shared" si="501"/>
        <v>0</v>
      </c>
      <c r="AF287" s="89">
        <f t="shared" si="501"/>
        <v>0</v>
      </c>
      <c r="AG287" s="89">
        <f t="shared" si="501"/>
        <v>0</v>
      </c>
      <c r="AH287" s="89">
        <f t="shared" si="501"/>
        <v>0</v>
      </c>
      <c r="AI287" s="89">
        <f t="shared" si="501"/>
        <v>0</v>
      </c>
      <c r="AJ287" s="89">
        <f t="shared" si="501"/>
        <v>0</v>
      </c>
      <c r="AK287" s="89">
        <f t="shared" si="501"/>
        <v>0</v>
      </c>
      <c r="AL287" s="89">
        <f t="shared" si="501"/>
        <v>0</v>
      </c>
      <c r="AM287" s="89">
        <f t="shared" si="501"/>
        <v>0</v>
      </c>
      <c r="AN287" s="89">
        <f t="shared" si="501"/>
        <v>0</v>
      </c>
      <c r="AO287" s="89">
        <f t="shared" si="501"/>
        <v>0</v>
      </c>
      <c r="AP287" s="89">
        <f t="shared" si="492"/>
        <v>0</v>
      </c>
      <c r="AQ287" s="89">
        <f t="shared" si="493"/>
        <v>0</v>
      </c>
      <c r="AR287" s="89">
        <f t="shared" si="493"/>
        <v>0</v>
      </c>
      <c r="AS287" s="89">
        <f t="shared" si="493"/>
        <v>0</v>
      </c>
      <c r="AT287" s="89">
        <f t="shared" si="493"/>
        <v>0</v>
      </c>
      <c r="AU287" s="89">
        <f t="shared" si="493"/>
        <v>0</v>
      </c>
      <c r="AV287" s="89">
        <f t="shared" si="493"/>
        <v>0</v>
      </c>
      <c r="AW287" s="89">
        <f t="shared" si="493"/>
        <v>0</v>
      </c>
      <c r="AX287" s="89">
        <f t="shared" si="494"/>
        <v>0</v>
      </c>
      <c r="AY287" s="89">
        <f t="shared" si="495"/>
        <v>0</v>
      </c>
      <c r="AZ287" s="89">
        <f t="shared" si="495"/>
        <v>0</v>
      </c>
      <c r="BA287" s="89">
        <f t="shared" si="496"/>
        <v>0</v>
      </c>
      <c r="BB287" s="89">
        <f t="shared" si="496"/>
        <v>0</v>
      </c>
      <c r="BC287" s="89">
        <f t="shared" si="496"/>
        <v>0</v>
      </c>
      <c r="BD287" s="89">
        <f t="shared" si="496"/>
        <v>0</v>
      </c>
      <c r="BE287" s="89">
        <f t="shared" si="496"/>
        <v>0</v>
      </c>
      <c r="BF287" s="89">
        <f t="shared" si="497"/>
        <v>0</v>
      </c>
      <c r="BG287" s="89">
        <f t="shared" si="498"/>
        <v>0</v>
      </c>
      <c r="BH287" s="111">
        <f t="shared" si="499"/>
        <v>0</v>
      </c>
    </row>
    <row r="288" spans="1:60" ht="22.5">
      <c r="A288" s="51"/>
      <c r="B288" s="108"/>
      <c r="C288" s="52" t="s">
        <v>145</v>
      </c>
      <c r="D288" s="52" t="s">
        <v>3</v>
      </c>
      <c r="E288" s="52" t="s">
        <v>0</v>
      </c>
      <c r="F288" s="54" t="s">
        <v>32</v>
      </c>
      <c r="G288" s="89">
        <f t="shared" ref="G288:W288" si="502">G112+G200</f>
        <v>0</v>
      </c>
      <c r="H288" s="89">
        <f t="shared" si="502"/>
        <v>0</v>
      </c>
      <c r="I288" s="89">
        <f t="shared" si="502"/>
        <v>0</v>
      </c>
      <c r="J288" s="89">
        <f t="shared" si="502"/>
        <v>0</v>
      </c>
      <c r="K288" s="89">
        <f t="shared" si="502"/>
        <v>0</v>
      </c>
      <c r="L288" s="89">
        <f t="shared" si="502"/>
        <v>0</v>
      </c>
      <c r="M288" s="89">
        <f t="shared" si="502"/>
        <v>0</v>
      </c>
      <c r="N288" s="89">
        <f t="shared" si="502"/>
        <v>0</v>
      </c>
      <c r="O288" s="89">
        <f t="shared" si="502"/>
        <v>0</v>
      </c>
      <c r="P288" s="89">
        <f t="shared" si="502"/>
        <v>0</v>
      </c>
      <c r="Q288" s="89">
        <f t="shared" si="502"/>
        <v>0</v>
      </c>
      <c r="R288" s="89">
        <f t="shared" si="502"/>
        <v>0</v>
      </c>
      <c r="S288" s="89">
        <f t="shared" si="502"/>
        <v>0</v>
      </c>
      <c r="T288" s="89">
        <f t="shared" si="502"/>
        <v>0</v>
      </c>
      <c r="U288" s="89">
        <f t="shared" si="502"/>
        <v>0</v>
      </c>
      <c r="V288" s="89">
        <f t="shared" si="502"/>
        <v>0</v>
      </c>
      <c r="W288" s="89">
        <f t="shared" si="502"/>
        <v>0</v>
      </c>
      <c r="X288" s="89">
        <f t="shared" si="490"/>
        <v>0</v>
      </c>
      <c r="Y288" s="89">
        <f t="shared" ref="Y288:AO288" si="503">Y112+Y200</f>
        <v>0</v>
      </c>
      <c r="Z288" s="89">
        <f t="shared" si="503"/>
        <v>0</v>
      </c>
      <c r="AA288" s="89">
        <f t="shared" si="503"/>
        <v>0</v>
      </c>
      <c r="AB288" s="89">
        <f t="shared" si="503"/>
        <v>0</v>
      </c>
      <c r="AC288" s="89">
        <f t="shared" si="503"/>
        <v>0</v>
      </c>
      <c r="AD288" s="89">
        <f t="shared" si="503"/>
        <v>0</v>
      </c>
      <c r="AE288" s="89">
        <f t="shared" si="503"/>
        <v>0</v>
      </c>
      <c r="AF288" s="89">
        <f t="shared" si="503"/>
        <v>0</v>
      </c>
      <c r="AG288" s="89">
        <f t="shared" si="503"/>
        <v>0</v>
      </c>
      <c r="AH288" s="89">
        <f t="shared" si="503"/>
        <v>0</v>
      </c>
      <c r="AI288" s="89">
        <f t="shared" si="503"/>
        <v>0</v>
      </c>
      <c r="AJ288" s="89">
        <f t="shared" si="503"/>
        <v>0</v>
      </c>
      <c r="AK288" s="89">
        <f t="shared" si="503"/>
        <v>0</v>
      </c>
      <c r="AL288" s="89">
        <f t="shared" si="503"/>
        <v>0</v>
      </c>
      <c r="AM288" s="89">
        <f t="shared" si="503"/>
        <v>0</v>
      </c>
      <c r="AN288" s="89">
        <f t="shared" si="503"/>
        <v>0</v>
      </c>
      <c r="AO288" s="89">
        <f t="shared" si="503"/>
        <v>0</v>
      </c>
      <c r="AP288" s="89">
        <f t="shared" si="492"/>
        <v>0</v>
      </c>
      <c r="AQ288" s="89">
        <f t="shared" si="493"/>
        <v>0</v>
      </c>
      <c r="AR288" s="89">
        <f t="shared" si="493"/>
        <v>0</v>
      </c>
      <c r="AS288" s="89">
        <f t="shared" si="493"/>
        <v>0</v>
      </c>
      <c r="AT288" s="89">
        <f t="shared" si="493"/>
        <v>0</v>
      </c>
      <c r="AU288" s="89">
        <f t="shared" si="493"/>
        <v>0</v>
      </c>
      <c r="AV288" s="89">
        <f t="shared" si="493"/>
        <v>0</v>
      </c>
      <c r="AW288" s="89">
        <f t="shared" si="493"/>
        <v>0</v>
      </c>
      <c r="AX288" s="89">
        <f t="shared" si="494"/>
        <v>0</v>
      </c>
      <c r="AY288" s="89">
        <f t="shared" si="495"/>
        <v>0</v>
      </c>
      <c r="AZ288" s="89">
        <f t="shared" si="495"/>
        <v>0</v>
      </c>
      <c r="BA288" s="89">
        <f t="shared" si="496"/>
        <v>0</v>
      </c>
      <c r="BB288" s="89">
        <f t="shared" si="496"/>
        <v>0</v>
      </c>
      <c r="BC288" s="89">
        <f t="shared" si="496"/>
        <v>0</v>
      </c>
      <c r="BD288" s="89">
        <f t="shared" si="496"/>
        <v>0</v>
      </c>
      <c r="BE288" s="89">
        <f t="shared" si="496"/>
        <v>0</v>
      </c>
      <c r="BF288" s="89">
        <f t="shared" si="497"/>
        <v>0</v>
      </c>
      <c r="BG288" s="89">
        <f t="shared" si="498"/>
        <v>0</v>
      </c>
      <c r="BH288" s="111">
        <f t="shared" si="499"/>
        <v>0</v>
      </c>
    </row>
    <row r="289" spans="1:60">
      <c r="A289" s="51"/>
      <c r="B289" s="108"/>
      <c r="C289" s="52" t="s">
        <v>146</v>
      </c>
      <c r="D289" s="52" t="s">
        <v>3</v>
      </c>
      <c r="E289" s="52" t="s">
        <v>0</v>
      </c>
      <c r="F289" s="54" t="s">
        <v>33</v>
      </c>
      <c r="G289" s="89">
        <f t="shared" ref="G289:W289" si="504">G113+G201</f>
        <v>0</v>
      </c>
      <c r="H289" s="89">
        <f t="shared" si="504"/>
        <v>0</v>
      </c>
      <c r="I289" s="89">
        <f t="shared" si="504"/>
        <v>0</v>
      </c>
      <c r="J289" s="89">
        <f t="shared" si="504"/>
        <v>0</v>
      </c>
      <c r="K289" s="89">
        <f t="shared" si="504"/>
        <v>0</v>
      </c>
      <c r="L289" s="89">
        <f t="shared" si="504"/>
        <v>0</v>
      </c>
      <c r="M289" s="89">
        <f t="shared" si="504"/>
        <v>0</v>
      </c>
      <c r="N289" s="89">
        <f t="shared" si="504"/>
        <v>0</v>
      </c>
      <c r="O289" s="89">
        <f t="shared" si="504"/>
        <v>0</v>
      </c>
      <c r="P289" s="89">
        <f t="shared" si="504"/>
        <v>0</v>
      </c>
      <c r="Q289" s="89">
        <f t="shared" si="504"/>
        <v>0</v>
      </c>
      <c r="R289" s="89">
        <f t="shared" si="504"/>
        <v>0</v>
      </c>
      <c r="S289" s="89">
        <f t="shared" si="504"/>
        <v>0</v>
      </c>
      <c r="T289" s="89">
        <f t="shared" si="504"/>
        <v>0</v>
      </c>
      <c r="U289" s="89">
        <f t="shared" si="504"/>
        <v>0</v>
      </c>
      <c r="V289" s="89">
        <f t="shared" si="504"/>
        <v>0</v>
      </c>
      <c r="W289" s="89">
        <f t="shared" si="504"/>
        <v>0</v>
      </c>
      <c r="X289" s="89">
        <f t="shared" si="490"/>
        <v>0</v>
      </c>
      <c r="Y289" s="89">
        <f t="shared" ref="Y289:AO289" si="505">Y113+Y201</f>
        <v>0</v>
      </c>
      <c r="Z289" s="89">
        <f t="shared" si="505"/>
        <v>0</v>
      </c>
      <c r="AA289" s="89">
        <f t="shared" si="505"/>
        <v>0</v>
      </c>
      <c r="AB289" s="89">
        <f t="shared" si="505"/>
        <v>0</v>
      </c>
      <c r="AC289" s="89">
        <f t="shared" si="505"/>
        <v>0</v>
      </c>
      <c r="AD289" s="89">
        <f t="shared" si="505"/>
        <v>0</v>
      </c>
      <c r="AE289" s="89">
        <f t="shared" si="505"/>
        <v>0</v>
      </c>
      <c r="AF289" s="89">
        <f t="shared" si="505"/>
        <v>0</v>
      </c>
      <c r="AG289" s="89">
        <f t="shared" si="505"/>
        <v>0</v>
      </c>
      <c r="AH289" s="89">
        <f t="shared" si="505"/>
        <v>0</v>
      </c>
      <c r="AI289" s="89">
        <f t="shared" si="505"/>
        <v>0</v>
      </c>
      <c r="AJ289" s="89">
        <f t="shared" si="505"/>
        <v>0</v>
      </c>
      <c r="AK289" s="89">
        <f t="shared" si="505"/>
        <v>0</v>
      </c>
      <c r="AL289" s="89">
        <f t="shared" si="505"/>
        <v>0</v>
      </c>
      <c r="AM289" s="89">
        <f t="shared" si="505"/>
        <v>0</v>
      </c>
      <c r="AN289" s="89">
        <f t="shared" si="505"/>
        <v>0</v>
      </c>
      <c r="AO289" s="89">
        <f t="shared" si="505"/>
        <v>0</v>
      </c>
      <c r="AP289" s="89">
        <f t="shared" si="492"/>
        <v>0</v>
      </c>
      <c r="AQ289" s="89">
        <f t="shared" si="493"/>
        <v>0</v>
      </c>
      <c r="AR289" s="89">
        <f t="shared" si="493"/>
        <v>0</v>
      </c>
      <c r="AS289" s="89">
        <f t="shared" si="493"/>
        <v>0</v>
      </c>
      <c r="AT289" s="89">
        <f t="shared" si="493"/>
        <v>0</v>
      </c>
      <c r="AU289" s="89">
        <f t="shared" si="493"/>
        <v>0</v>
      </c>
      <c r="AV289" s="89">
        <f t="shared" si="493"/>
        <v>0</v>
      </c>
      <c r="AW289" s="89">
        <f t="shared" si="493"/>
        <v>0</v>
      </c>
      <c r="AX289" s="89">
        <f t="shared" si="494"/>
        <v>0</v>
      </c>
      <c r="AY289" s="89">
        <f t="shared" si="495"/>
        <v>0</v>
      </c>
      <c r="AZ289" s="89">
        <f t="shared" si="495"/>
        <v>0</v>
      </c>
      <c r="BA289" s="89">
        <f t="shared" si="496"/>
        <v>0</v>
      </c>
      <c r="BB289" s="89">
        <f t="shared" si="496"/>
        <v>0</v>
      </c>
      <c r="BC289" s="89">
        <f t="shared" si="496"/>
        <v>0</v>
      </c>
      <c r="BD289" s="89">
        <f t="shared" si="496"/>
        <v>0</v>
      </c>
      <c r="BE289" s="89">
        <f t="shared" si="496"/>
        <v>0</v>
      </c>
      <c r="BF289" s="89">
        <f t="shared" si="497"/>
        <v>0</v>
      </c>
      <c r="BG289" s="89">
        <f t="shared" si="498"/>
        <v>0</v>
      </c>
      <c r="BH289" s="111">
        <f t="shared" si="499"/>
        <v>0</v>
      </c>
    </row>
    <row r="290" spans="1:60" ht="22.5">
      <c r="A290" s="51"/>
      <c r="B290" s="108"/>
      <c r="C290" s="52" t="s">
        <v>147</v>
      </c>
      <c r="D290" s="52" t="s">
        <v>3</v>
      </c>
      <c r="E290" s="52" t="s">
        <v>0</v>
      </c>
      <c r="F290" s="54" t="s">
        <v>34</v>
      </c>
      <c r="G290" s="89">
        <f t="shared" ref="G290:W290" si="506">G114+G202</f>
        <v>0</v>
      </c>
      <c r="H290" s="89">
        <f t="shared" si="506"/>
        <v>0</v>
      </c>
      <c r="I290" s="89">
        <f t="shared" si="506"/>
        <v>0</v>
      </c>
      <c r="J290" s="89">
        <f t="shared" si="506"/>
        <v>0</v>
      </c>
      <c r="K290" s="89">
        <f t="shared" si="506"/>
        <v>0</v>
      </c>
      <c r="L290" s="89">
        <f t="shared" si="506"/>
        <v>0</v>
      </c>
      <c r="M290" s="89">
        <f t="shared" si="506"/>
        <v>0</v>
      </c>
      <c r="N290" s="89">
        <f t="shared" si="506"/>
        <v>0</v>
      </c>
      <c r="O290" s="89">
        <f t="shared" si="506"/>
        <v>0</v>
      </c>
      <c r="P290" s="89">
        <f t="shared" si="506"/>
        <v>0</v>
      </c>
      <c r="Q290" s="89">
        <f t="shared" si="506"/>
        <v>0</v>
      </c>
      <c r="R290" s="89">
        <f t="shared" si="506"/>
        <v>0</v>
      </c>
      <c r="S290" s="89">
        <f t="shared" si="506"/>
        <v>0</v>
      </c>
      <c r="T290" s="89">
        <f t="shared" si="506"/>
        <v>0</v>
      </c>
      <c r="U290" s="89">
        <f t="shared" si="506"/>
        <v>0</v>
      </c>
      <c r="V290" s="89">
        <f t="shared" si="506"/>
        <v>0</v>
      </c>
      <c r="W290" s="89">
        <f t="shared" si="506"/>
        <v>0</v>
      </c>
      <c r="X290" s="89">
        <f t="shared" si="490"/>
        <v>0</v>
      </c>
      <c r="Y290" s="89">
        <f t="shared" ref="Y290:AO290" si="507">Y114+Y202</f>
        <v>0</v>
      </c>
      <c r="Z290" s="89">
        <f t="shared" si="507"/>
        <v>0</v>
      </c>
      <c r="AA290" s="89">
        <f t="shared" si="507"/>
        <v>0</v>
      </c>
      <c r="AB290" s="89">
        <f t="shared" si="507"/>
        <v>0</v>
      </c>
      <c r="AC290" s="89">
        <f t="shared" si="507"/>
        <v>0</v>
      </c>
      <c r="AD290" s="89">
        <f t="shared" si="507"/>
        <v>0</v>
      </c>
      <c r="AE290" s="89">
        <f t="shared" si="507"/>
        <v>0</v>
      </c>
      <c r="AF290" s="89">
        <f t="shared" si="507"/>
        <v>0</v>
      </c>
      <c r="AG290" s="89">
        <f t="shared" si="507"/>
        <v>0</v>
      </c>
      <c r="AH290" s="89">
        <f t="shared" si="507"/>
        <v>0</v>
      </c>
      <c r="AI290" s="89">
        <f t="shared" si="507"/>
        <v>0</v>
      </c>
      <c r="AJ290" s="89">
        <f t="shared" si="507"/>
        <v>0</v>
      </c>
      <c r="AK290" s="89">
        <f t="shared" si="507"/>
        <v>0</v>
      </c>
      <c r="AL290" s="89">
        <f t="shared" si="507"/>
        <v>0</v>
      </c>
      <c r="AM290" s="89">
        <f t="shared" si="507"/>
        <v>0</v>
      </c>
      <c r="AN290" s="89">
        <f t="shared" si="507"/>
        <v>0</v>
      </c>
      <c r="AO290" s="89">
        <f t="shared" si="507"/>
        <v>0</v>
      </c>
      <c r="AP290" s="89">
        <f t="shared" si="492"/>
        <v>0</v>
      </c>
      <c r="AQ290" s="89">
        <f t="shared" si="493"/>
        <v>0</v>
      </c>
      <c r="AR290" s="89">
        <f t="shared" si="493"/>
        <v>0</v>
      </c>
      <c r="AS290" s="89">
        <f t="shared" si="493"/>
        <v>0</v>
      </c>
      <c r="AT290" s="89">
        <f t="shared" si="493"/>
        <v>0</v>
      </c>
      <c r="AU290" s="89">
        <f t="shared" si="493"/>
        <v>0</v>
      </c>
      <c r="AV290" s="89">
        <f t="shared" si="493"/>
        <v>0</v>
      </c>
      <c r="AW290" s="89">
        <f t="shared" si="493"/>
        <v>0</v>
      </c>
      <c r="AX290" s="89">
        <f t="shared" si="494"/>
        <v>0</v>
      </c>
      <c r="AY290" s="89">
        <f t="shared" si="495"/>
        <v>0</v>
      </c>
      <c r="AZ290" s="89">
        <f t="shared" si="495"/>
        <v>0</v>
      </c>
      <c r="BA290" s="89">
        <f t="shared" si="496"/>
        <v>0</v>
      </c>
      <c r="BB290" s="89">
        <f t="shared" si="496"/>
        <v>0</v>
      </c>
      <c r="BC290" s="89">
        <f t="shared" si="496"/>
        <v>0</v>
      </c>
      <c r="BD290" s="89">
        <f t="shared" si="496"/>
        <v>0</v>
      </c>
      <c r="BE290" s="89">
        <f t="shared" si="496"/>
        <v>0</v>
      </c>
      <c r="BF290" s="89">
        <f t="shared" si="497"/>
        <v>0</v>
      </c>
      <c r="BG290" s="89">
        <f t="shared" si="498"/>
        <v>0</v>
      </c>
      <c r="BH290" s="111">
        <f t="shared" si="499"/>
        <v>0</v>
      </c>
    </row>
    <row r="291" spans="1:60" ht="22.5">
      <c r="A291" s="51"/>
      <c r="B291" s="108"/>
      <c r="C291" s="52" t="s">
        <v>148</v>
      </c>
      <c r="D291" s="52" t="s">
        <v>3</v>
      </c>
      <c r="E291" s="52" t="s">
        <v>0</v>
      </c>
      <c r="F291" s="54" t="s">
        <v>35</v>
      </c>
      <c r="G291" s="89">
        <f t="shared" ref="G291:W291" si="508">G115+G203</f>
        <v>0</v>
      </c>
      <c r="H291" s="89">
        <f t="shared" si="508"/>
        <v>0</v>
      </c>
      <c r="I291" s="89">
        <f t="shared" si="508"/>
        <v>0</v>
      </c>
      <c r="J291" s="89">
        <f t="shared" si="508"/>
        <v>0</v>
      </c>
      <c r="K291" s="89">
        <f t="shared" si="508"/>
        <v>0</v>
      </c>
      <c r="L291" s="89">
        <f t="shared" si="508"/>
        <v>0</v>
      </c>
      <c r="M291" s="89">
        <f t="shared" si="508"/>
        <v>0</v>
      </c>
      <c r="N291" s="89">
        <f t="shared" si="508"/>
        <v>0</v>
      </c>
      <c r="O291" s="89">
        <f t="shared" si="508"/>
        <v>0</v>
      </c>
      <c r="P291" s="89">
        <f t="shared" si="508"/>
        <v>0</v>
      </c>
      <c r="Q291" s="89">
        <f t="shared" si="508"/>
        <v>0</v>
      </c>
      <c r="R291" s="89">
        <f t="shared" si="508"/>
        <v>0</v>
      </c>
      <c r="S291" s="89">
        <f t="shared" si="508"/>
        <v>0</v>
      </c>
      <c r="T291" s="89">
        <f t="shared" si="508"/>
        <v>0</v>
      </c>
      <c r="U291" s="89">
        <f t="shared" si="508"/>
        <v>0</v>
      </c>
      <c r="V291" s="89">
        <f t="shared" si="508"/>
        <v>0</v>
      </c>
      <c r="W291" s="89">
        <f t="shared" si="508"/>
        <v>0</v>
      </c>
      <c r="X291" s="89">
        <f t="shared" si="490"/>
        <v>0</v>
      </c>
      <c r="Y291" s="89">
        <f t="shared" ref="Y291:AO291" si="509">Y115+Y203</f>
        <v>0</v>
      </c>
      <c r="Z291" s="89">
        <f t="shared" si="509"/>
        <v>0</v>
      </c>
      <c r="AA291" s="89">
        <f t="shared" si="509"/>
        <v>0</v>
      </c>
      <c r="AB291" s="89">
        <f t="shared" si="509"/>
        <v>0</v>
      </c>
      <c r="AC291" s="89">
        <f t="shared" si="509"/>
        <v>0</v>
      </c>
      <c r="AD291" s="89">
        <f t="shared" si="509"/>
        <v>0</v>
      </c>
      <c r="AE291" s="89">
        <f t="shared" si="509"/>
        <v>0</v>
      </c>
      <c r="AF291" s="89">
        <f t="shared" si="509"/>
        <v>0</v>
      </c>
      <c r="AG291" s="89">
        <f t="shared" si="509"/>
        <v>0</v>
      </c>
      <c r="AH291" s="89">
        <f t="shared" si="509"/>
        <v>0</v>
      </c>
      <c r="AI291" s="89">
        <f t="shared" si="509"/>
        <v>0</v>
      </c>
      <c r="AJ291" s="89">
        <f t="shared" si="509"/>
        <v>0</v>
      </c>
      <c r="AK291" s="89">
        <f t="shared" si="509"/>
        <v>0</v>
      </c>
      <c r="AL291" s="89">
        <f t="shared" si="509"/>
        <v>0</v>
      </c>
      <c r="AM291" s="89">
        <f t="shared" si="509"/>
        <v>0</v>
      </c>
      <c r="AN291" s="89">
        <f t="shared" si="509"/>
        <v>0</v>
      </c>
      <c r="AO291" s="89">
        <f t="shared" si="509"/>
        <v>0</v>
      </c>
      <c r="AP291" s="89">
        <f t="shared" si="492"/>
        <v>0</v>
      </c>
      <c r="AQ291" s="89">
        <f t="shared" si="493"/>
        <v>0</v>
      </c>
      <c r="AR291" s="89">
        <f t="shared" si="493"/>
        <v>0</v>
      </c>
      <c r="AS291" s="89">
        <f t="shared" si="493"/>
        <v>0</v>
      </c>
      <c r="AT291" s="89">
        <f t="shared" si="493"/>
        <v>0</v>
      </c>
      <c r="AU291" s="89">
        <f t="shared" si="493"/>
        <v>0</v>
      </c>
      <c r="AV291" s="89">
        <f t="shared" si="493"/>
        <v>0</v>
      </c>
      <c r="AW291" s="89">
        <f t="shared" si="493"/>
        <v>0</v>
      </c>
      <c r="AX291" s="89">
        <f t="shared" si="494"/>
        <v>0</v>
      </c>
      <c r="AY291" s="89">
        <f t="shared" si="495"/>
        <v>0</v>
      </c>
      <c r="AZ291" s="89">
        <f t="shared" si="495"/>
        <v>0</v>
      </c>
      <c r="BA291" s="89">
        <f t="shared" si="496"/>
        <v>0</v>
      </c>
      <c r="BB291" s="89">
        <f t="shared" si="496"/>
        <v>0</v>
      </c>
      <c r="BC291" s="89">
        <f t="shared" si="496"/>
        <v>0</v>
      </c>
      <c r="BD291" s="89">
        <f t="shared" si="496"/>
        <v>0</v>
      </c>
      <c r="BE291" s="89">
        <f t="shared" si="496"/>
        <v>0</v>
      </c>
      <c r="BF291" s="89">
        <f t="shared" si="497"/>
        <v>0</v>
      </c>
      <c r="BG291" s="89">
        <f t="shared" si="498"/>
        <v>0</v>
      </c>
      <c r="BH291" s="111">
        <f t="shared" si="499"/>
        <v>0</v>
      </c>
    </row>
    <row r="292" spans="1:60" ht="22.5">
      <c r="A292" s="51"/>
      <c r="B292" s="108"/>
      <c r="C292" s="52" t="s">
        <v>149</v>
      </c>
      <c r="D292" s="52" t="s">
        <v>3</v>
      </c>
      <c r="E292" s="52" t="s">
        <v>0</v>
      </c>
      <c r="F292" s="54" t="s">
        <v>36</v>
      </c>
      <c r="G292" s="89">
        <f t="shared" ref="G292:W292" si="510">G116+G204</f>
        <v>0</v>
      </c>
      <c r="H292" s="89">
        <f t="shared" si="510"/>
        <v>0</v>
      </c>
      <c r="I292" s="89">
        <f t="shared" si="510"/>
        <v>0</v>
      </c>
      <c r="J292" s="89">
        <f t="shared" si="510"/>
        <v>0</v>
      </c>
      <c r="K292" s="89">
        <f t="shared" si="510"/>
        <v>0</v>
      </c>
      <c r="L292" s="89">
        <f t="shared" si="510"/>
        <v>0</v>
      </c>
      <c r="M292" s="89">
        <f t="shared" si="510"/>
        <v>0</v>
      </c>
      <c r="N292" s="89">
        <f t="shared" si="510"/>
        <v>0</v>
      </c>
      <c r="O292" s="89">
        <f t="shared" si="510"/>
        <v>0</v>
      </c>
      <c r="P292" s="89">
        <f t="shared" si="510"/>
        <v>0</v>
      </c>
      <c r="Q292" s="89">
        <f t="shared" si="510"/>
        <v>0</v>
      </c>
      <c r="R292" s="89">
        <f t="shared" si="510"/>
        <v>0</v>
      </c>
      <c r="S292" s="89">
        <f t="shared" si="510"/>
        <v>0</v>
      </c>
      <c r="T292" s="89">
        <f t="shared" si="510"/>
        <v>0</v>
      </c>
      <c r="U292" s="89">
        <f t="shared" si="510"/>
        <v>0</v>
      </c>
      <c r="V292" s="89">
        <f t="shared" si="510"/>
        <v>0</v>
      </c>
      <c r="W292" s="89">
        <f t="shared" si="510"/>
        <v>0</v>
      </c>
      <c r="X292" s="89">
        <f t="shared" si="490"/>
        <v>0</v>
      </c>
      <c r="Y292" s="89">
        <f t="shared" ref="Y292:AO292" si="511">Y116+Y204</f>
        <v>0</v>
      </c>
      <c r="Z292" s="89">
        <f t="shared" si="511"/>
        <v>0</v>
      </c>
      <c r="AA292" s="89">
        <f t="shared" si="511"/>
        <v>0</v>
      </c>
      <c r="AB292" s="89">
        <f t="shared" si="511"/>
        <v>0</v>
      </c>
      <c r="AC292" s="89">
        <f t="shared" si="511"/>
        <v>0</v>
      </c>
      <c r="AD292" s="89">
        <f t="shared" si="511"/>
        <v>0</v>
      </c>
      <c r="AE292" s="89">
        <f t="shared" si="511"/>
        <v>0</v>
      </c>
      <c r="AF292" s="89">
        <f t="shared" si="511"/>
        <v>0</v>
      </c>
      <c r="AG292" s="89">
        <f t="shared" si="511"/>
        <v>0</v>
      </c>
      <c r="AH292" s="89">
        <f t="shared" si="511"/>
        <v>0</v>
      </c>
      <c r="AI292" s="89">
        <f t="shared" si="511"/>
        <v>0</v>
      </c>
      <c r="AJ292" s="89">
        <f t="shared" si="511"/>
        <v>0</v>
      </c>
      <c r="AK292" s="89">
        <f t="shared" si="511"/>
        <v>0</v>
      </c>
      <c r="AL292" s="89">
        <f t="shared" si="511"/>
        <v>0</v>
      </c>
      <c r="AM292" s="89">
        <f t="shared" si="511"/>
        <v>0</v>
      </c>
      <c r="AN292" s="89">
        <f t="shared" si="511"/>
        <v>0</v>
      </c>
      <c r="AO292" s="89">
        <f t="shared" si="511"/>
        <v>0</v>
      </c>
      <c r="AP292" s="89">
        <f t="shared" si="492"/>
        <v>0</v>
      </c>
      <c r="AQ292" s="89">
        <f t="shared" si="493"/>
        <v>0</v>
      </c>
      <c r="AR292" s="89">
        <f t="shared" si="493"/>
        <v>0</v>
      </c>
      <c r="AS292" s="89">
        <f t="shared" si="493"/>
        <v>0</v>
      </c>
      <c r="AT292" s="89">
        <f t="shared" si="493"/>
        <v>0</v>
      </c>
      <c r="AU292" s="89">
        <f t="shared" si="493"/>
        <v>0</v>
      </c>
      <c r="AV292" s="89">
        <f t="shared" si="493"/>
        <v>0</v>
      </c>
      <c r="AW292" s="89">
        <f t="shared" si="493"/>
        <v>0</v>
      </c>
      <c r="AX292" s="89">
        <f t="shared" si="494"/>
        <v>0</v>
      </c>
      <c r="AY292" s="89">
        <f t="shared" si="495"/>
        <v>0</v>
      </c>
      <c r="AZ292" s="89">
        <f t="shared" si="495"/>
        <v>0</v>
      </c>
      <c r="BA292" s="89">
        <f t="shared" si="496"/>
        <v>0</v>
      </c>
      <c r="BB292" s="89">
        <f t="shared" si="496"/>
        <v>0</v>
      </c>
      <c r="BC292" s="89">
        <f t="shared" si="496"/>
        <v>0</v>
      </c>
      <c r="BD292" s="89">
        <f t="shared" si="496"/>
        <v>0</v>
      </c>
      <c r="BE292" s="89">
        <f t="shared" si="496"/>
        <v>0</v>
      </c>
      <c r="BF292" s="89">
        <f t="shared" si="497"/>
        <v>0</v>
      </c>
      <c r="BG292" s="89">
        <f t="shared" si="498"/>
        <v>0</v>
      </c>
      <c r="BH292" s="111">
        <f t="shared" si="499"/>
        <v>0</v>
      </c>
    </row>
    <row r="293" spans="1:60" ht="22.5">
      <c r="A293" s="51"/>
      <c r="B293" s="108"/>
      <c r="C293" s="52" t="s">
        <v>150</v>
      </c>
      <c r="D293" s="52" t="s">
        <v>3</v>
      </c>
      <c r="E293" s="52" t="s">
        <v>0</v>
      </c>
      <c r="F293" s="54" t="s">
        <v>37</v>
      </c>
      <c r="G293" s="89">
        <f t="shared" ref="G293:W293" si="512">G117+G205</f>
        <v>0</v>
      </c>
      <c r="H293" s="89">
        <f t="shared" si="512"/>
        <v>0</v>
      </c>
      <c r="I293" s="89">
        <f t="shared" si="512"/>
        <v>0</v>
      </c>
      <c r="J293" s="89">
        <f t="shared" si="512"/>
        <v>0</v>
      </c>
      <c r="K293" s="89">
        <f t="shared" si="512"/>
        <v>0</v>
      </c>
      <c r="L293" s="89">
        <f t="shared" si="512"/>
        <v>0</v>
      </c>
      <c r="M293" s="89">
        <f t="shared" si="512"/>
        <v>0</v>
      </c>
      <c r="N293" s="89">
        <f t="shared" si="512"/>
        <v>0</v>
      </c>
      <c r="O293" s="89">
        <f t="shared" si="512"/>
        <v>0</v>
      </c>
      <c r="P293" s="89">
        <f t="shared" si="512"/>
        <v>0</v>
      </c>
      <c r="Q293" s="89">
        <f t="shared" si="512"/>
        <v>0</v>
      </c>
      <c r="R293" s="89">
        <f t="shared" si="512"/>
        <v>0</v>
      </c>
      <c r="S293" s="89">
        <f t="shared" si="512"/>
        <v>0</v>
      </c>
      <c r="T293" s="89">
        <f t="shared" si="512"/>
        <v>0</v>
      </c>
      <c r="U293" s="89">
        <f t="shared" si="512"/>
        <v>0</v>
      </c>
      <c r="V293" s="89">
        <f t="shared" si="512"/>
        <v>0</v>
      </c>
      <c r="W293" s="89">
        <f t="shared" si="512"/>
        <v>0</v>
      </c>
      <c r="X293" s="89">
        <f t="shared" si="490"/>
        <v>0</v>
      </c>
      <c r="Y293" s="89">
        <f t="shared" ref="Y293:AO293" si="513">Y117+Y205</f>
        <v>0</v>
      </c>
      <c r="Z293" s="89">
        <f t="shared" si="513"/>
        <v>0</v>
      </c>
      <c r="AA293" s="89">
        <f t="shared" si="513"/>
        <v>0</v>
      </c>
      <c r="AB293" s="89">
        <f t="shared" si="513"/>
        <v>0</v>
      </c>
      <c r="AC293" s="89">
        <f t="shared" si="513"/>
        <v>0</v>
      </c>
      <c r="AD293" s="89">
        <f t="shared" si="513"/>
        <v>0</v>
      </c>
      <c r="AE293" s="89">
        <f t="shared" si="513"/>
        <v>0</v>
      </c>
      <c r="AF293" s="89">
        <f t="shared" si="513"/>
        <v>0</v>
      </c>
      <c r="AG293" s="89">
        <f t="shared" si="513"/>
        <v>0</v>
      </c>
      <c r="AH293" s="89">
        <f t="shared" si="513"/>
        <v>0</v>
      </c>
      <c r="AI293" s="89">
        <f t="shared" si="513"/>
        <v>0</v>
      </c>
      <c r="AJ293" s="89">
        <f t="shared" si="513"/>
        <v>0</v>
      </c>
      <c r="AK293" s="89">
        <f t="shared" si="513"/>
        <v>0</v>
      </c>
      <c r="AL293" s="89">
        <f t="shared" si="513"/>
        <v>0</v>
      </c>
      <c r="AM293" s="89">
        <f t="shared" si="513"/>
        <v>0</v>
      </c>
      <c r="AN293" s="89">
        <f t="shared" si="513"/>
        <v>0</v>
      </c>
      <c r="AO293" s="89">
        <f t="shared" si="513"/>
        <v>0</v>
      </c>
      <c r="AP293" s="89">
        <f t="shared" si="492"/>
        <v>0</v>
      </c>
      <c r="AQ293" s="89">
        <f t="shared" si="493"/>
        <v>0</v>
      </c>
      <c r="AR293" s="89">
        <f t="shared" si="493"/>
        <v>0</v>
      </c>
      <c r="AS293" s="89">
        <f t="shared" si="493"/>
        <v>0</v>
      </c>
      <c r="AT293" s="89">
        <f t="shared" si="493"/>
        <v>0</v>
      </c>
      <c r="AU293" s="89">
        <f t="shared" si="493"/>
        <v>0</v>
      </c>
      <c r="AV293" s="89">
        <f t="shared" si="493"/>
        <v>0</v>
      </c>
      <c r="AW293" s="89">
        <f t="shared" si="493"/>
        <v>0</v>
      </c>
      <c r="AX293" s="89">
        <f t="shared" si="494"/>
        <v>0</v>
      </c>
      <c r="AY293" s="89">
        <f t="shared" si="495"/>
        <v>0</v>
      </c>
      <c r="AZ293" s="89">
        <f t="shared" si="495"/>
        <v>0</v>
      </c>
      <c r="BA293" s="89">
        <f t="shared" si="496"/>
        <v>0</v>
      </c>
      <c r="BB293" s="89">
        <f t="shared" si="496"/>
        <v>0</v>
      </c>
      <c r="BC293" s="89">
        <f t="shared" si="496"/>
        <v>0</v>
      </c>
      <c r="BD293" s="89">
        <f t="shared" si="496"/>
        <v>0</v>
      </c>
      <c r="BE293" s="89">
        <f t="shared" si="496"/>
        <v>0</v>
      </c>
      <c r="BF293" s="89">
        <f t="shared" si="497"/>
        <v>0</v>
      </c>
      <c r="BG293" s="89">
        <f t="shared" si="498"/>
        <v>0</v>
      </c>
      <c r="BH293" s="111">
        <f t="shared" si="499"/>
        <v>0</v>
      </c>
    </row>
    <row r="294" spans="1:60" ht="22.5">
      <c r="A294" s="51"/>
      <c r="B294" s="108"/>
      <c r="C294" s="52" t="s">
        <v>151</v>
      </c>
      <c r="D294" s="52" t="s">
        <v>3</v>
      </c>
      <c r="E294" s="52" t="s">
        <v>0</v>
      </c>
      <c r="F294" s="54" t="s">
        <v>38</v>
      </c>
      <c r="G294" s="89">
        <f t="shared" ref="G294:W294" si="514">G118+G206</f>
        <v>0</v>
      </c>
      <c r="H294" s="89">
        <f t="shared" si="514"/>
        <v>0</v>
      </c>
      <c r="I294" s="89">
        <f t="shared" si="514"/>
        <v>0</v>
      </c>
      <c r="J294" s="89">
        <f t="shared" si="514"/>
        <v>0</v>
      </c>
      <c r="K294" s="89">
        <f t="shared" si="514"/>
        <v>0</v>
      </c>
      <c r="L294" s="89">
        <f t="shared" si="514"/>
        <v>0</v>
      </c>
      <c r="M294" s="89">
        <f t="shared" si="514"/>
        <v>0</v>
      </c>
      <c r="N294" s="89">
        <f t="shared" si="514"/>
        <v>0</v>
      </c>
      <c r="O294" s="89">
        <f t="shared" si="514"/>
        <v>0</v>
      </c>
      <c r="P294" s="89">
        <f t="shared" si="514"/>
        <v>0</v>
      </c>
      <c r="Q294" s="89">
        <f t="shared" si="514"/>
        <v>0</v>
      </c>
      <c r="R294" s="89">
        <f t="shared" si="514"/>
        <v>0</v>
      </c>
      <c r="S294" s="89">
        <f t="shared" si="514"/>
        <v>0</v>
      </c>
      <c r="T294" s="89">
        <f t="shared" si="514"/>
        <v>0</v>
      </c>
      <c r="U294" s="89">
        <f t="shared" si="514"/>
        <v>0</v>
      </c>
      <c r="V294" s="89">
        <f t="shared" si="514"/>
        <v>0</v>
      </c>
      <c r="W294" s="89">
        <f t="shared" si="514"/>
        <v>0</v>
      </c>
      <c r="X294" s="89">
        <f t="shared" si="490"/>
        <v>0</v>
      </c>
      <c r="Y294" s="89">
        <f t="shared" ref="Y294:AO294" si="515">Y118+Y206</f>
        <v>0</v>
      </c>
      <c r="Z294" s="89">
        <f t="shared" si="515"/>
        <v>0</v>
      </c>
      <c r="AA294" s="89">
        <f t="shared" si="515"/>
        <v>0</v>
      </c>
      <c r="AB294" s="89">
        <f t="shared" si="515"/>
        <v>0</v>
      </c>
      <c r="AC294" s="89">
        <f t="shared" si="515"/>
        <v>0</v>
      </c>
      <c r="AD294" s="89">
        <f t="shared" si="515"/>
        <v>0</v>
      </c>
      <c r="AE294" s="89">
        <f t="shared" si="515"/>
        <v>0</v>
      </c>
      <c r="AF294" s="89">
        <f t="shared" si="515"/>
        <v>0</v>
      </c>
      <c r="AG294" s="89">
        <f t="shared" si="515"/>
        <v>0</v>
      </c>
      <c r="AH294" s="89">
        <f t="shared" si="515"/>
        <v>0</v>
      </c>
      <c r="AI294" s="89">
        <f t="shared" si="515"/>
        <v>0</v>
      </c>
      <c r="AJ294" s="89">
        <f t="shared" si="515"/>
        <v>0</v>
      </c>
      <c r="AK294" s="89">
        <f t="shared" si="515"/>
        <v>0</v>
      </c>
      <c r="AL294" s="89">
        <f t="shared" si="515"/>
        <v>0</v>
      </c>
      <c r="AM294" s="89">
        <f t="shared" si="515"/>
        <v>0</v>
      </c>
      <c r="AN294" s="89">
        <f t="shared" si="515"/>
        <v>0</v>
      </c>
      <c r="AO294" s="89">
        <f t="shared" si="515"/>
        <v>0</v>
      </c>
      <c r="AP294" s="89">
        <f t="shared" si="492"/>
        <v>0</v>
      </c>
      <c r="AQ294" s="89">
        <f t="shared" si="493"/>
        <v>0</v>
      </c>
      <c r="AR294" s="89">
        <f t="shared" si="493"/>
        <v>0</v>
      </c>
      <c r="AS294" s="89">
        <f t="shared" si="493"/>
        <v>0</v>
      </c>
      <c r="AT294" s="89">
        <f t="shared" si="493"/>
        <v>0</v>
      </c>
      <c r="AU294" s="89">
        <f t="shared" si="493"/>
        <v>0</v>
      </c>
      <c r="AV294" s="89">
        <f t="shared" si="493"/>
        <v>0</v>
      </c>
      <c r="AW294" s="89">
        <f t="shared" si="493"/>
        <v>0</v>
      </c>
      <c r="AX294" s="89">
        <f t="shared" si="494"/>
        <v>0</v>
      </c>
      <c r="AY294" s="89">
        <f t="shared" si="495"/>
        <v>0</v>
      </c>
      <c r="AZ294" s="89">
        <f t="shared" si="495"/>
        <v>0</v>
      </c>
      <c r="BA294" s="89">
        <f t="shared" si="496"/>
        <v>0</v>
      </c>
      <c r="BB294" s="89">
        <f t="shared" si="496"/>
        <v>0</v>
      </c>
      <c r="BC294" s="89">
        <f t="shared" si="496"/>
        <v>0</v>
      </c>
      <c r="BD294" s="89">
        <f t="shared" si="496"/>
        <v>0</v>
      </c>
      <c r="BE294" s="89">
        <f t="shared" si="496"/>
        <v>0</v>
      </c>
      <c r="BF294" s="89">
        <f t="shared" si="497"/>
        <v>0</v>
      </c>
      <c r="BG294" s="89">
        <f t="shared" si="498"/>
        <v>0</v>
      </c>
      <c r="BH294" s="111">
        <f t="shared" si="499"/>
        <v>0</v>
      </c>
    </row>
    <row r="295" spans="1:60" ht="22.5">
      <c r="A295" s="51"/>
      <c r="B295" s="108"/>
      <c r="C295" s="52"/>
      <c r="D295" s="52"/>
      <c r="E295" s="52" t="s">
        <v>0</v>
      </c>
      <c r="F295" s="53" t="s">
        <v>39</v>
      </c>
      <c r="G295" s="91"/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  <c r="X295" s="91"/>
      <c r="Y295" s="91"/>
      <c r="Z295" s="91"/>
      <c r="AA295" s="91"/>
      <c r="AB295" s="91"/>
      <c r="AC295" s="91"/>
      <c r="AD295" s="91"/>
      <c r="AE295" s="91"/>
      <c r="AF295" s="91"/>
      <c r="AG295" s="91"/>
      <c r="AH295" s="91"/>
      <c r="AI295" s="91"/>
      <c r="AJ295" s="91"/>
      <c r="AK295" s="91"/>
      <c r="AL295" s="91"/>
      <c r="AM295" s="91"/>
      <c r="AN295" s="91"/>
      <c r="AO295" s="91"/>
      <c r="AP295" s="91"/>
      <c r="AQ295" s="91"/>
      <c r="AR295" s="91"/>
      <c r="AS295" s="91"/>
      <c r="AT295" s="91"/>
      <c r="AU295" s="91"/>
      <c r="AV295" s="91"/>
      <c r="AW295" s="91"/>
      <c r="AX295" s="91"/>
      <c r="AY295" s="91"/>
      <c r="AZ295" s="91"/>
      <c r="BA295" s="91"/>
      <c r="BB295" s="91"/>
      <c r="BC295" s="91"/>
      <c r="BD295" s="91"/>
      <c r="BE295" s="91"/>
      <c r="BF295" s="91"/>
      <c r="BG295" s="91"/>
      <c r="BH295" s="112"/>
    </row>
    <row r="296" spans="1:60" ht="22.5">
      <c r="A296" s="51"/>
      <c r="B296" s="108"/>
      <c r="C296" s="52" t="s">
        <v>152</v>
      </c>
      <c r="D296" s="52" t="s">
        <v>3</v>
      </c>
      <c r="E296" s="52" t="s">
        <v>0</v>
      </c>
      <c r="F296" s="54" t="s">
        <v>40</v>
      </c>
      <c r="G296" s="89">
        <f t="shared" ref="G296:W296" si="516">G120+G208</f>
        <v>0</v>
      </c>
      <c r="H296" s="89">
        <f t="shared" si="516"/>
        <v>0</v>
      </c>
      <c r="I296" s="89">
        <f t="shared" si="516"/>
        <v>0</v>
      </c>
      <c r="J296" s="89">
        <f t="shared" si="516"/>
        <v>0</v>
      </c>
      <c r="K296" s="89">
        <f t="shared" si="516"/>
        <v>0</v>
      </c>
      <c r="L296" s="89">
        <f t="shared" si="516"/>
        <v>0</v>
      </c>
      <c r="M296" s="89">
        <f t="shared" si="516"/>
        <v>0</v>
      </c>
      <c r="N296" s="89">
        <f t="shared" si="516"/>
        <v>0</v>
      </c>
      <c r="O296" s="89">
        <f t="shared" si="516"/>
        <v>0</v>
      </c>
      <c r="P296" s="89">
        <f t="shared" si="516"/>
        <v>0</v>
      </c>
      <c r="Q296" s="89">
        <f t="shared" si="516"/>
        <v>0</v>
      </c>
      <c r="R296" s="89">
        <f t="shared" si="516"/>
        <v>0</v>
      </c>
      <c r="S296" s="89">
        <f t="shared" si="516"/>
        <v>0</v>
      </c>
      <c r="T296" s="89">
        <f t="shared" si="516"/>
        <v>0</v>
      </c>
      <c r="U296" s="89">
        <f t="shared" si="516"/>
        <v>0</v>
      </c>
      <c r="V296" s="89">
        <f t="shared" si="516"/>
        <v>0</v>
      </c>
      <c r="W296" s="89">
        <f t="shared" si="516"/>
        <v>0</v>
      </c>
      <c r="X296" s="89">
        <f t="shared" si="490"/>
        <v>0</v>
      </c>
      <c r="Y296" s="89">
        <f t="shared" ref="Y296:AO296" si="517">Y120+Y208</f>
        <v>0</v>
      </c>
      <c r="Z296" s="89">
        <f t="shared" si="517"/>
        <v>0</v>
      </c>
      <c r="AA296" s="89">
        <f t="shared" si="517"/>
        <v>0</v>
      </c>
      <c r="AB296" s="89">
        <f t="shared" si="517"/>
        <v>0</v>
      </c>
      <c r="AC296" s="89">
        <f t="shared" si="517"/>
        <v>0</v>
      </c>
      <c r="AD296" s="89">
        <f t="shared" si="517"/>
        <v>0</v>
      </c>
      <c r="AE296" s="89">
        <f t="shared" si="517"/>
        <v>0</v>
      </c>
      <c r="AF296" s="89">
        <f t="shared" si="517"/>
        <v>0</v>
      </c>
      <c r="AG296" s="89">
        <f t="shared" si="517"/>
        <v>0</v>
      </c>
      <c r="AH296" s="89">
        <f t="shared" si="517"/>
        <v>0</v>
      </c>
      <c r="AI296" s="89">
        <f t="shared" si="517"/>
        <v>0</v>
      </c>
      <c r="AJ296" s="89">
        <f t="shared" si="517"/>
        <v>0</v>
      </c>
      <c r="AK296" s="89">
        <f t="shared" si="517"/>
        <v>0</v>
      </c>
      <c r="AL296" s="89">
        <f t="shared" si="517"/>
        <v>0</v>
      </c>
      <c r="AM296" s="89">
        <f t="shared" si="517"/>
        <v>0</v>
      </c>
      <c r="AN296" s="89">
        <f t="shared" si="517"/>
        <v>0</v>
      </c>
      <c r="AO296" s="89">
        <f t="shared" si="517"/>
        <v>0</v>
      </c>
      <c r="AP296" s="89">
        <f t="shared" si="492"/>
        <v>0</v>
      </c>
      <c r="AQ296" s="89">
        <f t="shared" ref="AQ296:AW298" si="518">AQ120+AQ208</f>
        <v>0</v>
      </c>
      <c r="AR296" s="89">
        <f t="shared" si="518"/>
        <v>0</v>
      </c>
      <c r="AS296" s="89">
        <f t="shared" si="518"/>
        <v>0</v>
      </c>
      <c r="AT296" s="89">
        <f t="shared" si="518"/>
        <v>0</v>
      </c>
      <c r="AU296" s="89">
        <f t="shared" si="518"/>
        <v>0</v>
      </c>
      <c r="AV296" s="89">
        <f t="shared" si="518"/>
        <v>0</v>
      </c>
      <c r="AW296" s="89">
        <f t="shared" si="518"/>
        <v>0</v>
      </c>
      <c r="AX296" s="89">
        <f t="shared" ref="AX296:AX298" si="519">N296+AF296</f>
        <v>0</v>
      </c>
      <c r="AY296" s="89">
        <f t="shared" ref="AY296:AZ298" si="520">O296+AG296</f>
        <v>0</v>
      </c>
      <c r="AZ296" s="89">
        <f t="shared" si="520"/>
        <v>0</v>
      </c>
      <c r="BA296" s="89">
        <f t="shared" ref="BA296:BE298" si="521">BA120+BA208</f>
        <v>0</v>
      </c>
      <c r="BB296" s="89">
        <f t="shared" si="521"/>
        <v>0</v>
      </c>
      <c r="BC296" s="89">
        <f t="shared" si="521"/>
        <v>0</v>
      </c>
      <c r="BD296" s="89">
        <f t="shared" si="521"/>
        <v>0</v>
      </c>
      <c r="BE296" s="89">
        <f t="shared" si="521"/>
        <v>0</v>
      </c>
      <c r="BF296" s="89">
        <f t="shared" ref="BF296:BF298" si="522">V296+AN296</f>
        <v>0</v>
      </c>
      <c r="BG296" s="89">
        <f>BG120+BG208</f>
        <v>0</v>
      </c>
      <c r="BH296" s="111">
        <f>X296+AP296</f>
        <v>0</v>
      </c>
    </row>
    <row r="297" spans="1:60" ht="22.5">
      <c r="A297" s="51"/>
      <c r="B297" s="108"/>
      <c r="C297" s="52" t="s">
        <v>153</v>
      </c>
      <c r="D297" s="52" t="s">
        <v>3</v>
      </c>
      <c r="E297" s="52" t="s">
        <v>0</v>
      </c>
      <c r="F297" s="54" t="s">
        <v>41</v>
      </c>
      <c r="G297" s="89">
        <f t="shared" ref="G297:W297" si="523">G121+G209</f>
        <v>0</v>
      </c>
      <c r="H297" s="89">
        <f t="shared" si="523"/>
        <v>0</v>
      </c>
      <c r="I297" s="89">
        <f t="shared" si="523"/>
        <v>0</v>
      </c>
      <c r="J297" s="89">
        <f t="shared" si="523"/>
        <v>0</v>
      </c>
      <c r="K297" s="89">
        <f t="shared" si="523"/>
        <v>0</v>
      </c>
      <c r="L297" s="89">
        <f t="shared" si="523"/>
        <v>0</v>
      </c>
      <c r="M297" s="89">
        <f t="shared" si="523"/>
        <v>0</v>
      </c>
      <c r="N297" s="89">
        <f t="shared" si="523"/>
        <v>0</v>
      </c>
      <c r="O297" s="89">
        <f t="shared" si="523"/>
        <v>0</v>
      </c>
      <c r="P297" s="89">
        <f t="shared" si="523"/>
        <v>0</v>
      </c>
      <c r="Q297" s="89">
        <f t="shared" si="523"/>
        <v>0</v>
      </c>
      <c r="R297" s="89">
        <f t="shared" si="523"/>
        <v>0</v>
      </c>
      <c r="S297" s="89">
        <f t="shared" si="523"/>
        <v>0</v>
      </c>
      <c r="T297" s="89">
        <f t="shared" si="523"/>
        <v>0</v>
      </c>
      <c r="U297" s="89">
        <f t="shared" si="523"/>
        <v>0</v>
      </c>
      <c r="V297" s="89">
        <f t="shared" si="523"/>
        <v>0</v>
      </c>
      <c r="W297" s="89">
        <f t="shared" si="523"/>
        <v>0</v>
      </c>
      <c r="X297" s="89">
        <f t="shared" si="490"/>
        <v>0</v>
      </c>
      <c r="Y297" s="89">
        <f t="shared" ref="Y297:AO297" si="524">Y121+Y209</f>
        <v>0</v>
      </c>
      <c r="Z297" s="89">
        <f t="shared" si="524"/>
        <v>0</v>
      </c>
      <c r="AA297" s="89">
        <f t="shared" si="524"/>
        <v>0</v>
      </c>
      <c r="AB297" s="89">
        <f t="shared" si="524"/>
        <v>0</v>
      </c>
      <c r="AC297" s="89">
        <f t="shared" si="524"/>
        <v>0</v>
      </c>
      <c r="AD297" s="89">
        <f t="shared" si="524"/>
        <v>0</v>
      </c>
      <c r="AE297" s="89">
        <f t="shared" si="524"/>
        <v>0</v>
      </c>
      <c r="AF297" s="89">
        <f t="shared" si="524"/>
        <v>0</v>
      </c>
      <c r="AG297" s="89">
        <f t="shared" si="524"/>
        <v>0</v>
      </c>
      <c r="AH297" s="89">
        <f t="shared" si="524"/>
        <v>0</v>
      </c>
      <c r="AI297" s="89">
        <f t="shared" si="524"/>
        <v>0</v>
      </c>
      <c r="AJ297" s="89">
        <f t="shared" si="524"/>
        <v>0</v>
      </c>
      <c r="AK297" s="89">
        <f t="shared" si="524"/>
        <v>0</v>
      </c>
      <c r="AL297" s="89">
        <f t="shared" si="524"/>
        <v>0</v>
      </c>
      <c r="AM297" s="89">
        <f t="shared" si="524"/>
        <v>0</v>
      </c>
      <c r="AN297" s="89">
        <f t="shared" si="524"/>
        <v>0</v>
      </c>
      <c r="AO297" s="89">
        <f t="shared" si="524"/>
        <v>0</v>
      </c>
      <c r="AP297" s="89">
        <f t="shared" si="492"/>
        <v>0</v>
      </c>
      <c r="AQ297" s="89">
        <f t="shared" si="518"/>
        <v>0</v>
      </c>
      <c r="AR297" s="89">
        <f t="shared" si="518"/>
        <v>0</v>
      </c>
      <c r="AS297" s="89">
        <f t="shared" si="518"/>
        <v>0</v>
      </c>
      <c r="AT297" s="89">
        <f t="shared" si="518"/>
        <v>0</v>
      </c>
      <c r="AU297" s="89">
        <f t="shared" si="518"/>
        <v>0</v>
      </c>
      <c r="AV297" s="89">
        <f t="shared" si="518"/>
        <v>0</v>
      </c>
      <c r="AW297" s="89">
        <f t="shared" si="518"/>
        <v>0</v>
      </c>
      <c r="AX297" s="89">
        <f t="shared" si="519"/>
        <v>0</v>
      </c>
      <c r="AY297" s="89">
        <f t="shared" si="520"/>
        <v>0</v>
      </c>
      <c r="AZ297" s="89">
        <f t="shared" si="520"/>
        <v>0</v>
      </c>
      <c r="BA297" s="89">
        <f t="shared" si="521"/>
        <v>0</v>
      </c>
      <c r="BB297" s="89">
        <f t="shared" si="521"/>
        <v>0</v>
      </c>
      <c r="BC297" s="89">
        <f t="shared" si="521"/>
        <v>0</v>
      </c>
      <c r="BD297" s="89">
        <f t="shared" si="521"/>
        <v>0</v>
      </c>
      <c r="BE297" s="89">
        <f t="shared" si="521"/>
        <v>0</v>
      </c>
      <c r="BF297" s="89">
        <f t="shared" si="522"/>
        <v>0</v>
      </c>
      <c r="BG297" s="89">
        <f>BG121+BG209</f>
        <v>0</v>
      </c>
      <c r="BH297" s="111">
        <f>X297+AP297</f>
        <v>0</v>
      </c>
    </row>
    <row r="298" spans="1:60" ht="22.5">
      <c r="A298" s="51"/>
      <c r="B298" s="108"/>
      <c r="C298" s="52" t="s">
        <v>154</v>
      </c>
      <c r="D298" s="52" t="s">
        <v>3</v>
      </c>
      <c r="E298" s="52" t="s">
        <v>0</v>
      </c>
      <c r="F298" s="53" t="s">
        <v>62</v>
      </c>
      <c r="G298" s="89">
        <f t="shared" ref="G298:W298" si="525">G122+G210</f>
        <v>0</v>
      </c>
      <c r="H298" s="89">
        <f t="shared" si="525"/>
        <v>0</v>
      </c>
      <c r="I298" s="89">
        <f t="shared" si="525"/>
        <v>0</v>
      </c>
      <c r="J298" s="89">
        <f t="shared" si="525"/>
        <v>0</v>
      </c>
      <c r="K298" s="89">
        <f t="shared" si="525"/>
        <v>0</v>
      </c>
      <c r="L298" s="89">
        <f t="shared" si="525"/>
        <v>0</v>
      </c>
      <c r="M298" s="89">
        <f t="shared" si="525"/>
        <v>0</v>
      </c>
      <c r="N298" s="89">
        <f t="shared" si="525"/>
        <v>0</v>
      </c>
      <c r="O298" s="89">
        <f t="shared" si="525"/>
        <v>0</v>
      </c>
      <c r="P298" s="89">
        <f t="shared" si="525"/>
        <v>0</v>
      </c>
      <c r="Q298" s="89">
        <f t="shared" si="525"/>
        <v>0</v>
      </c>
      <c r="R298" s="89">
        <f t="shared" si="525"/>
        <v>0</v>
      </c>
      <c r="S298" s="89">
        <f t="shared" si="525"/>
        <v>0</v>
      </c>
      <c r="T298" s="89">
        <f t="shared" si="525"/>
        <v>0</v>
      </c>
      <c r="U298" s="89">
        <f t="shared" si="525"/>
        <v>0</v>
      </c>
      <c r="V298" s="89">
        <f t="shared" si="525"/>
        <v>0</v>
      </c>
      <c r="W298" s="89">
        <f t="shared" si="525"/>
        <v>0</v>
      </c>
      <c r="X298" s="89">
        <f t="shared" si="490"/>
        <v>0</v>
      </c>
      <c r="Y298" s="89">
        <f t="shared" ref="Y298:AO298" si="526">Y122+Y210</f>
        <v>0</v>
      </c>
      <c r="Z298" s="89">
        <f t="shared" si="526"/>
        <v>0</v>
      </c>
      <c r="AA298" s="89">
        <f t="shared" si="526"/>
        <v>0</v>
      </c>
      <c r="AB298" s="89">
        <f t="shared" si="526"/>
        <v>0</v>
      </c>
      <c r="AC298" s="89">
        <f t="shared" si="526"/>
        <v>0</v>
      </c>
      <c r="AD298" s="89">
        <f t="shared" si="526"/>
        <v>0</v>
      </c>
      <c r="AE298" s="89">
        <f t="shared" si="526"/>
        <v>0</v>
      </c>
      <c r="AF298" s="89">
        <f t="shared" si="526"/>
        <v>0</v>
      </c>
      <c r="AG298" s="89">
        <f t="shared" si="526"/>
        <v>0</v>
      </c>
      <c r="AH298" s="89">
        <f t="shared" si="526"/>
        <v>0</v>
      </c>
      <c r="AI298" s="89">
        <f t="shared" si="526"/>
        <v>0</v>
      </c>
      <c r="AJ298" s="89">
        <f t="shared" si="526"/>
        <v>0</v>
      </c>
      <c r="AK298" s="89">
        <f t="shared" si="526"/>
        <v>0</v>
      </c>
      <c r="AL298" s="89">
        <f t="shared" si="526"/>
        <v>0</v>
      </c>
      <c r="AM298" s="89">
        <f t="shared" si="526"/>
        <v>0</v>
      </c>
      <c r="AN298" s="89">
        <f t="shared" si="526"/>
        <v>0</v>
      </c>
      <c r="AO298" s="89">
        <f t="shared" si="526"/>
        <v>0</v>
      </c>
      <c r="AP298" s="89">
        <f t="shared" si="492"/>
        <v>0</v>
      </c>
      <c r="AQ298" s="89">
        <f t="shared" si="518"/>
        <v>0</v>
      </c>
      <c r="AR298" s="89">
        <f t="shared" si="518"/>
        <v>0</v>
      </c>
      <c r="AS298" s="89">
        <f t="shared" si="518"/>
        <v>0</v>
      </c>
      <c r="AT298" s="89">
        <f t="shared" si="518"/>
        <v>0</v>
      </c>
      <c r="AU298" s="89">
        <f t="shared" si="518"/>
        <v>0</v>
      </c>
      <c r="AV298" s="89">
        <f t="shared" si="518"/>
        <v>0</v>
      </c>
      <c r="AW298" s="89">
        <f t="shared" si="518"/>
        <v>0</v>
      </c>
      <c r="AX298" s="89">
        <f t="shared" si="519"/>
        <v>0</v>
      </c>
      <c r="AY298" s="89">
        <f t="shared" si="520"/>
        <v>0</v>
      </c>
      <c r="AZ298" s="89">
        <f t="shared" si="520"/>
        <v>0</v>
      </c>
      <c r="BA298" s="89">
        <f t="shared" si="521"/>
        <v>0</v>
      </c>
      <c r="BB298" s="89">
        <f t="shared" si="521"/>
        <v>0</v>
      </c>
      <c r="BC298" s="89">
        <f t="shared" si="521"/>
        <v>0</v>
      </c>
      <c r="BD298" s="89">
        <f t="shared" si="521"/>
        <v>0</v>
      </c>
      <c r="BE298" s="89">
        <f t="shared" si="521"/>
        <v>0</v>
      </c>
      <c r="BF298" s="89">
        <f t="shared" si="522"/>
        <v>0</v>
      </c>
      <c r="BG298" s="89">
        <f>BG122+BG210</f>
        <v>0</v>
      </c>
      <c r="BH298" s="111">
        <f>X298+AP298</f>
        <v>0</v>
      </c>
    </row>
    <row r="299" spans="1:60" ht="22.5">
      <c r="A299" s="51"/>
      <c r="B299" s="108"/>
      <c r="C299" s="52"/>
      <c r="D299" s="52"/>
      <c r="E299" s="52" t="s">
        <v>0</v>
      </c>
      <c r="F299" s="53" t="s">
        <v>42</v>
      </c>
      <c r="G299" s="91"/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  <c r="X299" s="91"/>
      <c r="Y299" s="91"/>
      <c r="Z299" s="91"/>
      <c r="AA299" s="91"/>
      <c r="AB299" s="91"/>
      <c r="AC299" s="91"/>
      <c r="AD299" s="91"/>
      <c r="AE299" s="91"/>
      <c r="AF299" s="91"/>
      <c r="AG299" s="91"/>
      <c r="AH299" s="91"/>
      <c r="AI299" s="91"/>
      <c r="AJ299" s="91"/>
      <c r="AK299" s="91"/>
      <c r="AL299" s="91"/>
      <c r="AM299" s="91"/>
      <c r="AN299" s="91"/>
      <c r="AO299" s="91"/>
      <c r="AP299" s="91"/>
      <c r="AQ299" s="91"/>
      <c r="AR299" s="91"/>
      <c r="AS299" s="91"/>
      <c r="AT299" s="91"/>
      <c r="AU299" s="91"/>
      <c r="AV299" s="91"/>
      <c r="AW299" s="91"/>
      <c r="AX299" s="91"/>
      <c r="AY299" s="91"/>
      <c r="AZ299" s="91"/>
      <c r="BA299" s="91"/>
      <c r="BB299" s="91"/>
      <c r="BC299" s="91"/>
      <c r="BD299" s="91"/>
      <c r="BE299" s="91"/>
      <c r="BF299" s="91"/>
      <c r="BG299" s="91"/>
      <c r="BH299" s="112"/>
    </row>
    <row r="300" spans="1:60">
      <c r="A300" s="51"/>
      <c r="B300" s="108"/>
      <c r="C300" s="52" t="s">
        <v>155</v>
      </c>
      <c r="D300" s="52" t="s">
        <v>3</v>
      </c>
      <c r="E300" s="52" t="s">
        <v>0</v>
      </c>
      <c r="F300" s="54" t="s">
        <v>43</v>
      </c>
      <c r="G300" s="89">
        <f t="shared" ref="G300:W300" si="527">G124+G212</f>
        <v>0</v>
      </c>
      <c r="H300" s="89">
        <f t="shared" si="527"/>
        <v>0</v>
      </c>
      <c r="I300" s="89">
        <f t="shared" si="527"/>
        <v>0</v>
      </c>
      <c r="J300" s="89">
        <f t="shared" si="527"/>
        <v>0</v>
      </c>
      <c r="K300" s="89">
        <f t="shared" si="527"/>
        <v>0</v>
      </c>
      <c r="L300" s="89">
        <f t="shared" si="527"/>
        <v>0</v>
      </c>
      <c r="M300" s="89">
        <f t="shared" si="527"/>
        <v>0</v>
      </c>
      <c r="N300" s="89">
        <f t="shared" si="527"/>
        <v>0</v>
      </c>
      <c r="O300" s="89">
        <f t="shared" si="527"/>
        <v>0</v>
      </c>
      <c r="P300" s="89">
        <f t="shared" si="527"/>
        <v>0</v>
      </c>
      <c r="Q300" s="89">
        <f t="shared" si="527"/>
        <v>0</v>
      </c>
      <c r="R300" s="89">
        <f t="shared" si="527"/>
        <v>0</v>
      </c>
      <c r="S300" s="89">
        <f t="shared" si="527"/>
        <v>0</v>
      </c>
      <c r="T300" s="89">
        <f t="shared" si="527"/>
        <v>0</v>
      </c>
      <c r="U300" s="89">
        <f t="shared" si="527"/>
        <v>0</v>
      </c>
      <c r="V300" s="89">
        <f t="shared" si="527"/>
        <v>0</v>
      </c>
      <c r="W300" s="89">
        <f t="shared" si="527"/>
        <v>0</v>
      </c>
      <c r="X300" s="89">
        <f t="shared" ref="X300:X306" si="528">SUM(P300:W300)+SUM(G300:K300)</f>
        <v>0</v>
      </c>
      <c r="Y300" s="89">
        <f t="shared" ref="Y300:AO300" si="529">Y124+Y212</f>
        <v>0</v>
      </c>
      <c r="Z300" s="89">
        <f t="shared" si="529"/>
        <v>0</v>
      </c>
      <c r="AA300" s="89">
        <f t="shared" si="529"/>
        <v>0</v>
      </c>
      <c r="AB300" s="89">
        <f t="shared" si="529"/>
        <v>0</v>
      </c>
      <c r="AC300" s="89">
        <f t="shared" si="529"/>
        <v>0</v>
      </c>
      <c r="AD300" s="89">
        <f t="shared" si="529"/>
        <v>0</v>
      </c>
      <c r="AE300" s="89">
        <f t="shared" si="529"/>
        <v>0</v>
      </c>
      <c r="AF300" s="89">
        <f t="shared" si="529"/>
        <v>0</v>
      </c>
      <c r="AG300" s="89">
        <f t="shared" si="529"/>
        <v>0</v>
      </c>
      <c r="AH300" s="89">
        <f t="shared" si="529"/>
        <v>0</v>
      </c>
      <c r="AI300" s="89">
        <f t="shared" si="529"/>
        <v>0</v>
      </c>
      <c r="AJ300" s="89">
        <f t="shared" si="529"/>
        <v>0</v>
      </c>
      <c r="AK300" s="89">
        <f t="shared" si="529"/>
        <v>0</v>
      </c>
      <c r="AL300" s="89">
        <f t="shared" si="529"/>
        <v>0</v>
      </c>
      <c r="AM300" s="89">
        <f t="shared" si="529"/>
        <v>0</v>
      </c>
      <c r="AN300" s="89">
        <f t="shared" si="529"/>
        <v>0</v>
      </c>
      <c r="AO300" s="89">
        <f t="shared" si="529"/>
        <v>0</v>
      </c>
      <c r="AP300" s="89">
        <f t="shared" ref="AP300:AP306" si="530">SUM(AH300:AO300)+SUM(Y300:AC300)</f>
        <v>0</v>
      </c>
      <c r="AQ300" s="89">
        <f t="shared" ref="AQ300:AW306" si="531">AQ124+AQ212</f>
        <v>0</v>
      </c>
      <c r="AR300" s="89">
        <f t="shared" si="531"/>
        <v>0</v>
      </c>
      <c r="AS300" s="89">
        <f t="shared" si="531"/>
        <v>0</v>
      </c>
      <c r="AT300" s="89">
        <f t="shared" si="531"/>
        <v>0</v>
      </c>
      <c r="AU300" s="89">
        <f t="shared" si="531"/>
        <v>0</v>
      </c>
      <c r="AV300" s="89">
        <f t="shared" si="531"/>
        <v>0</v>
      </c>
      <c r="AW300" s="89">
        <f t="shared" si="531"/>
        <v>0</v>
      </c>
      <c r="AX300" s="89">
        <f t="shared" ref="AX300:AX306" si="532">N300+AF300</f>
        <v>0</v>
      </c>
      <c r="AY300" s="89">
        <f t="shared" ref="AY300:AZ306" si="533">O300+AG300</f>
        <v>0</v>
      </c>
      <c r="AZ300" s="89">
        <f t="shared" si="533"/>
        <v>0</v>
      </c>
      <c r="BA300" s="89">
        <f t="shared" ref="BA300:BE306" si="534">BA124+BA212</f>
        <v>0</v>
      </c>
      <c r="BB300" s="89">
        <f t="shared" si="534"/>
        <v>0</v>
      </c>
      <c r="BC300" s="89">
        <f t="shared" si="534"/>
        <v>0</v>
      </c>
      <c r="BD300" s="89">
        <f t="shared" si="534"/>
        <v>0</v>
      </c>
      <c r="BE300" s="89">
        <f t="shared" si="534"/>
        <v>0</v>
      </c>
      <c r="BF300" s="89">
        <f t="shared" ref="BF300:BF306" si="535">V300+AN300</f>
        <v>0</v>
      </c>
      <c r="BG300" s="89">
        <f t="shared" ref="BG300:BG306" si="536">BG124+BG212</f>
        <v>0</v>
      </c>
      <c r="BH300" s="111">
        <f t="shared" ref="BH300:BH306" si="537">X300+AP300</f>
        <v>0</v>
      </c>
    </row>
    <row r="301" spans="1:60">
      <c r="A301" s="51"/>
      <c r="B301" s="108"/>
      <c r="C301" s="52" t="s">
        <v>156</v>
      </c>
      <c r="D301" s="52" t="s">
        <v>3</v>
      </c>
      <c r="E301" s="52" t="s">
        <v>0</v>
      </c>
      <c r="F301" s="54" t="s">
        <v>44</v>
      </c>
      <c r="G301" s="89">
        <f t="shared" ref="G301:W301" si="538">G125+G213</f>
        <v>0</v>
      </c>
      <c r="H301" s="89">
        <f t="shared" si="538"/>
        <v>0</v>
      </c>
      <c r="I301" s="89">
        <f t="shared" si="538"/>
        <v>0</v>
      </c>
      <c r="J301" s="89">
        <f t="shared" si="538"/>
        <v>0</v>
      </c>
      <c r="K301" s="89">
        <f t="shared" si="538"/>
        <v>0</v>
      </c>
      <c r="L301" s="89">
        <f t="shared" si="538"/>
        <v>0</v>
      </c>
      <c r="M301" s="89">
        <f t="shared" si="538"/>
        <v>0</v>
      </c>
      <c r="N301" s="89">
        <f t="shared" si="538"/>
        <v>0</v>
      </c>
      <c r="O301" s="89">
        <f t="shared" si="538"/>
        <v>0</v>
      </c>
      <c r="P301" s="89">
        <f t="shared" si="538"/>
        <v>0</v>
      </c>
      <c r="Q301" s="89">
        <f t="shared" si="538"/>
        <v>0</v>
      </c>
      <c r="R301" s="89">
        <f t="shared" si="538"/>
        <v>0</v>
      </c>
      <c r="S301" s="89">
        <f t="shared" si="538"/>
        <v>0</v>
      </c>
      <c r="T301" s="89">
        <f t="shared" si="538"/>
        <v>0</v>
      </c>
      <c r="U301" s="89">
        <f t="shared" si="538"/>
        <v>0</v>
      </c>
      <c r="V301" s="89">
        <f t="shared" si="538"/>
        <v>0</v>
      </c>
      <c r="W301" s="89">
        <f t="shared" si="538"/>
        <v>0</v>
      </c>
      <c r="X301" s="89">
        <f t="shared" si="528"/>
        <v>0</v>
      </c>
      <c r="Y301" s="89">
        <f t="shared" ref="Y301:AO301" si="539">Y125+Y213</f>
        <v>0</v>
      </c>
      <c r="Z301" s="89">
        <f t="shared" si="539"/>
        <v>0</v>
      </c>
      <c r="AA301" s="89">
        <f t="shared" si="539"/>
        <v>0</v>
      </c>
      <c r="AB301" s="89">
        <f t="shared" si="539"/>
        <v>0</v>
      </c>
      <c r="AC301" s="89">
        <f t="shared" si="539"/>
        <v>0</v>
      </c>
      <c r="AD301" s="89">
        <f t="shared" si="539"/>
        <v>0</v>
      </c>
      <c r="AE301" s="89">
        <f t="shared" si="539"/>
        <v>0</v>
      </c>
      <c r="AF301" s="89">
        <f t="shared" si="539"/>
        <v>0</v>
      </c>
      <c r="AG301" s="89">
        <f t="shared" si="539"/>
        <v>0</v>
      </c>
      <c r="AH301" s="89">
        <f t="shared" si="539"/>
        <v>0</v>
      </c>
      <c r="AI301" s="89">
        <f t="shared" si="539"/>
        <v>0</v>
      </c>
      <c r="AJ301" s="89">
        <f t="shared" si="539"/>
        <v>0</v>
      </c>
      <c r="AK301" s="89">
        <f t="shared" si="539"/>
        <v>0</v>
      </c>
      <c r="AL301" s="89">
        <f t="shared" si="539"/>
        <v>0</v>
      </c>
      <c r="AM301" s="89">
        <f t="shared" si="539"/>
        <v>0</v>
      </c>
      <c r="AN301" s="89">
        <f t="shared" si="539"/>
        <v>0</v>
      </c>
      <c r="AO301" s="89">
        <f t="shared" si="539"/>
        <v>0</v>
      </c>
      <c r="AP301" s="89">
        <f t="shared" si="530"/>
        <v>0</v>
      </c>
      <c r="AQ301" s="89">
        <f t="shared" si="531"/>
        <v>0</v>
      </c>
      <c r="AR301" s="89">
        <f t="shared" si="531"/>
        <v>0</v>
      </c>
      <c r="AS301" s="89">
        <f t="shared" si="531"/>
        <v>0</v>
      </c>
      <c r="AT301" s="89">
        <f t="shared" si="531"/>
        <v>0</v>
      </c>
      <c r="AU301" s="89">
        <f t="shared" si="531"/>
        <v>0</v>
      </c>
      <c r="AV301" s="89">
        <f t="shared" si="531"/>
        <v>0</v>
      </c>
      <c r="AW301" s="89">
        <f t="shared" si="531"/>
        <v>0</v>
      </c>
      <c r="AX301" s="89">
        <f t="shared" si="532"/>
        <v>0</v>
      </c>
      <c r="AY301" s="89">
        <f t="shared" si="533"/>
        <v>0</v>
      </c>
      <c r="AZ301" s="89">
        <f t="shared" si="533"/>
        <v>0</v>
      </c>
      <c r="BA301" s="89">
        <f t="shared" si="534"/>
        <v>0</v>
      </c>
      <c r="BB301" s="89">
        <f t="shared" si="534"/>
        <v>0</v>
      </c>
      <c r="BC301" s="89">
        <f t="shared" si="534"/>
        <v>0</v>
      </c>
      <c r="BD301" s="89">
        <f t="shared" si="534"/>
        <v>0</v>
      </c>
      <c r="BE301" s="89">
        <f t="shared" si="534"/>
        <v>0</v>
      </c>
      <c r="BF301" s="89">
        <f t="shared" si="535"/>
        <v>0</v>
      </c>
      <c r="BG301" s="89">
        <f t="shared" si="536"/>
        <v>0</v>
      </c>
      <c r="BH301" s="111">
        <f t="shared" si="537"/>
        <v>0</v>
      </c>
    </row>
    <row r="302" spans="1:60" ht="15" customHeight="1">
      <c r="A302" s="51"/>
      <c r="B302" s="108"/>
      <c r="C302" s="52" t="s">
        <v>157</v>
      </c>
      <c r="D302" s="52" t="s">
        <v>3</v>
      </c>
      <c r="E302" s="52" t="s">
        <v>0</v>
      </c>
      <c r="F302" s="53" t="s">
        <v>63</v>
      </c>
      <c r="G302" s="89">
        <f t="shared" ref="G302:W302" si="540">G126+G214</f>
        <v>0</v>
      </c>
      <c r="H302" s="89">
        <f t="shared" si="540"/>
        <v>0</v>
      </c>
      <c r="I302" s="89">
        <f t="shared" si="540"/>
        <v>0</v>
      </c>
      <c r="J302" s="89">
        <f t="shared" si="540"/>
        <v>0</v>
      </c>
      <c r="K302" s="89">
        <f t="shared" si="540"/>
        <v>0</v>
      </c>
      <c r="L302" s="89">
        <f t="shared" si="540"/>
        <v>0</v>
      </c>
      <c r="M302" s="89">
        <f t="shared" si="540"/>
        <v>0</v>
      </c>
      <c r="N302" s="89">
        <f t="shared" si="540"/>
        <v>0</v>
      </c>
      <c r="O302" s="89">
        <f t="shared" si="540"/>
        <v>0</v>
      </c>
      <c r="P302" s="89">
        <f t="shared" si="540"/>
        <v>0</v>
      </c>
      <c r="Q302" s="89">
        <f t="shared" si="540"/>
        <v>0</v>
      </c>
      <c r="R302" s="89">
        <f t="shared" si="540"/>
        <v>0</v>
      </c>
      <c r="S302" s="89">
        <f t="shared" si="540"/>
        <v>0</v>
      </c>
      <c r="T302" s="89">
        <f t="shared" si="540"/>
        <v>0</v>
      </c>
      <c r="U302" s="89">
        <f t="shared" si="540"/>
        <v>0</v>
      </c>
      <c r="V302" s="89">
        <f t="shared" si="540"/>
        <v>0</v>
      </c>
      <c r="W302" s="89">
        <f t="shared" si="540"/>
        <v>0</v>
      </c>
      <c r="X302" s="89">
        <f t="shared" si="528"/>
        <v>0</v>
      </c>
      <c r="Y302" s="89">
        <f t="shared" ref="Y302:AO302" si="541">Y126+Y214</f>
        <v>0</v>
      </c>
      <c r="Z302" s="89">
        <f t="shared" si="541"/>
        <v>0</v>
      </c>
      <c r="AA302" s="89">
        <f t="shared" si="541"/>
        <v>0</v>
      </c>
      <c r="AB302" s="89">
        <f t="shared" si="541"/>
        <v>0</v>
      </c>
      <c r="AC302" s="89">
        <f t="shared" si="541"/>
        <v>0</v>
      </c>
      <c r="AD302" s="89">
        <f t="shared" si="541"/>
        <v>0</v>
      </c>
      <c r="AE302" s="89">
        <f t="shared" si="541"/>
        <v>0</v>
      </c>
      <c r="AF302" s="89">
        <f t="shared" si="541"/>
        <v>0</v>
      </c>
      <c r="AG302" s="89">
        <f t="shared" si="541"/>
        <v>0</v>
      </c>
      <c r="AH302" s="89">
        <f t="shared" si="541"/>
        <v>0</v>
      </c>
      <c r="AI302" s="89">
        <f t="shared" si="541"/>
        <v>0</v>
      </c>
      <c r="AJ302" s="89">
        <f t="shared" si="541"/>
        <v>0</v>
      </c>
      <c r="AK302" s="89">
        <f t="shared" si="541"/>
        <v>0</v>
      </c>
      <c r="AL302" s="89">
        <f t="shared" si="541"/>
        <v>0</v>
      </c>
      <c r="AM302" s="89">
        <f t="shared" si="541"/>
        <v>0</v>
      </c>
      <c r="AN302" s="89">
        <f t="shared" si="541"/>
        <v>0</v>
      </c>
      <c r="AO302" s="89">
        <f t="shared" si="541"/>
        <v>0</v>
      </c>
      <c r="AP302" s="89">
        <f t="shared" si="530"/>
        <v>0</v>
      </c>
      <c r="AQ302" s="89">
        <f t="shared" si="531"/>
        <v>0</v>
      </c>
      <c r="AR302" s="89">
        <f t="shared" si="531"/>
        <v>0</v>
      </c>
      <c r="AS302" s="89">
        <f t="shared" si="531"/>
        <v>0</v>
      </c>
      <c r="AT302" s="89">
        <f t="shared" si="531"/>
        <v>0</v>
      </c>
      <c r="AU302" s="89">
        <f t="shared" si="531"/>
        <v>0</v>
      </c>
      <c r="AV302" s="89">
        <f t="shared" si="531"/>
        <v>0</v>
      </c>
      <c r="AW302" s="89">
        <f t="shared" si="531"/>
        <v>0</v>
      </c>
      <c r="AX302" s="89">
        <f t="shared" si="532"/>
        <v>0</v>
      </c>
      <c r="AY302" s="89">
        <f t="shared" si="533"/>
        <v>0</v>
      </c>
      <c r="AZ302" s="89">
        <f t="shared" si="533"/>
        <v>0</v>
      </c>
      <c r="BA302" s="89">
        <f t="shared" si="534"/>
        <v>0</v>
      </c>
      <c r="BB302" s="89">
        <f t="shared" si="534"/>
        <v>0</v>
      </c>
      <c r="BC302" s="89">
        <f t="shared" si="534"/>
        <v>0</v>
      </c>
      <c r="BD302" s="89">
        <f t="shared" si="534"/>
        <v>0</v>
      </c>
      <c r="BE302" s="89">
        <f t="shared" si="534"/>
        <v>0</v>
      </c>
      <c r="BF302" s="89">
        <f t="shared" si="535"/>
        <v>0</v>
      </c>
      <c r="BG302" s="89">
        <f t="shared" si="536"/>
        <v>0</v>
      </c>
      <c r="BH302" s="111">
        <f t="shared" si="537"/>
        <v>0</v>
      </c>
    </row>
    <row r="303" spans="1:60" ht="22.5">
      <c r="A303" s="51"/>
      <c r="B303" s="108"/>
      <c r="C303" s="52" t="s">
        <v>158</v>
      </c>
      <c r="D303" s="52" t="s">
        <v>3</v>
      </c>
      <c r="E303" s="52" t="s">
        <v>0</v>
      </c>
      <c r="F303" s="54" t="s">
        <v>45</v>
      </c>
      <c r="G303" s="89">
        <f t="shared" ref="G303:W303" si="542">G127+G215</f>
        <v>0</v>
      </c>
      <c r="H303" s="89">
        <f t="shared" si="542"/>
        <v>0</v>
      </c>
      <c r="I303" s="89">
        <f t="shared" si="542"/>
        <v>0</v>
      </c>
      <c r="J303" s="89">
        <f t="shared" si="542"/>
        <v>0</v>
      </c>
      <c r="K303" s="89">
        <f t="shared" si="542"/>
        <v>0</v>
      </c>
      <c r="L303" s="89">
        <f t="shared" si="542"/>
        <v>0</v>
      </c>
      <c r="M303" s="89">
        <f t="shared" si="542"/>
        <v>0</v>
      </c>
      <c r="N303" s="89">
        <f t="shared" si="542"/>
        <v>0</v>
      </c>
      <c r="O303" s="89">
        <f t="shared" si="542"/>
        <v>0</v>
      </c>
      <c r="P303" s="89">
        <f t="shared" si="542"/>
        <v>0</v>
      </c>
      <c r="Q303" s="89">
        <f t="shared" si="542"/>
        <v>0</v>
      </c>
      <c r="R303" s="89">
        <f t="shared" si="542"/>
        <v>0</v>
      </c>
      <c r="S303" s="89">
        <f t="shared" si="542"/>
        <v>0</v>
      </c>
      <c r="T303" s="89">
        <f t="shared" si="542"/>
        <v>0</v>
      </c>
      <c r="U303" s="89">
        <f t="shared" si="542"/>
        <v>0</v>
      </c>
      <c r="V303" s="89">
        <f t="shared" si="542"/>
        <v>0</v>
      </c>
      <c r="W303" s="89">
        <f t="shared" si="542"/>
        <v>0</v>
      </c>
      <c r="X303" s="89">
        <f t="shared" si="528"/>
        <v>0</v>
      </c>
      <c r="Y303" s="89">
        <f t="shared" ref="Y303:AO303" si="543">Y127+Y215</f>
        <v>0</v>
      </c>
      <c r="Z303" s="89">
        <f t="shared" si="543"/>
        <v>0</v>
      </c>
      <c r="AA303" s="89">
        <f t="shared" si="543"/>
        <v>0</v>
      </c>
      <c r="AB303" s="89">
        <f t="shared" si="543"/>
        <v>0</v>
      </c>
      <c r="AC303" s="89">
        <f t="shared" si="543"/>
        <v>0</v>
      </c>
      <c r="AD303" s="89">
        <f t="shared" si="543"/>
        <v>0</v>
      </c>
      <c r="AE303" s="89">
        <f t="shared" si="543"/>
        <v>0</v>
      </c>
      <c r="AF303" s="89">
        <f t="shared" si="543"/>
        <v>0</v>
      </c>
      <c r="AG303" s="89">
        <f t="shared" si="543"/>
        <v>0</v>
      </c>
      <c r="AH303" s="89">
        <f t="shared" si="543"/>
        <v>0</v>
      </c>
      <c r="AI303" s="89">
        <f t="shared" si="543"/>
        <v>0</v>
      </c>
      <c r="AJ303" s="89">
        <f t="shared" si="543"/>
        <v>0</v>
      </c>
      <c r="AK303" s="89">
        <f t="shared" si="543"/>
        <v>0</v>
      </c>
      <c r="AL303" s="89">
        <f t="shared" si="543"/>
        <v>0</v>
      </c>
      <c r="AM303" s="89">
        <f t="shared" si="543"/>
        <v>0</v>
      </c>
      <c r="AN303" s="89">
        <f t="shared" si="543"/>
        <v>0</v>
      </c>
      <c r="AO303" s="89">
        <f t="shared" si="543"/>
        <v>0</v>
      </c>
      <c r="AP303" s="89">
        <f t="shared" si="530"/>
        <v>0</v>
      </c>
      <c r="AQ303" s="89">
        <f t="shared" si="531"/>
        <v>0</v>
      </c>
      <c r="AR303" s="89">
        <f t="shared" si="531"/>
        <v>0</v>
      </c>
      <c r="AS303" s="89">
        <f t="shared" si="531"/>
        <v>0</v>
      </c>
      <c r="AT303" s="89">
        <f t="shared" si="531"/>
        <v>0</v>
      </c>
      <c r="AU303" s="89">
        <f t="shared" si="531"/>
        <v>0</v>
      </c>
      <c r="AV303" s="89">
        <f t="shared" si="531"/>
        <v>0</v>
      </c>
      <c r="AW303" s="89">
        <f t="shared" si="531"/>
        <v>0</v>
      </c>
      <c r="AX303" s="89">
        <f t="shared" si="532"/>
        <v>0</v>
      </c>
      <c r="AY303" s="89">
        <f t="shared" si="533"/>
        <v>0</v>
      </c>
      <c r="AZ303" s="89">
        <f t="shared" si="533"/>
        <v>0</v>
      </c>
      <c r="BA303" s="89">
        <f t="shared" si="534"/>
        <v>0</v>
      </c>
      <c r="BB303" s="89">
        <f t="shared" si="534"/>
        <v>0</v>
      </c>
      <c r="BC303" s="89">
        <f t="shared" si="534"/>
        <v>0</v>
      </c>
      <c r="BD303" s="89">
        <f t="shared" si="534"/>
        <v>0</v>
      </c>
      <c r="BE303" s="89">
        <f t="shared" si="534"/>
        <v>0</v>
      </c>
      <c r="BF303" s="89">
        <f t="shared" si="535"/>
        <v>0</v>
      </c>
      <c r="BG303" s="89">
        <f t="shared" si="536"/>
        <v>0</v>
      </c>
      <c r="BH303" s="111">
        <f t="shared" si="537"/>
        <v>0</v>
      </c>
    </row>
    <row r="304" spans="1:60" ht="22.5">
      <c r="A304" s="51"/>
      <c r="B304" s="108"/>
      <c r="C304" s="52" t="s">
        <v>159</v>
      </c>
      <c r="D304" s="52" t="s">
        <v>3</v>
      </c>
      <c r="E304" s="52" t="s">
        <v>0</v>
      </c>
      <c r="F304" s="54" t="s">
        <v>46</v>
      </c>
      <c r="G304" s="89">
        <f t="shared" ref="G304:W304" si="544">G128+G216</f>
        <v>0</v>
      </c>
      <c r="H304" s="89">
        <f t="shared" si="544"/>
        <v>0</v>
      </c>
      <c r="I304" s="89">
        <f t="shared" si="544"/>
        <v>0</v>
      </c>
      <c r="J304" s="89">
        <f t="shared" si="544"/>
        <v>0</v>
      </c>
      <c r="K304" s="89">
        <f t="shared" si="544"/>
        <v>0</v>
      </c>
      <c r="L304" s="89">
        <f t="shared" si="544"/>
        <v>0</v>
      </c>
      <c r="M304" s="89">
        <f t="shared" si="544"/>
        <v>0</v>
      </c>
      <c r="N304" s="89">
        <f t="shared" si="544"/>
        <v>0</v>
      </c>
      <c r="O304" s="89">
        <f t="shared" si="544"/>
        <v>0</v>
      </c>
      <c r="P304" s="89">
        <f t="shared" si="544"/>
        <v>0</v>
      </c>
      <c r="Q304" s="89">
        <f t="shared" si="544"/>
        <v>0</v>
      </c>
      <c r="R304" s="89">
        <f t="shared" si="544"/>
        <v>0</v>
      </c>
      <c r="S304" s="89">
        <f t="shared" si="544"/>
        <v>0</v>
      </c>
      <c r="T304" s="89">
        <f t="shared" si="544"/>
        <v>0</v>
      </c>
      <c r="U304" s="89">
        <f t="shared" si="544"/>
        <v>0</v>
      </c>
      <c r="V304" s="89">
        <f t="shared" si="544"/>
        <v>0</v>
      </c>
      <c r="W304" s="89">
        <f t="shared" si="544"/>
        <v>0</v>
      </c>
      <c r="X304" s="89">
        <f t="shared" si="528"/>
        <v>0</v>
      </c>
      <c r="Y304" s="89">
        <f t="shared" ref="Y304:AO304" si="545">Y128+Y216</f>
        <v>0</v>
      </c>
      <c r="Z304" s="89">
        <f t="shared" si="545"/>
        <v>0</v>
      </c>
      <c r="AA304" s="89">
        <f t="shared" si="545"/>
        <v>0</v>
      </c>
      <c r="AB304" s="89">
        <f t="shared" si="545"/>
        <v>0</v>
      </c>
      <c r="AC304" s="89">
        <f t="shared" si="545"/>
        <v>0</v>
      </c>
      <c r="AD304" s="89">
        <f t="shared" si="545"/>
        <v>0</v>
      </c>
      <c r="AE304" s="89">
        <f t="shared" si="545"/>
        <v>0</v>
      </c>
      <c r="AF304" s="89">
        <f t="shared" si="545"/>
        <v>0</v>
      </c>
      <c r="AG304" s="89">
        <f t="shared" si="545"/>
        <v>0</v>
      </c>
      <c r="AH304" s="89">
        <f t="shared" si="545"/>
        <v>0</v>
      </c>
      <c r="AI304" s="89">
        <f t="shared" si="545"/>
        <v>0</v>
      </c>
      <c r="AJ304" s="89">
        <f t="shared" si="545"/>
        <v>0</v>
      </c>
      <c r="AK304" s="89">
        <f t="shared" si="545"/>
        <v>0</v>
      </c>
      <c r="AL304" s="89">
        <f t="shared" si="545"/>
        <v>0</v>
      </c>
      <c r="AM304" s="89">
        <f t="shared" si="545"/>
        <v>0</v>
      </c>
      <c r="AN304" s="89">
        <f t="shared" si="545"/>
        <v>0</v>
      </c>
      <c r="AO304" s="89">
        <f t="shared" si="545"/>
        <v>0</v>
      </c>
      <c r="AP304" s="89">
        <f t="shared" si="530"/>
        <v>0</v>
      </c>
      <c r="AQ304" s="89">
        <f t="shared" si="531"/>
        <v>0</v>
      </c>
      <c r="AR304" s="89">
        <f t="shared" si="531"/>
        <v>0</v>
      </c>
      <c r="AS304" s="89">
        <f t="shared" si="531"/>
        <v>0</v>
      </c>
      <c r="AT304" s="89">
        <f t="shared" si="531"/>
        <v>0</v>
      </c>
      <c r="AU304" s="89">
        <f t="shared" si="531"/>
        <v>0</v>
      </c>
      <c r="AV304" s="89">
        <f t="shared" si="531"/>
        <v>0</v>
      </c>
      <c r="AW304" s="89">
        <f t="shared" si="531"/>
        <v>0</v>
      </c>
      <c r="AX304" s="89">
        <f t="shared" si="532"/>
        <v>0</v>
      </c>
      <c r="AY304" s="89">
        <f t="shared" si="533"/>
        <v>0</v>
      </c>
      <c r="AZ304" s="89">
        <f t="shared" si="533"/>
        <v>0</v>
      </c>
      <c r="BA304" s="89">
        <f t="shared" si="534"/>
        <v>0</v>
      </c>
      <c r="BB304" s="89">
        <f t="shared" si="534"/>
        <v>0</v>
      </c>
      <c r="BC304" s="89">
        <f t="shared" si="534"/>
        <v>0</v>
      </c>
      <c r="BD304" s="89">
        <f t="shared" si="534"/>
        <v>0</v>
      </c>
      <c r="BE304" s="89">
        <f t="shared" si="534"/>
        <v>0</v>
      </c>
      <c r="BF304" s="89">
        <f t="shared" si="535"/>
        <v>0</v>
      </c>
      <c r="BG304" s="89">
        <f t="shared" si="536"/>
        <v>0</v>
      </c>
      <c r="BH304" s="111">
        <f t="shared" si="537"/>
        <v>0</v>
      </c>
    </row>
    <row r="305" spans="1:60">
      <c r="A305" s="51"/>
      <c r="B305" s="108"/>
      <c r="C305" s="52" t="s">
        <v>160</v>
      </c>
      <c r="D305" s="52" t="s">
        <v>3</v>
      </c>
      <c r="E305" s="52" t="s">
        <v>0</v>
      </c>
      <c r="F305" s="53" t="s">
        <v>64</v>
      </c>
      <c r="G305" s="89">
        <f t="shared" ref="G305:W305" si="546">G129+G217</f>
        <v>0</v>
      </c>
      <c r="H305" s="89">
        <f t="shared" si="546"/>
        <v>0</v>
      </c>
      <c r="I305" s="89">
        <f t="shared" si="546"/>
        <v>0</v>
      </c>
      <c r="J305" s="89">
        <f t="shared" si="546"/>
        <v>0</v>
      </c>
      <c r="K305" s="89">
        <f t="shared" si="546"/>
        <v>0</v>
      </c>
      <c r="L305" s="89">
        <f t="shared" si="546"/>
        <v>0</v>
      </c>
      <c r="M305" s="89">
        <f t="shared" si="546"/>
        <v>0</v>
      </c>
      <c r="N305" s="89">
        <f t="shared" si="546"/>
        <v>0</v>
      </c>
      <c r="O305" s="89">
        <f t="shared" si="546"/>
        <v>0</v>
      </c>
      <c r="P305" s="89">
        <f t="shared" si="546"/>
        <v>0</v>
      </c>
      <c r="Q305" s="89">
        <f t="shared" si="546"/>
        <v>0</v>
      </c>
      <c r="R305" s="89">
        <f t="shared" si="546"/>
        <v>0</v>
      </c>
      <c r="S305" s="89">
        <f t="shared" si="546"/>
        <v>0</v>
      </c>
      <c r="T305" s="89">
        <f t="shared" si="546"/>
        <v>0</v>
      </c>
      <c r="U305" s="89">
        <f t="shared" si="546"/>
        <v>0</v>
      </c>
      <c r="V305" s="89">
        <f t="shared" si="546"/>
        <v>0</v>
      </c>
      <c r="W305" s="89">
        <f t="shared" si="546"/>
        <v>0</v>
      </c>
      <c r="X305" s="89">
        <f t="shared" si="528"/>
        <v>0</v>
      </c>
      <c r="Y305" s="89">
        <f t="shared" ref="Y305:AO305" si="547">Y129+Y217</f>
        <v>0</v>
      </c>
      <c r="Z305" s="89">
        <f t="shared" si="547"/>
        <v>0</v>
      </c>
      <c r="AA305" s="89">
        <f t="shared" si="547"/>
        <v>0</v>
      </c>
      <c r="AB305" s="89">
        <f t="shared" si="547"/>
        <v>0</v>
      </c>
      <c r="AC305" s="89">
        <f t="shared" si="547"/>
        <v>0</v>
      </c>
      <c r="AD305" s="89">
        <f t="shared" si="547"/>
        <v>0</v>
      </c>
      <c r="AE305" s="89">
        <f t="shared" si="547"/>
        <v>0</v>
      </c>
      <c r="AF305" s="89">
        <f t="shared" si="547"/>
        <v>0</v>
      </c>
      <c r="AG305" s="89">
        <f t="shared" si="547"/>
        <v>0</v>
      </c>
      <c r="AH305" s="89">
        <f t="shared" si="547"/>
        <v>0</v>
      </c>
      <c r="AI305" s="89">
        <f t="shared" si="547"/>
        <v>0</v>
      </c>
      <c r="AJ305" s="89">
        <f t="shared" si="547"/>
        <v>0</v>
      </c>
      <c r="AK305" s="89">
        <f t="shared" si="547"/>
        <v>0</v>
      </c>
      <c r="AL305" s="89">
        <f t="shared" si="547"/>
        <v>0</v>
      </c>
      <c r="AM305" s="89">
        <f t="shared" si="547"/>
        <v>0</v>
      </c>
      <c r="AN305" s="89">
        <f t="shared" si="547"/>
        <v>0</v>
      </c>
      <c r="AO305" s="89">
        <f t="shared" si="547"/>
        <v>0</v>
      </c>
      <c r="AP305" s="89">
        <f t="shared" si="530"/>
        <v>0</v>
      </c>
      <c r="AQ305" s="89">
        <f t="shared" si="531"/>
        <v>0</v>
      </c>
      <c r="AR305" s="89">
        <f t="shared" si="531"/>
        <v>0</v>
      </c>
      <c r="AS305" s="89">
        <f t="shared" si="531"/>
        <v>0</v>
      </c>
      <c r="AT305" s="89">
        <f t="shared" si="531"/>
        <v>0</v>
      </c>
      <c r="AU305" s="89">
        <f t="shared" si="531"/>
        <v>0</v>
      </c>
      <c r="AV305" s="89">
        <f t="shared" si="531"/>
        <v>0</v>
      </c>
      <c r="AW305" s="89">
        <f t="shared" si="531"/>
        <v>0</v>
      </c>
      <c r="AX305" s="89">
        <f t="shared" si="532"/>
        <v>0</v>
      </c>
      <c r="AY305" s="89">
        <f t="shared" si="533"/>
        <v>0</v>
      </c>
      <c r="AZ305" s="89">
        <f t="shared" si="533"/>
        <v>0</v>
      </c>
      <c r="BA305" s="89">
        <f t="shared" si="534"/>
        <v>0</v>
      </c>
      <c r="BB305" s="89">
        <f t="shared" si="534"/>
        <v>0</v>
      </c>
      <c r="BC305" s="89">
        <f t="shared" si="534"/>
        <v>0</v>
      </c>
      <c r="BD305" s="89">
        <f t="shared" si="534"/>
        <v>0</v>
      </c>
      <c r="BE305" s="89">
        <f t="shared" si="534"/>
        <v>0</v>
      </c>
      <c r="BF305" s="89">
        <f t="shared" si="535"/>
        <v>0</v>
      </c>
      <c r="BG305" s="89">
        <f t="shared" si="536"/>
        <v>0</v>
      </c>
      <c r="BH305" s="111">
        <f t="shared" si="537"/>
        <v>0</v>
      </c>
    </row>
    <row r="306" spans="1:60">
      <c r="A306" s="51"/>
      <c r="B306" s="108"/>
      <c r="C306" s="52" t="s">
        <v>142</v>
      </c>
      <c r="D306" s="52" t="s">
        <v>3</v>
      </c>
      <c r="E306" s="52" t="s">
        <v>0</v>
      </c>
      <c r="F306" s="53" t="s">
        <v>28</v>
      </c>
      <c r="G306" s="89">
        <f t="shared" ref="G306:W306" si="548">G130+G218</f>
        <v>0</v>
      </c>
      <c r="H306" s="89">
        <f t="shared" si="548"/>
        <v>0</v>
      </c>
      <c r="I306" s="89">
        <f t="shared" si="548"/>
        <v>0</v>
      </c>
      <c r="J306" s="89">
        <f t="shared" si="548"/>
        <v>0</v>
      </c>
      <c r="K306" s="89">
        <f t="shared" si="548"/>
        <v>0</v>
      </c>
      <c r="L306" s="89">
        <f t="shared" si="548"/>
        <v>0</v>
      </c>
      <c r="M306" s="89">
        <f t="shared" si="548"/>
        <v>0</v>
      </c>
      <c r="N306" s="89">
        <f t="shared" si="548"/>
        <v>0</v>
      </c>
      <c r="O306" s="89">
        <f t="shared" si="548"/>
        <v>0</v>
      </c>
      <c r="P306" s="89">
        <f t="shared" si="548"/>
        <v>0</v>
      </c>
      <c r="Q306" s="89">
        <f t="shared" si="548"/>
        <v>0</v>
      </c>
      <c r="R306" s="89">
        <f t="shared" si="548"/>
        <v>0</v>
      </c>
      <c r="S306" s="89">
        <f t="shared" si="548"/>
        <v>0</v>
      </c>
      <c r="T306" s="89">
        <f t="shared" si="548"/>
        <v>0</v>
      </c>
      <c r="U306" s="89">
        <f t="shared" si="548"/>
        <v>0</v>
      </c>
      <c r="V306" s="89">
        <f t="shared" si="548"/>
        <v>0</v>
      </c>
      <c r="W306" s="89">
        <f t="shared" si="548"/>
        <v>0</v>
      </c>
      <c r="X306" s="89">
        <f t="shared" si="528"/>
        <v>0</v>
      </c>
      <c r="Y306" s="89">
        <f t="shared" ref="Y306:AO306" si="549">Y130+Y218</f>
        <v>0</v>
      </c>
      <c r="Z306" s="89">
        <f t="shared" si="549"/>
        <v>0</v>
      </c>
      <c r="AA306" s="89">
        <f t="shared" si="549"/>
        <v>0</v>
      </c>
      <c r="AB306" s="89">
        <f t="shared" si="549"/>
        <v>0</v>
      </c>
      <c r="AC306" s="89">
        <f t="shared" si="549"/>
        <v>0</v>
      </c>
      <c r="AD306" s="89">
        <f t="shared" si="549"/>
        <v>0</v>
      </c>
      <c r="AE306" s="89">
        <f t="shared" si="549"/>
        <v>0</v>
      </c>
      <c r="AF306" s="89">
        <f t="shared" si="549"/>
        <v>0</v>
      </c>
      <c r="AG306" s="89">
        <f t="shared" si="549"/>
        <v>0</v>
      </c>
      <c r="AH306" s="89">
        <f t="shared" si="549"/>
        <v>0</v>
      </c>
      <c r="AI306" s="89">
        <f t="shared" si="549"/>
        <v>0</v>
      </c>
      <c r="AJ306" s="89">
        <f t="shared" si="549"/>
        <v>0</v>
      </c>
      <c r="AK306" s="89">
        <f t="shared" si="549"/>
        <v>0</v>
      </c>
      <c r="AL306" s="89">
        <f t="shared" si="549"/>
        <v>0</v>
      </c>
      <c r="AM306" s="89">
        <f t="shared" si="549"/>
        <v>0</v>
      </c>
      <c r="AN306" s="89">
        <f t="shared" si="549"/>
        <v>0</v>
      </c>
      <c r="AO306" s="89">
        <f t="shared" si="549"/>
        <v>0</v>
      </c>
      <c r="AP306" s="89">
        <f t="shared" si="530"/>
        <v>0</v>
      </c>
      <c r="AQ306" s="89">
        <f t="shared" si="531"/>
        <v>0</v>
      </c>
      <c r="AR306" s="89">
        <f t="shared" si="531"/>
        <v>0</v>
      </c>
      <c r="AS306" s="89">
        <f t="shared" si="531"/>
        <v>0</v>
      </c>
      <c r="AT306" s="89">
        <f t="shared" si="531"/>
        <v>0</v>
      </c>
      <c r="AU306" s="89">
        <f t="shared" si="531"/>
        <v>0</v>
      </c>
      <c r="AV306" s="89">
        <f t="shared" si="531"/>
        <v>0</v>
      </c>
      <c r="AW306" s="89">
        <f t="shared" si="531"/>
        <v>0</v>
      </c>
      <c r="AX306" s="89">
        <f t="shared" si="532"/>
        <v>0</v>
      </c>
      <c r="AY306" s="89">
        <f t="shared" si="533"/>
        <v>0</v>
      </c>
      <c r="AZ306" s="89">
        <f t="shared" si="533"/>
        <v>0</v>
      </c>
      <c r="BA306" s="89">
        <f t="shared" si="534"/>
        <v>0</v>
      </c>
      <c r="BB306" s="89">
        <f t="shared" si="534"/>
        <v>0</v>
      </c>
      <c r="BC306" s="89">
        <f t="shared" si="534"/>
        <v>0</v>
      </c>
      <c r="BD306" s="89">
        <f t="shared" si="534"/>
        <v>0</v>
      </c>
      <c r="BE306" s="89">
        <f t="shared" si="534"/>
        <v>0</v>
      </c>
      <c r="BF306" s="89">
        <f t="shared" si="535"/>
        <v>0</v>
      </c>
      <c r="BG306" s="89">
        <f t="shared" si="536"/>
        <v>0</v>
      </c>
      <c r="BH306" s="111">
        <f t="shared" si="537"/>
        <v>0</v>
      </c>
    </row>
    <row r="307" spans="1:60">
      <c r="A307" s="51"/>
      <c r="B307" s="108"/>
      <c r="C307" s="52"/>
      <c r="D307" s="52"/>
      <c r="E307" s="52" t="s">
        <v>0</v>
      </c>
      <c r="F307" s="53" t="s">
        <v>47</v>
      </c>
      <c r="G307" s="91"/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  <c r="X307" s="91"/>
      <c r="Y307" s="91"/>
      <c r="Z307" s="91"/>
      <c r="AA307" s="91"/>
      <c r="AB307" s="91"/>
      <c r="AC307" s="91"/>
      <c r="AD307" s="91"/>
      <c r="AE307" s="91"/>
      <c r="AF307" s="91"/>
      <c r="AG307" s="91"/>
      <c r="AH307" s="91"/>
      <c r="AI307" s="91"/>
      <c r="AJ307" s="91"/>
      <c r="AK307" s="91"/>
      <c r="AL307" s="91"/>
      <c r="AM307" s="91"/>
      <c r="AN307" s="91"/>
      <c r="AO307" s="91"/>
      <c r="AP307" s="91"/>
      <c r="AQ307" s="91"/>
      <c r="AR307" s="91"/>
      <c r="AS307" s="91"/>
      <c r="AT307" s="91"/>
      <c r="AU307" s="91"/>
      <c r="AV307" s="91"/>
      <c r="AW307" s="91"/>
      <c r="AX307" s="91"/>
      <c r="AY307" s="91"/>
      <c r="AZ307" s="91"/>
      <c r="BA307" s="91"/>
      <c r="BB307" s="91"/>
      <c r="BC307" s="91"/>
      <c r="BD307" s="91"/>
      <c r="BE307" s="91"/>
      <c r="BF307" s="91"/>
      <c r="BG307" s="91"/>
      <c r="BH307" s="112"/>
    </row>
    <row r="308" spans="1:60">
      <c r="A308" s="51"/>
      <c r="B308" s="108"/>
      <c r="C308" s="52" t="s">
        <v>161</v>
      </c>
      <c r="D308" s="52" t="s">
        <v>3</v>
      </c>
      <c r="E308" s="52" t="s">
        <v>0</v>
      </c>
      <c r="F308" s="54" t="s">
        <v>48</v>
      </c>
      <c r="G308" s="89">
        <f t="shared" ref="G308:W308" si="550">G132+G220</f>
        <v>0</v>
      </c>
      <c r="H308" s="89">
        <f t="shared" si="550"/>
        <v>0</v>
      </c>
      <c r="I308" s="89">
        <f t="shared" si="550"/>
        <v>0</v>
      </c>
      <c r="J308" s="89">
        <f t="shared" si="550"/>
        <v>0</v>
      </c>
      <c r="K308" s="89">
        <f t="shared" si="550"/>
        <v>0</v>
      </c>
      <c r="L308" s="89">
        <f t="shared" si="550"/>
        <v>0</v>
      </c>
      <c r="M308" s="89">
        <f t="shared" si="550"/>
        <v>0</v>
      </c>
      <c r="N308" s="89">
        <f t="shared" si="550"/>
        <v>0</v>
      </c>
      <c r="O308" s="89">
        <f t="shared" si="550"/>
        <v>0</v>
      </c>
      <c r="P308" s="89">
        <f t="shared" si="550"/>
        <v>0</v>
      </c>
      <c r="Q308" s="89">
        <f t="shared" si="550"/>
        <v>0</v>
      </c>
      <c r="R308" s="89">
        <f t="shared" si="550"/>
        <v>0</v>
      </c>
      <c r="S308" s="89">
        <f t="shared" si="550"/>
        <v>0</v>
      </c>
      <c r="T308" s="89">
        <f t="shared" si="550"/>
        <v>0</v>
      </c>
      <c r="U308" s="89">
        <f t="shared" si="550"/>
        <v>0</v>
      </c>
      <c r="V308" s="89">
        <f t="shared" si="550"/>
        <v>0</v>
      </c>
      <c r="W308" s="89">
        <f t="shared" si="550"/>
        <v>0</v>
      </c>
      <c r="X308" s="89">
        <f t="shared" ref="X308:X310" si="551">SUM(P308:W308)+SUM(G308:K308)</f>
        <v>0</v>
      </c>
      <c r="Y308" s="89">
        <f t="shared" ref="Y308:AO308" si="552">Y132+Y220</f>
        <v>0</v>
      </c>
      <c r="Z308" s="89">
        <f t="shared" si="552"/>
        <v>0</v>
      </c>
      <c r="AA308" s="89">
        <f t="shared" si="552"/>
        <v>0</v>
      </c>
      <c r="AB308" s="89">
        <f t="shared" si="552"/>
        <v>0</v>
      </c>
      <c r="AC308" s="89">
        <f t="shared" si="552"/>
        <v>0</v>
      </c>
      <c r="AD308" s="89">
        <f t="shared" si="552"/>
        <v>0</v>
      </c>
      <c r="AE308" s="89">
        <f t="shared" si="552"/>
        <v>0</v>
      </c>
      <c r="AF308" s="89">
        <f t="shared" si="552"/>
        <v>0</v>
      </c>
      <c r="AG308" s="89">
        <f t="shared" si="552"/>
        <v>0</v>
      </c>
      <c r="AH308" s="89">
        <f t="shared" si="552"/>
        <v>0</v>
      </c>
      <c r="AI308" s="89">
        <f t="shared" si="552"/>
        <v>0</v>
      </c>
      <c r="AJ308" s="89">
        <f t="shared" si="552"/>
        <v>0</v>
      </c>
      <c r="AK308" s="89">
        <f t="shared" si="552"/>
        <v>0</v>
      </c>
      <c r="AL308" s="89">
        <f t="shared" si="552"/>
        <v>0</v>
      </c>
      <c r="AM308" s="89">
        <f t="shared" si="552"/>
        <v>0</v>
      </c>
      <c r="AN308" s="89">
        <f t="shared" si="552"/>
        <v>0</v>
      </c>
      <c r="AO308" s="89">
        <f t="shared" si="552"/>
        <v>0</v>
      </c>
      <c r="AP308" s="89">
        <f t="shared" ref="AP308:AP310" si="553">SUM(AH308:AO308)+SUM(Y308:AC308)</f>
        <v>0</v>
      </c>
      <c r="AQ308" s="89">
        <f t="shared" ref="AQ308:AW310" si="554">AQ132+AQ220</f>
        <v>0</v>
      </c>
      <c r="AR308" s="89">
        <f t="shared" si="554"/>
        <v>0</v>
      </c>
      <c r="AS308" s="89">
        <f t="shared" si="554"/>
        <v>0</v>
      </c>
      <c r="AT308" s="89">
        <f t="shared" si="554"/>
        <v>0</v>
      </c>
      <c r="AU308" s="89">
        <f t="shared" si="554"/>
        <v>0</v>
      </c>
      <c r="AV308" s="89">
        <f t="shared" si="554"/>
        <v>0</v>
      </c>
      <c r="AW308" s="89">
        <f t="shared" si="554"/>
        <v>0</v>
      </c>
      <c r="AX308" s="89">
        <f t="shared" ref="AX308:AX310" si="555">N308+AF308</f>
        <v>0</v>
      </c>
      <c r="AY308" s="89">
        <f t="shared" ref="AY308:AZ310" si="556">O308+AG308</f>
        <v>0</v>
      </c>
      <c r="AZ308" s="89">
        <f t="shared" si="556"/>
        <v>0</v>
      </c>
      <c r="BA308" s="89">
        <f t="shared" ref="BA308:BE310" si="557">BA132+BA220</f>
        <v>0</v>
      </c>
      <c r="BB308" s="89">
        <f t="shared" si="557"/>
        <v>0</v>
      </c>
      <c r="BC308" s="89">
        <f t="shared" si="557"/>
        <v>0</v>
      </c>
      <c r="BD308" s="89">
        <f t="shared" si="557"/>
        <v>0</v>
      </c>
      <c r="BE308" s="89">
        <f t="shared" si="557"/>
        <v>0</v>
      </c>
      <c r="BF308" s="89">
        <f t="shared" ref="BF308:BF310" si="558">V308+AN308</f>
        <v>0</v>
      </c>
      <c r="BG308" s="89">
        <f>BG132+BG220</f>
        <v>0</v>
      </c>
      <c r="BH308" s="111">
        <f>X308+AP308</f>
        <v>0</v>
      </c>
    </row>
    <row r="309" spans="1:60">
      <c r="A309" s="51"/>
      <c r="B309" s="108"/>
      <c r="C309" s="52" t="s">
        <v>162</v>
      </c>
      <c r="D309" s="52" t="s">
        <v>3</v>
      </c>
      <c r="E309" s="52" t="s">
        <v>0</v>
      </c>
      <c r="F309" s="54" t="s">
        <v>49</v>
      </c>
      <c r="G309" s="89">
        <f t="shared" ref="G309:W309" si="559">G133+G221</f>
        <v>0</v>
      </c>
      <c r="H309" s="89">
        <f t="shared" si="559"/>
        <v>0</v>
      </c>
      <c r="I309" s="89">
        <f t="shared" si="559"/>
        <v>0</v>
      </c>
      <c r="J309" s="89">
        <f t="shared" si="559"/>
        <v>0</v>
      </c>
      <c r="K309" s="89">
        <f t="shared" si="559"/>
        <v>0</v>
      </c>
      <c r="L309" s="89">
        <f t="shared" si="559"/>
        <v>0</v>
      </c>
      <c r="M309" s="89">
        <f t="shared" si="559"/>
        <v>0</v>
      </c>
      <c r="N309" s="89">
        <f t="shared" si="559"/>
        <v>0</v>
      </c>
      <c r="O309" s="89">
        <f t="shared" si="559"/>
        <v>0</v>
      </c>
      <c r="P309" s="89">
        <f t="shared" si="559"/>
        <v>0</v>
      </c>
      <c r="Q309" s="89">
        <f t="shared" si="559"/>
        <v>0</v>
      </c>
      <c r="R309" s="89">
        <f t="shared" si="559"/>
        <v>0</v>
      </c>
      <c r="S309" s="89">
        <f t="shared" si="559"/>
        <v>0</v>
      </c>
      <c r="T309" s="89">
        <f t="shared" si="559"/>
        <v>0</v>
      </c>
      <c r="U309" s="89">
        <f t="shared" si="559"/>
        <v>0</v>
      </c>
      <c r="V309" s="89">
        <f t="shared" si="559"/>
        <v>0</v>
      </c>
      <c r="W309" s="89">
        <f t="shared" si="559"/>
        <v>0</v>
      </c>
      <c r="X309" s="89">
        <f t="shared" si="551"/>
        <v>0</v>
      </c>
      <c r="Y309" s="89">
        <f t="shared" ref="Y309:AO309" si="560">Y133+Y221</f>
        <v>0</v>
      </c>
      <c r="Z309" s="89">
        <f t="shared" si="560"/>
        <v>0</v>
      </c>
      <c r="AA309" s="89">
        <f t="shared" si="560"/>
        <v>0</v>
      </c>
      <c r="AB309" s="89">
        <f t="shared" si="560"/>
        <v>0</v>
      </c>
      <c r="AC309" s="89">
        <f t="shared" si="560"/>
        <v>0</v>
      </c>
      <c r="AD309" s="89">
        <f t="shared" si="560"/>
        <v>0</v>
      </c>
      <c r="AE309" s="89">
        <f t="shared" si="560"/>
        <v>0</v>
      </c>
      <c r="AF309" s="89">
        <f t="shared" si="560"/>
        <v>0</v>
      </c>
      <c r="AG309" s="89">
        <f t="shared" si="560"/>
        <v>0</v>
      </c>
      <c r="AH309" s="89">
        <f t="shared" si="560"/>
        <v>0</v>
      </c>
      <c r="AI309" s="89">
        <f t="shared" si="560"/>
        <v>0</v>
      </c>
      <c r="AJ309" s="89">
        <f t="shared" si="560"/>
        <v>0</v>
      </c>
      <c r="AK309" s="89">
        <f t="shared" si="560"/>
        <v>0</v>
      </c>
      <c r="AL309" s="89">
        <f t="shared" si="560"/>
        <v>0</v>
      </c>
      <c r="AM309" s="89">
        <f t="shared" si="560"/>
        <v>0</v>
      </c>
      <c r="AN309" s="89">
        <f t="shared" si="560"/>
        <v>0</v>
      </c>
      <c r="AO309" s="89">
        <f t="shared" si="560"/>
        <v>0</v>
      </c>
      <c r="AP309" s="89">
        <f t="shared" si="553"/>
        <v>0</v>
      </c>
      <c r="AQ309" s="89">
        <f t="shared" si="554"/>
        <v>0</v>
      </c>
      <c r="AR309" s="89">
        <f t="shared" si="554"/>
        <v>0</v>
      </c>
      <c r="AS309" s="89">
        <f t="shared" si="554"/>
        <v>0</v>
      </c>
      <c r="AT309" s="89">
        <f t="shared" si="554"/>
        <v>0</v>
      </c>
      <c r="AU309" s="89">
        <f t="shared" si="554"/>
        <v>0</v>
      </c>
      <c r="AV309" s="89">
        <f t="shared" si="554"/>
        <v>0</v>
      </c>
      <c r="AW309" s="89">
        <f t="shared" si="554"/>
        <v>0</v>
      </c>
      <c r="AX309" s="89">
        <f t="shared" si="555"/>
        <v>0</v>
      </c>
      <c r="AY309" s="89">
        <f t="shared" si="556"/>
        <v>0</v>
      </c>
      <c r="AZ309" s="89">
        <f t="shared" si="556"/>
        <v>0</v>
      </c>
      <c r="BA309" s="89">
        <f t="shared" si="557"/>
        <v>0</v>
      </c>
      <c r="BB309" s="89">
        <f t="shared" si="557"/>
        <v>0</v>
      </c>
      <c r="BC309" s="89">
        <f t="shared" si="557"/>
        <v>0</v>
      </c>
      <c r="BD309" s="89">
        <f t="shared" si="557"/>
        <v>0</v>
      </c>
      <c r="BE309" s="89">
        <f t="shared" si="557"/>
        <v>0</v>
      </c>
      <c r="BF309" s="89">
        <f t="shared" si="558"/>
        <v>0</v>
      </c>
      <c r="BG309" s="89">
        <f>BG133+BG221</f>
        <v>0</v>
      </c>
      <c r="BH309" s="111">
        <f>X309+AP309</f>
        <v>0</v>
      </c>
    </row>
    <row r="310" spans="1:60">
      <c r="A310" s="51"/>
      <c r="B310" s="108"/>
      <c r="C310" s="52" t="s">
        <v>163</v>
      </c>
      <c r="D310" s="52" t="s">
        <v>3</v>
      </c>
      <c r="E310" s="52" t="s">
        <v>0</v>
      </c>
      <c r="F310" s="54" t="s">
        <v>50</v>
      </c>
      <c r="G310" s="89">
        <f t="shared" ref="G310:W310" si="561">G134+G222</f>
        <v>0</v>
      </c>
      <c r="H310" s="89">
        <f t="shared" si="561"/>
        <v>0</v>
      </c>
      <c r="I310" s="89">
        <f t="shared" si="561"/>
        <v>0</v>
      </c>
      <c r="J310" s="89">
        <f t="shared" si="561"/>
        <v>0</v>
      </c>
      <c r="K310" s="89">
        <f t="shared" si="561"/>
        <v>0</v>
      </c>
      <c r="L310" s="89">
        <f t="shared" si="561"/>
        <v>0</v>
      </c>
      <c r="M310" s="89">
        <f t="shared" si="561"/>
        <v>0</v>
      </c>
      <c r="N310" s="89">
        <f t="shared" si="561"/>
        <v>0</v>
      </c>
      <c r="O310" s="89">
        <f t="shared" si="561"/>
        <v>0</v>
      </c>
      <c r="P310" s="89">
        <f t="shared" si="561"/>
        <v>0</v>
      </c>
      <c r="Q310" s="89">
        <f t="shared" si="561"/>
        <v>0</v>
      </c>
      <c r="R310" s="89">
        <f t="shared" si="561"/>
        <v>0</v>
      </c>
      <c r="S310" s="89">
        <f t="shared" si="561"/>
        <v>0</v>
      </c>
      <c r="T310" s="89">
        <f t="shared" si="561"/>
        <v>0</v>
      </c>
      <c r="U310" s="89">
        <f t="shared" si="561"/>
        <v>0</v>
      </c>
      <c r="V310" s="89">
        <f t="shared" si="561"/>
        <v>0</v>
      </c>
      <c r="W310" s="89">
        <f t="shared" si="561"/>
        <v>0</v>
      </c>
      <c r="X310" s="89">
        <f t="shared" si="551"/>
        <v>0</v>
      </c>
      <c r="Y310" s="89">
        <f t="shared" ref="Y310:AO310" si="562">Y134+Y222</f>
        <v>0</v>
      </c>
      <c r="Z310" s="89">
        <f t="shared" si="562"/>
        <v>0</v>
      </c>
      <c r="AA310" s="89">
        <f t="shared" si="562"/>
        <v>0</v>
      </c>
      <c r="AB310" s="89">
        <f t="shared" si="562"/>
        <v>0</v>
      </c>
      <c r="AC310" s="89">
        <f t="shared" si="562"/>
        <v>0</v>
      </c>
      <c r="AD310" s="89">
        <f t="shared" si="562"/>
        <v>0</v>
      </c>
      <c r="AE310" s="89">
        <f t="shared" si="562"/>
        <v>0</v>
      </c>
      <c r="AF310" s="89">
        <f t="shared" si="562"/>
        <v>0</v>
      </c>
      <c r="AG310" s="89">
        <f t="shared" si="562"/>
        <v>0</v>
      </c>
      <c r="AH310" s="89">
        <f t="shared" si="562"/>
        <v>0</v>
      </c>
      <c r="AI310" s="89">
        <f t="shared" si="562"/>
        <v>0</v>
      </c>
      <c r="AJ310" s="89">
        <f t="shared" si="562"/>
        <v>0</v>
      </c>
      <c r="AK310" s="89">
        <f t="shared" si="562"/>
        <v>0</v>
      </c>
      <c r="AL310" s="89">
        <f t="shared" si="562"/>
        <v>0</v>
      </c>
      <c r="AM310" s="89">
        <f t="shared" si="562"/>
        <v>0</v>
      </c>
      <c r="AN310" s="89">
        <f t="shared" si="562"/>
        <v>0</v>
      </c>
      <c r="AO310" s="89">
        <f t="shared" si="562"/>
        <v>0</v>
      </c>
      <c r="AP310" s="89">
        <f t="shared" si="553"/>
        <v>0</v>
      </c>
      <c r="AQ310" s="89">
        <f t="shared" si="554"/>
        <v>0</v>
      </c>
      <c r="AR310" s="89">
        <f t="shared" si="554"/>
        <v>0</v>
      </c>
      <c r="AS310" s="89">
        <f t="shared" si="554"/>
        <v>0</v>
      </c>
      <c r="AT310" s="89">
        <f t="shared" si="554"/>
        <v>0</v>
      </c>
      <c r="AU310" s="89">
        <f t="shared" si="554"/>
        <v>0</v>
      </c>
      <c r="AV310" s="89">
        <f t="shared" si="554"/>
        <v>0</v>
      </c>
      <c r="AW310" s="89">
        <f t="shared" si="554"/>
        <v>0</v>
      </c>
      <c r="AX310" s="89">
        <f t="shared" si="555"/>
        <v>0</v>
      </c>
      <c r="AY310" s="89">
        <f t="shared" si="556"/>
        <v>0</v>
      </c>
      <c r="AZ310" s="89">
        <f t="shared" si="556"/>
        <v>0</v>
      </c>
      <c r="BA310" s="89">
        <f t="shared" si="557"/>
        <v>0</v>
      </c>
      <c r="BB310" s="89">
        <f t="shared" si="557"/>
        <v>0</v>
      </c>
      <c r="BC310" s="89">
        <f t="shared" si="557"/>
        <v>0</v>
      </c>
      <c r="BD310" s="89">
        <f t="shared" si="557"/>
        <v>0</v>
      </c>
      <c r="BE310" s="89">
        <f t="shared" si="557"/>
        <v>0</v>
      </c>
      <c r="BF310" s="89">
        <f t="shared" si="558"/>
        <v>0</v>
      </c>
      <c r="BG310" s="89">
        <f>BG134+BG222</f>
        <v>0</v>
      </c>
      <c r="BH310" s="111">
        <f>X310+AP310</f>
        <v>0</v>
      </c>
    </row>
    <row r="311" spans="1:60">
      <c r="A311" s="51"/>
      <c r="B311" s="108"/>
      <c r="C311" s="52"/>
      <c r="D311" s="52"/>
      <c r="E311" s="52"/>
      <c r="F311" s="53"/>
      <c r="G311" s="91"/>
      <c r="H311" s="91"/>
      <c r="I311" s="91"/>
      <c r="J311" s="91"/>
      <c r="K311" s="91"/>
      <c r="L311" s="91"/>
      <c r="M311" s="91"/>
      <c r="N311" s="91"/>
      <c r="O311" s="91"/>
      <c r="P311" s="91"/>
      <c r="Q311" s="91"/>
      <c r="R311" s="91"/>
      <c r="S311" s="91"/>
      <c r="T311" s="91"/>
      <c r="U311" s="91"/>
      <c r="V311" s="91"/>
      <c r="W311" s="91"/>
      <c r="X311" s="91"/>
      <c r="Y311" s="91"/>
      <c r="Z311" s="91"/>
      <c r="AA311" s="91"/>
      <c r="AB311" s="91"/>
      <c r="AC311" s="91"/>
      <c r="AD311" s="91"/>
      <c r="AE311" s="91"/>
      <c r="AF311" s="91"/>
      <c r="AG311" s="91"/>
      <c r="AH311" s="91"/>
      <c r="AI311" s="91"/>
      <c r="AJ311" s="91"/>
      <c r="AK311" s="91"/>
      <c r="AL311" s="91"/>
      <c r="AM311" s="91"/>
      <c r="AN311" s="91"/>
      <c r="AO311" s="91"/>
      <c r="AP311" s="91"/>
      <c r="AQ311" s="91"/>
      <c r="AR311" s="91"/>
      <c r="AS311" s="91"/>
      <c r="AT311" s="91"/>
      <c r="AU311" s="91"/>
      <c r="AV311" s="91"/>
      <c r="AW311" s="91"/>
      <c r="AX311" s="52"/>
      <c r="AY311" s="52"/>
      <c r="AZ311" s="52"/>
      <c r="BA311" s="91"/>
      <c r="BB311" s="91"/>
      <c r="BC311" s="91"/>
      <c r="BD311" s="91"/>
      <c r="BE311" s="91"/>
      <c r="BF311" s="52"/>
      <c r="BG311" s="91"/>
      <c r="BH311" s="112"/>
    </row>
    <row r="312" spans="1:60">
      <c r="A312" s="51"/>
      <c r="B312" s="108"/>
      <c r="C312" s="52"/>
      <c r="D312" s="52"/>
      <c r="E312" s="52"/>
      <c r="F312" s="53"/>
      <c r="G312" s="91"/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  <c r="U312" s="91"/>
      <c r="V312" s="91"/>
      <c r="W312" s="91"/>
      <c r="X312" s="91"/>
      <c r="Y312" s="91"/>
      <c r="Z312" s="91"/>
      <c r="AA312" s="91"/>
      <c r="AB312" s="91"/>
      <c r="AC312" s="91"/>
      <c r="AD312" s="91"/>
      <c r="AE312" s="91"/>
      <c r="AF312" s="91"/>
      <c r="AG312" s="91"/>
      <c r="AH312" s="91"/>
      <c r="AI312" s="91"/>
      <c r="AJ312" s="91"/>
      <c r="AK312" s="91"/>
      <c r="AL312" s="91"/>
      <c r="AM312" s="91"/>
      <c r="AN312" s="91"/>
      <c r="AO312" s="91"/>
      <c r="AP312" s="91"/>
      <c r="AQ312" s="91"/>
      <c r="AR312" s="91"/>
      <c r="AS312" s="91"/>
      <c r="AT312" s="91"/>
      <c r="AU312" s="91"/>
      <c r="AV312" s="91"/>
      <c r="AW312" s="91"/>
      <c r="AX312" s="52"/>
      <c r="AY312" s="52"/>
      <c r="AZ312" s="52"/>
      <c r="BA312" s="91"/>
      <c r="BB312" s="91"/>
      <c r="BC312" s="91"/>
      <c r="BD312" s="91"/>
      <c r="BE312" s="91"/>
      <c r="BF312" s="52"/>
      <c r="BG312" s="91"/>
      <c r="BH312" s="112"/>
    </row>
    <row r="313" spans="1:60" ht="22.5" customHeight="1">
      <c r="B313" s="105"/>
      <c r="C313" s="106"/>
      <c r="D313" s="106"/>
      <c r="E313" s="106"/>
      <c r="F313" s="50" t="s">
        <v>5</v>
      </c>
      <c r="G313" s="120"/>
      <c r="H313" s="120"/>
      <c r="I313" s="120"/>
      <c r="J313" s="120"/>
      <c r="K313" s="120"/>
      <c r="L313" s="120"/>
      <c r="M313" s="120"/>
      <c r="N313" s="120"/>
      <c r="O313" s="120"/>
      <c r="P313" s="120"/>
      <c r="Q313" s="120"/>
      <c r="R313" s="120"/>
      <c r="S313" s="120"/>
      <c r="T313" s="120"/>
      <c r="U313" s="120"/>
      <c r="V313" s="120"/>
      <c r="W313" s="120"/>
      <c r="X313" s="120"/>
      <c r="Y313" s="120"/>
      <c r="Z313" s="120"/>
      <c r="AA313" s="120"/>
      <c r="AB313" s="120"/>
      <c r="AC313" s="120"/>
      <c r="AD313" s="120"/>
      <c r="AE313" s="120"/>
      <c r="AF313" s="120"/>
      <c r="AG313" s="120"/>
      <c r="AH313" s="120"/>
      <c r="AI313" s="120"/>
      <c r="AJ313" s="120"/>
      <c r="AK313" s="120"/>
      <c r="AL313" s="120"/>
      <c r="AM313" s="120"/>
      <c r="AN313" s="120"/>
      <c r="AO313" s="120"/>
      <c r="AP313" s="120"/>
      <c r="AQ313" s="120"/>
      <c r="AR313" s="120"/>
      <c r="AS313" s="120"/>
      <c r="AT313" s="120"/>
      <c r="AU313" s="120"/>
      <c r="AV313" s="120"/>
      <c r="AW313" s="120"/>
      <c r="AX313" s="106"/>
      <c r="AY313" s="106"/>
      <c r="AZ313" s="106"/>
      <c r="BA313" s="120"/>
      <c r="BB313" s="120"/>
      <c r="BC313" s="120"/>
      <c r="BD313" s="120"/>
      <c r="BE313" s="120"/>
      <c r="BF313" s="106"/>
      <c r="BG313" s="120"/>
      <c r="BH313" s="121"/>
    </row>
    <row r="314" spans="1:60">
      <c r="A314" s="51"/>
      <c r="B314" s="108"/>
      <c r="C314" s="52"/>
      <c r="D314" s="52"/>
      <c r="E314" s="52"/>
      <c r="F314" s="53"/>
      <c r="G314" s="91"/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91"/>
      <c r="S314" s="91"/>
      <c r="T314" s="91"/>
      <c r="U314" s="91"/>
      <c r="V314" s="91"/>
      <c r="W314" s="91"/>
      <c r="X314" s="91"/>
      <c r="Y314" s="91"/>
      <c r="Z314" s="91"/>
      <c r="AA314" s="91"/>
      <c r="AB314" s="91"/>
      <c r="AC314" s="91"/>
      <c r="AD314" s="91"/>
      <c r="AE314" s="91"/>
      <c r="AF314" s="91"/>
      <c r="AG314" s="91"/>
      <c r="AH314" s="91"/>
      <c r="AI314" s="91"/>
      <c r="AJ314" s="91"/>
      <c r="AK314" s="91"/>
      <c r="AL314" s="91"/>
      <c r="AM314" s="91"/>
      <c r="AN314" s="91"/>
      <c r="AO314" s="91"/>
      <c r="AP314" s="91"/>
      <c r="AQ314" s="91"/>
      <c r="AR314" s="91"/>
      <c r="AS314" s="91"/>
      <c r="AT314" s="91"/>
      <c r="AU314" s="91"/>
      <c r="AV314" s="91"/>
      <c r="AW314" s="91"/>
      <c r="AX314" s="52"/>
      <c r="AY314" s="52"/>
      <c r="AZ314" s="52"/>
      <c r="BA314" s="91"/>
      <c r="BB314" s="91"/>
      <c r="BC314" s="91"/>
      <c r="BD314" s="91"/>
      <c r="BE314" s="91"/>
      <c r="BF314" s="52"/>
      <c r="BG314" s="91"/>
      <c r="BH314" s="112"/>
    </row>
    <row r="315" spans="1:60">
      <c r="A315" s="51"/>
      <c r="B315" s="108"/>
      <c r="C315" s="123" t="s">
        <v>192</v>
      </c>
      <c r="D315" s="123" t="s">
        <v>93</v>
      </c>
      <c r="E315" s="123" t="s">
        <v>0</v>
      </c>
      <c r="F315" s="126" t="s">
        <v>196</v>
      </c>
      <c r="G315" s="55"/>
      <c r="H315" s="55"/>
      <c r="I315" s="55"/>
      <c r="J315" s="55"/>
      <c r="K315" s="55"/>
      <c r="L315" s="55"/>
      <c r="M315" s="55"/>
      <c r="N315" s="55"/>
      <c r="O315" s="55"/>
      <c r="P315" s="55"/>
      <c r="Q315" s="55"/>
      <c r="R315" s="55"/>
      <c r="S315" s="55"/>
      <c r="T315" s="55"/>
      <c r="U315" s="55"/>
      <c r="V315" s="55"/>
      <c r="W315" s="55"/>
      <c r="X315" s="55"/>
      <c r="Y315" s="55"/>
      <c r="Z315" s="55"/>
      <c r="AA315" s="55"/>
      <c r="AB315" s="55"/>
      <c r="AC315" s="55"/>
      <c r="AD315" s="55"/>
      <c r="AE315" s="55"/>
      <c r="AF315" s="55"/>
      <c r="AG315" s="55"/>
      <c r="AH315" s="55"/>
      <c r="AI315" s="55"/>
      <c r="AJ315" s="55"/>
      <c r="AK315" s="55"/>
      <c r="AL315" s="55"/>
      <c r="AM315" s="55"/>
      <c r="AN315" s="55"/>
      <c r="AO315" s="55"/>
      <c r="AP315" s="55"/>
      <c r="AQ315" s="55"/>
      <c r="AR315" s="55"/>
      <c r="AS315" s="55"/>
      <c r="AT315" s="55"/>
      <c r="AU315" s="55"/>
      <c r="AV315" s="55"/>
      <c r="AW315" s="55"/>
      <c r="AX315" s="55"/>
      <c r="AY315" s="55"/>
      <c r="AZ315" s="55"/>
      <c r="BA315" s="55"/>
      <c r="BB315" s="55"/>
      <c r="BC315" s="55"/>
      <c r="BD315" s="55"/>
      <c r="BE315" s="55"/>
      <c r="BF315" s="55"/>
      <c r="BG315" s="55"/>
      <c r="BH315" s="110"/>
    </row>
    <row r="316" spans="1:60" ht="22.5">
      <c r="A316" s="51"/>
      <c r="B316" s="108"/>
      <c r="C316" s="123" t="s">
        <v>193</v>
      </c>
      <c r="D316" s="123" t="s">
        <v>93</v>
      </c>
      <c r="E316" s="123" t="s">
        <v>0</v>
      </c>
      <c r="F316" s="126" t="s">
        <v>197</v>
      </c>
      <c r="G316" s="55"/>
      <c r="H316" s="55"/>
      <c r="I316" s="55"/>
      <c r="J316" s="55"/>
      <c r="K316" s="55"/>
      <c r="L316" s="55"/>
      <c r="M316" s="55"/>
      <c r="N316" s="55"/>
      <c r="O316" s="55"/>
      <c r="P316" s="55"/>
      <c r="Q316" s="55"/>
      <c r="R316" s="55"/>
      <c r="S316" s="55"/>
      <c r="T316" s="55"/>
      <c r="U316" s="55"/>
      <c r="V316" s="55"/>
      <c r="W316" s="55"/>
      <c r="X316" s="55"/>
      <c r="Y316" s="55"/>
      <c r="Z316" s="55"/>
      <c r="AA316" s="55"/>
      <c r="AB316" s="55"/>
      <c r="AC316" s="55"/>
      <c r="AD316" s="55"/>
      <c r="AE316" s="55"/>
      <c r="AF316" s="55"/>
      <c r="AG316" s="55"/>
      <c r="AH316" s="55"/>
      <c r="AI316" s="55"/>
      <c r="AJ316" s="55"/>
      <c r="AK316" s="55"/>
      <c r="AL316" s="55"/>
      <c r="AM316" s="55"/>
      <c r="AN316" s="55"/>
      <c r="AO316" s="55"/>
      <c r="AP316" s="55"/>
      <c r="AQ316" s="55"/>
      <c r="AR316" s="55"/>
      <c r="AS316" s="55"/>
      <c r="AT316" s="55"/>
      <c r="AU316" s="55"/>
      <c r="AV316" s="55"/>
      <c r="AW316" s="55"/>
      <c r="AX316" s="55"/>
      <c r="AY316" s="55"/>
      <c r="AZ316" s="55"/>
      <c r="BA316" s="55"/>
      <c r="BB316" s="55"/>
      <c r="BC316" s="55"/>
      <c r="BD316" s="55"/>
      <c r="BE316" s="55"/>
      <c r="BF316" s="55"/>
      <c r="BG316" s="55"/>
      <c r="BH316" s="110"/>
    </row>
    <row r="317" spans="1:60" ht="22.5">
      <c r="A317" s="51"/>
      <c r="B317" s="108"/>
      <c r="C317" s="123" t="s">
        <v>194</v>
      </c>
      <c r="D317" s="123" t="s">
        <v>93</v>
      </c>
      <c r="E317" s="123" t="s">
        <v>0</v>
      </c>
      <c r="F317" s="126" t="s">
        <v>198</v>
      </c>
      <c r="G317" s="55"/>
      <c r="H317" s="55"/>
      <c r="I317" s="55"/>
      <c r="J317" s="55"/>
      <c r="K317" s="55"/>
      <c r="L317" s="55"/>
      <c r="M317" s="55"/>
      <c r="N317" s="55"/>
      <c r="O317" s="55"/>
      <c r="P317" s="55"/>
      <c r="Q317" s="55"/>
      <c r="R317" s="55"/>
      <c r="S317" s="55"/>
      <c r="T317" s="55"/>
      <c r="U317" s="55"/>
      <c r="V317" s="55"/>
      <c r="W317" s="55"/>
      <c r="X317" s="55"/>
      <c r="Y317" s="55"/>
      <c r="Z317" s="55"/>
      <c r="AA317" s="55"/>
      <c r="AB317" s="55"/>
      <c r="AC317" s="55"/>
      <c r="AD317" s="55"/>
      <c r="AE317" s="55"/>
      <c r="AF317" s="55"/>
      <c r="AG317" s="55"/>
      <c r="AH317" s="55"/>
      <c r="AI317" s="55"/>
      <c r="AJ317" s="55"/>
      <c r="AK317" s="55"/>
      <c r="AL317" s="55"/>
      <c r="AM317" s="55"/>
      <c r="AN317" s="55"/>
      <c r="AO317" s="55"/>
      <c r="AP317" s="55"/>
      <c r="AQ317" s="55"/>
      <c r="AR317" s="55"/>
      <c r="AS317" s="55"/>
      <c r="AT317" s="55"/>
      <c r="AU317" s="55"/>
      <c r="AV317" s="55"/>
      <c r="AW317" s="55"/>
      <c r="AX317" s="55"/>
      <c r="AY317" s="55"/>
      <c r="AZ317" s="55"/>
      <c r="BA317" s="55"/>
      <c r="BB317" s="55"/>
      <c r="BC317" s="55"/>
      <c r="BD317" s="55"/>
      <c r="BE317" s="55"/>
      <c r="BF317" s="55"/>
      <c r="BG317" s="55"/>
      <c r="BH317" s="110"/>
    </row>
    <row r="318" spans="1:60">
      <c r="A318" s="51"/>
      <c r="B318" s="108"/>
      <c r="C318" s="123" t="s">
        <v>195</v>
      </c>
      <c r="D318" s="123" t="s">
        <v>93</v>
      </c>
      <c r="E318" s="123" t="s">
        <v>0</v>
      </c>
      <c r="F318" s="126" t="s">
        <v>199</v>
      </c>
      <c r="G318" s="55"/>
      <c r="H318" s="55"/>
      <c r="I318" s="55"/>
      <c r="J318" s="55"/>
      <c r="K318" s="55"/>
      <c r="L318" s="55"/>
      <c r="M318" s="55"/>
      <c r="N318" s="55"/>
      <c r="O318" s="55"/>
      <c r="P318" s="55"/>
      <c r="Q318" s="55"/>
      <c r="R318" s="55"/>
      <c r="S318" s="55"/>
      <c r="T318" s="55"/>
      <c r="U318" s="55"/>
      <c r="V318" s="55"/>
      <c r="W318" s="55"/>
      <c r="X318" s="55"/>
      <c r="Y318" s="55"/>
      <c r="Z318" s="55"/>
      <c r="AA318" s="55"/>
      <c r="AB318" s="55"/>
      <c r="AC318" s="55"/>
      <c r="AD318" s="55"/>
      <c r="AE318" s="55"/>
      <c r="AF318" s="55"/>
      <c r="AG318" s="55"/>
      <c r="AH318" s="55"/>
      <c r="AI318" s="55"/>
      <c r="AJ318" s="55"/>
      <c r="AK318" s="55"/>
      <c r="AL318" s="55"/>
      <c r="AM318" s="55"/>
      <c r="AN318" s="55"/>
      <c r="AO318" s="55"/>
      <c r="AP318" s="55"/>
      <c r="AQ318" s="55"/>
      <c r="AR318" s="55"/>
      <c r="AS318" s="55"/>
      <c r="AT318" s="55"/>
      <c r="AU318" s="55"/>
      <c r="AV318" s="55"/>
      <c r="AW318" s="55"/>
      <c r="AX318" s="55"/>
      <c r="AY318" s="55"/>
      <c r="AZ318" s="55"/>
      <c r="BA318" s="55"/>
      <c r="BB318" s="55"/>
      <c r="BC318" s="55"/>
      <c r="BD318" s="55"/>
      <c r="BE318" s="55"/>
      <c r="BF318" s="55"/>
      <c r="BG318" s="55"/>
      <c r="BH318" s="110"/>
    </row>
    <row r="319" spans="1:60" ht="22.5">
      <c r="A319" s="51"/>
      <c r="B319" s="108"/>
      <c r="C319" s="52" t="s">
        <v>139</v>
      </c>
      <c r="D319" s="52" t="s">
        <v>93</v>
      </c>
      <c r="E319" s="52" t="s">
        <v>0</v>
      </c>
      <c r="F319" s="54" t="s">
        <v>24</v>
      </c>
      <c r="G319" s="90"/>
      <c r="H319" s="90"/>
      <c r="I319" s="90"/>
      <c r="J319" s="90"/>
      <c r="K319" s="90"/>
      <c r="L319" s="90"/>
      <c r="M319" s="90"/>
      <c r="N319" s="90"/>
      <c r="O319" s="90"/>
      <c r="P319" s="90"/>
      <c r="Q319" s="90"/>
      <c r="R319" s="90"/>
      <c r="S319" s="90"/>
      <c r="T319" s="90"/>
      <c r="U319" s="90"/>
      <c r="V319" s="90"/>
      <c r="W319" s="90"/>
      <c r="X319" s="90"/>
      <c r="Y319" s="90"/>
      <c r="Z319" s="90"/>
      <c r="AA319" s="90"/>
      <c r="AB319" s="90"/>
      <c r="AC319" s="90"/>
      <c r="AD319" s="90"/>
      <c r="AE319" s="90"/>
      <c r="AF319" s="90"/>
      <c r="AG319" s="90"/>
      <c r="AH319" s="90"/>
      <c r="AI319" s="90"/>
      <c r="AJ319" s="90"/>
      <c r="AK319" s="90"/>
      <c r="AL319" s="90"/>
      <c r="AM319" s="90"/>
      <c r="AN319" s="90"/>
      <c r="AO319" s="90"/>
      <c r="AP319" s="90"/>
      <c r="AQ319" s="90"/>
      <c r="AR319" s="90"/>
      <c r="AS319" s="90"/>
      <c r="AT319" s="90"/>
      <c r="AU319" s="90"/>
      <c r="AV319" s="90"/>
      <c r="AW319" s="90"/>
      <c r="AX319" s="55"/>
      <c r="AY319" s="55"/>
      <c r="AZ319" s="55"/>
      <c r="BA319" s="90"/>
      <c r="BB319" s="90"/>
      <c r="BC319" s="90"/>
      <c r="BD319" s="90"/>
      <c r="BE319" s="90"/>
      <c r="BF319" s="55"/>
      <c r="BG319" s="90"/>
      <c r="BH319" s="119"/>
    </row>
    <row r="320" spans="1:60">
      <c r="A320" s="51"/>
      <c r="B320" s="108"/>
      <c r="C320" s="52" t="s">
        <v>140</v>
      </c>
      <c r="D320" s="52" t="s">
        <v>93</v>
      </c>
      <c r="E320" s="52" t="s">
        <v>0</v>
      </c>
      <c r="F320" s="54" t="s">
        <v>25</v>
      </c>
      <c r="G320" s="90"/>
      <c r="H320" s="90"/>
      <c r="I320" s="90"/>
      <c r="J320" s="90"/>
      <c r="K320" s="90"/>
      <c r="L320" s="90"/>
      <c r="M320" s="90"/>
      <c r="N320" s="90"/>
      <c r="O320" s="90"/>
      <c r="P320" s="90"/>
      <c r="Q320" s="90"/>
      <c r="R320" s="90"/>
      <c r="S320" s="90"/>
      <c r="T320" s="90"/>
      <c r="U320" s="90"/>
      <c r="V320" s="90"/>
      <c r="W320" s="90"/>
      <c r="X320" s="90"/>
      <c r="Y320" s="90"/>
      <c r="Z320" s="90"/>
      <c r="AA320" s="90"/>
      <c r="AB320" s="90"/>
      <c r="AC320" s="90"/>
      <c r="AD320" s="90"/>
      <c r="AE320" s="90"/>
      <c r="AF320" s="90"/>
      <c r="AG320" s="90"/>
      <c r="AH320" s="90"/>
      <c r="AI320" s="90"/>
      <c r="AJ320" s="90"/>
      <c r="AK320" s="90"/>
      <c r="AL320" s="90"/>
      <c r="AM320" s="90"/>
      <c r="AN320" s="90"/>
      <c r="AO320" s="90"/>
      <c r="AP320" s="90"/>
      <c r="AQ320" s="90"/>
      <c r="AR320" s="90"/>
      <c r="AS320" s="90"/>
      <c r="AT320" s="90"/>
      <c r="AU320" s="90"/>
      <c r="AV320" s="90"/>
      <c r="AW320" s="90"/>
      <c r="AX320" s="55"/>
      <c r="AY320" s="55"/>
      <c r="AZ320" s="55"/>
      <c r="BA320" s="90"/>
      <c r="BB320" s="90"/>
      <c r="BC320" s="90"/>
      <c r="BD320" s="90"/>
      <c r="BE320" s="90"/>
      <c r="BF320" s="55"/>
      <c r="BG320" s="90"/>
      <c r="BH320" s="119"/>
    </row>
    <row r="321" spans="1:60">
      <c r="A321" s="51"/>
      <c r="B321" s="108"/>
      <c r="C321" s="52" t="s">
        <v>141</v>
      </c>
      <c r="D321" s="52" t="s">
        <v>93</v>
      </c>
      <c r="E321" s="52" t="s">
        <v>0</v>
      </c>
      <c r="F321" s="54" t="s">
        <v>26</v>
      </c>
      <c r="G321" s="90"/>
      <c r="H321" s="90"/>
      <c r="I321" s="90"/>
      <c r="J321" s="90"/>
      <c r="K321" s="90"/>
      <c r="L321" s="90"/>
      <c r="M321" s="90"/>
      <c r="N321" s="90"/>
      <c r="O321" s="90"/>
      <c r="P321" s="90"/>
      <c r="Q321" s="90"/>
      <c r="R321" s="90"/>
      <c r="S321" s="90"/>
      <c r="T321" s="90"/>
      <c r="U321" s="90"/>
      <c r="V321" s="90"/>
      <c r="W321" s="90"/>
      <c r="X321" s="90"/>
      <c r="Y321" s="90"/>
      <c r="Z321" s="90"/>
      <c r="AA321" s="90"/>
      <c r="AB321" s="90"/>
      <c r="AC321" s="90"/>
      <c r="AD321" s="90"/>
      <c r="AE321" s="90"/>
      <c r="AF321" s="90"/>
      <c r="AG321" s="90"/>
      <c r="AH321" s="90"/>
      <c r="AI321" s="90"/>
      <c r="AJ321" s="90"/>
      <c r="AK321" s="90"/>
      <c r="AL321" s="90"/>
      <c r="AM321" s="90"/>
      <c r="AN321" s="90"/>
      <c r="AO321" s="90"/>
      <c r="AP321" s="90"/>
      <c r="AQ321" s="90"/>
      <c r="AR321" s="90"/>
      <c r="AS321" s="90"/>
      <c r="AT321" s="90"/>
      <c r="AU321" s="90"/>
      <c r="AV321" s="90"/>
      <c r="AW321" s="90"/>
      <c r="AX321" s="55"/>
      <c r="AY321" s="55"/>
      <c r="AZ321" s="55"/>
      <c r="BA321" s="90"/>
      <c r="BB321" s="90"/>
      <c r="BC321" s="90"/>
      <c r="BD321" s="90"/>
      <c r="BE321" s="90"/>
      <c r="BF321" s="55"/>
      <c r="BG321" s="90"/>
      <c r="BH321" s="119"/>
    </row>
    <row r="322" spans="1:60">
      <c r="A322" s="51"/>
      <c r="B322" s="108"/>
      <c r="C322" s="52"/>
      <c r="D322" s="52"/>
      <c r="E322" s="52" t="s">
        <v>0</v>
      </c>
      <c r="F322" s="53" t="s">
        <v>27</v>
      </c>
      <c r="G322" s="91"/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  <c r="X322" s="91"/>
      <c r="Y322" s="91"/>
      <c r="Z322" s="91"/>
      <c r="AA322" s="91"/>
      <c r="AB322" s="91"/>
      <c r="AC322" s="91"/>
      <c r="AD322" s="91"/>
      <c r="AE322" s="91"/>
      <c r="AF322" s="91"/>
      <c r="AG322" s="91"/>
      <c r="AH322" s="91"/>
      <c r="AI322" s="91"/>
      <c r="AJ322" s="91"/>
      <c r="AK322" s="91"/>
      <c r="AL322" s="91"/>
      <c r="AM322" s="91"/>
      <c r="AN322" s="91"/>
      <c r="AO322" s="91"/>
      <c r="AP322" s="91"/>
      <c r="AQ322" s="91"/>
      <c r="AR322" s="91"/>
      <c r="AS322" s="91"/>
      <c r="AT322" s="91"/>
      <c r="AU322" s="91"/>
      <c r="AV322" s="91"/>
      <c r="AW322" s="91"/>
      <c r="AX322" s="52"/>
      <c r="AY322" s="52"/>
      <c r="AZ322" s="52"/>
      <c r="BA322" s="91"/>
      <c r="BB322" s="91"/>
      <c r="BC322" s="91"/>
      <c r="BD322" s="91"/>
      <c r="BE322" s="91"/>
      <c r="BF322" s="52"/>
      <c r="BG322" s="91"/>
      <c r="BH322" s="112"/>
    </row>
    <row r="323" spans="1:60">
      <c r="A323" s="51" t="s">
        <v>52</v>
      </c>
      <c r="B323" s="108"/>
      <c r="C323" s="52" t="s">
        <v>142</v>
      </c>
      <c r="D323" s="52" t="s">
        <v>9</v>
      </c>
      <c r="E323" s="52" t="s">
        <v>0</v>
      </c>
      <c r="F323" s="53" t="s">
        <v>187</v>
      </c>
      <c r="G323" s="89">
        <f t="shared" ref="G323:W323" si="563">G147+G235</f>
        <v>0</v>
      </c>
      <c r="H323" s="89">
        <f t="shared" si="563"/>
        <v>0</v>
      </c>
      <c r="I323" s="89">
        <f t="shared" si="563"/>
        <v>0</v>
      </c>
      <c r="J323" s="89">
        <f t="shared" si="563"/>
        <v>0</v>
      </c>
      <c r="K323" s="89">
        <f t="shared" si="563"/>
        <v>0</v>
      </c>
      <c r="L323" s="89">
        <f t="shared" si="563"/>
        <v>0</v>
      </c>
      <c r="M323" s="89">
        <f t="shared" si="563"/>
        <v>0</v>
      </c>
      <c r="N323" s="89">
        <f t="shared" si="563"/>
        <v>0</v>
      </c>
      <c r="O323" s="89">
        <f t="shared" si="563"/>
        <v>0</v>
      </c>
      <c r="P323" s="89">
        <f t="shared" si="563"/>
        <v>0</v>
      </c>
      <c r="Q323" s="89">
        <f t="shared" si="563"/>
        <v>0</v>
      </c>
      <c r="R323" s="89">
        <f t="shared" si="563"/>
        <v>0</v>
      </c>
      <c r="S323" s="89">
        <f t="shared" si="563"/>
        <v>0</v>
      </c>
      <c r="T323" s="89">
        <f t="shared" si="563"/>
        <v>0</v>
      </c>
      <c r="U323" s="89">
        <f t="shared" si="563"/>
        <v>0</v>
      </c>
      <c r="V323" s="89">
        <f t="shared" si="563"/>
        <v>0</v>
      </c>
      <c r="W323" s="89">
        <f t="shared" si="563"/>
        <v>0</v>
      </c>
      <c r="X323" s="89">
        <f>SUM(P323:W323)+SUM(G323:K323)</f>
        <v>0</v>
      </c>
      <c r="Y323" s="89">
        <f t="shared" ref="Y323:AO323" si="564">Y147+Y235</f>
        <v>0</v>
      </c>
      <c r="Z323" s="89">
        <f t="shared" si="564"/>
        <v>0</v>
      </c>
      <c r="AA323" s="89">
        <f t="shared" si="564"/>
        <v>0</v>
      </c>
      <c r="AB323" s="89">
        <f t="shared" si="564"/>
        <v>0</v>
      </c>
      <c r="AC323" s="89">
        <f t="shared" si="564"/>
        <v>0</v>
      </c>
      <c r="AD323" s="89">
        <f t="shared" si="564"/>
        <v>0</v>
      </c>
      <c r="AE323" s="89">
        <f t="shared" si="564"/>
        <v>0</v>
      </c>
      <c r="AF323" s="89">
        <f t="shared" si="564"/>
        <v>0</v>
      </c>
      <c r="AG323" s="89">
        <f t="shared" si="564"/>
        <v>0</v>
      </c>
      <c r="AH323" s="89">
        <f t="shared" si="564"/>
        <v>0</v>
      </c>
      <c r="AI323" s="89">
        <f t="shared" si="564"/>
        <v>0</v>
      </c>
      <c r="AJ323" s="89">
        <f t="shared" si="564"/>
        <v>0</v>
      </c>
      <c r="AK323" s="89">
        <f t="shared" si="564"/>
        <v>0</v>
      </c>
      <c r="AL323" s="89">
        <f t="shared" si="564"/>
        <v>0</v>
      </c>
      <c r="AM323" s="89">
        <f t="shared" si="564"/>
        <v>0</v>
      </c>
      <c r="AN323" s="89">
        <f t="shared" si="564"/>
        <v>0</v>
      </c>
      <c r="AO323" s="89">
        <f t="shared" si="564"/>
        <v>0</v>
      </c>
      <c r="AP323" s="89">
        <f>SUM(AH323:AO323)+SUM(Y323:AC323)</f>
        <v>0</v>
      </c>
      <c r="AQ323" s="89">
        <f t="shared" ref="AQ323:AW323" si="565">AQ147+AQ235</f>
        <v>0</v>
      </c>
      <c r="AR323" s="89">
        <f t="shared" si="565"/>
        <v>0</v>
      </c>
      <c r="AS323" s="89">
        <f t="shared" si="565"/>
        <v>0</v>
      </c>
      <c r="AT323" s="89">
        <f t="shared" si="565"/>
        <v>0</v>
      </c>
      <c r="AU323" s="89">
        <f t="shared" si="565"/>
        <v>0</v>
      </c>
      <c r="AV323" s="89">
        <f t="shared" si="565"/>
        <v>0</v>
      </c>
      <c r="AW323" s="89">
        <f t="shared" si="565"/>
        <v>0</v>
      </c>
      <c r="AX323" s="89">
        <f t="shared" ref="AX323" si="566">N323+AF323</f>
        <v>0</v>
      </c>
      <c r="AY323" s="89">
        <f t="shared" ref="AY323:AZ323" si="567">O323+AG323</f>
        <v>0</v>
      </c>
      <c r="AZ323" s="89">
        <f t="shared" si="567"/>
        <v>0</v>
      </c>
      <c r="BA323" s="89">
        <f>BA147+BA235</f>
        <v>0</v>
      </c>
      <c r="BB323" s="89">
        <f>BB147+BB235</f>
        <v>0</v>
      </c>
      <c r="BC323" s="89">
        <f>BC147+BC235</f>
        <v>0</v>
      </c>
      <c r="BD323" s="89">
        <f>BD147+BD235</f>
        <v>0</v>
      </c>
      <c r="BE323" s="89">
        <f>BE147+BE235</f>
        <v>0</v>
      </c>
      <c r="BF323" s="89">
        <f t="shared" ref="BF323" si="568">V323+AN323</f>
        <v>0</v>
      </c>
      <c r="BG323" s="89">
        <f>BG147+BG235</f>
        <v>0</v>
      </c>
      <c r="BH323" s="111">
        <f>X323+AP323</f>
        <v>0</v>
      </c>
    </row>
    <row r="324" spans="1:60">
      <c r="A324" s="51"/>
      <c r="B324" s="108"/>
      <c r="C324" s="52"/>
      <c r="D324" s="52" t="s">
        <v>0</v>
      </c>
      <c r="E324" s="52" t="s">
        <v>0</v>
      </c>
      <c r="F324" s="53" t="s">
        <v>29</v>
      </c>
      <c r="G324" s="91"/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  <c r="X324" s="91"/>
      <c r="Y324" s="91"/>
      <c r="Z324" s="91"/>
      <c r="AA324" s="91"/>
      <c r="AB324" s="91"/>
      <c r="AC324" s="91"/>
      <c r="AD324" s="91"/>
      <c r="AE324" s="91"/>
      <c r="AF324" s="91"/>
      <c r="AG324" s="91"/>
      <c r="AH324" s="91"/>
      <c r="AI324" s="91"/>
      <c r="AJ324" s="91"/>
      <c r="AK324" s="91"/>
      <c r="AL324" s="91"/>
      <c r="AM324" s="91"/>
      <c r="AN324" s="91"/>
      <c r="AO324" s="91"/>
      <c r="AP324" s="91"/>
      <c r="AQ324" s="91"/>
      <c r="AR324" s="91"/>
      <c r="AS324" s="91"/>
      <c r="AT324" s="91"/>
      <c r="AU324" s="91"/>
      <c r="AV324" s="91"/>
      <c r="AW324" s="91"/>
      <c r="AX324" s="91"/>
      <c r="AY324" s="91"/>
      <c r="AZ324" s="91"/>
      <c r="BA324" s="91"/>
      <c r="BB324" s="91"/>
      <c r="BC324" s="91"/>
      <c r="BD324" s="91"/>
      <c r="BE324" s="91"/>
      <c r="BF324" s="91"/>
      <c r="BG324" s="91"/>
      <c r="BH324" s="112"/>
    </row>
    <row r="325" spans="1:60" ht="22.5">
      <c r="A325" s="51"/>
      <c r="B325" s="108"/>
      <c r="C325" s="52" t="s">
        <v>143</v>
      </c>
      <c r="D325" s="52" t="s">
        <v>93</v>
      </c>
      <c r="E325" s="52" t="s">
        <v>0</v>
      </c>
      <c r="F325" s="54" t="s">
        <v>30</v>
      </c>
      <c r="G325" s="89">
        <f t="shared" ref="G325:W325" si="569">G149+G237</f>
        <v>0</v>
      </c>
      <c r="H325" s="89">
        <f t="shared" si="569"/>
        <v>0</v>
      </c>
      <c r="I325" s="89">
        <f t="shared" si="569"/>
        <v>0</v>
      </c>
      <c r="J325" s="89">
        <f t="shared" si="569"/>
        <v>0</v>
      </c>
      <c r="K325" s="89">
        <f t="shared" si="569"/>
        <v>0</v>
      </c>
      <c r="L325" s="89">
        <f t="shared" si="569"/>
        <v>0</v>
      </c>
      <c r="M325" s="89">
        <f t="shared" si="569"/>
        <v>0</v>
      </c>
      <c r="N325" s="89">
        <f t="shared" si="569"/>
        <v>0</v>
      </c>
      <c r="O325" s="89">
        <f t="shared" si="569"/>
        <v>0</v>
      </c>
      <c r="P325" s="89">
        <f t="shared" si="569"/>
        <v>0</v>
      </c>
      <c r="Q325" s="89">
        <f t="shared" si="569"/>
        <v>0</v>
      </c>
      <c r="R325" s="89">
        <f t="shared" si="569"/>
        <v>0</v>
      </c>
      <c r="S325" s="89">
        <f t="shared" si="569"/>
        <v>0</v>
      </c>
      <c r="T325" s="89">
        <f t="shared" si="569"/>
        <v>0</v>
      </c>
      <c r="U325" s="89">
        <f t="shared" si="569"/>
        <v>0</v>
      </c>
      <c r="V325" s="89">
        <f t="shared" si="569"/>
        <v>0</v>
      </c>
      <c r="W325" s="89">
        <f t="shared" si="569"/>
        <v>0</v>
      </c>
      <c r="X325" s="89">
        <f t="shared" ref="X325:X333" si="570">SUM(P325:W325)+SUM(G325:K325)</f>
        <v>0</v>
      </c>
      <c r="Y325" s="89">
        <f t="shared" ref="Y325:AO325" si="571">Y149+Y237</f>
        <v>0</v>
      </c>
      <c r="Z325" s="89">
        <f t="shared" si="571"/>
        <v>0</v>
      </c>
      <c r="AA325" s="89">
        <f t="shared" si="571"/>
        <v>0</v>
      </c>
      <c r="AB325" s="89">
        <f t="shared" si="571"/>
        <v>0</v>
      </c>
      <c r="AC325" s="89">
        <f t="shared" si="571"/>
        <v>0</v>
      </c>
      <c r="AD325" s="89">
        <f t="shared" si="571"/>
        <v>0</v>
      </c>
      <c r="AE325" s="89">
        <f t="shared" si="571"/>
        <v>0</v>
      </c>
      <c r="AF325" s="89">
        <f t="shared" si="571"/>
        <v>0</v>
      </c>
      <c r="AG325" s="89">
        <f t="shared" si="571"/>
        <v>0</v>
      </c>
      <c r="AH325" s="89">
        <f t="shared" si="571"/>
        <v>0</v>
      </c>
      <c r="AI325" s="89">
        <f t="shared" si="571"/>
        <v>0</v>
      </c>
      <c r="AJ325" s="89">
        <f t="shared" si="571"/>
        <v>0</v>
      </c>
      <c r="AK325" s="89">
        <f t="shared" si="571"/>
        <v>0</v>
      </c>
      <c r="AL325" s="89">
        <f t="shared" si="571"/>
        <v>0</v>
      </c>
      <c r="AM325" s="89">
        <f t="shared" si="571"/>
        <v>0</v>
      </c>
      <c r="AN325" s="89">
        <f t="shared" si="571"/>
        <v>0</v>
      </c>
      <c r="AO325" s="89">
        <f t="shared" si="571"/>
        <v>0</v>
      </c>
      <c r="AP325" s="89">
        <f t="shared" ref="AP325:AP333" si="572">SUM(AH325:AO325)+SUM(Y325:AC325)</f>
        <v>0</v>
      </c>
      <c r="AQ325" s="89">
        <f t="shared" ref="AQ325:AW333" si="573">AQ149+AQ237</f>
        <v>0</v>
      </c>
      <c r="AR325" s="89">
        <f t="shared" si="573"/>
        <v>0</v>
      </c>
      <c r="AS325" s="89">
        <f t="shared" si="573"/>
        <v>0</v>
      </c>
      <c r="AT325" s="89">
        <f t="shared" si="573"/>
        <v>0</v>
      </c>
      <c r="AU325" s="89">
        <f t="shared" si="573"/>
        <v>0</v>
      </c>
      <c r="AV325" s="89">
        <f t="shared" si="573"/>
        <v>0</v>
      </c>
      <c r="AW325" s="89">
        <f t="shared" si="573"/>
        <v>0</v>
      </c>
      <c r="AX325" s="89">
        <f t="shared" ref="AX325:AX333" si="574">N325+AF325</f>
        <v>0</v>
      </c>
      <c r="AY325" s="89">
        <f t="shared" ref="AY325:AZ333" si="575">O325+AG325</f>
        <v>0</v>
      </c>
      <c r="AZ325" s="89">
        <f t="shared" si="575"/>
        <v>0</v>
      </c>
      <c r="BA325" s="89">
        <f t="shared" ref="BA325:BE333" si="576">BA149+BA237</f>
        <v>0</v>
      </c>
      <c r="BB325" s="89">
        <f t="shared" si="576"/>
        <v>0</v>
      </c>
      <c r="BC325" s="89">
        <f t="shared" si="576"/>
        <v>0</v>
      </c>
      <c r="BD325" s="89">
        <f t="shared" si="576"/>
        <v>0</v>
      </c>
      <c r="BE325" s="89">
        <f t="shared" si="576"/>
        <v>0</v>
      </c>
      <c r="BF325" s="89">
        <f t="shared" ref="BF325:BF333" si="577">V325+AN325</f>
        <v>0</v>
      </c>
      <c r="BG325" s="89">
        <f t="shared" ref="BG325:BG333" si="578">BG149+BG237</f>
        <v>0</v>
      </c>
      <c r="BH325" s="111">
        <f t="shared" ref="BH325:BH333" si="579">X325+AP325</f>
        <v>0</v>
      </c>
    </row>
    <row r="326" spans="1:60" ht="22.5">
      <c r="A326" s="51"/>
      <c r="B326" s="108"/>
      <c r="C326" s="52" t="s">
        <v>144</v>
      </c>
      <c r="D326" s="52" t="s">
        <v>93</v>
      </c>
      <c r="E326" s="52" t="s">
        <v>0</v>
      </c>
      <c r="F326" s="54" t="s">
        <v>31</v>
      </c>
      <c r="G326" s="89">
        <f t="shared" ref="G326:W326" si="580">G150+G238</f>
        <v>0</v>
      </c>
      <c r="H326" s="89">
        <f t="shared" si="580"/>
        <v>0</v>
      </c>
      <c r="I326" s="89">
        <f t="shared" si="580"/>
        <v>0</v>
      </c>
      <c r="J326" s="89">
        <f t="shared" si="580"/>
        <v>0</v>
      </c>
      <c r="K326" s="89">
        <f t="shared" si="580"/>
        <v>0</v>
      </c>
      <c r="L326" s="89">
        <f t="shared" si="580"/>
        <v>0</v>
      </c>
      <c r="M326" s="89">
        <f t="shared" si="580"/>
        <v>0</v>
      </c>
      <c r="N326" s="89">
        <f t="shared" si="580"/>
        <v>0</v>
      </c>
      <c r="O326" s="89">
        <f t="shared" si="580"/>
        <v>0</v>
      </c>
      <c r="P326" s="89">
        <f t="shared" si="580"/>
        <v>0</v>
      </c>
      <c r="Q326" s="89">
        <f t="shared" si="580"/>
        <v>0</v>
      </c>
      <c r="R326" s="89">
        <f t="shared" si="580"/>
        <v>0</v>
      </c>
      <c r="S326" s="89">
        <f t="shared" si="580"/>
        <v>0</v>
      </c>
      <c r="T326" s="89">
        <f t="shared" si="580"/>
        <v>0</v>
      </c>
      <c r="U326" s="89">
        <f t="shared" si="580"/>
        <v>0</v>
      </c>
      <c r="V326" s="89">
        <f t="shared" si="580"/>
        <v>0</v>
      </c>
      <c r="W326" s="89">
        <f t="shared" si="580"/>
        <v>0</v>
      </c>
      <c r="X326" s="89">
        <f t="shared" si="570"/>
        <v>0</v>
      </c>
      <c r="Y326" s="89">
        <f t="shared" ref="Y326:AO326" si="581">Y150+Y238</f>
        <v>0</v>
      </c>
      <c r="Z326" s="89">
        <f t="shared" si="581"/>
        <v>0</v>
      </c>
      <c r="AA326" s="89">
        <f t="shared" si="581"/>
        <v>0</v>
      </c>
      <c r="AB326" s="89">
        <f t="shared" si="581"/>
        <v>0</v>
      </c>
      <c r="AC326" s="89">
        <f t="shared" si="581"/>
        <v>0</v>
      </c>
      <c r="AD326" s="89">
        <f t="shared" si="581"/>
        <v>0</v>
      </c>
      <c r="AE326" s="89">
        <f t="shared" si="581"/>
        <v>0</v>
      </c>
      <c r="AF326" s="89">
        <f t="shared" si="581"/>
        <v>0</v>
      </c>
      <c r="AG326" s="89">
        <f t="shared" si="581"/>
        <v>0</v>
      </c>
      <c r="AH326" s="89">
        <f t="shared" si="581"/>
        <v>0</v>
      </c>
      <c r="AI326" s="89">
        <f t="shared" si="581"/>
        <v>0</v>
      </c>
      <c r="AJ326" s="89">
        <f t="shared" si="581"/>
        <v>0</v>
      </c>
      <c r="AK326" s="89">
        <f t="shared" si="581"/>
        <v>0</v>
      </c>
      <c r="AL326" s="89">
        <f t="shared" si="581"/>
        <v>0</v>
      </c>
      <c r="AM326" s="89">
        <f t="shared" si="581"/>
        <v>0</v>
      </c>
      <c r="AN326" s="89">
        <f t="shared" si="581"/>
        <v>0</v>
      </c>
      <c r="AO326" s="89">
        <f t="shared" si="581"/>
        <v>0</v>
      </c>
      <c r="AP326" s="89">
        <f t="shared" si="572"/>
        <v>0</v>
      </c>
      <c r="AQ326" s="89">
        <f t="shared" si="573"/>
        <v>0</v>
      </c>
      <c r="AR326" s="89">
        <f t="shared" si="573"/>
        <v>0</v>
      </c>
      <c r="AS326" s="89">
        <f t="shared" si="573"/>
        <v>0</v>
      </c>
      <c r="AT326" s="89">
        <f t="shared" si="573"/>
        <v>0</v>
      </c>
      <c r="AU326" s="89">
        <f t="shared" si="573"/>
        <v>0</v>
      </c>
      <c r="AV326" s="89">
        <f t="shared" si="573"/>
        <v>0</v>
      </c>
      <c r="AW326" s="89">
        <f t="shared" si="573"/>
        <v>0</v>
      </c>
      <c r="AX326" s="89">
        <f t="shared" si="574"/>
        <v>0</v>
      </c>
      <c r="AY326" s="89">
        <f t="shared" si="575"/>
        <v>0</v>
      </c>
      <c r="AZ326" s="89">
        <f t="shared" si="575"/>
        <v>0</v>
      </c>
      <c r="BA326" s="89">
        <f t="shared" si="576"/>
        <v>0</v>
      </c>
      <c r="BB326" s="89">
        <f t="shared" si="576"/>
        <v>0</v>
      </c>
      <c r="BC326" s="89">
        <f t="shared" si="576"/>
        <v>0</v>
      </c>
      <c r="BD326" s="89">
        <f t="shared" si="576"/>
        <v>0</v>
      </c>
      <c r="BE326" s="89">
        <f t="shared" si="576"/>
        <v>0</v>
      </c>
      <c r="BF326" s="89">
        <f t="shared" si="577"/>
        <v>0</v>
      </c>
      <c r="BG326" s="89">
        <f t="shared" si="578"/>
        <v>0</v>
      </c>
      <c r="BH326" s="111">
        <f t="shared" si="579"/>
        <v>0</v>
      </c>
    </row>
    <row r="327" spans="1:60" ht="15" customHeight="1">
      <c r="A327" s="51"/>
      <c r="B327" s="108"/>
      <c r="C327" s="52" t="s">
        <v>145</v>
      </c>
      <c r="D327" s="52" t="s">
        <v>93</v>
      </c>
      <c r="E327" s="52" t="s">
        <v>0</v>
      </c>
      <c r="F327" s="54" t="s">
        <v>32</v>
      </c>
      <c r="G327" s="89">
        <f t="shared" ref="G327:W327" si="582">G151+G239</f>
        <v>0</v>
      </c>
      <c r="H327" s="89">
        <f t="shared" si="582"/>
        <v>0</v>
      </c>
      <c r="I327" s="89">
        <f t="shared" si="582"/>
        <v>0</v>
      </c>
      <c r="J327" s="89">
        <f t="shared" si="582"/>
        <v>0</v>
      </c>
      <c r="K327" s="89">
        <f t="shared" si="582"/>
        <v>0</v>
      </c>
      <c r="L327" s="89">
        <f t="shared" si="582"/>
        <v>0</v>
      </c>
      <c r="M327" s="89">
        <f t="shared" si="582"/>
        <v>0</v>
      </c>
      <c r="N327" s="89">
        <f t="shared" si="582"/>
        <v>0</v>
      </c>
      <c r="O327" s="89">
        <f t="shared" si="582"/>
        <v>0</v>
      </c>
      <c r="P327" s="89">
        <f t="shared" si="582"/>
        <v>0</v>
      </c>
      <c r="Q327" s="89">
        <f t="shared" si="582"/>
        <v>0</v>
      </c>
      <c r="R327" s="89">
        <f t="shared" si="582"/>
        <v>0</v>
      </c>
      <c r="S327" s="89">
        <f t="shared" si="582"/>
        <v>0</v>
      </c>
      <c r="T327" s="89">
        <f t="shared" si="582"/>
        <v>0</v>
      </c>
      <c r="U327" s="89">
        <f t="shared" si="582"/>
        <v>0</v>
      </c>
      <c r="V327" s="89">
        <f t="shared" si="582"/>
        <v>0</v>
      </c>
      <c r="W327" s="89">
        <f t="shared" si="582"/>
        <v>0</v>
      </c>
      <c r="X327" s="89">
        <f t="shared" si="570"/>
        <v>0</v>
      </c>
      <c r="Y327" s="89">
        <f t="shared" ref="Y327:AO327" si="583">Y151+Y239</f>
        <v>0</v>
      </c>
      <c r="Z327" s="89">
        <f t="shared" si="583"/>
        <v>0</v>
      </c>
      <c r="AA327" s="89">
        <f t="shared" si="583"/>
        <v>0</v>
      </c>
      <c r="AB327" s="89">
        <f t="shared" si="583"/>
        <v>0</v>
      </c>
      <c r="AC327" s="89">
        <f t="shared" si="583"/>
        <v>0</v>
      </c>
      <c r="AD327" s="89">
        <f t="shared" si="583"/>
        <v>0</v>
      </c>
      <c r="AE327" s="89">
        <f t="shared" si="583"/>
        <v>0</v>
      </c>
      <c r="AF327" s="89">
        <f t="shared" si="583"/>
        <v>0</v>
      </c>
      <c r="AG327" s="89">
        <f t="shared" si="583"/>
        <v>0</v>
      </c>
      <c r="AH327" s="89">
        <f t="shared" si="583"/>
        <v>0</v>
      </c>
      <c r="AI327" s="89">
        <f t="shared" si="583"/>
        <v>0</v>
      </c>
      <c r="AJ327" s="89">
        <f t="shared" si="583"/>
        <v>0</v>
      </c>
      <c r="AK327" s="89">
        <f t="shared" si="583"/>
        <v>0</v>
      </c>
      <c r="AL327" s="89">
        <f t="shared" si="583"/>
        <v>0</v>
      </c>
      <c r="AM327" s="89">
        <f t="shared" si="583"/>
        <v>0</v>
      </c>
      <c r="AN327" s="89">
        <f t="shared" si="583"/>
        <v>0</v>
      </c>
      <c r="AO327" s="89">
        <f t="shared" si="583"/>
        <v>0</v>
      </c>
      <c r="AP327" s="89">
        <f t="shared" si="572"/>
        <v>0</v>
      </c>
      <c r="AQ327" s="89">
        <f t="shared" si="573"/>
        <v>0</v>
      </c>
      <c r="AR327" s="89">
        <f t="shared" si="573"/>
        <v>0</v>
      </c>
      <c r="AS327" s="89">
        <f t="shared" si="573"/>
        <v>0</v>
      </c>
      <c r="AT327" s="89">
        <f t="shared" si="573"/>
        <v>0</v>
      </c>
      <c r="AU327" s="89">
        <f t="shared" si="573"/>
        <v>0</v>
      </c>
      <c r="AV327" s="89">
        <f t="shared" si="573"/>
        <v>0</v>
      </c>
      <c r="AW327" s="89">
        <f t="shared" si="573"/>
        <v>0</v>
      </c>
      <c r="AX327" s="89">
        <f t="shared" si="574"/>
        <v>0</v>
      </c>
      <c r="AY327" s="89">
        <f t="shared" si="575"/>
        <v>0</v>
      </c>
      <c r="AZ327" s="89">
        <f t="shared" si="575"/>
        <v>0</v>
      </c>
      <c r="BA327" s="89">
        <f t="shared" si="576"/>
        <v>0</v>
      </c>
      <c r="BB327" s="89">
        <f t="shared" si="576"/>
        <v>0</v>
      </c>
      <c r="BC327" s="89">
        <f t="shared" si="576"/>
        <v>0</v>
      </c>
      <c r="BD327" s="89">
        <f t="shared" si="576"/>
        <v>0</v>
      </c>
      <c r="BE327" s="89">
        <f t="shared" si="576"/>
        <v>0</v>
      </c>
      <c r="BF327" s="89">
        <f t="shared" si="577"/>
        <v>0</v>
      </c>
      <c r="BG327" s="89">
        <f t="shared" si="578"/>
        <v>0</v>
      </c>
      <c r="BH327" s="111">
        <f t="shared" si="579"/>
        <v>0</v>
      </c>
    </row>
    <row r="328" spans="1:60">
      <c r="A328" s="51"/>
      <c r="B328" s="108"/>
      <c r="C328" s="52" t="s">
        <v>146</v>
      </c>
      <c r="D328" s="52" t="s">
        <v>93</v>
      </c>
      <c r="E328" s="52" t="s">
        <v>0</v>
      </c>
      <c r="F328" s="54" t="s">
        <v>33</v>
      </c>
      <c r="G328" s="89">
        <f t="shared" ref="G328:W328" si="584">G152+G240</f>
        <v>0</v>
      </c>
      <c r="H328" s="89">
        <f t="shared" si="584"/>
        <v>0</v>
      </c>
      <c r="I328" s="89">
        <f t="shared" si="584"/>
        <v>0</v>
      </c>
      <c r="J328" s="89">
        <f t="shared" si="584"/>
        <v>0</v>
      </c>
      <c r="K328" s="89">
        <f t="shared" si="584"/>
        <v>0</v>
      </c>
      <c r="L328" s="89">
        <f t="shared" si="584"/>
        <v>0</v>
      </c>
      <c r="M328" s="89">
        <f t="shared" si="584"/>
        <v>0</v>
      </c>
      <c r="N328" s="89">
        <f t="shared" si="584"/>
        <v>0</v>
      </c>
      <c r="O328" s="89">
        <f t="shared" si="584"/>
        <v>0</v>
      </c>
      <c r="P328" s="89">
        <f t="shared" si="584"/>
        <v>0</v>
      </c>
      <c r="Q328" s="89">
        <f t="shared" si="584"/>
        <v>0</v>
      </c>
      <c r="R328" s="89">
        <f t="shared" si="584"/>
        <v>0</v>
      </c>
      <c r="S328" s="89">
        <f t="shared" si="584"/>
        <v>0</v>
      </c>
      <c r="T328" s="89">
        <f t="shared" si="584"/>
        <v>0</v>
      </c>
      <c r="U328" s="89">
        <f t="shared" si="584"/>
        <v>0</v>
      </c>
      <c r="V328" s="89">
        <f t="shared" si="584"/>
        <v>0</v>
      </c>
      <c r="W328" s="89">
        <f t="shared" si="584"/>
        <v>0</v>
      </c>
      <c r="X328" s="89">
        <f t="shared" si="570"/>
        <v>0</v>
      </c>
      <c r="Y328" s="89">
        <f t="shared" ref="Y328:AO328" si="585">Y152+Y240</f>
        <v>0</v>
      </c>
      <c r="Z328" s="89">
        <f t="shared" si="585"/>
        <v>0</v>
      </c>
      <c r="AA328" s="89">
        <f t="shared" si="585"/>
        <v>0</v>
      </c>
      <c r="AB328" s="89">
        <f t="shared" si="585"/>
        <v>0</v>
      </c>
      <c r="AC328" s="89">
        <f t="shared" si="585"/>
        <v>0</v>
      </c>
      <c r="AD328" s="89">
        <f t="shared" si="585"/>
        <v>0</v>
      </c>
      <c r="AE328" s="89">
        <f t="shared" si="585"/>
        <v>0</v>
      </c>
      <c r="AF328" s="89">
        <f t="shared" si="585"/>
        <v>0</v>
      </c>
      <c r="AG328" s="89">
        <f t="shared" si="585"/>
        <v>0</v>
      </c>
      <c r="AH328" s="89">
        <f t="shared" si="585"/>
        <v>0</v>
      </c>
      <c r="AI328" s="89">
        <f t="shared" si="585"/>
        <v>0</v>
      </c>
      <c r="AJ328" s="89">
        <f t="shared" si="585"/>
        <v>0</v>
      </c>
      <c r="AK328" s="89">
        <f t="shared" si="585"/>
        <v>0</v>
      </c>
      <c r="AL328" s="89">
        <f t="shared" si="585"/>
        <v>0</v>
      </c>
      <c r="AM328" s="89">
        <f t="shared" si="585"/>
        <v>0</v>
      </c>
      <c r="AN328" s="89">
        <f t="shared" si="585"/>
        <v>0</v>
      </c>
      <c r="AO328" s="89">
        <f t="shared" si="585"/>
        <v>0</v>
      </c>
      <c r="AP328" s="89">
        <f t="shared" si="572"/>
        <v>0</v>
      </c>
      <c r="AQ328" s="89">
        <f t="shared" si="573"/>
        <v>0</v>
      </c>
      <c r="AR328" s="89">
        <f t="shared" si="573"/>
        <v>0</v>
      </c>
      <c r="AS328" s="89">
        <f t="shared" si="573"/>
        <v>0</v>
      </c>
      <c r="AT328" s="89">
        <f t="shared" si="573"/>
        <v>0</v>
      </c>
      <c r="AU328" s="89">
        <f t="shared" si="573"/>
        <v>0</v>
      </c>
      <c r="AV328" s="89">
        <f t="shared" si="573"/>
        <v>0</v>
      </c>
      <c r="AW328" s="89">
        <f t="shared" si="573"/>
        <v>0</v>
      </c>
      <c r="AX328" s="89">
        <f t="shared" si="574"/>
        <v>0</v>
      </c>
      <c r="AY328" s="89">
        <f t="shared" si="575"/>
        <v>0</v>
      </c>
      <c r="AZ328" s="89">
        <f t="shared" si="575"/>
        <v>0</v>
      </c>
      <c r="BA328" s="89">
        <f t="shared" si="576"/>
        <v>0</v>
      </c>
      <c r="BB328" s="89">
        <f t="shared" si="576"/>
        <v>0</v>
      </c>
      <c r="BC328" s="89">
        <f t="shared" si="576"/>
        <v>0</v>
      </c>
      <c r="BD328" s="89">
        <f t="shared" si="576"/>
        <v>0</v>
      </c>
      <c r="BE328" s="89">
        <f t="shared" si="576"/>
        <v>0</v>
      </c>
      <c r="BF328" s="89">
        <f t="shared" si="577"/>
        <v>0</v>
      </c>
      <c r="BG328" s="89">
        <f t="shared" si="578"/>
        <v>0</v>
      </c>
      <c r="BH328" s="111">
        <f t="shared" si="579"/>
        <v>0</v>
      </c>
    </row>
    <row r="329" spans="1:60" ht="22.5">
      <c r="A329" s="51"/>
      <c r="B329" s="108"/>
      <c r="C329" s="52" t="s">
        <v>147</v>
      </c>
      <c r="D329" s="52" t="s">
        <v>93</v>
      </c>
      <c r="E329" s="52" t="s">
        <v>0</v>
      </c>
      <c r="F329" s="54" t="s">
        <v>34</v>
      </c>
      <c r="G329" s="89">
        <f t="shared" ref="G329:W329" si="586">G153+G241</f>
        <v>0</v>
      </c>
      <c r="H329" s="89">
        <f t="shared" si="586"/>
        <v>0</v>
      </c>
      <c r="I329" s="89">
        <f t="shared" si="586"/>
        <v>0</v>
      </c>
      <c r="J329" s="89">
        <f t="shared" si="586"/>
        <v>0</v>
      </c>
      <c r="K329" s="89">
        <f t="shared" si="586"/>
        <v>0</v>
      </c>
      <c r="L329" s="89">
        <f t="shared" si="586"/>
        <v>0</v>
      </c>
      <c r="M329" s="89">
        <f t="shared" si="586"/>
        <v>0</v>
      </c>
      <c r="N329" s="89">
        <f t="shared" si="586"/>
        <v>0</v>
      </c>
      <c r="O329" s="89">
        <f t="shared" si="586"/>
        <v>0</v>
      </c>
      <c r="P329" s="89">
        <f t="shared" si="586"/>
        <v>0</v>
      </c>
      <c r="Q329" s="89">
        <f t="shared" si="586"/>
        <v>0</v>
      </c>
      <c r="R329" s="89">
        <f t="shared" si="586"/>
        <v>0</v>
      </c>
      <c r="S329" s="89">
        <f t="shared" si="586"/>
        <v>0</v>
      </c>
      <c r="T329" s="89">
        <f t="shared" si="586"/>
        <v>0</v>
      </c>
      <c r="U329" s="89">
        <f t="shared" si="586"/>
        <v>0</v>
      </c>
      <c r="V329" s="89">
        <f t="shared" si="586"/>
        <v>0</v>
      </c>
      <c r="W329" s="89">
        <f t="shared" si="586"/>
        <v>0</v>
      </c>
      <c r="X329" s="89">
        <f t="shared" si="570"/>
        <v>0</v>
      </c>
      <c r="Y329" s="89">
        <f t="shared" ref="Y329:AO329" si="587">Y153+Y241</f>
        <v>0</v>
      </c>
      <c r="Z329" s="89">
        <f t="shared" si="587"/>
        <v>0</v>
      </c>
      <c r="AA329" s="89">
        <f t="shared" si="587"/>
        <v>0</v>
      </c>
      <c r="AB329" s="89">
        <f t="shared" si="587"/>
        <v>0</v>
      </c>
      <c r="AC329" s="89">
        <f t="shared" si="587"/>
        <v>0</v>
      </c>
      <c r="AD329" s="89">
        <f t="shared" si="587"/>
        <v>0</v>
      </c>
      <c r="AE329" s="89">
        <f t="shared" si="587"/>
        <v>0</v>
      </c>
      <c r="AF329" s="89">
        <f t="shared" si="587"/>
        <v>0</v>
      </c>
      <c r="AG329" s="89">
        <f t="shared" si="587"/>
        <v>0</v>
      </c>
      <c r="AH329" s="89">
        <f t="shared" si="587"/>
        <v>0</v>
      </c>
      <c r="AI329" s="89">
        <f t="shared" si="587"/>
        <v>0</v>
      </c>
      <c r="AJ329" s="89">
        <f t="shared" si="587"/>
        <v>0</v>
      </c>
      <c r="AK329" s="89">
        <f t="shared" si="587"/>
        <v>0</v>
      </c>
      <c r="AL329" s="89">
        <f t="shared" si="587"/>
        <v>0</v>
      </c>
      <c r="AM329" s="89">
        <f t="shared" si="587"/>
        <v>0</v>
      </c>
      <c r="AN329" s="89">
        <f t="shared" si="587"/>
        <v>0</v>
      </c>
      <c r="AO329" s="89">
        <f t="shared" si="587"/>
        <v>0</v>
      </c>
      <c r="AP329" s="89">
        <f t="shared" si="572"/>
        <v>0</v>
      </c>
      <c r="AQ329" s="89">
        <f t="shared" si="573"/>
        <v>0</v>
      </c>
      <c r="AR329" s="89">
        <f t="shared" si="573"/>
        <v>0</v>
      </c>
      <c r="AS329" s="89">
        <f t="shared" si="573"/>
        <v>0</v>
      </c>
      <c r="AT329" s="89">
        <f t="shared" si="573"/>
        <v>0</v>
      </c>
      <c r="AU329" s="89">
        <f t="shared" si="573"/>
        <v>0</v>
      </c>
      <c r="AV329" s="89">
        <f t="shared" si="573"/>
        <v>0</v>
      </c>
      <c r="AW329" s="89">
        <f t="shared" si="573"/>
        <v>0</v>
      </c>
      <c r="AX329" s="89">
        <f t="shared" si="574"/>
        <v>0</v>
      </c>
      <c r="AY329" s="89">
        <f t="shared" si="575"/>
        <v>0</v>
      </c>
      <c r="AZ329" s="89">
        <f t="shared" si="575"/>
        <v>0</v>
      </c>
      <c r="BA329" s="89">
        <f t="shared" si="576"/>
        <v>0</v>
      </c>
      <c r="BB329" s="89">
        <f t="shared" si="576"/>
        <v>0</v>
      </c>
      <c r="BC329" s="89">
        <f t="shared" si="576"/>
        <v>0</v>
      </c>
      <c r="BD329" s="89">
        <f t="shared" si="576"/>
        <v>0</v>
      </c>
      <c r="BE329" s="89">
        <f t="shared" si="576"/>
        <v>0</v>
      </c>
      <c r="BF329" s="89">
        <f t="shared" si="577"/>
        <v>0</v>
      </c>
      <c r="BG329" s="89">
        <f t="shared" si="578"/>
        <v>0</v>
      </c>
      <c r="BH329" s="111">
        <f t="shared" si="579"/>
        <v>0</v>
      </c>
    </row>
    <row r="330" spans="1:60" ht="22.5">
      <c r="A330" s="51"/>
      <c r="B330" s="108"/>
      <c r="C330" s="52" t="s">
        <v>148</v>
      </c>
      <c r="D330" s="52" t="s">
        <v>93</v>
      </c>
      <c r="E330" s="52" t="s">
        <v>0</v>
      </c>
      <c r="F330" s="54" t="s">
        <v>35</v>
      </c>
      <c r="G330" s="89">
        <f t="shared" ref="G330:W330" si="588">G154+G242</f>
        <v>0</v>
      </c>
      <c r="H330" s="89">
        <f t="shared" si="588"/>
        <v>0</v>
      </c>
      <c r="I330" s="89">
        <f t="shared" si="588"/>
        <v>0</v>
      </c>
      <c r="J330" s="89">
        <f t="shared" si="588"/>
        <v>0</v>
      </c>
      <c r="K330" s="89">
        <f t="shared" si="588"/>
        <v>0</v>
      </c>
      <c r="L330" s="89">
        <f t="shared" si="588"/>
        <v>0</v>
      </c>
      <c r="M330" s="89">
        <f t="shared" si="588"/>
        <v>0</v>
      </c>
      <c r="N330" s="89">
        <f t="shared" si="588"/>
        <v>0</v>
      </c>
      <c r="O330" s="89">
        <f t="shared" si="588"/>
        <v>0</v>
      </c>
      <c r="P330" s="89">
        <f t="shared" si="588"/>
        <v>0</v>
      </c>
      <c r="Q330" s="89">
        <f t="shared" si="588"/>
        <v>0</v>
      </c>
      <c r="R330" s="89">
        <f t="shared" si="588"/>
        <v>0</v>
      </c>
      <c r="S330" s="89">
        <f t="shared" si="588"/>
        <v>0</v>
      </c>
      <c r="T330" s="89">
        <f t="shared" si="588"/>
        <v>0</v>
      </c>
      <c r="U330" s="89">
        <f t="shared" si="588"/>
        <v>0</v>
      </c>
      <c r="V330" s="89">
        <f t="shared" si="588"/>
        <v>0</v>
      </c>
      <c r="W330" s="89">
        <f t="shared" si="588"/>
        <v>0</v>
      </c>
      <c r="X330" s="89">
        <f t="shared" si="570"/>
        <v>0</v>
      </c>
      <c r="Y330" s="89">
        <f t="shared" ref="Y330:AO330" si="589">Y154+Y242</f>
        <v>0</v>
      </c>
      <c r="Z330" s="89">
        <f t="shared" si="589"/>
        <v>0</v>
      </c>
      <c r="AA330" s="89">
        <f t="shared" si="589"/>
        <v>0</v>
      </c>
      <c r="AB330" s="89">
        <f t="shared" si="589"/>
        <v>0</v>
      </c>
      <c r="AC330" s="89">
        <f t="shared" si="589"/>
        <v>0</v>
      </c>
      <c r="AD330" s="89">
        <f t="shared" si="589"/>
        <v>0</v>
      </c>
      <c r="AE330" s="89">
        <f t="shared" si="589"/>
        <v>0</v>
      </c>
      <c r="AF330" s="89">
        <f t="shared" si="589"/>
        <v>0</v>
      </c>
      <c r="AG330" s="89">
        <f t="shared" si="589"/>
        <v>0</v>
      </c>
      <c r="AH330" s="89">
        <f t="shared" si="589"/>
        <v>0</v>
      </c>
      <c r="AI330" s="89">
        <f t="shared" si="589"/>
        <v>0</v>
      </c>
      <c r="AJ330" s="89">
        <f t="shared" si="589"/>
        <v>0</v>
      </c>
      <c r="AK330" s="89">
        <f t="shared" si="589"/>
        <v>0</v>
      </c>
      <c r="AL330" s="89">
        <f t="shared" si="589"/>
        <v>0</v>
      </c>
      <c r="AM330" s="89">
        <f t="shared" si="589"/>
        <v>0</v>
      </c>
      <c r="AN330" s="89">
        <f t="shared" si="589"/>
        <v>0</v>
      </c>
      <c r="AO330" s="89">
        <f t="shared" si="589"/>
        <v>0</v>
      </c>
      <c r="AP330" s="89">
        <f t="shared" si="572"/>
        <v>0</v>
      </c>
      <c r="AQ330" s="89">
        <f t="shared" si="573"/>
        <v>0</v>
      </c>
      <c r="AR330" s="89">
        <f t="shared" si="573"/>
        <v>0</v>
      </c>
      <c r="AS330" s="89">
        <f t="shared" si="573"/>
        <v>0</v>
      </c>
      <c r="AT330" s="89">
        <f t="shared" si="573"/>
        <v>0</v>
      </c>
      <c r="AU330" s="89">
        <f t="shared" si="573"/>
        <v>0</v>
      </c>
      <c r="AV330" s="89">
        <f t="shared" si="573"/>
        <v>0</v>
      </c>
      <c r="AW330" s="89">
        <f t="shared" si="573"/>
        <v>0</v>
      </c>
      <c r="AX330" s="89">
        <f t="shared" si="574"/>
        <v>0</v>
      </c>
      <c r="AY330" s="89">
        <f t="shared" si="575"/>
        <v>0</v>
      </c>
      <c r="AZ330" s="89">
        <f t="shared" si="575"/>
        <v>0</v>
      </c>
      <c r="BA330" s="89">
        <f t="shared" si="576"/>
        <v>0</v>
      </c>
      <c r="BB330" s="89">
        <f t="shared" si="576"/>
        <v>0</v>
      </c>
      <c r="BC330" s="89">
        <f t="shared" si="576"/>
        <v>0</v>
      </c>
      <c r="BD330" s="89">
        <f t="shared" si="576"/>
        <v>0</v>
      </c>
      <c r="BE330" s="89">
        <f t="shared" si="576"/>
        <v>0</v>
      </c>
      <c r="BF330" s="89">
        <f t="shared" si="577"/>
        <v>0</v>
      </c>
      <c r="BG330" s="89">
        <f t="shared" si="578"/>
        <v>0</v>
      </c>
      <c r="BH330" s="111">
        <f t="shared" si="579"/>
        <v>0</v>
      </c>
    </row>
    <row r="331" spans="1:60" ht="22.5">
      <c r="A331" s="51"/>
      <c r="B331" s="108"/>
      <c r="C331" s="52" t="s">
        <v>149</v>
      </c>
      <c r="D331" s="52" t="s">
        <v>93</v>
      </c>
      <c r="E331" s="52" t="s">
        <v>0</v>
      </c>
      <c r="F331" s="54" t="s">
        <v>36</v>
      </c>
      <c r="G331" s="89">
        <f t="shared" ref="G331:W331" si="590">G155+G243</f>
        <v>0</v>
      </c>
      <c r="H331" s="89">
        <f t="shared" si="590"/>
        <v>0</v>
      </c>
      <c r="I331" s="89">
        <f t="shared" si="590"/>
        <v>0</v>
      </c>
      <c r="J331" s="89">
        <f t="shared" si="590"/>
        <v>0</v>
      </c>
      <c r="K331" s="89">
        <f t="shared" si="590"/>
        <v>0</v>
      </c>
      <c r="L331" s="89">
        <f t="shared" si="590"/>
        <v>0</v>
      </c>
      <c r="M331" s="89">
        <f t="shared" si="590"/>
        <v>0</v>
      </c>
      <c r="N331" s="89">
        <f t="shared" si="590"/>
        <v>0</v>
      </c>
      <c r="O331" s="89">
        <f t="shared" si="590"/>
        <v>0</v>
      </c>
      <c r="P331" s="89">
        <f t="shared" si="590"/>
        <v>0</v>
      </c>
      <c r="Q331" s="89">
        <f t="shared" si="590"/>
        <v>0</v>
      </c>
      <c r="R331" s="89">
        <f t="shared" si="590"/>
        <v>0</v>
      </c>
      <c r="S331" s="89">
        <f t="shared" si="590"/>
        <v>0</v>
      </c>
      <c r="T331" s="89">
        <f t="shared" si="590"/>
        <v>0</v>
      </c>
      <c r="U331" s="89">
        <f t="shared" si="590"/>
        <v>0</v>
      </c>
      <c r="V331" s="89">
        <f t="shared" si="590"/>
        <v>0</v>
      </c>
      <c r="W331" s="89">
        <f t="shared" si="590"/>
        <v>0</v>
      </c>
      <c r="X331" s="89">
        <f t="shared" si="570"/>
        <v>0</v>
      </c>
      <c r="Y331" s="89">
        <f t="shared" ref="Y331:AO331" si="591">Y155+Y243</f>
        <v>0</v>
      </c>
      <c r="Z331" s="89">
        <f t="shared" si="591"/>
        <v>0</v>
      </c>
      <c r="AA331" s="89">
        <f t="shared" si="591"/>
        <v>0</v>
      </c>
      <c r="AB331" s="89">
        <f t="shared" si="591"/>
        <v>0</v>
      </c>
      <c r="AC331" s="89">
        <f t="shared" si="591"/>
        <v>0</v>
      </c>
      <c r="AD331" s="89">
        <f t="shared" si="591"/>
        <v>0</v>
      </c>
      <c r="AE331" s="89">
        <f t="shared" si="591"/>
        <v>0</v>
      </c>
      <c r="AF331" s="89">
        <f t="shared" si="591"/>
        <v>0</v>
      </c>
      <c r="AG331" s="89">
        <f t="shared" si="591"/>
        <v>0</v>
      </c>
      <c r="AH331" s="89">
        <f t="shared" si="591"/>
        <v>0</v>
      </c>
      <c r="AI331" s="89">
        <f t="shared" si="591"/>
        <v>0</v>
      </c>
      <c r="AJ331" s="89">
        <f t="shared" si="591"/>
        <v>0</v>
      </c>
      <c r="AK331" s="89">
        <f t="shared" si="591"/>
        <v>0</v>
      </c>
      <c r="AL331" s="89">
        <f t="shared" si="591"/>
        <v>0</v>
      </c>
      <c r="AM331" s="89">
        <f t="shared" si="591"/>
        <v>0</v>
      </c>
      <c r="AN331" s="89">
        <f t="shared" si="591"/>
        <v>0</v>
      </c>
      <c r="AO331" s="89">
        <f t="shared" si="591"/>
        <v>0</v>
      </c>
      <c r="AP331" s="89">
        <f t="shared" si="572"/>
        <v>0</v>
      </c>
      <c r="AQ331" s="89">
        <f t="shared" si="573"/>
        <v>0</v>
      </c>
      <c r="AR331" s="89">
        <f t="shared" si="573"/>
        <v>0</v>
      </c>
      <c r="AS331" s="89">
        <f t="shared" si="573"/>
        <v>0</v>
      </c>
      <c r="AT331" s="89">
        <f t="shared" si="573"/>
        <v>0</v>
      </c>
      <c r="AU331" s="89">
        <f t="shared" si="573"/>
        <v>0</v>
      </c>
      <c r="AV331" s="89">
        <f t="shared" si="573"/>
        <v>0</v>
      </c>
      <c r="AW331" s="89">
        <f t="shared" si="573"/>
        <v>0</v>
      </c>
      <c r="AX331" s="89">
        <f t="shared" si="574"/>
        <v>0</v>
      </c>
      <c r="AY331" s="89">
        <f t="shared" si="575"/>
        <v>0</v>
      </c>
      <c r="AZ331" s="89">
        <f t="shared" si="575"/>
        <v>0</v>
      </c>
      <c r="BA331" s="89">
        <f t="shared" si="576"/>
        <v>0</v>
      </c>
      <c r="BB331" s="89">
        <f t="shared" si="576"/>
        <v>0</v>
      </c>
      <c r="BC331" s="89">
        <f t="shared" si="576"/>
        <v>0</v>
      </c>
      <c r="BD331" s="89">
        <f t="shared" si="576"/>
        <v>0</v>
      </c>
      <c r="BE331" s="89">
        <f t="shared" si="576"/>
        <v>0</v>
      </c>
      <c r="BF331" s="89">
        <f t="shared" si="577"/>
        <v>0</v>
      </c>
      <c r="BG331" s="89">
        <f t="shared" si="578"/>
        <v>0</v>
      </c>
      <c r="BH331" s="111">
        <f t="shared" si="579"/>
        <v>0</v>
      </c>
    </row>
    <row r="332" spans="1:60" ht="22.5">
      <c r="A332" s="51"/>
      <c r="B332" s="108"/>
      <c r="C332" s="52" t="s">
        <v>150</v>
      </c>
      <c r="D332" s="52" t="s">
        <v>93</v>
      </c>
      <c r="E332" s="52" t="s">
        <v>0</v>
      </c>
      <c r="F332" s="54" t="s">
        <v>37</v>
      </c>
      <c r="G332" s="89">
        <f t="shared" ref="G332:W332" si="592">G156+G244</f>
        <v>0</v>
      </c>
      <c r="H332" s="89">
        <f t="shared" si="592"/>
        <v>0</v>
      </c>
      <c r="I332" s="89">
        <f t="shared" si="592"/>
        <v>0</v>
      </c>
      <c r="J332" s="89">
        <f t="shared" si="592"/>
        <v>0</v>
      </c>
      <c r="K332" s="89">
        <f t="shared" si="592"/>
        <v>0</v>
      </c>
      <c r="L332" s="89">
        <f t="shared" si="592"/>
        <v>0</v>
      </c>
      <c r="M332" s="89">
        <f t="shared" si="592"/>
        <v>0</v>
      </c>
      <c r="N332" s="89">
        <f t="shared" si="592"/>
        <v>0</v>
      </c>
      <c r="O332" s="89">
        <f t="shared" si="592"/>
        <v>0</v>
      </c>
      <c r="P332" s="89">
        <f t="shared" si="592"/>
        <v>0</v>
      </c>
      <c r="Q332" s="89">
        <f t="shared" si="592"/>
        <v>0</v>
      </c>
      <c r="R332" s="89">
        <f t="shared" si="592"/>
        <v>0</v>
      </c>
      <c r="S332" s="89">
        <f t="shared" si="592"/>
        <v>0</v>
      </c>
      <c r="T332" s="89">
        <f t="shared" si="592"/>
        <v>0</v>
      </c>
      <c r="U332" s="89">
        <f t="shared" si="592"/>
        <v>0</v>
      </c>
      <c r="V332" s="89">
        <f t="shared" si="592"/>
        <v>0</v>
      </c>
      <c r="W332" s="89">
        <f t="shared" si="592"/>
        <v>0</v>
      </c>
      <c r="X332" s="89">
        <f t="shared" si="570"/>
        <v>0</v>
      </c>
      <c r="Y332" s="89">
        <f t="shared" ref="Y332:AO332" si="593">Y156+Y244</f>
        <v>0</v>
      </c>
      <c r="Z332" s="89">
        <f t="shared" si="593"/>
        <v>0</v>
      </c>
      <c r="AA332" s="89">
        <f t="shared" si="593"/>
        <v>0</v>
      </c>
      <c r="AB332" s="89">
        <f t="shared" si="593"/>
        <v>0</v>
      </c>
      <c r="AC332" s="89">
        <f t="shared" si="593"/>
        <v>0</v>
      </c>
      <c r="AD332" s="89">
        <f t="shared" si="593"/>
        <v>0</v>
      </c>
      <c r="AE332" s="89">
        <f t="shared" si="593"/>
        <v>0</v>
      </c>
      <c r="AF332" s="89">
        <f t="shared" si="593"/>
        <v>0</v>
      </c>
      <c r="AG332" s="89">
        <f t="shared" si="593"/>
        <v>0</v>
      </c>
      <c r="AH332" s="89">
        <f t="shared" si="593"/>
        <v>0</v>
      </c>
      <c r="AI332" s="89">
        <f t="shared" si="593"/>
        <v>0</v>
      </c>
      <c r="AJ332" s="89">
        <f t="shared" si="593"/>
        <v>0</v>
      </c>
      <c r="AK332" s="89">
        <f t="shared" si="593"/>
        <v>0</v>
      </c>
      <c r="AL332" s="89">
        <f t="shared" si="593"/>
        <v>0</v>
      </c>
      <c r="AM332" s="89">
        <f t="shared" si="593"/>
        <v>0</v>
      </c>
      <c r="AN332" s="89">
        <f t="shared" si="593"/>
        <v>0</v>
      </c>
      <c r="AO332" s="89">
        <f t="shared" si="593"/>
        <v>0</v>
      </c>
      <c r="AP332" s="89">
        <f t="shared" si="572"/>
        <v>0</v>
      </c>
      <c r="AQ332" s="89">
        <f t="shared" si="573"/>
        <v>0</v>
      </c>
      <c r="AR332" s="89">
        <f t="shared" si="573"/>
        <v>0</v>
      </c>
      <c r="AS332" s="89">
        <f t="shared" si="573"/>
        <v>0</v>
      </c>
      <c r="AT332" s="89">
        <f t="shared" si="573"/>
        <v>0</v>
      </c>
      <c r="AU332" s="89">
        <f t="shared" si="573"/>
        <v>0</v>
      </c>
      <c r="AV332" s="89">
        <f t="shared" si="573"/>
        <v>0</v>
      </c>
      <c r="AW332" s="89">
        <f t="shared" si="573"/>
        <v>0</v>
      </c>
      <c r="AX332" s="89">
        <f t="shared" si="574"/>
        <v>0</v>
      </c>
      <c r="AY332" s="89">
        <f t="shared" si="575"/>
        <v>0</v>
      </c>
      <c r="AZ332" s="89">
        <f t="shared" si="575"/>
        <v>0</v>
      </c>
      <c r="BA332" s="89">
        <f t="shared" si="576"/>
        <v>0</v>
      </c>
      <c r="BB332" s="89">
        <f t="shared" si="576"/>
        <v>0</v>
      </c>
      <c r="BC332" s="89">
        <f t="shared" si="576"/>
        <v>0</v>
      </c>
      <c r="BD332" s="89">
        <f t="shared" si="576"/>
        <v>0</v>
      </c>
      <c r="BE332" s="89">
        <f t="shared" si="576"/>
        <v>0</v>
      </c>
      <c r="BF332" s="89">
        <f t="shared" si="577"/>
        <v>0</v>
      </c>
      <c r="BG332" s="89">
        <f t="shared" si="578"/>
        <v>0</v>
      </c>
      <c r="BH332" s="111">
        <f t="shared" si="579"/>
        <v>0</v>
      </c>
    </row>
    <row r="333" spans="1:60" ht="22.5">
      <c r="A333" s="51"/>
      <c r="B333" s="108"/>
      <c r="C333" s="52" t="s">
        <v>151</v>
      </c>
      <c r="D333" s="52" t="s">
        <v>93</v>
      </c>
      <c r="E333" s="52" t="s">
        <v>0</v>
      </c>
      <c r="F333" s="54" t="s">
        <v>38</v>
      </c>
      <c r="G333" s="89">
        <f t="shared" ref="G333:W333" si="594">G157+G245</f>
        <v>0</v>
      </c>
      <c r="H333" s="89">
        <f t="shared" si="594"/>
        <v>0</v>
      </c>
      <c r="I333" s="89">
        <f t="shared" si="594"/>
        <v>0</v>
      </c>
      <c r="J333" s="89">
        <f t="shared" si="594"/>
        <v>0</v>
      </c>
      <c r="K333" s="89">
        <f t="shared" si="594"/>
        <v>0</v>
      </c>
      <c r="L333" s="89">
        <f t="shared" si="594"/>
        <v>0</v>
      </c>
      <c r="M333" s="89">
        <f t="shared" si="594"/>
        <v>0</v>
      </c>
      <c r="N333" s="89">
        <f t="shared" si="594"/>
        <v>0</v>
      </c>
      <c r="O333" s="89">
        <f t="shared" si="594"/>
        <v>0</v>
      </c>
      <c r="P333" s="89">
        <f t="shared" si="594"/>
        <v>0</v>
      </c>
      <c r="Q333" s="89">
        <f t="shared" si="594"/>
        <v>0</v>
      </c>
      <c r="R333" s="89">
        <f t="shared" si="594"/>
        <v>0</v>
      </c>
      <c r="S333" s="89">
        <f t="shared" si="594"/>
        <v>0</v>
      </c>
      <c r="T333" s="89">
        <f t="shared" si="594"/>
        <v>0</v>
      </c>
      <c r="U333" s="89">
        <f t="shared" si="594"/>
        <v>0</v>
      </c>
      <c r="V333" s="89">
        <f t="shared" si="594"/>
        <v>0</v>
      </c>
      <c r="W333" s="89">
        <f t="shared" si="594"/>
        <v>0</v>
      </c>
      <c r="X333" s="89">
        <f t="shared" si="570"/>
        <v>0</v>
      </c>
      <c r="Y333" s="89">
        <f t="shared" ref="Y333:AO333" si="595">Y157+Y245</f>
        <v>0</v>
      </c>
      <c r="Z333" s="89">
        <f t="shared" si="595"/>
        <v>0</v>
      </c>
      <c r="AA333" s="89">
        <f t="shared" si="595"/>
        <v>0</v>
      </c>
      <c r="AB333" s="89">
        <f t="shared" si="595"/>
        <v>0</v>
      </c>
      <c r="AC333" s="89">
        <f t="shared" si="595"/>
        <v>0</v>
      </c>
      <c r="AD333" s="89">
        <f t="shared" si="595"/>
        <v>0</v>
      </c>
      <c r="AE333" s="89">
        <f t="shared" si="595"/>
        <v>0</v>
      </c>
      <c r="AF333" s="89">
        <f t="shared" si="595"/>
        <v>0</v>
      </c>
      <c r="AG333" s="89">
        <f t="shared" si="595"/>
        <v>0</v>
      </c>
      <c r="AH333" s="89">
        <f t="shared" si="595"/>
        <v>0</v>
      </c>
      <c r="AI333" s="89">
        <f t="shared" si="595"/>
        <v>0</v>
      </c>
      <c r="AJ333" s="89">
        <f t="shared" si="595"/>
        <v>0</v>
      </c>
      <c r="AK333" s="89">
        <f t="shared" si="595"/>
        <v>0</v>
      </c>
      <c r="AL333" s="89">
        <f t="shared" si="595"/>
        <v>0</v>
      </c>
      <c r="AM333" s="89">
        <f t="shared" si="595"/>
        <v>0</v>
      </c>
      <c r="AN333" s="89">
        <f t="shared" si="595"/>
        <v>0</v>
      </c>
      <c r="AO333" s="89">
        <f t="shared" si="595"/>
        <v>0</v>
      </c>
      <c r="AP333" s="89">
        <f t="shared" si="572"/>
        <v>0</v>
      </c>
      <c r="AQ333" s="89">
        <f t="shared" si="573"/>
        <v>0</v>
      </c>
      <c r="AR333" s="89">
        <f t="shared" si="573"/>
        <v>0</v>
      </c>
      <c r="AS333" s="89">
        <f t="shared" si="573"/>
        <v>0</v>
      </c>
      <c r="AT333" s="89">
        <f t="shared" si="573"/>
        <v>0</v>
      </c>
      <c r="AU333" s="89">
        <f t="shared" si="573"/>
        <v>0</v>
      </c>
      <c r="AV333" s="89">
        <f t="shared" si="573"/>
        <v>0</v>
      </c>
      <c r="AW333" s="89">
        <f t="shared" si="573"/>
        <v>0</v>
      </c>
      <c r="AX333" s="89">
        <f t="shared" si="574"/>
        <v>0</v>
      </c>
      <c r="AY333" s="89">
        <f t="shared" si="575"/>
        <v>0</v>
      </c>
      <c r="AZ333" s="89">
        <f t="shared" si="575"/>
        <v>0</v>
      </c>
      <c r="BA333" s="89">
        <f t="shared" si="576"/>
        <v>0</v>
      </c>
      <c r="BB333" s="89">
        <f t="shared" si="576"/>
        <v>0</v>
      </c>
      <c r="BC333" s="89">
        <f t="shared" si="576"/>
        <v>0</v>
      </c>
      <c r="BD333" s="89">
        <f t="shared" si="576"/>
        <v>0</v>
      </c>
      <c r="BE333" s="89">
        <f t="shared" si="576"/>
        <v>0</v>
      </c>
      <c r="BF333" s="89">
        <f t="shared" si="577"/>
        <v>0</v>
      </c>
      <c r="BG333" s="89">
        <f t="shared" si="578"/>
        <v>0</v>
      </c>
      <c r="BH333" s="111">
        <f t="shared" si="579"/>
        <v>0</v>
      </c>
    </row>
    <row r="334" spans="1:60" ht="22.5">
      <c r="A334" s="51"/>
      <c r="B334" s="108"/>
      <c r="C334" s="52"/>
      <c r="D334" s="52" t="s">
        <v>0</v>
      </c>
      <c r="E334" s="52" t="s">
        <v>0</v>
      </c>
      <c r="F334" s="53" t="s">
        <v>39</v>
      </c>
      <c r="G334" s="91"/>
      <c r="H334" s="91"/>
      <c r="I334" s="91"/>
      <c r="J334" s="91"/>
      <c r="K334" s="91"/>
      <c r="L334" s="91"/>
      <c r="M334" s="91"/>
      <c r="N334" s="91"/>
      <c r="O334" s="91"/>
      <c r="P334" s="91"/>
      <c r="Q334" s="91"/>
      <c r="R334" s="91"/>
      <c r="S334" s="91"/>
      <c r="T334" s="91"/>
      <c r="U334" s="91"/>
      <c r="V334" s="91"/>
      <c r="W334" s="91"/>
      <c r="X334" s="91"/>
      <c r="Y334" s="91"/>
      <c r="Z334" s="91"/>
      <c r="AA334" s="91"/>
      <c r="AB334" s="91"/>
      <c r="AC334" s="91"/>
      <c r="AD334" s="91"/>
      <c r="AE334" s="91"/>
      <c r="AF334" s="91"/>
      <c r="AG334" s="91"/>
      <c r="AH334" s="91"/>
      <c r="AI334" s="91"/>
      <c r="AJ334" s="91"/>
      <c r="AK334" s="91"/>
      <c r="AL334" s="91"/>
      <c r="AM334" s="91"/>
      <c r="AN334" s="91"/>
      <c r="AO334" s="91"/>
      <c r="AP334" s="91"/>
      <c r="AQ334" s="91"/>
      <c r="AR334" s="91"/>
      <c r="AS334" s="91"/>
      <c r="AT334" s="91"/>
      <c r="AU334" s="91"/>
      <c r="AV334" s="91"/>
      <c r="AW334" s="91"/>
      <c r="AX334" s="91"/>
      <c r="AY334" s="91"/>
      <c r="AZ334" s="91"/>
      <c r="BA334" s="91"/>
      <c r="BB334" s="91"/>
      <c r="BC334" s="91"/>
      <c r="BD334" s="91"/>
      <c r="BE334" s="91"/>
      <c r="BF334" s="91"/>
      <c r="BG334" s="91"/>
      <c r="BH334" s="112"/>
    </row>
    <row r="335" spans="1:60" ht="22.5">
      <c r="A335" s="51"/>
      <c r="B335" s="108"/>
      <c r="C335" s="52" t="s">
        <v>152</v>
      </c>
      <c r="D335" s="52" t="s">
        <v>93</v>
      </c>
      <c r="E335" s="52" t="s">
        <v>0</v>
      </c>
      <c r="F335" s="54" t="s">
        <v>40</v>
      </c>
      <c r="G335" s="89">
        <f t="shared" ref="G335:W335" si="596">G159+G247</f>
        <v>0</v>
      </c>
      <c r="H335" s="89">
        <f t="shared" si="596"/>
        <v>0</v>
      </c>
      <c r="I335" s="89">
        <f t="shared" si="596"/>
        <v>0</v>
      </c>
      <c r="J335" s="89">
        <f t="shared" si="596"/>
        <v>0</v>
      </c>
      <c r="K335" s="89">
        <f t="shared" si="596"/>
        <v>0</v>
      </c>
      <c r="L335" s="89">
        <f t="shared" si="596"/>
        <v>0</v>
      </c>
      <c r="M335" s="89">
        <f t="shared" si="596"/>
        <v>0</v>
      </c>
      <c r="N335" s="89">
        <f t="shared" si="596"/>
        <v>0</v>
      </c>
      <c r="O335" s="89">
        <f t="shared" si="596"/>
        <v>0</v>
      </c>
      <c r="P335" s="89">
        <f t="shared" si="596"/>
        <v>0</v>
      </c>
      <c r="Q335" s="89">
        <f t="shared" si="596"/>
        <v>0</v>
      </c>
      <c r="R335" s="89">
        <f t="shared" si="596"/>
        <v>0</v>
      </c>
      <c r="S335" s="89">
        <f t="shared" si="596"/>
        <v>0</v>
      </c>
      <c r="T335" s="89">
        <f t="shared" si="596"/>
        <v>0</v>
      </c>
      <c r="U335" s="89">
        <f t="shared" si="596"/>
        <v>0</v>
      </c>
      <c r="V335" s="89">
        <f t="shared" si="596"/>
        <v>0</v>
      </c>
      <c r="W335" s="89">
        <f t="shared" si="596"/>
        <v>0</v>
      </c>
      <c r="X335" s="89">
        <f t="shared" ref="X335:X337" si="597">SUM(P335:W335)+SUM(G335:K335)</f>
        <v>0</v>
      </c>
      <c r="Y335" s="89">
        <f t="shared" ref="Y335:AO335" si="598">Y159+Y247</f>
        <v>0</v>
      </c>
      <c r="Z335" s="89">
        <f t="shared" si="598"/>
        <v>0</v>
      </c>
      <c r="AA335" s="89">
        <f t="shared" si="598"/>
        <v>0</v>
      </c>
      <c r="AB335" s="89">
        <f t="shared" si="598"/>
        <v>0</v>
      </c>
      <c r="AC335" s="89">
        <f t="shared" si="598"/>
        <v>0</v>
      </c>
      <c r="AD335" s="89">
        <f t="shared" si="598"/>
        <v>0</v>
      </c>
      <c r="AE335" s="89">
        <f t="shared" si="598"/>
        <v>0</v>
      </c>
      <c r="AF335" s="89">
        <f t="shared" si="598"/>
        <v>0</v>
      </c>
      <c r="AG335" s="89">
        <f t="shared" si="598"/>
        <v>0</v>
      </c>
      <c r="AH335" s="89">
        <f t="shared" si="598"/>
        <v>0</v>
      </c>
      <c r="AI335" s="89">
        <f t="shared" si="598"/>
        <v>0</v>
      </c>
      <c r="AJ335" s="89">
        <f t="shared" si="598"/>
        <v>0</v>
      </c>
      <c r="AK335" s="89">
        <f t="shared" si="598"/>
        <v>0</v>
      </c>
      <c r="AL335" s="89">
        <f t="shared" si="598"/>
        <v>0</v>
      </c>
      <c r="AM335" s="89">
        <f t="shared" si="598"/>
        <v>0</v>
      </c>
      <c r="AN335" s="89">
        <f t="shared" si="598"/>
        <v>0</v>
      </c>
      <c r="AO335" s="89">
        <f t="shared" si="598"/>
        <v>0</v>
      </c>
      <c r="AP335" s="89">
        <f t="shared" ref="AP335:AP337" si="599">SUM(AH335:AO335)+SUM(Y335:AC335)</f>
        <v>0</v>
      </c>
      <c r="AQ335" s="89">
        <f t="shared" ref="AQ335:AW337" si="600">AQ159+AQ247</f>
        <v>0</v>
      </c>
      <c r="AR335" s="89">
        <f t="shared" si="600"/>
        <v>0</v>
      </c>
      <c r="AS335" s="89">
        <f t="shared" si="600"/>
        <v>0</v>
      </c>
      <c r="AT335" s="89">
        <f t="shared" si="600"/>
        <v>0</v>
      </c>
      <c r="AU335" s="89">
        <f t="shared" si="600"/>
        <v>0</v>
      </c>
      <c r="AV335" s="89">
        <f t="shared" si="600"/>
        <v>0</v>
      </c>
      <c r="AW335" s="89">
        <f t="shared" si="600"/>
        <v>0</v>
      </c>
      <c r="AX335" s="89">
        <f t="shared" ref="AX335:AX337" si="601">N335+AF335</f>
        <v>0</v>
      </c>
      <c r="AY335" s="89">
        <f t="shared" ref="AY335:AZ337" si="602">O335+AG335</f>
        <v>0</v>
      </c>
      <c r="AZ335" s="89">
        <f t="shared" si="602"/>
        <v>0</v>
      </c>
      <c r="BA335" s="89">
        <f t="shared" ref="BA335:BE337" si="603">BA159+BA247</f>
        <v>0</v>
      </c>
      <c r="BB335" s="89">
        <f t="shared" si="603"/>
        <v>0</v>
      </c>
      <c r="BC335" s="89">
        <f t="shared" si="603"/>
        <v>0</v>
      </c>
      <c r="BD335" s="89">
        <f t="shared" si="603"/>
        <v>0</v>
      </c>
      <c r="BE335" s="89">
        <f t="shared" si="603"/>
        <v>0</v>
      </c>
      <c r="BF335" s="89">
        <f t="shared" ref="BF335:BF337" si="604">V335+AN335</f>
        <v>0</v>
      </c>
      <c r="BG335" s="89">
        <f>BG159+BG247</f>
        <v>0</v>
      </c>
      <c r="BH335" s="111">
        <f>X335+AP335</f>
        <v>0</v>
      </c>
    </row>
    <row r="336" spans="1:60" ht="22.5">
      <c r="A336" s="51"/>
      <c r="B336" s="108"/>
      <c r="C336" s="52" t="s">
        <v>153</v>
      </c>
      <c r="D336" s="52" t="s">
        <v>93</v>
      </c>
      <c r="E336" s="52" t="s">
        <v>0</v>
      </c>
      <c r="F336" s="54" t="s">
        <v>41</v>
      </c>
      <c r="G336" s="89">
        <f t="shared" ref="G336:W336" si="605">G160+G248</f>
        <v>0</v>
      </c>
      <c r="H336" s="89">
        <f t="shared" si="605"/>
        <v>0</v>
      </c>
      <c r="I336" s="89">
        <f t="shared" si="605"/>
        <v>0</v>
      </c>
      <c r="J336" s="89">
        <f t="shared" si="605"/>
        <v>0</v>
      </c>
      <c r="K336" s="89">
        <f t="shared" si="605"/>
        <v>0</v>
      </c>
      <c r="L336" s="89">
        <f t="shared" si="605"/>
        <v>0</v>
      </c>
      <c r="M336" s="89">
        <f t="shared" si="605"/>
        <v>0</v>
      </c>
      <c r="N336" s="89">
        <f t="shared" si="605"/>
        <v>0</v>
      </c>
      <c r="O336" s="89">
        <f t="shared" si="605"/>
        <v>0</v>
      </c>
      <c r="P336" s="89">
        <f t="shared" si="605"/>
        <v>0</v>
      </c>
      <c r="Q336" s="89">
        <f t="shared" si="605"/>
        <v>0</v>
      </c>
      <c r="R336" s="89">
        <f t="shared" si="605"/>
        <v>0</v>
      </c>
      <c r="S336" s="89">
        <f t="shared" si="605"/>
        <v>0</v>
      </c>
      <c r="T336" s="89">
        <f t="shared" si="605"/>
        <v>0</v>
      </c>
      <c r="U336" s="89">
        <f t="shared" si="605"/>
        <v>0</v>
      </c>
      <c r="V336" s="89">
        <f t="shared" si="605"/>
        <v>0</v>
      </c>
      <c r="W336" s="89">
        <f t="shared" si="605"/>
        <v>0</v>
      </c>
      <c r="X336" s="89">
        <f t="shared" si="597"/>
        <v>0</v>
      </c>
      <c r="Y336" s="89">
        <f t="shared" ref="Y336:AO336" si="606">Y160+Y248</f>
        <v>0</v>
      </c>
      <c r="Z336" s="89">
        <f t="shared" si="606"/>
        <v>0</v>
      </c>
      <c r="AA336" s="89">
        <f t="shared" si="606"/>
        <v>0</v>
      </c>
      <c r="AB336" s="89">
        <f t="shared" si="606"/>
        <v>0</v>
      </c>
      <c r="AC336" s="89">
        <f t="shared" si="606"/>
        <v>0</v>
      </c>
      <c r="AD336" s="89">
        <f t="shared" si="606"/>
        <v>0</v>
      </c>
      <c r="AE336" s="89">
        <f t="shared" si="606"/>
        <v>0</v>
      </c>
      <c r="AF336" s="89">
        <f t="shared" si="606"/>
        <v>0</v>
      </c>
      <c r="AG336" s="89">
        <f t="shared" si="606"/>
        <v>0</v>
      </c>
      <c r="AH336" s="89">
        <f t="shared" si="606"/>
        <v>0</v>
      </c>
      <c r="AI336" s="89">
        <f t="shared" si="606"/>
        <v>0</v>
      </c>
      <c r="AJ336" s="89">
        <f t="shared" si="606"/>
        <v>0</v>
      </c>
      <c r="AK336" s="89">
        <f t="shared" si="606"/>
        <v>0</v>
      </c>
      <c r="AL336" s="89">
        <f t="shared" si="606"/>
        <v>0</v>
      </c>
      <c r="AM336" s="89">
        <f t="shared" si="606"/>
        <v>0</v>
      </c>
      <c r="AN336" s="89">
        <f t="shared" si="606"/>
        <v>0</v>
      </c>
      <c r="AO336" s="89">
        <f t="shared" si="606"/>
        <v>0</v>
      </c>
      <c r="AP336" s="89">
        <f t="shared" si="599"/>
        <v>0</v>
      </c>
      <c r="AQ336" s="89">
        <f t="shared" si="600"/>
        <v>0</v>
      </c>
      <c r="AR336" s="89">
        <f t="shared" si="600"/>
        <v>0</v>
      </c>
      <c r="AS336" s="89">
        <f t="shared" si="600"/>
        <v>0</v>
      </c>
      <c r="AT336" s="89">
        <f t="shared" si="600"/>
        <v>0</v>
      </c>
      <c r="AU336" s="89">
        <f t="shared" si="600"/>
        <v>0</v>
      </c>
      <c r="AV336" s="89">
        <f t="shared" si="600"/>
        <v>0</v>
      </c>
      <c r="AW336" s="89">
        <f t="shared" si="600"/>
        <v>0</v>
      </c>
      <c r="AX336" s="89">
        <f t="shared" si="601"/>
        <v>0</v>
      </c>
      <c r="AY336" s="89">
        <f t="shared" si="602"/>
        <v>0</v>
      </c>
      <c r="AZ336" s="89">
        <f t="shared" si="602"/>
        <v>0</v>
      </c>
      <c r="BA336" s="89">
        <f t="shared" si="603"/>
        <v>0</v>
      </c>
      <c r="BB336" s="89">
        <f t="shared" si="603"/>
        <v>0</v>
      </c>
      <c r="BC336" s="89">
        <f t="shared" si="603"/>
        <v>0</v>
      </c>
      <c r="BD336" s="89">
        <f t="shared" si="603"/>
        <v>0</v>
      </c>
      <c r="BE336" s="89">
        <f t="shared" si="603"/>
        <v>0</v>
      </c>
      <c r="BF336" s="89">
        <f t="shared" si="604"/>
        <v>0</v>
      </c>
      <c r="BG336" s="89">
        <f>BG160+BG248</f>
        <v>0</v>
      </c>
      <c r="BH336" s="111">
        <f>X336+AP336</f>
        <v>0</v>
      </c>
    </row>
    <row r="337" spans="1:60" ht="22.5">
      <c r="A337" s="51"/>
      <c r="B337" s="108"/>
      <c r="C337" s="52" t="s">
        <v>154</v>
      </c>
      <c r="D337" s="52" t="s">
        <v>93</v>
      </c>
      <c r="E337" s="52" t="s">
        <v>0</v>
      </c>
      <c r="F337" s="53" t="s">
        <v>62</v>
      </c>
      <c r="G337" s="89">
        <f t="shared" ref="G337:W337" si="607">G161+G249</f>
        <v>0</v>
      </c>
      <c r="H337" s="89">
        <f t="shared" si="607"/>
        <v>0</v>
      </c>
      <c r="I337" s="89">
        <f t="shared" si="607"/>
        <v>0</v>
      </c>
      <c r="J337" s="89">
        <f t="shared" si="607"/>
        <v>0</v>
      </c>
      <c r="K337" s="89">
        <f t="shared" si="607"/>
        <v>0</v>
      </c>
      <c r="L337" s="89">
        <f t="shared" si="607"/>
        <v>0</v>
      </c>
      <c r="M337" s="89">
        <f t="shared" si="607"/>
        <v>0</v>
      </c>
      <c r="N337" s="89">
        <f t="shared" si="607"/>
        <v>0</v>
      </c>
      <c r="O337" s="89">
        <f t="shared" si="607"/>
        <v>0</v>
      </c>
      <c r="P337" s="89">
        <f t="shared" si="607"/>
        <v>0</v>
      </c>
      <c r="Q337" s="89">
        <f t="shared" si="607"/>
        <v>0</v>
      </c>
      <c r="R337" s="89">
        <f t="shared" si="607"/>
        <v>0</v>
      </c>
      <c r="S337" s="89">
        <f t="shared" si="607"/>
        <v>0</v>
      </c>
      <c r="T337" s="89">
        <f t="shared" si="607"/>
        <v>0</v>
      </c>
      <c r="U337" s="89">
        <f t="shared" si="607"/>
        <v>0</v>
      </c>
      <c r="V337" s="89">
        <f t="shared" si="607"/>
        <v>0</v>
      </c>
      <c r="W337" s="89">
        <f t="shared" si="607"/>
        <v>0</v>
      </c>
      <c r="X337" s="89">
        <f t="shared" si="597"/>
        <v>0</v>
      </c>
      <c r="Y337" s="89">
        <f t="shared" ref="Y337:AO337" si="608">Y161+Y249</f>
        <v>0</v>
      </c>
      <c r="Z337" s="89">
        <f t="shared" si="608"/>
        <v>0</v>
      </c>
      <c r="AA337" s="89">
        <f t="shared" si="608"/>
        <v>0</v>
      </c>
      <c r="AB337" s="89">
        <f t="shared" si="608"/>
        <v>0</v>
      </c>
      <c r="AC337" s="89">
        <f t="shared" si="608"/>
        <v>0</v>
      </c>
      <c r="AD337" s="89">
        <f t="shared" si="608"/>
        <v>0</v>
      </c>
      <c r="AE337" s="89">
        <f t="shared" si="608"/>
        <v>0</v>
      </c>
      <c r="AF337" s="89">
        <f t="shared" si="608"/>
        <v>0</v>
      </c>
      <c r="AG337" s="89">
        <f t="shared" si="608"/>
        <v>0</v>
      </c>
      <c r="AH337" s="89">
        <f t="shared" si="608"/>
        <v>0</v>
      </c>
      <c r="AI337" s="89">
        <f t="shared" si="608"/>
        <v>0</v>
      </c>
      <c r="AJ337" s="89">
        <f t="shared" si="608"/>
        <v>0</v>
      </c>
      <c r="AK337" s="89">
        <f t="shared" si="608"/>
        <v>0</v>
      </c>
      <c r="AL337" s="89">
        <f t="shared" si="608"/>
        <v>0</v>
      </c>
      <c r="AM337" s="89">
        <f t="shared" si="608"/>
        <v>0</v>
      </c>
      <c r="AN337" s="89">
        <f t="shared" si="608"/>
        <v>0</v>
      </c>
      <c r="AO337" s="89">
        <f t="shared" si="608"/>
        <v>0</v>
      </c>
      <c r="AP337" s="89">
        <f t="shared" si="599"/>
        <v>0</v>
      </c>
      <c r="AQ337" s="89">
        <f t="shared" si="600"/>
        <v>0</v>
      </c>
      <c r="AR337" s="89">
        <f t="shared" si="600"/>
        <v>0</v>
      </c>
      <c r="AS337" s="89">
        <f t="shared" si="600"/>
        <v>0</v>
      </c>
      <c r="AT337" s="89">
        <f t="shared" si="600"/>
        <v>0</v>
      </c>
      <c r="AU337" s="89">
        <f t="shared" si="600"/>
        <v>0</v>
      </c>
      <c r="AV337" s="89">
        <f t="shared" si="600"/>
        <v>0</v>
      </c>
      <c r="AW337" s="89">
        <f t="shared" si="600"/>
        <v>0</v>
      </c>
      <c r="AX337" s="89">
        <f t="shared" si="601"/>
        <v>0</v>
      </c>
      <c r="AY337" s="89">
        <f t="shared" si="602"/>
        <v>0</v>
      </c>
      <c r="AZ337" s="89">
        <f t="shared" si="602"/>
        <v>0</v>
      </c>
      <c r="BA337" s="89">
        <f t="shared" si="603"/>
        <v>0</v>
      </c>
      <c r="BB337" s="89">
        <f t="shared" si="603"/>
        <v>0</v>
      </c>
      <c r="BC337" s="89">
        <f t="shared" si="603"/>
        <v>0</v>
      </c>
      <c r="BD337" s="89">
        <f t="shared" si="603"/>
        <v>0</v>
      </c>
      <c r="BE337" s="89">
        <f t="shared" si="603"/>
        <v>0</v>
      </c>
      <c r="BF337" s="89">
        <f t="shared" si="604"/>
        <v>0</v>
      </c>
      <c r="BG337" s="89">
        <f>BG161+BG249</f>
        <v>0</v>
      </c>
      <c r="BH337" s="111">
        <f>X337+AP337</f>
        <v>0</v>
      </c>
    </row>
    <row r="338" spans="1:60" ht="22.5">
      <c r="A338" s="51"/>
      <c r="B338" s="108"/>
      <c r="C338" s="52"/>
      <c r="D338" s="52" t="s">
        <v>0</v>
      </c>
      <c r="E338" s="52" t="s">
        <v>0</v>
      </c>
      <c r="F338" s="53" t="s">
        <v>42</v>
      </c>
      <c r="G338" s="91"/>
      <c r="H338" s="91"/>
      <c r="I338" s="91"/>
      <c r="J338" s="91"/>
      <c r="K338" s="91"/>
      <c r="L338" s="91"/>
      <c r="M338" s="91"/>
      <c r="N338" s="91"/>
      <c r="O338" s="91"/>
      <c r="P338" s="91"/>
      <c r="Q338" s="91"/>
      <c r="R338" s="91"/>
      <c r="S338" s="91"/>
      <c r="T338" s="91"/>
      <c r="U338" s="91"/>
      <c r="V338" s="91"/>
      <c r="W338" s="91"/>
      <c r="X338" s="91"/>
      <c r="Y338" s="91"/>
      <c r="Z338" s="91"/>
      <c r="AA338" s="91"/>
      <c r="AB338" s="91"/>
      <c r="AC338" s="91"/>
      <c r="AD338" s="91"/>
      <c r="AE338" s="91"/>
      <c r="AF338" s="91"/>
      <c r="AG338" s="91"/>
      <c r="AH338" s="91"/>
      <c r="AI338" s="91"/>
      <c r="AJ338" s="91"/>
      <c r="AK338" s="91"/>
      <c r="AL338" s="91"/>
      <c r="AM338" s="91"/>
      <c r="AN338" s="91"/>
      <c r="AO338" s="91"/>
      <c r="AP338" s="91"/>
      <c r="AQ338" s="91"/>
      <c r="AR338" s="91"/>
      <c r="AS338" s="91"/>
      <c r="AT338" s="91"/>
      <c r="AU338" s="91"/>
      <c r="AV338" s="91"/>
      <c r="AW338" s="91"/>
      <c r="AX338" s="91"/>
      <c r="AY338" s="91"/>
      <c r="AZ338" s="91"/>
      <c r="BA338" s="91"/>
      <c r="BB338" s="91"/>
      <c r="BC338" s="91"/>
      <c r="BD338" s="91"/>
      <c r="BE338" s="91"/>
      <c r="BF338" s="91"/>
      <c r="BG338" s="91"/>
      <c r="BH338" s="112"/>
    </row>
    <row r="339" spans="1:60">
      <c r="A339" s="51"/>
      <c r="B339" s="108"/>
      <c r="C339" s="52" t="s">
        <v>155</v>
      </c>
      <c r="D339" s="52" t="s">
        <v>93</v>
      </c>
      <c r="E339" s="52" t="s">
        <v>0</v>
      </c>
      <c r="F339" s="54" t="s">
        <v>43</v>
      </c>
      <c r="G339" s="89">
        <f t="shared" ref="G339:W339" si="609">G163+G251</f>
        <v>0</v>
      </c>
      <c r="H339" s="89">
        <f t="shared" si="609"/>
        <v>0</v>
      </c>
      <c r="I339" s="89">
        <f t="shared" si="609"/>
        <v>0</v>
      </c>
      <c r="J339" s="89">
        <f t="shared" si="609"/>
        <v>0</v>
      </c>
      <c r="K339" s="89">
        <f t="shared" si="609"/>
        <v>0</v>
      </c>
      <c r="L339" s="89">
        <f t="shared" si="609"/>
        <v>0</v>
      </c>
      <c r="M339" s="89">
        <f t="shared" si="609"/>
        <v>0</v>
      </c>
      <c r="N339" s="89">
        <f t="shared" si="609"/>
        <v>0</v>
      </c>
      <c r="O339" s="89">
        <f t="shared" si="609"/>
        <v>0</v>
      </c>
      <c r="P339" s="89">
        <f t="shared" si="609"/>
        <v>0</v>
      </c>
      <c r="Q339" s="89">
        <f t="shared" si="609"/>
        <v>0</v>
      </c>
      <c r="R339" s="89">
        <f t="shared" si="609"/>
        <v>0</v>
      </c>
      <c r="S339" s="89">
        <f t="shared" si="609"/>
        <v>0</v>
      </c>
      <c r="T339" s="89">
        <f t="shared" si="609"/>
        <v>0</v>
      </c>
      <c r="U339" s="89">
        <f t="shared" si="609"/>
        <v>0</v>
      </c>
      <c r="V339" s="89">
        <f t="shared" si="609"/>
        <v>0</v>
      </c>
      <c r="W339" s="89">
        <f t="shared" si="609"/>
        <v>0</v>
      </c>
      <c r="X339" s="89">
        <f t="shared" ref="X339:X345" si="610">SUM(P339:W339)+SUM(G339:K339)</f>
        <v>0</v>
      </c>
      <c r="Y339" s="89">
        <f t="shared" ref="Y339:AO339" si="611">Y163+Y251</f>
        <v>0</v>
      </c>
      <c r="Z339" s="89">
        <f t="shared" si="611"/>
        <v>0</v>
      </c>
      <c r="AA339" s="89">
        <f t="shared" si="611"/>
        <v>0</v>
      </c>
      <c r="AB339" s="89">
        <f t="shared" si="611"/>
        <v>0</v>
      </c>
      <c r="AC339" s="89">
        <f t="shared" si="611"/>
        <v>0</v>
      </c>
      <c r="AD339" s="89">
        <f t="shared" si="611"/>
        <v>0</v>
      </c>
      <c r="AE339" s="89">
        <f t="shared" si="611"/>
        <v>0</v>
      </c>
      <c r="AF339" s="89">
        <f t="shared" si="611"/>
        <v>0</v>
      </c>
      <c r="AG339" s="89">
        <f t="shared" si="611"/>
        <v>0</v>
      </c>
      <c r="AH339" s="89">
        <f t="shared" si="611"/>
        <v>0</v>
      </c>
      <c r="AI339" s="89">
        <f t="shared" si="611"/>
        <v>0</v>
      </c>
      <c r="AJ339" s="89">
        <f t="shared" si="611"/>
        <v>0</v>
      </c>
      <c r="AK339" s="89">
        <f t="shared" si="611"/>
        <v>0</v>
      </c>
      <c r="AL339" s="89">
        <f t="shared" si="611"/>
        <v>0</v>
      </c>
      <c r="AM339" s="89">
        <f t="shared" si="611"/>
        <v>0</v>
      </c>
      <c r="AN339" s="89">
        <f t="shared" si="611"/>
        <v>0</v>
      </c>
      <c r="AO339" s="89">
        <f t="shared" si="611"/>
        <v>0</v>
      </c>
      <c r="AP339" s="89">
        <f t="shared" ref="AP339:AP345" si="612">SUM(AH339:AO339)+SUM(Y339:AC339)</f>
        <v>0</v>
      </c>
      <c r="AQ339" s="89">
        <f t="shared" ref="AQ339:AW345" si="613">AQ163+AQ251</f>
        <v>0</v>
      </c>
      <c r="AR339" s="89">
        <f t="shared" si="613"/>
        <v>0</v>
      </c>
      <c r="AS339" s="89">
        <f t="shared" si="613"/>
        <v>0</v>
      </c>
      <c r="AT339" s="89">
        <f t="shared" si="613"/>
        <v>0</v>
      </c>
      <c r="AU339" s="89">
        <f t="shared" si="613"/>
        <v>0</v>
      </c>
      <c r="AV339" s="89">
        <f t="shared" si="613"/>
        <v>0</v>
      </c>
      <c r="AW339" s="89">
        <f t="shared" si="613"/>
        <v>0</v>
      </c>
      <c r="AX339" s="89">
        <f t="shared" ref="AX339:AX345" si="614">N339+AF339</f>
        <v>0</v>
      </c>
      <c r="AY339" s="89">
        <f t="shared" ref="AY339:AZ345" si="615">O339+AG339</f>
        <v>0</v>
      </c>
      <c r="AZ339" s="89">
        <f t="shared" si="615"/>
        <v>0</v>
      </c>
      <c r="BA339" s="89">
        <f t="shared" ref="BA339:BE345" si="616">BA163+BA251</f>
        <v>0</v>
      </c>
      <c r="BB339" s="89">
        <f t="shared" si="616"/>
        <v>0</v>
      </c>
      <c r="BC339" s="89">
        <f t="shared" si="616"/>
        <v>0</v>
      </c>
      <c r="BD339" s="89">
        <f t="shared" si="616"/>
        <v>0</v>
      </c>
      <c r="BE339" s="89">
        <f t="shared" si="616"/>
        <v>0</v>
      </c>
      <c r="BF339" s="89">
        <f t="shared" ref="BF339:BF345" si="617">V339+AN339</f>
        <v>0</v>
      </c>
      <c r="BG339" s="89">
        <f t="shared" ref="BG339:BG345" si="618">BG163+BG251</f>
        <v>0</v>
      </c>
      <c r="BH339" s="111">
        <f t="shared" ref="BH339:BH345" si="619">X339+AP339</f>
        <v>0</v>
      </c>
    </row>
    <row r="340" spans="1:60">
      <c r="A340" s="51"/>
      <c r="B340" s="108"/>
      <c r="C340" s="52" t="s">
        <v>156</v>
      </c>
      <c r="D340" s="52" t="s">
        <v>93</v>
      </c>
      <c r="E340" s="52" t="s">
        <v>0</v>
      </c>
      <c r="F340" s="54" t="s">
        <v>44</v>
      </c>
      <c r="G340" s="89">
        <f t="shared" ref="G340:W340" si="620">G164+G252</f>
        <v>0</v>
      </c>
      <c r="H340" s="89">
        <f t="shared" si="620"/>
        <v>0</v>
      </c>
      <c r="I340" s="89">
        <f t="shared" si="620"/>
        <v>0</v>
      </c>
      <c r="J340" s="89">
        <f t="shared" si="620"/>
        <v>0</v>
      </c>
      <c r="K340" s="89">
        <f t="shared" si="620"/>
        <v>0</v>
      </c>
      <c r="L340" s="89">
        <f t="shared" si="620"/>
        <v>0</v>
      </c>
      <c r="M340" s="89">
        <f t="shared" si="620"/>
        <v>0</v>
      </c>
      <c r="N340" s="89">
        <f t="shared" si="620"/>
        <v>0</v>
      </c>
      <c r="O340" s="89">
        <f t="shared" si="620"/>
        <v>0</v>
      </c>
      <c r="P340" s="89">
        <f t="shared" si="620"/>
        <v>0</v>
      </c>
      <c r="Q340" s="89">
        <f t="shared" si="620"/>
        <v>0</v>
      </c>
      <c r="R340" s="89">
        <f t="shared" si="620"/>
        <v>0</v>
      </c>
      <c r="S340" s="89">
        <f t="shared" si="620"/>
        <v>0</v>
      </c>
      <c r="T340" s="89">
        <f t="shared" si="620"/>
        <v>0</v>
      </c>
      <c r="U340" s="89">
        <f t="shared" si="620"/>
        <v>0</v>
      </c>
      <c r="V340" s="89">
        <f t="shared" si="620"/>
        <v>0</v>
      </c>
      <c r="W340" s="89">
        <f t="shared" si="620"/>
        <v>0</v>
      </c>
      <c r="X340" s="89">
        <f t="shared" si="610"/>
        <v>0</v>
      </c>
      <c r="Y340" s="89">
        <f t="shared" ref="Y340:AO340" si="621">Y164+Y252</f>
        <v>0</v>
      </c>
      <c r="Z340" s="89">
        <f t="shared" si="621"/>
        <v>0</v>
      </c>
      <c r="AA340" s="89">
        <f t="shared" si="621"/>
        <v>0</v>
      </c>
      <c r="AB340" s="89">
        <f t="shared" si="621"/>
        <v>0</v>
      </c>
      <c r="AC340" s="89">
        <f t="shared" si="621"/>
        <v>0</v>
      </c>
      <c r="AD340" s="89">
        <f t="shared" si="621"/>
        <v>0</v>
      </c>
      <c r="AE340" s="89">
        <f t="shared" si="621"/>
        <v>0</v>
      </c>
      <c r="AF340" s="89">
        <f t="shared" si="621"/>
        <v>0</v>
      </c>
      <c r="AG340" s="89">
        <f t="shared" si="621"/>
        <v>0</v>
      </c>
      <c r="AH340" s="89">
        <f t="shared" si="621"/>
        <v>0</v>
      </c>
      <c r="AI340" s="89">
        <f t="shared" si="621"/>
        <v>0</v>
      </c>
      <c r="AJ340" s="89">
        <f t="shared" si="621"/>
        <v>0</v>
      </c>
      <c r="AK340" s="89">
        <f t="shared" si="621"/>
        <v>0</v>
      </c>
      <c r="AL340" s="89">
        <f t="shared" si="621"/>
        <v>0</v>
      </c>
      <c r="AM340" s="89">
        <f t="shared" si="621"/>
        <v>0</v>
      </c>
      <c r="AN340" s="89">
        <f t="shared" si="621"/>
        <v>0</v>
      </c>
      <c r="AO340" s="89">
        <f t="shared" si="621"/>
        <v>0</v>
      </c>
      <c r="AP340" s="89">
        <f t="shared" si="612"/>
        <v>0</v>
      </c>
      <c r="AQ340" s="89">
        <f t="shared" si="613"/>
        <v>0</v>
      </c>
      <c r="AR340" s="89">
        <f t="shared" si="613"/>
        <v>0</v>
      </c>
      <c r="AS340" s="89">
        <f t="shared" si="613"/>
        <v>0</v>
      </c>
      <c r="AT340" s="89">
        <f t="shared" si="613"/>
        <v>0</v>
      </c>
      <c r="AU340" s="89">
        <f t="shared" si="613"/>
        <v>0</v>
      </c>
      <c r="AV340" s="89">
        <f t="shared" si="613"/>
        <v>0</v>
      </c>
      <c r="AW340" s="89">
        <f t="shared" si="613"/>
        <v>0</v>
      </c>
      <c r="AX340" s="89">
        <f t="shared" si="614"/>
        <v>0</v>
      </c>
      <c r="AY340" s="89">
        <f t="shared" si="615"/>
        <v>0</v>
      </c>
      <c r="AZ340" s="89">
        <f t="shared" si="615"/>
        <v>0</v>
      </c>
      <c r="BA340" s="89">
        <f t="shared" si="616"/>
        <v>0</v>
      </c>
      <c r="BB340" s="89">
        <f t="shared" si="616"/>
        <v>0</v>
      </c>
      <c r="BC340" s="89">
        <f t="shared" si="616"/>
        <v>0</v>
      </c>
      <c r="BD340" s="89">
        <f t="shared" si="616"/>
        <v>0</v>
      </c>
      <c r="BE340" s="89">
        <f t="shared" si="616"/>
        <v>0</v>
      </c>
      <c r="BF340" s="89">
        <f t="shared" si="617"/>
        <v>0</v>
      </c>
      <c r="BG340" s="89">
        <f t="shared" si="618"/>
        <v>0</v>
      </c>
      <c r="BH340" s="111">
        <f t="shared" si="619"/>
        <v>0</v>
      </c>
    </row>
    <row r="341" spans="1:60" ht="16.5" customHeight="1">
      <c r="A341" s="51"/>
      <c r="B341" s="108"/>
      <c r="C341" s="52" t="s">
        <v>157</v>
      </c>
      <c r="D341" s="52" t="s">
        <v>93</v>
      </c>
      <c r="E341" s="52" t="s">
        <v>0</v>
      </c>
      <c r="F341" s="53" t="s">
        <v>63</v>
      </c>
      <c r="G341" s="89">
        <f t="shared" ref="G341:W341" si="622">G165+G253</f>
        <v>0</v>
      </c>
      <c r="H341" s="89">
        <f t="shared" si="622"/>
        <v>0</v>
      </c>
      <c r="I341" s="89">
        <f t="shared" si="622"/>
        <v>0</v>
      </c>
      <c r="J341" s="89">
        <f t="shared" si="622"/>
        <v>0</v>
      </c>
      <c r="K341" s="89">
        <f t="shared" si="622"/>
        <v>0</v>
      </c>
      <c r="L341" s="89">
        <f t="shared" si="622"/>
        <v>0</v>
      </c>
      <c r="M341" s="89">
        <f t="shared" si="622"/>
        <v>0</v>
      </c>
      <c r="N341" s="89">
        <f t="shared" si="622"/>
        <v>0</v>
      </c>
      <c r="O341" s="89">
        <f t="shared" si="622"/>
        <v>0</v>
      </c>
      <c r="P341" s="89">
        <f t="shared" si="622"/>
        <v>0</v>
      </c>
      <c r="Q341" s="89">
        <f t="shared" si="622"/>
        <v>0</v>
      </c>
      <c r="R341" s="89">
        <f t="shared" si="622"/>
        <v>0</v>
      </c>
      <c r="S341" s="89">
        <f t="shared" si="622"/>
        <v>0</v>
      </c>
      <c r="T341" s="89">
        <f t="shared" si="622"/>
        <v>0</v>
      </c>
      <c r="U341" s="89">
        <f t="shared" si="622"/>
        <v>0</v>
      </c>
      <c r="V341" s="89">
        <f t="shared" si="622"/>
        <v>0</v>
      </c>
      <c r="W341" s="89">
        <f t="shared" si="622"/>
        <v>0</v>
      </c>
      <c r="X341" s="89">
        <f t="shared" si="610"/>
        <v>0</v>
      </c>
      <c r="Y341" s="89">
        <f t="shared" ref="Y341:AO341" si="623">Y165+Y253</f>
        <v>0</v>
      </c>
      <c r="Z341" s="89">
        <f t="shared" si="623"/>
        <v>0</v>
      </c>
      <c r="AA341" s="89">
        <f t="shared" si="623"/>
        <v>0</v>
      </c>
      <c r="AB341" s="89">
        <f t="shared" si="623"/>
        <v>0</v>
      </c>
      <c r="AC341" s="89">
        <f t="shared" si="623"/>
        <v>0</v>
      </c>
      <c r="AD341" s="89">
        <f t="shared" si="623"/>
        <v>0</v>
      </c>
      <c r="AE341" s="89">
        <f t="shared" si="623"/>
        <v>0</v>
      </c>
      <c r="AF341" s="89">
        <f t="shared" si="623"/>
        <v>0</v>
      </c>
      <c r="AG341" s="89">
        <f t="shared" si="623"/>
        <v>0</v>
      </c>
      <c r="AH341" s="89">
        <f t="shared" si="623"/>
        <v>0</v>
      </c>
      <c r="AI341" s="89">
        <f t="shared" si="623"/>
        <v>0</v>
      </c>
      <c r="AJ341" s="89">
        <f t="shared" si="623"/>
        <v>0</v>
      </c>
      <c r="AK341" s="89">
        <f t="shared" si="623"/>
        <v>0</v>
      </c>
      <c r="AL341" s="89">
        <f t="shared" si="623"/>
        <v>0</v>
      </c>
      <c r="AM341" s="89">
        <f t="shared" si="623"/>
        <v>0</v>
      </c>
      <c r="AN341" s="89">
        <f t="shared" si="623"/>
        <v>0</v>
      </c>
      <c r="AO341" s="89">
        <f t="shared" si="623"/>
        <v>0</v>
      </c>
      <c r="AP341" s="89">
        <f t="shared" si="612"/>
        <v>0</v>
      </c>
      <c r="AQ341" s="89">
        <f t="shared" si="613"/>
        <v>0</v>
      </c>
      <c r="AR341" s="89">
        <f t="shared" si="613"/>
        <v>0</v>
      </c>
      <c r="AS341" s="89">
        <f t="shared" si="613"/>
        <v>0</v>
      </c>
      <c r="AT341" s="89">
        <f t="shared" si="613"/>
        <v>0</v>
      </c>
      <c r="AU341" s="89">
        <f t="shared" si="613"/>
        <v>0</v>
      </c>
      <c r="AV341" s="89">
        <f t="shared" si="613"/>
        <v>0</v>
      </c>
      <c r="AW341" s="89">
        <f t="shared" si="613"/>
        <v>0</v>
      </c>
      <c r="AX341" s="89">
        <f t="shared" si="614"/>
        <v>0</v>
      </c>
      <c r="AY341" s="89">
        <f t="shared" si="615"/>
        <v>0</v>
      </c>
      <c r="AZ341" s="89">
        <f t="shared" si="615"/>
        <v>0</v>
      </c>
      <c r="BA341" s="89">
        <f t="shared" si="616"/>
        <v>0</v>
      </c>
      <c r="BB341" s="89">
        <f t="shared" si="616"/>
        <v>0</v>
      </c>
      <c r="BC341" s="89">
        <f t="shared" si="616"/>
        <v>0</v>
      </c>
      <c r="BD341" s="89">
        <f t="shared" si="616"/>
        <v>0</v>
      </c>
      <c r="BE341" s="89">
        <f t="shared" si="616"/>
        <v>0</v>
      </c>
      <c r="BF341" s="89">
        <f t="shared" si="617"/>
        <v>0</v>
      </c>
      <c r="BG341" s="89">
        <f t="shared" si="618"/>
        <v>0</v>
      </c>
      <c r="BH341" s="111">
        <f t="shared" si="619"/>
        <v>0</v>
      </c>
    </row>
    <row r="342" spans="1:60" ht="15" customHeight="1">
      <c r="A342" s="51"/>
      <c r="B342" s="108"/>
      <c r="C342" s="52" t="s">
        <v>158</v>
      </c>
      <c r="D342" s="52" t="s">
        <v>93</v>
      </c>
      <c r="E342" s="52" t="s">
        <v>0</v>
      </c>
      <c r="F342" s="54" t="s">
        <v>45</v>
      </c>
      <c r="G342" s="89">
        <f t="shared" ref="G342:W342" si="624">G166+G254</f>
        <v>0</v>
      </c>
      <c r="H342" s="89">
        <f t="shared" si="624"/>
        <v>0</v>
      </c>
      <c r="I342" s="89">
        <f t="shared" si="624"/>
        <v>0</v>
      </c>
      <c r="J342" s="89">
        <f t="shared" si="624"/>
        <v>0</v>
      </c>
      <c r="K342" s="89">
        <f t="shared" si="624"/>
        <v>0</v>
      </c>
      <c r="L342" s="89">
        <f t="shared" si="624"/>
        <v>0</v>
      </c>
      <c r="M342" s="89">
        <f t="shared" si="624"/>
        <v>0</v>
      </c>
      <c r="N342" s="89">
        <f t="shared" si="624"/>
        <v>0</v>
      </c>
      <c r="O342" s="89">
        <f t="shared" si="624"/>
        <v>0</v>
      </c>
      <c r="P342" s="89">
        <f t="shared" si="624"/>
        <v>0</v>
      </c>
      <c r="Q342" s="89">
        <f t="shared" si="624"/>
        <v>0</v>
      </c>
      <c r="R342" s="89">
        <f t="shared" si="624"/>
        <v>0</v>
      </c>
      <c r="S342" s="89">
        <f t="shared" si="624"/>
        <v>0</v>
      </c>
      <c r="T342" s="89">
        <f t="shared" si="624"/>
        <v>0</v>
      </c>
      <c r="U342" s="89">
        <f t="shared" si="624"/>
        <v>0</v>
      </c>
      <c r="V342" s="89">
        <f t="shared" si="624"/>
        <v>0</v>
      </c>
      <c r="W342" s="89">
        <f t="shared" si="624"/>
        <v>0</v>
      </c>
      <c r="X342" s="89">
        <f t="shared" si="610"/>
        <v>0</v>
      </c>
      <c r="Y342" s="89">
        <f t="shared" ref="Y342:AO342" si="625">Y166+Y254</f>
        <v>0</v>
      </c>
      <c r="Z342" s="89">
        <f t="shared" si="625"/>
        <v>0</v>
      </c>
      <c r="AA342" s="89">
        <f t="shared" si="625"/>
        <v>0</v>
      </c>
      <c r="AB342" s="89">
        <f t="shared" si="625"/>
        <v>0</v>
      </c>
      <c r="AC342" s="89">
        <f t="shared" si="625"/>
        <v>0</v>
      </c>
      <c r="AD342" s="89">
        <f t="shared" si="625"/>
        <v>0</v>
      </c>
      <c r="AE342" s="89">
        <f t="shared" si="625"/>
        <v>0</v>
      </c>
      <c r="AF342" s="89">
        <f t="shared" si="625"/>
        <v>0</v>
      </c>
      <c r="AG342" s="89">
        <f t="shared" si="625"/>
        <v>0</v>
      </c>
      <c r="AH342" s="89">
        <f t="shared" si="625"/>
        <v>0</v>
      </c>
      <c r="AI342" s="89">
        <f t="shared" si="625"/>
        <v>0</v>
      </c>
      <c r="AJ342" s="89">
        <f t="shared" si="625"/>
        <v>0</v>
      </c>
      <c r="AK342" s="89">
        <f t="shared" si="625"/>
        <v>0</v>
      </c>
      <c r="AL342" s="89">
        <f t="shared" si="625"/>
        <v>0</v>
      </c>
      <c r="AM342" s="89">
        <f t="shared" si="625"/>
        <v>0</v>
      </c>
      <c r="AN342" s="89">
        <f t="shared" si="625"/>
        <v>0</v>
      </c>
      <c r="AO342" s="89">
        <f t="shared" si="625"/>
        <v>0</v>
      </c>
      <c r="AP342" s="89">
        <f t="shared" si="612"/>
        <v>0</v>
      </c>
      <c r="AQ342" s="89">
        <f t="shared" si="613"/>
        <v>0</v>
      </c>
      <c r="AR342" s="89">
        <f t="shared" si="613"/>
        <v>0</v>
      </c>
      <c r="AS342" s="89">
        <f t="shared" si="613"/>
        <v>0</v>
      </c>
      <c r="AT342" s="89">
        <f t="shared" si="613"/>
        <v>0</v>
      </c>
      <c r="AU342" s="89">
        <f t="shared" si="613"/>
        <v>0</v>
      </c>
      <c r="AV342" s="89">
        <f t="shared" si="613"/>
        <v>0</v>
      </c>
      <c r="AW342" s="89">
        <f t="shared" si="613"/>
        <v>0</v>
      </c>
      <c r="AX342" s="89">
        <f t="shared" si="614"/>
        <v>0</v>
      </c>
      <c r="AY342" s="89">
        <f t="shared" si="615"/>
        <v>0</v>
      </c>
      <c r="AZ342" s="89">
        <f t="shared" si="615"/>
        <v>0</v>
      </c>
      <c r="BA342" s="89">
        <f t="shared" si="616"/>
        <v>0</v>
      </c>
      <c r="BB342" s="89">
        <f t="shared" si="616"/>
        <v>0</v>
      </c>
      <c r="BC342" s="89">
        <f t="shared" si="616"/>
        <v>0</v>
      </c>
      <c r="BD342" s="89">
        <f t="shared" si="616"/>
        <v>0</v>
      </c>
      <c r="BE342" s="89">
        <f t="shared" si="616"/>
        <v>0</v>
      </c>
      <c r="BF342" s="89">
        <f t="shared" si="617"/>
        <v>0</v>
      </c>
      <c r="BG342" s="89">
        <f t="shared" si="618"/>
        <v>0</v>
      </c>
      <c r="BH342" s="111">
        <f t="shared" si="619"/>
        <v>0</v>
      </c>
    </row>
    <row r="343" spans="1:60" ht="15" customHeight="1">
      <c r="A343" s="51"/>
      <c r="B343" s="108"/>
      <c r="C343" s="52" t="s">
        <v>159</v>
      </c>
      <c r="D343" s="52" t="s">
        <v>93</v>
      </c>
      <c r="E343" s="52" t="s">
        <v>0</v>
      </c>
      <c r="F343" s="54" t="s">
        <v>46</v>
      </c>
      <c r="G343" s="89">
        <f t="shared" ref="G343:W343" si="626">G167+G255</f>
        <v>0</v>
      </c>
      <c r="H343" s="89">
        <f t="shared" si="626"/>
        <v>0</v>
      </c>
      <c r="I343" s="89">
        <f t="shared" si="626"/>
        <v>0</v>
      </c>
      <c r="J343" s="89">
        <f t="shared" si="626"/>
        <v>0</v>
      </c>
      <c r="K343" s="89">
        <f t="shared" si="626"/>
        <v>0</v>
      </c>
      <c r="L343" s="89">
        <f t="shared" si="626"/>
        <v>0</v>
      </c>
      <c r="M343" s="89">
        <f t="shared" si="626"/>
        <v>0</v>
      </c>
      <c r="N343" s="89">
        <f t="shared" si="626"/>
        <v>0</v>
      </c>
      <c r="O343" s="89">
        <f t="shared" si="626"/>
        <v>0</v>
      </c>
      <c r="P343" s="89">
        <f t="shared" si="626"/>
        <v>0</v>
      </c>
      <c r="Q343" s="89">
        <f t="shared" si="626"/>
        <v>0</v>
      </c>
      <c r="R343" s="89">
        <f t="shared" si="626"/>
        <v>0</v>
      </c>
      <c r="S343" s="89">
        <f t="shared" si="626"/>
        <v>0</v>
      </c>
      <c r="T343" s="89">
        <f t="shared" si="626"/>
        <v>0</v>
      </c>
      <c r="U343" s="89">
        <f t="shared" si="626"/>
        <v>0</v>
      </c>
      <c r="V343" s="89">
        <f t="shared" si="626"/>
        <v>0</v>
      </c>
      <c r="W343" s="89">
        <f t="shared" si="626"/>
        <v>0</v>
      </c>
      <c r="X343" s="89">
        <f t="shared" si="610"/>
        <v>0</v>
      </c>
      <c r="Y343" s="89">
        <f t="shared" ref="Y343:AO343" si="627">Y167+Y255</f>
        <v>0</v>
      </c>
      <c r="Z343" s="89">
        <f t="shared" si="627"/>
        <v>0</v>
      </c>
      <c r="AA343" s="89">
        <f t="shared" si="627"/>
        <v>0</v>
      </c>
      <c r="AB343" s="89">
        <f t="shared" si="627"/>
        <v>0</v>
      </c>
      <c r="AC343" s="89">
        <f t="shared" si="627"/>
        <v>0</v>
      </c>
      <c r="AD343" s="89">
        <f t="shared" si="627"/>
        <v>0</v>
      </c>
      <c r="AE343" s="89">
        <f t="shared" si="627"/>
        <v>0</v>
      </c>
      <c r="AF343" s="89">
        <f t="shared" si="627"/>
        <v>0</v>
      </c>
      <c r="AG343" s="89">
        <f t="shared" si="627"/>
        <v>0</v>
      </c>
      <c r="AH343" s="89">
        <f t="shared" si="627"/>
        <v>0</v>
      </c>
      <c r="AI343" s="89">
        <f t="shared" si="627"/>
        <v>0</v>
      </c>
      <c r="AJ343" s="89">
        <f t="shared" si="627"/>
        <v>0</v>
      </c>
      <c r="AK343" s="89">
        <f t="shared" si="627"/>
        <v>0</v>
      </c>
      <c r="AL343" s="89">
        <f t="shared" si="627"/>
        <v>0</v>
      </c>
      <c r="AM343" s="89">
        <f t="shared" si="627"/>
        <v>0</v>
      </c>
      <c r="AN343" s="89">
        <f t="shared" si="627"/>
        <v>0</v>
      </c>
      <c r="AO343" s="89">
        <f t="shared" si="627"/>
        <v>0</v>
      </c>
      <c r="AP343" s="89">
        <f t="shared" si="612"/>
        <v>0</v>
      </c>
      <c r="AQ343" s="89">
        <f t="shared" si="613"/>
        <v>0</v>
      </c>
      <c r="AR343" s="89">
        <f t="shared" si="613"/>
        <v>0</v>
      </c>
      <c r="AS343" s="89">
        <f t="shared" si="613"/>
        <v>0</v>
      </c>
      <c r="AT343" s="89">
        <f t="shared" si="613"/>
        <v>0</v>
      </c>
      <c r="AU343" s="89">
        <f t="shared" si="613"/>
        <v>0</v>
      </c>
      <c r="AV343" s="89">
        <f t="shared" si="613"/>
        <v>0</v>
      </c>
      <c r="AW343" s="89">
        <f t="shared" si="613"/>
        <v>0</v>
      </c>
      <c r="AX343" s="89">
        <f t="shared" si="614"/>
        <v>0</v>
      </c>
      <c r="AY343" s="89">
        <f t="shared" si="615"/>
        <v>0</v>
      </c>
      <c r="AZ343" s="89">
        <f t="shared" si="615"/>
        <v>0</v>
      </c>
      <c r="BA343" s="89">
        <f t="shared" si="616"/>
        <v>0</v>
      </c>
      <c r="BB343" s="89">
        <f t="shared" si="616"/>
        <v>0</v>
      </c>
      <c r="BC343" s="89">
        <f t="shared" si="616"/>
        <v>0</v>
      </c>
      <c r="BD343" s="89">
        <f t="shared" si="616"/>
        <v>0</v>
      </c>
      <c r="BE343" s="89">
        <f t="shared" si="616"/>
        <v>0</v>
      </c>
      <c r="BF343" s="89">
        <f t="shared" si="617"/>
        <v>0</v>
      </c>
      <c r="BG343" s="89">
        <f t="shared" si="618"/>
        <v>0</v>
      </c>
      <c r="BH343" s="111">
        <f t="shared" si="619"/>
        <v>0</v>
      </c>
    </row>
    <row r="344" spans="1:60">
      <c r="A344" s="51"/>
      <c r="B344" s="108"/>
      <c r="C344" s="52" t="s">
        <v>160</v>
      </c>
      <c r="D344" s="52" t="s">
        <v>93</v>
      </c>
      <c r="E344" s="52" t="s">
        <v>0</v>
      </c>
      <c r="F344" s="53" t="s">
        <v>64</v>
      </c>
      <c r="G344" s="89">
        <f t="shared" ref="G344:W344" si="628">G168+G256</f>
        <v>0</v>
      </c>
      <c r="H344" s="89">
        <f t="shared" si="628"/>
        <v>0</v>
      </c>
      <c r="I344" s="89">
        <f t="shared" si="628"/>
        <v>0</v>
      </c>
      <c r="J344" s="89">
        <f t="shared" si="628"/>
        <v>0</v>
      </c>
      <c r="K344" s="89">
        <f t="shared" si="628"/>
        <v>0</v>
      </c>
      <c r="L344" s="89">
        <f t="shared" si="628"/>
        <v>0</v>
      </c>
      <c r="M344" s="89">
        <f t="shared" si="628"/>
        <v>0</v>
      </c>
      <c r="N344" s="89">
        <f t="shared" si="628"/>
        <v>0</v>
      </c>
      <c r="O344" s="89">
        <f t="shared" si="628"/>
        <v>0</v>
      </c>
      <c r="P344" s="89">
        <f t="shared" si="628"/>
        <v>0</v>
      </c>
      <c r="Q344" s="89">
        <f t="shared" si="628"/>
        <v>0</v>
      </c>
      <c r="R344" s="89">
        <f t="shared" si="628"/>
        <v>0</v>
      </c>
      <c r="S344" s="89">
        <f t="shared" si="628"/>
        <v>0</v>
      </c>
      <c r="T344" s="89">
        <f t="shared" si="628"/>
        <v>0</v>
      </c>
      <c r="U344" s="89">
        <f t="shared" si="628"/>
        <v>0</v>
      </c>
      <c r="V344" s="89">
        <f t="shared" si="628"/>
        <v>0</v>
      </c>
      <c r="W344" s="89">
        <f t="shared" si="628"/>
        <v>0</v>
      </c>
      <c r="X344" s="89">
        <f t="shared" si="610"/>
        <v>0</v>
      </c>
      <c r="Y344" s="89">
        <f t="shared" ref="Y344:AO344" si="629">Y168+Y256</f>
        <v>0</v>
      </c>
      <c r="Z344" s="89">
        <f t="shared" si="629"/>
        <v>0</v>
      </c>
      <c r="AA344" s="89">
        <f t="shared" si="629"/>
        <v>0</v>
      </c>
      <c r="AB344" s="89">
        <f t="shared" si="629"/>
        <v>0</v>
      </c>
      <c r="AC344" s="89">
        <f t="shared" si="629"/>
        <v>0</v>
      </c>
      <c r="AD344" s="89">
        <f t="shared" si="629"/>
        <v>0</v>
      </c>
      <c r="AE344" s="89">
        <f t="shared" si="629"/>
        <v>0</v>
      </c>
      <c r="AF344" s="89">
        <f t="shared" si="629"/>
        <v>0</v>
      </c>
      <c r="AG344" s="89">
        <f t="shared" si="629"/>
        <v>0</v>
      </c>
      <c r="AH344" s="89">
        <f t="shared" si="629"/>
        <v>0</v>
      </c>
      <c r="AI344" s="89">
        <f t="shared" si="629"/>
        <v>0</v>
      </c>
      <c r="AJ344" s="89">
        <f t="shared" si="629"/>
        <v>0</v>
      </c>
      <c r="AK344" s="89">
        <f t="shared" si="629"/>
        <v>0</v>
      </c>
      <c r="AL344" s="89">
        <f t="shared" si="629"/>
        <v>0</v>
      </c>
      <c r="AM344" s="89">
        <f t="shared" si="629"/>
        <v>0</v>
      </c>
      <c r="AN344" s="89">
        <f t="shared" si="629"/>
        <v>0</v>
      </c>
      <c r="AO344" s="89">
        <f t="shared" si="629"/>
        <v>0</v>
      </c>
      <c r="AP344" s="89">
        <f t="shared" si="612"/>
        <v>0</v>
      </c>
      <c r="AQ344" s="89">
        <f t="shared" si="613"/>
        <v>0</v>
      </c>
      <c r="AR344" s="89">
        <f t="shared" si="613"/>
        <v>0</v>
      </c>
      <c r="AS344" s="89">
        <f t="shared" si="613"/>
        <v>0</v>
      </c>
      <c r="AT344" s="89">
        <f t="shared" si="613"/>
        <v>0</v>
      </c>
      <c r="AU344" s="89">
        <f t="shared" si="613"/>
        <v>0</v>
      </c>
      <c r="AV344" s="89">
        <f t="shared" si="613"/>
        <v>0</v>
      </c>
      <c r="AW344" s="89">
        <f t="shared" si="613"/>
        <v>0</v>
      </c>
      <c r="AX344" s="89">
        <f t="shared" si="614"/>
        <v>0</v>
      </c>
      <c r="AY344" s="89">
        <f t="shared" si="615"/>
        <v>0</v>
      </c>
      <c r="AZ344" s="89">
        <f t="shared" si="615"/>
        <v>0</v>
      </c>
      <c r="BA344" s="89">
        <f t="shared" si="616"/>
        <v>0</v>
      </c>
      <c r="BB344" s="89">
        <f t="shared" si="616"/>
        <v>0</v>
      </c>
      <c r="BC344" s="89">
        <f t="shared" si="616"/>
        <v>0</v>
      </c>
      <c r="BD344" s="89">
        <f t="shared" si="616"/>
        <v>0</v>
      </c>
      <c r="BE344" s="89">
        <f t="shared" si="616"/>
        <v>0</v>
      </c>
      <c r="BF344" s="89">
        <f t="shared" si="617"/>
        <v>0</v>
      </c>
      <c r="BG344" s="89">
        <f t="shared" si="618"/>
        <v>0</v>
      </c>
      <c r="BH344" s="111">
        <f t="shared" si="619"/>
        <v>0</v>
      </c>
    </row>
    <row r="345" spans="1:60">
      <c r="A345" s="51" t="s">
        <v>52</v>
      </c>
      <c r="B345" s="108"/>
      <c r="C345" s="52" t="s">
        <v>142</v>
      </c>
      <c r="D345" s="52" t="s">
        <v>3</v>
      </c>
      <c r="E345" s="52" t="s">
        <v>0</v>
      </c>
      <c r="F345" s="53" t="s">
        <v>186</v>
      </c>
      <c r="G345" s="89">
        <f t="shared" ref="G345:W345" si="630">G169+G257</f>
        <v>0</v>
      </c>
      <c r="H345" s="89">
        <f t="shared" si="630"/>
        <v>0</v>
      </c>
      <c r="I345" s="89">
        <f t="shared" si="630"/>
        <v>0</v>
      </c>
      <c r="J345" s="89">
        <f t="shared" si="630"/>
        <v>0</v>
      </c>
      <c r="K345" s="89">
        <f t="shared" si="630"/>
        <v>0</v>
      </c>
      <c r="L345" s="89">
        <f t="shared" si="630"/>
        <v>0</v>
      </c>
      <c r="M345" s="89">
        <f t="shared" si="630"/>
        <v>0</v>
      </c>
      <c r="N345" s="89">
        <f t="shared" si="630"/>
        <v>0</v>
      </c>
      <c r="O345" s="89">
        <f t="shared" si="630"/>
        <v>0</v>
      </c>
      <c r="P345" s="89">
        <f t="shared" si="630"/>
        <v>0</v>
      </c>
      <c r="Q345" s="89">
        <f t="shared" si="630"/>
        <v>0</v>
      </c>
      <c r="R345" s="89">
        <f t="shared" si="630"/>
        <v>0</v>
      </c>
      <c r="S345" s="89">
        <f t="shared" si="630"/>
        <v>0</v>
      </c>
      <c r="T345" s="89">
        <f t="shared" si="630"/>
        <v>0</v>
      </c>
      <c r="U345" s="89">
        <f t="shared" si="630"/>
        <v>0</v>
      </c>
      <c r="V345" s="89">
        <f t="shared" si="630"/>
        <v>0</v>
      </c>
      <c r="W345" s="89">
        <f t="shared" si="630"/>
        <v>0</v>
      </c>
      <c r="X345" s="89">
        <f t="shared" si="610"/>
        <v>0</v>
      </c>
      <c r="Y345" s="89">
        <f t="shared" ref="Y345:AO345" si="631">Y169+Y257</f>
        <v>0</v>
      </c>
      <c r="Z345" s="89">
        <f t="shared" si="631"/>
        <v>0</v>
      </c>
      <c r="AA345" s="89">
        <f t="shared" si="631"/>
        <v>0</v>
      </c>
      <c r="AB345" s="89">
        <f t="shared" si="631"/>
        <v>0</v>
      </c>
      <c r="AC345" s="89">
        <f t="shared" si="631"/>
        <v>0</v>
      </c>
      <c r="AD345" s="89">
        <f t="shared" si="631"/>
        <v>0</v>
      </c>
      <c r="AE345" s="89">
        <f t="shared" si="631"/>
        <v>0</v>
      </c>
      <c r="AF345" s="89">
        <f t="shared" si="631"/>
        <v>0</v>
      </c>
      <c r="AG345" s="89">
        <f t="shared" si="631"/>
        <v>0</v>
      </c>
      <c r="AH345" s="89">
        <f t="shared" si="631"/>
        <v>0</v>
      </c>
      <c r="AI345" s="89">
        <f t="shared" si="631"/>
        <v>0</v>
      </c>
      <c r="AJ345" s="89">
        <f t="shared" si="631"/>
        <v>0</v>
      </c>
      <c r="AK345" s="89">
        <f t="shared" si="631"/>
        <v>0</v>
      </c>
      <c r="AL345" s="89">
        <f t="shared" si="631"/>
        <v>0</v>
      </c>
      <c r="AM345" s="89">
        <f t="shared" si="631"/>
        <v>0</v>
      </c>
      <c r="AN345" s="89">
        <f t="shared" si="631"/>
        <v>0</v>
      </c>
      <c r="AO345" s="89">
        <f t="shared" si="631"/>
        <v>0</v>
      </c>
      <c r="AP345" s="89">
        <f t="shared" si="612"/>
        <v>0</v>
      </c>
      <c r="AQ345" s="89">
        <f t="shared" si="613"/>
        <v>0</v>
      </c>
      <c r="AR345" s="89">
        <f t="shared" si="613"/>
        <v>0</v>
      </c>
      <c r="AS345" s="89">
        <f t="shared" si="613"/>
        <v>0</v>
      </c>
      <c r="AT345" s="89">
        <f t="shared" si="613"/>
        <v>0</v>
      </c>
      <c r="AU345" s="89">
        <f t="shared" si="613"/>
        <v>0</v>
      </c>
      <c r="AV345" s="89">
        <f t="shared" si="613"/>
        <v>0</v>
      </c>
      <c r="AW345" s="89">
        <f t="shared" si="613"/>
        <v>0</v>
      </c>
      <c r="AX345" s="89">
        <f t="shared" si="614"/>
        <v>0</v>
      </c>
      <c r="AY345" s="89">
        <f t="shared" si="615"/>
        <v>0</v>
      </c>
      <c r="AZ345" s="89">
        <f t="shared" si="615"/>
        <v>0</v>
      </c>
      <c r="BA345" s="89">
        <f t="shared" si="616"/>
        <v>0</v>
      </c>
      <c r="BB345" s="89">
        <f t="shared" si="616"/>
        <v>0</v>
      </c>
      <c r="BC345" s="89">
        <f t="shared" si="616"/>
        <v>0</v>
      </c>
      <c r="BD345" s="89">
        <f t="shared" si="616"/>
        <v>0</v>
      </c>
      <c r="BE345" s="89">
        <f t="shared" si="616"/>
        <v>0</v>
      </c>
      <c r="BF345" s="89">
        <f t="shared" si="617"/>
        <v>0</v>
      </c>
      <c r="BG345" s="89">
        <f t="shared" si="618"/>
        <v>0</v>
      </c>
      <c r="BH345" s="111">
        <f t="shared" si="619"/>
        <v>0</v>
      </c>
    </row>
    <row r="346" spans="1:60">
      <c r="A346" s="51"/>
      <c r="B346" s="108"/>
      <c r="C346" s="52"/>
      <c r="D346" s="52"/>
      <c r="E346" s="52"/>
      <c r="F346" s="54"/>
      <c r="G346" s="101">
        <f t="shared" ref="G346:AL346" si="632">G284-G345</f>
        <v>0</v>
      </c>
      <c r="H346" s="101">
        <f t="shared" si="632"/>
        <v>0</v>
      </c>
      <c r="I346" s="101">
        <f t="shared" si="632"/>
        <v>0</v>
      </c>
      <c r="J346" s="101">
        <f t="shared" si="632"/>
        <v>0</v>
      </c>
      <c r="K346" s="101">
        <f t="shared" si="632"/>
        <v>0</v>
      </c>
      <c r="L346" s="101">
        <f t="shared" si="632"/>
        <v>0</v>
      </c>
      <c r="M346" s="101">
        <f t="shared" si="632"/>
        <v>0</v>
      </c>
      <c r="N346" s="101">
        <f t="shared" si="632"/>
        <v>0</v>
      </c>
      <c r="O346" s="101">
        <f t="shared" si="632"/>
        <v>0</v>
      </c>
      <c r="P346" s="101">
        <f t="shared" si="632"/>
        <v>0</v>
      </c>
      <c r="Q346" s="101">
        <f t="shared" si="632"/>
        <v>0</v>
      </c>
      <c r="R346" s="101">
        <f t="shared" si="632"/>
        <v>0</v>
      </c>
      <c r="S346" s="101">
        <f t="shared" si="632"/>
        <v>0</v>
      </c>
      <c r="T346" s="101">
        <f t="shared" si="632"/>
        <v>0</v>
      </c>
      <c r="U346" s="101">
        <f t="shared" si="632"/>
        <v>0</v>
      </c>
      <c r="V346" s="101">
        <f t="shared" si="632"/>
        <v>0</v>
      </c>
      <c r="W346" s="101">
        <f t="shared" si="632"/>
        <v>0</v>
      </c>
      <c r="X346" s="101">
        <f t="shared" si="632"/>
        <v>0</v>
      </c>
      <c r="Y346" s="101">
        <f t="shared" si="632"/>
        <v>0</v>
      </c>
      <c r="Z346" s="101">
        <f t="shared" si="632"/>
        <v>0</v>
      </c>
      <c r="AA346" s="101">
        <f t="shared" si="632"/>
        <v>0</v>
      </c>
      <c r="AB346" s="101">
        <f t="shared" si="632"/>
        <v>0</v>
      </c>
      <c r="AC346" s="101">
        <f t="shared" si="632"/>
        <v>0</v>
      </c>
      <c r="AD346" s="101">
        <f t="shared" si="632"/>
        <v>0</v>
      </c>
      <c r="AE346" s="101">
        <f t="shared" si="632"/>
        <v>0</v>
      </c>
      <c r="AF346" s="101">
        <f t="shared" si="632"/>
        <v>0</v>
      </c>
      <c r="AG346" s="101">
        <f t="shared" si="632"/>
        <v>0</v>
      </c>
      <c r="AH346" s="101">
        <f t="shared" si="632"/>
        <v>0</v>
      </c>
      <c r="AI346" s="101">
        <f t="shared" si="632"/>
        <v>0</v>
      </c>
      <c r="AJ346" s="101">
        <f t="shared" si="632"/>
        <v>0</v>
      </c>
      <c r="AK346" s="101">
        <f t="shared" si="632"/>
        <v>0</v>
      </c>
      <c r="AL346" s="101">
        <f t="shared" si="632"/>
        <v>0</v>
      </c>
      <c r="AM346" s="101">
        <f t="shared" ref="AM346:BH346" si="633">AM284-AM345</f>
        <v>0</v>
      </c>
      <c r="AN346" s="101">
        <f t="shared" si="633"/>
        <v>0</v>
      </c>
      <c r="AO346" s="101">
        <f t="shared" si="633"/>
        <v>0</v>
      </c>
      <c r="AP346" s="101">
        <f t="shared" si="633"/>
        <v>0</v>
      </c>
      <c r="AQ346" s="101">
        <f t="shared" si="633"/>
        <v>0</v>
      </c>
      <c r="AR346" s="101">
        <f t="shared" si="633"/>
        <v>0</v>
      </c>
      <c r="AS346" s="101">
        <f t="shared" si="633"/>
        <v>0</v>
      </c>
      <c r="AT346" s="101">
        <f t="shared" si="633"/>
        <v>0</v>
      </c>
      <c r="AU346" s="101">
        <f t="shared" si="633"/>
        <v>0</v>
      </c>
      <c r="AV346" s="101">
        <f t="shared" si="633"/>
        <v>0</v>
      </c>
      <c r="AW346" s="101">
        <f t="shared" si="633"/>
        <v>0</v>
      </c>
      <c r="AX346" s="101">
        <f t="shared" si="633"/>
        <v>0</v>
      </c>
      <c r="AY346" s="101">
        <f t="shared" si="633"/>
        <v>0</v>
      </c>
      <c r="AZ346" s="101">
        <f t="shared" si="633"/>
        <v>0</v>
      </c>
      <c r="BA346" s="101">
        <f t="shared" si="633"/>
        <v>0</v>
      </c>
      <c r="BB346" s="101">
        <f t="shared" si="633"/>
        <v>0</v>
      </c>
      <c r="BC346" s="101">
        <f t="shared" si="633"/>
        <v>0</v>
      </c>
      <c r="BD346" s="101">
        <f t="shared" si="633"/>
        <v>0</v>
      </c>
      <c r="BE346" s="101">
        <f t="shared" si="633"/>
        <v>0</v>
      </c>
      <c r="BF346" s="101">
        <f t="shared" si="633"/>
        <v>0</v>
      </c>
      <c r="BG346" s="101">
        <f t="shared" si="633"/>
        <v>0</v>
      </c>
      <c r="BH346" s="113">
        <f t="shared" si="633"/>
        <v>0</v>
      </c>
    </row>
    <row r="347" spans="1:60">
      <c r="A347" s="51"/>
      <c r="B347" s="108"/>
      <c r="C347" s="52"/>
      <c r="D347" s="52" t="s">
        <v>0</v>
      </c>
      <c r="E347" s="52" t="s">
        <v>0</v>
      </c>
      <c r="F347" s="53" t="s">
        <v>47</v>
      </c>
      <c r="G347" s="91"/>
      <c r="H347" s="91"/>
      <c r="I347" s="91"/>
      <c r="J347" s="91"/>
      <c r="K347" s="91"/>
      <c r="L347" s="91"/>
      <c r="M347" s="91"/>
      <c r="N347" s="91"/>
      <c r="O347" s="91"/>
      <c r="P347" s="91"/>
      <c r="Q347" s="91"/>
      <c r="R347" s="91"/>
      <c r="S347" s="91"/>
      <c r="T347" s="91"/>
      <c r="U347" s="91"/>
      <c r="V347" s="91"/>
      <c r="W347" s="91"/>
      <c r="X347" s="91"/>
      <c r="Y347" s="91"/>
      <c r="Z347" s="91"/>
      <c r="AA347" s="91"/>
      <c r="AB347" s="91"/>
      <c r="AC347" s="91"/>
      <c r="AD347" s="91"/>
      <c r="AE347" s="91"/>
      <c r="AF347" s="91"/>
      <c r="AG347" s="91"/>
      <c r="AH347" s="91"/>
      <c r="AI347" s="91"/>
      <c r="AJ347" s="91"/>
      <c r="AK347" s="91"/>
      <c r="AL347" s="91"/>
      <c r="AM347" s="91"/>
      <c r="AN347" s="91"/>
      <c r="AO347" s="91"/>
      <c r="AP347" s="91"/>
      <c r="AQ347" s="91"/>
      <c r="AR347" s="91"/>
      <c r="AS347" s="91"/>
      <c r="AT347" s="91"/>
      <c r="AU347" s="91"/>
      <c r="AV347" s="91"/>
      <c r="AW347" s="91"/>
      <c r="AX347" s="52"/>
      <c r="AY347" s="52"/>
      <c r="AZ347" s="52"/>
      <c r="BA347" s="91"/>
      <c r="BB347" s="91"/>
      <c r="BC347" s="91"/>
      <c r="BD347" s="91"/>
      <c r="BE347" s="91"/>
      <c r="BF347" s="52"/>
      <c r="BG347" s="91"/>
      <c r="BH347" s="112"/>
    </row>
    <row r="348" spans="1:60">
      <c r="A348" s="51" t="s">
        <v>52</v>
      </c>
      <c r="B348" s="108"/>
      <c r="C348" s="52" t="s">
        <v>161</v>
      </c>
      <c r="D348" s="52" t="s">
        <v>3</v>
      </c>
      <c r="E348" s="52" t="s">
        <v>0</v>
      </c>
      <c r="F348" s="54" t="s">
        <v>48</v>
      </c>
      <c r="G348" s="89">
        <f t="shared" ref="G348:W348" si="634">G172+G260</f>
        <v>0</v>
      </c>
      <c r="H348" s="89">
        <f t="shared" si="634"/>
        <v>0</v>
      </c>
      <c r="I348" s="89">
        <f t="shared" si="634"/>
        <v>0</v>
      </c>
      <c r="J348" s="89">
        <f t="shared" si="634"/>
        <v>0</v>
      </c>
      <c r="K348" s="89">
        <f t="shared" si="634"/>
        <v>0</v>
      </c>
      <c r="L348" s="89">
        <f t="shared" si="634"/>
        <v>0</v>
      </c>
      <c r="M348" s="89">
        <f t="shared" si="634"/>
        <v>0</v>
      </c>
      <c r="N348" s="89">
        <f t="shared" si="634"/>
        <v>0</v>
      </c>
      <c r="O348" s="89">
        <f t="shared" si="634"/>
        <v>0</v>
      </c>
      <c r="P348" s="89">
        <f t="shared" si="634"/>
        <v>0</v>
      </c>
      <c r="Q348" s="89">
        <f t="shared" si="634"/>
        <v>0</v>
      </c>
      <c r="R348" s="89">
        <f t="shared" si="634"/>
        <v>0</v>
      </c>
      <c r="S348" s="89">
        <f t="shared" si="634"/>
        <v>0</v>
      </c>
      <c r="T348" s="89">
        <f t="shared" si="634"/>
        <v>0</v>
      </c>
      <c r="U348" s="89">
        <f t="shared" si="634"/>
        <v>0</v>
      </c>
      <c r="V348" s="89">
        <f t="shared" si="634"/>
        <v>0</v>
      </c>
      <c r="W348" s="89">
        <f t="shared" si="634"/>
        <v>0</v>
      </c>
      <c r="X348" s="89">
        <f t="shared" ref="X348:X350" si="635">SUM(P348:W348)+SUM(G348:K348)</f>
        <v>0</v>
      </c>
      <c r="Y348" s="89">
        <f t="shared" ref="Y348:AO348" si="636">Y172+Y260</f>
        <v>0</v>
      </c>
      <c r="Z348" s="89">
        <f t="shared" si="636"/>
        <v>0</v>
      </c>
      <c r="AA348" s="89">
        <f t="shared" si="636"/>
        <v>0</v>
      </c>
      <c r="AB348" s="89">
        <f t="shared" si="636"/>
        <v>0</v>
      </c>
      <c r="AC348" s="89">
        <f t="shared" si="636"/>
        <v>0</v>
      </c>
      <c r="AD348" s="89">
        <f t="shared" si="636"/>
        <v>0</v>
      </c>
      <c r="AE348" s="89">
        <f t="shared" si="636"/>
        <v>0</v>
      </c>
      <c r="AF348" s="89">
        <f t="shared" si="636"/>
        <v>0</v>
      </c>
      <c r="AG348" s="89">
        <f t="shared" si="636"/>
        <v>0</v>
      </c>
      <c r="AH348" s="89">
        <f t="shared" si="636"/>
        <v>0</v>
      </c>
      <c r="AI348" s="89">
        <f t="shared" si="636"/>
        <v>0</v>
      </c>
      <c r="AJ348" s="89">
        <f t="shared" si="636"/>
        <v>0</v>
      </c>
      <c r="AK348" s="89">
        <f t="shared" si="636"/>
        <v>0</v>
      </c>
      <c r="AL348" s="89">
        <f t="shared" si="636"/>
        <v>0</v>
      </c>
      <c r="AM348" s="89">
        <f t="shared" si="636"/>
        <v>0</v>
      </c>
      <c r="AN348" s="89">
        <f t="shared" si="636"/>
        <v>0</v>
      </c>
      <c r="AO348" s="89">
        <f t="shared" si="636"/>
        <v>0</v>
      </c>
      <c r="AP348" s="89">
        <f t="shared" ref="AP348:AP350" si="637">SUM(AH348:AO348)+SUM(Y348:AC348)</f>
        <v>0</v>
      </c>
      <c r="AQ348" s="89">
        <f t="shared" ref="AQ348:AW350" si="638">AQ172+AQ260</f>
        <v>0</v>
      </c>
      <c r="AR348" s="89">
        <f t="shared" si="638"/>
        <v>0</v>
      </c>
      <c r="AS348" s="89">
        <f t="shared" si="638"/>
        <v>0</v>
      </c>
      <c r="AT348" s="89">
        <f t="shared" si="638"/>
        <v>0</v>
      </c>
      <c r="AU348" s="89">
        <f t="shared" si="638"/>
        <v>0</v>
      </c>
      <c r="AV348" s="89">
        <f t="shared" si="638"/>
        <v>0</v>
      </c>
      <c r="AW348" s="89">
        <f t="shared" si="638"/>
        <v>0</v>
      </c>
      <c r="AX348" s="89">
        <f t="shared" ref="AX348:AX350" si="639">N348+AF348</f>
        <v>0</v>
      </c>
      <c r="AY348" s="89">
        <f t="shared" ref="AY348:AZ350" si="640">O348+AG348</f>
        <v>0</v>
      </c>
      <c r="AZ348" s="89">
        <f t="shared" si="640"/>
        <v>0</v>
      </c>
      <c r="BA348" s="89">
        <f t="shared" ref="BA348:BE350" si="641">BA172+BA260</f>
        <v>0</v>
      </c>
      <c r="BB348" s="89">
        <f t="shared" si="641"/>
        <v>0</v>
      </c>
      <c r="BC348" s="89">
        <f t="shared" si="641"/>
        <v>0</v>
      </c>
      <c r="BD348" s="89">
        <f t="shared" si="641"/>
        <v>0</v>
      </c>
      <c r="BE348" s="89">
        <f t="shared" si="641"/>
        <v>0</v>
      </c>
      <c r="BF348" s="89">
        <f t="shared" ref="BF348:BF350" si="642">V348+AN348</f>
        <v>0</v>
      </c>
      <c r="BG348" s="89">
        <f>BG172+BG260</f>
        <v>0</v>
      </c>
      <c r="BH348" s="111">
        <f>X348+AP348</f>
        <v>0</v>
      </c>
    </row>
    <row r="349" spans="1:60">
      <c r="A349" s="51" t="s">
        <v>52</v>
      </c>
      <c r="B349" s="108"/>
      <c r="C349" s="52" t="s">
        <v>162</v>
      </c>
      <c r="D349" s="52" t="s">
        <v>3</v>
      </c>
      <c r="E349" s="52" t="s">
        <v>0</v>
      </c>
      <c r="F349" s="54" t="s">
        <v>49</v>
      </c>
      <c r="G349" s="89">
        <f t="shared" ref="G349:W349" si="643">G173+G261</f>
        <v>0</v>
      </c>
      <c r="H349" s="89">
        <f t="shared" si="643"/>
        <v>0</v>
      </c>
      <c r="I349" s="89">
        <f t="shared" si="643"/>
        <v>0</v>
      </c>
      <c r="J349" s="89">
        <f t="shared" si="643"/>
        <v>0</v>
      </c>
      <c r="K349" s="89">
        <f t="shared" si="643"/>
        <v>0</v>
      </c>
      <c r="L349" s="89">
        <f t="shared" si="643"/>
        <v>0</v>
      </c>
      <c r="M349" s="89">
        <f t="shared" si="643"/>
        <v>0</v>
      </c>
      <c r="N349" s="89">
        <f t="shared" si="643"/>
        <v>0</v>
      </c>
      <c r="O349" s="89">
        <f t="shared" si="643"/>
        <v>0</v>
      </c>
      <c r="P349" s="89">
        <f t="shared" si="643"/>
        <v>0</v>
      </c>
      <c r="Q349" s="89">
        <f t="shared" si="643"/>
        <v>0</v>
      </c>
      <c r="R349" s="89">
        <f t="shared" si="643"/>
        <v>0</v>
      </c>
      <c r="S349" s="89">
        <f t="shared" si="643"/>
        <v>0</v>
      </c>
      <c r="T349" s="89">
        <f t="shared" si="643"/>
        <v>0</v>
      </c>
      <c r="U349" s="89">
        <f t="shared" si="643"/>
        <v>0</v>
      </c>
      <c r="V349" s="89">
        <f t="shared" si="643"/>
        <v>0</v>
      </c>
      <c r="W349" s="89">
        <f t="shared" si="643"/>
        <v>0</v>
      </c>
      <c r="X349" s="89">
        <f t="shared" si="635"/>
        <v>0</v>
      </c>
      <c r="Y349" s="89">
        <f t="shared" ref="Y349:AO349" si="644">Y173+Y261</f>
        <v>0</v>
      </c>
      <c r="Z349" s="89">
        <f t="shared" si="644"/>
        <v>0</v>
      </c>
      <c r="AA349" s="89">
        <f t="shared" si="644"/>
        <v>0</v>
      </c>
      <c r="AB349" s="89">
        <f t="shared" si="644"/>
        <v>0</v>
      </c>
      <c r="AC349" s="89">
        <f t="shared" si="644"/>
        <v>0</v>
      </c>
      <c r="AD349" s="89">
        <f t="shared" si="644"/>
        <v>0</v>
      </c>
      <c r="AE349" s="89">
        <f t="shared" si="644"/>
        <v>0</v>
      </c>
      <c r="AF349" s="89">
        <f t="shared" si="644"/>
        <v>0</v>
      </c>
      <c r="AG349" s="89">
        <f t="shared" si="644"/>
        <v>0</v>
      </c>
      <c r="AH349" s="89">
        <f t="shared" si="644"/>
        <v>0</v>
      </c>
      <c r="AI349" s="89">
        <f t="shared" si="644"/>
        <v>0</v>
      </c>
      <c r="AJ349" s="89">
        <f t="shared" si="644"/>
        <v>0</v>
      </c>
      <c r="AK349" s="89">
        <f t="shared" si="644"/>
        <v>0</v>
      </c>
      <c r="AL349" s="89">
        <f t="shared" si="644"/>
        <v>0</v>
      </c>
      <c r="AM349" s="89">
        <f t="shared" si="644"/>
        <v>0</v>
      </c>
      <c r="AN349" s="89">
        <f t="shared" si="644"/>
        <v>0</v>
      </c>
      <c r="AO349" s="89">
        <f t="shared" si="644"/>
        <v>0</v>
      </c>
      <c r="AP349" s="89">
        <f t="shared" si="637"/>
        <v>0</v>
      </c>
      <c r="AQ349" s="89">
        <f t="shared" si="638"/>
        <v>0</v>
      </c>
      <c r="AR349" s="89">
        <f t="shared" si="638"/>
        <v>0</v>
      </c>
      <c r="AS349" s="89">
        <f t="shared" si="638"/>
        <v>0</v>
      </c>
      <c r="AT349" s="89">
        <f t="shared" si="638"/>
        <v>0</v>
      </c>
      <c r="AU349" s="89">
        <f t="shared" si="638"/>
        <v>0</v>
      </c>
      <c r="AV349" s="89">
        <f t="shared" si="638"/>
        <v>0</v>
      </c>
      <c r="AW349" s="89">
        <f t="shared" si="638"/>
        <v>0</v>
      </c>
      <c r="AX349" s="89">
        <f t="shared" si="639"/>
        <v>0</v>
      </c>
      <c r="AY349" s="89">
        <f t="shared" si="640"/>
        <v>0</v>
      </c>
      <c r="AZ349" s="89">
        <f t="shared" si="640"/>
        <v>0</v>
      </c>
      <c r="BA349" s="89">
        <f t="shared" si="641"/>
        <v>0</v>
      </c>
      <c r="BB349" s="89">
        <f t="shared" si="641"/>
        <v>0</v>
      </c>
      <c r="BC349" s="89">
        <f t="shared" si="641"/>
        <v>0</v>
      </c>
      <c r="BD349" s="89">
        <f t="shared" si="641"/>
        <v>0</v>
      </c>
      <c r="BE349" s="89">
        <f t="shared" si="641"/>
        <v>0</v>
      </c>
      <c r="BF349" s="89">
        <f t="shared" si="642"/>
        <v>0</v>
      </c>
      <c r="BG349" s="89">
        <f>BG173+BG261</f>
        <v>0</v>
      </c>
      <c r="BH349" s="111">
        <f>X349+AP349</f>
        <v>0</v>
      </c>
    </row>
    <row r="350" spans="1:60">
      <c r="A350" s="51" t="s">
        <v>52</v>
      </c>
      <c r="B350" s="108"/>
      <c r="C350" s="52" t="s">
        <v>163</v>
      </c>
      <c r="D350" s="52" t="s">
        <v>3</v>
      </c>
      <c r="E350" s="52" t="s">
        <v>0</v>
      </c>
      <c r="F350" s="54" t="s">
        <v>50</v>
      </c>
      <c r="G350" s="89">
        <f t="shared" ref="G350:W350" si="645">G174+G262</f>
        <v>0</v>
      </c>
      <c r="H350" s="89">
        <f t="shared" si="645"/>
        <v>0</v>
      </c>
      <c r="I350" s="89">
        <f t="shared" si="645"/>
        <v>0</v>
      </c>
      <c r="J350" s="89">
        <f t="shared" si="645"/>
        <v>0</v>
      </c>
      <c r="K350" s="89">
        <f t="shared" si="645"/>
        <v>0</v>
      </c>
      <c r="L350" s="89">
        <f t="shared" si="645"/>
        <v>0</v>
      </c>
      <c r="M350" s="89">
        <f t="shared" si="645"/>
        <v>0</v>
      </c>
      <c r="N350" s="89">
        <f t="shared" si="645"/>
        <v>0</v>
      </c>
      <c r="O350" s="89">
        <f t="shared" si="645"/>
        <v>0</v>
      </c>
      <c r="P350" s="89">
        <f t="shared" si="645"/>
        <v>0</v>
      </c>
      <c r="Q350" s="89">
        <f t="shared" si="645"/>
        <v>0</v>
      </c>
      <c r="R350" s="89">
        <f t="shared" si="645"/>
        <v>0</v>
      </c>
      <c r="S350" s="89">
        <f t="shared" si="645"/>
        <v>0</v>
      </c>
      <c r="T350" s="89">
        <f t="shared" si="645"/>
        <v>0</v>
      </c>
      <c r="U350" s="89">
        <f t="shared" si="645"/>
        <v>0</v>
      </c>
      <c r="V350" s="89">
        <f t="shared" si="645"/>
        <v>0</v>
      </c>
      <c r="W350" s="89">
        <f t="shared" si="645"/>
        <v>0</v>
      </c>
      <c r="X350" s="89">
        <f t="shared" si="635"/>
        <v>0</v>
      </c>
      <c r="Y350" s="89">
        <f t="shared" ref="Y350:AO350" si="646">Y174+Y262</f>
        <v>0</v>
      </c>
      <c r="Z350" s="89">
        <f t="shared" si="646"/>
        <v>0</v>
      </c>
      <c r="AA350" s="89">
        <f t="shared" si="646"/>
        <v>0</v>
      </c>
      <c r="AB350" s="89">
        <f t="shared" si="646"/>
        <v>0</v>
      </c>
      <c r="AC350" s="89">
        <f t="shared" si="646"/>
        <v>0</v>
      </c>
      <c r="AD350" s="89">
        <f t="shared" si="646"/>
        <v>0</v>
      </c>
      <c r="AE350" s="89">
        <f t="shared" si="646"/>
        <v>0</v>
      </c>
      <c r="AF350" s="89">
        <f t="shared" si="646"/>
        <v>0</v>
      </c>
      <c r="AG350" s="89">
        <f t="shared" si="646"/>
        <v>0</v>
      </c>
      <c r="AH350" s="89">
        <f t="shared" si="646"/>
        <v>0</v>
      </c>
      <c r="AI350" s="89">
        <f t="shared" si="646"/>
        <v>0</v>
      </c>
      <c r="AJ350" s="89">
        <f t="shared" si="646"/>
        <v>0</v>
      </c>
      <c r="AK350" s="89">
        <f t="shared" si="646"/>
        <v>0</v>
      </c>
      <c r="AL350" s="89">
        <f t="shared" si="646"/>
        <v>0</v>
      </c>
      <c r="AM350" s="89">
        <f t="shared" si="646"/>
        <v>0</v>
      </c>
      <c r="AN350" s="89">
        <f t="shared" si="646"/>
        <v>0</v>
      </c>
      <c r="AO350" s="89">
        <f t="shared" si="646"/>
        <v>0</v>
      </c>
      <c r="AP350" s="89">
        <f t="shared" si="637"/>
        <v>0</v>
      </c>
      <c r="AQ350" s="89">
        <f t="shared" si="638"/>
        <v>0</v>
      </c>
      <c r="AR350" s="89">
        <f t="shared" si="638"/>
        <v>0</v>
      </c>
      <c r="AS350" s="89">
        <f t="shared" si="638"/>
        <v>0</v>
      </c>
      <c r="AT350" s="89">
        <f t="shared" si="638"/>
        <v>0</v>
      </c>
      <c r="AU350" s="89">
        <f t="shared" si="638"/>
        <v>0</v>
      </c>
      <c r="AV350" s="89">
        <f t="shared" si="638"/>
        <v>0</v>
      </c>
      <c r="AW350" s="89">
        <f t="shared" si="638"/>
        <v>0</v>
      </c>
      <c r="AX350" s="89">
        <f t="shared" si="639"/>
        <v>0</v>
      </c>
      <c r="AY350" s="89">
        <f t="shared" si="640"/>
        <v>0</v>
      </c>
      <c r="AZ350" s="89">
        <f t="shared" si="640"/>
        <v>0</v>
      </c>
      <c r="BA350" s="89">
        <f t="shared" si="641"/>
        <v>0</v>
      </c>
      <c r="BB350" s="89">
        <f t="shared" si="641"/>
        <v>0</v>
      </c>
      <c r="BC350" s="89">
        <f t="shared" si="641"/>
        <v>0</v>
      </c>
      <c r="BD350" s="89">
        <f t="shared" si="641"/>
        <v>0</v>
      </c>
      <c r="BE350" s="89">
        <f t="shared" si="641"/>
        <v>0</v>
      </c>
      <c r="BF350" s="89">
        <f t="shared" si="642"/>
        <v>0</v>
      </c>
      <c r="BG350" s="89">
        <f>BG174+BG262</f>
        <v>0</v>
      </c>
      <c r="BH350" s="111">
        <f>X350+AP350</f>
        <v>0</v>
      </c>
    </row>
    <row r="351" spans="1:60">
      <c r="A351" s="51"/>
      <c r="B351" s="108"/>
      <c r="C351" s="52"/>
      <c r="D351" s="52"/>
      <c r="E351" s="52"/>
      <c r="F351" s="53"/>
      <c r="G351" s="52"/>
      <c r="H351" s="52"/>
      <c r="I351" s="52"/>
      <c r="J351" s="52"/>
      <c r="K351" s="52"/>
      <c r="L351" s="52"/>
      <c r="M351" s="52"/>
      <c r="N351" s="52"/>
      <c r="O351" s="52"/>
      <c r="P351" s="52"/>
      <c r="Q351" s="52"/>
      <c r="R351" s="52"/>
      <c r="S351" s="52"/>
      <c r="T351" s="52"/>
      <c r="U351" s="52"/>
      <c r="V351" s="52"/>
      <c r="W351" s="52"/>
      <c r="X351" s="52"/>
      <c r="Y351" s="52"/>
      <c r="Z351" s="52"/>
      <c r="AA351" s="52"/>
      <c r="AB351" s="52"/>
      <c r="AC351" s="52"/>
      <c r="AD351" s="52"/>
      <c r="AE351" s="52"/>
      <c r="AF351" s="52"/>
      <c r="AG351" s="52"/>
      <c r="AH351" s="52"/>
      <c r="AI351" s="52"/>
      <c r="AJ351" s="52"/>
      <c r="AK351" s="52"/>
      <c r="AL351" s="52"/>
      <c r="AM351" s="52"/>
      <c r="AN351" s="52"/>
      <c r="AO351" s="52"/>
      <c r="AP351" s="52"/>
      <c r="AQ351" s="52"/>
      <c r="AR351" s="52"/>
      <c r="AS351" s="52"/>
      <c r="AT351" s="52"/>
      <c r="AU351" s="52"/>
      <c r="AV351" s="52"/>
      <c r="AW351" s="52"/>
      <c r="AX351" s="52"/>
      <c r="AY351" s="52"/>
      <c r="AZ351" s="52"/>
      <c r="BA351" s="52"/>
      <c r="BB351" s="52"/>
      <c r="BC351" s="52"/>
      <c r="BD351" s="52"/>
      <c r="BE351" s="52"/>
      <c r="BF351" s="52"/>
      <c r="BG351" s="52"/>
      <c r="BH351" s="109"/>
    </row>
    <row r="352" spans="1:60" ht="22.5" customHeight="1" thickBot="1">
      <c r="A352" s="51"/>
      <c r="B352" s="114"/>
      <c r="C352" s="115"/>
      <c r="D352" s="115"/>
      <c r="E352" s="115"/>
      <c r="F352" s="116"/>
      <c r="G352" s="115"/>
      <c r="H352" s="115"/>
      <c r="I352" s="115"/>
      <c r="J352" s="115"/>
      <c r="K352" s="115"/>
      <c r="L352" s="115"/>
      <c r="M352" s="115"/>
      <c r="N352" s="115"/>
      <c r="O352" s="115"/>
      <c r="P352" s="115"/>
      <c r="Q352" s="115"/>
      <c r="R352" s="115"/>
      <c r="S352" s="115"/>
      <c r="T352" s="115"/>
      <c r="U352" s="115"/>
      <c r="V352" s="115"/>
      <c r="W352" s="115"/>
      <c r="X352" s="115"/>
      <c r="Y352" s="115"/>
      <c r="Z352" s="115"/>
      <c r="AA352" s="115"/>
      <c r="AB352" s="115"/>
      <c r="AC352" s="115"/>
      <c r="AD352" s="115"/>
      <c r="AE352" s="115"/>
      <c r="AF352" s="115"/>
      <c r="AG352" s="115"/>
      <c r="AH352" s="115"/>
      <c r="AI352" s="115"/>
      <c r="AJ352" s="115"/>
      <c r="AK352" s="115"/>
      <c r="AL352" s="115"/>
      <c r="AM352" s="115"/>
      <c r="AN352" s="115"/>
      <c r="AO352" s="115"/>
      <c r="AP352" s="115"/>
      <c r="AQ352" s="115"/>
      <c r="AR352" s="115"/>
      <c r="AS352" s="115"/>
      <c r="AT352" s="115"/>
      <c r="AU352" s="115"/>
      <c r="AV352" s="115"/>
      <c r="AW352" s="115"/>
      <c r="AX352" s="115"/>
      <c r="AY352" s="115"/>
      <c r="AZ352" s="115"/>
      <c r="BA352" s="115"/>
      <c r="BB352" s="115"/>
      <c r="BC352" s="115"/>
      <c r="BD352" s="115"/>
      <c r="BE352" s="115"/>
      <c r="BF352" s="115"/>
      <c r="BG352" s="115"/>
      <c r="BH352" s="117"/>
    </row>
    <row r="354" spans="1:60" ht="15.75" thickBot="1"/>
    <row r="355" spans="1:60" ht="122.25" customHeight="1" thickBot="1">
      <c r="A355" s="47" t="s">
        <v>8</v>
      </c>
      <c r="B355" s="74" t="s">
        <v>0</v>
      </c>
      <c r="C355" s="75"/>
      <c r="D355" s="75"/>
      <c r="E355" s="75"/>
      <c r="F355" s="84" t="s">
        <v>51</v>
      </c>
      <c r="G355" s="141" t="s">
        <v>67</v>
      </c>
      <c r="H355" s="142"/>
      <c r="I355" s="142"/>
      <c r="J355" s="142"/>
      <c r="K355" s="142"/>
      <c r="L355" s="142"/>
      <c r="M355" s="142"/>
      <c r="N355" s="142"/>
      <c r="O355" s="142"/>
      <c r="P355" s="142"/>
      <c r="Q355" s="142"/>
      <c r="R355" s="142"/>
      <c r="S355" s="142"/>
      <c r="T355" s="142"/>
      <c r="U355" s="142"/>
      <c r="V355" s="142"/>
      <c r="W355" s="142"/>
      <c r="X355" s="142"/>
      <c r="Y355" s="142"/>
      <c r="Z355" s="142"/>
      <c r="AA355" s="142"/>
      <c r="AB355" s="142"/>
      <c r="AC355" s="142"/>
      <c r="AD355" s="142"/>
      <c r="AE355" s="142"/>
      <c r="AF355" s="142"/>
      <c r="AG355" s="142"/>
      <c r="AH355" s="142"/>
      <c r="AI355" s="142"/>
      <c r="AJ355" s="142"/>
      <c r="AK355" s="142"/>
      <c r="AL355" s="142"/>
      <c r="AM355" s="142"/>
      <c r="AN355" s="142"/>
      <c r="AO355" s="142"/>
      <c r="AP355" s="142"/>
      <c r="AQ355" s="142"/>
      <c r="AR355" s="142"/>
      <c r="AS355" s="142"/>
      <c r="AT355" s="142"/>
      <c r="AU355" s="142"/>
      <c r="AV355" s="142"/>
      <c r="AW355" s="142"/>
      <c r="AX355" s="142"/>
      <c r="AY355" s="142"/>
      <c r="AZ355" s="142"/>
      <c r="BA355" s="142"/>
      <c r="BB355" s="142"/>
      <c r="BC355" s="142"/>
      <c r="BD355" s="142"/>
      <c r="BE355" s="142"/>
      <c r="BF355" s="142"/>
      <c r="BG355" s="142"/>
      <c r="BH355" s="143"/>
    </row>
    <row r="356" spans="1:60" ht="15.75" hidden="1" customHeight="1" thickBot="1">
      <c r="A356" s="48" t="s">
        <v>7</v>
      </c>
      <c r="B356" s="73" t="s">
        <v>0</v>
      </c>
      <c r="C356" s="72"/>
      <c r="D356" s="72" t="s">
        <v>135</v>
      </c>
      <c r="E356" s="72" t="s">
        <v>136</v>
      </c>
      <c r="F356" s="72"/>
      <c r="G356" s="49" t="s">
        <v>105</v>
      </c>
      <c r="H356" s="49" t="s">
        <v>105</v>
      </c>
      <c r="I356" s="49" t="s">
        <v>105</v>
      </c>
      <c r="J356" s="49" t="s">
        <v>105</v>
      </c>
      <c r="K356" s="49" t="s">
        <v>105</v>
      </c>
      <c r="L356" s="95" t="s">
        <v>105</v>
      </c>
      <c r="M356" s="49" t="s">
        <v>105</v>
      </c>
      <c r="N356" s="95" t="s">
        <v>105</v>
      </c>
      <c r="O356" s="49" t="s">
        <v>105</v>
      </c>
      <c r="P356" s="49" t="s">
        <v>105</v>
      </c>
      <c r="Q356" s="49" t="s">
        <v>105</v>
      </c>
      <c r="R356" s="49" t="s">
        <v>105</v>
      </c>
      <c r="S356" s="49" t="s">
        <v>105</v>
      </c>
      <c r="T356" s="49" t="s">
        <v>105</v>
      </c>
      <c r="U356" s="49" t="s">
        <v>105</v>
      </c>
      <c r="V356" s="49" t="s">
        <v>105</v>
      </c>
      <c r="W356" s="49" t="s">
        <v>105</v>
      </c>
      <c r="X356" s="49" t="s">
        <v>105</v>
      </c>
      <c r="Y356" s="49" t="s">
        <v>105</v>
      </c>
      <c r="Z356" s="49" t="s">
        <v>105</v>
      </c>
      <c r="AA356" s="49" t="s">
        <v>105</v>
      </c>
      <c r="AB356" s="49" t="s">
        <v>105</v>
      </c>
      <c r="AC356" s="49" t="s">
        <v>105</v>
      </c>
      <c r="AD356" s="49" t="s">
        <v>105</v>
      </c>
      <c r="AE356" s="49" t="s">
        <v>105</v>
      </c>
      <c r="AF356" s="95" t="s">
        <v>105</v>
      </c>
      <c r="AG356" s="49" t="s">
        <v>105</v>
      </c>
      <c r="AH356" s="49" t="s">
        <v>105</v>
      </c>
      <c r="AI356" s="49" t="s">
        <v>105</v>
      </c>
      <c r="AJ356" s="49" t="s">
        <v>105</v>
      </c>
      <c r="AK356" s="49" t="s">
        <v>105</v>
      </c>
      <c r="AL356" s="49" t="s">
        <v>105</v>
      </c>
      <c r="AM356" s="49" t="s">
        <v>105</v>
      </c>
      <c r="AN356" s="49" t="s">
        <v>105</v>
      </c>
      <c r="AO356" s="49" t="s">
        <v>105</v>
      </c>
      <c r="AP356" s="49" t="s">
        <v>105</v>
      </c>
      <c r="AQ356" s="49" t="s">
        <v>105</v>
      </c>
      <c r="AR356" s="49" t="s">
        <v>105</v>
      </c>
      <c r="AS356" s="49" t="s">
        <v>105</v>
      </c>
      <c r="AT356" s="49" t="s">
        <v>105</v>
      </c>
      <c r="AU356" s="49" t="s">
        <v>105</v>
      </c>
      <c r="AV356" s="49" t="s">
        <v>105</v>
      </c>
      <c r="AW356" s="49" t="s">
        <v>105</v>
      </c>
      <c r="AX356" s="95" t="s">
        <v>105</v>
      </c>
      <c r="AY356" s="49" t="s">
        <v>105</v>
      </c>
      <c r="AZ356" s="49" t="s">
        <v>105</v>
      </c>
      <c r="BA356" s="49" t="s">
        <v>105</v>
      </c>
      <c r="BB356" s="49" t="s">
        <v>105</v>
      </c>
      <c r="BC356" s="49" t="s">
        <v>105</v>
      </c>
      <c r="BD356" s="49" t="s">
        <v>105</v>
      </c>
      <c r="BE356" s="49" t="s">
        <v>105</v>
      </c>
      <c r="BF356" s="49" t="s">
        <v>105</v>
      </c>
      <c r="BG356" s="49" t="s">
        <v>105</v>
      </c>
      <c r="BH356" s="118" t="s">
        <v>105</v>
      </c>
    </row>
    <row r="357" spans="1:60" ht="123" customHeight="1" thickBot="1">
      <c r="A357" s="48"/>
      <c r="B357" s="147"/>
      <c r="C357" s="148"/>
      <c r="D357" s="148"/>
      <c r="E357" s="148"/>
      <c r="F357" s="148"/>
      <c r="G357" s="141" t="s">
        <v>70</v>
      </c>
      <c r="H357" s="142"/>
      <c r="I357" s="142"/>
      <c r="J357" s="142"/>
      <c r="K357" s="142"/>
      <c r="L357" s="142"/>
      <c r="M357" s="142"/>
      <c r="N357" s="142"/>
      <c r="O357" s="142"/>
      <c r="P357" s="142"/>
      <c r="Q357" s="142"/>
      <c r="R357" s="142"/>
      <c r="S357" s="142"/>
      <c r="T357" s="142"/>
      <c r="U357" s="142"/>
      <c r="V357" s="142"/>
      <c r="W357" s="142"/>
      <c r="X357" s="143"/>
      <c r="Y357" s="144" t="s">
        <v>71</v>
      </c>
      <c r="Z357" s="145"/>
      <c r="AA357" s="145"/>
      <c r="AB357" s="145"/>
      <c r="AC357" s="145"/>
      <c r="AD357" s="145"/>
      <c r="AE357" s="145"/>
      <c r="AF357" s="145"/>
      <c r="AG357" s="145"/>
      <c r="AH357" s="145"/>
      <c r="AI357" s="145"/>
      <c r="AJ357" s="145"/>
      <c r="AK357" s="145"/>
      <c r="AL357" s="145"/>
      <c r="AM357" s="145"/>
      <c r="AN357" s="145"/>
      <c r="AO357" s="145"/>
      <c r="AP357" s="146"/>
      <c r="AQ357" s="141" t="s">
        <v>72</v>
      </c>
      <c r="AR357" s="142"/>
      <c r="AS357" s="142"/>
      <c r="AT357" s="142"/>
      <c r="AU357" s="142"/>
      <c r="AV357" s="142"/>
      <c r="AW357" s="142"/>
      <c r="AX357" s="142"/>
      <c r="AY357" s="142"/>
      <c r="AZ357" s="142"/>
      <c r="BA357" s="142"/>
      <c r="BB357" s="142"/>
      <c r="BC357" s="142"/>
      <c r="BD357" s="142"/>
      <c r="BE357" s="142"/>
      <c r="BF357" s="142"/>
      <c r="BG357" s="142"/>
      <c r="BH357" s="143"/>
    </row>
    <row r="358" spans="1:60" ht="45" hidden="1" customHeight="1" thickBot="1">
      <c r="A358" s="48" t="s">
        <v>7</v>
      </c>
      <c r="B358" s="103" t="s">
        <v>0</v>
      </c>
      <c r="C358" s="80"/>
      <c r="D358" s="80"/>
      <c r="E358" s="81" t="s">
        <v>137</v>
      </c>
      <c r="F358" s="80"/>
      <c r="G358" s="77" t="s">
        <v>98</v>
      </c>
      <c r="H358" s="77" t="s">
        <v>98</v>
      </c>
      <c r="I358" s="77" t="s">
        <v>98</v>
      </c>
      <c r="J358" s="77" t="s">
        <v>98</v>
      </c>
      <c r="K358" s="77" t="s">
        <v>98</v>
      </c>
      <c r="L358" s="93" t="s">
        <v>98</v>
      </c>
      <c r="M358" s="77" t="s">
        <v>98</v>
      </c>
      <c r="N358" s="93" t="s">
        <v>98</v>
      </c>
      <c r="O358" s="77" t="s">
        <v>98</v>
      </c>
      <c r="P358" s="77" t="s">
        <v>98</v>
      </c>
      <c r="Q358" s="77" t="s">
        <v>98</v>
      </c>
      <c r="R358" s="77" t="s">
        <v>98</v>
      </c>
      <c r="S358" s="77" t="s">
        <v>98</v>
      </c>
      <c r="T358" s="77" t="s">
        <v>98</v>
      </c>
      <c r="U358" s="77" t="s">
        <v>98</v>
      </c>
      <c r="V358" s="77" t="s">
        <v>98</v>
      </c>
      <c r="W358" s="77" t="s">
        <v>98</v>
      </c>
      <c r="X358" s="77" t="s">
        <v>98</v>
      </c>
      <c r="Y358" s="77" t="s">
        <v>106</v>
      </c>
      <c r="Z358" s="77" t="s">
        <v>106</v>
      </c>
      <c r="AA358" s="77" t="s">
        <v>106</v>
      </c>
      <c r="AB358" s="77" t="s">
        <v>106</v>
      </c>
      <c r="AC358" s="77" t="s">
        <v>106</v>
      </c>
      <c r="AD358" s="77" t="s">
        <v>106</v>
      </c>
      <c r="AE358" s="77" t="s">
        <v>106</v>
      </c>
      <c r="AF358" s="77" t="s">
        <v>106</v>
      </c>
      <c r="AG358" s="77" t="s">
        <v>106</v>
      </c>
      <c r="AH358" s="77" t="s">
        <v>106</v>
      </c>
      <c r="AI358" s="77" t="s">
        <v>106</v>
      </c>
      <c r="AJ358" s="77" t="s">
        <v>106</v>
      </c>
      <c r="AK358" s="77" t="s">
        <v>106</v>
      </c>
      <c r="AL358" s="77" t="s">
        <v>106</v>
      </c>
      <c r="AM358" s="77" t="s">
        <v>106</v>
      </c>
      <c r="AN358" s="77" t="s">
        <v>106</v>
      </c>
      <c r="AO358" s="77" t="s">
        <v>106</v>
      </c>
      <c r="AP358" s="77" t="s">
        <v>106</v>
      </c>
      <c r="AQ358" s="77" t="s">
        <v>107</v>
      </c>
      <c r="AR358" s="77" t="s">
        <v>107</v>
      </c>
      <c r="AS358" s="77" t="s">
        <v>107</v>
      </c>
      <c r="AT358" s="77" t="s">
        <v>107</v>
      </c>
      <c r="AU358" s="77" t="s">
        <v>107</v>
      </c>
      <c r="AV358" s="77" t="s">
        <v>107</v>
      </c>
      <c r="AW358" s="77" t="s">
        <v>107</v>
      </c>
      <c r="AX358" s="77" t="s">
        <v>107</v>
      </c>
      <c r="AY358" s="77" t="s">
        <v>107</v>
      </c>
      <c r="AZ358" s="77" t="s">
        <v>107</v>
      </c>
      <c r="BA358" s="77" t="s">
        <v>107</v>
      </c>
      <c r="BB358" s="77" t="s">
        <v>107</v>
      </c>
      <c r="BC358" s="77" t="s">
        <v>107</v>
      </c>
      <c r="BD358" s="77" t="s">
        <v>107</v>
      </c>
      <c r="BE358" s="77" t="s">
        <v>107</v>
      </c>
      <c r="BF358" s="77" t="s">
        <v>107</v>
      </c>
      <c r="BG358" s="77" t="s">
        <v>107</v>
      </c>
      <c r="BH358" s="104" t="s">
        <v>107</v>
      </c>
    </row>
    <row r="359" spans="1:60" ht="120.75" customHeight="1" thickBot="1">
      <c r="A359" s="48"/>
      <c r="B359" s="147"/>
      <c r="C359" s="148"/>
      <c r="D359" s="148"/>
      <c r="E359" s="148"/>
      <c r="F359" s="148"/>
      <c r="G359" s="78" t="s">
        <v>73</v>
      </c>
      <c r="H359" s="82" t="s">
        <v>74</v>
      </c>
      <c r="I359" s="78" t="s">
        <v>75</v>
      </c>
      <c r="J359" s="82" t="s">
        <v>76</v>
      </c>
      <c r="K359" s="78" t="s">
        <v>77</v>
      </c>
      <c r="L359" s="94" t="s">
        <v>99</v>
      </c>
      <c r="M359" s="88" t="s">
        <v>83</v>
      </c>
      <c r="N359" s="98" t="s">
        <v>180</v>
      </c>
      <c r="O359" s="98" t="s">
        <v>182</v>
      </c>
      <c r="P359" s="82" t="s">
        <v>78</v>
      </c>
      <c r="Q359" s="78" t="s">
        <v>79</v>
      </c>
      <c r="R359" s="82" t="s">
        <v>80</v>
      </c>
      <c r="S359" s="78" t="s">
        <v>81</v>
      </c>
      <c r="T359" s="82" t="s">
        <v>82</v>
      </c>
      <c r="U359" s="82" t="s">
        <v>84</v>
      </c>
      <c r="V359" s="98" t="s">
        <v>183</v>
      </c>
      <c r="W359" s="78" t="s">
        <v>85</v>
      </c>
      <c r="X359" s="82" t="s">
        <v>86</v>
      </c>
      <c r="Y359" s="78" t="s">
        <v>73</v>
      </c>
      <c r="Z359" s="82" t="s">
        <v>74</v>
      </c>
      <c r="AA359" s="78" t="s">
        <v>75</v>
      </c>
      <c r="AB359" s="82" t="s">
        <v>76</v>
      </c>
      <c r="AC359" s="78" t="s">
        <v>77</v>
      </c>
      <c r="AD359" s="88" t="s">
        <v>99</v>
      </c>
      <c r="AE359" s="88" t="s">
        <v>83</v>
      </c>
      <c r="AF359" s="98" t="s">
        <v>180</v>
      </c>
      <c r="AG359" s="98" t="s">
        <v>182</v>
      </c>
      <c r="AH359" s="82" t="s">
        <v>78</v>
      </c>
      <c r="AI359" s="78" t="s">
        <v>79</v>
      </c>
      <c r="AJ359" s="82" t="s">
        <v>80</v>
      </c>
      <c r="AK359" s="78" t="s">
        <v>81</v>
      </c>
      <c r="AL359" s="82" t="s">
        <v>82</v>
      </c>
      <c r="AM359" s="82" t="s">
        <v>84</v>
      </c>
      <c r="AN359" s="98" t="s">
        <v>183</v>
      </c>
      <c r="AO359" s="78" t="s">
        <v>85</v>
      </c>
      <c r="AP359" s="82" t="s">
        <v>86</v>
      </c>
      <c r="AQ359" s="78" t="s">
        <v>73</v>
      </c>
      <c r="AR359" s="82" t="s">
        <v>74</v>
      </c>
      <c r="AS359" s="78" t="s">
        <v>75</v>
      </c>
      <c r="AT359" s="82" t="s">
        <v>76</v>
      </c>
      <c r="AU359" s="78" t="s">
        <v>77</v>
      </c>
      <c r="AV359" s="88" t="s">
        <v>99</v>
      </c>
      <c r="AW359" s="88" t="s">
        <v>83</v>
      </c>
      <c r="AX359" s="98" t="s">
        <v>180</v>
      </c>
      <c r="AY359" s="98" t="s">
        <v>182</v>
      </c>
      <c r="AZ359" s="82" t="s">
        <v>78</v>
      </c>
      <c r="BA359" s="78" t="s">
        <v>79</v>
      </c>
      <c r="BB359" s="82" t="s">
        <v>80</v>
      </c>
      <c r="BC359" s="78" t="s">
        <v>81</v>
      </c>
      <c r="BD359" s="82" t="s">
        <v>82</v>
      </c>
      <c r="BE359" s="82" t="s">
        <v>84</v>
      </c>
      <c r="BF359" s="98" t="s">
        <v>183</v>
      </c>
      <c r="BG359" s="78" t="s">
        <v>85</v>
      </c>
      <c r="BH359" s="82" t="s">
        <v>86</v>
      </c>
    </row>
    <row r="360" spans="1:60" ht="45" hidden="1" customHeight="1">
      <c r="A360" s="79" t="s">
        <v>7</v>
      </c>
      <c r="B360" s="103" t="s">
        <v>0</v>
      </c>
      <c r="C360" s="80"/>
      <c r="D360" s="80"/>
      <c r="E360" s="100" t="s">
        <v>138</v>
      </c>
      <c r="F360" s="80"/>
      <c r="G360" s="77" t="s">
        <v>108</v>
      </c>
      <c r="H360" s="77" t="s">
        <v>109</v>
      </c>
      <c r="I360" s="77" t="s">
        <v>110</v>
      </c>
      <c r="J360" s="77" t="s">
        <v>111</v>
      </c>
      <c r="K360" s="77" t="s">
        <v>112</v>
      </c>
      <c r="L360" s="93" t="s">
        <v>100</v>
      </c>
      <c r="M360" s="77" t="s">
        <v>101</v>
      </c>
      <c r="N360" s="99" t="s">
        <v>179</v>
      </c>
      <c r="O360" s="99" t="s">
        <v>181</v>
      </c>
      <c r="P360" s="77" t="s">
        <v>113</v>
      </c>
      <c r="Q360" s="77" t="s">
        <v>114</v>
      </c>
      <c r="R360" s="77" t="s">
        <v>115</v>
      </c>
      <c r="S360" s="77" t="s">
        <v>116</v>
      </c>
      <c r="T360" s="77" t="s">
        <v>117</v>
      </c>
      <c r="U360" s="77" t="s">
        <v>118</v>
      </c>
      <c r="V360" s="99" t="s">
        <v>184</v>
      </c>
      <c r="W360" s="77" t="s">
        <v>119</v>
      </c>
      <c r="X360" s="77" t="s">
        <v>120</v>
      </c>
      <c r="Y360" s="77" t="s">
        <v>108</v>
      </c>
      <c r="Z360" s="77" t="s">
        <v>109</v>
      </c>
      <c r="AA360" s="77" t="s">
        <v>110</v>
      </c>
      <c r="AB360" s="77" t="s">
        <v>111</v>
      </c>
      <c r="AC360" s="77" t="s">
        <v>112</v>
      </c>
      <c r="AD360" s="77" t="s">
        <v>100</v>
      </c>
      <c r="AE360" s="77" t="s">
        <v>101</v>
      </c>
      <c r="AF360" s="99" t="s">
        <v>179</v>
      </c>
      <c r="AG360" s="99" t="s">
        <v>181</v>
      </c>
      <c r="AH360" s="77" t="s">
        <v>113</v>
      </c>
      <c r="AI360" s="77" t="s">
        <v>114</v>
      </c>
      <c r="AJ360" s="77" t="s">
        <v>115</v>
      </c>
      <c r="AK360" s="77" t="s">
        <v>116</v>
      </c>
      <c r="AL360" s="77" t="s">
        <v>117</v>
      </c>
      <c r="AM360" s="77" t="s">
        <v>118</v>
      </c>
      <c r="AN360" s="99" t="s">
        <v>184</v>
      </c>
      <c r="AO360" s="77" t="s">
        <v>119</v>
      </c>
      <c r="AP360" s="77" t="s">
        <v>120</v>
      </c>
      <c r="AQ360" s="77" t="s">
        <v>108</v>
      </c>
      <c r="AR360" s="77" t="s">
        <v>109</v>
      </c>
      <c r="AS360" s="77" t="s">
        <v>110</v>
      </c>
      <c r="AT360" s="77" t="s">
        <v>111</v>
      </c>
      <c r="AU360" s="77" t="s">
        <v>112</v>
      </c>
      <c r="AV360" s="77" t="s">
        <v>100</v>
      </c>
      <c r="AW360" s="77" t="s">
        <v>101</v>
      </c>
      <c r="AX360" s="99" t="s">
        <v>179</v>
      </c>
      <c r="AY360" s="99" t="s">
        <v>181</v>
      </c>
      <c r="AZ360" s="77" t="s">
        <v>113</v>
      </c>
      <c r="BA360" s="77" t="s">
        <v>114</v>
      </c>
      <c r="BB360" s="77" t="s">
        <v>115</v>
      </c>
      <c r="BC360" s="77" t="s">
        <v>116</v>
      </c>
      <c r="BD360" s="77" t="s">
        <v>117</v>
      </c>
      <c r="BE360" s="77" t="s">
        <v>118</v>
      </c>
      <c r="BF360" s="99" t="s">
        <v>184</v>
      </c>
      <c r="BG360" s="77" t="s">
        <v>119</v>
      </c>
      <c r="BH360" s="104" t="s">
        <v>120</v>
      </c>
    </row>
    <row r="361" spans="1:60" ht="22.5" customHeight="1">
      <c r="B361" s="105"/>
      <c r="C361" s="106"/>
      <c r="D361" s="106"/>
      <c r="E361" s="106"/>
      <c r="F361" s="106"/>
      <c r="G361" s="106"/>
      <c r="H361" s="106"/>
      <c r="I361" s="106"/>
      <c r="J361" s="106"/>
      <c r="K361" s="106"/>
      <c r="L361" s="106"/>
      <c r="M361" s="106"/>
      <c r="N361" s="106"/>
      <c r="O361" s="106"/>
      <c r="P361" s="106"/>
      <c r="Q361" s="106"/>
      <c r="R361" s="106"/>
      <c r="S361" s="106"/>
      <c r="T361" s="106"/>
      <c r="U361" s="106"/>
      <c r="V361" s="106"/>
      <c r="W361" s="106"/>
      <c r="X361" s="106"/>
      <c r="Y361" s="106"/>
      <c r="Z361" s="106"/>
      <c r="AA361" s="106"/>
      <c r="AB361" s="106"/>
      <c r="AC361" s="106"/>
      <c r="AD361" s="106"/>
      <c r="AE361" s="106"/>
      <c r="AF361" s="106"/>
      <c r="AG361" s="106"/>
      <c r="AH361" s="106"/>
      <c r="AI361" s="106"/>
      <c r="AJ361" s="106"/>
      <c r="AK361" s="106"/>
      <c r="AL361" s="106"/>
      <c r="AM361" s="106"/>
      <c r="AN361" s="106"/>
      <c r="AO361" s="106"/>
      <c r="AP361" s="106"/>
      <c r="AQ361" s="106"/>
      <c r="AR361" s="106"/>
      <c r="AS361" s="106"/>
      <c r="AT361" s="106"/>
      <c r="AU361" s="106"/>
      <c r="AV361" s="106"/>
      <c r="AW361" s="106"/>
      <c r="AX361" s="106"/>
      <c r="AY361" s="106"/>
      <c r="AZ361" s="106"/>
      <c r="BA361" s="106"/>
      <c r="BB361" s="106"/>
      <c r="BC361" s="106"/>
      <c r="BD361" s="106"/>
      <c r="BE361" s="106"/>
      <c r="BF361" s="106"/>
      <c r="BG361" s="106"/>
      <c r="BH361" s="107"/>
    </row>
    <row r="362" spans="1:60" ht="22.5" customHeight="1">
      <c r="B362" s="105"/>
      <c r="C362" s="106"/>
      <c r="D362" s="106"/>
      <c r="E362" s="106"/>
      <c r="F362" s="50" t="s">
        <v>4</v>
      </c>
      <c r="G362" s="106"/>
      <c r="H362" s="106"/>
      <c r="I362" s="106"/>
      <c r="J362" s="106"/>
      <c r="K362" s="106"/>
      <c r="L362" s="106"/>
      <c r="M362" s="106"/>
      <c r="N362" s="106"/>
      <c r="O362" s="106"/>
      <c r="P362" s="106"/>
      <c r="Q362" s="106"/>
      <c r="R362" s="106"/>
      <c r="S362" s="106"/>
      <c r="T362" s="106"/>
      <c r="U362" s="106"/>
      <c r="V362" s="106"/>
      <c r="W362" s="106"/>
      <c r="X362" s="106"/>
      <c r="Y362" s="106"/>
      <c r="Z362" s="106"/>
      <c r="AA362" s="106"/>
      <c r="AB362" s="106"/>
      <c r="AC362" s="106"/>
      <c r="AD362" s="106"/>
      <c r="AE362" s="106"/>
      <c r="AF362" s="106"/>
      <c r="AG362" s="106"/>
      <c r="AH362" s="106"/>
      <c r="AI362" s="106"/>
      <c r="AJ362" s="106"/>
      <c r="AK362" s="106"/>
      <c r="AL362" s="106"/>
      <c r="AM362" s="106"/>
      <c r="AN362" s="106"/>
      <c r="AO362" s="106"/>
      <c r="AP362" s="106"/>
      <c r="AQ362" s="106"/>
      <c r="AR362" s="106"/>
      <c r="AS362" s="106"/>
      <c r="AT362" s="106"/>
      <c r="AU362" s="106"/>
      <c r="AV362" s="106"/>
      <c r="AW362" s="106"/>
      <c r="AX362" s="106"/>
      <c r="AY362" s="106"/>
      <c r="AZ362" s="106"/>
      <c r="BA362" s="106"/>
      <c r="BB362" s="106"/>
      <c r="BC362" s="106"/>
      <c r="BD362" s="106"/>
      <c r="BE362" s="106"/>
      <c r="BF362" s="106"/>
      <c r="BG362" s="106"/>
      <c r="BH362" s="107"/>
    </row>
    <row r="363" spans="1:60">
      <c r="A363" s="51"/>
      <c r="B363" s="108"/>
      <c r="C363" s="52"/>
      <c r="D363" s="52"/>
      <c r="E363" s="52"/>
      <c r="F363" s="53"/>
      <c r="G363" s="52"/>
      <c r="H363" s="52"/>
      <c r="I363" s="52"/>
      <c r="J363" s="52"/>
      <c r="K363" s="52"/>
      <c r="L363" s="52"/>
      <c r="M363" s="52"/>
      <c r="N363" s="52"/>
      <c r="O363" s="52"/>
      <c r="P363" s="52"/>
      <c r="Q363" s="52"/>
      <c r="R363" s="52"/>
      <c r="S363" s="52"/>
      <c r="T363" s="52"/>
      <c r="U363" s="52"/>
      <c r="V363" s="52"/>
      <c r="W363" s="52"/>
      <c r="X363" s="52"/>
      <c r="Y363" s="52"/>
      <c r="Z363" s="52"/>
      <c r="AA363" s="52"/>
      <c r="AB363" s="52"/>
      <c r="AC363" s="52"/>
      <c r="AD363" s="52"/>
      <c r="AE363" s="52"/>
      <c r="AF363" s="52"/>
      <c r="AG363" s="52"/>
      <c r="AH363" s="52"/>
      <c r="AI363" s="52"/>
      <c r="AJ363" s="52"/>
      <c r="AK363" s="52"/>
      <c r="AL363" s="52"/>
      <c r="AM363" s="52"/>
      <c r="AN363" s="52"/>
      <c r="AO363" s="52"/>
      <c r="AP363" s="52"/>
      <c r="AQ363" s="52"/>
      <c r="AR363" s="52"/>
      <c r="AS363" s="52"/>
      <c r="AT363" s="52"/>
      <c r="AU363" s="52"/>
      <c r="AV363" s="52"/>
      <c r="AW363" s="52"/>
      <c r="AX363" s="52"/>
      <c r="AY363" s="52"/>
      <c r="AZ363" s="52"/>
      <c r="BA363" s="52"/>
      <c r="BB363" s="52"/>
      <c r="BC363" s="52"/>
      <c r="BD363" s="52"/>
      <c r="BE363" s="52"/>
      <c r="BF363" s="52"/>
      <c r="BG363" s="52"/>
      <c r="BH363" s="109"/>
    </row>
    <row r="364" spans="1:60">
      <c r="A364" s="51"/>
      <c r="B364" s="108"/>
      <c r="C364" s="123" t="s">
        <v>192</v>
      </c>
      <c r="D364" s="123" t="s">
        <v>3</v>
      </c>
      <c r="E364" s="123" t="s">
        <v>0</v>
      </c>
      <c r="F364" s="126" t="s">
        <v>196</v>
      </c>
      <c r="G364" s="55"/>
      <c r="H364" s="55"/>
      <c r="I364" s="55"/>
      <c r="J364" s="55"/>
      <c r="K364" s="55"/>
      <c r="L364" s="55"/>
      <c r="M364" s="55"/>
      <c r="N364" s="55"/>
      <c r="O364" s="55"/>
      <c r="P364" s="55"/>
      <c r="Q364" s="55"/>
      <c r="R364" s="55"/>
      <c r="S364" s="55"/>
      <c r="T364" s="55"/>
      <c r="U364" s="55"/>
      <c r="V364" s="55"/>
      <c r="W364" s="55"/>
      <c r="X364" s="55"/>
      <c r="Y364" s="55"/>
      <c r="Z364" s="55"/>
      <c r="AA364" s="55"/>
      <c r="AB364" s="55"/>
      <c r="AC364" s="55"/>
      <c r="AD364" s="55"/>
      <c r="AE364" s="55"/>
      <c r="AF364" s="55"/>
      <c r="AG364" s="55"/>
      <c r="AH364" s="55"/>
      <c r="AI364" s="55"/>
      <c r="AJ364" s="55"/>
      <c r="AK364" s="55"/>
      <c r="AL364" s="55"/>
      <c r="AM364" s="55"/>
      <c r="AN364" s="55"/>
      <c r="AO364" s="55"/>
      <c r="AP364" s="55"/>
      <c r="AQ364" s="55"/>
      <c r="AR364" s="55"/>
      <c r="AS364" s="55"/>
      <c r="AT364" s="55"/>
      <c r="AU364" s="55"/>
      <c r="AV364" s="55"/>
      <c r="AW364" s="55"/>
      <c r="AX364" s="55"/>
      <c r="AY364" s="55"/>
      <c r="AZ364" s="55"/>
      <c r="BA364" s="55"/>
      <c r="BB364" s="55"/>
      <c r="BC364" s="55"/>
      <c r="BD364" s="55"/>
      <c r="BE364" s="55"/>
      <c r="BF364" s="55"/>
      <c r="BG364" s="55"/>
      <c r="BH364" s="110"/>
    </row>
    <row r="365" spans="1:60" ht="22.5">
      <c r="A365" s="51"/>
      <c r="B365" s="108"/>
      <c r="C365" s="123" t="s">
        <v>193</v>
      </c>
      <c r="D365" s="123" t="s">
        <v>3</v>
      </c>
      <c r="E365" s="123" t="s">
        <v>0</v>
      </c>
      <c r="F365" s="126" t="s">
        <v>197</v>
      </c>
      <c r="G365" s="55"/>
      <c r="H365" s="55"/>
      <c r="I365" s="55"/>
      <c r="J365" s="55"/>
      <c r="K365" s="55"/>
      <c r="L365" s="55"/>
      <c r="M365" s="55"/>
      <c r="N365" s="55"/>
      <c r="O365" s="55"/>
      <c r="P365" s="55"/>
      <c r="Q365" s="55"/>
      <c r="R365" s="55"/>
      <c r="S365" s="55"/>
      <c r="T365" s="55"/>
      <c r="U365" s="55"/>
      <c r="V365" s="55"/>
      <c r="W365" s="55"/>
      <c r="X365" s="55"/>
      <c r="Y365" s="55"/>
      <c r="Z365" s="55"/>
      <c r="AA365" s="55"/>
      <c r="AB365" s="55"/>
      <c r="AC365" s="55"/>
      <c r="AD365" s="55"/>
      <c r="AE365" s="55"/>
      <c r="AF365" s="55"/>
      <c r="AG365" s="55"/>
      <c r="AH365" s="55"/>
      <c r="AI365" s="55"/>
      <c r="AJ365" s="55"/>
      <c r="AK365" s="55"/>
      <c r="AL365" s="55"/>
      <c r="AM365" s="55"/>
      <c r="AN365" s="55"/>
      <c r="AO365" s="55"/>
      <c r="AP365" s="55"/>
      <c r="AQ365" s="55"/>
      <c r="AR365" s="55"/>
      <c r="AS365" s="55"/>
      <c r="AT365" s="55"/>
      <c r="AU365" s="55"/>
      <c r="AV365" s="55"/>
      <c r="AW365" s="55"/>
      <c r="AX365" s="55"/>
      <c r="AY365" s="55"/>
      <c r="AZ365" s="55"/>
      <c r="BA365" s="55"/>
      <c r="BB365" s="55"/>
      <c r="BC365" s="55"/>
      <c r="BD365" s="55"/>
      <c r="BE365" s="55"/>
      <c r="BF365" s="55"/>
      <c r="BG365" s="55"/>
      <c r="BH365" s="110"/>
    </row>
    <row r="366" spans="1:60" ht="22.5">
      <c r="A366" s="51"/>
      <c r="B366" s="108"/>
      <c r="C366" s="123" t="s">
        <v>194</v>
      </c>
      <c r="D366" s="123" t="s">
        <v>3</v>
      </c>
      <c r="E366" s="123" t="s">
        <v>0</v>
      </c>
      <c r="F366" s="126" t="s">
        <v>198</v>
      </c>
      <c r="G366" s="55"/>
      <c r="H366" s="55"/>
      <c r="I366" s="55"/>
      <c r="J366" s="55"/>
      <c r="K366" s="55"/>
      <c r="L366" s="55"/>
      <c r="M366" s="55"/>
      <c r="N366" s="55"/>
      <c r="O366" s="55"/>
      <c r="P366" s="55"/>
      <c r="Q366" s="55"/>
      <c r="R366" s="55"/>
      <c r="S366" s="55"/>
      <c r="T366" s="55"/>
      <c r="U366" s="55"/>
      <c r="V366" s="55"/>
      <c r="W366" s="55"/>
      <c r="X366" s="55"/>
      <c r="Y366" s="55"/>
      <c r="Z366" s="55"/>
      <c r="AA366" s="55"/>
      <c r="AB366" s="55"/>
      <c r="AC366" s="55"/>
      <c r="AD366" s="55"/>
      <c r="AE366" s="55"/>
      <c r="AF366" s="55"/>
      <c r="AG366" s="55"/>
      <c r="AH366" s="55"/>
      <c r="AI366" s="55"/>
      <c r="AJ366" s="55"/>
      <c r="AK366" s="55"/>
      <c r="AL366" s="55"/>
      <c r="AM366" s="55"/>
      <c r="AN366" s="55"/>
      <c r="AO366" s="55"/>
      <c r="AP366" s="55"/>
      <c r="AQ366" s="55"/>
      <c r="AR366" s="55"/>
      <c r="AS366" s="55"/>
      <c r="AT366" s="55"/>
      <c r="AU366" s="55"/>
      <c r="AV366" s="55"/>
      <c r="AW366" s="55"/>
      <c r="AX366" s="55"/>
      <c r="AY366" s="55"/>
      <c r="AZ366" s="55"/>
      <c r="BA366" s="55"/>
      <c r="BB366" s="55"/>
      <c r="BC366" s="55"/>
      <c r="BD366" s="55"/>
      <c r="BE366" s="55"/>
      <c r="BF366" s="55"/>
      <c r="BG366" s="55"/>
      <c r="BH366" s="110"/>
    </row>
    <row r="367" spans="1:60">
      <c r="A367" s="51"/>
      <c r="B367" s="108"/>
      <c r="C367" s="123" t="s">
        <v>195</v>
      </c>
      <c r="D367" s="123" t="s">
        <v>3</v>
      </c>
      <c r="E367" s="123" t="s">
        <v>0</v>
      </c>
      <c r="F367" s="126" t="s">
        <v>199</v>
      </c>
      <c r="G367" s="55"/>
      <c r="H367" s="55"/>
      <c r="I367" s="55"/>
      <c r="J367" s="55"/>
      <c r="K367" s="55"/>
      <c r="L367" s="55"/>
      <c r="M367" s="55"/>
      <c r="N367" s="55"/>
      <c r="O367" s="55"/>
      <c r="P367" s="55"/>
      <c r="Q367" s="55"/>
      <c r="R367" s="55"/>
      <c r="S367" s="55"/>
      <c r="T367" s="55"/>
      <c r="U367" s="55"/>
      <c r="V367" s="55"/>
      <c r="W367" s="55"/>
      <c r="X367" s="55"/>
      <c r="Y367" s="55"/>
      <c r="Z367" s="55"/>
      <c r="AA367" s="55"/>
      <c r="AB367" s="55"/>
      <c r="AC367" s="55"/>
      <c r="AD367" s="55"/>
      <c r="AE367" s="55"/>
      <c r="AF367" s="55"/>
      <c r="AG367" s="55"/>
      <c r="AH367" s="55"/>
      <c r="AI367" s="55"/>
      <c r="AJ367" s="55"/>
      <c r="AK367" s="55"/>
      <c r="AL367" s="55"/>
      <c r="AM367" s="55"/>
      <c r="AN367" s="55"/>
      <c r="AO367" s="55"/>
      <c r="AP367" s="55"/>
      <c r="AQ367" s="55"/>
      <c r="AR367" s="55"/>
      <c r="AS367" s="55"/>
      <c r="AT367" s="55"/>
      <c r="AU367" s="55"/>
      <c r="AV367" s="55"/>
      <c r="AW367" s="55"/>
      <c r="AX367" s="55"/>
      <c r="AY367" s="55"/>
      <c r="AZ367" s="55"/>
      <c r="BA367" s="55"/>
      <c r="BB367" s="55"/>
      <c r="BC367" s="55"/>
      <c r="BD367" s="55"/>
      <c r="BE367" s="55"/>
      <c r="BF367" s="55"/>
      <c r="BG367" s="55"/>
      <c r="BH367" s="110"/>
    </row>
    <row r="368" spans="1:60" ht="22.5">
      <c r="A368" s="51"/>
      <c r="B368" s="108"/>
      <c r="C368" s="52" t="s">
        <v>139</v>
      </c>
      <c r="D368" s="52" t="s">
        <v>3</v>
      </c>
      <c r="E368" s="52" t="s">
        <v>0</v>
      </c>
      <c r="F368" s="54" t="s">
        <v>24</v>
      </c>
      <c r="G368" s="90"/>
      <c r="H368" s="90"/>
      <c r="I368" s="90"/>
      <c r="J368" s="90"/>
      <c r="K368" s="90"/>
      <c r="L368" s="90"/>
      <c r="M368" s="90"/>
      <c r="N368" s="90"/>
      <c r="O368" s="90"/>
      <c r="P368" s="90"/>
      <c r="Q368" s="90"/>
      <c r="R368" s="90"/>
      <c r="S368" s="90"/>
      <c r="T368" s="90"/>
      <c r="U368" s="90"/>
      <c r="V368" s="90"/>
      <c r="W368" s="90"/>
      <c r="X368" s="90"/>
      <c r="Y368" s="90"/>
      <c r="Z368" s="90"/>
      <c r="AA368" s="90"/>
      <c r="AB368" s="90"/>
      <c r="AC368" s="90"/>
      <c r="AD368" s="90"/>
      <c r="AE368" s="90"/>
      <c r="AF368" s="90"/>
      <c r="AG368" s="90"/>
      <c r="AH368" s="90"/>
      <c r="AI368" s="90"/>
      <c r="AJ368" s="90"/>
      <c r="AK368" s="90"/>
      <c r="AL368" s="90"/>
      <c r="AM368" s="90"/>
      <c r="AN368" s="90"/>
      <c r="AO368" s="90"/>
      <c r="AP368" s="90"/>
      <c r="AQ368" s="90"/>
      <c r="AR368" s="90"/>
      <c r="AS368" s="90"/>
      <c r="AT368" s="90"/>
      <c r="AU368" s="90"/>
      <c r="AV368" s="90"/>
      <c r="AW368" s="90"/>
      <c r="AX368" s="55"/>
      <c r="AY368" s="55"/>
      <c r="AZ368" s="90"/>
      <c r="BA368" s="90"/>
      <c r="BB368" s="90"/>
      <c r="BC368" s="90"/>
      <c r="BD368" s="90"/>
      <c r="BE368" s="90"/>
      <c r="BF368" s="55"/>
      <c r="BG368" s="90"/>
      <c r="BH368" s="119"/>
    </row>
    <row r="369" spans="1:60">
      <c r="A369" s="51"/>
      <c r="B369" s="108"/>
      <c r="C369" s="52" t="s">
        <v>140</v>
      </c>
      <c r="D369" s="52" t="s">
        <v>3</v>
      </c>
      <c r="E369" s="52" t="s">
        <v>0</v>
      </c>
      <c r="F369" s="54" t="s">
        <v>25</v>
      </c>
      <c r="G369" s="90"/>
      <c r="H369" s="90"/>
      <c r="I369" s="90"/>
      <c r="J369" s="90"/>
      <c r="K369" s="90"/>
      <c r="L369" s="90"/>
      <c r="M369" s="90"/>
      <c r="N369" s="90"/>
      <c r="O369" s="90"/>
      <c r="P369" s="90"/>
      <c r="Q369" s="90"/>
      <c r="R369" s="90"/>
      <c r="S369" s="90"/>
      <c r="T369" s="90"/>
      <c r="U369" s="90"/>
      <c r="V369" s="90"/>
      <c r="W369" s="90"/>
      <c r="X369" s="90"/>
      <c r="Y369" s="90"/>
      <c r="Z369" s="90"/>
      <c r="AA369" s="90"/>
      <c r="AB369" s="90"/>
      <c r="AC369" s="90"/>
      <c r="AD369" s="90"/>
      <c r="AE369" s="90"/>
      <c r="AF369" s="90"/>
      <c r="AG369" s="90"/>
      <c r="AH369" s="90"/>
      <c r="AI369" s="90"/>
      <c r="AJ369" s="90"/>
      <c r="AK369" s="90"/>
      <c r="AL369" s="90"/>
      <c r="AM369" s="90"/>
      <c r="AN369" s="90"/>
      <c r="AO369" s="90"/>
      <c r="AP369" s="90"/>
      <c r="AQ369" s="90"/>
      <c r="AR369" s="90"/>
      <c r="AS369" s="90"/>
      <c r="AT369" s="90"/>
      <c r="AU369" s="90"/>
      <c r="AV369" s="90"/>
      <c r="AW369" s="90"/>
      <c r="AX369" s="55"/>
      <c r="AY369" s="55"/>
      <c r="AZ369" s="90"/>
      <c r="BA369" s="90"/>
      <c r="BB369" s="90"/>
      <c r="BC369" s="90"/>
      <c r="BD369" s="90"/>
      <c r="BE369" s="90"/>
      <c r="BF369" s="55"/>
      <c r="BG369" s="90"/>
      <c r="BH369" s="119"/>
    </row>
    <row r="370" spans="1:60">
      <c r="A370" s="51"/>
      <c r="B370" s="108"/>
      <c r="C370" s="52" t="s">
        <v>141</v>
      </c>
      <c r="D370" s="52" t="s">
        <v>3</v>
      </c>
      <c r="E370" s="52" t="s">
        <v>0</v>
      </c>
      <c r="F370" s="54" t="s">
        <v>26</v>
      </c>
      <c r="G370" s="90"/>
      <c r="H370" s="90"/>
      <c r="I370" s="90"/>
      <c r="J370" s="90"/>
      <c r="K370" s="90"/>
      <c r="L370" s="90"/>
      <c r="M370" s="90"/>
      <c r="N370" s="90"/>
      <c r="O370" s="90"/>
      <c r="P370" s="90"/>
      <c r="Q370" s="90"/>
      <c r="R370" s="90"/>
      <c r="S370" s="90"/>
      <c r="T370" s="90"/>
      <c r="U370" s="90"/>
      <c r="V370" s="90"/>
      <c r="W370" s="90"/>
      <c r="X370" s="90"/>
      <c r="Y370" s="90"/>
      <c r="Z370" s="90"/>
      <c r="AA370" s="90"/>
      <c r="AB370" s="90"/>
      <c r="AC370" s="90"/>
      <c r="AD370" s="90"/>
      <c r="AE370" s="90"/>
      <c r="AF370" s="90"/>
      <c r="AG370" s="90"/>
      <c r="AH370" s="90"/>
      <c r="AI370" s="90"/>
      <c r="AJ370" s="90"/>
      <c r="AK370" s="90"/>
      <c r="AL370" s="90"/>
      <c r="AM370" s="90"/>
      <c r="AN370" s="90"/>
      <c r="AO370" s="90"/>
      <c r="AP370" s="90"/>
      <c r="AQ370" s="90"/>
      <c r="AR370" s="90"/>
      <c r="AS370" s="90"/>
      <c r="AT370" s="90"/>
      <c r="AU370" s="90"/>
      <c r="AV370" s="90"/>
      <c r="AW370" s="90"/>
      <c r="AX370" s="55"/>
      <c r="AY370" s="55"/>
      <c r="AZ370" s="90"/>
      <c r="BA370" s="90"/>
      <c r="BB370" s="90"/>
      <c r="BC370" s="90"/>
      <c r="BD370" s="90"/>
      <c r="BE370" s="90"/>
      <c r="BF370" s="55"/>
      <c r="BG370" s="90"/>
      <c r="BH370" s="119"/>
    </row>
    <row r="371" spans="1:60">
      <c r="A371" s="51"/>
      <c r="B371" s="108"/>
      <c r="C371" s="52"/>
      <c r="D371" s="52"/>
      <c r="E371" s="52" t="s">
        <v>0</v>
      </c>
      <c r="F371" s="53" t="s">
        <v>27</v>
      </c>
      <c r="G371" s="91"/>
      <c r="H371" s="91"/>
      <c r="I371" s="91"/>
      <c r="J371" s="91"/>
      <c r="K371" s="91"/>
      <c r="L371" s="91"/>
      <c r="M371" s="91"/>
      <c r="N371" s="91"/>
      <c r="O371" s="91"/>
      <c r="P371" s="91"/>
      <c r="Q371" s="91"/>
      <c r="R371" s="91"/>
      <c r="S371" s="91"/>
      <c r="T371" s="91"/>
      <c r="U371" s="91"/>
      <c r="V371" s="91"/>
      <c r="W371" s="91"/>
      <c r="X371" s="91"/>
      <c r="Y371" s="91"/>
      <c r="Z371" s="91"/>
      <c r="AA371" s="91"/>
      <c r="AB371" s="91"/>
      <c r="AC371" s="91"/>
      <c r="AD371" s="91"/>
      <c r="AE371" s="91"/>
      <c r="AF371" s="91"/>
      <c r="AG371" s="91"/>
      <c r="AH371" s="91"/>
      <c r="AI371" s="91"/>
      <c r="AJ371" s="91"/>
      <c r="AK371" s="91"/>
      <c r="AL371" s="91"/>
      <c r="AM371" s="91"/>
      <c r="AN371" s="91"/>
      <c r="AO371" s="91"/>
      <c r="AP371" s="91"/>
      <c r="AQ371" s="91"/>
      <c r="AR371" s="91"/>
      <c r="AS371" s="91"/>
      <c r="AT371" s="91"/>
      <c r="AU371" s="91"/>
      <c r="AV371" s="91"/>
      <c r="AW371" s="91"/>
      <c r="AX371" s="52"/>
      <c r="AY371" s="52"/>
      <c r="AZ371" s="91"/>
      <c r="BA371" s="91"/>
      <c r="BB371" s="91"/>
      <c r="BC371" s="91"/>
      <c r="BD371" s="91"/>
      <c r="BE371" s="91"/>
      <c r="BF371" s="52"/>
      <c r="BG371" s="91"/>
      <c r="BH371" s="122"/>
    </row>
    <row r="372" spans="1:60">
      <c r="A372" s="51" t="s">
        <v>52</v>
      </c>
      <c r="B372" s="108"/>
      <c r="C372" s="52" t="s">
        <v>142</v>
      </c>
      <c r="D372" s="52" t="s">
        <v>3</v>
      </c>
      <c r="E372" s="52" t="s">
        <v>0</v>
      </c>
      <c r="F372" s="53" t="s">
        <v>186</v>
      </c>
      <c r="G372" s="89">
        <f t="shared" ref="G372:W372" si="647">G21-G284</f>
        <v>0</v>
      </c>
      <c r="H372" s="89">
        <f t="shared" si="647"/>
        <v>0</v>
      </c>
      <c r="I372" s="89">
        <f t="shared" si="647"/>
        <v>0</v>
      </c>
      <c r="J372" s="89">
        <f t="shared" si="647"/>
        <v>0</v>
      </c>
      <c r="K372" s="89">
        <f t="shared" si="647"/>
        <v>0</v>
      </c>
      <c r="L372" s="89">
        <f t="shared" si="647"/>
        <v>0</v>
      </c>
      <c r="M372" s="89">
        <f t="shared" si="647"/>
        <v>0</v>
      </c>
      <c r="N372" s="89">
        <f t="shared" si="647"/>
        <v>20281948000</v>
      </c>
      <c r="O372" s="89">
        <f t="shared" si="647"/>
        <v>1664135000</v>
      </c>
      <c r="P372" s="89">
        <f t="shared" si="647"/>
        <v>0</v>
      </c>
      <c r="Q372" s="89">
        <f t="shared" si="647"/>
        <v>0</v>
      </c>
      <c r="R372" s="89">
        <f t="shared" si="647"/>
        <v>0</v>
      </c>
      <c r="S372" s="89">
        <f t="shared" si="647"/>
        <v>0</v>
      </c>
      <c r="T372" s="89">
        <f t="shared" si="647"/>
        <v>0</v>
      </c>
      <c r="U372" s="89">
        <f t="shared" si="647"/>
        <v>7315361000</v>
      </c>
      <c r="V372" s="89">
        <f t="shared" si="647"/>
        <v>0</v>
      </c>
      <c r="W372" s="89">
        <f t="shared" si="647"/>
        <v>0</v>
      </c>
      <c r="X372" s="89">
        <f>SUM(P372:W372)+SUM(G372:K372)</f>
        <v>7315361000</v>
      </c>
      <c r="Y372" s="89">
        <f t="shared" ref="Y372:AO372" si="648">Y21-Y284</f>
        <v>5651226000</v>
      </c>
      <c r="Z372" s="89">
        <f t="shared" si="648"/>
        <v>0</v>
      </c>
      <c r="AA372" s="89">
        <f t="shared" si="648"/>
        <v>0</v>
      </c>
      <c r="AB372" s="89">
        <f t="shared" si="648"/>
        <v>1664135000</v>
      </c>
      <c r="AC372" s="89">
        <f t="shared" si="648"/>
        <v>0</v>
      </c>
      <c r="AD372" s="89">
        <f t="shared" si="648"/>
        <v>0</v>
      </c>
      <c r="AE372" s="89">
        <f t="shared" si="648"/>
        <v>0</v>
      </c>
      <c r="AF372" s="89">
        <f t="shared" si="648"/>
        <v>0</v>
      </c>
      <c r="AG372" s="89">
        <f t="shared" si="648"/>
        <v>0</v>
      </c>
      <c r="AH372" s="89">
        <f t="shared" si="648"/>
        <v>0</v>
      </c>
      <c r="AI372" s="89">
        <f t="shared" si="648"/>
        <v>0</v>
      </c>
      <c r="AJ372" s="89">
        <f t="shared" si="648"/>
        <v>0</v>
      </c>
      <c r="AK372" s="89">
        <f t="shared" si="648"/>
        <v>0</v>
      </c>
      <c r="AL372" s="89">
        <f t="shared" si="648"/>
        <v>0</v>
      </c>
      <c r="AM372" s="89">
        <f t="shared" si="648"/>
        <v>0</v>
      </c>
      <c r="AN372" s="89">
        <f t="shared" si="648"/>
        <v>7435519000</v>
      </c>
      <c r="AO372" s="89">
        <f t="shared" si="648"/>
        <v>7435519000</v>
      </c>
      <c r="AP372" s="89">
        <f>SUM(AH372:AO372)+SUM(Y372:AC372)</f>
        <v>22186399000</v>
      </c>
      <c r="AQ372" s="89">
        <f t="shared" ref="AQ372:AW372" si="649">AQ21-AQ284</f>
        <v>5651226000</v>
      </c>
      <c r="AR372" s="89">
        <f t="shared" si="649"/>
        <v>0</v>
      </c>
      <c r="AS372" s="89">
        <f t="shared" si="649"/>
        <v>0</v>
      </c>
      <c r="AT372" s="89">
        <f t="shared" si="649"/>
        <v>1664135000</v>
      </c>
      <c r="AU372" s="89">
        <f t="shared" si="649"/>
        <v>0</v>
      </c>
      <c r="AV372" s="89">
        <f t="shared" si="649"/>
        <v>0</v>
      </c>
      <c r="AW372" s="89">
        <f t="shared" si="649"/>
        <v>0</v>
      </c>
      <c r="AX372" s="89">
        <f t="shared" ref="AX372" si="650">N372+AF372</f>
        <v>20281948000</v>
      </c>
      <c r="AY372" s="89">
        <f t="shared" ref="AY372:AZ372" si="651">O372+AG372</f>
        <v>1664135000</v>
      </c>
      <c r="AZ372" s="89">
        <f t="shared" si="651"/>
        <v>0</v>
      </c>
      <c r="BA372" s="89">
        <f>BA21-BA284</f>
        <v>0</v>
      </c>
      <c r="BB372" s="89">
        <f>BB21-BB284</f>
        <v>0</v>
      </c>
      <c r="BC372" s="89">
        <f>BC21-BC284</f>
        <v>0</v>
      </c>
      <c r="BD372" s="89">
        <f>BD21-BD284</f>
        <v>0</v>
      </c>
      <c r="BE372" s="89">
        <f>BE21-BE284</f>
        <v>7315361000</v>
      </c>
      <c r="BF372" s="89">
        <f t="shared" ref="BF372" si="652">V372+AN372</f>
        <v>7435519000</v>
      </c>
      <c r="BG372" s="89">
        <f>BG21-BG284</f>
        <v>7435519000</v>
      </c>
      <c r="BH372" s="111">
        <f>X372+AP372</f>
        <v>29501760000</v>
      </c>
    </row>
    <row r="373" spans="1:60">
      <c r="A373" s="51"/>
      <c r="B373" s="108"/>
      <c r="C373" s="52"/>
      <c r="D373" s="52"/>
      <c r="E373" s="52" t="s">
        <v>0</v>
      </c>
      <c r="F373" s="53" t="s">
        <v>29</v>
      </c>
      <c r="G373" s="91"/>
      <c r="H373" s="91"/>
      <c r="I373" s="91"/>
      <c r="J373" s="91"/>
      <c r="K373" s="91"/>
      <c r="L373" s="91"/>
      <c r="M373" s="91"/>
      <c r="N373" s="91"/>
      <c r="O373" s="91"/>
      <c r="P373" s="91"/>
      <c r="Q373" s="91"/>
      <c r="R373" s="91"/>
      <c r="S373" s="91"/>
      <c r="T373" s="91"/>
      <c r="U373" s="91"/>
      <c r="V373" s="91"/>
      <c r="W373" s="91"/>
      <c r="X373" s="91"/>
      <c r="Y373" s="91"/>
      <c r="Z373" s="91"/>
      <c r="AA373" s="91"/>
      <c r="AB373" s="91"/>
      <c r="AC373" s="91"/>
      <c r="AD373" s="91"/>
      <c r="AE373" s="91"/>
      <c r="AF373" s="91"/>
      <c r="AG373" s="91"/>
      <c r="AH373" s="91"/>
      <c r="AI373" s="91"/>
      <c r="AJ373" s="91"/>
      <c r="AK373" s="91"/>
      <c r="AL373" s="91"/>
      <c r="AM373" s="91"/>
      <c r="AN373" s="91"/>
      <c r="AO373" s="91"/>
      <c r="AP373" s="91"/>
      <c r="AQ373" s="91"/>
      <c r="AR373" s="91"/>
      <c r="AS373" s="91"/>
      <c r="AT373" s="91"/>
      <c r="AU373" s="91"/>
      <c r="AV373" s="91"/>
      <c r="AW373" s="91"/>
      <c r="AX373" s="91"/>
      <c r="AY373" s="91"/>
      <c r="AZ373" s="91"/>
      <c r="BA373" s="91"/>
      <c r="BB373" s="91"/>
      <c r="BC373" s="91"/>
      <c r="BD373" s="91"/>
      <c r="BE373" s="91"/>
      <c r="BF373" s="91"/>
      <c r="BG373" s="91"/>
      <c r="BH373" s="122"/>
    </row>
    <row r="374" spans="1:60" ht="22.5">
      <c r="A374" s="51"/>
      <c r="B374" s="108"/>
      <c r="C374" s="52" t="s">
        <v>143</v>
      </c>
      <c r="D374" s="52" t="s">
        <v>3</v>
      </c>
      <c r="E374" s="52" t="s">
        <v>0</v>
      </c>
      <c r="F374" s="54" t="s">
        <v>30</v>
      </c>
      <c r="G374" s="89">
        <f t="shared" ref="G374:W374" si="653">G23-G286</f>
        <v>0</v>
      </c>
      <c r="H374" s="89">
        <f t="shared" si="653"/>
        <v>0</v>
      </c>
      <c r="I374" s="89">
        <f t="shared" si="653"/>
        <v>0</v>
      </c>
      <c r="J374" s="89">
        <f t="shared" si="653"/>
        <v>0</v>
      </c>
      <c r="K374" s="89">
        <f t="shared" si="653"/>
        <v>0</v>
      </c>
      <c r="L374" s="89">
        <f t="shared" si="653"/>
        <v>524396000</v>
      </c>
      <c r="M374" s="89">
        <f t="shared" si="653"/>
        <v>0</v>
      </c>
      <c r="N374" s="89">
        <f t="shared" si="653"/>
        <v>0</v>
      </c>
      <c r="O374" s="89">
        <f t="shared" si="653"/>
        <v>0</v>
      </c>
      <c r="P374" s="89">
        <f t="shared" si="653"/>
        <v>0</v>
      </c>
      <c r="Q374" s="89">
        <f t="shared" si="653"/>
        <v>0</v>
      </c>
      <c r="R374" s="89">
        <f t="shared" si="653"/>
        <v>0</v>
      </c>
      <c r="S374" s="89">
        <f t="shared" si="653"/>
        <v>0</v>
      </c>
      <c r="T374" s="89">
        <f t="shared" si="653"/>
        <v>0</v>
      </c>
      <c r="U374" s="89">
        <f t="shared" si="653"/>
        <v>0</v>
      </c>
      <c r="V374" s="89">
        <f t="shared" si="653"/>
        <v>0</v>
      </c>
      <c r="W374" s="89">
        <f t="shared" si="653"/>
        <v>0</v>
      </c>
      <c r="X374" s="89">
        <f t="shared" ref="X374:X386" si="654">SUM(P374:W374)+SUM(G374:K374)</f>
        <v>0</v>
      </c>
      <c r="Y374" s="89">
        <f t="shared" ref="Y374:AO374" si="655">Y23-Y286</f>
        <v>0</v>
      </c>
      <c r="Z374" s="89">
        <f t="shared" si="655"/>
        <v>0</v>
      </c>
      <c r="AA374" s="89">
        <f t="shared" si="655"/>
        <v>0</v>
      </c>
      <c r="AB374" s="89">
        <f t="shared" si="655"/>
        <v>0</v>
      </c>
      <c r="AC374" s="89">
        <f t="shared" si="655"/>
        <v>0</v>
      </c>
      <c r="AD374" s="89">
        <f t="shared" si="655"/>
        <v>0</v>
      </c>
      <c r="AE374" s="89">
        <f t="shared" si="655"/>
        <v>0</v>
      </c>
      <c r="AF374" s="89">
        <f t="shared" si="655"/>
        <v>0</v>
      </c>
      <c r="AG374" s="89">
        <f t="shared" si="655"/>
        <v>0</v>
      </c>
      <c r="AH374" s="89">
        <f t="shared" si="655"/>
        <v>0</v>
      </c>
      <c r="AI374" s="89">
        <f t="shared" si="655"/>
        <v>0</v>
      </c>
      <c r="AJ374" s="89">
        <f t="shared" si="655"/>
        <v>0</v>
      </c>
      <c r="AK374" s="89">
        <f t="shared" si="655"/>
        <v>0</v>
      </c>
      <c r="AL374" s="89">
        <f t="shared" si="655"/>
        <v>0</v>
      </c>
      <c r="AM374" s="89">
        <f t="shared" si="655"/>
        <v>0</v>
      </c>
      <c r="AN374" s="89">
        <f t="shared" si="655"/>
        <v>0</v>
      </c>
      <c r="AO374" s="89">
        <f t="shared" si="655"/>
        <v>59524000</v>
      </c>
      <c r="AP374" s="89">
        <f t="shared" ref="AP374:AP386" si="656">SUM(AH374:AO374)+SUM(Y374:AC374)</f>
        <v>59524000</v>
      </c>
      <c r="AQ374" s="89">
        <f t="shared" ref="AQ374:AW382" si="657">AQ23-AQ286</f>
        <v>0</v>
      </c>
      <c r="AR374" s="89">
        <f t="shared" si="657"/>
        <v>0</v>
      </c>
      <c r="AS374" s="89">
        <f t="shared" si="657"/>
        <v>0</v>
      </c>
      <c r="AT374" s="89">
        <f t="shared" si="657"/>
        <v>0</v>
      </c>
      <c r="AU374" s="89">
        <f t="shared" si="657"/>
        <v>0</v>
      </c>
      <c r="AV374" s="89">
        <f t="shared" si="657"/>
        <v>524396000</v>
      </c>
      <c r="AW374" s="89">
        <f t="shared" si="657"/>
        <v>0</v>
      </c>
      <c r="AX374" s="89">
        <f t="shared" ref="AX374:AX382" si="658">N374+AF374</f>
        <v>0</v>
      </c>
      <c r="AY374" s="89">
        <f t="shared" ref="AY374:AZ382" si="659">O374+AG374</f>
        <v>0</v>
      </c>
      <c r="AZ374" s="89">
        <f t="shared" si="659"/>
        <v>0</v>
      </c>
      <c r="BA374" s="89">
        <f t="shared" ref="BA374:BE382" si="660">BA23-BA286</f>
        <v>0</v>
      </c>
      <c r="BB374" s="89">
        <f t="shared" si="660"/>
        <v>0</v>
      </c>
      <c r="BC374" s="89">
        <f t="shared" si="660"/>
        <v>0</v>
      </c>
      <c r="BD374" s="89">
        <f t="shared" si="660"/>
        <v>0</v>
      </c>
      <c r="BE374" s="89">
        <f t="shared" si="660"/>
        <v>0</v>
      </c>
      <c r="BF374" s="89">
        <f t="shared" ref="BF374:BF382" si="661">V374+AN374</f>
        <v>0</v>
      </c>
      <c r="BG374" s="89">
        <f t="shared" ref="BG374:BG382" si="662">BG23-BG286</f>
        <v>59524000</v>
      </c>
      <c r="BH374" s="111">
        <f t="shared" ref="BH374:BH382" si="663">X374+AP374</f>
        <v>59524000</v>
      </c>
    </row>
    <row r="375" spans="1:60" ht="22.5">
      <c r="A375" s="51"/>
      <c r="B375" s="108"/>
      <c r="C375" s="52" t="s">
        <v>144</v>
      </c>
      <c r="D375" s="52" t="s">
        <v>3</v>
      </c>
      <c r="E375" s="52" t="s">
        <v>0</v>
      </c>
      <c r="F375" s="54" t="s">
        <v>31</v>
      </c>
      <c r="G375" s="89">
        <f t="shared" ref="G375:W375" si="664">G24-G287</f>
        <v>0</v>
      </c>
      <c r="H375" s="89">
        <f t="shared" si="664"/>
        <v>0</v>
      </c>
      <c r="I375" s="89">
        <f t="shared" si="664"/>
        <v>0</v>
      </c>
      <c r="J375" s="89">
        <f t="shared" si="664"/>
        <v>0</v>
      </c>
      <c r="K375" s="89">
        <f t="shared" si="664"/>
        <v>0</v>
      </c>
      <c r="L375" s="89">
        <f t="shared" si="664"/>
        <v>0</v>
      </c>
      <c r="M375" s="89">
        <f t="shared" si="664"/>
        <v>0</v>
      </c>
      <c r="N375" s="89">
        <f t="shared" si="664"/>
        <v>1699528000</v>
      </c>
      <c r="O375" s="89">
        <f t="shared" si="664"/>
        <v>18260000</v>
      </c>
      <c r="P375" s="89">
        <f t="shared" si="664"/>
        <v>0</v>
      </c>
      <c r="Q375" s="89">
        <f t="shared" si="664"/>
        <v>0</v>
      </c>
      <c r="R375" s="89">
        <f t="shared" si="664"/>
        <v>0</v>
      </c>
      <c r="S375" s="89">
        <f t="shared" si="664"/>
        <v>0</v>
      </c>
      <c r="T375" s="89">
        <f t="shared" si="664"/>
        <v>0</v>
      </c>
      <c r="U375" s="89">
        <f t="shared" si="664"/>
        <v>0</v>
      </c>
      <c r="V375" s="89">
        <f t="shared" si="664"/>
        <v>0</v>
      </c>
      <c r="W375" s="89">
        <f t="shared" si="664"/>
        <v>0</v>
      </c>
      <c r="X375" s="89">
        <f t="shared" si="654"/>
        <v>0</v>
      </c>
      <c r="Y375" s="89">
        <f t="shared" ref="Y375:AO375" si="665">Y24-Y287</f>
        <v>1699528000</v>
      </c>
      <c r="Z375" s="89">
        <f t="shared" si="665"/>
        <v>0</v>
      </c>
      <c r="AA375" s="89">
        <f t="shared" si="665"/>
        <v>0</v>
      </c>
      <c r="AB375" s="89">
        <f t="shared" si="665"/>
        <v>18260000</v>
      </c>
      <c r="AC375" s="89">
        <f t="shared" si="665"/>
        <v>0</v>
      </c>
      <c r="AD375" s="89">
        <f t="shared" si="665"/>
        <v>0</v>
      </c>
      <c r="AE375" s="89">
        <f t="shared" si="665"/>
        <v>0</v>
      </c>
      <c r="AF375" s="89">
        <f t="shared" si="665"/>
        <v>0</v>
      </c>
      <c r="AG375" s="89">
        <f t="shared" si="665"/>
        <v>0</v>
      </c>
      <c r="AH375" s="89">
        <f t="shared" si="665"/>
        <v>0</v>
      </c>
      <c r="AI375" s="89">
        <f t="shared" si="665"/>
        <v>0</v>
      </c>
      <c r="AJ375" s="89">
        <f t="shared" si="665"/>
        <v>0</v>
      </c>
      <c r="AK375" s="89">
        <f t="shared" si="665"/>
        <v>0</v>
      </c>
      <c r="AL375" s="89">
        <f t="shared" si="665"/>
        <v>0</v>
      </c>
      <c r="AM375" s="89">
        <f t="shared" si="665"/>
        <v>0</v>
      </c>
      <c r="AN375" s="89">
        <f t="shared" si="665"/>
        <v>0</v>
      </c>
      <c r="AO375" s="89">
        <f t="shared" si="665"/>
        <v>0</v>
      </c>
      <c r="AP375" s="89">
        <f t="shared" si="656"/>
        <v>1717788000</v>
      </c>
      <c r="AQ375" s="89">
        <f t="shared" si="657"/>
        <v>1699528000</v>
      </c>
      <c r="AR375" s="89">
        <f t="shared" si="657"/>
        <v>0</v>
      </c>
      <c r="AS375" s="89">
        <f t="shared" si="657"/>
        <v>0</v>
      </c>
      <c r="AT375" s="89">
        <f t="shared" si="657"/>
        <v>18260000</v>
      </c>
      <c r="AU375" s="89">
        <f t="shared" si="657"/>
        <v>0</v>
      </c>
      <c r="AV375" s="89">
        <f t="shared" si="657"/>
        <v>0</v>
      </c>
      <c r="AW375" s="89">
        <f t="shared" si="657"/>
        <v>0</v>
      </c>
      <c r="AX375" s="89">
        <f t="shared" si="658"/>
        <v>1699528000</v>
      </c>
      <c r="AY375" s="89">
        <f t="shared" si="659"/>
        <v>18260000</v>
      </c>
      <c r="AZ375" s="89">
        <f t="shared" si="659"/>
        <v>0</v>
      </c>
      <c r="BA375" s="89">
        <f t="shared" si="660"/>
        <v>0</v>
      </c>
      <c r="BB375" s="89">
        <f t="shared" si="660"/>
        <v>0</v>
      </c>
      <c r="BC375" s="89">
        <f t="shared" si="660"/>
        <v>0</v>
      </c>
      <c r="BD375" s="89">
        <f t="shared" si="660"/>
        <v>0</v>
      </c>
      <c r="BE375" s="89">
        <f t="shared" si="660"/>
        <v>0</v>
      </c>
      <c r="BF375" s="89">
        <f t="shared" si="661"/>
        <v>0</v>
      </c>
      <c r="BG375" s="89">
        <f t="shared" si="662"/>
        <v>0</v>
      </c>
      <c r="BH375" s="111">
        <f t="shared" si="663"/>
        <v>1717788000</v>
      </c>
    </row>
    <row r="376" spans="1:60" ht="22.5">
      <c r="A376" s="51"/>
      <c r="B376" s="108"/>
      <c r="C376" s="52" t="s">
        <v>145</v>
      </c>
      <c r="D376" s="52" t="s">
        <v>3</v>
      </c>
      <c r="E376" s="52" t="s">
        <v>0</v>
      </c>
      <c r="F376" s="54" t="s">
        <v>32</v>
      </c>
      <c r="G376" s="89">
        <f t="shared" ref="G376:W376" si="666">G25-G288</f>
        <v>0</v>
      </c>
      <c r="H376" s="89">
        <f t="shared" si="666"/>
        <v>0</v>
      </c>
      <c r="I376" s="89">
        <f t="shared" si="666"/>
        <v>0</v>
      </c>
      <c r="J376" s="89">
        <f t="shared" si="666"/>
        <v>0</v>
      </c>
      <c r="K376" s="89">
        <f t="shared" si="666"/>
        <v>0</v>
      </c>
      <c r="L376" s="89">
        <f t="shared" si="666"/>
        <v>0</v>
      </c>
      <c r="M376" s="89">
        <f t="shared" si="666"/>
        <v>0</v>
      </c>
      <c r="N376" s="89">
        <f t="shared" si="666"/>
        <v>104723000</v>
      </c>
      <c r="O376" s="89">
        <f t="shared" si="666"/>
        <v>10038000</v>
      </c>
      <c r="P376" s="89">
        <f t="shared" si="666"/>
        <v>0</v>
      </c>
      <c r="Q376" s="89">
        <f t="shared" si="666"/>
        <v>0</v>
      </c>
      <c r="R376" s="89">
        <f t="shared" si="666"/>
        <v>0</v>
      </c>
      <c r="S376" s="89">
        <f t="shared" si="666"/>
        <v>0</v>
      </c>
      <c r="T376" s="89">
        <f t="shared" si="666"/>
        <v>0</v>
      </c>
      <c r="U376" s="89">
        <f t="shared" si="666"/>
        <v>-7315361000</v>
      </c>
      <c r="V376" s="89">
        <f t="shared" si="666"/>
        <v>0</v>
      </c>
      <c r="W376" s="89">
        <f t="shared" si="666"/>
        <v>0</v>
      </c>
      <c r="X376" s="89">
        <f t="shared" si="654"/>
        <v>-7315361000</v>
      </c>
      <c r="Y376" s="89">
        <f t="shared" ref="Y376:AO376" si="667">Y25-Y288</f>
        <v>104723000</v>
      </c>
      <c r="Z376" s="89">
        <f t="shared" si="667"/>
        <v>0</v>
      </c>
      <c r="AA376" s="89">
        <f t="shared" si="667"/>
        <v>0</v>
      </c>
      <c r="AB376" s="89">
        <f t="shared" si="667"/>
        <v>10038000</v>
      </c>
      <c r="AC376" s="89">
        <f t="shared" si="667"/>
        <v>0</v>
      </c>
      <c r="AD376" s="89">
        <f t="shared" si="667"/>
        <v>0</v>
      </c>
      <c r="AE376" s="89">
        <f t="shared" si="667"/>
        <v>0</v>
      </c>
      <c r="AF376" s="89">
        <f t="shared" si="667"/>
        <v>0</v>
      </c>
      <c r="AG376" s="89">
        <f t="shared" si="667"/>
        <v>0</v>
      </c>
      <c r="AH376" s="89">
        <f t="shared" si="667"/>
        <v>0</v>
      </c>
      <c r="AI376" s="89">
        <f t="shared" si="667"/>
        <v>0</v>
      </c>
      <c r="AJ376" s="89">
        <f t="shared" si="667"/>
        <v>0</v>
      </c>
      <c r="AK376" s="89">
        <f t="shared" si="667"/>
        <v>0</v>
      </c>
      <c r="AL376" s="89">
        <f t="shared" si="667"/>
        <v>0</v>
      </c>
      <c r="AM376" s="89">
        <f t="shared" si="667"/>
        <v>7315361000</v>
      </c>
      <c r="AN376" s="89">
        <f t="shared" si="667"/>
        <v>3478257000</v>
      </c>
      <c r="AO376" s="89">
        <f t="shared" si="667"/>
        <v>3478257000</v>
      </c>
      <c r="AP376" s="89">
        <f t="shared" si="656"/>
        <v>14386636000</v>
      </c>
      <c r="AQ376" s="89">
        <f t="shared" si="657"/>
        <v>104723000</v>
      </c>
      <c r="AR376" s="89">
        <f t="shared" si="657"/>
        <v>0</v>
      </c>
      <c r="AS376" s="89">
        <f t="shared" si="657"/>
        <v>0</v>
      </c>
      <c r="AT376" s="89">
        <f t="shared" si="657"/>
        <v>10038000</v>
      </c>
      <c r="AU376" s="89">
        <f t="shared" si="657"/>
        <v>0</v>
      </c>
      <c r="AV376" s="89">
        <f t="shared" si="657"/>
        <v>0</v>
      </c>
      <c r="AW376" s="89">
        <f t="shared" si="657"/>
        <v>0</v>
      </c>
      <c r="AX376" s="89">
        <f t="shared" si="658"/>
        <v>104723000</v>
      </c>
      <c r="AY376" s="89">
        <f t="shared" si="659"/>
        <v>10038000</v>
      </c>
      <c r="AZ376" s="89">
        <f t="shared" si="659"/>
        <v>0</v>
      </c>
      <c r="BA376" s="89">
        <f t="shared" si="660"/>
        <v>0</v>
      </c>
      <c r="BB376" s="89">
        <f t="shared" si="660"/>
        <v>0</v>
      </c>
      <c r="BC376" s="89">
        <f t="shared" si="660"/>
        <v>0</v>
      </c>
      <c r="BD376" s="89">
        <f t="shared" si="660"/>
        <v>0</v>
      </c>
      <c r="BE376" s="89">
        <f t="shared" si="660"/>
        <v>0</v>
      </c>
      <c r="BF376" s="89">
        <f t="shared" si="661"/>
        <v>3478257000</v>
      </c>
      <c r="BG376" s="89">
        <f t="shared" si="662"/>
        <v>3478257000</v>
      </c>
      <c r="BH376" s="111">
        <f t="shared" si="663"/>
        <v>7071275000</v>
      </c>
    </row>
    <row r="377" spans="1:60">
      <c r="A377" s="51"/>
      <c r="B377" s="108"/>
      <c r="C377" s="52" t="s">
        <v>146</v>
      </c>
      <c r="D377" s="52" t="s">
        <v>3</v>
      </c>
      <c r="E377" s="52" t="s">
        <v>0</v>
      </c>
      <c r="F377" s="54" t="s">
        <v>33</v>
      </c>
      <c r="G377" s="89">
        <f t="shared" ref="G377:W377" si="668">G26-G289</f>
        <v>0</v>
      </c>
      <c r="H377" s="89">
        <f t="shared" si="668"/>
        <v>0</v>
      </c>
      <c r="I377" s="89">
        <f t="shared" si="668"/>
        <v>0</v>
      </c>
      <c r="J377" s="89">
        <f t="shared" si="668"/>
        <v>0</v>
      </c>
      <c r="K377" s="89">
        <f t="shared" si="668"/>
        <v>0</v>
      </c>
      <c r="L377" s="89">
        <f t="shared" si="668"/>
        <v>0</v>
      </c>
      <c r="M377" s="89">
        <f t="shared" si="668"/>
        <v>0</v>
      </c>
      <c r="N377" s="89">
        <f t="shared" si="668"/>
        <v>158951000</v>
      </c>
      <c r="O377" s="89">
        <f t="shared" si="668"/>
        <v>542656000</v>
      </c>
      <c r="P377" s="89">
        <f t="shared" si="668"/>
        <v>0</v>
      </c>
      <c r="Q377" s="89">
        <f t="shared" si="668"/>
        <v>0</v>
      </c>
      <c r="R377" s="89">
        <f t="shared" si="668"/>
        <v>0</v>
      </c>
      <c r="S377" s="89">
        <f t="shared" si="668"/>
        <v>0</v>
      </c>
      <c r="T377" s="89">
        <f t="shared" si="668"/>
        <v>0</v>
      </c>
      <c r="U377" s="89">
        <f t="shared" si="668"/>
        <v>0</v>
      </c>
      <c r="V377" s="89">
        <f t="shared" si="668"/>
        <v>0</v>
      </c>
      <c r="W377" s="89">
        <f t="shared" si="668"/>
        <v>0</v>
      </c>
      <c r="X377" s="89">
        <f t="shared" si="654"/>
        <v>0</v>
      </c>
      <c r="Y377" s="89">
        <f t="shared" ref="Y377:AO377" si="669">Y26-Y289</f>
        <v>158951000</v>
      </c>
      <c r="Z377" s="89">
        <f t="shared" si="669"/>
        <v>0</v>
      </c>
      <c r="AA377" s="89">
        <f t="shared" si="669"/>
        <v>0</v>
      </c>
      <c r="AB377" s="89">
        <f t="shared" si="669"/>
        <v>542656000</v>
      </c>
      <c r="AC377" s="89">
        <f t="shared" si="669"/>
        <v>0</v>
      </c>
      <c r="AD377" s="89">
        <f t="shared" si="669"/>
        <v>0</v>
      </c>
      <c r="AE377" s="89">
        <f t="shared" si="669"/>
        <v>0</v>
      </c>
      <c r="AF377" s="89">
        <f t="shared" si="669"/>
        <v>0</v>
      </c>
      <c r="AG377" s="89">
        <f t="shared" si="669"/>
        <v>0</v>
      </c>
      <c r="AH377" s="89">
        <f t="shared" si="669"/>
        <v>0</v>
      </c>
      <c r="AI377" s="89">
        <f t="shared" si="669"/>
        <v>0</v>
      </c>
      <c r="AJ377" s="89">
        <f t="shared" si="669"/>
        <v>0</v>
      </c>
      <c r="AK377" s="89">
        <f t="shared" si="669"/>
        <v>0</v>
      </c>
      <c r="AL377" s="89">
        <f t="shared" si="669"/>
        <v>0</v>
      </c>
      <c r="AM377" s="89">
        <f t="shared" si="669"/>
        <v>0</v>
      </c>
      <c r="AN377" s="89">
        <f t="shared" si="669"/>
        <v>14881000</v>
      </c>
      <c r="AO377" s="89">
        <f t="shared" si="669"/>
        <v>14881000</v>
      </c>
      <c r="AP377" s="89">
        <f t="shared" si="656"/>
        <v>731369000</v>
      </c>
      <c r="AQ377" s="89">
        <f t="shared" si="657"/>
        <v>158951000</v>
      </c>
      <c r="AR377" s="89">
        <f t="shared" si="657"/>
        <v>0</v>
      </c>
      <c r="AS377" s="89">
        <f t="shared" si="657"/>
        <v>0</v>
      </c>
      <c r="AT377" s="89">
        <f t="shared" si="657"/>
        <v>542656000</v>
      </c>
      <c r="AU377" s="89">
        <f t="shared" si="657"/>
        <v>0</v>
      </c>
      <c r="AV377" s="89">
        <f t="shared" si="657"/>
        <v>0</v>
      </c>
      <c r="AW377" s="89">
        <f t="shared" si="657"/>
        <v>0</v>
      </c>
      <c r="AX377" s="89">
        <f t="shared" si="658"/>
        <v>158951000</v>
      </c>
      <c r="AY377" s="89">
        <f t="shared" si="659"/>
        <v>542656000</v>
      </c>
      <c r="AZ377" s="89">
        <f t="shared" si="659"/>
        <v>0</v>
      </c>
      <c r="BA377" s="89">
        <f t="shared" si="660"/>
        <v>0</v>
      </c>
      <c r="BB377" s="89">
        <f t="shared" si="660"/>
        <v>0</v>
      </c>
      <c r="BC377" s="89">
        <f t="shared" si="660"/>
        <v>0</v>
      </c>
      <c r="BD377" s="89">
        <f t="shared" si="660"/>
        <v>0</v>
      </c>
      <c r="BE377" s="89">
        <f t="shared" si="660"/>
        <v>0</v>
      </c>
      <c r="BF377" s="89">
        <f t="shared" si="661"/>
        <v>14881000</v>
      </c>
      <c r="BG377" s="89">
        <f t="shared" si="662"/>
        <v>14881000</v>
      </c>
      <c r="BH377" s="111">
        <f t="shared" si="663"/>
        <v>731369000</v>
      </c>
    </row>
    <row r="378" spans="1:60" ht="22.5">
      <c r="A378" s="51"/>
      <c r="B378" s="108"/>
      <c r="C378" s="52" t="s">
        <v>147</v>
      </c>
      <c r="D378" s="52" t="s">
        <v>3</v>
      </c>
      <c r="E378" s="52" t="s">
        <v>0</v>
      </c>
      <c r="F378" s="54" t="s">
        <v>34</v>
      </c>
      <c r="G378" s="89">
        <f t="shared" ref="G378:W378" si="670">G27-G290</f>
        <v>0</v>
      </c>
      <c r="H378" s="89">
        <f t="shared" si="670"/>
        <v>0</v>
      </c>
      <c r="I378" s="89">
        <f t="shared" si="670"/>
        <v>0</v>
      </c>
      <c r="J378" s="89">
        <f t="shared" si="670"/>
        <v>0</v>
      </c>
      <c r="K378" s="89">
        <f t="shared" si="670"/>
        <v>0</v>
      </c>
      <c r="L378" s="89">
        <f t="shared" si="670"/>
        <v>0</v>
      </c>
      <c r="M378" s="89">
        <f t="shared" si="670"/>
        <v>0</v>
      </c>
      <c r="N378" s="89">
        <f t="shared" si="670"/>
        <v>-7315361000</v>
      </c>
      <c r="O378" s="89">
        <f t="shared" si="670"/>
        <v>0</v>
      </c>
      <c r="P378" s="89">
        <f t="shared" si="670"/>
        <v>0</v>
      </c>
      <c r="Q378" s="89">
        <f t="shared" si="670"/>
        <v>0</v>
      </c>
      <c r="R378" s="89">
        <f t="shared" si="670"/>
        <v>0</v>
      </c>
      <c r="S378" s="89">
        <f t="shared" si="670"/>
        <v>0</v>
      </c>
      <c r="T378" s="89">
        <f t="shared" si="670"/>
        <v>0</v>
      </c>
      <c r="U378" s="89">
        <f t="shared" si="670"/>
        <v>0</v>
      </c>
      <c r="V378" s="89">
        <f t="shared" si="670"/>
        <v>0</v>
      </c>
      <c r="W378" s="89">
        <f t="shared" si="670"/>
        <v>0</v>
      </c>
      <c r="X378" s="89">
        <f t="shared" si="654"/>
        <v>0</v>
      </c>
      <c r="Y378" s="89">
        <f t="shared" ref="Y378:AO378" si="671">Y27-Y290</f>
        <v>0</v>
      </c>
      <c r="Z378" s="89">
        <f t="shared" si="671"/>
        <v>0</v>
      </c>
      <c r="AA378" s="89">
        <f t="shared" si="671"/>
        <v>0</v>
      </c>
      <c r="AB378" s="89">
        <f t="shared" si="671"/>
        <v>0</v>
      </c>
      <c r="AC378" s="89">
        <f t="shared" si="671"/>
        <v>0</v>
      </c>
      <c r="AD378" s="89">
        <f t="shared" si="671"/>
        <v>0</v>
      </c>
      <c r="AE378" s="89">
        <f t="shared" si="671"/>
        <v>0</v>
      </c>
      <c r="AF378" s="89">
        <f t="shared" si="671"/>
        <v>0</v>
      </c>
      <c r="AG378" s="89">
        <f t="shared" si="671"/>
        <v>0</v>
      </c>
      <c r="AH378" s="89">
        <f t="shared" si="671"/>
        <v>0</v>
      </c>
      <c r="AI378" s="89">
        <f t="shared" si="671"/>
        <v>0</v>
      </c>
      <c r="AJ378" s="89">
        <f t="shared" si="671"/>
        <v>0</v>
      </c>
      <c r="AK378" s="89">
        <f t="shared" si="671"/>
        <v>0</v>
      </c>
      <c r="AL378" s="89">
        <f t="shared" si="671"/>
        <v>0</v>
      </c>
      <c r="AM378" s="89">
        <f t="shared" si="671"/>
        <v>0</v>
      </c>
      <c r="AN378" s="89">
        <f t="shared" si="671"/>
        <v>1700961000</v>
      </c>
      <c r="AO378" s="89">
        <f t="shared" si="671"/>
        <v>1700961000</v>
      </c>
      <c r="AP378" s="89">
        <f t="shared" si="656"/>
        <v>3401922000</v>
      </c>
      <c r="AQ378" s="89">
        <f t="shared" si="657"/>
        <v>0</v>
      </c>
      <c r="AR378" s="89">
        <f t="shared" si="657"/>
        <v>0</v>
      </c>
      <c r="AS378" s="89">
        <f t="shared" si="657"/>
        <v>0</v>
      </c>
      <c r="AT378" s="89">
        <f t="shared" si="657"/>
        <v>0</v>
      </c>
      <c r="AU378" s="89">
        <f t="shared" si="657"/>
        <v>0</v>
      </c>
      <c r="AV378" s="89">
        <f t="shared" si="657"/>
        <v>0</v>
      </c>
      <c r="AW378" s="89">
        <f t="shared" si="657"/>
        <v>0</v>
      </c>
      <c r="AX378" s="89">
        <f t="shared" si="658"/>
        <v>-7315361000</v>
      </c>
      <c r="AY378" s="89">
        <f t="shared" si="659"/>
        <v>0</v>
      </c>
      <c r="AZ378" s="89">
        <f t="shared" si="659"/>
        <v>0</v>
      </c>
      <c r="BA378" s="89">
        <f t="shared" si="660"/>
        <v>0</v>
      </c>
      <c r="BB378" s="89">
        <f t="shared" si="660"/>
        <v>0</v>
      </c>
      <c r="BC378" s="89">
        <f t="shared" si="660"/>
        <v>0</v>
      </c>
      <c r="BD378" s="89">
        <f t="shared" si="660"/>
        <v>0</v>
      </c>
      <c r="BE378" s="89">
        <f t="shared" si="660"/>
        <v>0</v>
      </c>
      <c r="BF378" s="89">
        <f t="shared" si="661"/>
        <v>1700961000</v>
      </c>
      <c r="BG378" s="89">
        <f t="shared" si="662"/>
        <v>1700961000</v>
      </c>
      <c r="BH378" s="111">
        <f t="shared" si="663"/>
        <v>3401922000</v>
      </c>
    </row>
    <row r="379" spans="1:60" ht="22.5">
      <c r="A379" s="51"/>
      <c r="B379" s="108"/>
      <c r="C379" s="52" t="s">
        <v>148</v>
      </c>
      <c r="D379" s="52" t="s">
        <v>3</v>
      </c>
      <c r="E379" s="52" t="s">
        <v>0</v>
      </c>
      <c r="F379" s="54" t="s">
        <v>35</v>
      </c>
      <c r="G379" s="89">
        <f t="shared" ref="G379:W379" si="672">G28-G291</f>
        <v>0</v>
      </c>
      <c r="H379" s="89">
        <f t="shared" si="672"/>
        <v>0</v>
      </c>
      <c r="I379" s="89">
        <f t="shared" si="672"/>
        <v>0</v>
      </c>
      <c r="J379" s="89">
        <f t="shared" si="672"/>
        <v>0</v>
      </c>
      <c r="K379" s="89">
        <f t="shared" si="672"/>
        <v>0</v>
      </c>
      <c r="L379" s="89">
        <f t="shared" si="672"/>
        <v>18260000</v>
      </c>
      <c r="M379" s="89">
        <f t="shared" si="672"/>
        <v>0</v>
      </c>
      <c r="N379" s="89">
        <f t="shared" si="672"/>
        <v>0</v>
      </c>
      <c r="O379" s="89">
        <f t="shared" si="672"/>
        <v>0</v>
      </c>
      <c r="P379" s="89">
        <f t="shared" si="672"/>
        <v>0</v>
      </c>
      <c r="Q379" s="89">
        <f t="shared" si="672"/>
        <v>0</v>
      </c>
      <c r="R379" s="89">
        <f t="shared" si="672"/>
        <v>0</v>
      </c>
      <c r="S379" s="89">
        <f t="shared" si="672"/>
        <v>0</v>
      </c>
      <c r="T379" s="89">
        <f t="shared" si="672"/>
        <v>0</v>
      </c>
      <c r="U379" s="89">
        <f t="shared" si="672"/>
        <v>0</v>
      </c>
      <c r="V379" s="89">
        <f t="shared" si="672"/>
        <v>0</v>
      </c>
      <c r="W379" s="89">
        <f t="shared" si="672"/>
        <v>0</v>
      </c>
      <c r="X379" s="89">
        <f t="shared" si="654"/>
        <v>0</v>
      </c>
      <c r="Y379" s="89">
        <f t="shared" ref="Y379:AO379" si="673">Y28-Y291</f>
        <v>0</v>
      </c>
      <c r="Z379" s="89">
        <f t="shared" si="673"/>
        <v>0</v>
      </c>
      <c r="AA379" s="89">
        <f t="shared" si="673"/>
        <v>0</v>
      </c>
      <c r="AB379" s="89">
        <f t="shared" si="673"/>
        <v>0</v>
      </c>
      <c r="AC379" s="89">
        <f t="shared" si="673"/>
        <v>0</v>
      </c>
      <c r="AD379" s="89">
        <f t="shared" si="673"/>
        <v>0</v>
      </c>
      <c r="AE379" s="89">
        <f t="shared" si="673"/>
        <v>0</v>
      </c>
      <c r="AF379" s="89">
        <f t="shared" si="673"/>
        <v>0</v>
      </c>
      <c r="AG379" s="89">
        <f t="shared" si="673"/>
        <v>0</v>
      </c>
      <c r="AH379" s="89">
        <f t="shared" si="673"/>
        <v>0</v>
      </c>
      <c r="AI379" s="89">
        <f t="shared" si="673"/>
        <v>0</v>
      </c>
      <c r="AJ379" s="89">
        <f t="shared" si="673"/>
        <v>0</v>
      </c>
      <c r="AK379" s="89">
        <f t="shared" si="673"/>
        <v>0</v>
      </c>
      <c r="AL379" s="89">
        <f t="shared" si="673"/>
        <v>0</v>
      </c>
      <c r="AM379" s="89">
        <f t="shared" si="673"/>
        <v>0</v>
      </c>
      <c r="AN379" s="89">
        <f t="shared" si="673"/>
        <v>0</v>
      </c>
      <c r="AO379" s="89">
        <f t="shared" si="673"/>
        <v>0</v>
      </c>
      <c r="AP379" s="89">
        <f t="shared" si="656"/>
        <v>0</v>
      </c>
      <c r="AQ379" s="89">
        <f t="shared" si="657"/>
        <v>0</v>
      </c>
      <c r="AR379" s="89">
        <f t="shared" si="657"/>
        <v>0</v>
      </c>
      <c r="AS379" s="89">
        <f t="shared" si="657"/>
        <v>0</v>
      </c>
      <c r="AT379" s="89">
        <f t="shared" si="657"/>
        <v>0</v>
      </c>
      <c r="AU379" s="89">
        <f t="shared" si="657"/>
        <v>0</v>
      </c>
      <c r="AV379" s="89">
        <f t="shared" si="657"/>
        <v>18260000</v>
      </c>
      <c r="AW379" s="89">
        <f t="shared" si="657"/>
        <v>0</v>
      </c>
      <c r="AX379" s="89">
        <f t="shared" si="658"/>
        <v>0</v>
      </c>
      <c r="AY379" s="89">
        <f t="shared" si="659"/>
        <v>0</v>
      </c>
      <c r="AZ379" s="89">
        <f t="shared" si="659"/>
        <v>0</v>
      </c>
      <c r="BA379" s="89">
        <f t="shared" si="660"/>
        <v>0</v>
      </c>
      <c r="BB379" s="89">
        <f t="shared" si="660"/>
        <v>0</v>
      </c>
      <c r="BC379" s="89">
        <f t="shared" si="660"/>
        <v>0</v>
      </c>
      <c r="BD379" s="89">
        <f t="shared" si="660"/>
        <v>0</v>
      </c>
      <c r="BE379" s="89">
        <f t="shared" si="660"/>
        <v>0</v>
      </c>
      <c r="BF379" s="89">
        <f t="shared" si="661"/>
        <v>0</v>
      </c>
      <c r="BG379" s="89">
        <f t="shared" si="662"/>
        <v>0</v>
      </c>
      <c r="BH379" s="111">
        <f t="shared" si="663"/>
        <v>0</v>
      </c>
    </row>
    <row r="380" spans="1:60" ht="22.5">
      <c r="A380" s="51"/>
      <c r="B380" s="108"/>
      <c r="C380" s="52" t="s">
        <v>149</v>
      </c>
      <c r="D380" s="52" t="s">
        <v>3</v>
      </c>
      <c r="E380" s="52" t="s">
        <v>0</v>
      </c>
      <c r="F380" s="54" t="s">
        <v>36</v>
      </c>
      <c r="G380" s="89">
        <f t="shared" ref="G380:W380" si="674">G29-G292</f>
        <v>0</v>
      </c>
      <c r="H380" s="89">
        <f t="shared" si="674"/>
        <v>0</v>
      </c>
      <c r="I380" s="89">
        <f t="shared" si="674"/>
        <v>0</v>
      </c>
      <c r="J380" s="89">
        <f t="shared" si="674"/>
        <v>0</v>
      </c>
      <c r="K380" s="89">
        <f t="shared" si="674"/>
        <v>0</v>
      </c>
      <c r="L380" s="89">
        <f t="shared" si="674"/>
        <v>0</v>
      </c>
      <c r="M380" s="89">
        <f t="shared" si="674"/>
        <v>0</v>
      </c>
      <c r="N380" s="89">
        <f t="shared" si="674"/>
        <v>0</v>
      </c>
      <c r="O380" s="89">
        <f t="shared" si="674"/>
        <v>0</v>
      </c>
      <c r="P380" s="89">
        <f t="shared" si="674"/>
        <v>0</v>
      </c>
      <c r="Q380" s="89">
        <f t="shared" si="674"/>
        <v>0</v>
      </c>
      <c r="R380" s="89">
        <f t="shared" si="674"/>
        <v>0</v>
      </c>
      <c r="S380" s="89">
        <f t="shared" si="674"/>
        <v>0</v>
      </c>
      <c r="T380" s="89">
        <f t="shared" si="674"/>
        <v>0</v>
      </c>
      <c r="U380" s="89">
        <f t="shared" si="674"/>
        <v>0</v>
      </c>
      <c r="V380" s="89">
        <f t="shared" si="674"/>
        <v>0</v>
      </c>
      <c r="W380" s="89">
        <f t="shared" si="674"/>
        <v>0</v>
      </c>
      <c r="X380" s="89">
        <f t="shared" si="654"/>
        <v>0</v>
      </c>
      <c r="Y380" s="89">
        <f t="shared" ref="Y380:AO380" si="675">Y29-Y292</f>
        <v>0</v>
      </c>
      <c r="Z380" s="89">
        <f t="shared" si="675"/>
        <v>0</v>
      </c>
      <c r="AA380" s="89">
        <f t="shared" si="675"/>
        <v>0</v>
      </c>
      <c r="AB380" s="89">
        <f t="shared" si="675"/>
        <v>0</v>
      </c>
      <c r="AC380" s="89">
        <f t="shared" si="675"/>
        <v>0</v>
      </c>
      <c r="AD380" s="89">
        <f t="shared" si="675"/>
        <v>0</v>
      </c>
      <c r="AE380" s="89">
        <f t="shared" si="675"/>
        <v>0</v>
      </c>
      <c r="AF380" s="89">
        <f t="shared" si="675"/>
        <v>0</v>
      </c>
      <c r="AG380" s="89">
        <f t="shared" si="675"/>
        <v>0</v>
      </c>
      <c r="AH380" s="89">
        <f t="shared" si="675"/>
        <v>0</v>
      </c>
      <c r="AI380" s="89">
        <f t="shared" si="675"/>
        <v>0</v>
      </c>
      <c r="AJ380" s="89">
        <f t="shared" si="675"/>
        <v>0</v>
      </c>
      <c r="AK380" s="89">
        <f t="shared" si="675"/>
        <v>0</v>
      </c>
      <c r="AL380" s="89">
        <f t="shared" si="675"/>
        <v>0</v>
      </c>
      <c r="AM380" s="89">
        <f t="shared" si="675"/>
        <v>0</v>
      </c>
      <c r="AN380" s="89">
        <f t="shared" si="675"/>
        <v>0</v>
      </c>
      <c r="AO380" s="89">
        <f t="shared" si="675"/>
        <v>0</v>
      </c>
      <c r="AP380" s="89">
        <f t="shared" si="656"/>
        <v>0</v>
      </c>
      <c r="AQ380" s="89">
        <f t="shared" si="657"/>
        <v>0</v>
      </c>
      <c r="AR380" s="89">
        <f t="shared" si="657"/>
        <v>0</v>
      </c>
      <c r="AS380" s="89">
        <f t="shared" si="657"/>
        <v>0</v>
      </c>
      <c r="AT380" s="89">
        <f t="shared" si="657"/>
        <v>0</v>
      </c>
      <c r="AU380" s="89">
        <f t="shared" si="657"/>
        <v>0</v>
      </c>
      <c r="AV380" s="89">
        <f t="shared" si="657"/>
        <v>0</v>
      </c>
      <c r="AW380" s="89">
        <f t="shared" si="657"/>
        <v>0</v>
      </c>
      <c r="AX380" s="89">
        <f t="shared" si="658"/>
        <v>0</v>
      </c>
      <c r="AY380" s="89">
        <f t="shared" si="659"/>
        <v>0</v>
      </c>
      <c r="AZ380" s="89">
        <f t="shared" si="659"/>
        <v>0</v>
      </c>
      <c r="BA380" s="89">
        <f t="shared" si="660"/>
        <v>0</v>
      </c>
      <c r="BB380" s="89">
        <f t="shared" si="660"/>
        <v>0</v>
      </c>
      <c r="BC380" s="89">
        <f t="shared" si="660"/>
        <v>0</v>
      </c>
      <c r="BD380" s="89">
        <f t="shared" si="660"/>
        <v>0</v>
      </c>
      <c r="BE380" s="89">
        <f t="shared" si="660"/>
        <v>0</v>
      </c>
      <c r="BF380" s="89">
        <f t="shared" si="661"/>
        <v>0</v>
      </c>
      <c r="BG380" s="89">
        <f t="shared" si="662"/>
        <v>0</v>
      </c>
      <c r="BH380" s="111">
        <f t="shared" si="663"/>
        <v>0</v>
      </c>
    </row>
    <row r="381" spans="1:60" ht="22.5">
      <c r="A381" s="51"/>
      <c r="B381" s="108"/>
      <c r="C381" s="52" t="s">
        <v>150</v>
      </c>
      <c r="D381" s="52" t="s">
        <v>3</v>
      </c>
      <c r="E381" s="52" t="s">
        <v>0</v>
      </c>
      <c r="F381" s="54" t="s">
        <v>37</v>
      </c>
      <c r="G381" s="89">
        <f t="shared" ref="G381:W381" si="676">G30-G293</f>
        <v>0</v>
      </c>
      <c r="H381" s="89">
        <f t="shared" si="676"/>
        <v>0</v>
      </c>
      <c r="I381" s="89">
        <f t="shared" si="676"/>
        <v>0</v>
      </c>
      <c r="J381" s="89">
        <f t="shared" si="676"/>
        <v>0</v>
      </c>
      <c r="K381" s="89">
        <f t="shared" si="676"/>
        <v>0</v>
      </c>
      <c r="L381" s="89">
        <f t="shared" si="676"/>
        <v>542656000</v>
      </c>
      <c r="M381" s="89">
        <f t="shared" si="676"/>
        <v>0</v>
      </c>
      <c r="N381" s="89">
        <f t="shared" si="676"/>
        <v>0</v>
      </c>
      <c r="O381" s="89">
        <f t="shared" si="676"/>
        <v>0</v>
      </c>
      <c r="P381" s="89">
        <f t="shared" si="676"/>
        <v>0</v>
      </c>
      <c r="Q381" s="89">
        <f t="shared" si="676"/>
        <v>0</v>
      </c>
      <c r="R381" s="89">
        <f t="shared" si="676"/>
        <v>0</v>
      </c>
      <c r="S381" s="89">
        <f t="shared" si="676"/>
        <v>0</v>
      </c>
      <c r="T381" s="89">
        <f t="shared" si="676"/>
        <v>0</v>
      </c>
      <c r="U381" s="89">
        <f t="shared" si="676"/>
        <v>0</v>
      </c>
      <c r="V381" s="89">
        <f t="shared" si="676"/>
        <v>0</v>
      </c>
      <c r="W381" s="89">
        <f t="shared" si="676"/>
        <v>0</v>
      </c>
      <c r="X381" s="89">
        <f t="shared" si="654"/>
        <v>0</v>
      </c>
      <c r="Y381" s="89">
        <f t="shared" ref="Y381:AO381" si="677">Y30-Y293</f>
        <v>0</v>
      </c>
      <c r="Z381" s="89">
        <f t="shared" si="677"/>
        <v>0</v>
      </c>
      <c r="AA381" s="89">
        <f t="shared" si="677"/>
        <v>0</v>
      </c>
      <c r="AB381" s="89">
        <f t="shared" si="677"/>
        <v>0</v>
      </c>
      <c r="AC381" s="89">
        <f t="shared" si="677"/>
        <v>0</v>
      </c>
      <c r="AD381" s="89">
        <f t="shared" si="677"/>
        <v>0</v>
      </c>
      <c r="AE381" s="89">
        <f t="shared" si="677"/>
        <v>0</v>
      </c>
      <c r="AF381" s="89">
        <f t="shared" si="677"/>
        <v>0</v>
      </c>
      <c r="AG381" s="89">
        <f t="shared" si="677"/>
        <v>0</v>
      </c>
      <c r="AH381" s="89">
        <f t="shared" si="677"/>
        <v>0</v>
      </c>
      <c r="AI381" s="89">
        <f t="shared" si="677"/>
        <v>0</v>
      </c>
      <c r="AJ381" s="89">
        <f t="shared" si="677"/>
        <v>0</v>
      </c>
      <c r="AK381" s="89">
        <f t="shared" si="677"/>
        <v>0</v>
      </c>
      <c r="AL381" s="89">
        <f t="shared" si="677"/>
        <v>0</v>
      </c>
      <c r="AM381" s="89">
        <f t="shared" si="677"/>
        <v>0</v>
      </c>
      <c r="AN381" s="89">
        <f t="shared" si="677"/>
        <v>0</v>
      </c>
      <c r="AO381" s="89">
        <f t="shared" si="677"/>
        <v>0</v>
      </c>
      <c r="AP381" s="89">
        <f t="shared" si="656"/>
        <v>0</v>
      </c>
      <c r="AQ381" s="89">
        <f t="shared" si="657"/>
        <v>0</v>
      </c>
      <c r="AR381" s="89">
        <f t="shared" si="657"/>
        <v>0</v>
      </c>
      <c r="AS381" s="89">
        <f t="shared" si="657"/>
        <v>0</v>
      </c>
      <c r="AT381" s="89">
        <f t="shared" si="657"/>
        <v>0</v>
      </c>
      <c r="AU381" s="89">
        <f t="shared" si="657"/>
        <v>0</v>
      </c>
      <c r="AV381" s="89">
        <f t="shared" si="657"/>
        <v>542656000</v>
      </c>
      <c r="AW381" s="89">
        <f t="shared" si="657"/>
        <v>0</v>
      </c>
      <c r="AX381" s="89">
        <f t="shared" si="658"/>
        <v>0</v>
      </c>
      <c r="AY381" s="89">
        <f t="shared" si="659"/>
        <v>0</v>
      </c>
      <c r="AZ381" s="89">
        <f t="shared" si="659"/>
        <v>0</v>
      </c>
      <c r="BA381" s="89">
        <f t="shared" si="660"/>
        <v>0</v>
      </c>
      <c r="BB381" s="89">
        <f t="shared" si="660"/>
        <v>0</v>
      </c>
      <c r="BC381" s="89">
        <f t="shared" si="660"/>
        <v>0</v>
      </c>
      <c r="BD381" s="89">
        <f t="shared" si="660"/>
        <v>0</v>
      </c>
      <c r="BE381" s="89">
        <f t="shared" si="660"/>
        <v>0</v>
      </c>
      <c r="BF381" s="89">
        <f t="shared" si="661"/>
        <v>0</v>
      </c>
      <c r="BG381" s="89">
        <f t="shared" si="662"/>
        <v>0</v>
      </c>
      <c r="BH381" s="111">
        <f t="shared" si="663"/>
        <v>0</v>
      </c>
    </row>
    <row r="382" spans="1:60" ht="22.5">
      <c r="A382" s="51"/>
      <c r="B382" s="108"/>
      <c r="C382" s="52" t="s">
        <v>151</v>
      </c>
      <c r="D382" s="52" t="s">
        <v>3</v>
      </c>
      <c r="E382" s="52" t="s">
        <v>0</v>
      </c>
      <c r="F382" s="54" t="s">
        <v>38</v>
      </c>
      <c r="G382" s="89">
        <f t="shared" ref="G382:W382" si="678">G31-G294</f>
        <v>0</v>
      </c>
      <c r="H382" s="89">
        <f t="shared" si="678"/>
        <v>0</v>
      </c>
      <c r="I382" s="89">
        <f t="shared" si="678"/>
        <v>0</v>
      </c>
      <c r="J382" s="89">
        <f t="shared" si="678"/>
        <v>0</v>
      </c>
      <c r="K382" s="89">
        <f t="shared" si="678"/>
        <v>0</v>
      </c>
      <c r="L382" s="89">
        <f t="shared" si="678"/>
        <v>0</v>
      </c>
      <c r="M382" s="89">
        <f t="shared" si="678"/>
        <v>0</v>
      </c>
      <c r="N382" s="89">
        <f t="shared" si="678"/>
        <v>0</v>
      </c>
      <c r="O382" s="89">
        <f t="shared" si="678"/>
        <v>0</v>
      </c>
      <c r="P382" s="89">
        <f t="shared" si="678"/>
        <v>0</v>
      </c>
      <c r="Q382" s="89">
        <f t="shared" si="678"/>
        <v>0</v>
      </c>
      <c r="R382" s="89">
        <f t="shared" si="678"/>
        <v>0</v>
      </c>
      <c r="S382" s="89">
        <f t="shared" si="678"/>
        <v>0</v>
      </c>
      <c r="T382" s="89">
        <f t="shared" si="678"/>
        <v>0</v>
      </c>
      <c r="U382" s="89">
        <f t="shared" si="678"/>
        <v>0</v>
      </c>
      <c r="V382" s="89">
        <f t="shared" si="678"/>
        <v>0</v>
      </c>
      <c r="W382" s="89">
        <f t="shared" si="678"/>
        <v>0</v>
      </c>
      <c r="X382" s="89">
        <f t="shared" si="654"/>
        <v>0</v>
      </c>
      <c r="Y382" s="89">
        <f t="shared" ref="Y382:AO382" si="679">Y31-Y294</f>
        <v>0</v>
      </c>
      <c r="Z382" s="89">
        <f t="shared" si="679"/>
        <v>0</v>
      </c>
      <c r="AA382" s="89">
        <f t="shared" si="679"/>
        <v>0</v>
      </c>
      <c r="AB382" s="89">
        <f t="shared" si="679"/>
        <v>0</v>
      </c>
      <c r="AC382" s="89">
        <f t="shared" si="679"/>
        <v>0</v>
      </c>
      <c r="AD382" s="89">
        <f t="shared" si="679"/>
        <v>0</v>
      </c>
      <c r="AE382" s="89">
        <f t="shared" si="679"/>
        <v>0</v>
      </c>
      <c r="AF382" s="89">
        <f t="shared" si="679"/>
        <v>0</v>
      </c>
      <c r="AG382" s="89">
        <f t="shared" si="679"/>
        <v>0</v>
      </c>
      <c r="AH382" s="89">
        <f t="shared" si="679"/>
        <v>0</v>
      </c>
      <c r="AI382" s="89">
        <f t="shared" si="679"/>
        <v>0</v>
      </c>
      <c r="AJ382" s="89">
        <f t="shared" si="679"/>
        <v>0</v>
      </c>
      <c r="AK382" s="89">
        <f t="shared" si="679"/>
        <v>0</v>
      </c>
      <c r="AL382" s="89">
        <f t="shared" si="679"/>
        <v>0</v>
      </c>
      <c r="AM382" s="89">
        <f t="shared" si="679"/>
        <v>0</v>
      </c>
      <c r="AN382" s="89">
        <f t="shared" si="679"/>
        <v>0</v>
      </c>
      <c r="AO382" s="89">
        <f t="shared" si="679"/>
        <v>0</v>
      </c>
      <c r="AP382" s="89">
        <f t="shared" si="656"/>
        <v>0</v>
      </c>
      <c r="AQ382" s="89">
        <f t="shared" si="657"/>
        <v>0</v>
      </c>
      <c r="AR382" s="89">
        <f t="shared" si="657"/>
        <v>0</v>
      </c>
      <c r="AS382" s="89">
        <f t="shared" si="657"/>
        <v>0</v>
      </c>
      <c r="AT382" s="89">
        <f t="shared" si="657"/>
        <v>0</v>
      </c>
      <c r="AU382" s="89">
        <f t="shared" si="657"/>
        <v>0</v>
      </c>
      <c r="AV382" s="89">
        <f t="shared" si="657"/>
        <v>0</v>
      </c>
      <c r="AW382" s="89">
        <f t="shared" si="657"/>
        <v>0</v>
      </c>
      <c r="AX382" s="89">
        <f t="shared" si="658"/>
        <v>0</v>
      </c>
      <c r="AY382" s="89">
        <f t="shared" si="659"/>
        <v>0</v>
      </c>
      <c r="AZ382" s="89">
        <f t="shared" si="659"/>
        <v>0</v>
      </c>
      <c r="BA382" s="89">
        <f t="shared" si="660"/>
        <v>0</v>
      </c>
      <c r="BB382" s="89">
        <f t="shared" si="660"/>
        <v>0</v>
      </c>
      <c r="BC382" s="89">
        <f t="shared" si="660"/>
        <v>0</v>
      </c>
      <c r="BD382" s="89">
        <f t="shared" si="660"/>
        <v>0</v>
      </c>
      <c r="BE382" s="89">
        <f t="shared" si="660"/>
        <v>0</v>
      </c>
      <c r="BF382" s="89">
        <f t="shared" si="661"/>
        <v>0</v>
      </c>
      <c r="BG382" s="89">
        <f t="shared" si="662"/>
        <v>0</v>
      </c>
      <c r="BH382" s="111">
        <f t="shared" si="663"/>
        <v>0</v>
      </c>
    </row>
    <row r="383" spans="1:60" ht="22.5">
      <c r="A383" s="51"/>
      <c r="B383" s="108"/>
      <c r="C383" s="52"/>
      <c r="D383" s="52"/>
      <c r="E383" s="52" t="s">
        <v>0</v>
      </c>
      <c r="F383" s="53" t="s">
        <v>39</v>
      </c>
      <c r="G383" s="91"/>
      <c r="H383" s="91"/>
      <c r="I383" s="91"/>
      <c r="J383" s="91"/>
      <c r="K383" s="91"/>
      <c r="L383" s="91"/>
      <c r="M383" s="91"/>
      <c r="N383" s="91"/>
      <c r="O383" s="91"/>
      <c r="P383" s="91"/>
      <c r="Q383" s="91"/>
      <c r="R383" s="91"/>
      <c r="S383" s="91"/>
      <c r="T383" s="91"/>
      <c r="U383" s="91"/>
      <c r="V383" s="91"/>
      <c r="W383" s="91"/>
      <c r="X383" s="91"/>
      <c r="Y383" s="91"/>
      <c r="Z383" s="91"/>
      <c r="AA383" s="91"/>
      <c r="AB383" s="91"/>
      <c r="AC383" s="91"/>
      <c r="AD383" s="91"/>
      <c r="AE383" s="91"/>
      <c r="AF383" s="91"/>
      <c r="AG383" s="91"/>
      <c r="AH383" s="91"/>
      <c r="AI383" s="91"/>
      <c r="AJ383" s="91"/>
      <c r="AK383" s="91"/>
      <c r="AL383" s="91"/>
      <c r="AM383" s="91"/>
      <c r="AN383" s="91"/>
      <c r="AO383" s="91"/>
      <c r="AP383" s="91"/>
      <c r="AQ383" s="91"/>
      <c r="AR383" s="91"/>
      <c r="AS383" s="91"/>
      <c r="AT383" s="91"/>
      <c r="AU383" s="91"/>
      <c r="AV383" s="91"/>
      <c r="AW383" s="91"/>
      <c r="AX383" s="91"/>
      <c r="AY383" s="91"/>
      <c r="AZ383" s="91"/>
      <c r="BA383" s="91"/>
      <c r="BB383" s="91"/>
      <c r="BC383" s="91"/>
      <c r="BD383" s="91"/>
      <c r="BE383" s="91"/>
      <c r="BF383" s="91"/>
      <c r="BG383" s="91"/>
      <c r="BH383" s="112"/>
    </row>
    <row r="384" spans="1:60" ht="22.5">
      <c r="A384" s="51"/>
      <c r="B384" s="108"/>
      <c r="C384" s="52" t="s">
        <v>152</v>
      </c>
      <c r="D384" s="52" t="s">
        <v>3</v>
      </c>
      <c r="E384" s="52" t="s">
        <v>0</v>
      </c>
      <c r="F384" s="54" t="s">
        <v>40</v>
      </c>
      <c r="G384" s="89">
        <f t="shared" ref="G384:W384" si="680">G33-G296</f>
        <v>0</v>
      </c>
      <c r="H384" s="89">
        <f t="shared" si="680"/>
        <v>0</v>
      </c>
      <c r="I384" s="89">
        <f t="shared" si="680"/>
        <v>0</v>
      </c>
      <c r="J384" s="89">
        <f t="shared" si="680"/>
        <v>0</v>
      </c>
      <c r="K384" s="89">
        <f t="shared" si="680"/>
        <v>0</v>
      </c>
      <c r="L384" s="89">
        <f t="shared" si="680"/>
        <v>0</v>
      </c>
      <c r="M384" s="89">
        <f t="shared" si="680"/>
        <v>0</v>
      </c>
      <c r="N384" s="89">
        <f t="shared" si="680"/>
        <v>0</v>
      </c>
      <c r="O384" s="89">
        <f t="shared" si="680"/>
        <v>0</v>
      </c>
      <c r="P384" s="89">
        <f t="shared" si="680"/>
        <v>0</v>
      </c>
      <c r="Q384" s="89">
        <f t="shared" si="680"/>
        <v>0</v>
      </c>
      <c r="R384" s="89">
        <f t="shared" si="680"/>
        <v>0</v>
      </c>
      <c r="S384" s="89">
        <f t="shared" si="680"/>
        <v>0</v>
      </c>
      <c r="T384" s="89">
        <f t="shared" si="680"/>
        <v>0</v>
      </c>
      <c r="U384" s="89">
        <f t="shared" si="680"/>
        <v>0</v>
      </c>
      <c r="V384" s="89">
        <f t="shared" si="680"/>
        <v>0</v>
      </c>
      <c r="W384" s="89">
        <f t="shared" si="680"/>
        <v>0</v>
      </c>
      <c r="X384" s="89">
        <f t="shared" si="654"/>
        <v>0</v>
      </c>
      <c r="Y384" s="89">
        <f t="shared" ref="Y384:AO384" si="681">Y33-Y296</f>
        <v>0</v>
      </c>
      <c r="Z384" s="89">
        <f t="shared" si="681"/>
        <v>0</v>
      </c>
      <c r="AA384" s="89">
        <f t="shared" si="681"/>
        <v>0</v>
      </c>
      <c r="AB384" s="89">
        <f t="shared" si="681"/>
        <v>0</v>
      </c>
      <c r="AC384" s="89">
        <f t="shared" si="681"/>
        <v>0</v>
      </c>
      <c r="AD384" s="89">
        <f t="shared" si="681"/>
        <v>0</v>
      </c>
      <c r="AE384" s="89">
        <f t="shared" si="681"/>
        <v>0</v>
      </c>
      <c r="AF384" s="89">
        <f t="shared" si="681"/>
        <v>0</v>
      </c>
      <c r="AG384" s="89">
        <f t="shared" si="681"/>
        <v>0</v>
      </c>
      <c r="AH384" s="89">
        <f t="shared" si="681"/>
        <v>0</v>
      </c>
      <c r="AI384" s="89">
        <f t="shared" si="681"/>
        <v>0</v>
      </c>
      <c r="AJ384" s="89">
        <f t="shared" si="681"/>
        <v>0</v>
      </c>
      <c r="AK384" s="89">
        <f t="shared" si="681"/>
        <v>0</v>
      </c>
      <c r="AL384" s="89">
        <f t="shared" si="681"/>
        <v>0</v>
      </c>
      <c r="AM384" s="89">
        <f t="shared" si="681"/>
        <v>0</v>
      </c>
      <c r="AN384" s="89">
        <f t="shared" si="681"/>
        <v>0</v>
      </c>
      <c r="AO384" s="89">
        <f t="shared" si="681"/>
        <v>0</v>
      </c>
      <c r="AP384" s="89">
        <f t="shared" si="656"/>
        <v>0</v>
      </c>
      <c r="AQ384" s="89">
        <f t="shared" ref="AQ384:AW386" si="682">AQ33-AQ296</f>
        <v>0</v>
      </c>
      <c r="AR384" s="89">
        <f t="shared" si="682"/>
        <v>0</v>
      </c>
      <c r="AS384" s="89">
        <f t="shared" si="682"/>
        <v>0</v>
      </c>
      <c r="AT384" s="89">
        <f t="shared" si="682"/>
        <v>0</v>
      </c>
      <c r="AU384" s="89">
        <f t="shared" si="682"/>
        <v>0</v>
      </c>
      <c r="AV384" s="89">
        <f t="shared" si="682"/>
        <v>0</v>
      </c>
      <c r="AW384" s="89">
        <f t="shared" si="682"/>
        <v>0</v>
      </c>
      <c r="AX384" s="89">
        <f t="shared" ref="AX384:AX386" si="683">N384+AF384</f>
        <v>0</v>
      </c>
      <c r="AY384" s="89">
        <f t="shared" ref="AY384:AZ386" si="684">O384+AG384</f>
        <v>0</v>
      </c>
      <c r="AZ384" s="89">
        <f t="shared" si="684"/>
        <v>0</v>
      </c>
      <c r="BA384" s="89">
        <f t="shared" ref="BA384:BE386" si="685">BA33-BA296</f>
        <v>0</v>
      </c>
      <c r="BB384" s="89">
        <f t="shared" si="685"/>
        <v>0</v>
      </c>
      <c r="BC384" s="89">
        <f t="shared" si="685"/>
        <v>0</v>
      </c>
      <c r="BD384" s="89">
        <f t="shared" si="685"/>
        <v>0</v>
      </c>
      <c r="BE384" s="89">
        <f t="shared" si="685"/>
        <v>0</v>
      </c>
      <c r="BF384" s="89">
        <f t="shared" ref="BF384:BF386" si="686">V384+AN384</f>
        <v>0</v>
      </c>
      <c r="BG384" s="89">
        <f>BG33-BG296</f>
        <v>0</v>
      </c>
      <c r="BH384" s="111">
        <f>X384+AP384</f>
        <v>0</v>
      </c>
    </row>
    <row r="385" spans="1:60" ht="22.5">
      <c r="A385" s="51"/>
      <c r="B385" s="108"/>
      <c r="C385" s="52" t="s">
        <v>153</v>
      </c>
      <c r="D385" s="52" t="s">
        <v>3</v>
      </c>
      <c r="E385" s="52" t="s">
        <v>0</v>
      </c>
      <c r="F385" s="54" t="s">
        <v>41</v>
      </c>
      <c r="G385" s="89">
        <f t="shared" ref="G385:W385" si="687">G34-G297</f>
        <v>0</v>
      </c>
      <c r="H385" s="89">
        <f t="shared" si="687"/>
        <v>0</v>
      </c>
      <c r="I385" s="89">
        <f t="shared" si="687"/>
        <v>0</v>
      </c>
      <c r="J385" s="89">
        <f t="shared" si="687"/>
        <v>0</v>
      </c>
      <c r="K385" s="89">
        <f t="shared" si="687"/>
        <v>0</v>
      </c>
      <c r="L385" s="89">
        <f t="shared" si="687"/>
        <v>0</v>
      </c>
      <c r="M385" s="89">
        <f t="shared" si="687"/>
        <v>0</v>
      </c>
      <c r="N385" s="89">
        <f t="shared" si="687"/>
        <v>0</v>
      </c>
      <c r="O385" s="89">
        <f t="shared" si="687"/>
        <v>599294000</v>
      </c>
      <c r="P385" s="89">
        <f t="shared" si="687"/>
        <v>0</v>
      </c>
      <c r="Q385" s="89">
        <f t="shared" si="687"/>
        <v>0</v>
      </c>
      <c r="R385" s="89">
        <f t="shared" si="687"/>
        <v>0</v>
      </c>
      <c r="S385" s="89">
        <f t="shared" si="687"/>
        <v>0</v>
      </c>
      <c r="T385" s="89">
        <f t="shared" si="687"/>
        <v>0</v>
      </c>
      <c r="U385" s="89">
        <f t="shared" si="687"/>
        <v>0</v>
      </c>
      <c r="V385" s="89">
        <f t="shared" si="687"/>
        <v>0</v>
      </c>
      <c r="W385" s="89">
        <f t="shared" si="687"/>
        <v>0</v>
      </c>
      <c r="X385" s="89">
        <f t="shared" si="654"/>
        <v>0</v>
      </c>
      <c r="Y385" s="89">
        <f t="shared" ref="Y385:AO385" si="688">Y34-Y297</f>
        <v>0</v>
      </c>
      <c r="Z385" s="89">
        <f t="shared" si="688"/>
        <v>0</v>
      </c>
      <c r="AA385" s="89">
        <f t="shared" si="688"/>
        <v>0</v>
      </c>
      <c r="AB385" s="89">
        <f t="shared" si="688"/>
        <v>0</v>
      </c>
      <c r="AC385" s="89">
        <f t="shared" si="688"/>
        <v>0</v>
      </c>
      <c r="AD385" s="89">
        <f t="shared" si="688"/>
        <v>0</v>
      </c>
      <c r="AE385" s="89">
        <f t="shared" si="688"/>
        <v>0</v>
      </c>
      <c r="AF385" s="89">
        <f t="shared" si="688"/>
        <v>0</v>
      </c>
      <c r="AG385" s="89">
        <f t="shared" si="688"/>
        <v>0</v>
      </c>
      <c r="AH385" s="89">
        <f t="shared" si="688"/>
        <v>0</v>
      </c>
      <c r="AI385" s="89">
        <f t="shared" si="688"/>
        <v>0</v>
      </c>
      <c r="AJ385" s="89">
        <f t="shared" si="688"/>
        <v>0</v>
      </c>
      <c r="AK385" s="89">
        <f t="shared" si="688"/>
        <v>0</v>
      </c>
      <c r="AL385" s="89">
        <f t="shared" si="688"/>
        <v>0</v>
      </c>
      <c r="AM385" s="89">
        <f t="shared" si="688"/>
        <v>0</v>
      </c>
      <c r="AN385" s="89">
        <f t="shared" si="688"/>
        <v>-29000</v>
      </c>
      <c r="AO385" s="89">
        <f t="shared" si="688"/>
        <v>-29000</v>
      </c>
      <c r="AP385" s="89">
        <f t="shared" si="656"/>
        <v>-58000</v>
      </c>
      <c r="AQ385" s="89">
        <f t="shared" si="682"/>
        <v>0</v>
      </c>
      <c r="AR385" s="89">
        <f t="shared" si="682"/>
        <v>0</v>
      </c>
      <c r="AS385" s="89">
        <f t="shared" si="682"/>
        <v>0</v>
      </c>
      <c r="AT385" s="89">
        <f t="shared" si="682"/>
        <v>0</v>
      </c>
      <c r="AU385" s="89">
        <f t="shared" si="682"/>
        <v>0</v>
      </c>
      <c r="AV385" s="89">
        <f t="shared" si="682"/>
        <v>0</v>
      </c>
      <c r="AW385" s="89">
        <f t="shared" si="682"/>
        <v>0</v>
      </c>
      <c r="AX385" s="89">
        <f t="shared" si="683"/>
        <v>0</v>
      </c>
      <c r="AY385" s="89">
        <f t="shared" si="684"/>
        <v>599294000</v>
      </c>
      <c r="AZ385" s="89">
        <f t="shared" si="684"/>
        <v>0</v>
      </c>
      <c r="BA385" s="89">
        <f t="shared" si="685"/>
        <v>0</v>
      </c>
      <c r="BB385" s="89">
        <f t="shared" si="685"/>
        <v>0</v>
      </c>
      <c r="BC385" s="89">
        <f t="shared" si="685"/>
        <v>0</v>
      </c>
      <c r="BD385" s="89">
        <f t="shared" si="685"/>
        <v>0</v>
      </c>
      <c r="BE385" s="89">
        <f t="shared" si="685"/>
        <v>0</v>
      </c>
      <c r="BF385" s="89">
        <f t="shared" si="686"/>
        <v>-29000</v>
      </c>
      <c r="BG385" s="89">
        <f>BG34-BG297</f>
        <v>-29000</v>
      </c>
      <c r="BH385" s="111">
        <f>X385+AP385</f>
        <v>-58000</v>
      </c>
    </row>
    <row r="386" spans="1:60" ht="22.5">
      <c r="A386" s="51"/>
      <c r="B386" s="108"/>
      <c r="C386" s="52" t="s">
        <v>154</v>
      </c>
      <c r="D386" s="52" t="s">
        <v>3</v>
      </c>
      <c r="E386" s="52" t="s">
        <v>0</v>
      </c>
      <c r="F386" s="53" t="s">
        <v>62</v>
      </c>
      <c r="G386" s="89">
        <f t="shared" ref="G386:W386" si="689">G35-G298</f>
        <v>0</v>
      </c>
      <c r="H386" s="89">
        <f t="shared" si="689"/>
        <v>0</v>
      </c>
      <c r="I386" s="89">
        <f t="shared" si="689"/>
        <v>0</v>
      </c>
      <c r="J386" s="89">
        <f t="shared" si="689"/>
        <v>0</v>
      </c>
      <c r="K386" s="89">
        <f t="shared" si="689"/>
        <v>0</v>
      </c>
      <c r="L386" s="89">
        <f t="shared" si="689"/>
        <v>0</v>
      </c>
      <c r="M386" s="89">
        <f t="shared" si="689"/>
        <v>0</v>
      </c>
      <c r="N386" s="89">
        <f t="shared" si="689"/>
        <v>0</v>
      </c>
      <c r="O386" s="89">
        <f t="shared" si="689"/>
        <v>599294000</v>
      </c>
      <c r="P386" s="89">
        <f t="shared" si="689"/>
        <v>0</v>
      </c>
      <c r="Q386" s="89">
        <f t="shared" si="689"/>
        <v>0</v>
      </c>
      <c r="R386" s="89">
        <f t="shared" si="689"/>
        <v>0</v>
      </c>
      <c r="S386" s="89">
        <f t="shared" si="689"/>
        <v>0</v>
      </c>
      <c r="T386" s="89">
        <f t="shared" si="689"/>
        <v>0</v>
      </c>
      <c r="U386" s="89">
        <f t="shared" si="689"/>
        <v>0</v>
      </c>
      <c r="V386" s="89">
        <f t="shared" si="689"/>
        <v>0</v>
      </c>
      <c r="W386" s="89">
        <f t="shared" si="689"/>
        <v>0</v>
      </c>
      <c r="X386" s="89">
        <f t="shared" si="654"/>
        <v>0</v>
      </c>
      <c r="Y386" s="89">
        <f t="shared" ref="Y386:AO386" si="690">Y35-Y298</f>
        <v>0</v>
      </c>
      <c r="Z386" s="89">
        <f t="shared" si="690"/>
        <v>0</v>
      </c>
      <c r="AA386" s="89">
        <f t="shared" si="690"/>
        <v>0</v>
      </c>
      <c r="AB386" s="89">
        <f t="shared" si="690"/>
        <v>0</v>
      </c>
      <c r="AC386" s="89">
        <f t="shared" si="690"/>
        <v>0</v>
      </c>
      <c r="AD386" s="89">
        <f t="shared" si="690"/>
        <v>0</v>
      </c>
      <c r="AE386" s="89">
        <f t="shared" si="690"/>
        <v>0</v>
      </c>
      <c r="AF386" s="89">
        <f t="shared" si="690"/>
        <v>0</v>
      </c>
      <c r="AG386" s="89">
        <f t="shared" si="690"/>
        <v>0</v>
      </c>
      <c r="AH386" s="89">
        <f t="shared" si="690"/>
        <v>0</v>
      </c>
      <c r="AI386" s="89">
        <f t="shared" si="690"/>
        <v>0</v>
      </c>
      <c r="AJ386" s="89">
        <f t="shared" si="690"/>
        <v>0</v>
      </c>
      <c r="AK386" s="89">
        <f t="shared" si="690"/>
        <v>0</v>
      </c>
      <c r="AL386" s="89">
        <f t="shared" si="690"/>
        <v>0</v>
      </c>
      <c r="AM386" s="89">
        <f t="shared" si="690"/>
        <v>0</v>
      </c>
      <c r="AN386" s="89">
        <f t="shared" si="690"/>
        <v>-29000</v>
      </c>
      <c r="AO386" s="89">
        <f t="shared" si="690"/>
        <v>-29000</v>
      </c>
      <c r="AP386" s="89">
        <f t="shared" si="656"/>
        <v>-58000</v>
      </c>
      <c r="AQ386" s="89">
        <f t="shared" si="682"/>
        <v>0</v>
      </c>
      <c r="AR386" s="89">
        <f t="shared" si="682"/>
        <v>0</v>
      </c>
      <c r="AS386" s="89">
        <f t="shared" si="682"/>
        <v>0</v>
      </c>
      <c r="AT386" s="89">
        <f t="shared" si="682"/>
        <v>0</v>
      </c>
      <c r="AU386" s="89">
        <f t="shared" si="682"/>
        <v>0</v>
      </c>
      <c r="AV386" s="89">
        <f t="shared" si="682"/>
        <v>0</v>
      </c>
      <c r="AW386" s="89">
        <f t="shared" si="682"/>
        <v>0</v>
      </c>
      <c r="AX386" s="89">
        <f t="shared" si="683"/>
        <v>0</v>
      </c>
      <c r="AY386" s="89">
        <f t="shared" si="684"/>
        <v>599294000</v>
      </c>
      <c r="AZ386" s="89">
        <f t="shared" si="684"/>
        <v>0</v>
      </c>
      <c r="BA386" s="89">
        <f t="shared" si="685"/>
        <v>0</v>
      </c>
      <c r="BB386" s="89">
        <f t="shared" si="685"/>
        <v>0</v>
      </c>
      <c r="BC386" s="89">
        <f t="shared" si="685"/>
        <v>0</v>
      </c>
      <c r="BD386" s="89">
        <f t="shared" si="685"/>
        <v>0</v>
      </c>
      <c r="BE386" s="89">
        <f t="shared" si="685"/>
        <v>0</v>
      </c>
      <c r="BF386" s="89">
        <f t="shared" si="686"/>
        <v>-29000</v>
      </c>
      <c r="BG386" s="89">
        <f>BG35-BG298</f>
        <v>-29000</v>
      </c>
      <c r="BH386" s="111">
        <f>X386+AP386</f>
        <v>-58000</v>
      </c>
    </row>
    <row r="387" spans="1:60" ht="22.5">
      <c r="A387" s="51"/>
      <c r="B387" s="108"/>
      <c r="C387" s="52"/>
      <c r="D387" s="52"/>
      <c r="E387" s="52" t="s">
        <v>0</v>
      </c>
      <c r="F387" s="53" t="s">
        <v>42</v>
      </c>
      <c r="G387" s="91"/>
      <c r="H387" s="91"/>
      <c r="I387" s="91"/>
      <c r="J387" s="91"/>
      <c r="K387" s="91"/>
      <c r="L387" s="91"/>
      <c r="M387" s="91"/>
      <c r="N387" s="91"/>
      <c r="O387" s="91"/>
      <c r="P387" s="91"/>
      <c r="Q387" s="91"/>
      <c r="R387" s="91"/>
      <c r="S387" s="91"/>
      <c r="T387" s="91"/>
      <c r="U387" s="91"/>
      <c r="V387" s="91"/>
      <c r="W387" s="91"/>
      <c r="X387" s="91"/>
      <c r="Y387" s="91"/>
      <c r="Z387" s="91"/>
      <c r="AA387" s="91"/>
      <c r="AB387" s="91"/>
      <c r="AC387" s="91"/>
      <c r="AD387" s="91"/>
      <c r="AE387" s="91"/>
      <c r="AF387" s="91"/>
      <c r="AG387" s="91"/>
      <c r="AH387" s="91"/>
      <c r="AI387" s="91"/>
      <c r="AJ387" s="91"/>
      <c r="AK387" s="91"/>
      <c r="AL387" s="91"/>
      <c r="AM387" s="91"/>
      <c r="AN387" s="91"/>
      <c r="AO387" s="91"/>
      <c r="AP387" s="91"/>
      <c r="AQ387" s="91"/>
      <c r="AR387" s="91"/>
      <c r="AS387" s="91"/>
      <c r="AT387" s="91"/>
      <c r="AU387" s="91"/>
      <c r="AV387" s="91"/>
      <c r="AW387" s="91"/>
      <c r="AX387" s="91"/>
      <c r="AY387" s="91"/>
      <c r="AZ387" s="91"/>
      <c r="BA387" s="91"/>
      <c r="BB387" s="91"/>
      <c r="BC387" s="91"/>
      <c r="BD387" s="91"/>
      <c r="BE387" s="91"/>
      <c r="BF387" s="91"/>
      <c r="BG387" s="91"/>
      <c r="BH387" s="112"/>
    </row>
    <row r="388" spans="1:60">
      <c r="A388" s="51"/>
      <c r="B388" s="108"/>
      <c r="C388" s="52" t="s">
        <v>155</v>
      </c>
      <c r="D388" s="52" t="s">
        <v>3</v>
      </c>
      <c r="E388" s="52" t="s">
        <v>0</v>
      </c>
      <c r="F388" s="54" t="s">
        <v>43</v>
      </c>
      <c r="G388" s="89">
        <f t="shared" ref="G388:W388" si="691">G37-G300</f>
        <v>0</v>
      </c>
      <c r="H388" s="89">
        <f t="shared" si="691"/>
        <v>0</v>
      </c>
      <c r="I388" s="89">
        <f t="shared" si="691"/>
        <v>0</v>
      </c>
      <c r="J388" s="89">
        <f t="shared" si="691"/>
        <v>0</v>
      </c>
      <c r="K388" s="89">
        <f t="shared" si="691"/>
        <v>0</v>
      </c>
      <c r="L388" s="89">
        <f t="shared" si="691"/>
        <v>0</v>
      </c>
      <c r="M388" s="89">
        <f t="shared" si="691"/>
        <v>0</v>
      </c>
      <c r="N388" s="89">
        <f t="shared" si="691"/>
        <v>0</v>
      </c>
      <c r="O388" s="89">
        <f t="shared" si="691"/>
        <v>0</v>
      </c>
      <c r="P388" s="89">
        <f t="shared" si="691"/>
        <v>0</v>
      </c>
      <c r="Q388" s="89">
        <f t="shared" si="691"/>
        <v>0</v>
      </c>
      <c r="R388" s="89">
        <f t="shared" si="691"/>
        <v>0</v>
      </c>
      <c r="S388" s="89">
        <f t="shared" si="691"/>
        <v>0</v>
      </c>
      <c r="T388" s="89">
        <f t="shared" si="691"/>
        <v>0</v>
      </c>
      <c r="U388" s="89">
        <f t="shared" si="691"/>
        <v>0</v>
      </c>
      <c r="V388" s="89">
        <f t="shared" si="691"/>
        <v>0</v>
      </c>
      <c r="W388" s="89">
        <f t="shared" si="691"/>
        <v>0</v>
      </c>
      <c r="X388" s="89">
        <f t="shared" ref="X388:X394" si="692">SUM(P388:W388)+SUM(G388:K388)</f>
        <v>0</v>
      </c>
      <c r="Y388" s="89">
        <f t="shared" ref="Y388:AO388" si="693">Y37-Y300</f>
        <v>0</v>
      </c>
      <c r="Z388" s="89">
        <f t="shared" si="693"/>
        <v>0</v>
      </c>
      <c r="AA388" s="89">
        <f t="shared" si="693"/>
        <v>0</v>
      </c>
      <c r="AB388" s="89">
        <f t="shared" si="693"/>
        <v>0</v>
      </c>
      <c r="AC388" s="89">
        <f t="shared" si="693"/>
        <v>0</v>
      </c>
      <c r="AD388" s="89">
        <f t="shared" si="693"/>
        <v>0</v>
      </c>
      <c r="AE388" s="89">
        <f t="shared" si="693"/>
        <v>0</v>
      </c>
      <c r="AF388" s="89">
        <f t="shared" si="693"/>
        <v>0</v>
      </c>
      <c r="AG388" s="89">
        <f t="shared" si="693"/>
        <v>0</v>
      </c>
      <c r="AH388" s="89">
        <f t="shared" si="693"/>
        <v>0</v>
      </c>
      <c r="AI388" s="89">
        <f t="shared" si="693"/>
        <v>0</v>
      </c>
      <c r="AJ388" s="89">
        <f t="shared" si="693"/>
        <v>0</v>
      </c>
      <c r="AK388" s="89">
        <f t="shared" si="693"/>
        <v>0</v>
      </c>
      <c r="AL388" s="89">
        <f t="shared" si="693"/>
        <v>0</v>
      </c>
      <c r="AM388" s="89">
        <f t="shared" si="693"/>
        <v>0</v>
      </c>
      <c r="AN388" s="89">
        <f t="shared" si="693"/>
        <v>0</v>
      </c>
      <c r="AO388" s="89">
        <f t="shared" si="693"/>
        <v>0</v>
      </c>
      <c r="AP388" s="89">
        <f t="shared" ref="AP388:AP394" si="694">SUM(AH388:AO388)+SUM(Y388:AC388)</f>
        <v>0</v>
      </c>
      <c r="AQ388" s="89">
        <f t="shared" ref="AQ388:AW394" si="695">AQ37-AQ300</f>
        <v>0</v>
      </c>
      <c r="AR388" s="89">
        <f t="shared" si="695"/>
        <v>0</v>
      </c>
      <c r="AS388" s="89">
        <f t="shared" si="695"/>
        <v>0</v>
      </c>
      <c r="AT388" s="89">
        <f t="shared" si="695"/>
        <v>0</v>
      </c>
      <c r="AU388" s="89">
        <f t="shared" si="695"/>
        <v>0</v>
      </c>
      <c r="AV388" s="89">
        <f t="shared" si="695"/>
        <v>0</v>
      </c>
      <c r="AW388" s="89">
        <f t="shared" si="695"/>
        <v>0</v>
      </c>
      <c r="AX388" s="89">
        <f t="shared" ref="AX388:AX394" si="696">N388+AF388</f>
        <v>0</v>
      </c>
      <c r="AY388" s="89">
        <f t="shared" ref="AY388:AZ394" si="697">O388+AG388</f>
        <v>0</v>
      </c>
      <c r="AZ388" s="89">
        <f t="shared" si="697"/>
        <v>0</v>
      </c>
      <c r="BA388" s="89">
        <f t="shared" ref="BA388:BE394" si="698">BA37-BA300</f>
        <v>0</v>
      </c>
      <c r="BB388" s="89">
        <f t="shared" si="698"/>
        <v>0</v>
      </c>
      <c r="BC388" s="89">
        <f t="shared" si="698"/>
        <v>0</v>
      </c>
      <c r="BD388" s="89">
        <f t="shared" si="698"/>
        <v>0</v>
      </c>
      <c r="BE388" s="89">
        <f t="shared" si="698"/>
        <v>0</v>
      </c>
      <c r="BF388" s="89">
        <f t="shared" ref="BF388:BF394" si="699">V388+AN388</f>
        <v>0</v>
      </c>
      <c r="BG388" s="89">
        <f t="shared" ref="BG388:BG394" si="700">BG37-BG300</f>
        <v>0</v>
      </c>
      <c r="BH388" s="111">
        <f t="shared" ref="BH388:BH394" si="701">X388+AP388</f>
        <v>0</v>
      </c>
    </row>
    <row r="389" spans="1:60">
      <c r="A389" s="51"/>
      <c r="B389" s="108"/>
      <c r="C389" s="52" t="s">
        <v>156</v>
      </c>
      <c r="D389" s="52" t="s">
        <v>3</v>
      </c>
      <c r="E389" s="52" t="s">
        <v>0</v>
      </c>
      <c r="F389" s="54" t="s">
        <v>44</v>
      </c>
      <c r="G389" s="89">
        <f t="shared" ref="G389:W389" si="702">G38-G301</f>
        <v>0</v>
      </c>
      <c r="H389" s="89">
        <f t="shared" si="702"/>
        <v>0</v>
      </c>
      <c r="I389" s="89">
        <f t="shared" si="702"/>
        <v>0</v>
      </c>
      <c r="J389" s="89">
        <f t="shared" si="702"/>
        <v>0</v>
      </c>
      <c r="K389" s="89">
        <f t="shared" si="702"/>
        <v>0</v>
      </c>
      <c r="L389" s="89">
        <f t="shared" si="702"/>
        <v>0</v>
      </c>
      <c r="M389" s="89">
        <f t="shared" si="702"/>
        <v>0</v>
      </c>
      <c r="N389" s="89">
        <f t="shared" si="702"/>
        <v>0</v>
      </c>
      <c r="O389" s="89">
        <f t="shared" si="702"/>
        <v>0</v>
      </c>
      <c r="P389" s="89">
        <f t="shared" si="702"/>
        <v>0</v>
      </c>
      <c r="Q389" s="89">
        <f t="shared" si="702"/>
        <v>0</v>
      </c>
      <c r="R389" s="89">
        <f t="shared" si="702"/>
        <v>0</v>
      </c>
      <c r="S389" s="89">
        <f t="shared" si="702"/>
        <v>0</v>
      </c>
      <c r="T389" s="89">
        <f t="shared" si="702"/>
        <v>0</v>
      </c>
      <c r="U389" s="89">
        <f t="shared" si="702"/>
        <v>0</v>
      </c>
      <c r="V389" s="89">
        <f t="shared" si="702"/>
        <v>0</v>
      </c>
      <c r="W389" s="89">
        <f t="shared" si="702"/>
        <v>0</v>
      </c>
      <c r="X389" s="89">
        <f t="shared" si="692"/>
        <v>0</v>
      </c>
      <c r="Y389" s="89">
        <f t="shared" ref="Y389:AO389" si="703">Y38-Y301</f>
        <v>0</v>
      </c>
      <c r="Z389" s="89">
        <f t="shared" si="703"/>
        <v>0</v>
      </c>
      <c r="AA389" s="89">
        <f t="shared" si="703"/>
        <v>0</v>
      </c>
      <c r="AB389" s="89">
        <f t="shared" si="703"/>
        <v>0</v>
      </c>
      <c r="AC389" s="89">
        <f t="shared" si="703"/>
        <v>0</v>
      </c>
      <c r="AD389" s="89">
        <f t="shared" si="703"/>
        <v>0</v>
      </c>
      <c r="AE389" s="89">
        <f t="shared" si="703"/>
        <v>0</v>
      </c>
      <c r="AF389" s="89">
        <f t="shared" si="703"/>
        <v>0</v>
      </c>
      <c r="AG389" s="89">
        <f t="shared" si="703"/>
        <v>0</v>
      </c>
      <c r="AH389" s="89">
        <f t="shared" si="703"/>
        <v>0</v>
      </c>
      <c r="AI389" s="89">
        <f t="shared" si="703"/>
        <v>0</v>
      </c>
      <c r="AJ389" s="89">
        <f t="shared" si="703"/>
        <v>0</v>
      </c>
      <c r="AK389" s="89">
        <f t="shared" si="703"/>
        <v>0</v>
      </c>
      <c r="AL389" s="89">
        <f t="shared" si="703"/>
        <v>0</v>
      </c>
      <c r="AM389" s="89">
        <f t="shared" si="703"/>
        <v>0</v>
      </c>
      <c r="AN389" s="89">
        <f t="shared" si="703"/>
        <v>0</v>
      </c>
      <c r="AO389" s="89">
        <f t="shared" si="703"/>
        <v>0</v>
      </c>
      <c r="AP389" s="89">
        <f t="shared" si="694"/>
        <v>0</v>
      </c>
      <c r="AQ389" s="89">
        <f t="shared" si="695"/>
        <v>0</v>
      </c>
      <c r="AR389" s="89">
        <f t="shared" si="695"/>
        <v>0</v>
      </c>
      <c r="AS389" s="89">
        <f t="shared" si="695"/>
        <v>0</v>
      </c>
      <c r="AT389" s="89">
        <f t="shared" si="695"/>
        <v>0</v>
      </c>
      <c r="AU389" s="89">
        <f t="shared" si="695"/>
        <v>0</v>
      </c>
      <c r="AV389" s="89">
        <f t="shared" si="695"/>
        <v>0</v>
      </c>
      <c r="AW389" s="89">
        <f t="shared" si="695"/>
        <v>0</v>
      </c>
      <c r="AX389" s="89">
        <f t="shared" si="696"/>
        <v>0</v>
      </c>
      <c r="AY389" s="89">
        <f t="shared" si="697"/>
        <v>0</v>
      </c>
      <c r="AZ389" s="89">
        <f t="shared" si="697"/>
        <v>0</v>
      </c>
      <c r="BA389" s="89">
        <f t="shared" si="698"/>
        <v>0</v>
      </c>
      <c r="BB389" s="89">
        <f t="shared" si="698"/>
        <v>0</v>
      </c>
      <c r="BC389" s="89">
        <f t="shared" si="698"/>
        <v>0</v>
      </c>
      <c r="BD389" s="89">
        <f t="shared" si="698"/>
        <v>0</v>
      </c>
      <c r="BE389" s="89">
        <f t="shared" si="698"/>
        <v>0</v>
      </c>
      <c r="BF389" s="89">
        <f t="shared" si="699"/>
        <v>0</v>
      </c>
      <c r="BG389" s="89">
        <f t="shared" si="700"/>
        <v>0</v>
      </c>
      <c r="BH389" s="111">
        <f t="shared" si="701"/>
        <v>0</v>
      </c>
    </row>
    <row r="390" spans="1:60" ht="15" customHeight="1">
      <c r="A390" s="51"/>
      <c r="B390" s="108"/>
      <c r="C390" s="52" t="s">
        <v>157</v>
      </c>
      <c r="D390" s="52" t="s">
        <v>3</v>
      </c>
      <c r="E390" s="52" t="s">
        <v>0</v>
      </c>
      <c r="F390" s="53" t="s">
        <v>63</v>
      </c>
      <c r="G390" s="89">
        <f t="shared" ref="G390:W390" si="704">G39-G302</f>
        <v>0</v>
      </c>
      <c r="H390" s="89">
        <f t="shared" si="704"/>
        <v>0</v>
      </c>
      <c r="I390" s="89">
        <f t="shared" si="704"/>
        <v>0</v>
      </c>
      <c r="J390" s="89">
        <f t="shared" si="704"/>
        <v>0</v>
      </c>
      <c r="K390" s="89">
        <f t="shared" si="704"/>
        <v>0</v>
      </c>
      <c r="L390" s="89">
        <f t="shared" si="704"/>
        <v>0</v>
      </c>
      <c r="M390" s="89">
        <f t="shared" si="704"/>
        <v>0</v>
      </c>
      <c r="N390" s="89">
        <f t="shared" si="704"/>
        <v>0</v>
      </c>
      <c r="O390" s="89">
        <f t="shared" si="704"/>
        <v>0</v>
      </c>
      <c r="P390" s="89">
        <f t="shared" si="704"/>
        <v>0</v>
      </c>
      <c r="Q390" s="89">
        <f t="shared" si="704"/>
        <v>0</v>
      </c>
      <c r="R390" s="89">
        <f t="shared" si="704"/>
        <v>0</v>
      </c>
      <c r="S390" s="89">
        <f t="shared" si="704"/>
        <v>0</v>
      </c>
      <c r="T390" s="89">
        <f t="shared" si="704"/>
        <v>0</v>
      </c>
      <c r="U390" s="89">
        <f t="shared" si="704"/>
        <v>0</v>
      </c>
      <c r="V390" s="89">
        <f t="shared" si="704"/>
        <v>0</v>
      </c>
      <c r="W390" s="89">
        <f t="shared" si="704"/>
        <v>0</v>
      </c>
      <c r="X390" s="89">
        <f t="shared" si="692"/>
        <v>0</v>
      </c>
      <c r="Y390" s="89">
        <f t="shared" ref="Y390:AO390" si="705">Y39-Y302</f>
        <v>0</v>
      </c>
      <c r="Z390" s="89">
        <f t="shared" si="705"/>
        <v>0</v>
      </c>
      <c r="AA390" s="89">
        <f t="shared" si="705"/>
        <v>0</v>
      </c>
      <c r="AB390" s="89">
        <f t="shared" si="705"/>
        <v>0</v>
      </c>
      <c r="AC390" s="89">
        <f t="shared" si="705"/>
        <v>0</v>
      </c>
      <c r="AD390" s="89">
        <f t="shared" si="705"/>
        <v>0</v>
      </c>
      <c r="AE390" s="89">
        <f t="shared" si="705"/>
        <v>0</v>
      </c>
      <c r="AF390" s="89">
        <f t="shared" si="705"/>
        <v>0</v>
      </c>
      <c r="AG390" s="89">
        <f t="shared" si="705"/>
        <v>0</v>
      </c>
      <c r="AH390" s="89">
        <f t="shared" si="705"/>
        <v>0</v>
      </c>
      <c r="AI390" s="89">
        <f t="shared" si="705"/>
        <v>0</v>
      </c>
      <c r="AJ390" s="89">
        <f t="shared" si="705"/>
        <v>0</v>
      </c>
      <c r="AK390" s="89">
        <f t="shared" si="705"/>
        <v>0</v>
      </c>
      <c r="AL390" s="89">
        <f t="shared" si="705"/>
        <v>0</v>
      </c>
      <c r="AM390" s="89">
        <f t="shared" si="705"/>
        <v>0</v>
      </c>
      <c r="AN390" s="89">
        <f t="shared" si="705"/>
        <v>0</v>
      </c>
      <c r="AO390" s="89">
        <f t="shared" si="705"/>
        <v>0</v>
      </c>
      <c r="AP390" s="89">
        <f t="shared" si="694"/>
        <v>0</v>
      </c>
      <c r="AQ390" s="89">
        <f t="shared" si="695"/>
        <v>0</v>
      </c>
      <c r="AR390" s="89">
        <f t="shared" si="695"/>
        <v>0</v>
      </c>
      <c r="AS390" s="89">
        <f t="shared" si="695"/>
        <v>0</v>
      </c>
      <c r="AT390" s="89">
        <f t="shared" si="695"/>
        <v>0</v>
      </c>
      <c r="AU390" s="89">
        <f t="shared" si="695"/>
        <v>0</v>
      </c>
      <c r="AV390" s="89">
        <f t="shared" si="695"/>
        <v>0</v>
      </c>
      <c r="AW390" s="89">
        <f t="shared" si="695"/>
        <v>0</v>
      </c>
      <c r="AX390" s="89">
        <f t="shared" si="696"/>
        <v>0</v>
      </c>
      <c r="AY390" s="89">
        <f t="shared" si="697"/>
        <v>0</v>
      </c>
      <c r="AZ390" s="89">
        <f t="shared" si="697"/>
        <v>0</v>
      </c>
      <c r="BA390" s="89">
        <f t="shared" si="698"/>
        <v>0</v>
      </c>
      <c r="BB390" s="89">
        <f t="shared" si="698"/>
        <v>0</v>
      </c>
      <c r="BC390" s="89">
        <f t="shared" si="698"/>
        <v>0</v>
      </c>
      <c r="BD390" s="89">
        <f t="shared" si="698"/>
        <v>0</v>
      </c>
      <c r="BE390" s="89">
        <f t="shared" si="698"/>
        <v>0</v>
      </c>
      <c r="BF390" s="89">
        <f t="shared" si="699"/>
        <v>0</v>
      </c>
      <c r="BG390" s="89">
        <f t="shared" si="700"/>
        <v>0</v>
      </c>
      <c r="BH390" s="111">
        <f t="shared" si="701"/>
        <v>0</v>
      </c>
    </row>
    <row r="391" spans="1:60" ht="22.5">
      <c r="A391" s="51"/>
      <c r="B391" s="108"/>
      <c r="C391" s="52" t="s">
        <v>158</v>
      </c>
      <c r="D391" s="52" t="s">
        <v>3</v>
      </c>
      <c r="E391" s="52" t="s">
        <v>0</v>
      </c>
      <c r="F391" s="54" t="s">
        <v>45</v>
      </c>
      <c r="G391" s="89">
        <f t="shared" ref="G391:W391" si="706">G40-G303</f>
        <v>0</v>
      </c>
      <c r="H391" s="89">
        <f t="shared" si="706"/>
        <v>0</v>
      </c>
      <c r="I391" s="89">
        <f t="shared" si="706"/>
        <v>0</v>
      </c>
      <c r="J391" s="89">
        <f t="shared" si="706"/>
        <v>0</v>
      </c>
      <c r="K391" s="89">
        <f t="shared" si="706"/>
        <v>0</v>
      </c>
      <c r="L391" s="89">
        <f t="shared" si="706"/>
        <v>0</v>
      </c>
      <c r="M391" s="89">
        <f t="shared" si="706"/>
        <v>0</v>
      </c>
      <c r="N391" s="89">
        <f t="shared" si="706"/>
        <v>0</v>
      </c>
      <c r="O391" s="89">
        <f t="shared" si="706"/>
        <v>0</v>
      </c>
      <c r="P391" s="89">
        <f t="shared" si="706"/>
        <v>0</v>
      </c>
      <c r="Q391" s="89">
        <f t="shared" si="706"/>
        <v>0</v>
      </c>
      <c r="R391" s="89">
        <f t="shared" si="706"/>
        <v>0</v>
      </c>
      <c r="S391" s="89">
        <f t="shared" si="706"/>
        <v>0</v>
      </c>
      <c r="T391" s="89">
        <f t="shared" si="706"/>
        <v>0</v>
      </c>
      <c r="U391" s="89">
        <f t="shared" si="706"/>
        <v>0</v>
      </c>
      <c r="V391" s="89">
        <f t="shared" si="706"/>
        <v>0</v>
      </c>
      <c r="W391" s="89">
        <f t="shared" si="706"/>
        <v>0</v>
      </c>
      <c r="X391" s="89">
        <f t="shared" si="692"/>
        <v>0</v>
      </c>
      <c r="Y391" s="89">
        <f t="shared" ref="Y391:AO391" si="707">Y40-Y303</f>
        <v>0</v>
      </c>
      <c r="Z391" s="89">
        <f t="shared" si="707"/>
        <v>0</v>
      </c>
      <c r="AA391" s="89">
        <f t="shared" si="707"/>
        <v>0</v>
      </c>
      <c r="AB391" s="89">
        <f t="shared" si="707"/>
        <v>0</v>
      </c>
      <c r="AC391" s="89">
        <f t="shared" si="707"/>
        <v>0</v>
      </c>
      <c r="AD391" s="89">
        <f t="shared" si="707"/>
        <v>0</v>
      </c>
      <c r="AE391" s="89">
        <f t="shared" si="707"/>
        <v>0</v>
      </c>
      <c r="AF391" s="89">
        <f t="shared" si="707"/>
        <v>0</v>
      </c>
      <c r="AG391" s="89">
        <f t="shared" si="707"/>
        <v>0</v>
      </c>
      <c r="AH391" s="89">
        <f t="shared" si="707"/>
        <v>0</v>
      </c>
      <c r="AI391" s="89">
        <f t="shared" si="707"/>
        <v>0</v>
      </c>
      <c r="AJ391" s="89">
        <f t="shared" si="707"/>
        <v>0</v>
      </c>
      <c r="AK391" s="89">
        <f t="shared" si="707"/>
        <v>0</v>
      </c>
      <c r="AL391" s="89">
        <f t="shared" si="707"/>
        <v>0</v>
      </c>
      <c r="AM391" s="89">
        <f t="shared" si="707"/>
        <v>0</v>
      </c>
      <c r="AN391" s="89">
        <f t="shared" si="707"/>
        <v>0</v>
      </c>
      <c r="AO391" s="89">
        <f t="shared" si="707"/>
        <v>0</v>
      </c>
      <c r="AP391" s="89">
        <f t="shared" si="694"/>
        <v>0</v>
      </c>
      <c r="AQ391" s="89">
        <f t="shared" si="695"/>
        <v>0</v>
      </c>
      <c r="AR391" s="89">
        <f t="shared" si="695"/>
        <v>0</v>
      </c>
      <c r="AS391" s="89">
        <f t="shared" si="695"/>
        <v>0</v>
      </c>
      <c r="AT391" s="89">
        <f t="shared" si="695"/>
        <v>0</v>
      </c>
      <c r="AU391" s="89">
        <f t="shared" si="695"/>
        <v>0</v>
      </c>
      <c r="AV391" s="89">
        <f t="shared" si="695"/>
        <v>0</v>
      </c>
      <c r="AW391" s="89">
        <f t="shared" si="695"/>
        <v>0</v>
      </c>
      <c r="AX391" s="89">
        <f t="shared" si="696"/>
        <v>0</v>
      </c>
      <c r="AY391" s="89">
        <f t="shared" si="697"/>
        <v>0</v>
      </c>
      <c r="AZ391" s="89">
        <f t="shared" si="697"/>
        <v>0</v>
      </c>
      <c r="BA391" s="89">
        <f t="shared" si="698"/>
        <v>0</v>
      </c>
      <c r="BB391" s="89">
        <f t="shared" si="698"/>
        <v>0</v>
      </c>
      <c r="BC391" s="89">
        <f t="shared" si="698"/>
        <v>0</v>
      </c>
      <c r="BD391" s="89">
        <f t="shared" si="698"/>
        <v>0</v>
      </c>
      <c r="BE391" s="89">
        <f t="shared" si="698"/>
        <v>0</v>
      </c>
      <c r="BF391" s="89">
        <f t="shared" si="699"/>
        <v>0</v>
      </c>
      <c r="BG391" s="89">
        <f t="shared" si="700"/>
        <v>0</v>
      </c>
      <c r="BH391" s="111">
        <f t="shared" si="701"/>
        <v>0</v>
      </c>
    </row>
    <row r="392" spans="1:60" ht="22.5">
      <c r="A392" s="51"/>
      <c r="B392" s="108"/>
      <c r="C392" s="52" t="s">
        <v>159</v>
      </c>
      <c r="D392" s="52" t="s">
        <v>3</v>
      </c>
      <c r="E392" s="52" t="s">
        <v>0</v>
      </c>
      <c r="F392" s="54" t="s">
        <v>46</v>
      </c>
      <c r="G392" s="89">
        <f t="shared" ref="G392:W392" si="708">G41-G304</f>
        <v>0</v>
      </c>
      <c r="H392" s="89">
        <f t="shared" si="708"/>
        <v>0</v>
      </c>
      <c r="I392" s="89">
        <f t="shared" si="708"/>
        <v>0</v>
      </c>
      <c r="J392" s="89">
        <f t="shared" si="708"/>
        <v>0</v>
      </c>
      <c r="K392" s="89">
        <f t="shared" si="708"/>
        <v>0</v>
      </c>
      <c r="L392" s="89">
        <f t="shared" si="708"/>
        <v>0</v>
      </c>
      <c r="M392" s="89">
        <f t="shared" si="708"/>
        <v>0</v>
      </c>
      <c r="N392" s="89">
        <f t="shared" si="708"/>
        <v>0</v>
      </c>
      <c r="O392" s="89">
        <f t="shared" si="708"/>
        <v>0</v>
      </c>
      <c r="P392" s="89">
        <f t="shared" si="708"/>
        <v>0</v>
      </c>
      <c r="Q392" s="89">
        <f t="shared" si="708"/>
        <v>0</v>
      </c>
      <c r="R392" s="89">
        <f t="shared" si="708"/>
        <v>0</v>
      </c>
      <c r="S392" s="89">
        <f t="shared" si="708"/>
        <v>0</v>
      </c>
      <c r="T392" s="89">
        <f t="shared" si="708"/>
        <v>0</v>
      </c>
      <c r="U392" s="89">
        <f t="shared" si="708"/>
        <v>0</v>
      </c>
      <c r="V392" s="89">
        <f t="shared" si="708"/>
        <v>0</v>
      </c>
      <c r="W392" s="89">
        <f t="shared" si="708"/>
        <v>0</v>
      </c>
      <c r="X392" s="89">
        <f t="shared" si="692"/>
        <v>0</v>
      </c>
      <c r="Y392" s="89">
        <f t="shared" ref="Y392:AO392" si="709">Y41-Y304</f>
        <v>0</v>
      </c>
      <c r="Z392" s="89">
        <f t="shared" si="709"/>
        <v>0</v>
      </c>
      <c r="AA392" s="89">
        <f t="shared" si="709"/>
        <v>0</v>
      </c>
      <c r="AB392" s="89">
        <f t="shared" si="709"/>
        <v>0</v>
      </c>
      <c r="AC392" s="89">
        <f t="shared" si="709"/>
        <v>0</v>
      </c>
      <c r="AD392" s="89">
        <f t="shared" si="709"/>
        <v>0</v>
      </c>
      <c r="AE392" s="89">
        <f t="shared" si="709"/>
        <v>0</v>
      </c>
      <c r="AF392" s="89">
        <f t="shared" si="709"/>
        <v>0</v>
      </c>
      <c r="AG392" s="89">
        <f t="shared" si="709"/>
        <v>0</v>
      </c>
      <c r="AH392" s="89">
        <f t="shared" si="709"/>
        <v>0</v>
      </c>
      <c r="AI392" s="89">
        <f t="shared" si="709"/>
        <v>0</v>
      </c>
      <c r="AJ392" s="89">
        <f t="shared" si="709"/>
        <v>0</v>
      </c>
      <c r="AK392" s="89">
        <f t="shared" si="709"/>
        <v>-2304822000</v>
      </c>
      <c r="AL392" s="89">
        <f t="shared" si="709"/>
        <v>0</v>
      </c>
      <c r="AM392" s="89">
        <f t="shared" si="709"/>
        <v>0</v>
      </c>
      <c r="AN392" s="89">
        <f t="shared" si="709"/>
        <v>0</v>
      </c>
      <c r="AO392" s="89">
        <f t="shared" si="709"/>
        <v>0</v>
      </c>
      <c r="AP392" s="89">
        <f t="shared" si="694"/>
        <v>-2304822000</v>
      </c>
      <c r="AQ392" s="89">
        <f t="shared" si="695"/>
        <v>0</v>
      </c>
      <c r="AR392" s="89">
        <f t="shared" si="695"/>
        <v>0</v>
      </c>
      <c r="AS392" s="89">
        <f t="shared" si="695"/>
        <v>0</v>
      </c>
      <c r="AT392" s="89">
        <f t="shared" si="695"/>
        <v>0</v>
      </c>
      <c r="AU392" s="89">
        <f t="shared" si="695"/>
        <v>0</v>
      </c>
      <c r="AV392" s="89">
        <f t="shared" si="695"/>
        <v>0</v>
      </c>
      <c r="AW392" s="89">
        <f t="shared" si="695"/>
        <v>0</v>
      </c>
      <c r="AX392" s="89">
        <f t="shared" si="696"/>
        <v>0</v>
      </c>
      <c r="AY392" s="89">
        <f t="shared" si="697"/>
        <v>0</v>
      </c>
      <c r="AZ392" s="89">
        <f t="shared" si="697"/>
        <v>0</v>
      </c>
      <c r="BA392" s="89">
        <f t="shared" si="698"/>
        <v>0</v>
      </c>
      <c r="BB392" s="89">
        <f t="shared" si="698"/>
        <v>0</v>
      </c>
      <c r="BC392" s="89">
        <f t="shared" si="698"/>
        <v>-2304822000</v>
      </c>
      <c r="BD392" s="89">
        <f t="shared" si="698"/>
        <v>0</v>
      </c>
      <c r="BE392" s="89">
        <f t="shared" si="698"/>
        <v>0</v>
      </c>
      <c r="BF392" s="89">
        <f t="shared" si="699"/>
        <v>0</v>
      </c>
      <c r="BG392" s="89">
        <f t="shared" si="700"/>
        <v>0</v>
      </c>
      <c r="BH392" s="111">
        <f t="shared" si="701"/>
        <v>-2304822000</v>
      </c>
    </row>
    <row r="393" spans="1:60">
      <c r="A393" s="51"/>
      <c r="B393" s="108"/>
      <c r="C393" s="52" t="s">
        <v>160</v>
      </c>
      <c r="D393" s="52" t="s">
        <v>3</v>
      </c>
      <c r="E393" s="52" t="s">
        <v>0</v>
      </c>
      <c r="F393" s="53" t="s">
        <v>64</v>
      </c>
      <c r="G393" s="89">
        <f t="shared" ref="G393:W393" si="710">G42-G305</f>
        <v>0</v>
      </c>
      <c r="H393" s="89">
        <f t="shared" si="710"/>
        <v>0</v>
      </c>
      <c r="I393" s="89">
        <f t="shared" si="710"/>
        <v>0</v>
      </c>
      <c r="J393" s="89">
        <f t="shared" si="710"/>
        <v>0</v>
      </c>
      <c r="K393" s="89">
        <f t="shared" si="710"/>
        <v>0</v>
      </c>
      <c r="L393" s="89">
        <f t="shared" si="710"/>
        <v>0</v>
      </c>
      <c r="M393" s="89">
        <f t="shared" si="710"/>
        <v>0</v>
      </c>
      <c r="N393" s="89">
        <f t="shared" si="710"/>
        <v>8960661000</v>
      </c>
      <c r="O393" s="89">
        <f t="shared" si="710"/>
        <v>84936000</v>
      </c>
      <c r="P393" s="89">
        <f t="shared" si="710"/>
        <v>0</v>
      </c>
      <c r="Q393" s="89">
        <f t="shared" si="710"/>
        <v>0</v>
      </c>
      <c r="R393" s="89">
        <f t="shared" si="710"/>
        <v>0</v>
      </c>
      <c r="S393" s="89">
        <f t="shared" si="710"/>
        <v>0</v>
      </c>
      <c r="T393" s="89">
        <f t="shared" si="710"/>
        <v>0</v>
      </c>
      <c r="U393" s="89">
        <f t="shared" si="710"/>
        <v>-7315361000</v>
      </c>
      <c r="V393" s="89">
        <f t="shared" si="710"/>
        <v>0</v>
      </c>
      <c r="W393" s="89">
        <f t="shared" si="710"/>
        <v>0</v>
      </c>
      <c r="X393" s="89">
        <f t="shared" si="692"/>
        <v>-7315361000</v>
      </c>
      <c r="Y393" s="89">
        <f t="shared" ref="Y393:AO393" si="711">Y42-Y305</f>
        <v>1645300000</v>
      </c>
      <c r="Z393" s="89">
        <f t="shared" si="711"/>
        <v>0</v>
      </c>
      <c r="AA393" s="89">
        <f t="shared" si="711"/>
        <v>0</v>
      </c>
      <c r="AB393" s="89">
        <f t="shared" si="711"/>
        <v>-514358000</v>
      </c>
      <c r="AC393" s="89">
        <f t="shared" si="711"/>
        <v>0</v>
      </c>
      <c r="AD393" s="89">
        <f t="shared" si="711"/>
        <v>0</v>
      </c>
      <c r="AE393" s="89">
        <f t="shared" si="711"/>
        <v>0</v>
      </c>
      <c r="AF393" s="89">
        <f t="shared" si="711"/>
        <v>0</v>
      </c>
      <c r="AG393" s="89">
        <f t="shared" si="711"/>
        <v>0</v>
      </c>
      <c r="AH393" s="89">
        <f t="shared" si="711"/>
        <v>0</v>
      </c>
      <c r="AI393" s="89">
        <f t="shared" si="711"/>
        <v>0</v>
      </c>
      <c r="AJ393" s="89">
        <f t="shared" si="711"/>
        <v>0</v>
      </c>
      <c r="AK393" s="89">
        <f t="shared" si="711"/>
        <v>2304822000</v>
      </c>
      <c r="AL393" s="89">
        <f t="shared" si="711"/>
        <v>0</v>
      </c>
      <c r="AM393" s="89">
        <f t="shared" si="711"/>
        <v>7315361000</v>
      </c>
      <c r="AN393" s="89">
        <f t="shared" si="711"/>
        <v>1762386000</v>
      </c>
      <c r="AO393" s="89">
        <f t="shared" si="711"/>
        <v>1821910000</v>
      </c>
      <c r="AP393" s="89">
        <f t="shared" si="694"/>
        <v>14335421000</v>
      </c>
      <c r="AQ393" s="89">
        <f t="shared" si="695"/>
        <v>1645300000</v>
      </c>
      <c r="AR393" s="89">
        <f t="shared" si="695"/>
        <v>0</v>
      </c>
      <c r="AS393" s="89">
        <f t="shared" si="695"/>
        <v>0</v>
      </c>
      <c r="AT393" s="89">
        <f t="shared" si="695"/>
        <v>-514358000</v>
      </c>
      <c r="AU393" s="89">
        <f t="shared" si="695"/>
        <v>0</v>
      </c>
      <c r="AV393" s="89">
        <f t="shared" si="695"/>
        <v>0</v>
      </c>
      <c r="AW393" s="89">
        <f t="shared" si="695"/>
        <v>0</v>
      </c>
      <c r="AX393" s="89">
        <f t="shared" si="696"/>
        <v>8960661000</v>
      </c>
      <c r="AY393" s="89">
        <f t="shared" si="697"/>
        <v>84936000</v>
      </c>
      <c r="AZ393" s="89">
        <f t="shared" si="697"/>
        <v>0</v>
      </c>
      <c r="BA393" s="89">
        <f t="shared" si="698"/>
        <v>0</v>
      </c>
      <c r="BB393" s="89">
        <f t="shared" si="698"/>
        <v>0</v>
      </c>
      <c r="BC393" s="89">
        <f t="shared" si="698"/>
        <v>2304822000</v>
      </c>
      <c r="BD393" s="89">
        <f t="shared" si="698"/>
        <v>0</v>
      </c>
      <c r="BE393" s="89">
        <f t="shared" si="698"/>
        <v>0</v>
      </c>
      <c r="BF393" s="89">
        <f t="shared" si="699"/>
        <v>1762386000</v>
      </c>
      <c r="BG393" s="89">
        <f t="shared" si="700"/>
        <v>1821910000</v>
      </c>
      <c r="BH393" s="111">
        <f t="shared" si="701"/>
        <v>7020060000</v>
      </c>
    </row>
    <row r="394" spans="1:60">
      <c r="A394" s="51"/>
      <c r="B394" s="108"/>
      <c r="C394" s="52" t="s">
        <v>142</v>
      </c>
      <c r="D394" s="52" t="s">
        <v>3</v>
      </c>
      <c r="E394" s="52" t="s">
        <v>0</v>
      </c>
      <c r="F394" s="53" t="s">
        <v>28</v>
      </c>
      <c r="G394" s="89">
        <f t="shared" ref="G394:W394" si="712">G43-G306</f>
        <v>0</v>
      </c>
      <c r="H394" s="89">
        <f t="shared" si="712"/>
        <v>0</v>
      </c>
      <c r="I394" s="89">
        <f t="shared" si="712"/>
        <v>0</v>
      </c>
      <c r="J394" s="89">
        <f t="shared" si="712"/>
        <v>0</v>
      </c>
      <c r="K394" s="89">
        <f t="shared" si="712"/>
        <v>0</v>
      </c>
      <c r="L394" s="89">
        <f t="shared" si="712"/>
        <v>0</v>
      </c>
      <c r="M394" s="89">
        <f t="shared" si="712"/>
        <v>0</v>
      </c>
      <c r="N394" s="89">
        <f t="shared" si="712"/>
        <v>29242609000</v>
      </c>
      <c r="O394" s="89">
        <f t="shared" si="712"/>
        <v>1749071000</v>
      </c>
      <c r="P394" s="89">
        <f t="shared" si="712"/>
        <v>0</v>
      </c>
      <c r="Q394" s="89">
        <f t="shared" si="712"/>
        <v>0</v>
      </c>
      <c r="R394" s="89">
        <f t="shared" si="712"/>
        <v>0</v>
      </c>
      <c r="S394" s="89">
        <f t="shared" si="712"/>
        <v>0</v>
      </c>
      <c r="T394" s="89">
        <f t="shared" si="712"/>
        <v>0</v>
      </c>
      <c r="U394" s="89">
        <f t="shared" si="712"/>
        <v>0</v>
      </c>
      <c r="V394" s="89">
        <f t="shared" si="712"/>
        <v>0</v>
      </c>
      <c r="W394" s="89">
        <f t="shared" si="712"/>
        <v>0</v>
      </c>
      <c r="X394" s="89">
        <f t="shared" si="692"/>
        <v>0</v>
      </c>
      <c r="Y394" s="89">
        <f t="shared" ref="Y394:AO394" si="713">Y43-Y306</f>
        <v>7296526000</v>
      </c>
      <c r="Z394" s="89">
        <f t="shared" si="713"/>
        <v>0</v>
      </c>
      <c r="AA394" s="89">
        <f t="shared" si="713"/>
        <v>0</v>
      </c>
      <c r="AB394" s="89">
        <f t="shared" si="713"/>
        <v>1149777000</v>
      </c>
      <c r="AC394" s="89">
        <f t="shared" si="713"/>
        <v>0</v>
      </c>
      <c r="AD394" s="89">
        <f t="shared" si="713"/>
        <v>0</v>
      </c>
      <c r="AE394" s="89">
        <f t="shared" si="713"/>
        <v>0</v>
      </c>
      <c r="AF394" s="89">
        <f t="shared" si="713"/>
        <v>0</v>
      </c>
      <c r="AG394" s="89">
        <f t="shared" si="713"/>
        <v>0</v>
      </c>
      <c r="AH394" s="89">
        <f t="shared" si="713"/>
        <v>0</v>
      </c>
      <c r="AI394" s="89">
        <f t="shared" si="713"/>
        <v>0</v>
      </c>
      <c r="AJ394" s="89">
        <f t="shared" si="713"/>
        <v>0</v>
      </c>
      <c r="AK394" s="89">
        <f t="shared" si="713"/>
        <v>2304822000</v>
      </c>
      <c r="AL394" s="89">
        <f t="shared" si="713"/>
        <v>0</v>
      </c>
      <c r="AM394" s="89">
        <f t="shared" si="713"/>
        <v>7315361000</v>
      </c>
      <c r="AN394" s="89">
        <f t="shared" si="713"/>
        <v>9197905000</v>
      </c>
      <c r="AO394" s="89">
        <f t="shared" si="713"/>
        <v>9257429000</v>
      </c>
      <c r="AP394" s="89">
        <f t="shared" si="694"/>
        <v>36521820000</v>
      </c>
      <c r="AQ394" s="89">
        <f t="shared" si="695"/>
        <v>7296526000</v>
      </c>
      <c r="AR394" s="89">
        <f t="shared" si="695"/>
        <v>0</v>
      </c>
      <c r="AS394" s="89">
        <f t="shared" si="695"/>
        <v>0</v>
      </c>
      <c r="AT394" s="89">
        <f t="shared" si="695"/>
        <v>1149777000</v>
      </c>
      <c r="AU394" s="89">
        <f t="shared" si="695"/>
        <v>0</v>
      </c>
      <c r="AV394" s="89">
        <f t="shared" si="695"/>
        <v>0</v>
      </c>
      <c r="AW394" s="89">
        <f t="shared" si="695"/>
        <v>0</v>
      </c>
      <c r="AX394" s="89">
        <f t="shared" si="696"/>
        <v>29242609000</v>
      </c>
      <c r="AY394" s="89">
        <f t="shared" si="697"/>
        <v>1749071000</v>
      </c>
      <c r="AZ394" s="89">
        <f t="shared" si="697"/>
        <v>0</v>
      </c>
      <c r="BA394" s="89">
        <f t="shared" si="698"/>
        <v>0</v>
      </c>
      <c r="BB394" s="89">
        <f t="shared" si="698"/>
        <v>0</v>
      </c>
      <c r="BC394" s="89">
        <f t="shared" si="698"/>
        <v>2304822000</v>
      </c>
      <c r="BD394" s="89">
        <f t="shared" si="698"/>
        <v>0</v>
      </c>
      <c r="BE394" s="89">
        <f t="shared" si="698"/>
        <v>7315361000</v>
      </c>
      <c r="BF394" s="89">
        <f t="shared" si="699"/>
        <v>9197905000</v>
      </c>
      <c r="BG394" s="89">
        <f t="shared" si="700"/>
        <v>9257429000</v>
      </c>
      <c r="BH394" s="111">
        <f t="shared" si="701"/>
        <v>36521820000</v>
      </c>
    </row>
    <row r="395" spans="1:60">
      <c r="A395" s="51"/>
      <c r="B395" s="108"/>
      <c r="C395" s="52"/>
      <c r="D395" s="52"/>
      <c r="E395" s="52" t="s">
        <v>0</v>
      </c>
      <c r="F395" s="53" t="s">
        <v>47</v>
      </c>
      <c r="G395" s="91"/>
      <c r="H395" s="91"/>
      <c r="I395" s="91"/>
      <c r="J395" s="91"/>
      <c r="K395" s="91"/>
      <c r="L395" s="91"/>
      <c r="M395" s="91"/>
      <c r="N395" s="91"/>
      <c r="O395" s="91"/>
      <c r="P395" s="91"/>
      <c r="Q395" s="91"/>
      <c r="R395" s="91"/>
      <c r="S395" s="91"/>
      <c r="T395" s="91"/>
      <c r="U395" s="91"/>
      <c r="V395" s="91"/>
      <c r="W395" s="91"/>
      <c r="X395" s="91"/>
      <c r="Y395" s="91"/>
      <c r="Z395" s="91"/>
      <c r="AA395" s="91"/>
      <c r="AB395" s="91"/>
      <c r="AC395" s="91"/>
      <c r="AD395" s="91"/>
      <c r="AE395" s="91"/>
      <c r="AF395" s="91"/>
      <c r="AG395" s="91"/>
      <c r="AH395" s="91"/>
      <c r="AI395" s="91"/>
      <c r="AJ395" s="91"/>
      <c r="AK395" s="91"/>
      <c r="AL395" s="91"/>
      <c r="AM395" s="91"/>
      <c r="AN395" s="91"/>
      <c r="AO395" s="91"/>
      <c r="AP395" s="91"/>
      <c r="AQ395" s="91"/>
      <c r="AR395" s="91"/>
      <c r="AS395" s="91"/>
      <c r="AT395" s="91"/>
      <c r="AU395" s="91"/>
      <c r="AV395" s="91"/>
      <c r="AW395" s="91"/>
      <c r="AX395" s="91"/>
      <c r="AY395" s="91"/>
      <c r="AZ395" s="91"/>
      <c r="BA395" s="91"/>
      <c r="BB395" s="91"/>
      <c r="BC395" s="91"/>
      <c r="BD395" s="91"/>
      <c r="BE395" s="91"/>
      <c r="BF395" s="91"/>
      <c r="BG395" s="91"/>
      <c r="BH395" s="112"/>
    </row>
    <row r="396" spans="1:60">
      <c r="A396" s="51"/>
      <c r="B396" s="108"/>
      <c r="C396" s="52" t="s">
        <v>161</v>
      </c>
      <c r="D396" s="52" t="s">
        <v>3</v>
      </c>
      <c r="E396" s="52" t="s">
        <v>0</v>
      </c>
      <c r="F396" s="54" t="s">
        <v>48</v>
      </c>
      <c r="G396" s="89">
        <f t="shared" ref="G396:W396" si="714">G45-G308</f>
        <v>0</v>
      </c>
      <c r="H396" s="89">
        <f t="shared" si="714"/>
        <v>0</v>
      </c>
      <c r="I396" s="89">
        <f t="shared" si="714"/>
        <v>0</v>
      </c>
      <c r="J396" s="89">
        <f t="shared" si="714"/>
        <v>0</v>
      </c>
      <c r="K396" s="89">
        <f t="shared" si="714"/>
        <v>0</v>
      </c>
      <c r="L396" s="89">
        <f t="shared" si="714"/>
        <v>0</v>
      </c>
      <c r="M396" s="89">
        <f t="shared" si="714"/>
        <v>0</v>
      </c>
      <c r="N396" s="89">
        <f t="shared" si="714"/>
        <v>0</v>
      </c>
      <c r="O396" s="89">
        <f t="shared" si="714"/>
        <v>0</v>
      </c>
      <c r="P396" s="89">
        <f t="shared" si="714"/>
        <v>0</v>
      </c>
      <c r="Q396" s="89">
        <f t="shared" si="714"/>
        <v>0</v>
      </c>
      <c r="R396" s="89">
        <f t="shared" si="714"/>
        <v>0</v>
      </c>
      <c r="S396" s="89">
        <f t="shared" si="714"/>
        <v>0</v>
      </c>
      <c r="T396" s="89">
        <f t="shared" si="714"/>
        <v>0</v>
      </c>
      <c r="U396" s="89">
        <f t="shared" si="714"/>
        <v>0</v>
      </c>
      <c r="V396" s="89">
        <f t="shared" si="714"/>
        <v>0</v>
      </c>
      <c r="W396" s="89">
        <f t="shared" si="714"/>
        <v>0</v>
      </c>
      <c r="X396" s="89">
        <f t="shared" ref="X396:X398" si="715">SUM(P396:W396)+SUM(G396:K396)</f>
        <v>0</v>
      </c>
      <c r="Y396" s="89">
        <f t="shared" ref="Y396:AO396" si="716">Y45-Y308</f>
        <v>0</v>
      </c>
      <c r="Z396" s="89">
        <f t="shared" si="716"/>
        <v>0</v>
      </c>
      <c r="AA396" s="89">
        <f t="shared" si="716"/>
        <v>0</v>
      </c>
      <c r="AB396" s="89">
        <f t="shared" si="716"/>
        <v>0</v>
      </c>
      <c r="AC396" s="89">
        <f t="shared" si="716"/>
        <v>0</v>
      </c>
      <c r="AD396" s="89">
        <f t="shared" si="716"/>
        <v>0</v>
      </c>
      <c r="AE396" s="89">
        <f t="shared" si="716"/>
        <v>0</v>
      </c>
      <c r="AF396" s="89">
        <f t="shared" si="716"/>
        <v>0</v>
      </c>
      <c r="AG396" s="89">
        <f t="shared" si="716"/>
        <v>0</v>
      </c>
      <c r="AH396" s="89">
        <f t="shared" si="716"/>
        <v>0</v>
      </c>
      <c r="AI396" s="89">
        <f t="shared" si="716"/>
        <v>0</v>
      </c>
      <c r="AJ396" s="89">
        <f t="shared" si="716"/>
        <v>0</v>
      </c>
      <c r="AK396" s="89">
        <f t="shared" si="716"/>
        <v>0</v>
      </c>
      <c r="AL396" s="89">
        <f t="shared" si="716"/>
        <v>0</v>
      </c>
      <c r="AM396" s="89">
        <f t="shared" si="716"/>
        <v>0</v>
      </c>
      <c r="AN396" s="89">
        <f t="shared" si="716"/>
        <v>0</v>
      </c>
      <c r="AO396" s="89">
        <f t="shared" si="716"/>
        <v>0</v>
      </c>
      <c r="AP396" s="89">
        <f t="shared" ref="AP396:AP398" si="717">SUM(AH396:AO396)+SUM(Y396:AC396)</f>
        <v>0</v>
      </c>
      <c r="AQ396" s="89">
        <f t="shared" ref="AQ396:AW398" si="718">AQ45-AQ308</f>
        <v>0</v>
      </c>
      <c r="AR396" s="89">
        <f t="shared" si="718"/>
        <v>0</v>
      </c>
      <c r="AS396" s="89">
        <f t="shared" si="718"/>
        <v>0</v>
      </c>
      <c r="AT396" s="89">
        <f t="shared" si="718"/>
        <v>0</v>
      </c>
      <c r="AU396" s="89">
        <f t="shared" si="718"/>
        <v>0</v>
      </c>
      <c r="AV396" s="89">
        <f t="shared" si="718"/>
        <v>0</v>
      </c>
      <c r="AW396" s="89">
        <f t="shared" si="718"/>
        <v>0</v>
      </c>
      <c r="AX396" s="89">
        <f t="shared" ref="AX396:AX398" si="719">N396+AF396</f>
        <v>0</v>
      </c>
      <c r="AY396" s="89">
        <f t="shared" ref="AY396:AZ398" si="720">O396+AG396</f>
        <v>0</v>
      </c>
      <c r="AZ396" s="89">
        <f t="shared" si="720"/>
        <v>0</v>
      </c>
      <c r="BA396" s="89">
        <f t="shared" ref="BA396:BE398" si="721">BA45-BA308</f>
        <v>0</v>
      </c>
      <c r="BB396" s="89">
        <f t="shared" si="721"/>
        <v>0</v>
      </c>
      <c r="BC396" s="89">
        <f t="shared" si="721"/>
        <v>0</v>
      </c>
      <c r="BD396" s="89">
        <f t="shared" si="721"/>
        <v>0</v>
      </c>
      <c r="BE396" s="89">
        <f t="shared" si="721"/>
        <v>0</v>
      </c>
      <c r="BF396" s="89">
        <f t="shared" ref="BF396:BF398" si="722">V396+AN396</f>
        <v>0</v>
      </c>
      <c r="BG396" s="89">
        <f>BG45-BG308</f>
        <v>0</v>
      </c>
      <c r="BH396" s="111">
        <f>X396+AP396</f>
        <v>0</v>
      </c>
    </row>
    <row r="397" spans="1:60">
      <c r="A397" s="51"/>
      <c r="B397" s="108"/>
      <c r="C397" s="52" t="s">
        <v>162</v>
      </c>
      <c r="D397" s="52" t="s">
        <v>3</v>
      </c>
      <c r="E397" s="52" t="s">
        <v>0</v>
      </c>
      <c r="F397" s="54" t="s">
        <v>49</v>
      </c>
      <c r="G397" s="89">
        <f t="shared" ref="G397:W397" si="723">G46-G309</f>
        <v>0</v>
      </c>
      <c r="H397" s="89">
        <f t="shared" si="723"/>
        <v>0</v>
      </c>
      <c r="I397" s="89">
        <f t="shared" si="723"/>
        <v>0</v>
      </c>
      <c r="J397" s="89">
        <f t="shared" si="723"/>
        <v>0</v>
      </c>
      <c r="K397" s="89">
        <f t="shared" si="723"/>
        <v>0</v>
      </c>
      <c r="L397" s="89">
        <f t="shared" si="723"/>
        <v>0</v>
      </c>
      <c r="M397" s="89">
        <f t="shared" si="723"/>
        <v>0</v>
      </c>
      <c r="N397" s="89">
        <f t="shared" si="723"/>
        <v>0</v>
      </c>
      <c r="O397" s="89">
        <f t="shared" si="723"/>
        <v>0</v>
      </c>
      <c r="P397" s="89">
        <f t="shared" si="723"/>
        <v>0</v>
      </c>
      <c r="Q397" s="89">
        <f t="shared" si="723"/>
        <v>0</v>
      </c>
      <c r="R397" s="89">
        <f t="shared" si="723"/>
        <v>0</v>
      </c>
      <c r="S397" s="89">
        <f t="shared" si="723"/>
        <v>0</v>
      </c>
      <c r="T397" s="89">
        <f t="shared" si="723"/>
        <v>0</v>
      </c>
      <c r="U397" s="89">
        <f t="shared" si="723"/>
        <v>0</v>
      </c>
      <c r="V397" s="89">
        <f t="shared" si="723"/>
        <v>0</v>
      </c>
      <c r="W397" s="89">
        <f t="shared" si="723"/>
        <v>0</v>
      </c>
      <c r="X397" s="89">
        <f t="shared" si="715"/>
        <v>0</v>
      </c>
      <c r="Y397" s="89">
        <f t="shared" ref="Y397:AO397" si="724">Y46-Y309</f>
        <v>0</v>
      </c>
      <c r="Z397" s="89">
        <f t="shared" si="724"/>
        <v>0</v>
      </c>
      <c r="AA397" s="89">
        <f t="shared" si="724"/>
        <v>0</v>
      </c>
      <c r="AB397" s="89">
        <f t="shared" si="724"/>
        <v>0</v>
      </c>
      <c r="AC397" s="89">
        <f t="shared" si="724"/>
        <v>0</v>
      </c>
      <c r="AD397" s="89">
        <f t="shared" si="724"/>
        <v>0</v>
      </c>
      <c r="AE397" s="89">
        <f t="shared" si="724"/>
        <v>0</v>
      </c>
      <c r="AF397" s="89">
        <f t="shared" si="724"/>
        <v>0</v>
      </c>
      <c r="AG397" s="89">
        <f t="shared" si="724"/>
        <v>0</v>
      </c>
      <c r="AH397" s="89">
        <f t="shared" si="724"/>
        <v>0</v>
      </c>
      <c r="AI397" s="89">
        <f t="shared" si="724"/>
        <v>0</v>
      </c>
      <c r="AJ397" s="89">
        <f t="shared" si="724"/>
        <v>0</v>
      </c>
      <c r="AK397" s="89">
        <f t="shared" si="724"/>
        <v>0</v>
      </c>
      <c r="AL397" s="89">
        <f t="shared" si="724"/>
        <v>0</v>
      </c>
      <c r="AM397" s="89">
        <f t="shared" si="724"/>
        <v>0</v>
      </c>
      <c r="AN397" s="89">
        <f t="shared" si="724"/>
        <v>0</v>
      </c>
      <c r="AO397" s="89">
        <f t="shared" si="724"/>
        <v>0</v>
      </c>
      <c r="AP397" s="89">
        <f t="shared" si="717"/>
        <v>0</v>
      </c>
      <c r="AQ397" s="89">
        <f t="shared" si="718"/>
        <v>0</v>
      </c>
      <c r="AR397" s="89">
        <f t="shared" si="718"/>
        <v>0</v>
      </c>
      <c r="AS397" s="89">
        <f t="shared" si="718"/>
        <v>0</v>
      </c>
      <c r="AT397" s="89">
        <f t="shared" si="718"/>
        <v>0</v>
      </c>
      <c r="AU397" s="89">
        <f t="shared" si="718"/>
        <v>0</v>
      </c>
      <c r="AV397" s="89">
        <f t="shared" si="718"/>
        <v>0</v>
      </c>
      <c r="AW397" s="89">
        <f t="shared" si="718"/>
        <v>0</v>
      </c>
      <c r="AX397" s="89">
        <f t="shared" si="719"/>
        <v>0</v>
      </c>
      <c r="AY397" s="89">
        <f t="shared" si="720"/>
        <v>0</v>
      </c>
      <c r="AZ397" s="89">
        <f t="shared" si="720"/>
        <v>0</v>
      </c>
      <c r="BA397" s="89">
        <f t="shared" si="721"/>
        <v>0</v>
      </c>
      <c r="BB397" s="89">
        <f t="shared" si="721"/>
        <v>0</v>
      </c>
      <c r="BC397" s="89">
        <f t="shared" si="721"/>
        <v>0</v>
      </c>
      <c r="BD397" s="89">
        <f t="shared" si="721"/>
        <v>0</v>
      </c>
      <c r="BE397" s="89">
        <f t="shared" si="721"/>
        <v>0</v>
      </c>
      <c r="BF397" s="89">
        <f t="shared" si="722"/>
        <v>0</v>
      </c>
      <c r="BG397" s="89">
        <f>BG46-BG309</f>
        <v>0</v>
      </c>
      <c r="BH397" s="111">
        <f>X397+AP397</f>
        <v>0</v>
      </c>
    </row>
    <row r="398" spans="1:60">
      <c r="A398" s="51"/>
      <c r="B398" s="108"/>
      <c r="C398" s="52" t="s">
        <v>163</v>
      </c>
      <c r="D398" s="52" t="s">
        <v>3</v>
      </c>
      <c r="E398" s="52" t="s">
        <v>0</v>
      </c>
      <c r="F398" s="54" t="s">
        <v>50</v>
      </c>
      <c r="G398" s="89">
        <f t="shared" ref="G398:W398" si="725">G47-G310</f>
        <v>0</v>
      </c>
      <c r="H398" s="89">
        <f t="shared" si="725"/>
        <v>0</v>
      </c>
      <c r="I398" s="89">
        <f t="shared" si="725"/>
        <v>0</v>
      </c>
      <c r="J398" s="89">
        <f t="shared" si="725"/>
        <v>0</v>
      </c>
      <c r="K398" s="89">
        <f t="shared" si="725"/>
        <v>0</v>
      </c>
      <c r="L398" s="89">
        <f t="shared" si="725"/>
        <v>0</v>
      </c>
      <c r="M398" s="89">
        <f t="shared" si="725"/>
        <v>0</v>
      </c>
      <c r="N398" s="89">
        <f t="shared" si="725"/>
        <v>0</v>
      </c>
      <c r="O398" s="89">
        <f t="shared" si="725"/>
        <v>0</v>
      </c>
      <c r="P398" s="89">
        <f t="shared" si="725"/>
        <v>0</v>
      </c>
      <c r="Q398" s="89">
        <f t="shared" si="725"/>
        <v>0</v>
      </c>
      <c r="R398" s="89">
        <f t="shared" si="725"/>
        <v>0</v>
      </c>
      <c r="S398" s="89">
        <f t="shared" si="725"/>
        <v>0</v>
      </c>
      <c r="T398" s="89">
        <f t="shared" si="725"/>
        <v>0</v>
      </c>
      <c r="U398" s="89">
        <f t="shared" si="725"/>
        <v>0</v>
      </c>
      <c r="V398" s="89">
        <f t="shared" si="725"/>
        <v>0</v>
      </c>
      <c r="W398" s="89">
        <f t="shared" si="725"/>
        <v>0</v>
      </c>
      <c r="X398" s="89">
        <f t="shared" si="715"/>
        <v>0</v>
      </c>
      <c r="Y398" s="89">
        <f t="shared" ref="Y398:AO398" si="726">Y47-Y310</f>
        <v>0</v>
      </c>
      <c r="Z398" s="89">
        <f t="shared" si="726"/>
        <v>0</v>
      </c>
      <c r="AA398" s="89">
        <f t="shared" si="726"/>
        <v>0</v>
      </c>
      <c r="AB398" s="89">
        <f t="shared" si="726"/>
        <v>0</v>
      </c>
      <c r="AC398" s="89">
        <f t="shared" si="726"/>
        <v>0</v>
      </c>
      <c r="AD398" s="89">
        <f t="shared" si="726"/>
        <v>0</v>
      </c>
      <c r="AE398" s="89">
        <f t="shared" si="726"/>
        <v>0</v>
      </c>
      <c r="AF398" s="89">
        <f t="shared" si="726"/>
        <v>0</v>
      </c>
      <c r="AG398" s="89">
        <f t="shared" si="726"/>
        <v>0</v>
      </c>
      <c r="AH398" s="89">
        <f t="shared" si="726"/>
        <v>0</v>
      </c>
      <c r="AI398" s="89">
        <f t="shared" si="726"/>
        <v>0</v>
      </c>
      <c r="AJ398" s="89">
        <f t="shared" si="726"/>
        <v>0</v>
      </c>
      <c r="AK398" s="89">
        <f t="shared" si="726"/>
        <v>0</v>
      </c>
      <c r="AL398" s="89">
        <f t="shared" si="726"/>
        <v>0</v>
      </c>
      <c r="AM398" s="89">
        <f t="shared" si="726"/>
        <v>0</v>
      </c>
      <c r="AN398" s="89">
        <f t="shared" si="726"/>
        <v>0</v>
      </c>
      <c r="AO398" s="89">
        <f t="shared" si="726"/>
        <v>0</v>
      </c>
      <c r="AP398" s="89">
        <f t="shared" si="717"/>
        <v>0</v>
      </c>
      <c r="AQ398" s="89">
        <f t="shared" si="718"/>
        <v>0</v>
      </c>
      <c r="AR398" s="89">
        <f t="shared" si="718"/>
        <v>0</v>
      </c>
      <c r="AS398" s="89">
        <f t="shared" si="718"/>
        <v>0</v>
      </c>
      <c r="AT398" s="89">
        <f t="shared" si="718"/>
        <v>0</v>
      </c>
      <c r="AU398" s="89">
        <f t="shared" si="718"/>
        <v>0</v>
      </c>
      <c r="AV398" s="89">
        <f t="shared" si="718"/>
        <v>0</v>
      </c>
      <c r="AW398" s="89">
        <f t="shared" si="718"/>
        <v>0</v>
      </c>
      <c r="AX398" s="89">
        <f t="shared" si="719"/>
        <v>0</v>
      </c>
      <c r="AY398" s="89">
        <f t="shared" si="720"/>
        <v>0</v>
      </c>
      <c r="AZ398" s="89">
        <f t="shared" si="720"/>
        <v>0</v>
      </c>
      <c r="BA398" s="89">
        <f t="shared" si="721"/>
        <v>0</v>
      </c>
      <c r="BB398" s="89">
        <f t="shared" si="721"/>
        <v>0</v>
      </c>
      <c r="BC398" s="89">
        <f t="shared" si="721"/>
        <v>0</v>
      </c>
      <c r="BD398" s="89">
        <f t="shared" si="721"/>
        <v>0</v>
      </c>
      <c r="BE398" s="89">
        <f t="shared" si="721"/>
        <v>0</v>
      </c>
      <c r="BF398" s="89">
        <f t="shared" si="722"/>
        <v>0</v>
      </c>
      <c r="BG398" s="89">
        <f>BG47-BG310</f>
        <v>0</v>
      </c>
      <c r="BH398" s="111">
        <f>X398+AP398</f>
        <v>0</v>
      </c>
    </row>
    <row r="399" spans="1:60">
      <c r="A399" s="51"/>
      <c r="B399" s="108"/>
      <c r="C399" s="52"/>
      <c r="D399" s="52"/>
      <c r="E399" s="52"/>
      <c r="F399" s="53"/>
      <c r="G399" s="91"/>
      <c r="H399" s="91"/>
      <c r="I399" s="91"/>
      <c r="J399" s="91"/>
      <c r="K399" s="91"/>
      <c r="L399" s="91"/>
      <c r="M399" s="91"/>
      <c r="N399" s="91"/>
      <c r="O399" s="91"/>
      <c r="P399" s="91"/>
      <c r="Q399" s="91"/>
      <c r="R399" s="91"/>
      <c r="S399" s="91"/>
      <c r="T399" s="91"/>
      <c r="U399" s="91"/>
      <c r="V399" s="91"/>
      <c r="W399" s="91"/>
      <c r="X399" s="91"/>
      <c r="Y399" s="91"/>
      <c r="Z399" s="91"/>
      <c r="AA399" s="91"/>
      <c r="AB399" s="91"/>
      <c r="AC399" s="91"/>
      <c r="AD399" s="91"/>
      <c r="AE399" s="91"/>
      <c r="AF399" s="91"/>
      <c r="AG399" s="91"/>
      <c r="AH399" s="91"/>
      <c r="AI399" s="91"/>
      <c r="AJ399" s="91"/>
      <c r="AK399" s="91"/>
      <c r="AL399" s="91"/>
      <c r="AM399" s="91"/>
      <c r="AN399" s="91"/>
      <c r="AO399" s="91"/>
      <c r="AP399" s="91"/>
      <c r="AQ399" s="91"/>
      <c r="AR399" s="91"/>
      <c r="AS399" s="91"/>
      <c r="AT399" s="91"/>
      <c r="AU399" s="91"/>
      <c r="AV399" s="91"/>
      <c r="AW399" s="91"/>
      <c r="AX399" s="52"/>
      <c r="AY399" s="52"/>
      <c r="AZ399" s="52"/>
      <c r="BA399" s="91"/>
      <c r="BB399" s="91"/>
      <c r="BC399" s="91"/>
      <c r="BD399" s="91"/>
      <c r="BE399" s="91"/>
      <c r="BF399" s="52"/>
      <c r="BG399" s="91"/>
      <c r="BH399" s="112"/>
    </row>
    <row r="400" spans="1:60">
      <c r="A400" s="51"/>
      <c r="B400" s="108"/>
      <c r="C400" s="52"/>
      <c r="D400" s="52"/>
      <c r="E400" s="52"/>
      <c r="F400" s="53"/>
      <c r="G400" s="91"/>
      <c r="H400" s="91"/>
      <c r="I400" s="91"/>
      <c r="J400" s="91"/>
      <c r="K400" s="91"/>
      <c r="L400" s="91"/>
      <c r="M400" s="91"/>
      <c r="N400" s="91"/>
      <c r="O400" s="91"/>
      <c r="P400" s="91"/>
      <c r="Q400" s="91"/>
      <c r="R400" s="91"/>
      <c r="S400" s="91"/>
      <c r="T400" s="91"/>
      <c r="U400" s="91"/>
      <c r="V400" s="91"/>
      <c r="W400" s="91"/>
      <c r="X400" s="91"/>
      <c r="Y400" s="91"/>
      <c r="Z400" s="91"/>
      <c r="AA400" s="91"/>
      <c r="AB400" s="91"/>
      <c r="AC400" s="91"/>
      <c r="AD400" s="91"/>
      <c r="AE400" s="91"/>
      <c r="AF400" s="91"/>
      <c r="AG400" s="91"/>
      <c r="AH400" s="91"/>
      <c r="AI400" s="91"/>
      <c r="AJ400" s="91"/>
      <c r="AK400" s="91"/>
      <c r="AL400" s="91"/>
      <c r="AM400" s="91"/>
      <c r="AN400" s="91"/>
      <c r="AO400" s="91"/>
      <c r="AP400" s="91"/>
      <c r="AQ400" s="91"/>
      <c r="AR400" s="91"/>
      <c r="AS400" s="91"/>
      <c r="AT400" s="91"/>
      <c r="AU400" s="91"/>
      <c r="AV400" s="91"/>
      <c r="AW400" s="91"/>
      <c r="AX400" s="52"/>
      <c r="AY400" s="52"/>
      <c r="AZ400" s="52"/>
      <c r="BA400" s="91"/>
      <c r="BB400" s="91"/>
      <c r="BC400" s="91"/>
      <c r="BD400" s="91"/>
      <c r="BE400" s="91"/>
      <c r="BF400" s="52"/>
      <c r="BG400" s="91"/>
      <c r="BH400" s="112"/>
    </row>
    <row r="401" spans="1:60" ht="22.5" customHeight="1">
      <c r="B401" s="105"/>
      <c r="C401" s="106"/>
      <c r="D401" s="106"/>
      <c r="E401" s="106"/>
      <c r="F401" s="50" t="s">
        <v>5</v>
      </c>
      <c r="G401" s="120"/>
      <c r="H401" s="120"/>
      <c r="I401" s="120"/>
      <c r="J401" s="120"/>
      <c r="K401" s="120"/>
      <c r="L401" s="120"/>
      <c r="M401" s="120"/>
      <c r="N401" s="120"/>
      <c r="O401" s="120"/>
      <c r="P401" s="120"/>
      <c r="Q401" s="120"/>
      <c r="R401" s="120"/>
      <c r="S401" s="120"/>
      <c r="T401" s="120"/>
      <c r="U401" s="120"/>
      <c r="V401" s="120"/>
      <c r="W401" s="120"/>
      <c r="X401" s="120"/>
      <c r="Y401" s="120"/>
      <c r="Z401" s="120"/>
      <c r="AA401" s="120"/>
      <c r="AB401" s="120"/>
      <c r="AC401" s="120"/>
      <c r="AD401" s="120"/>
      <c r="AE401" s="120"/>
      <c r="AF401" s="120"/>
      <c r="AG401" s="120"/>
      <c r="AH401" s="120"/>
      <c r="AI401" s="120"/>
      <c r="AJ401" s="120"/>
      <c r="AK401" s="120"/>
      <c r="AL401" s="120"/>
      <c r="AM401" s="120"/>
      <c r="AN401" s="120"/>
      <c r="AO401" s="120"/>
      <c r="AP401" s="120"/>
      <c r="AQ401" s="120"/>
      <c r="AR401" s="120"/>
      <c r="AS401" s="120"/>
      <c r="AT401" s="120"/>
      <c r="AU401" s="120"/>
      <c r="AV401" s="120"/>
      <c r="AW401" s="120"/>
      <c r="AX401" s="106"/>
      <c r="AY401" s="106"/>
      <c r="AZ401" s="106"/>
      <c r="BA401" s="120"/>
      <c r="BB401" s="120"/>
      <c r="BC401" s="120"/>
      <c r="BD401" s="120"/>
      <c r="BE401" s="120"/>
      <c r="BF401" s="106"/>
      <c r="BG401" s="120"/>
      <c r="BH401" s="121"/>
    </row>
    <row r="402" spans="1:60">
      <c r="A402" s="51"/>
      <c r="B402" s="108"/>
      <c r="C402" s="52"/>
      <c r="D402" s="52"/>
      <c r="E402" s="52"/>
      <c r="F402" s="53"/>
      <c r="G402" s="91"/>
      <c r="H402" s="91"/>
      <c r="I402" s="91"/>
      <c r="J402" s="91"/>
      <c r="K402" s="91"/>
      <c r="L402" s="91"/>
      <c r="M402" s="91"/>
      <c r="N402" s="91"/>
      <c r="O402" s="91"/>
      <c r="P402" s="91"/>
      <c r="Q402" s="91"/>
      <c r="R402" s="91"/>
      <c r="S402" s="91"/>
      <c r="T402" s="91"/>
      <c r="U402" s="91"/>
      <c r="V402" s="91"/>
      <c r="W402" s="91"/>
      <c r="X402" s="91"/>
      <c r="Y402" s="91"/>
      <c r="Z402" s="91"/>
      <c r="AA402" s="91"/>
      <c r="AB402" s="91"/>
      <c r="AC402" s="91"/>
      <c r="AD402" s="91"/>
      <c r="AE402" s="91"/>
      <c r="AF402" s="91"/>
      <c r="AG402" s="91"/>
      <c r="AH402" s="91"/>
      <c r="AI402" s="91"/>
      <c r="AJ402" s="91"/>
      <c r="AK402" s="91"/>
      <c r="AL402" s="91"/>
      <c r="AM402" s="91"/>
      <c r="AN402" s="91"/>
      <c r="AO402" s="91"/>
      <c r="AP402" s="91"/>
      <c r="AQ402" s="91"/>
      <c r="AR402" s="91"/>
      <c r="AS402" s="91"/>
      <c r="AT402" s="91"/>
      <c r="AU402" s="91"/>
      <c r="AV402" s="91"/>
      <c r="AW402" s="91"/>
      <c r="AX402" s="52"/>
      <c r="AY402" s="52"/>
      <c r="AZ402" s="52"/>
      <c r="BA402" s="91"/>
      <c r="BB402" s="91"/>
      <c r="BC402" s="91"/>
      <c r="BD402" s="91"/>
      <c r="BE402" s="91"/>
      <c r="BF402" s="52"/>
      <c r="BG402" s="91"/>
      <c r="BH402" s="112"/>
    </row>
    <row r="403" spans="1:60">
      <c r="A403" s="51"/>
      <c r="B403" s="108"/>
      <c r="C403" s="123" t="s">
        <v>192</v>
      </c>
      <c r="D403" s="123" t="s">
        <v>93</v>
      </c>
      <c r="E403" s="123" t="s">
        <v>0</v>
      </c>
      <c r="F403" s="126" t="s">
        <v>196</v>
      </c>
      <c r="G403" s="55"/>
      <c r="H403" s="55"/>
      <c r="I403" s="55"/>
      <c r="J403" s="55"/>
      <c r="K403" s="55"/>
      <c r="L403" s="55"/>
      <c r="M403" s="55"/>
      <c r="N403" s="55"/>
      <c r="O403" s="55"/>
      <c r="P403" s="55"/>
      <c r="Q403" s="55"/>
      <c r="R403" s="55"/>
      <c r="S403" s="55"/>
      <c r="T403" s="55"/>
      <c r="U403" s="55"/>
      <c r="V403" s="55"/>
      <c r="W403" s="55"/>
      <c r="X403" s="55"/>
      <c r="Y403" s="55"/>
      <c r="Z403" s="55"/>
      <c r="AA403" s="55"/>
      <c r="AB403" s="55"/>
      <c r="AC403" s="55"/>
      <c r="AD403" s="55"/>
      <c r="AE403" s="55"/>
      <c r="AF403" s="55"/>
      <c r="AG403" s="55"/>
      <c r="AH403" s="55"/>
      <c r="AI403" s="55"/>
      <c r="AJ403" s="55"/>
      <c r="AK403" s="55"/>
      <c r="AL403" s="55"/>
      <c r="AM403" s="55"/>
      <c r="AN403" s="55"/>
      <c r="AO403" s="55"/>
      <c r="AP403" s="55"/>
      <c r="AQ403" s="55"/>
      <c r="AR403" s="55"/>
      <c r="AS403" s="55"/>
      <c r="AT403" s="55"/>
      <c r="AU403" s="55"/>
      <c r="AV403" s="55"/>
      <c r="AW403" s="55"/>
      <c r="AX403" s="55"/>
      <c r="AY403" s="55"/>
      <c r="AZ403" s="55"/>
      <c r="BA403" s="55"/>
      <c r="BB403" s="55"/>
      <c r="BC403" s="55"/>
      <c r="BD403" s="55"/>
      <c r="BE403" s="55"/>
      <c r="BF403" s="55"/>
      <c r="BG403" s="55"/>
      <c r="BH403" s="110"/>
    </row>
    <row r="404" spans="1:60" ht="22.5">
      <c r="A404" s="51"/>
      <c r="B404" s="108"/>
      <c r="C404" s="123" t="s">
        <v>193</v>
      </c>
      <c r="D404" s="123" t="s">
        <v>93</v>
      </c>
      <c r="E404" s="123" t="s">
        <v>0</v>
      </c>
      <c r="F404" s="126" t="s">
        <v>197</v>
      </c>
      <c r="G404" s="55"/>
      <c r="H404" s="55"/>
      <c r="I404" s="55"/>
      <c r="J404" s="55"/>
      <c r="K404" s="55"/>
      <c r="L404" s="55"/>
      <c r="M404" s="55"/>
      <c r="N404" s="55"/>
      <c r="O404" s="55"/>
      <c r="P404" s="55"/>
      <c r="Q404" s="55"/>
      <c r="R404" s="55"/>
      <c r="S404" s="55"/>
      <c r="T404" s="55"/>
      <c r="U404" s="55"/>
      <c r="V404" s="55"/>
      <c r="W404" s="55"/>
      <c r="X404" s="55"/>
      <c r="Y404" s="55"/>
      <c r="Z404" s="55"/>
      <c r="AA404" s="55"/>
      <c r="AB404" s="55"/>
      <c r="AC404" s="55"/>
      <c r="AD404" s="55"/>
      <c r="AE404" s="55"/>
      <c r="AF404" s="55"/>
      <c r="AG404" s="55"/>
      <c r="AH404" s="55"/>
      <c r="AI404" s="55"/>
      <c r="AJ404" s="55"/>
      <c r="AK404" s="55"/>
      <c r="AL404" s="55"/>
      <c r="AM404" s="55"/>
      <c r="AN404" s="55"/>
      <c r="AO404" s="55"/>
      <c r="AP404" s="55"/>
      <c r="AQ404" s="55"/>
      <c r="AR404" s="55"/>
      <c r="AS404" s="55"/>
      <c r="AT404" s="55"/>
      <c r="AU404" s="55"/>
      <c r="AV404" s="55"/>
      <c r="AW404" s="55"/>
      <c r="AX404" s="55"/>
      <c r="AY404" s="55"/>
      <c r="AZ404" s="55"/>
      <c r="BA404" s="55"/>
      <c r="BB404" s="55"/>
      <c r="BC404" s="55"/>
      <c r="BD404" s="55"/>
      <c r="BE404" s="55"/>
      <c r="BF404" s="55"/>
      <c r="BG404" s="55"/>
      <c r="BH404" s="110"/>
    </row>
    <row r="405" spans="1:60" ht="22.5">
      <c r="A405" s="51"/>
      <c r="B405" s="108"/>
      <c r="C405" s="123" t="s">
        <v>194</v>
      </c>
      <c r="D405" s="123" t="s">
        <v>93</v>
      </c>
      <c r="E405" s="123" t="s">
        <v>0</v>
      </c>
      <c r="F405" s="126" t="s">
        <v>198</v>
      </c>
      <c r="G405" s="55"/>
      <c r="H405" s="55"/>
      <c r="I405" s="55"/>
      <c r="J405" s="55"/>
      <c r="K405" s="55"/>
      <c r="L405" s="55"/>
      <c r="M405" s="55"/>
      <c r="N405" s="55"/>
      <c r="O405" s="55"/>
      <c r="P405" s="55"/>
      <c r="Q405" s="55"/>
      <c r="R405" s="55"/>
      <c r="S405" s="55"/>
      <c r="T405" s="55"/>
      <c r="U405" s="55"/>
      <c r="V405" s="55"/>
      <c r="W405" s="55"/>
      <c r="X405" s="55"/>
      <c r="Y405" s="55"/>
      <c r="Z405" s="55"/>
      <c r="AA405" s="55"/>
      <c r="AB405" s="55"/>
      <c r="AC405" s="55"/>
      <c r="AD405" s="55"/>
      <c r="AE405" s="55"/>
      <c r="AF405" s="55"/>
      <c r="AG405" s="55"/>
      <c r="AH405" s="55"/>
      <c r="AI405" s="55"/>
      <c r="AJ405" s="55"/>
      <c r="AK405" s="55"/>
      <c r="AL405" s="55"/>
      <c r="AM405" s="55"/>
      <c r="AN405" s="55"/>
      <c r="AO405" s="55"/>
      <c r="AP405" s="55"/>
      <c r="AQ405" s="55"/>
      <c r="AR405" s="55"/>
      <c r="AS405" s="55"/>
      <c r="AT405" s="55"/>
      <c r="AU405" s="55"/>
      <c r="AV405" s="55"/>
      <c r="AW405" s="55"/>
      <c r="AX405" s="55"/>
      <c r="AY405" s="55"/>
      <c r="AZ405" s="55"/>
      <c r="BA405" s="55"/>
      <c r="BB405" s="55"/>
      <c r="BC405" s="55"/>
      <c r="BD405" s="55"/>
      <c r="BE405" s="55"/>
      <c r="BF405" s="55"/>
      <c r="BG405" s="55"/>
      <c r="BH405" s="110"/>
    </row>
    <row r="406" spans="1:60">
      <c r="A406" s="51"/>
      <c r="B406" s="108"/>
      <c r="C406" s="123" t="s">
        <v>195</v>
      </c>
      <c r="D406" s="123" t="s">
        <v>93</v>
      </c>
      <c r="E406" s="123" t="s">
        <v>0</v>
      </c>
      <c r="F406" s="126" t="s">
        <v>199</v>
      </c>
      <c r="G406" s="55"/>
      <c r="H406" s="55"/>
      <c r="I406" s="55"/>
      <c r="J406" s="55"/>
      <c r="K406" s="55"/>
      <c r="L406" s="55"/>
      <c r="M406" s="55"/>
      <c r="N406" s="55"/>
      <c r="O406" s="55"/>
      <c r="P406" s="55"/>
      <c r="Q406" s="55"/>
      <c r="R406" s="55"/>
      <c r="S406" s="55"/>
      <c r="T406" s="55"/>
      <c r="U406" s="55"/>
      <c r="V406" s="55"/>
      <c r="W406" s="55"/>
      <c r="X406" s="55"/>
      <c r="Y406" s="55"/>
      <c r="Z406" s="55"/>
      <c r="AA406" s="55"/>
      <c r="AB406" s="55"/>
      <c r="AC406" s="55"/>
      <c r="AD406" s="55"/>
      <c r="AE406" s="55"/>
      <c r="AF406" s="55"/>
      <c r="AG406" s="55"/>
      <c r="AH406" s="55"/>
      <c r="AI406" s="55"/>
      <c r="AJ406" s="55"/>
      <c r="AK406" s="55"/>
      <c r="AL406" s="55"/>
      <c r="AM406" s="55"/>
      <c r="AN406" s="55"/>
      <c r="AO406" s="55"/>
      <c r="AP406" s="55"/>
      <c r="AQ406" s="55"/>
      <c r="AR406" s="55"/>
      <c r="AS406" s="55"/>
      <c r="AT406" s="55"/>
      <c r="AU406" s="55"/>
      <c r="AV406" s="55"/>
      <c r="AW406" s="55"/>
      <c r="AX406" s="55"/>
      <c r="AY406" s="55"/>
      <c r="AZ406" s="55"/>
      <c r="BA406" s="55"/>
      <c r="BB406" s="55"/>
      <c r="BC406" s="55"/>
      <c r="BD406" s="55"/>
      <c r="BE406" s="55"/>
      <c r="BF406" s="55"/>
      <c r="BG406" s="55"/>
      <c r="BH406" s="110"/>
    </row>
    <row r="407" spans="1:60" ht="22.5">
      <c r="A407" s="51"/>
      <c r="B407" s="108"/>
      <c r="C407" s="52" t="s">
        <v>139</v>
      </c>
      <c r="D407" s="52" t="s">
        <v>93</v>
      </c>
      <c r="E407" s="52" t="s">
        <v>0</v>
      </c>
      <c r="F407" s="54" t="s">
        <v>24</v>
      </c>
      <c r="G407" s="90"/>
      <c r="H407" s="90"/>
      <c r="I407" s="90"/>
      <c r="J407" s="90"/>
      <c r="K407" s="90"/>
      <c r="L407" s="90"/>
      <c r="M407" s="90"/>
      <c r="N407" s="90"/>
      <c r="O407" s="90"/>
      <c r="P407" s="90"/>
      <c r="Q407" s="90"/>
      <c r="R407" s="90"/>
      <c r="S407" s="90"/>
      <c r="T407" s="90"/>
      <c r="U407" s="90"/>
      <c r="V407" s="90"/>
      <c r="W407" s="90"/>
      <c r="X407" s="90"/>
      <c r="Y407" s="90"/>
      <c r="Z407" s="90"/>
      <c r="AA407" s="90"/>
      <c r="AB407" s="90"/>
      <c r="AC407" s="90"/>
      <c r="AD407" s="90"/>
      <c r="AE407" s="90"/>
      <c r="AF407" s="90"/>
      <c r="AG407" s="90"/>
      <c r="AH407" s="90"/>
      <c r="AI407" s="90"/>
      <c r="AJ407" s="90"/>
      <c r="AK407" s="90"/>
      <c r="AL407" s="90"/>
      <c r="AM407" s="90"/>
      <c r="AN407" s="90"/>
      <c r="AO407" s="90"/>
      <c r="AP407" s="90"/>
      <c r="AQ407" s="90"/>
      <c r="AR407" s="90"/>
      <c r="AS407" s="90"/>
      <c r="AT407" s="90"/>
      <c r="AU407" s="90"/>
      <c r="AV407" s="90"/>
      <c r="AW407" s="90"/>
      <c r="AX407" s="55"/>
      <c r="AY407" s="55"/>
      <c r="AZ407" s="55"/>
      <c r="BA407" s="90"/>
      <c r="BB407" s="90"/>
      <c r="BC407" s="90"/>
      <c r="BD407" s="90"/>
      <c r="BE407" s="90"/>
      <c r="BF407" s="55"/>
      <c r="BG407" s="90"/>
      <c r="BH407" s="119"/>
    </row>
    <row r="408" spans="1:60">
      <c r="A408" s="51"/>
      <c r="B408" s="108"/>
      <c r="C408" s="52" t="s">
        <v>140</v>
      </c>
      <c r="D408" s="52" t="s">
        <v>93</v>
      </c>
      <c r="E408" s="52" t="s">
        <v>0</v>
      </c>
      <c r="F408" s="54" t="s">
        <v>25</v>
      </c>
      <c r="G408" s="90"/>
      <c r="H408" s="90"/>
      <c r="I408" s="90"/>
      <c r="J408" s="90"/>
      <c r="K408" s="90"/>
      <c r="L408" s="90"/>
      <c r="M408" s="90"/>
      <c r="N408" s="90"/>
      <c r="O408" s="90"/>
      <c r="P408" s="90"/>
      <c r="Q408" s="90"/>
      <c r="R408" s="90"/>
      <c r="S408" s="90"/>
      <c r="T408" s="90"/>
      <c r="U408" s="90"/>
      <c r="V408" s="90"/>
      <c r="W408" s="90"/>
      <c r="X408" s="90"/>
      <c r="Y408" s="90"/>
      <c r="Z408" s="90"/>
      <c r="AA408" s="90"/>
      <c r="AB408" s="90"/>
      <c r="AC408" s="90"/>
      <c r="AD408" s="90"/>
      <c r="AE408" s="90"/>
      <c r="AF408" s="90"/>
      <c r="AG408" s="90"/>
      <c r="AH408" s="90"/>
      <c r="AI408" s="90"/>
      <c r="AJ408" s="90"/>
      <c r="AK408" s="90"/>
      <c r="AL408" s="90"/>
      <c r="AM408" s="90"/>
      <c r="AN408" s="90"/>
      <c r="AO408" s="90"/>
      <c r="AP408" s="90"/>
      <c r="AQ408" s="90"/>
      <c r="AR408" s="90"/>
      <c r="AS408" s="90"/>
      <c r="AT408" s="90"/>
      <c r="AU408" s="90"/>
      <c r="AV408" s="90"/>
      <c r="AW408" s="90"/>
      <c r="AX408" s="55"/>
      <c r="AY408" s="55"/>
      <c r="AZ408" s="55"/>
      <c r="BA408" s="90"/>
      <c r="BB408" s="90"/>
      <c r="BC408" s="90"/>
      <c r="BD408" s="90"/>
      <c r="BE408" s="90"/>
      <c r="BF408" s="55"/>
      <c r="BG408" s="90"/>
      <c r="BH408" s="119"/>
    </row>
    <row r="409" spans="1:60">
      <c r="A409" s="51"/>
      <c r="B409" s="108"/>
      <c r="C409" s="52" t="s">
        <v>141</v>
      </c>
      <c r="D409" s="52" t="s">
        <v>93</v>
      </c>
      <c r="E409" s="52" t="s">
        <v>0</v>
      </c>
      <c r="F409" s="54" t="s">
        <v>26</v>
      </c>
      <c r="G409" s="90"/>
      <c r="H409" s="90"/>
      <c r="I409" s="90"/>
      <c r="J409" s="90"/>
      <c r="K409" s="90"/>
      <c r="L409" s="90"/>
      <c r="M409" s="90"/>
      <c r="N409" s="90"/>
      <c r="O409" s="90"/>
      <c r="P409" s="90"/>
      <c r="Q409" s="90"/>
      <c r="R409" s="90"/>
      <c r="S409" s="90"/>
      <c r="T409" s="90"/>
      <c r="U409" s="90"/>
      <c r="V409" s="90"/>
      <c r="W409" s="90"/>
      <c r="X409" s="90"/>
      <c r="Y409" s="90"/>
      <c r="Z409" s="90"/>
      <c r="AA409" s="90"/>
      <c r="AB409" s="90"/>
      <c r="AC409" s="90"/>
      <c r="AD409" s="90"/>
      <c r="AE409" s="90"/>
      <c r="AF409" s="90"/>
      <c r="AG409" s="90"/>
      <c r="AH409" s="90"/>
      <c r="AI409" s="90"/>
      <c r="AJ409" s="90"/>
      <c r="AK409" s="90"/>
      <c r="AL409" s="90"/>
      <c r="AM409" s="90"/>
      <c r="AN409" s="90"/>
      <c r="AO409" s="90"/>
      <c r="AP409" s="90"/>
      <c r="AQ409" s="90"/>
      <c r="AR409" s="90"/>
      <c r="AS409" s="90"/>
      <c r="AT409" s="90"/>
      <c r="AU409" s="90"/>
      <c r="AV409" s="90"/>
      <c r="AW409" s="90"/>
      <c r="AX409" s="55"/>
      <c r="AY409" s="55"/>
      <c r="AZ409" s="55"/>
      <c r="BA409" s="90"/>
      <c r="BB409" s="90"/>
      <c r="BC409" s="90"/>
      <c r="BD409" s="90"/>
      <c r="BE409" s="90"/>
      <c r="BF409" s="55"/>
      <c r="BG409" s="90"/>
      <c r="BH409" s="119"/>
    </row>
    <row r="410" spans="1:60">
      <c r="A410" s="51"/>
      <c r="B410" s="108"/>
      <c r="C410" s="52"/>
      <c r="D410" s="52"/>
      <c r="E410" s="52" t="s">
        <v>0</v>
      </c>
      <c r="F410" s="53" t="s">
        <v>27</v>
      </c>
      <c r="G410" s="91"/>
      <c r="H410" s="91"/>
      <c r="I410" s="91"/>
      <c r="J410" s="91"/>
      <c r="K410" s="91"/>
      <c r="L410" s="91"/>
      <c r="M410" s="91"/>
      <c r="N410" s="91"/>
      <c r="O410" s="91"/>
      <c r="P410" s="91"/>
      <c r="Q410" s="91"/>
      <c r="R410" s="91"/>
      <c r="S410" s="91"/>
      <c r="T410" s="91"/>
      <c r="U410" s="91"/>
      <c r="V410" s="91"/>
      <c r="W410" s="91"/>
      <c r="X410" s="91"/>
      <c r="Y410" s="91"/>
      <c r="Z410" s="91"/>
      <c r="AA410" s="91"/>
      <c r="AB410" s="91"/>
      <c r="AC410" s="91"/>
      <c r="AD410" s="91"/>
      <c r="AE410" s="91"/>
      <c r="AF410" s="91"/>
      <c r="AG410" s="91"/>
      <c r="AH410" s="91"/>
      <c r="AI410" s="91"/>
      <c r="AJ410" s="91"/>
      <c r="AK410" s="91"/>
      <c r="AL410" s="91"/>
      <c r="AM410" s="91"/>
      <c r="AN410" s="91"/>
      <c r="AO410" s="91"/>
      <c r="AP410" s="91"/>
      <c r="AQ410" s="91"/>
      <c r="AR410" s="91"/>
      <c r="AS410" s="91"/>
      <c r="AT410" s="91"/>
      <c r="AU410" s="91"/>
      <c r="AV410" s="91"/>
      <c r="AW410" s="91"/>
      <c r="AX410" s="52"/>
      <c r="AY410" s="52"/>
      <c r="AZ410" s="52"/>
      <c r="BA410" s="91"/>
      <c r="BB410" s="91"/>
      <c r="BC410" s="91"/>
      <c r="BD410" s="91"/>
      <c r="BE410" s="91"/>
      <c r="BF410" s="52"/>
      <c r="BG410" s="91"/>
      <c r="BH410" s="112"/>
    </row>
    <row r="411" spans="1:60">
      <c r="A411" s="51" t="s">
        <v>52</v>
      </c>
      <c r="B411" s="108"/>
      <c r="C411" s="52" t="s">
        <v>142</v>
      </c>
      <c r="D411" s="52" t="s">
        <v>9</v>
      </c>
      <c r="E411" s="52" t="s">
        <v>0</v>
      </c>
      <c r="F411" s="53" t="s">
        <v>187</v>
      </c>
      <c r="G411" s="89">
        <f t="shared" ref="G411:W411" si="727">G60-G323</f>
        <v>0</v>
      </c>
      <c r="H411" s="89">
        <f t="shared" si="727"/>
        <v>0</v>
      </c>
      <c r="I411" s="89">
        <f t="shared" si="727"/>
        <v>0</v>
      </c>
      <c r="J411" s="89">
        <f t="shared" si="727"/>
        <v>0</v>
      </c>
      <c r="K411" s="89">
        <f t="shared" si="727"/>
        <v>0</v>
      </c>
      <c r="L411" s="89">
        <f t="shared" si="727"/>
        <v>0</v>
      </c>
      <c r="M411" s="89">
        <f t="shared" si="727"/>
        <v>0</v>
      </c>
      <c r="N411" s="89">
        <f t="shared" si="727"/>
        <v>20281948000</v>
      </c>
      <c r="O411" s="89">
        <f t="shared" si="727"/>
        <v>863172000</v>
      </c>
      <c r="P411" s="89">
        <f t="shared" si="727"/>
        <v>0</v>
      </c>
      <c r="Q411" s="89">
        <f t="shared" si="727"/>
        <v>0</v>
      </c>
      <c r="R411" s="89">
        <f t="shared" si="727"/>
        <v>0</v>
      </c>
      <c r="S411" s="89">
        <f t="shared" si="727"/>
        <v>0</v>
      </c>
      <c r="T411" s="89">
        <f t="shared" si="727"/>
        <v>0</v>
      </c>
      <c r="U411" s="89">
        <f t="shared" si="727"/>
        <v>0</v>
      </c>
      <c r="V411" s="89">
        <f t="shared" si="727"/>
        <v>0</v>
      </c>
      <c r="W411" s="89">
        <f t="shared" si="727"/>
        <v>0</v>
      </c>
      <c r="X411" s="89">
        <f>SUM(P411:W411)+SUM(G411:K411)</f>
        <v>0</v>
      </c>
      <c r="Y411" s="89">
        <f t="shared" ref="Y411:AO411" si="728">Y60-Y323</f>
        <v>5305309000</v>
      </c>
      <c r="Z411" s="89">
        <f t="shared" si="728"/>
        <v>0</v>
      </c>
      <c r="AA411" s="89">
        <f t="shared" si="728"/>
        <v>0</v>
      </c>
      <c r="AB411" s="89">
        <f t="shared" si="728"/>
        <v>863172000</v>
      </c>
      <c r="AC411" s="89">
        <f t="shared" si="728"/>
        <v>0</v>
      </c>
      <c r="AD411" s="89">
        <f t="shared" si="728"/>
        <v>0</v>
      </c>
      <c r="AE411" s="89">
        <f t="shared" si="728"/>
        <v>9620183000</v>
      </c>
      <c r="AF411" s="89">
        <f t="shared" si="728"/>
        <v>0</v>
      </c>
      <c r="AG411" s="89">
        <f t="shared" si="728"/>
        <v>0</v>
      </c>
      <c r="AH411" s="89">
        <f t="shared" si="728"/>
        <v>0</v>
      </c>
      <c r="AI411" s="89">
        <f t="shared" si="728"/>
        <v>0</v>
      </c>
      <c r="AJ411" s="89">
        <f t="shared" si="728"/>
        <v>0</v>
      </c>
      <c r="AK411" s="89">
        <f t="shared" si="728"/>
        <v>0</v>
      </c>
      <c r="AL411" s="89">
        <f t="shared" si="728"/>
        <v>0</v>
      </c>
      <c r="AM411" s="89">
        <f t="shared" si="728"/>
        <v>0</v>
      </c>
      <c r="AN411" s="89">
        <f t="shared" si="728"/>
        <v>8819484000</v>
      </c>
      <c r="AO411" s="89">
        <f t="shared" si="728"/>
        <v>8819484000</v>
      </c>
      <c r="AP411" s="89">
        <f>SUM(AH411:AO411)+SUM(Y411:AC411)</f>
        <v>23807449000</v>
      </c>
      <c r="AQ411" s="89">
        <f t="shared" ref="AQ411:AW411" si="729">AQ60-AQ323</f>
        <v>5305309000</v>
      </c>
      <c r="AR411" s="89">
        <f t="shared" si="729"/>
        <v>0</v>
      </c>
      <c r="AS411" s="89">
        <f t="shared" si="729"/>
        <v>0</v>
      </c>
      <c r="AT411" s="89">
        <f t="shared" si="729"/>
        <v>863172000</v>
      </c>
      <c r="AU411" s="89">
        <f t="shared" si="729"/>
        <v>0</v>
      </c>
      <c r="AV411" s="89">
        <f t="shared" si="729"/>
        <v>0</v>
      </c>
      <c r="AW411" s="89">
        <f t="shared" si="729"/>
        <v>9620183000</v>
      </c>
      <c r="AX411" s="89">
        <f t="shared" ref="AX411" si="730">N411+AF411</f>
        <v>20281948000</v>
      </c>
      <c r="AY411" s="89">
        <f t="shared" ref="AY411:AZ411" si="731">O411+AG411</f>
        <v>863172000</v>
      </c>
      <c r="AZ411" s="89">
        <f t="shared" si="731"/>
        <v>0</v>
      </c>
      <c r="BA411" s="89">
        <f>BA60-BA323</f>
        <v>0</v>
      </c>
      <c r="BB411" s="89">
        <f>BB60-BB323</f>
        <v>0</v>
      </c>
      <c r="BC411" s="89">
        <f>BC60-BC323</f>
        <v>0</v>
      </c>
      <c r="BD411" s="89">
        <f>BD60-BD323</f>
        <v>0</v>
      </c>
      <c r="BE411" s="89">
        <f>BE60-BE323</f>
        <v>0</v>
      </c>
      <c r="BF411" s="89">
        <f t="shared" ref="BF411" si="732">V411+AN411</f>
        <v>8819484000</v>
      </c>
      <c r="BG411" s="89">
        <f>BG60-BG323</f>
        <v>8819484000</v>
      </c>
      <c r="BH411" s="111">
        <f>X411+AP411</f>
        <v>23807449000</v>
      </c>
    </row>
    <row r="412" spans="1:60">
      <c r="A412" s="51"/>
      <c r="B412" s="108"/>
      <c r="C412" s="52"/>
      <c r="D412" s="52" t="s">
        <v>0</v>
      </c>
      <c r="E412" s="52" t="s">
        <v>0</v>
      </c>
      <c r="F412" s="53" t="s">
        <v>29</v>
      </c>
      <c r="G412" s="91"/>
      <c r="H412" s="91"/>
      <c r="I412" s="91"/>
      <c r="J412" s="91"/>
      <c r="K412" s="91"/>
      <c r="L412" s="91"/>
      <c r="M412" s="91"/>
      <c r="N412" s="91"/>
      <c r="O412" s="91"/>
      <c r="P412" s="91"/>
      <c r="Q412" s="91"/>
      <c r="R412" s="91"/>
      <c r="S412" s="91"/>
      <c r="T412" s="91"/>
      <c r="U412" s="91"/>
      <c r="V412" s="91"/>
      <c r="W412" s="91"/>
      <c r="X412" s="91"/>
      <c r="Y412" s="91"/>
      <c r="Z412" s="91"/>
      <c r="AA412" s="91"/>
      <c r="AB412" s="91"/>
      <c r="AC412" s="91"/>
      <c r="AD412" s="91"/>
      <c r="AE412" s="91"/>
      <c r="AF412" s="91"/>
      <c r="AG412" s="91"/>
      <c r="AH412" s="91"/>
      <c r="AI412" s="91"/>
      <c r="AJ412" s="91"/>
      <c r="AK412" s="91"/>
      <c r="AL412" s="91"/>
      <c r="AM412" s="91"/>
      <c r="AN412" s="91"/>
      <c r="AO412" s="91"/>
      <c r="AP412" s="91"/>
      <c r="AQ412" s="91"/>
      <c r="AR412" s="91"/>
      <c r="AS412" s="91"/>
      <c r="AT412" s="91"/>
      <c r="AU412" s="91"/>
      <c r="AV412" s="91"/>
      <c r="AW412" s="91"/>
      <c r="AX412" s="91"/>
      <c r="AY412" s="91"/>
      <c r="AZ412" s="91"/>
      <c r="BA412" s="91"/>
      <c r="BB412" s="91"/>
      <c r="BC412" s="91"/>
      <c r="BD412" s="91"/>
      <c r="BE412" s="91"/>
      <c r="BF412" s="91"/>
      <c r="BG412" s="91"/>
      <c r="BH412" s="112"/>
    </row>
    <row r="413" spans="1:60" ht="22.5">
      <c r="A413" s="51"/>
      <c r="B413" s="108"/>
      <c r="C413" s="52" t="s">
        <v>143</v>
      </c>
      <c r="D413" s="52" t="s">
        <v>93</v>
      </c>
      <c r="E413" s="52" t="s">
        <v>0</v>
      </c>
      <c r="F413" s="54" t="s">
        <v>30</v>
      </c>
      <c r="G413" s="89">
        <f t="shared" ref="G413:W413" si="733">G62-G325</f>
        <v>0</v>
      </c>
      <c r="H413" s="89">
        <f t="shared" si="733"/>
        <v>0</v>
      </c>
      <c r="I413" s="89">
        <f t="shared" si="733"/>
        <v>0</v>
      </c>
      <c r="J413" s="89">
        <f t="shared" si="733"/>
        <v>0</v>
      </c>
      <c r="K413" s="89">
        <f t="shared" si="733"/>
        <v>0</v>
      </c>
      <c r="L413" s="89">
        <f t="shared" si="733"/>
        <v>0</v>
      </c>
      <c r="M413" s="89">
        <f t="shared" si="733"/>
        <v>0</v>
      </c>
      <c r="N413" s="89">
        <f t="shared" si="733"/>
        <v>0</v>
      </c>
      <c r="O413" s="89">
        <f t="shared" si="733"/>
        <v>0</v>
      </c>
      <c r="P413" s="89">
        <f t="shared" si="733"/>
        <v>0</v>
      </c>
      <c r="Q413" s="89">
        <f t="shared" si="733"/>
        <v>0</v>
      </c>
      <c r="R413" s="89">
        <f t="shared" si="733"/>
        <v>0</v>
      </c>
      <c r="S413" s="89">
        <f t="shared" si="733"/>
        <v>0</v>
      </c>
      <c r="T413" s="89">
        <f t="shared" si="733"/>
        <v>0</v>
      </c>
      <c r="U413" s="89">
        <f t="shared" si="733"/>
        <v>0</v>
      </c>
      <c r="V413" s="89">
        <f t="shared" si="733"/>
        <v>0</v>
      </c>
      <c r="W413" s="89">
        <f t="shared" si="733"/>
        <v>0</v>
      </c>
      <c r="X413" s="89">
        <f t="shared" ref="X413:X421" si="734">SUM(P413:W413)+SUM(G413:K413)</f>
        <v>0</v>
      </c>
      <c r="Y413" s="89">
        <f t="shared" ref="Y413:AO413" si="735">Y62-Y325</f>
        <v>0</v>
      </c>
      <c r="Z413" s="89">
        <f t="shared" si="735"/>
        <v>0</v>
      </c>
      <c r="AA413" s="89">
        <f t="shared" si="735"/>
        <v>0</v>
      </c>
      <c r="AB413" s="89">
        <f t="shared" si="735"/>
        <v>0</v>
      </c>
      <c r="AC413" s="89">
        <f t="shared" si="735"/>
        <v>0</v>
      </c>
      <c r="AD413" s="89">
        <f t="shared" si="735"/>
        <v>0</v>
      </c>
      <c r="AE413" s="89">
        <f t="shared" si="735"/>
        <v>0</v>
      </c>
      <c r="AF413" s="89">
        <f t="shared" si="735"/>
        <v>0</v>
      </c>
      <c r="AG413" s="89">
        <f t="shared" si="735"/>
        <v>0</v>
      </c>
      <c r="AH413" s="89">
        <f t="shared" si="735"/>
        <v>0</v>
      </c>
      <c r="AI413" s="89">
        <f t="shared" si="735"/>
        <v>0</v>
      </c>
      <c r="AJ413" s="89">
        <f t="shared" si="735"/>
        <v>0</v>
      </c>
      <c r="AK413" s="89">
        <f t="shared" si="735"/>
        <v>0</v>
      </c>
      <c r="AL413" s="89">
        <f t="shared" si="735"/>
        <v>0</v>
      </c>
      <c r="AM413" s="89">
        <f t="shared" si="735"/>
        <v>0</v>
      </c>
      <c r="AN413" s="89">
        <f t="shared" si="735"/>
        <v>0</v>
      </c>
      <c r="AO413" s="89">
        <f t="shared" si="735"/>
        <v>0</v>
      </c>
      <c r="AP413" s="89">
        <f t="shared" ref="AP413:AP421" si="736">SUM(AH413:AO413)+SUM(Y413:AC413)</f>
        <v>0</v>
      </c>
      <c r="AQ413" s="89">
        <f t="shared" ref="AQ413:AW421" si="737">AQ62-AQ325</f>
        <v>0</v>
      </c>
      <c r="AR413" s="89">
        <f t="shared" si="737"/>
        <v>0</v>
      </c>
      <c r="AS413" s="89">
        <f t="shared" si="737"/>
        <v>0</v>
      </c>
      <c r="AT413" s="89">
        <f t="shared" si="737"/>
        <v>0</v>
      </c>
      <c r="AU413" s="89">
        <f t="shared" si="737"/>
        <v>0</v>
      </c>
      <c r="AV413" s="89">
        <f t="shared" si="737"/>
        <v>0</v>
      </c>
      <c r="AW413" s="89">
        <f t="shared" si="737"/>
        <v>0</v>
      </c>
      <c r="AX413" s="89">
        <f t="shared" ref="AX413:AX421" si="738">N413+AF413</f>
        <v>0</v>
      </c>
      <c r="AY413" s="89">
        <f t="shared" ref="AY413:AZ421" si="739">O413+AG413</f>
        <v>0</v>
      </c>
      <c r="AZ413" s="89">
        <f t="shared" si="739"/>
        <v>0</v>
      </c>
      <c r="BA413" s="89">
        <f t="shared" ref="BA413:BE421" si="740">BA62-BA325</f>
        <v>0</v>
      </c>
      <c r="BB413" s="89">
        <f t="shared" si="740"/>
        <v>0</v>
      </c>
      <c r="BC413" s="89">
        <f t="shared" si="740"/>
        <v>0</v>
      </c>
      <c r="BD413" s="89">
        <f t="shared" si="740"/>
        <v>0</v>
      </c>
      <c r="BE413" s="89">
        <f t="shared" si="740"/>
        <v>0</v>
      </c>
      <c r="BF413" s="89">
        <f t="shared" ref="BF413:BF421" si="741">V413+AN413</f>
        <v>0</v>
      </c>
      <c r="BG413" s="89">
        <f t="shared" ref="BG413:BG421" si="742">BG62-BG325</f>
        <v>0</v>
      </c>
      <c r="BH413" s="111">
        <f t="shared" ref="BH413:BH421" si="743">X413+AP413</f>
        <v>0</v>
      </c>
    </row>
    <row r="414" spans="1:60" ht="22.5">
      <c r="A414" s="51"/>
      <c r="B414" s="108"/>
      <c r="C414" s="52" t="s">
        <v>144</v>
      </c>
      <c r="D414" s="52" t="s">
        <v>93</v>
      </c>
      <c r="E414" s="52" t="s">
        <v>0</v>
      </c>
      <c r="F414" s="54" t="s">
        <v>31</v>
      </c>
      <c r="G414" s="89">
        <f t="shared" ref="G414:W414" si="744">G63-G326</f>
        <v>0</v>
      </c>
      <c r="H414" s="89">
        <f t="shared" si="744"/>
        <v>0</v>
      </c>
      <c r="I414" s="89">
        <f t="shared" si="744"/>
        <v>0</v>
      </c>
      <c r="J414" s="89">
        <f t="shared" si="744"/>
        <v>0</v>
      </c>
      <c r="K414" s="89">
        <f t="shared" si="744"/>
        <v>0</v>
      </c>
      <c r="L414" s="89">
        <f t="shared" si="744"/>
        <v>0</v>
      </c>
      <c r="M414" s="89">
        <f t="shared" si="744"/>
        <v>0</v>
      </c>
      <c r="N414" s="89">
        <f t="shared" si="744"/>
        <v>0</v>
      </c>
      <c r="O414" s="89">
        <f t="shared" si="744"/>
        <v>0</v>
      </c>
      <c r="P414" s="89">
        <f t="shared" si="744"/>
        <v>0</v>
      </c>
      <c r="Q414" s="89">
        <f t="shared" si="744"/>
        <v>0</v>
      </c>
      <c r="R414" s="89">
        <f t="shared" si="744"/>
        <v>0</v>
      </c>
      <c r="S414" s="89">
        <f t="shared" si="744"/>
        <v>0</v>
      </c>
      <c r="T414" s="89">
        <f t="shared" si="744"/>
        <v>0</v>
      </c>
      <c r="U414" s="89">
        <f t="shared" si="744"/>
        <v>0</v>
      </c>
      <c r="V414" s="89">
        <f t="shared" si="744"/>
        <v>0</v>
      </c>
      <c r="W414" s="89">
        <f t="shared" si="744"/>
        <v>0</v>
      </c>
      <c r="X414" s="89">
        <f t="shared" si="734"/>
        <v>0</v>
      </c>
      <c r="Y414" s="89">
        <f t="shared" ref="Y414:AO414" si="745">Y63-Y326</f>
        <v>0</v>
      </c>
      <c r="Z414" s="89">
        <f t="shared" si="745"/>
        <v>0</v>
      </c>
      <c r="AA414" s="89">
        <f t="shared" si="745"/>
        <v>0</v>
      </c>
      <c r="AB414" s="89">
        <f t="shared" si="745"/>
        <v>0</v>
      </c>
      <c r="AC414" s="89">
        <f t="shared" si="745"/>
        <v>0</v>
      </c>
      <c r="AD414" s="89">
        <f t="shared" si="745"/>
        <v>0</v>
      </c>
      <c r="AE414" s="89">
        <f t="shared" si="745"/>
        <v>0</v>
      </c>
      <c r="AF414" s="89">
        <f t="shared" si="745"/>
        <v>0</v>
      </c>
      <c r="AG414" s="89">
        <f t="shared" si="745"/>
        <v>0</v>
      </c>
      <c r="AH414" s="89">
        <f t="shared" si="745"/>
        <v>0</v>
      </c>
      <c r="AI414" s="89">
        <f t="shared" si="745"/>
        <v>0</v>
      </c>
      <c r="AJ414" s="89">
        <f t="shared" si="745"/>
        <v>0</v>
      </c>
      <c r="AK414" s="89">
        <f t="shared" si="745"/>
        <v>0</v>
      </c>
      <c r="AL414" s="89">
        <f t="shared" si="745"/>
        <v>0</v>
      </c>
      <c r="AM414" s="89">
        <f t="shared" si="745"/>
        <v>0</v>
      </c>
      <c r="AN414" s="89">
        <f t="shared" si="745"/>
        <v>0</v>
      </c>
      <c r="AO414" s="89">
        <f t="shared" si="745"/>
        <v>0</v>
      </c>
      <c r="AP414" s="89">
        <f t="shared" si="736"/>
        <v>0</v>
      </c>
      <c r="AQ414" s="89">
        <f t="shared" si="737"/>
        <v>0</v>
      </c>
      <c r="AR414" s="89">
        <f t="shared" si="737"/>
        <v>0</v>
      </c>
      <c r="AS414" s="89">
        <f t="shared" si="737"/>
        <v>0</v>
      </c>
      <c r="AT414" s="89">
        <f t="shared" si="737"/>
        <v>0</v>
      </c>
      <c r="AU414" s="89">
        <f t="shared" si="737"/>
        <v>0</v>
      </c>
      <c r="AV414" s="89">
        <f t="shared" si="737"/>
        <v>0</v>
      </c>
      <c r="AW414" s="89">
        <f t="shared" si="737"/>
        <v>0</v>
      </c>
      <c r="AX414" s="89">
        <f t="shared" si="738"/>
        <v>0</v>
      </c>
      <c r="AY414" s="89">
        <f t="shared" si="739"/>
        <v>0</v>
      </c>
      <c r="AZ414" s="89">
        <f t="shared" si="739"/>
        <v>0</v>
      </c>
      <c r="BA414" s="89">
        <f t="shared" si="740"/>
        <v>0</v>
      </c>
      <c r="BB414" s="89">
        <f t="shared" si="740"/>
        <v>0</v>
      </c>
      <c r="BC414" s="89">
        <f t="shared" si="740"/>
        <v>0</v>
      </c>
      <c r="BD414" s="89">
        <f t="shared" si="740"/>
        <v>0</v>
      </c>
      <c r="BE414" s="89">
        <f t="shared" si="740"/>
        <v>0</v>
      </c>
      <c r="BF414" s="89">
        <f t="shared" si="741"/>
        <v>0</v>
      </c>
      <c r="BG414" s="89">
        <f t="shared" si="742"/>
        <v>0</v>
      </c>
      <c r="BH414" s="111">
        <f t="shared" si="743"/>
        <v>0</v>
      </c>
    </row>
    <row r="415" spans="1:60" ht="15" customHeight="1">
      <c r="A415" s="51"/>
      <c r="B415" s="108"/>
      <c r="C415" s="52" t="s">
        <v>145</v>
      </c>
      <c r="D415" s="52" t="s">
        <v>93</v>
      </c>
      <c r="E415" s="52" t="s">
        <v>0</v>
      </c>
      <c r="F415" s="54" t="s">
        <v>32</v>
      </c>
      <c r="G415" s="89">
        <f t="shared" ref="G415:W415" si="746">G64-G327</f>
        <v>0</v>
      </c>
      <c r="H415" s="89">
        <f t="shared" si="746"/>
        <v>0</v>
      </c>
      <c r="I415" s="89">
        <f t="shared" si="746"/>
        <v>0</v>
      </c>
      <c r="J415" s="89">
        <f t="shared" si="746"/>
        <v>0</v>
      </c>
      <c r="K415" s="89">
        <f t="shared" si="746"/>
        <v>0</v>
      </c>
      <c r="L415" s="89">
        <f t="shared" si="746"/>
        <v>0</v>
      </c>
      <c r="M415" s="89">
        <f t="shared" si="746"/>
        <v>0</v>
      </c>
      <c r="N415" s="89">
        <f t="shared" si="746"/>
        <v>318999000</v>
      </c>
      <c r="O415" s="89">
        <f t="shared" si="746"/>
        <v>17950000</v>
      </c>
      <c r="P415" s="89">
        <f t="shared" si="746"/>
        <v>0</v>
      </c>
      <c r="Q415" s="89">
        <f t="shared" si="746"/>
        <v>0</v>
      </c>
      <c r="R415" s="89">
        <f t="shared" si="746"/>
        <v>0</v>
      </c>
      <c r="S415" s="89">
        <f t="shared" si="746"/>
        <v>0</v>
      </c>
      <c r="T415" s="89">
        <f t="shared" si="746"/>
        <v>0</v>
      </c>
      <c r="U415" s="89">
        <f t="shared" si="746"/>
        <v>0</v>
      </c>
      <c r="V415" s="89">
        <f t="shared" si="746"/>
        <v>0</v>
      </c>
      <c r="W415" s="89">
        <f t="shared" si="746"/>
        <v>0</v>
      </c>
      <c r="X415" s="89">
        <f t="shared" si="734"/>
        <v>0</v>
      </c>
      <c r="Y415" s="89">
        <f t="shared" ref="Y415:AO415" si="747">Y64-Y327</f>
        <v>318999000</v>
      </c>
      <c r="Z415" s="89">
        <f t="shared" si="747"/>
        <v>0</v>
      </c>
      <c r="AA415" s="89">
        <f t="shared" si="747"/>
        <v>0</v>
      </c>
      <c r="AB415" s="89">
        <f t="shared" si="747"/>
        <v>17950000</v>
      </c>
      <c r="AC415" s="89">
        <f t="shared" si="747"/>
        <v>0</v>
      </c>
      <c r="AD415" s="89">
        <f t="shared" si="747"/>
        <v>0</v>
      </c>
      <c r="AE415" s="89">
        <f t="shared" si="747"/>
        <v>0</v>
      </c>
      <c r="AF415" s="89">
        <f t="shared" si="747"/>
        <v>0</v>
      </c>
      <c r="AG415" s="89">
        <f t="shared" si="747"/>
        <v>0</v>
      </c>
      <c r="AH415" s="89">
        <f t="shared" si="747"/>
        <v>0</v>
      </c>
      <c r="AI415" s="89">
        <f t="shared" si="747"/>
        <v>0</v>
      </c>
      <c r="AJ415" s="89">
        <f t="shared" si="747"/>
        <v>0</v>
      </c>
      <c r="AK415" s="89">
        <f t="shared" si="747"/>
        <v>0</v>
      </c>
      <c r="AL415" s="89">
        <f t="shared" si="747"/>
        <v>0</v>
      </c>
      <c r="AM415" s="89">
        <f t="shared" si="747"/>
        <v>0</v>
      </c>
      <c r="AN415" s="89">
        <f t="shared" si="747"/>
        <v>126141000</v>
      </c>
      <c r="AO415" s="89">
        <f t="shared" si="747"/>
        <v>126141000</v>
      </c>
      <c r="AP415" s="89">
        <f t="shared" si="736"/>
        <v>589231000</v>
      </c>
      <c r="AQ415" s="89">
        <f t="shared" si="737"/>
        <v>318999000</v>
      </c>
      <c r="AR415" s="89">
        <f t="shared" si="737"/>
        <v>0</v>
      </c>
      <c r="AS415" s="89">
        <f t="shared" si="737"/>
        <v>0</v>
      </c>
      <c r="AT415" s="89">
        <f t="shared" si="737"/>
        <v>17950000</v>
      </c>
      <c r="AU415" s="89">
        <f t="shared" si="737"/>
        <v>0</v>
      </c>
      <c r="AV415" s="89">
        <f t="shared" si="737"/>
        <v>0</v>
      </c>
      <c r="AW415" s="89">
        <f t="shared" si="737"/>
        <v>0</v>
      </c>
      <c r="AX415" s="89">
        <f t="shared" si="738"/>
        <v>318999000</v>
      </c>
      <c r="AY415" s="89">
        <f t="shared" si="739"/>
        <v>17950000</v>
      </c>
      <c r="AZ415" s="89">
        <f t="shared" si="739"/>
        <v>0</v>
      </c>
      <c r="BA415" s="89">
        <f t="shared" si="740"/>
        <v>0</v>
      </c>
      <c r="BB415" s="89">
        <f t="shared" si="740"/>
        <v>0</v>
      </c>
      <c r="BC415" s="89">
        <f t="shared" si="740"/>
        <v>0</v>
      </c>
      <c r="BD415" s="89">
        <f t="shared" si="740"/>
        <v>0</v>
      </c>
      <c r="BE415" s="89">
        <f t="shared" si="740"/>
        <v>0</v>
      </c>
      <c r="BF415" s="89">
        <f t="shared" si="741"/>
        <v>126141000</v>
      </c>
      <c r="BG415" s="89">
        <f t="shared" si="742"/>
        <v>126141000</v>
      </c>
      <c r="BH415" s="111">
        <f t="shared" si="743"/>
        <v>589231000</v>
      </c>
    </row>
    <row r="416" spans="1:60">
      <c r="A416" s="51"/>
      <c r="B416" s="108"/>
      <c r="C416" s="52" t="s">
        <v>146</v>
      </c>
      <c r="D416" s="52" t="s">
        <v>93</v>
      </c>
      <c r="E416" s="52" t="s">
        <v>0</v>
      </c>
      <c r="F416" s="54" t="s">
        <v>33</v>
      </c>
      <c r="G416" s="89">
        <f t="shared" ref="G416:W416" si="748">G65-G328</f>
        <v>0</v>
      </c>
      <c r="H416" s="89">
        <f t="shared" si="748"/>
        <v>0</v>
      </c>
      <c r="I416" s="89">
        <f t="shared" si="748"/>
        <v>0</v>
      </c>
      <c r="J416" s="89">
        <f t="shared" si="748"/>
        <v>0</v>
      </c>
      <c r="K416" s="89">
        <f t="shared" si="748"/>
        <v>0</v>
      </c>
      <c r="L416" s="89">
        <f t="shared" si="748"/>
        <v>0</v>
      </c>
      <c r="M416" s="89">
        <f t="shared" si="748"/>
        <v>0</v>
      </c>
      <c r="N416" s="89">
        <f t="shared" si="748"/>
        <v>156422000</v>
      </c>
      <c r="O416" s="89">
        <f t="shared" si="748"/>
        <v>425299000</v>
      </c>
      <c r="P416" s="89">
        <f t="shared" si="748"/>
        <v>0</v>
      </c>
      <c r="Q416" s="89">
        <f t="shared" si="748"/>
        <v>0</v>
      </c>
      <c r="R416" s="89">
        <f t="shared" si="748"/>
        <v>0</v>
      </c>
      <c r="S416" s="89">
        <f t="shared" si="748"/>
        <v>0</v>
      </c>
      <c r="T416" s="89">
        <f t="shared" si="748"/>
        <v>0</v>
      </c>
      <c r="U416" s="89">
        <f t="shared" si="748"/>
        <v>0</v>
      </c>
      <c r="V416" s="89">
        <f t="shared" si="748"/>
        <v>0</v>
      </c>
      <c r="W416" s="89">
        <f t="shared" si="748"/>
        <v>0</v>
      </c>
      <c r="X416" s="89">
        <f t="shared" si="734"/>
        <v>0</v>
      </c>
      <c r="Y416" s="89">
        <f t="shared" ref="Y416:AO416" si="749">Y65-Y328</f>
        <v>156422000</v>
      </c>
      <c r="Z416" s="89">
        <f t="shared" si="749"/>
        <v>0</v>
      </c>
      <c r="AA416" s="89">
        <f t="shared" si="749"/>
        <v>0</v>
      </c>
      <c r="AB416" s="89">
        <f t="shared" si="749"/>
        <v>425299000</v>
      </c>
      <c r="AC416" s="89">
        <f t="shared" si="749"/>
        <v>0</v>
      </c>
      <c r="AD416" s="89">
        <f t="shared" si="749"/>
        <v>0</v>
      </c>
      <c r="AE416" s="89">
        <f t="shared" si="749"/>
        <v>0</v>
      </c>
      <c r="AF416" s="89">
        <f t="shared" si="749"/>
        <v>0</v>
      </c>
      <c r="AG416" s="89">
        <f t="shared" si="749"/>
        <v>0</v>
      </c>
      <c r="AH416" s="89">
        <f t="shared" si="749"/>
        <v>0</v>
      </c>
      <c r="AI416" s="89">
        <f t="shared" si="749"/>
        <v>0</v>
      </c>
      <c r="AJ416" s="89">
        <f t="shared" si="749"/>
        <v>0</v>
      </c>
      <c r="AK416" s="89">
        <f t="shared" si="749"/>
        <v>0</v>
      </c>
      <c r="AL416" s="89">
        <f t="shared" si="749"/>
        <v>0</v>
      </c>
      <c r="AM416" s="89">
        <f t="shared" si="749"/>
        <v>0</v>
      </c>
      <c r="AN416" s="89">
        <f t="shared" si="749"/>
        <v>2291999000</v>
      </c>
      <c r="AO416" s="89">
        <f t="shared" si="749"/>
        <v>2291999000</v>
      </c>
      <c r="AP416" s="89">
        <f t="shared" si="736"/>
        <v>5165719000</v>
      </c>
      <c r="AQ416" s="89">
        <f t="shared" si="737"/>
        <v>156422000</v>
      </c>
      <c r="AR416" s="89">
        <f t="shared" si="737"/>
        <v>0</v>
      </c>
      <c r="AS416" s="89">
        <f t="shared" si="737"/>
        <v>0</v>
      </c>
      <c r="AT416" s="89">
        <f t="shared" si="737"/>
        <v>425299000</v>
      </c>
      <c r="AU416" s="89">
        <f t="shared" si="737"/>
        <v>0</v>
      </c>
      <c r="AV416" s="89">
        <f t="shared" si="737"/>
        <v>0</v>
      </c>
      <c r="AW416" s="89">
        <f t="shared" si="737"/>
        <v>0</v>
      </c>
      <c r="AX416" s="89">
        <f t="shared" si="738"/>
        <v>156422000</v>
      </c>
      <c r="AY416" s="89">
        <f t="shared" si="739"/>
        <v>425299000</v>
      </c>
      <c r="AZ416" s="89">
        <f t="shared" si="739"/>
        <v>0</v>
      </c>
      <c r="BA416" s="89">
        <f t="shared" si="740"/>
        <v>0</v>
      </c>
      <c r="BB416" s="89">
        <f t="shared" si="740"/>
        <v>0</v>
      </c>
      <c r="BC416" s="89">
        <f t="shared" si="740"/>
        <v>0</v>
      </c>
      <c r="BD416" s="89">
        <f t="shared" si="740"/>
        <v>0</v>
      </c>
      <c r="BE416" s="89">
        <f t="shared" si="740"/>
        <v>0</v>
      </c>
      <c r="BF416" s="89">
        <f t="shared" si="741"/>
        <v>2291999000</v>
      </c>
      <c r="BG416" s="89">
        <f t="shared" si="742"/>
        <v>2291999000</v>
      </c>
      <c r="BH416" s="111">
        <f t="shared" si="743"/>
        <v>5165719000</v>
      </c>
    </row>
    <row r="417" spans="1:60" ht="22.5">
      <c r="A417" s="51"/>
      <c r="B417" s="108"/>
      <c r="C417" s="52" t="s">
        <v>147</v>
      </c>
      <c r="D417" s="52" t="s">
        <v>93</v>
      </c>
      <c r="E417" s="52" t="s">
        <v>0</v>
      </c>
      <c r="F417" s="54" t="s">
        <v>34</v>
      </c>
      <c r="G417" s="89">
        <f t="shared" ref="G417:W417" si="750">G66-G329</f>
        <v>0</v>
      </c>
      <c r="H417" s="89">
        <f t="shared" si="750"/>
        <v>0</v>
      </c>
      <c r="I417" s="89">
        <f t="shared" si="750"/>
        <v>0</v>
      </c>
      <c r="J417" s="89">
        <f t="shared" si="750"/>
        <v>0</v>
      </c>
      <c r="K417" s="89">
        <f t="shared" si="750"/>
        <v>0</v>
      </c>
      <c r="L417" s="89">
        <f t="shared" si="750"/>
        <v>0</v>
      </c>
      <c r="M417" s="89">
        <f t="shared" si="750"/>
        <v>0</v>
      </c>
      <c r="N417" s="89">
        <f t="shared" si="750"/>
        <v>0</v>
      </c>
      <c r="O417" s="89">
        <f t="shared" si="750"/>
        <v>0</v>
      </c>
      <c r="P417" s="89">
        <f t="shared" si="750"/>
        <v>0</v>
      </c>
      <c r="Q417" s="89">
        <f t="shared" si="750"/>
        <v>0</v>
      </c>
      <c r="R417" s="89">
        <f t="shared" si="750"/>
        <v>0</v>
      </c>
      <c r="S417" s="89">
        <f t="shared" si="750"/>
        <v>0</v>
      </c>
      <c r="T417" s="89">
        <f t="shared" si="750"/>
        <v>0</v>
      </c>
      <c r="U417" s="89">
        <f t="shared" si="750"/>
        <v>0</v>
      </c>
      <c r="V417" s="89">
        <f t="shared" si="750"/>
        <v>0</v>
      </c>
      <c r="W417" s="89">
        <f t="shared" si="750"/>
        <v>0</v>
      </c>
      <c r="X417" s="89">
        <f t="shared" si="734"/>
        <v>0</v>
      </c>
      <c r="Y417" s="89">
        <f t="shared" ref="Y417:AO417" si="751">Y66-Y329</f>
        <v>0</v>
      </c>
      <c r="Z417" s="89">
        <f t="shared" si="751"/>
        <v>0</v>
      </c>
      <c r="AA417" s="89">
        <f t="shared" si="751"/>
        <v>0</v>
      </c>
      <c r="AB417" s="89">
        <f t="shared" si="751"/>
        <v>0</v>
      </c>
      <c r="AC417" s="89">
        <f t="shared" si="751"/>
        <v>0</v>
      </c>
      <c r="AD417" s="89">
        <f t="shared" si="751"/>
        <v>0</v>
      </c>
      <c r="AE417" s="89">
        <f t="shared" si="751"/>
        <v>0</v>
      </c>
      <c r="AF417" s="89">
        <f t="shared" si="751"/>
        <v>0</v>
      </c>
      <c r="AG417" s="89">
        <f t="shared" si="751"/>
        <v>0</v>
      </c>
      <c r="AH417" s="89">
        <f t="shared" si="751"/>
        <v>0</v>
      </c>
      <c r="AI417" s="89">
        <f t="shared" si="751"/>
        <v>0</v>
      </c>
      <c r="AJ417" s="89">
        <f t="shared" si="751"/>
        <v>0</v>
      </c>
      <c r="AK417" s="89">
        <f t="shared" si="751"/>
        <v>0</v>
      </c>
      <c r="AL417" s="89">
        <f t="shared" si="751"/>
        <v>0</v>
      </c>
      <c r="AM417" s="89">
        <f t="shared" si="751"/>
        <v>0</v>
      </c>
      <c r="AN417" s="89">
        <f t="shared" si="751"/>
        <v>0</v>
      </c>
      <c r="AO417" s="89">
        <f t="shared" si="751"/>
        <v>0</v>
      </c>
      <c r="AP417" s="89">
        <f t="shared" si="736"/>
        <v>0</v>
      </c>
      <c r="AQ417" s="89">
        <f t="shared" si="737"/>
        <v>0</v>
      </c>
      <c r="AR417" s="89">
        <f t="shared" si="737"/>
        <v>0</v>
      </c>
      <c r="AS417" s="89">
        <f t="shared" si="737"/>
        <v>0</v>
      </c>
      <c r="AT417" s="89">
        <f t="shared" si="737"/>
        <v>0</v>
      </c>
      <c r="AU417" s="89">
        <f t="shared" si="737"/>
        <v>0</v>
      </c>
      <c r="AV417" s="89">
        <f t="shared" si="737"/>
        <v>0</v>
      </c>
      <c r="AW417" s="89">
        <f t="shared" si="737"/>
        <v>0</v>
      </c>
      <c r="AX417" s="89">
        <f t="shared" si="738"/>
        <v>0</v>
      </c>
      <c r="AY417" s="89">
        <f t="shared" si="739"/>
        <v>0</v>
      </c>
      <c r="AZ417" s="89">
        <f t="shared" si="739"/>
        <v>0</v>
      </c>
      <c r="BA417" s="89">
        <f t="shared" si="740"/>
        <v>0</v>
      </c>
      <c r="BB417" s="89">
        <f t="shared" si="740"/>
        <v>0</v>
      </c>
      <c r="BC417" s="89">
        <f t="shared" si="740"/>
        <v>0</v>
      </c>
      <c r="BD417" s="89">
        <f t="shared" si="740"/>
        <v>0</v>
      </c>
      <c r="BE417" s="89">
        <f t="shared" si="740"/>
        <v>0</v>
      </c>
      <c r="BF417" s="89">
        <f t="shared" si="741"/>
        <v>0</v>
      </c>
      <c r="BG417" s="89">
        <f t="shared" si="742"/>
        <v>0</v>
      </c>
      <c r="BH417" s="111">
        <f t="shared" si="743"/>
        <v>0</v>
      </c>
    </row>
    <row r="418" spans="1:60" ht="22.5">
      <c r="A418" s="51"/>
      <c r="B418" s="108"/>
      <c r="C418" s="52" t="s">
        <v>148</v>
      </c>
      <c r="D418" s="52" t="s">
        <v>93</v>
      </c>
      <c r="E418" s="52" t="s">
        <v>0</v>
      </c>
      <c r="F418" s="54" t="s">
        <v>35</v>
      </c>
      <c r="G418" s="89">
        <f t="shared" ref="G418:W418" si="752">G67-G330</f>
        <v>0</v>
      </c>
      <c r="H418" s="89">
        <f t="shared" si="752"/>
        <v>0</v>
      </c>
      <c r="I418" s="89">
        <f t="shared" si="752"/>
        <v>0</v>
      </c>
      <c r="J418" s="89">
        <f t="shared" si="752"/>
        <v>0</v>
      </c>
      <c r="K418" s="89">
        <f t="shared" si="752"/>
        <v>0</v>
      </c>
      <c r="L418" s="89">
        <f t="shared" si="752"/>
        <v>0</v>
      </c>
      <c r="M418" s="89">
        <f t="shared" si="752"/>
        <v>0</v>
      </c>
      <c r="N418" s="89">
        <f t="shared" si="752"/>
        <v>0</v>
      </c>
      <c r="O418" s="89">
        <f t="shared" si="752"/>
        <v>0</v>
      </c>
      <c r="P418" s="89">
        <f t="shared" si="752"/>
        <v>0</v>
      </c>
      <c r="Q418" s="89">
        <f t="shared" si="752"/>
        <v>0</v>
      </c>
      <c r="R418" s="89">
        <f t="shared" si="752"/>
        <v>0</v>
      </c>
      <c r="S418" s="89">
        <f t="shared" si="752"/>
        <v>0</v>
      </c>
      <c r="T418" s="89">
        <f t="shared" si="752"/>
        <v>0</v>
      </c>
      <c r="U418" s="89">
        <f t="shared" si="752"/>
        <v>0</v>
      </c>
      <c r="V418" s="89">
        <f t="shared" si="752"/>
        <v>0</v>
      </c>
      <c r="W418" s="89">
        <f t="shared" si="752"/>
        <v>0</v>
      </c>
      <c r="X418" s="89">
        <f t="shared" si="734"/>
        <v>0</v>
      </c>
      <c r="Y418" s="89">
        <f t="shared" ref="Y418:AO418" si="753">Y67-Y330</f>
        <v>0</v>
      </c>
      <c r="Z418" s="89">
        <f t="shared" si="753"/>
        <v>0</v>
      </c>
      <c r="AA418" s="89">
        <f t="shared" si="753"/>
        <v>0</v>
      </c>
      <c r="AB418" s="89">
        <f t="shared" si="753"/>
        <v>0</v>
      </c>
      <c r="AC418" s="89">
        <f t="shared" si="753"/>
        <v>0</v>
      </c>
      <c r="AD418" s="89">
        <f t="shared" si="753"/>
        <v>0</v>
      </c>
      <c r="AE418" s="89">
        <f t="shared" si="753"/>
        <v>0</v>
      </c>
      <c r="AF418" s="89">
        <f t="shared" si="753"/>
        <v>0</v>
      </c>
      <c r="AG418" s="89">
        <f t="shared" si="753"/>
        <v>0</v>
      </c>
      <c r="AH418" s="89">
        <f t="shared" si="753"/>
        <v>0</v>
      </c>
      <c r="AI418" s="89">
        <f t="shared" si="753"/>
        <v>0</v>
      </c>
      <c r="AJ418" s="89">
        <f t="shared" si="753"/>
        <v>0</v>
      </c>
      <c r="AK418" s="89">
        <f t="shared" si="753"/>
        <v>0</v>
      </c>
      <c r="AL418" s="89">
        <f t="shared" si="753"/>
        <v>0</v>
      </c>
      <c r="AM418" s="89">
        <f t="shared" si="753"/>
        <v>0</v>
      </c>
      <c r="AN418" s="89">
        <f t="shared" si="753"/>
        <v>0</v>
      </c>
      <c r="AO418" s="89">
        <f t="shared" si="753"/>
        <v>0</v>
      </c>
      <c r="AP418" s="89">
        <f t="shared" si="736"/>
        <v>0</v>
      </c>
      <c r="AQ418" s="89">
        <f t="shared" si="737"/>
        <v>0</v>
      </c>
      <c r="AR418" s="89">
        <f t="shared" si="737"/>
        <v>0</v>
      </c>
      <c r="AS418" s="89">
        <f t="shared" si="737"/>
        <v>0</v>
      </c>
      <c r="AT418" s="89">
        <f t="shared" si="737"/>
        <v>0</v>
      </c>
      <c r="AU418" s="89">
        <f t="shared" si="737"/>
        <v>0</v>
      </c>
      <c r="AV418" s="89">
        <f t="shared" si="737"/>
        <v>0</v>
      </c>
      <c r="AW418" s="89">
        <f t="shared" si="737"/>
        <v>0</v>
      </c>
      <c r="AX418" s="89">
        <f t="shared" si="738"/>
        <v>0</v>
      </c>
      <c r="AY418" s="89">
        <f t="shared" si="739"/>
        <v>0</v>
      </c>
      <c r="AZ418" s="89">
        <f t="shared" si="739"/>
        <v>0</v>
      </c>
      <c r="BA418" s="89">
        <f t="shared" si="740"/>
        <v>0</v>
      </c>
      <c r="BB418" s="89">
        <f t="shared" si="740"/>
        <v>0</v>
      </c>
      <c r="BC418" s="89">
        <f t="shared" si="740"/>
        <v>0</v>
      </c>
      <c r="BD418" s="89">
        <f t="shared" si="740"/>
        <v>0</v>
      </c>
      <c r="BE418" s="89">
        <f t="shared" si="740"/>
        <v>0</v>
      </c>
      <c r="BF418" s="89">
        <f t="shared" si="741"/>
        <v>0</v>
      </c>
      <c r="BG418" s="89">
        <f t="shared" si="742"/>
        <v>0</v>
      </c>
      <c r="BH418" s="111">
        <f t="shared" si="743"/>
        <v>0</v>
      </c>
    </row>
    <row r="419" spans="1:60" ht="22.5">
      <c r="A419" s="51"/>
      <c r="B419" s="108"/>
      <c r="C419" s="52" t="s">
        <v>149</v>
      </c>
      <c r="D419" s="52" t="s">
        <v>93</v>
      </c>
      <c r="E419" s="52" t="s">
        <v>0</v>
      </c>
      <c r="F419" s="54" t="s">
        <v>36</v>
      </c>
      <c r="G419" s="89">
        <f t="shared" ref="G419:W419" si="754">G68-G331</f>
        <v>0</v>
      </c>
      <c r="H419" s="89">
        <f t="shared" si="754"/>
        <v>0</v>
      </c>
      <c r="I419" s="89">
        <f t="shared" si="754"/>
        <v>0</v>
      </c>
      <c r="J419" s="89">
        <f t="shared" si="754"/>
        <v>0</v>
      </c>
      <c r="K419" s="89">
        <f t="shared" si="754"/>
        <v>0</v>
      </c>
      <c r="L419" s="89">
        <f t="shared" si="754"/>
        <v>0</v>
      </c>
      <c r="M419" s="89">
        <f t="shared" si="754"/>
        <v>0</v>
      </c>
      <c r="N419" s="89">
        <f t="shared" si="754"/>
        <v>0</v>
      </c>
      <c r="O419" s="89">
        <f t="shared" si="754"/>
        <v>0</v>
      </c>
      <c r="P419" s="89">
        <f t="shared" si="754"/>
        <v>0</v>
      </c>
      <c r="Q419" s="89">
        <f t="shared" si="754"/>
        <v>0</v>
      </c>
      <c r="R419" s="89">
        <f t="shared" si="754"/>
        <v>0</v>
      </c>
      <c r="S419" s="89">
        <f t="shared" si="754"/>
        <v>0</v>
      </c>
      <c r="T419" s="89">
        <f t="shared" si="754"/>
        <v>0</v>
      </c>
      <c r="U419" s="89">
        <f t="shared" si="754"/>
        <v>0</v>
      </c>
      <c r="V419" s="89">
        <f t="shared" si="754"/>
        <v>0</v>
      </c>
      <c r="W419" s="89">
        <f t="shared" si="754"/>
        <v>0</v>
      </c>
      <c r="X419" s="89">
        <f t="shared" si="734"/>
        <v>0</v>
      </c>
      <c r="Y419" s="89">
        <f t="shared" ref="Y419:AO419" si="755">Y68-Y331</f>
        <v>0</v>
      </c>
      <c r="Z419" s="89">
        <f t="shared" si="755"/>
        <v>0</v>
      </c>
      <c r="AA419" s="89">
        <f t="shared" si="755"/>
        <v>0</v>
      </c>
      <c r="AB419" s="89">
        <f t="shared" si="755"/>
        <v>0</v>
      </c>
      <c r="AC419" s="89">
        <f t="shared" si="755"/>
        <v>0</v>
      </c>
      <c r="AD419" s="89">
        <f t="shared" si="755"/>
        <v>0</v>
      </c>
      <c r="AE419" s="89">
        <f t="shared" si="755"/>
        <v>0</v>
      </c>
      <c r="AF419" s="89">
        <f t="shared" si="755"/>
        <v>0</v>
      </c>
      <c r="AG419" s="89">
        <f t="shared" si="755"/>
        <v>0</v>
      </c>
      <c r="AH419" s="89">
        <f t="shared" si="755"/>
        <v>0</v>
      </c>
      <c r="AI419" s="89">
        <f t="shared" si="755"/>
        <v>0</v>
      </c>
      <c r="AJ419" s="89">
        <f t="shared" si="755"/>
        <v>0</v>
      </c>
      <c r="AK419" s="89">
        <f t="shared" si="755"/>
        <v>0</v>
      </c>
      <c r="AL419" s="89">
        <f t="shared" si="755"/>
        <v>0</v>
      </c>
      <c r="AM419" s="89">
        <f t="shared" si="755"/>
        <v>0</v>
      </c>
      <c r="AN419" s="89">
        <f t="shared" si="755"/>
        <v>0</v>
      </c>
      <c r="AO419" s="89">
        <f t="shared" si="755"/>
        <v>0</v>
      </c>
      <c r="AP419" s="89">
        <f t="shared" si="736"/>
        <v>0</v>
      </c>
      <c r="AQ419" s="89">
        <f t="shared" si="737"/>
        <v>0</v>
      </c>
      <c r="AR419" s="89">
        <f t="shared" si="737"/>
        <v>0</v>
      </c>
      <c r="AS419" s="89">
        <f t="shared" si="737"/>
        <v>0</v>
      </c>
      <c r="AT419" s="89">
        <f t="shared" si="737"/>
        <v>0</v>
      </c>
      <c r="AU419" s="89">
        <f t="shared" si="737"/>
        <v>0</v>
      </c>
      <c r="AV419" s="89">
        <f t="shared" si="737"/>
        <v>0</v>
      </c>
      <c r="AW419" s="89">
        <f t="shared" si="737"/>
        <v>0</v>
      </c>
      <c r="AX419" s="89">
        <f t="shared" si="738"/>
        <v>0</v>
      </c>
      <c r="AY419" s="89">
        <f t="shared" si="739"/>
        <v>0</v>
      </c>
      <c r="AZ419" s="89">
        <f t="shared" si="739"/>
        <v>0</v>
      </c>
      <c r="BA419" s="89">
        <f t="shared" si="740"/>
        <v>0</v>
      </c>
      <c r="BB419" s="89">
        <f t="shared" si="740"/>
        <v>0</v>
      </c>
      <c r="BC419" s="89">
        <f t="shared" si="740"/>
        <v>0</v>
      </c>
      <c r="BD419" s="89">
        <f t="shared" si="740"/>
        <v>0</v>
      </c>
      <c r="BE419" s="89">
        <f t="shared" si="740"/>
        <v>0</v>
      </c>
      <c r="BF419" s="89">
        <f t="shared" si="741"/>
        <v>0</v>
      </c>
      <c r="BG419" s="89">
        <f t="shared" si="742"/>
        <v>0</v>
      </c>
      <c r="BH419" s="111">
        <f t="shared" si="743"/>
        <v>0</v>
      </c>
    </row>
    <row r="420" spans="1:60" ht="22.5">
      <c r="A420" s="51"/>
      <c r="B420" s="108"/>
      <c r="C420" s="52" t="s">
        <v>150</v>
      </c>
      <c r="D420" s="52" t="s">
        <v>93</v>
      </c>
      <c r="E420" s="52" t="s">
        <v>0</v>
      </c>
      <c r="F420" s="54" t="s">
        <v>37</v>
      </c>
      <c r="G420" s="89">
        <f t="shared" ref="G420:W420" si="756">G69-G332</f>
        <v>0</v>
      </c>
      <c r="H420" s="89">
        <f t="shared" si="756"/>
        <v>0</v>
      </c>
      <c r="I420" s="89">
        <f t="shared" si="756"/>
        <v>0</v>
      </c>
      <c r="J420" s="89">
        <f t="shared" si="756"/>
        <v>0</v>
      </c>
      <c r="K420" s="89">
        <f t="shared" si="756"/>
        <v>0</v>
      </c>
      <c r="L420" s="89">
        <f t="shared" si="756"/>
        <v>0</v>
      </c>
      <c r="M420" s="89">
        <f t="shared" si="756"/>
        <v>0</v>
      </c>
      <c r="N420" s="89">
        <f t="shared" si="756"/>
        <v>0</v>
      </c>
      <c r="O420" s="89">
        <f t="shared" si="756"/>
        <v>0</v>
      </c>
      <c r="P420" s="89">
        <f t="shared" si="756"/>
        <v>0</v>
      </c>
      <c r="Q420" s="89">
        <f t="shared" si="756"/>
        <v>0</v>
      </c>
      <c r="R420" s="89">
        <f t="shared" si="756"/>
        <v>0</v>
      </c>
      <c r="S420" s="89">
        <f t="shared" si="756"/>
        <v>0</v>
      </c>
      <c r="T420" s="89">
        <f t="shared" si="756"/>
        <v>0</v>
      </c>
      <c r="U420" s="89">
        <f t="shared" si="756"/>
        <v>0</v>
      </c>
      <c r="V420" s="89">
        <f t="shared" si="756"/>
        <v>0</v>
      </c>
      <c r="W420" s="89">
        <f t="shared" si="756"/>
        <v>0</v>
      </c>
      <c r="X420" s="89">
        <f t="shared" si="734"/>
        <v>0</v>
      </c>
      <c r="Y420" s="89">
        <f t="shared" ref="Y420:AO420" si="757">Y69-Y332</f>
        <v>0</v>
      </c>
      <c r="Z420" s="89">
        <f t="shared" si="757"/>
        <v>0</v>
      </c>
      <c r="AA420" s="89">
        <f t="shared" si="757"/>
        <v>0</v>
      </c>
      <c r="AB420" s="89">
        <f t="shared" si="757"/>
        <v>0</v>
      </c>
      <c r="AC420" s="89">
        <f t="shared" si="757"/>
        <v>0</v>
      </c>
      <c r="AD420" s="89">
        <f t="shared" si="757"/>
        <v>0</v>
      </c>
      <c r="AE420" s="89">
        <f t="shared" si="757"/>
        <v>0</v>
      </c>
      <c r="AF420" s="89">
        <f t="shared" si="757"/>
        <v>0</v>
      </c>
      <c r="AG420" s="89">
        <f t="shared" si="757"/>
        <v>0</v>
      </c>
      <c r="AH420" s="89">
        <f t="shared" si="757"/>
        <v>0</v>
      </c>
      <c r="AI420" s="89">
        <f t="shared" si="757"/>
        <v>0</v>
      </c>
      <c r="AJ420" s="89">
        <f t="shared" si="757"/>
        <v>0</v>
      </c>
      <c r="AK420" s="89">
        <f t="shared" si="757"/>
        <v>0</v>
      </c>
      <c r="AL420" s="89">
        <f t="shared" si="757"/>
        <v>0</v>
      </c>
      <c r="AM420" s="89">
        <f t="shared" si="757"/>
        <v>0</v>
      </c>
      <c r="AN420" s="89">
        <f t="shared" si="757"/>
        <v>0</v>
      </c>
      <c r="AO420" s="89">
        <f t="shared" si="757"/>
        <v>0</v>
      </c>
      <c r="AP420" s="89">
        <f t="shared" si="736"/>
        <v>0</v>
      </c>
      <c r="AQ420" s="89">
        <f t="shared" si="737"/>
        <v>0</v>
      </c>
      <c r="AR420" s="89">
        <f t="shared" si="737"/>
        <v>0</v>
      </c>
      <c r="AS420" s="89">
        <f t="shared" si="737"/>
        <v>0</v>
      </c>
      <c r="AT420" s="89">
        <f t="shared" si="737"/>
        <v>0</v>
      </c>
      <c r="AU420" s="89">
        <f t="shared" si="737"/>
        <v>0</v>
      </c>
      <c r="AV420" s="89">
        <f t="shared" si="737"/>
        <v>0</v>
      </c>
      <c r="AW420" s="89">
        <f t="shared" si="737"/>
        <v>0</v>
      </c>
      <c r="AX420" s="89">
        <f t="shared" si="738"/>
        <v>0</v>
      </c>
      <c r="AY420" s="89">
        <f t="shared" si="739"/>
        <v>0</v>
      </c>
      <c r="AZ420" s="89">
        <f t="shared" si="739"/>
        <v>0</v>
      </c>
      <c r="BA420" s="89">
        <f t="shared" si="740"/>
        <v>0</v>
      </c>
      <c r="BB420" s="89">
        <f t="shared" si="740"/>
        <v>0</v>
      </c>
      <c r="BC420" s="89">
        <f t="shared" si="740"/>
        <v>0</v>
      </c>
      <c r="BD420" s="89">
        <f t="shared" si="740"/>
        <v>0</v>
      </c>
      <c r="BE420" s="89">
        <f t="shared" si="740"/>
        <v>0</v>
      </c>
      <c r="BF420" s="89">
        <f t="shared" si="741"/>
        <v>0</v>
      </c>
      <c r="BG420" s="89">
        <f t="shared" si="742"/>
        <v>0</v>
      </c>
      <c r="BH420" s="111">
        <f t="shared" si="743"/>
        <v>0</v>
      </c>
    </row>
    <row r="421" spans="1:60" ht="22.5">
      <c r="A421" s="51"/>
      <c r="B421" s="108"/>
      <c r="C421" s="52" t="s">
        <v>151</v>
      </c>
      <c r="D421" s="52" t="s">
        <v>93</v>
      </c>
      <c r="E421" s="52" t="s">
        <v>0</v>
      </c>
      <c r="F421" s="54" t="s">
        <v>38</v>
      </c>
      <c r="G421" s="89">
        <f t="shared" ref="G421:W421" si="758">G70-G333</f>
        <v>0</v>
      </c>
      <c r="H421" s="89">
        <f t="shared" si="758"/>
        <v>0</v>
      </c>
      <c r="I421" s="89">
        <f t="shared" si="758"/>
        <v>0</v>
      </c>
      <c r="J421" s="89">
        <f t="shared" si="758"/>
        <v>0</v>
      </c>
      <c r="K421" s="89">
        <f t="shared" si="758"/>
        <v>0</v>
      </c>
      <c r="L421" s="89">
        <f t="shared" si="758"/>
        <v>0</v>
      </c>
      <c r="M421" s="89">
        <f t="shared" si="758"/>
        <v>0</v>
      </c>
      <c r="N421" s="89">
        <f t="shared" si="758"/>
        <v>0</v>
      </c>
      <c r="O421" s="89">
        <f t="shared" si="758"/>
        <v>0</v>
      </c>
      <c r="P421" s="89">
        <f t="shared" si="758"/>
        <v>0</v>
      </c>
      <c r="Q421" s="89">
        <f t="shared" si="758"/>
        <v>0</v>
      </c>
      <c r="R421" s="89">
        <f t="shared" si="758"/>
        <v>0</v>
      </c>
      <c r="S421" s="89">
        <f t="shared" si="758"/>
        <v>0</v>
      </c>
      <c r="T421" s="89">
        <f t="shared" si="758"/>
        <v>0</v>
      </c>
      <c r="U421" s="89">
        <f t="shared" si="758"/>
        <v>0</v>
      </c>
      <c r="V421" s="89">
        <f t="shared" si="758"/>
        <v>0</v>
      </c>
      <c r="W421" s="89">
        <f t="shared" si="758"/>
        <v>0</v>
      </c>
      <c r="X421" s="89">
        <f t="shared" si="734"/>
        <v>0</v>
      </c>
      <c r="Y421" s="89">
        <f t="shared" ref="Y421:AO421" si="759">Y70-Y333</f>
        <v>0</v>
      </c>
      <c r="Z421" s="89">
        <f t="shared" si="759"/>
        <v>0</v>
      </c>
      <c r="AA421" s="89">
        <f t="shared" si="759"/>
        <v>0</v>
      </c>
      <c r="AB421" s="89">
        <f t="shared" si="759"/>
        <v>0</v>
      </c>
      <c r="AC421" s="89">
        <f t="shared" si="759"/>
        <v>0</v>
      </c>
      <c r="AD421" s="89">
        <f t="shared" si="759"/>
        <v>0</v>
      </c>
      <c r="AE421" s="89">
        <f t="shared" si="759"/>
        <v>0</v>
      </c>
      <c r="AF421" s="89">
        <f t="shared" si="759"/>
        <v>0</v>
      </c>
      <c r="AG421" s="89">
        <f t="shared" si="759"/>
        <v>0</v>
      </c>
      <c r="AH421" s="89">
        <f t="shared" si="759"/>
        <v>0</v>
      </c>
      <c r="AI421" s="89">
        <f t="shared" si="759"/>
        <v>0</v>
      </c>
      <c r="AJ421" s="89">
        <f t="shared" si="759"/>
        <v>0</v>
      </c>
      <c r="AK421" s="89">
        <f t="shared" si="759"/>
        <v>0</v>
      </c>
      <c r="AL421" s="89">
        <f t="shared" si="759"/>
        <v>0</v>
      </c>
      <c r="AM421" s="89">
        <f t="shared" si="759"/>
        <v>0</v>
      </c>
      <c r="AN421" s="89">
        <f t="shared" si="759"/>
        <v>0</v>
      </c>
      <c r="AO421" s="89">
        <f t="shared" si="759"/>
        <v>0</v>
      </c>
      <c r="AP421" s="89">
        <f t="shared" si="736"/>
        <v>0</v>
      </c>
      <c r="AQ421" s="89">
        <f t="shared" si="737"/>
        <v>0</v>
      </c>
      <c r="AR421" s="89">
        <f t="shared" si="737"/>
        <v>0</v>
      </c>
      <c r="AS421" s="89">
        <f t="shared" si="737"/>
        <v>0</v>
      </c>
      <c r="AT421" s="89">
        <f t="shared" si="737"/>
        <v>0</v>
      </c>
      <c r="AU421" s="89">
        <f t="shared" si="737"/>
        <v>0</v>
      </c>
      <c r="AV421" s="89">
        <f t="shared" si="737"/>
        <v>0</v>
      </c>
      <c r="AW421" s="89">
        <f t="shared" si="737"/>
        <v>0</v>
      </c>
      <c r="AX421" s="89">
        <f t="shared" si="738"/>
        <v>0</v>
      </c>
      <c r="AY421" s="89">
        <f t="shared" si="739"/>
        <v>0</v>
      </c>
      <c r="AZ421" s="89">
        <f t="shared" si="739"/>
        <v>0</v>
      </c>
      <c r="BA421" s="89">
        <f t="shared" si="740"/>
        <v>0</v>
      </c>
      <c r="BB421" s="89">
        <f t="shared" si="740"/>
        <v>0</v>
      </c>
      <c r="BC421" s="89">
        <f t="shared" si="740"/>
        <v>0</v>
      </c>
      <c r="BD421" s="89">
        <f t="shared" si="740"/>
        <v>0</v>
      </c>
      <c r="BE421" s="89">
        <f t="shared" si="740"/>
        <v>0</v>
      </c>
      <c r="BF421" s="89">
        <f t="shared" si="741"/>
        <v>0</v>
      </c>
      <c r="BG421" s="89">
        <f t="shared" si="742"/>
        <v>0</v>
      </c>
      <c r="BH421" s="111">
        <f t="shared" si="743"/>
        <v>0</v>
      </c>
    </row>
    <row r="422" spans="1:60" ht="22.5">
      <c r="A422" s="51"/>
      <c r="B422" s="108"/>
      <c r="C422" s="52"/>
      <c r="D422" s="52" t="s">
        <v>0</v>
      </c>
      <c r="E422" s="52" t="s">
        <v>0</v>
      </c>
      <c r="F422" s="53" t="s">
        <v>39</v>
      </c>
      <c r="G422" s="91"/>
      <c r="H422" s="91"/>
      <c r="I422" s="91"/>
      <c r="J422" s="91"/>
      <c r="K422" s="91"/>
      <c r="L422" s="91"/>
      <c r="M422" s="91"/>
      <c r="N422" s="91"/>
      <c r="O422" s="91"/>
      <c r="P422" s="91"/>
      <c r="Q422" s="91"/>
      <c r="R422" s="91"/>
      <c r="S422" s="91"/>
      <c r="T422" s="91"/>
      <c r="U422" s="91"/>
      <c r="V422" s="91"/>
      <c r="W422" s="91"/>
      <c r="X422" s="91"/>
      <c r="Y422" s="91"/>
      <c r="Z422" s="91"/>
      <c r="AA422" s="91"/>
      <c r="AB422" s="91"/>
      <c r="AC422" s="91"/>
      <c r="AD422" s="91"/>
      <c r="AE422" s="91"/>
      <c r="AF422" s="91"/>
      <c r="AG422" s="91"/>
      <c r="AH422" s="91"/>
      <c r="AI422" s="91"/>
      <c r="AJ422" s="91"/>
      <c r="AK422" s="91"/>
      <c r="AL422" s="91"/>
      <c r="AM422" s="91"/>
      <c r="AN422" s="91"/>
      <c r="AO422" s="91"/>
      <c r="AP422" s="91"/>
      <c r="AQ422" s="91"/>
      <c r="AR422" s="91"/>
      <c r="AS422" s="91"/>
      <c r="AT422" s="91"/>
      <c r="AU422" s="91"/>
      <c r="AV422" s="91"/>
      <c r="AW422" s="91"/>
      <c r="AX422" s="91"/>
      <c r="AY422" s="91"/>
      <c r="AZ422" s="91"/>
      <c r="BA422" s="91"/>
      <c r="BB422" s="91"/>
      <c r="BC422" s="91"/>
      <c r="BD422" s="91"/>
      <c r="BE422" s="91"/>
      <c r="BF422" s="91"/>
      <c r="BG422" s="91"/>
      <c r="BH422" s="112"/>
    </row>
    <row r="423" spans="1:60" ht="22.5">
      <c r="A423" s="51"/>
      <c r="B423" s="108"/>
      <c r="C423" s="52" t="s">
        <v>152</v>
      </c>
      <c r="D423" s="52" t="s">
        <v>93</v>
      </c>
      <c r="E423" s="52" t="s">
        <v>0</v>
      </c>
      <c r="F423" s="54" t="s">
        <v>40</v>
      </c>
      <c r="G423" s="89">
        <f t="shared" ref="G423:W423" si="760">G72-G335</f>
        <v>0</v>
      </c>
      <c r="H423" s="89">
        <f t="shared" si="760"/>
        <v>0</v>
      </c>
      <c r="I423" s="89">
        <f t="shared" si="760"/>
        <v>0</v>
      </c>
      <c r="J423" s="89">
        <f t="shared" si="760"/>
        <v>0</v>
      </c>
      <c r="K423" s="89">
        <f t="shared" si="760"/>
        <v>0</v>
      </c>
      <c r="L423" s="89">
        <f t="shared" si="760"/>
        <v>0</v>
      </c>
      <c r="M423" s="89">
        <f t="shared" si="760"/>
        <v>0</v>
      </c>
      <c r="N423" s="89">
        <f t="shared" si="760"/>
        <v>0</v>
      </c>
      <c r="O423" s="89">
        <f t="shared" si="760"/>
        <v>0</v>
      </c>
      <c r="P423" s="89">
        <f t="shared" si="760"/>
        <v>0</v>
      </c>
      <c r="Q423" s="89">
        <f t="shared" si="760"/>
        <v>0</v>
      </c>
      <c r="R423" s="89">
        <f t="shared" si="760"/>
        <v>0</v>
      </c>
      <c r="S423" s="89">
        <f t="shared" si="760"/>
        <v>0</v>
      </c>
      <c r="T423" s="89">
        <f t="shared" si="760"/>
        <v>0</v>
      </c>
      <c r="U423" s="89">
        <f t="shared" si="760"/>
        <v>0</v>
      </c>
      <c r="V423" s="89">
        <f t="shared" si="760"/>
        <v>0</v>
      </c>
      <c r="W423" s="89">
        <f t="shared" si="760"/>
        <v>0</v>
      </c>
      <c r="X423" s="89">
        <f t="shared" ref="X423:X425" si="761">SUM(P423:W423)+SUM(G423:K423)</f>
        <v>0</v>
      </c>
      <c r="Y423" s="89">
        <f t="shared" ref="Y423:AO423" si="762">Y72-Y335</f>
        <v>0</v>
      </c>
      <c r="Z423" s="89">
        <f t="shared" si="762"/>
        <v>0</v>
      </c>
      <c r="AA423" s="89">
        <f t="shared" si="762"/>
        <v>0</v>
      </c>
      <c r="AB423" s="89">
        <f t="shared" si="762"/>
        <v>0</v>
      </c>
      <c r="AC423" s="89">
        <f t="shared" si="762"/>
        <v>0</v>
      </c>
      <c r="AD423" s="89">
        <f t="shared" si="762"/>
        <v>0</v>
      </c>
      <c r="AE423" s="89">
        <f t="shared" si="762"/>
        <v>0</v>
      </c>
      <c r="AF423" s="89">
        <f t="shared" si="762"/>
        <v>0</v>
      </c>
      <c r="AG423" s="89">
        <f t="shared" si="762"/>
        <v>0</v>
      </c>
      <c r="AH423" s="89">
        <f t="shared" si="762"/>
        <v>0</v>
      </c>
      <c r="AI423" s="89">
        <f t="shared" si="762"/>
        <v>0</v>
      </c>
      <c r="AJ423" s="89">
        <f t="shared" si="762"/>
        <v>0</v>
      </c>
      <c r="AK423" s="89">
        <f t="shared" si="762"/>
        <v>0</v>
      </c>
      <c r="AL423" s="89">
        <f t="shared" si="762"/>
        <v>0</v>
      </c>
      <c r="AM423" s="89">
        <f t="shared" si="762"/>
        <v>0</v>
      </c>
      <c r="AN423" s="89">
        <f t="shared" si="762"/>
        <v>781893000</v>
      </c>
      <c r="AO423" s="89">
        <f t="shared" si="762"/>
        <v>781893000</v>
      </c>
      <c r="AP423" s="89">
        <f t="shared" ref="AP423:AP425" si="763">SUM(AH423:AO423)+SUM(Y423:AC423)</f>
        <v>1563786000</v>
      </c>
      <c r="AQ423" s="89">
        <f t="shared" ref="AQ423:AW425" si="764">AQ72-AQ335</f>
        <v>0</v>
      </c>
      <c r="AR423" s="89">
        <f t="shared" si="764"/>
        <v>0</v>
      </c>
      <c r="AS423" s="89">
        <f t="shared" si="764"/>
        <v>0</v>
      </c>
      <c r="AT423" s="89">
        <f t="shared" si="764"/>
        <v>0</v>
      </c>
      <c r="AU423" s="89">
        <f t="shared" si="764"/>
        <v>0</v>
      </c>
      <c r="AV423" s="89">
        <f t="shared" si="764"/>
        <v>0</v>
      </c>
      <c r="AW423" s="89">
        <f t="shared" si="764"/>
        <v>0</v>
      </c>
      <c r="AX423" s="89">
        <f t="shared" ref="AX423:AX425" si="765">N423+AF423</f>
        <v>0</v>
      </c>
      <c r="AY423" s="89">
        <f t="shared" ref="AY423:AZ425" si="766">O423+AG423</f>
        <v>0</v>
      </c>
      <c r="AZ423" s="89">
        <f t="shared" si="766"/>
        <v>0</v>
      </c>
      <c r="BA423" s="89">
        <f t="shared" ref="BA423:BE425" si="767">BA72-BA335</f>
        <v>0</v>
      </c>
      <c r="BB423" s="89">
        <f t="shared" si="767"/>
        <v>0</v>
      </c>
      <c r="BC423" s="89">
        <f t="shared" si="767"/>
        <v>0</v>
      </c>
      <c r="BD423" s="89">
        <f t="shared" si="767"/>
        <v>0</v>
      </c>
      <c r="BE423" s="89">
        <f t="shared" si="767"/>
        <v>0</v>
      </c>
      <c r="BF423" s="89">
        <f t="shared" ref="BF423:BF425" si="768">V423+AN423</f>
        <v>781893000</v>
      </c>
      <c r="BG423" s="89">
        <f>BG72-BG335</f>
        <v>781893000</v>
      </c>
      <c r="BH423" s="111">
        <f>X423+AP423</f>
        <v>1563786000</v>
      </c>
    </row>
    <row r="424" spans="1:60" ht="22.5">
      <c r="A424" s="51"/>
      <c r="B424" s="108"/>
      <c r="C424" s="52" t="s">
        <v>153</v>
      </c>
      <c r="D424" s="52" t="s">
        <v>93</v>
      </c>
      <c r="E424" s="52" t="s">
        <v>0</v>
      </c>
      <c r="F424" s="54" t="s">
        <v>41</v>
      </c>
      <c r="G424" s="89">
        <f t="shared" ref="G424:W424" si="769">G73-G336</f>
        <v>0</v>
      </c>
      <c r="H424" s="89">
        <f t="shared" si="769"/>
        <v>0</v>
      </c>
      <c r="I424" s="89">
        <f t="shared" si="769"/>
        <v>0</v>
      </c>
      <c r="J424" s="89">
        <f t="shared" si="769"/>
        <v>0</v>
      </c>
      <c r="K424" s="89">
        <f t="shared" si="769"/>
        <v>0</v>
      </c>
      <c r="L424" s="89">
        <f t="shared" si="769"/>
        <v>0</v>
      </c>
      <c r="M424" s="89">
        <f t="shared" si="769"/>
        <v>0</v>
      </c>
      <c r="N424" s="89">
        <f t="shared" si="769"/>
        <v>183340000</v>
      </c>
      <c r="O424" s="89">
        <f t="shared" si="769"/>
        <v>1208312000</v>
      </c>
      <c r="P424" s="89">
        <f t="shared" si="769"/>
        <v>0</v>
      </c>
      <c r="Q424" s="89">
        <f t="shared" si="769"/>
        <v>0</v>
      </c>
      <c r="R424" s="89">
        <f t="shared" si="769"/>
        <v>0</v>
      </c>
      <c r="S424" s="89">
        <f t="shared" si="769"/>
        <v>0</v>
      </c>
      <c r="T424" s="89">
        <f t="shared" si="769"/>
        <v>0</v>
      </c>
      <c r="U424" s="89">
        <f t="shared" si="769"/>
        <v>0</v>
      </c>
      <c r="V424" s="89">
        <f t="shared" si="769"/>
        <v>0</v>
      </c>
      <c r="W424" s="89">
        <f t="shared" si="769"/>
        <v>0</v>
      </c>
      <c r="X424" s="89">
        <f t="shared" si="761"/>
        <v>0</v>
      </c>
      <c r="Y424" s="89">
        <f t="shared" ref="Y424:AO424" si="770">Y73-Y336</f>
        <v>183340000</v>
      </c>
      <c r="Z424" s="89">
        <f t="shared" si="770"/>
        <v>0</v>
      </c>
      <c r="AA424" s="89">
        <f t="shared" si="770"/>
        <v>0</v>
      </c>
      <c r="AB424" s="89">
        <f t="shared" si="770"/>
        <v>1208312000</v>
      </c>
      <c r="AC424" s="89">
        <f t="shared" si="770"/>
        <v>0</v>
      </c>
      <c r="AD424" s="89">
        <f t="shared" si="770"/>
        <v>0</v>
      </c>
      <c r="AE424" s="89">
        <f t="shared" si="770"/>
        <v>0</v>
      </c>
      <c r="AF424" s="89">
        <f t="shared" si="770"/>
        <v>0</v>
      </c>
      <c r="AG424" s="89">
        <f t="shared" si="770"/>
        <v>0</v>
      </c>
      <c r="AH424" s="89">
        <f t="shared" si="770"/>
        <v>0</v>
      </c>
      <c r="AI424" s="89">
        <f t="shared" si="770"/>
        <v>0</v>
      </c>
      <c r="AJ424" s="89">
        <f t="shared" si="770"/>
        <v>0</v>
      </c>
      <c r="AK424" s="89">
        <f t="shared" si="770"/>
        <v>0</v>
      </c>
      <c r="AL424" s="89">
        <f t="shared" si="770"/>
        <v>0</v>
      </c>
      <c r="AM424" s="89">
        <f t="shared" si="770"/>
        <v>0</v>
      </c>
      <c r="AN424" s="89">
        <f t="shared" si="770"/>
        <v>0</v>
      </c>
      <c r="AO424" s="89">
        <f t="shared" si="770"/>
        <v>0</v>
      </c>
      <c r="AP424" s="89">
        <f t="shared" si="763"/>
        <v>1391652000</v>
      </c>
      <c r="AQ424" s="89">
        <f t="shared" si="764"/>
        <v>183340000</v>
      </c>
      <c r="AR424" s="89">
        <f t="shared" si="764"/>
        <v>0</v>
      </c>
      <c r="AS424" s="89">
        <f t="shared" si="764"/>
        <v>0</v>
      </c>
      <c r="AT424" s="89">
        <f t="shared" si="764"/>
        <v>1208312000</v>
      </c>
      <c r="AU424" s="89">
        <f t="shared" si="764"/>
        <v>0</v>
      </c>
      <c r="AV424" s="89">
        <f t="shared" si="764"/>
        <v>0</v>
      </c>
      <c r="AW424" s="89">
        <f t="shared" si="764"/>
        <v>0</v>
      </c>
      <c r="AX424" s="89">
        <f t="shared" si="765"/>
        <v>183340000</v>
      </c>
      <c r="AY424" s="89">
        <f t="shared" si="766"/>
        <v>1208312000</v>
      </c>
      <c r="AZ424" s="89">
        <f t="shared" si="766"/>
        <v>0</v>
      </c>
      <c r="BA424" s="89">
        <f t="shared" si="767"/>
        <v>0</v>
      </c>
      <c r="BB424" s="89">
        <f t="shared" si="767"/>
        <v>0</v>
      </c>
      <c r="BC424" s="89">
        <f t="shared" si="767"/>
        <v>0</v>
      </c>
      <c r="BD424" s="89">
        <f t="shared" si="767"/>
        <v>0</v>
      </c>
      <c r="BE424" s="89">
        <f t="shared" si="767"/>
        <v>0</v>
      </c>
      <c r="BF424" s="89">
        <f t="shared" si="768"/>
        <v>0</v>
      </c>
      <c r="BG424" s="89">
        <f>BG73-BG336</f>
        <v>0</v>
      </c>
      <c r="BH424" s="111">
        <f>X424+AP424</f>
        <v>1391652000</v>
      </c>
    </row>
    <row r="425" spans="1:60" ht="22.5">
      <c r="A425" s="51"/>
      <c r="B425" s="108"/>
      <c r="C425" s="52" t="s">
        <v>154</v>
      </c>
      <c r="D425" s="52" t="s">
        <v>93</v>
      </c>
      <c r="E425" s="52" t="s">
        <v>0</v>
      </c>
      <c r="F425" s="53" t="s">
        <v>62</v>
      </c>
      <c r="G425" s="89">
        <f t="shared" ref="G425:W425" si="771">G74-G337</f>
        <v>0</v>
      </c>
      <c r="H425" s="89">
        <f t="shared" si="771"/>
        <v>0</v>
      </c>
      <c r="I425" s="89">
        <f t="shared" si="771"/>
        <v>0</v>
      </c>
      <c r="J425" s="89">
        <f t="shared" si="771"/>
        <v>0</v>
      </c>
      <c r="K425" s="89">
        <f t="shared" si="771"/>
        <v>0</v>
      </c>
      <c r="L425" s="89">
        <f t="shared" si="771"/>
        <v>0</v>
      </c>
      <c r="M425" s="89">
        <f t="shared" si="771"/>
        <v>0</v>
      </c>
      <c r="N425" s="89">
        <f t="shared" si="771"/>
        <v>183340000</v>
      </c>
      <c r="O425" s="89">
        <f t="shared" si="771"/>
        <v>1208312000</v>
      </c>
      <c r="P425" s="89">
        <f t="shared" si="771"/>
        <v>0</v>
      </c>
      <c r="Q425" s="89">
        <f t="shared" si="771"/>
        <v>0</v>
      </c>
      <c r="R425" s="89">
        <f t="shared" si="771"/>
        <v>0</v>
      </c>
      <c r="S425" s="89">
        <f t="shared" si="771"/>
        <v>0</v>
      </c>
      <c r="T425" s="89">
        <f t="shared" si="771"/>
        <v>0</v>
      </c>
      <c r="U425" s="89">
        <f t="shared" si="771"/>
        <v>0</v>
      </c>
      <c r="V425" s="89">
        <f t="shared" si="771"/>
        <v>0</v>
      </c>
      <c r="W425" s="89">
        <f t="shared" si="771"/>
        <v>0</v>
      </c>
      <c r="X425" s="89">
        <f t="shared" si="761"/>
        <v>0</v>
      </c>
      <c r="Y425" s="89">
        <f t="shared" ref="Y425:AO425" si="772">Y74-Y337</f>
        <v>183340000</v>
      </c>
      <c r="Z425" s="89">
        <f t="shared" si="772"/>
        <v>0</v>
      </c>
      <c r="AA425" s="89">
        <f t="shared" si="772"/>
        <v>0</v>
      </c>
      <c r="AB425" s="89">
        <f t="shared" si="772"/>
        <v>1208312000</v>
      </c>
      <c r="AC425" s="89">
        <f t="shared" si="772"/>
        <v>0</v>
      </c>
      <c r="AD425" s="89">
        <f t="shared" si="772"/>
        <v>0</v>
      </c>
      <c r="AE425" s="89">
        <f t="shared" si="772"/>
        <v>0</v>
      </c>
      <c r="AF425" s="89">
        <f t="shared" si="772"/>
        <v>0</v>
      </c>
      <c r="AG425" s="89">
        <f t="shared" si="772"/>
        <v>0</v>
      </c>
      <c r="AH425" s="89">
        <f t="shared" si="772"/>
        <v>0</v>
      </c>
      <c r="AI425" s="89">
        <f t="shared" si="772"/>
        <v>0</v>
      </c>
      <c r="AJ425" s="89">
        <f t="shared" si="772"/>
        <v>0</v>
      </c>
      <c r="AK425" s="89">
        <f t="shared" si="772"/>
        <v>0</v>
      </c>
      <c r="AL425" s="89">
        <f t="shared" si="772"/>
        <v>0</v>
      </c>
      <c r="AM425" s="89">
        <f t="shared" si="772"/>
        <v>0</v>
      </c>
      <c r="AN425" s="89">
        <f t="shared" si="772"/>
        <v>781893000</v>
      </c>
      <c r="AO425" s="89">
        <f t="shared" si="772"/>
        <v>781893000</v>
      </c>
      <c r="AP425" s="89">
        <f t="shared" si="763"/>
        <v>2955438000</v>
      </c>
      <c r="AQ425" s="89">
        <f t="shared" si="764"/>
        <v>183340000</v>
      </c>
      <c r="AR425" s="89">
        <f t="shared" si="764"/>
        <v>0</v>
      </c>
      <c r="AS425" s="89">
        <f t="shared" si="764"/>
        <v>0</v>
      </c>
      <c r="AT425" s="89">
        <f t="shared" si="764"/>
        <v>1208312000</v>
      </c>
      <c r="AU425" s="89">
        <f t="shared" si="764"/>
        <v>0</v>
      </c>
      <c r="AV425" s="89">
        <f t="shared" si="764"/>
        <v>0</v>
      </c>
      <c r="AW425" s="89">
        <f t="shared" si="764"/>
        <v>0</v>
      </c>
      <c r="AX425" s="89">
        <f t="shared" si="765"/>
        <v>183340000</v>
      </c>
      <c r="AY425" s="89">
        <f t="shared" si="766"/>
        <v>1208312000</v>
      </c>
      <c r="AZ425" s="89">
        <f t="shared" si="766"/>
        <v>0</v>
      </c>
      <c r="BA425" s="89">
        <f t="shared" si="767"/>
        <v>0</v>
      </c>
      <c r="BB425" s="89">
        <f t="shared" si="767"/>
        <v>0</v>
      </c>
      <c r="BC425" s="89">
        <f t="shared" si="767"/>
        <v>0</v>
      </c>
      <c r="BD425" s="89">
        <f t="shared" si="767"/>
        <v>0</v>
      </c>
      <c r="BE425" s="89">
        <f t="shared" si="767"/>
        <v>0</v>
      </c>
      <c r="BF425" s="89">
        <f t="shared" si="768"/>
        <v>781893000</v>
      </c>
      <c r="BG425" s="89">
        <f>BG74-BG337</f>
        <v>781893000</v>
      </c>
      <c r="BH425" s="111">
        <f>X425+AP425</f>
        <v>2955438000</v>
      </c>
    </row>
    <row r="426" spans="1:60" ht="22.5">
      <c r="A426" s="51"/>
      <c r="B426" s="108"/>
      <c r="C426" s="52"/>
      <c r="D426" s="52" t="s">
        <v>0</v>
      </c>
      <c r="E426" s="52" t="s">
        <v>0</v>
      </c>
      <c r="F426" s="53" t="s">
        <v>42</v>
      </c>
      <c r="G426" s="91"/>
      <c r="H426" s="91"/>
      <c r="I426" s="91"/>
      <c r="J426" s="91"/>
      <c r="K426" s="91"/>
      <c r="L426" s="91"/>
      <c r="M426" s="91"/>
      <c r="N426" s="91"/>
      <c r="O426" s="91"/>
      <c r="P426" s="91"/>
      <c r="Q426" s="91"/>
      <c r="R426" s="91"/>
      <c r="S426" s="91"/>
      <c r="T426" s="91"/>
      <c r="U426" s="91"/>
      <c r="V426" s="91"/>
      <c r="W426" s="91"/>
      <c r="X426" s="91"/>
      <c r="Y426" s="91"/>
      <c r="Z426" s="91"/>
      <c r="AA426" s="91"/>
      <c r="AB426" s="91"/>
      <c r="AC426" s="91"/>
      <c r="AD426" s="91"/>
      <c r="AE426" s="91"/>
      <c r="AF426" s="91"/>
      <c r="AG426" s="91"/>
      <c r="AH426" s="91"/>
      <c r="AI426" s="91"/>
      <c r="AJ426" s="91"/>
      <c r="AK426" s="91"/>
      <c r="AL426" s="91"/>
      <c r="AM426" s="91"/>
      <c r="AN426" s="91"/>
      <c r="AO426" s="91"/>
      <c r="AP426" s="91"/>
      <c r="AQ426" s="91"/>
      <c r="AR426" s="91"/>
      <c r="AS426" s="91"/>
      <c r="AT426" s="91"/>
      <c r="AU426" s="91"/>
      <c r="AV426" s="91"/>
      <c r="AW426" s="91"/>
      <c r="AX426" s="91"/>
      <c r="AY426" s="91"/>
      <c r="AZ426" s="91"/>
      <c r="BA426" s="91"/>
      <c r="BB426" s="91"/>
      <c r="BC426" s="91"/>
      <c r="BD426" s="91"/>
      <c r="BE426" s="91"/>
      <c r="BF426" s="91"/>
      <c r="BG426" s="91"/>
      <c r="BH426" s="112"/>
    </row>
    <row r="427" spans="1:60">
      <c r="A427" s="51"/>
      <c r="B427" s="108"/>
      <c r="C427" s="52" t="s">
        <v>155</v>
      </c>
      <c r="D427" s="52" t="s">
        <v>93</v>
      </c>
      <c r="E427" s="52" t="s">
        <v>0</v>
      </c>
      <c r="F427" s="54" t="s">
        <v>43</v>
      </c>
      <c r="G427" s="89">
        <f t="shared" ref="G427:W427" si="773">G76-G339</f>
        <v>0</v>
      </c>
      <c r="H427" s="89">
        <f t="shared" si="773"/>
        <v>0</v>
      </c>
      <c r="I427" s="89">
        <f t="shared" si="773"/>
        <v>0</v>
      </c>
      <c r="J427" s="89">
        <f t="shared" si="773"/>
        <v>0</v>
      </c>
      <c r="K427" s="89">
        <f t="shared" si="773"/>
        <v>0</v>
      </c>
      <c r="L427" s="89">
        <f t="shared" si="773"/>
        <v>0</v>
      </c>
      <c r="M427" s="89">
        <f t="shared" si="773"/>
        <v>0</v>
      </c>
      <c r="N427" s="89">
        <f t="shared" si="773"/>
        <v>0</v>
      </c>
      <c r="O427" s="89">
        <f t="shared" si="773"/>
        <v>0</v>
      </c>
      <c r="P427" s="89">
        <f t="shared" si="773"/>
        <v>0</v>
      </c>
      <c r="Q427" s="89">
        <f t="shared" si="773"/>
        <v>0</v>
      </c>
      <c r="R427" s="89">
        <f t="shared" si="773"/>
        <v>0</v>
      </c>
      <c r="S427" s="89">
        <f t="shared" si="773"/>
        <v>0</v>
      </c>
      <c r="T427" s="89">
        <f t="shared" si="773"/>
        <v>0</v>
      </c>
      <c r="U427" s="89">
        <f t="shared" si="773"/>
        <v>0</v>
      </c>
      <c r="V427" s="89">
        <f t="shared" si="773"/>
        <v>0</v>
      </c>
      <c r="W427" s="89">
        <f t="shared" si="773"/>
        <v>0</v>
      </c>
      <c r="X427" s="89">
        <f t="shared" ref="X427:X433" si="774">SUM(P427:W427)+SUM(G427:K427)</f>
        <v>0</v>
      </c>
      <c r="Y427" s="89">
        <f t="shared" ref="Y427:AO427" si="775">Y76-Y339</f>
        <v>0</v>
      </c>
      <c r="Z427" s="89">
        <f t="shared" si="775"/>
        <v>0</v>
      </c>
      <c r="AA427" s="89">
        <f t="shared" si="775"/>
        <v>0</v>
      </c>
      <c r="AB427" s="89">
        <f t="shared" si="775"/>
        <v>0</v>
      </c>
      <c r="AC427" s="89">
        <f t="shared" si="775"/>
        <v>0</v>
      </c>
      <c r="AD427" s="89">
        <f t="shared" si="775"/>
        <v>0</v>
      </c>
      <c r="AE427" s="89">
        <f t="shared" si="775"/>
        <v>0</v>
      </c>
      <c r="AF427" s="89">
        <f t="shared" si="775"/>
        <v>0</v>
      </c>
      <c r="AG427" s="89">
        <f t="shared" si="775"/>
        <v>0</v>
      </c>
      <c r="AH427" s="89">
        <f t="shared" si="775"/>
        <v>0</v>
      </c>
      <c r="AI427" s="89">
        <f t="shared" si="775"/>
        <v>0</v>
      </c>
      <c r="AJ427" s="89">
        <f t="shared" si="775"/>
        <v>0</v>
      </c>
      <c r="AK427" s="89">
        <f t="shared" si="775"/>
        <v>0</v>
      </c>
      <c r="AL427" s="89">
        <f t="shared" si="775"/>
        <v>0</v>
      </c>
      <c r="AM427" s="89">
        <f t="shared" si="775"/>
        <v>0</v>
      </c>
      <c r="AN427" s="89">
        <f t="shared" si="775"/>
        <v>0</v>
      </c>
      <c r="AO427" s="89">
        <f t="shared" si="775"/>
        <v>0</v>
      </c>
      <c r="AP427" s="89">
        <f t="shared" ref="AP427:AP433" si="776">SUM(AH427:AO427)+SUM(Y427:AC427)</f>
        <v>0</v>
      </c>
      <c r="AQ427" s="89">
        <f t="shared" ref="AQ427:AW433" si="777">AQ76-AQ339</f>
        <v>0</v>
      </c>
      <c r="AR427" s="89">
        <f t="shared" si="777"/>
        <v>0</v>
      </c>
      <c r="AS427" s="89">
        <f t="shared" si="777"/>
        <v>0</v>
      </c>
      <c r="AT427" s="89">
        <f t="shared" si="777"/>
        <v>0</v>
      </c>
      <c r="AU427" s="89">
        <f t="shared" si="777"/>
        <v>0</v>
      </c>
      <c r="AV427" s="89">
        <f t="shared" si="777"/>
        <v>0</v>
      </c>
      <c r="AW427" s="89">
        <f t="shared" si="777"/>
        <v>0</v>
      </c>
      <c r="AX427" s="89">
        <f t="shared" ref="AX427:AX433" si="778">N427+AF427</f>
        <v>0</v>
      </c>
      <c r="AY427" s="89">
        <f t="shared" ref="AY427:AZ433" si="779">O427+AG427</f>
        <v>0</v>
      </c>
      <c r="AZ427" s="89">
        <f t="shared" si="779"/>
        <v>0</v>
      </c>
      <c r="BA427" s="89">
        <f t="shared" ref="BA427:BE433" si="780">BA76-BA339</f>
        <v>0</v>
      </c>
      <c r="BB427" s="89">
        <f t="shared" si="780"/>
        <v>0</v>
      </c>
      <c r="BC427" s="89">
        <f t="shared" si="780"/>
        <v>0</v>
      </c>
      <c r="BD427" s="89">
        <f t="shared" si="780"/>
        <v>0</v>
      </c>
      <c r="BE427" s="89">
        <f t="shared" si="780"/>
        <v>0</v>
      </c>
      <c r="BF427" s="89">
        <f t="shared" ref="BF427:BF433" si="781">V427+AN427</f>
        <v>0</v>
      </c>
      <c r="BG427" s="89">
        <f t="shared" ref="BG427:BG433" si="782">BG76-BG339</f>
        <v>0</v>
      </c>
      <c r="BH427" s="111">
        <f t="shared" ref="BH427:BH433" si="783">X427+AP427</f>
        <v>0</v>
      </c>
    </row>
    <row r="428" spans="1:60">
      <c r="A428" s="51"/>
      <c r="B428" s="108"/>
      <c r="C428" s="52" t="s">
        <v>156</v>
      </c>
      <c r="D428" s="52" t="s">
        <v>93</v>
      </c>
      <c r="E428" s="52" t="s">
        <v>0</v>
      </c>
      <c r="F428" s="54" t="s">
        <v>44</v>
      </c>
      <c r="G428" s="89">
        <f t="shared" ref="G428:W428" si="784">G77-G340</f>
        <v>0</v>
      </c>
      <c r="H428" s="89">
        <f t="shared" si="784"/>
        <v>0</v>
      </c>
      <c r="I428" s="89">
        <f t="shared" si="784"/>
        <v>0</v>
      </c>
      <c r="J428" s="89">
        <f t="shared" si="784"/>
        <v>0</v>
      </c>
      <c r="K428" s="89">
        <f t="shared" si="784"/>
        <v>0</v>
      </c>
      <c r="L428" s="89">
        <f t="shared" si="784"/>
        <v>0</v>
      </c>
      <c r="M428" s="89">
        <f t="shared" si="784"/>
        <v>0</v>
      </c>
      <c r="N428" s="89">
        <f t="shared" si="784"/>
        <v>0</v>
      </c>
      <c r="O428" s="89">
        <f t="shared" si="784"/>
        <v>0</v>
      </c>
      <c r="P428" s="89">
        <f t="shared" si="784"/>
        <v>0</v>
      </c>
      <c r="Q428" s="89">
        <f t="shared" si="784"/>
        <v>0</v>
      </c>
      <c r="R428" s="89">
        <f t="shared" si="784"/>
        <v>0</v>
      </c>
      <c r="S428" s="89">
        <f t="shared" si="784"/>
        <v>0</v>
      </c>
      <c r="T428" s="89">
        <f t="shared" si="784"/>
        <v>0</v>
      </c>
      <c r="U428" s="89">
        <f t="shared" si="784"/>
        <v>0</v>
      </c>
      <c r="V428" s="89">
        <f t="shared" si="784"/>
        <v>0</v>
      </c>
      <c r="W428" s="89">
        <f t="shared" si="784"/>
        <v>0</v>
      </c>
      <c r="X428" s="89">
        <f t="shared" si="774"/>
        <v>0</v>
      </c>
      <c r="Y428" s="89">
        <f t="shared" ref="Y428:AO428" si="785">Y77-Y340</f>
        <v>0</v>
      </c>
      <c r="Z428" s="89">
        <f t="shared" si="785"/>
        <v>0</v>
      </c>
      <c r="AA428" s="89">
        <f t="shared" si="785"/>
        <v>0</v>
      </c>
      <c r="AB428" s="89">
        <f t="shared" si="785"/>
        <v>0</v>
      </c>
      <c r="AC428" s="89">
        <f t="shared" si="785"/>
        <v>0</v>
      </c>
      <c r="AD428" s="89">
        <f t="shared" si="785"/>
        <v>0</v>
      </c>
      <c r="AE428" s="89">
        <f t="shared" si="785"/>
        <v>0</v>
      </c>
      <c r="AF428" s="89">
        <f t="shared" si="785"/>
        <v>0</v>
      </c>
      <c r="AG428" s="89">
        <f t="shared" si="785"/>
        <v>0</v>
      </c>
      <c r="AH428" s="89">
        <f t="shared" si="785"/>
        <v>0</v>
      </c>
      <c r="AI428" s="89">
        <f t="shared" si="785"/>
        <v>0</v>
      </c>
      <c r="AJ428" s="89">
        <f t="shared" si="785"/>
        <v>0</v>
      </c>
      <c r="AK428" s="89">
        <f t="shared" si="785"/>
        <v>0</v>
      </c>
      <c r="AL428" s="89">
        <f t="shared" si="785"/>
        <v>0</v>
      </c>
      <c r="AM428" s="89">
        <f t="shared" si="785"/>
        <v>0</v>
      </c>
      <c r="AN428" s="89">
        <f t="shared" si="785"/>
        <v>0</v>
      </c>
      <c r="AO428" s="89">
        <f t="shared" si="785"/>
        <v>0</v>
      </c>
      <c r="AP428" s="89">
        <f t="shared" si="776"/>
        <v>0</v>
      </c>
      <c r="AQ428" s="89">
        <f t="shared" si="777"/>
        <v>0</v>
      </c>
      <c r="AR428" s="89">
        <f t="shared" si="777"/>
        <v>0</v>
      </c>
      <c r="AS428" s="89">
        <f t="shared" si="777"/>
        <v>0</v>
      </c>
      <c r="AT428" s="89">
        <f t="shared" si="777"/>
        <v>0</v>
      </c>
      <c r="AU428" s="89">
        <f t="shared" si="777"/>
        <v>0</v>
      </c>
      <c r="AV428" s="89">
        <f t="shared" si="777"/>
        <v>0</v>
      </c>
      <c r="AW428" s="89">
        <f t="shared" si="777"/>
        <v>0</v>
      </c>
      <c r="AX428" s="89">
        <f t="shared" si="778"/>
        <v>0</v>
      </c>
      <c r="AY428" s="89">
        <f t="shared" si="779"/>
        <v>0</v>
      </c>
      <c r="AZ428" s="89">
        <f t="shared" si="779"/>
        <v>0</v>
      </c>
      <c r="BA428" s="89">
        <f t="shared" si="780"/>
        <v>0</v>
      </c>
      <c r="BB428" s="89">
        <f t="shared" si="780"/>
        <v>0</v>
      </c>
      <c r="BC428" s="89">
        <f t="shared" si="780"/>
        <v>0</v>
      </c>
      <c r="BD428" s="89">
        <f t="shared" si="780"/>
        <v>0</v>
      </c>
      <c r="BE428" s="89">
        <f t="shared" si="780"/>
        <v>0</v>
      </c>
      <c r="BF428" s="89">
        <f t="shared" si="781"/>
        <v>0</v>
      </c>
      <c r="BG428" s="89">
        <f t="shared" si="782"/>
        <v>0</v>
      </c>
      <c r="BH428" s="111">
        <f t="shared" si="783"/>
        <v>0</v>
      </c>
    </row>
    <row r="429" spans="1:60" ht="16.5" customHeight="1">
      <c r="A429" s="51"/>
      <c r="B429" s="108"/>
      <c r="C429" s="52" t="s">
        <v>157</v>
      </c>
      <c r="D429" s="52" t="s">
        <v>93</v>
      </c>
      <c r="E429" s="52" t="s">
        <v>0</v>
      </c>
      <c r="F429" s="53" t="s">
        <v>63</v>
      </c>
      <c r="G429" s="89">
        <f t="shared" ref="G429:W429" si="786">G78-G341</f>
        <v>0</v>
      </c>
      <c r="H429" s="89">
        <f t="shared" si="786"/>
        <v>0</v>
      </c>
      <c r="I429" s="89">
        <f t="shared" si="786"/>
        <v>0</v>
      </c>
      <c r="J429" s="89">
        <f t="shared" si="786"/>
        <v>0</v>
      </c>
      <c r="K429" s="89">
        <f t="shared" si="786"/>
        <v>0</v>
      </c>
      <c r="L429" s="89">
        <f t="shared" si="786"/>
        <v>0</v>
      </c>
      <c r="M429" s="89">
        <f t="shared" si="786"/>
        <v>0</v>
      </c>
      <c r="N429" s="89">
        <f t="shared" si="786"/>
        <v>0</v>
      </c>
      <c r="O429" s="89">
        <f t="shared" si="786"/>
        <v>0</v>
      </c>
      <c r="P429" s="89">
        <f t="shared" si="786"/>
        <v>0</v>
      </c>
      <c r="Q429" s="89">
        <f t="shared" si="786"/>
        <v>0</v>
      </c>
      <c r="R429" s="89">
        <f t="shared" si="786"/>
        <v>0</v>
      </c>
      <c r="S429" s="89">
        <f t="shared" si="786"/>
        <v>0</v>
      </c>
      <c r="T429" s="89">
        <f t="shared" si="786"/>
        <v>0</v>
      </c>
      <c r="U429" s="89">
        <f t="shared" si="786"/>
        <v>0</v>
      </c>
      <c r="V429" s="89">
        <f t="shared" si="786"/>
        <v>0</v>
      </c>
      <c r="W429" s="89">
        <f t="shared" si="786"/>
        <v>0</v>
      </c>
      <c r="X429" s="89">
        <f t="shared" si="774"/>
        <v>0</v>
      </c>
      <c r="Y429" s="89">
        <f t="shared" ref="Y429:AO429" si="787">Y78-Y341</f>
        <v>0</v>
      </c>
      <c r="Z429" s="89">
        <f t="shared" si="787"/>
        <v>0</v>
      </c>
      <c r="AA429" s="89">
        <f t="shared" si="787"/>
        <v>0</v>
      </c>
      <c r="AB429" s="89">
        <f t="shared" si="787"/>
        <v>0</v>
      </c>
      <c r="AC429" s="89">
        <f t="shared" si="787"/>
        <v>0</v>
      </c>
      <c r="AD429" s="89">
        <f t="shared" si="787"/>
        <v>0</v>
      </c>
      <c r="AE429" s="89">
        <f t="shared" si="787"/>
        <v>0</v>
      </c>
      <c r="AF429" s="89">
        <f t="shared" si="787"/>
        <v>0</v>
      </c>
      <c r="AG429" s="89">
        <f t="shared" si="787"/>
        <v>0</v>
      </c>
      <c r="AH429" s="89">
        <f t="shared" si="787"/>
        <v>0</v>
      </c>
      <c r="AI429" s="89">
        <f t="shared" si="787"/>
        <v>0</v>
      </c>
      <c r="AJ429" s="89">
        <f t="shared" si="787"/>
        <v>0</v>
      </c>
      <c r="AK429" s="89">
        <f t="shared" si="787"/>
        <v>0</v>
      </c>
      <c r="AL429" s="89">
        <f t="shared" si="787"/>
        <v>0</v>
      </c>
      <c r="AM429" s="89">
        <f t="shared" si="787"/>
        <v>0</v>
      </c>
      <c r="AN429" s="89">
        <f t="shared" si="787"/>
        <v>0</v>
      </c>
      <c r="AO429" s="89">
        <f t="shared" si="787"/>
        <v>0</v>
      </c>
      <c r="AP429" s="89">
        <f t="shared" si="776"/>
        <v>0</v>
      </c>
      <c r="AQ429" s="89">
        <f t="shared" si="777"/>
        <v>0</v>
      </c>
      <c r="AR429" s="89">
        <f t="shared" si="777"/>
        <v>0</v>
      </c>
      <c r="AS429" s="89">
        <f t="shared" si="777"/>
        <v>0</v>
      </c>
      <c r="AT429" s="89">
        <f t="shared" si="777"/>
        <v>0</v>
      </c>
      <c r="AU429" s="89">
        <f t="shared" si="777"/>
        <v>0</v>
      </c>
      <c r="AV429" s="89">
        <f t="shared" si="777"/>
        <v>0</v>
      </c>
      <c r="AW429" s="89">
        <f t="shared" si="777"/>
        <v>0</v>
      </c>
      <c r="AX429" s="89">
        <f t="shared" si="778"/>
        <v>0</v>
      </c>
      <c r="AY429" s="89">
        <f t="shared" si="779"/>
        <v>0</v>
      </c>
      <c r="AZ429" s="89">
        <f t="shared" si="779"/>
        <v>0</v>
      </c>
      <c r="BA429" s="89">
        <f t="shared" si="780"/>
        <v>0</v>
      </c>
      <c r="BB429" s="89">
        <f t="shared" si="780"/>
        <v>0</v>
      </c>
      <c r="BC429" s="89">
        <f t="shared" si="780"/>
        <v>0</v>
      </c>
      <c r="BD429" s="89">
        <f t="shared" si="780"/>
        <v>0</v>
      </c>
      <c r="BE429" s="89">
        <f t="shared" si="780"/>
        <v>0</v>
      </c>
      <c r="BF429" s="89">
        <f t="shared" si="781"/>
        <v>0</v>
      </c>
      <c r="BG429" s="89">
        <f t="shared" si="782"/>
        <v>0</v>
      </c>
      <c r="BH429" s="111">
        <f t="shared" si="783"/>
        <v>0</v>
      </c>
    </row>
    <row r="430" spans="1:60" ht="15" customHeight="1">
      <c r="A430" s="51"/>
      <c r="B430" s="108"/>
      <c r="C430" s="52" t="s">
        <v>158</v>
      </c>
      <c r="D430" s="52" t="s">
        <v>93</v>
      </c>
      <c r="E430" s="52" t="s">
        <v>0</v>
      </c>
      <c r="F430" s="54" t="s">
        <v>45</v>
      </c>
      <c r="G430" s="89">
        <f t="shared" ref="G430:W430" si="788">G79-G342</f>
        <v>0</v>
      </c>
      <c r="H430" s="89">
        <f t="shared" si="788"/>
        <v>0</v>
      </c>
      <c r="I430" s="89">
        <f t="shared" si="788"/>
        <v>0</v>
      </c>
      <c r="J430" s="89">
        <f t="shared" si="788"/>
        <v>0</v>
      </c>
      <c r="K430" s="89">
        <f t="shared" si="788"/>
        <v>0</v>
      </c>
      <c r="L430" s="89">
        <f t="shared" si="788"/>
        <v>0</v>
      </c>
      <c r="M430" s="89">
        <f t="shared" si="788"/>
        <v>0</v>
      </c>
      <c r="N430" s="89">
        <f t="shared" si="788"/>
        <v>0</v>
      </c>
      <c r="O430" s="89">
        <f t="shared" si="788"/>
        <v>0</v>
      </c>
      <c r="P430" s="89">
        <f t="shared" si="788"/>
        <v>0</v>
      </c>
      <c r="Q430" s="89">
        <f t="shared" si="788"/>
        <v>0</v>
      </c>
      <c r="R430" s="89">
        <f t="shared" si="788"/>
        <v>0</v>
      </c>
      <c r="S430" s="89">
        <f t="shared" si="788"/>
        <v>0</v>
      </c>
      <c r="T430" s="89">
        <f t="shared" si="788"/>
        <v>0</v>
      </c>
      <c r="U430" s="89">
        <f t="shared" si="788"/>
        <v>0</v>
      </c>
      <c r="V430" s="89">
        <f t="shared" si="788"/>
        <v>0</v>
      </c>
      <c r="W430" s="89">
        <f t="shared" si="788"/>
        <v>0</v>
      </c>
      <c r="X430" s="89">
        <f t="shared" si="774"/>
        <v>0</v>
      </c>
      <c r="Y430" s="89">
        <f t="shared" ref="Y430:AO430" si="789">Y79-Y342</f>
        <v>0</v>
      </c>
      <c r="Z430" s="89">
        <f t="shared" si="789"/>
        <v>0</v>
      </c>
      <c r="AA430" s="89">
        <f t="shared" si="789"/>
        <v>0</v>
      </c>
      <c r="AB430" s="89">
        <f t="shared" si="789"/>
        <v>0</v>
      </c>
      <c r="AC430" s="89">
        <f t="shared" si="789"/>
        <v>0</v>
      </c>
      <c r="AD430" s="89">
        <f t="shared" si="789"/>
        <v>0</v>
      </c>
      <c r="AE430" s="89">
        <f t="shared" si="789"/>
        <v>9620183000</v>
      </c>
      <c r="AF430" s="89">
        <f t="shared" si="789"/>
        <v>0</v>
      </c>
      <c r="AG430" s="89">
        <f t="shared" si="789"/>
        <v>0</v>
      </c>
      <c r="AH430" s="89">
        <f t="shared" si="789"/>
        <v>0</v>
      </c>
      <c r="AI430" s="89">
        <f t="shared" si="789"/>
        <v>0</v>
      </c>
      <c r="AJ430" s="89">
        <f t="shared" si="789"/>
        <v>0</v>
      </c>
      <c r="AK430" s="89">
        <f t="shared" si="789"/>
        <v>0</v>
      </c>
      <c r="AL430" s="89">
        <f t="shared" si="789"/>
        <v>0</v>
      </c>
      <c r="AM430" s="89">
        <f t="shared" si="789"/>
        <v>0</v>
      </c>
      <c r="AN430" s="89">
        <f t="shared" si="789"/>
        <v>0</v>
      </c>
      <c r="AO430" s="89">
        <f t="shared" si="789"/>
        <v>0</v>
      </c>
      <c r="AP430" s="89">
        <f t="shared" si="776"/>
        <v>0</v>
      </c>
      <c r="AQ430" s="89">
        <f t="shared" si="777"/>
        <v>0</v>
      </c>
      <c r="AR430" s="89">
        <f t="shared" si="777"/>
        <v>0</v>
      </c>
      <c r="AS430" s="89">
        <f t="shared" si="777"/>
        <v>0</v>
      </c>
      <c r="AT430" s="89">
        <f t="shared" si="777"/>
        <v>0</v>
      </c>
      <c r="AU430" s="89">
        <f t="shared" si="777"/>
        <v>0</v>
      </c>
      <c r="AV430" s="89">
        <f t="shared" si="777"/>
        <v>0</v>
      </c>
      <c r="AW430" s="89">
        <f t="shared" si="777"/>
        <v>9620183000</v>
      </c>
      <c r="AX430" s="89">
        <f t="shared" si="778"/>
        <v>0</v>
      </c>
      <c r="AY430" s="89">
        <f t="shared" si="779"/>
        <v>0</v>
      </c>
      <c r="AZ430" s="89">
        <f t="shared" si="779"/>
        <v>0</v>
      </c>
      <c r="BA430" s="89">
        <f t="shared" si="780"/>
        <v>0</v>
      </c>
      <c r="BB430" s="89">
        <f t="shared" si="780"/>
        <v>0</v>
      </c>
      <c r="BC430" s="89">
        <f t="shared" si="780"/>
        <v>0</v>
      </c>
      <c r="BD430" s="89">
        <f t="shared" si="780"/>
        <v>0</v>
      </c>
      <c r="BE430" s="89">
        <f t="shared" si="780"/>
        <v>0</v>
      </c>
      <c r="BF430" s="89">
        <f t="shared" si="781"/>
        <v>0</v>
      </c>
      <c r="BG430" s="89">
        <f t="shared" si="782"/>
        <v>0</v>
      </c>
      <c r="BH430" s="111">
        <f t="shared" si="783"/>
        <v>0</v>
      </c>
    </row>
    <row r="431" spans="1:60" ht="15" customHeight="1">
      <c r="A431" s="51"/>
      <c r="B431" s="108"/>
      <c r="C431" s="52" t="s">
        <v>159</v>
      </c>
      <c r="D431" s="52" t="s">
        <v>93</v>
      </c>
      <c r="E431" s="52" t="s">
        <v>0</v>
      </c>
      <c r="F431" s="54" t="s">
        <v>46</v>
      </c>
      <c r="G431" s="89">
        <f t="shared" ref="G431:W431" si="790">G80-G343</f>
        <v>0</v>
      </c>
      <c r="H431" s="89">
        <f t="shared" si="790"/>
        <v>0</v>
      </c>
      <c r="I431" s="89">
        <f t="shared" si="790"/>
        <v>0</v>
      </c>
      <c r="J431" s="89">
        <f t="shared" si="790"/>
        <v>0</v>
      </c>
      <c r="K431" s="89">
        <f t="shared" si="790"/>
        <v>0</v>
      </c>
      <c r="L431" s="89">
        <f t="shared" si="790"/>
        <v>0</v>
      </c>
      <c r="M431" s="89">
        <f t="shared" si="790"/>
        <v>0</v>
      </c>
      <c r="N431" s="89">
        <f t="shared" si="790"/>
        <v>345917000</v>
      </c>
      <c r="O431" s="89">
        <f t="shared" si="790"/>
        <v>0</v>
      </c>
      <c r="P431" s="89">
        <f t="shared" si="790"/>
        <v>0</v>
      </c>
      <c r="Q431" s="89">
        <f t="shared" si="790"/>
        <v>0</v>
      </c>
      <c r="R431" s="89">
        <f t="shared" si="790"/>
        <v>0</v>
      </c>
      <c r="S431" s="89">
        <f t="shared" si="790"/>
        <v>0</v>
      </c>
      <c r="T431" s="89">
        <f t="shared" si="790"/>
        <v>0</v>
      </c>
      <c r="U431" s="89">
        <f t="shared" si="790"/>
        <v>-7315361000</v>
      </c>
      <c r="V431" s="89">
        <f t="shared" si="790"/>
        <v>0</v>
      </c>
      <c r="W431" s="89">
        <f t="shared" si="790"/>
        <v>0</v>
      </c>
      <c r="X431" s="89">
        <f t="shared" si="774"/>
        <v>-7315361000</v>
      </c>
      <c r="Y431" s="89">
        <f t="shared" ref="Y431:AO431" si="791">Y80-Y343</f>
        <v>0</v>
      </c>
      <c r="Z431" s="89">
        <f t="shared" si="791"/>
        <v>0</v>
      </c>
      <c r="AA431" s="89">
        <f t="shared" si="791"/>
        <v>0</v>
      </c>
      <c r="AB431" s="89">
        <f t="shared" si="791"/>
        <v>0</v>
      </c>
      <c r="AC431" s="89">
        <f t="shared" si="791"/>
        <v>0</v>
      </c>
      <c r="AD431" s="89">
        <f t="shared" si="791"/>
        <v>0</v>
      </c>
      <c r="AE431" s="89">
        <f t="shared" si="791"/>
        <v>0</v>
      </c>
      <c r="AF431" s="89">
        <f t="shared" si="791"/>
        <v>0</v>
      </c>
      <c r="AG431" s="89">
        <f t="shared" si="791"/>
        <v>0</v>
      </c>
      <c r="AH431" s="89">
        <f t="shared" si="791"/>
        <v>0</v>
      </c>
      <c r="AI431" s="89">
        <f t="shared" si="791"/>
        <v>0</v>
      </c>
      <c r="AJ431" s="89">
        <f t="shared" si="791"/>
        <v>0</v>
      </c>
      <c r="AK431" s="89">
        <f t="shared" si="791"/>
        <v>0</v>
      </c>
      <c r="AL431" s="89">
        <f t="shared" si="791"/>
        <v>0</v>
      </c>
      <c r="AM431" s="89">
        <f t="shared" si="791"/>
        <v>0</v>
      </c>
      <c r="AN431" s="89">
        <f t="shared" si="791"/>
        <v>0</v>
      </c>
      <c r="AO431" s="89">
        <f t="shared" si="791"/>
        <v>0</v>
      </c>
      <c r="AP431" s="89">
        <f t="shared" si="776"/>
        <v>0</v>
      </c>
      <c r="AQ431" s="89">
        <f t="shared" si="777"/>
        <v>0</v>
      </c>
      <c r="AR431" s="89">
        <f t="shared" si="777"/>
        <v>0</v>
      </c>
      <c r="AS431" s="89">
        <f t="shared" si="777"/>
        <v>0</v>
      </c>
      <c r="AT431" s="89">
        <f t="shared" si="777"/>
        <v>0</v>
      </c>
      <c r="AU431" s="89">
        <f t="shared" si="777"/>
        <v>0</v>
      </c>
      <c r="AV431" s="89">
        <f t="shared" si="777"/>
        <v>0</v>
      </c>
      <c r="AW431" s="89">
        <f t="shared" si="777"/>
        <v>0</v>
      </c>
      <c r="AX431" s="89">
        <f t="shared" si="778"/>
        <v>345917000</v>
      </c>
      <c r="AY431" s="89">
        <f t="shared" si="779"/>
        <v>0</v>
      </c>
      <c r="AZ431" s="89">
        <f t="shared" si="779"/>
        <v>0</v>
      </c>
      <c r="BA431" s="89">
        <f t="shared" si="780"/>
        <v>0</v>
      </c>
      <c r="BB431" s="89">
        <f t="shared" si="780"/>
        <v>0</v>
      </c>
      <c r="BC431" s="89">
        <f t="shared" si="780"/>
        <v>0</v>
      </c>
      <c r="BD431" s="89">
        <f t="shared" si="780"/>
        <v>0</v>
      </c>
      <c r="BE431" s="89">
        <f t="shared" si="780"/>
        <v>-7315361000</v>
      </c>
      <c r="BF431" s="89">
        <f t="shared" si="781"/>
        <v>0</v>
      </c>
      <c r="BG431" s="89">
        <f t="shared" si="782"/>
        <v>0</v>
      </c>
      <c r="BH431" s="111">
        <f t="shared" si="783"/>
        <v>-7315361000</v>
      </c>
    </row>
    <row r="432" spans="1:60">
      <c r="A432" s="51"/>
      <c r="B432" s="108"/>
      <c r="C432" s="52" t="s">
        <v>160</v>
      </c>
      <c r="D432" s="52" t="s">
        <v>93</v>
      </c>
      <c r="E432" s="52" t="s">
        <v>0</v>
      </c>
      <c r="F432" s="53" t="s">
        <v>64</v>
      </c>
      <c r="G432" s="89">
        <f t="shared" ref="G432:W432" si="792">G81-G344</f>
        <v>0</v>
      </c>
      <c r="H432" s="89">
        <f t="shared" si="792"/>
        <v>0</v>
      </c>
      <c r="I432" s="89">
        <f t="shared" si="792"/>
        <v>0</v>
      </c>
      <c r="J432" s="89">
        <f t="shared" si="792"/>
        <v>0</v>
      </c>
      <c r="K432" s="89">
        <f t="shared" si="792"/>
        <v>0</v>
      </c>
      <c r="L432" s="89">
        <f t="shared" si="792"/>
        <v>0</v>
      </c>
      <c r="M432" s="89">
        <f t="shared" si="792"/>
        <v>0</v>
      </c>
      <c r="N432" s="89">
        <f t="shared" si="792"/>
        <v>0</v>
      </c>
      <c r="O432" s="89">
        <f t="shared" si="792"/>
        <v>800963000</v>
      </c>
      <c r="P432" s="89">
        <f t="shared" si="792"/>
        <v>0</v>
      </c>
      <c r="Q432" s="89">
        <f t="shared" si="792"/>
        <v>0</v>
      </c>
      <c r="R432" s="89">
        <f t="shared" si="792"/>
        <v>0</v>
      </c>
      <c r="S432" s="89">
        <f t="shared" si="792"/>
        <v>0</v>
      </c>
      <c r="T432" s="89">
        <f t="shared" si="792"/>
        <v>0</v>
      </c>
      <c r="U432" s="89">
        <f t="shared" si="792"/>
        <v>7315361000</v>
      </c>
      <c r="V432" s="89">
        <f t="shared" si="792"/>
        <v>0</v>
      </c>
      <c r="W432" s="89">
        <f t="shared" si="792"/>
        <v>0</v>
      </c>
      <c r="X432" s="89">
        <f t="shared" si="774"/>
        <v>7315361000</v>
      </c>
      <c r="Y432" s="89">
        <f t="shared" ref="Y432:AO432" si="793">Y81-Y344</f>
        <v>345917000</v>
      </c>
      <c r="Z432" s="89">
        <f t="shared" si="793"/>
        <v>0</v>
      </c>
      <c r="AA432" s="89">
        <f t="shared" si="793"/>
        <v>0</v>
      </c>
      <c r="AB432" s="89">
        <f t="shared" si="793"/>
        <v>800963000</v>
      </c>
      <c r="AC432" s="89">
        <f t="shared" si="793"/>
        <v>0</v>
      </c>
      <c r="AD432" s="89">
        <f t="shared" si="793"/>
        <v>0</v>
      </c>
      <c r="AE432" s="89">
        <f t="shared" si="793"/>
        <v>-9620183000</v>
      </c>
      <c r="AF432" s="89">
        <f t="shared" si="793"/>
        <v>0</v>
      </c>
      <c r="AG432" s="89">
        <f t="shared" si="793"/>
        <v>0</v>
      </c>
      <c r="AH432" s="89">
        <f t="shared" si="793"/>
        <v>0</v>
      </c>
      <c r="AI432" s="89">
        <f t="shared" si="793"/>
        <v>0</v>
      </c>
      <c r="AJ432" s="89">
        <f t="shared" si="793"/>
        <v>0</v>
      </c>
      <c r="AK432" s="89">
        <f t="shared" si="793"/>
        <v>0</v>
      </c>
      <c r="AL432" s="89">
        <f t="shared" si="793"/>
        <v>0</v>
      </c>
      <c r="AM432" s="89">
        <f t="shared" si="793"/>
        <v>0</v>
      </c>
      <c r="AN432" s="89">
        <f t="shared" si="793"/>
        <v>-1383965000</v>
      </c>
      <c r="AO432" s="89">
        <f t="shared" si="793"/>
        <v>-1383965000</v>
      </c>
      <c r="AP432" s="89">
        <f t="shared" si="776"/>
        <v>-1621050000</v>
      </c>
      <c r="AQ432" s="89">
        <f t="shared" si="777"/>
        <v>345917000</v>
      </c>
      <c r="AR432" s="89">
        <f t="shared" si="777"/>
        <v>0</v>
      </c>
      <c r="AS432" s="89">
        <f t="shared" si="777"/>
        <v>0</v>
      </c>
      <c r="AT432" s="89">
        <f t="shared" si="777"/>
        <v>800963000</v>
      </c>
      <c r="AU432" s="89">
        <f t="shared" si="777"/>
        <v>0</v>
      </c>
      <c r="AV432" s="89">
        <f t="shared" si="777"/>
        <v>0</v>
      </c>
      <c r="AW432" s="89">
        <f t="shared" si="777"/>
        <v>-9620183000</v>
      </c>
      <c r="AX432" s="89">
        <f t="shared" si="778"/>
        <v>0</v>
      </c>
      <c r="AY432" s="89">
        <f t="shared" si="779"/>
        <v>800963000</v>
      </c>
      <c r="AZ432" s="89">
        <f t="shared" si="779"/>
        <v>0</v>
      </c>
      <c r="BA432" s="89">
        <f t="shared" si="780"/>
        <v>0</v>
      </c>
      <c r="BB432" s="89">
        <f t="shared" si="780"/>
        <v>0</v>
      </c>
      <c r="BC432" s="89">
        <f t="shared" si="780"/>
        <v>0</v>
      </c>
      <c r="BD432" s="89">
        <f t="shared" si="780"/>
        <v>0</v>
      </c>
      <c r="BE432" s="89">
        <f t="shared" si="780"/>
        <v>7315361000</v>
      </c>
      <c r="BF432" s="89">
        <f t="shared" si="781"/>
        <v>-1383965000</v>
      </c>
      <c r="BG432" s="89">
        <f t="shared" si="782"/>
        <v>-1383965000</v>
      </c>
      <c r="BH432" s="111">
        <f t="shared" si="783"/>
        <v>5694311000</v>
      </c>
    </row>
    <row r="433" spans="1:60">
      <c r="A433" s="51" t="s">
        <v>52</v>
      </c>
      <c r="B433" s="108"/>
      <c r="C433" s="52" t="s">
        <v>142</v>
      </c>
      <c r="D433" s="52" t="s">
        <v>3</v>
      </c>
      <c r="E433" s="52" t="s">
        <v>0</v>
      </c>
      <c r="F433" s="53" t="s">
        <v>186</v>
      </c>
      <c r="G433" s="89">
        <f t="shared" ref="G433:W433" si="794">G82-G345</f>
        <v>0</v>
      </c>
      <c r="H433" s="89">
        <f t="shared" si="794"/>
        <v>0</v>
      </c>
      <c r="I433" s="89">
        <f t="shared" si="794"/>
        <v>0</v>
      </c>
      <c r="J433" s="89">
        <f t="shared" si="794"/>
        <v>0</v>
      </c>
      <c r="K433" s="89">
        <f t="shared" si="794"/>
        <v>0</v>
      </c>
      <c r="L433" s="89">
        <f t="shared" si="794"/>
        <v>0</v>
      </c>
      <c r="M433" s="89">
        <f t="shared" si="794"/>
        <v>0</v>
      </c>
      <c r="N433" s="89">
        <f t="shared" si="794"/>
        <v>20281948000</v>
      </c>
      <c r="O433" s="89">
        <f t="shared" si="794"/>
        <v>1664135000</v>
      </c>
      <c r="P433" s="89">
        <f t="shared" si="794"/>
        <v>0</v>
      </c>
      <c r="Q433" s="89">
        <f t="shared" si="794"/>
        <v>0</v>
      </c>
      <c r="R433" s="89">
        <f t="shared" si="794"/>
        <v>0</v>
      </c>
      <c r="S433" s="89">
        <f t="shared" si="794"/>
        <v>0</v>
      </c>
      <c r="T433" s="89">
        <f t="shared" si="794"/>
        <v>0</v>
      </c>
      <c r="U433" s="89">
        <f t="shared" si="794"/>
        <v>7315361000</v>
      </c>
      <c r="V433" s="89">
        <f t="shared" si="794"/>
        <v>0</v>
      </c>
      <c r="W433" s="89">
        <f t="shared" si="794"/>
        <v>0</v>
      </c>
      <c r="X433" s="89">
        <f t="shared" si="774"/>
        <v>7315361000</v>
      </c>
      <c r="Y433" s="89">
        <f t="shared" ref="Y433:AO433" si="795">Y82-Y345</f>
        <v>5651226000</v>
      </c>
      <c r="Z433" s="89">
        <f t="shared" si="795"/>
        <v>0</v>
      </c>
      <c r="AA433" s="89">
        <f t="shared" si="795"/>
        <v>0</v>
      </c>
      <c r="AB433" s="89">
        <f t="shared" si="795"/>
        <v>1664135000</v>
      </c>
      <c r="AC433" s="89">
        <f t="shared" si="795"/>
        <v>0</v>
      </c>
      <c r="AD433" s="89">
        <f t="shared" si="795"/>
        <v>0</v>
      </c>
      <c r="AE433" s="89">
        <f t="shared" si="795"/>
        <v>0</v>
      </c>
      <c r="AF433" s="89">
        <f t="shared" si="795"/>
        <v>0</v>
      </c>
      <c r="AG433" s="89">
        <f t="shared" si="795"/>
        <v>0</v>
      </c>
      <c r="AH433" s="89">
        <f t="shared" si="795"/>
        <v>0</v>
      </c>
      <c r="AI433" s="89">
        <f t="shared" si="795"/>
        <v>0</v>
      </c>
      <c r="AJ433" s="89">
        <f t="shared" si="795"/>
        <v>0</v>
      </c>
      <c r="AK433" s="89">
        <f t="shared" si="795"/>
        <v>0</v>
      </c>
      <c r="AL433" s="89">
        <f t="shared" si="795"/>
        <v>0</v>
      </c>
      <c r="AM433" s="89">
        <f t="shared" si="795"/>
        <v>0</v>
      </c>
      <c r="AN433" s="89">
        <f t="shared" si="795"/>
        <v>7435519000</v>
      </c>
      <c r="AO433" s="89">
        <f t="shared" si="795"/>
        <v>7435519000</v>
      </c>
      <c r="AP433" s="89">
        <f t="shared" si="776"/>
        <v>22186399000</v>
      </c>
      <c r="AQ433" s="89">
        <f t="shared" si="777"/>
        <v>5651226000</v>
      </c>
      <c r="AR433" s="89">
        <f t="shared" si="777"/>
        <v>0</v>
      </c>
      <c r="AS433" s="89">
        <f t="shared" si="777"/>
        <v>0</v>
      </c>
      <c r="AT433" s="89">
        <f t="shared" si="777"/>
        <v>1664135000</v>
      </c>
      <c r="AU433" s="89">
        <f t="shared" si="777"/>
        <v>0</v>
      </c>
      <c r="AV433" s="89">
        <f t="shared" si="777"/>
        <v>0</v>
      </c>
      <c r="AW433" s="89">
        <f t="shared" si="777"/>
        <v>0</v>
      </c>
      <c r="AX433" s="89">
        <f t="shared" si="778"/>
        <v>20281948000</v>
      </c>
      <c r="AY433" s="89">
        <f t="shared" si="779"/>
        <v>1664135000</v>
      </c>
      <c r="AZ433" s="89">
        <f t="shared" si="779"/>
        <v>0</v>
      </c>
      <c r="BA433" s="89">
        <f t="shared" si="780"/>
        <v>0</v>
      </c>
      <c r="BB433" s="89">
        <f t="shared" si="780"/>
        <v>0</v>
      </c>
      <c r="BC433" s="89">
        <f t="shared" si="780"/>
        <v>0</v>
      </c>
      <c r="BD433" s="89">
        <f t="shared" si="780"/>
        <v>0</v>
      </c>
      <c r="BE433" s="89">
        <f t="shared" si="780"/>
        <v>7315361000</v>
      </c>
      <c r="BF433" s="89">
        <f t="shared" si="781"/>
        <v>7435519000</v>
      </c>
      <c r="BG433" s="89">
        <f t="shared" si="782"/>
        <v>7435519000</v>
      </c>
      <c r="BH433" s="111">
        <f t="shared" si="783"/>
        <v>29501760000</v>
      </c>
    </row>
    <row r="434" spans="1:60">
      <c r="A434" s="51"/>
      <c r="B434" s="108"/>
      <c r="C434" s="52"/>
      <c r="D434" s="52"/>
      <c r="E434" s="52"/>
      <c r="F434" s="54"/>
      <c r="G434" s="101">
        <f t="shared" ref="G434:AL434" si="796">G372-G433</f>
        <v>0</v>
      </c>
      <c r="H434" s="101">
        <f t="shared" si="796"/>
        <v>0</v>
      </c>
      <c r="I434" s="101">
        <f t="shared" si="796"/>
        <v>0</v>
      </c>
      <c r="J434" s="101">
        <f t="shared" si="796"/>
        <v>0</v>
      </c>
      <c r="K434" s="101">
        <f t="shared" si="796"/>
        <v>0</v>
      </c>
      <c r="L434" s="101">
        <f t="shared" si="796"/>
        <v>0</v>
      </c>
      <c r="M434" s="101">
        <f t="shared" si="796"/>
        <v>0</v>
      </c>
      <c r="N434" s="101">
        <f t="shared" si="796"/>
        <v>0</v>
      </c>
      <c r="O434" s="101">
        <f t="shared" si="796"/>
        <v>0</v>
      </c>
      <c r="P434" s="101">
        <f t="shared" si="796"/>
        <v>0</v>
      </c>
      <c r="Q434" s="101">
        <f t="shared" si="796"/>
        <v>0</v>
      </c>
      <c r="R434" s="101">
        <f t="shared" si="796"/>
        <v>0</v>
      </c>
      <c r="S434" s="101">
        <f t="shared" si="796"/>
        <v>0</v>
      </c>
      <c r="T434" s="101">
        <f t="shared" si="796"/>
        <v>0</v>
      </c>
      <c r="U434" s="101">
        <f t="shared" si="796"/>
        <v>0</v>
      </c>
      <c r="V434" s="101">
        <f t="shared" si="796"/>
        <v>0</v>
      </c>
      <c r="W434" s="101">
        <f t="shared" si="796"/>
        <v>0</v>
      </c>
      <c r="X434" s="101">
        <f t="shared" si="796"/>
        <v>0</v>
      </c>
      <c r="Y434" s="101">
        <f t="shared" si="796"/>
        <v>0</v>
      </c>
      <c r="Z434" s="101">
        <f t="shared" si="796"/>
        <v>0</v>
      </c>
      <c r="AA434" s="101">
        <f t="shared" si="796"/>
        <v>0</v>
      </c>
      <c r="AB434" s="101">
        <f t="shared" si="796"/>
        <v>0</v>
      </c>
      <c r="AC434" s="101">
        <f t="shared" si="796"/>
        <v>0</v>
      </c>
      <c r="AD434" s="101">
        <f t="shared" si="796"/>
        <v>0</v>
      </c>
      <c r="AE434" s="101">
        <f t="shared" si="796"/>
        <v>0</v>
      </c>
      <c r="AF434" s="101">
        <f t="shared" si="796"/>
        <v>0</v>
      </c>
      <c r="AG434" s="101">
        <f t="shared" si="796"/>
        <v>0</v>
      </c>
      <c r="AH434" s="101">
        <f t="shared" si="796"/>
        <v>0</v>
      </c>
      <c r="AI434" s="101">
        <f t="shared" si="796"/>
        <v>0</v>
      </c>
      <c r="AJ434" s="101">
        <f t="shared" si="796"/>
        <v>0</v>
      </c>
      <c r="AK434" s="101">
        <f t="shared" si="796"/>
        <v>0</v>
      </c>
      <c r="AL434" s="101">
        <f t="shared" si="796"/>
        <v>0</v>
      </c>
      <c r="AM434" s="101">
        <f t="shared" ref="AM434:BH434" si="797">AM372-AM433</f>
        <v>0</v>
      </c>
      <c r="AN434" s="101">
        <f t="shared" si="797"/>
        <v>0</v>
      </c>
      <c r="AO434" s="101">
        <f t="shared" si="797"/>
        <v>0</v>
      </c>
      <c r="AP434" s="101">
        <f t="shared" si="797"/>
        <v>0</v>
      </c>
      <c r="AQ434" s="101">
        <f t="shared" si="797"/>
        <v>0</v>
      </c>
      <c r="AR434" s="101">
        <f t="shared" si="797"/>
        <v>0</v>
      </c>
      <c r="AS434" s="101">
        <f t="shared" si="797"/>
        <v>0</v>
      </c>
      <c r="AT434" s="101">
        <f t="shared" si="797"/>
        <v>0</v>
      </c>
      <c r="AU434" s="101">
        <f t="shared" si="797"/>
        <v>0</v>
      </c>
      <c r="AV434" s="101">
        <f t="shared" si="797"/>
        <v>0</v>
      </c>
      <c r="AW434" s="101">
        <f t="shared" si="797"/>
        <v>0</v>
      </c>
      <c r="AX434" s="101">
        <f t="shared" si="797"/>
        <v>0</v>
      </c>
      <c r="AY434" s="101">
        <f t="shared" si="797"/>
        <v>0</v>
      </c>
      <c r="AZ434" s="101">
        <f t="shared" si="797"/>
        <v>0</v>
      </c>
      <c r="BA434" s="101">
        <f t="shared" si="797"/>
        <v>0</v>
      </c>
      <c r="BB434" s="101">
        <f t="shared" si="797"/>
        <v>0</v>
      </c>
      <c r="BC434" s="101">
        <f t="shared" si="797"/>
        <v>0</v>
      </c>
      <c r="BD434" s="101">
        <f t="shared" si="797"/>
        <v>0</v>
      </c>
      <c r="BE434" s="101">
        <f t="shared" si="797"/>
        <v>0</v>
      </c>
      <c r="BF434" s="101">
        <f t="shared" si="797"/>
        <v>0</v>
      </c>
      <c r="BG434" s="101">
        <f t="shared" si="797"/>
        <v>0</v>
      </c>
      <c r="BH434" s="113">
        <f t="shared" si="797"/>
        <v>0</v>
      </c>
    </row>
    <row r="435" spans="1:60">
      <c r="A435" s="51"/>
      <c r="B435" s="108"/>
      <c r="C435" s="52"/>
      <c r="D435" s="52" t="s">
        <v>0</v>
      </c>
      <c r="E435" s="52" t="s">
        <v>0</v>
      </c>
      <c r="F435" s="53" t="s">
        <v>47</v>
      </c>
      <c r="G435" s="91"/>
      <c r="H435" s="91"/>
      <c r="I435" s="91"/>
      <c r="J435" s="91"/>
      <c r="K435" s="91"/>
      <c r="L435" s="91"/>
      <c r="M435" s="91"/>
      <c r="N435" s="91"/>
      <c r="O435" s="91"/>
      <c r="P435" s="91"/>
      <c r="Q435" s="91"/>
      <c r="R435" s="91"/>
      <c r="S435" s="91"/>
      <c r="T435" s="91"/>
      <c r="U435" s="91"/>
      <c r="V435" s="91"/>
      <c r="W435" s="91"/>
      <c r="X435" s="91"/>
      <c r="Y435" s="91"/>
      <c r="Z435" s="91"/>
      <c r="AA435" s="91"/>
      <c r="AB435" s="91"/>
      <c r="AC435" s="91"/>
      <c r="AD435" s="91"/>
      <c r="AE435" s="91"/>
      <c r="AF435" s="91"/>
      <c r="AG435" s="91"/>
      <c r="AH435" s="91"/>
      <c r="AI435" s="91"/>
      <c r="AJ435" s="91"/>
      <c r="AK435" s="91"/>
      <c r="AL435" s="91"/>
      <c r="AM435" s="91"/>
      <c r="AN435" s="91"/>
      <c r="AO435" s="91"/>
      <c r="AP435" s="91"/>
      <c r="AQ435" s="91"/>
      <c r="AR435" s="91"/>
      <c r="AS435" s="91"/>
      <c r="AT435" s="91"/>
      <c r="AU435" s="91"/>
      <c r="AV435" s="91"/>
      <c r="AW435" s="91"/>
      <c r="AX435" s="52"/>
      <c r="AY435" s="52"/>
      <c r="AZ435" s="52"/>
      <c r="BA435" s="91"/>
      <c r="BB435" s="91"/>
      <c r="BC435" s="91"/>
      <c r="BD435" s="91"/>
      <c r="BE435" s="91"/>
      <c r="BF435" s="52"/>
      <c r="BG435" s="91"/>
      <c r="BH435" s="112"/>
    </row>
    <row r="436" spans="1:60">
      <c r="A436" s="51" t="s">
        <v>52</v>
      </c>
      <c r="B436" s="108"/>
      <c r="C436" s="52" t="s">
        <v>161</v>
      </c>
      <c r="D436" s="52" t="s">
        <v>3</v>
      </c>
      <c r="E436" s="52" t="s">
        <v>0</v>
      </c>
      <c r="F436" s="54" t="s">
        <v>48</v>
      </c>
      <c r="G436" s="89">
        <f t="shared" ref="G436:W436" si="798">G85-G348</f>
        <v>0</v>
      </c>
      <c r="H436" s="89">
        <f t="shared" si="798"/>
        <v>0</v>
      </c>
      <c r="I436" s="89">
        <f t="shared" si="798"/>
        <v>0</v>
      </c>
      <c r="J436" s="89">
        <f t="shared" si="798"/>
        <v>0</v>
      </c>
      <c r="K436" s="89">
        <f t="shared" si="798"/>
        <v>0</v>
      </c>
      <c r="L436" s="89">
        <f t="shared" si="798"/>
        <v>0</v>
      </c>
      <c r="M436" s="89">
        <f t="shared" si="798"/>
        <v>0</v>
      </c>
      <c r="N436" s="89">
        <f t="shared" si="798"/>
        <v>0</v>
      </c>
      <c r="O436" s="89">
        <f t="shared" si="798"/>
        <v>0</v>
      </c>
      <c r="P436" s="89">
        <f t="shared" si="798"/>
        <v>0</v>
      </c>
      <c r="Q436" s="89">
        <f t="shared" si="798"/>
        <v>0</v>
      </c>
      <c r="R436" s="89">
        <f t="shared" si="798"/>
        <v>0</v>
      </c>
      <c r="S436" s="89">
        <f t="shared" si="798"/>
        <v>0</v>
      </c>
      <c r="T436" s="89">
        <f t="shared" si="798"/>
        <v>0</v>
      </c>
      <c r="U436" s="89">
        <f t="shared" si="798"/>
        <v>0</v>
      </c>
      <c r="V436" s="89">
        <f t="shared" si="798"/>
        <v>0</v>
      </c>
      <c r="W436" s="89">
        <f t="shared" si="798"/>
        <v>0</v>
      </c>
      <c r="X436" s="89">
        <f t="shared" ref="X436:X438" si="799">SUM(P436:W436)+SUM(G436:K436)</f>
        <v>0</v>
      </c>
      <c r="Y436" s="89">
        <f t="shared" ref="Y436:AO436" si="800">Y85-Y348</f>
        <v>0</v>
      </c>
      <c r="Z436" s="89">
        <f t="shared" si="800"/>
        <v>0</v>
      </c>
      <c r="AA436" s="89">
        <f t="shared" si="800"/>
        <v>0</v>
      </c>
      <c r="AB436" s="89">
        <f t="shared" si="800"/>
        <v>0</v>
      </c>
      <c r="AC436" s="89">
        <f t="shared" si="800"/>
        <v>0</v>
      </c>
      <c r="AD436" s="89">
        <f t="shared" si="800"/>
        <v>0</v>
      </c>
      <c r="AE436" s="89">
        <f t="shared" si="800"/>
        <v>0</v>
      </c>
      <c r="AF436" s="89">
        <f t="shared" si="800"/>
        <v>0</v>
      </c>
      <c r="AG436" s="89">
        <f t="shared" si="800"/>
        <v>0</v>
      </c>
      <c r="AH436" s="89">
        <f t="shared" si="800"/>
        <v>0</v>
      </c>
      <c r="AI436" s="89">
        <f t="shared" si="800"/>
        <v>0</v>
      </c>
      <c r="AJ436" s="89">
        <f t="shared" si="800"/>
        <v>0</v>
      </c>
      <c r="AK436" s="89">
        <f t="shared" si="800"/>
        <v>0</v>
      </c>
      <c r="AL436" s="89">
        <f t="shared" si="800"/>
        <v>0</v>
      </c>
      <c r="AM436" s="89">
        <f t="shared" si="800"/>
        <v>0</v>
      </c>
      <c r="AN436" s="89">
        <f t="shared" si="800"/>
        <v>0</v>
      </c>
      <c r="AO436" s="89">
        <f t="shared" si="800"/>
        <v>0</v>
      </c>
      <c r="AP436" s="89">
        <f t="shared" ref="AP436:AP438" si="801">SUM(AH436:AO436)+SUM(Y436:AC436)</f>
        <v>0</v>
      </c>
      <c r="AQ436" s="89">
        <f t="shared" ref="AQ436:AW438" si="802">AQ85-AQ348</f>
        <v>0</v>
      </c>
      <c r="AR436" s="89">
        <f t="shared" si="802"/>
        <v>0</v>
      </c>
      <c r="AS436" s="89">
        <f t="shared" si="802"/>
        <v>0</v>
      </c>
      <c r="AT436" s="89">
        <f t="shared" si="802"/>
        <v>0</v>
      </c>
      <c r="AU436" s="89">
        <f t="shared" si="802"/>
        <v>0</v>
      </c>
      <c r="AV436" s="89">
        <f t="shared" si="802"/>
        <v>0</v>
      </c>
      <c r="AW436" s="89">
        <f t="shared" si="802"/>
        <v>0</v>
      </c>
      <c r="AX436" s="89">
        <f t="shared" ref="AX436:AX438" si="803">N436+AF436</f>
        <v>0</v>
      </c>
      <c r="AY436" s="89">
        <f t="shared" ref="AY436:AZ438" si="804">O436+AG436</f>
        <v>0</v>
      </c>
      <c r="AZ436" s="89">
        <f t="shared" si="804"/>
        <v>0</v>
      </c>
      <c r="BA436" s="89">
        <f t="shared" ref="BA436:BE438" si="805">BA85-BA348</f>
        <v>0</v>
      </c>
      <c r="BB436" s="89">
        <f t="shared" si="805"/>
        <v>0</v>
      </c>
      <c r="BC436" s="89">
        <f t="shared" si="805"/>
        <v>0</v>
      </c>
      <c r="BD436" s="89">
        <f t="shared" si="805"/>
        <v>0</v>
      </c>
      <c r="BE436" s="89">
        <f t="shared" si="805"/>
        <v>0</v>
      </c>
      <c r="BF436" s="89">
        <f t="shared" ref="BF436:BF438" si="806">V436+AN436</f>
        <v>0</v>
      </c>
      <c r="BG436" s="89">
        <f>BG85-BG348</f>
        <v>0</v>
      </c>
      <c r="BH436" s="111">
        <f>X436+AP436</f>
        <v>0</v>
      </c>
    </row>
    <row r="437" spans="1:60">
      <c r="A437" s="51" t="s">
        <v>52</v>
      </c>
      <c r="B437" s="108"/>
      <c r="C437" s="52" t="s">
        <v>162</v>
      </c>
      <c r="D437" s="52" t="s">
        <v>3</v>
      </c>
      <c r="E437" s="52" t="s">
        <v>0</v>
      </c>
      <c r="F437" s="54" t="s">
        <v>49</v>
      </c>
      <c r="G437" s="89">
        <f t="shared" ref="G437:W437" si="807">G86-G349</f>
        <v>0</v>
      </c>
      <c r="H437" s="89">
        <f t="shared" si="807"/>
        <v>0</v>
      </c>
      <c r="I437" s="89">
        <f t="shared" si="807"/>
        <v>0</v>
      </c>
      <c r="J437" s="89">
        <f t="shared" si="807"/>
        <v>0</v>
      </c>
      <c r="K437" s="89">
        <f t="shared" si="807"/>
        <v>0</v>
      </c>
      <c r="L437" s="89">
        <f t="shared" si="807"/>
        <v>0</v>
      </c>
      <c r="M437" s="89">
        <f t="shared" si="807"/>
        <v>0</v>
      </c>
      <c r="N437" s="89">
        <f t="shared" si="807"/>
        <v>0</v>
      </c>
      <c r="O437" s="89">
        <f t="shared" si="807"/>
        <v>0</v>
      </c>
      <c r="P437" s="89">
        <f t="shared" si="807"/>
        <v>0</v>
      </c>
      <c r="Q437" s="89">
        <f t="shared" si="807"/>
        <v>0</v>
      </c>
      <c r="R437" s="89">
        <f t="shared" si="807"/>
        <v>0</v>
      </c>
      <c r="S437" s="89">
        <f t="shared" si="807"/>
        <v>0</v>
      </c>
      <c r="T437" s="89">
        <f t="shared" si="807"/>
        <v>0</v>
      </c>
      <c r="U437" s="89">
        <f t="shared" si="807"/>
        <v>0</v>
      </c>
      <c r="V437" s="89">
        <f t="shared" si="807"/>
        <v>0</v>
      </c>
      <c r="W437" s="89">
        <f t="shared" si="807"/>
        <v>0</v>
      </c>
      <c r="X437" s="89">
        <f t="shared" si="799"/>
        <v>0</v>
      </c>
      <c r="Y437" s="89">
        <f t="shared" ref="Y437:AO437" si="808">Y86-Y349</f>
        <v>0</v>
      </c>
      <c r="Z437" s="89">
        <f t="shared" si="808"/>
        <v>0</v>
      </c>
      <c r="AA437" s="89">
        <f t="shared" si="808"/>
        <v>0</v>
      </c>
      <c r="AB437" s="89">
        <f t="shared" si="808"/>
        <v>0</v>
      </c>
      <c r="AC437" s="89">
        <f t="shared" si="808"/>
        <v>0</v>
      </c>
      <c r="AD437" s="89">
        <f t="shared" si="808"/>
        <v>0</v>
      </c>
      <c r="AE437" s="89">
        <f t="shared" si="808"/>
        <v>0</v>
      </c>
      <c r="AF437" s="89">
        <f t="shared" si="808"/>
        <v>0</v>
      </c>
      <c r="AG437" s="89">
        <f t="shared" si="808"/>
        <v>0</v>
      </c>
      <c r="AH437" s="89">
        <f t="shared" si="808"/>
        <v>0</v>
      </c>
      <c r="AI437" s="89">
        <f t="shared" si="808"/>
        <v>0</v>
      </c>
      <c r="AJ437" s="89">
        <f t="shared" si="808"/>
        <v>0</v>
      </c>
      <c r="AK437" s="89">
        <f t="shared" si="808"/>
        <v>0</v>
      </c>
      <c r="AL437" s="89">
        <f t="shared" si="808"/>
        <v>0</v>
      </c>
      <c r="AM437" s="89">
        <f t="shared" si="808"/>
        <v>0</v>
      </c>
      <c r="AN437" s="89">
        <f t="shared" si="808"/>
        <v>0</v>
      </c>
      <c r="AO437" s="89">
        <f t="shared" si="808"/>
        <v>0</v>
      </c>
      <c r="AP437" s="89">
        <f t="shared" si="801"/>
        <v>0</v>
      </c>
      <c r="AQ437" s="89">
        <f t="shared" si="802"/>
        <v>0</v>
      </c>
      <c r="AR437" s="89">
        <f t="shared" si="802"/>
        <v>0</v>
      </c>
      <c r="AS437" s="89">
        <f t="shared" si="802"/>
        <v>0</v>
      </c>
      <c r="AT437" s="89">
        <f t="shared" si="802"/>
        <v>0</v>
      </c>
      <c r="AU437" s="89">
        <f t="shared" si="802"/>
        <v>0</v>
      </c>
      <c r="AV437" s="89">
        <f t="shared" si="802"/>
        <v>0</v>
      </c>
      <c r="AW437" s="89">
        <f t="shared" si="802"/>
        <v>0</v>
      </c>
      <c r="AX437" s="89">
        <f t="shared" si="803"/>
        <v>0</v>
      </c>
      <c r="AY437" s="89">
        <f t="shared" si="804"/>
        <v>0</v>
      </c>
      <c r="AZ437" s="89">
        <f t="shared" si="804"/>
        <v>0</v>
      </c>
      <c r="BA437" s="89">
        <f t="shared" si="805"/>
        <v>0</v>
      </c>
      <c r="BB437" s="89">
        <f t="shared" si="805"/>
        <v>0</v>
      </c>
      <c r="BC437" s="89">
        <f t="shared" si="805"/>
        <v>0</v>
      </c>
      <c r="BD437" s="89">
        <f t="shared" si="805"/>
        <v>0</v>
      </c>
      <c r="BE437" s="89">
        <f t="shared" si="805"/>
        <v>0</v>
      </c>
      <c r="BF437" s="89">
        <f t="shared" si="806"/>
        <v>0</v>
      </c>
      <c r="BG437" s="89">
        <f>BG86-BG349</f>
        <v>0</v>
      </c>
      <c r="BH437" s="111">
        <f>X437+AP437</f>
        <v>0</v>
      </c>
    </row>
    <row r="438" spans="1:60">
      <c r="A438" s="51" t="s">
        <v>52</v>
      </c>
      <c r="B438" s="108"/>
      <c r="C438" s="52" t="s">
        <v>163</v>
      </c>
      <c r="D438" s="52" t="s">
        <v>3</v>
      </c>
      <c r="E438" s="52" t="s">
        <v>0</v>
      </c>
      <c r="F438" s="54" t="s">
        <v>50</v>
      </c>
      <c r="G438" s="89">
        <f t="shared" ref="G438:W438" si="809">G87-G350</f>
        <v>0</v>
      </c>
      <c r="H438" s="89">
        <f t="shared" si="809"/>
        <v>0</v>
      </c>
      <c r="I438" s="89">
        <f t="shared" si="809"/>
        <v>0</v>
      </c>
      <c r="J438" s="89">
        <f t="shared" si="809"/>
        <v>0</v>
      </c>
      <c r="K438" s="89">
        <f t="shared" si="809"/>
        <v>0</v>
      </c>
      <c r="L438" s="89">
        <f t="shared" si="809"/>
        <v>0</v>
      </c>
      <c r="M438" s="89">
        <f t="shared" si="809"/>
        <v>0</v>
      </c>
      <c r="N438" s="89">
        <f t="shared" si="809"/>
        <v>0</v>
      </c>
      <c r="O438" s="89">
        <f t="shared" si="809"/>
        <v>0</v>
      </c>
      <c r="P438" s="89">
        <f t="shared" si="809"/>
        <v>0</v>
      </c>
      <c r="Q438" s="89">
        <f t="shared" si="809"/>
        <v>0</v>
      </c>
      <c r="R438" s="89">
        <f t="shared" si="809"/>
        <v>0</v>
      </c>
      <c r="S438" s="89">
        <f t="shared" si="809"/>
        <v>0</v>
      </c>
      <c r="T438" s="89">
        <f t="shared" si="809"/>
        <v>0</v>
      </c>
      <c r="U438" s="89">
        <f t="shared" si="809"/>
        <v>0</v>
      </c>
      <c r="V438" s="89">
        <f t="shared" si="809"/>
        <v>0</v>
      </c>
      <c r="W438" s="89">
        <f t="shared" si="809"/>
        <v>0</v>
      </c>
      <c r="X438" s="89">
        <f t="shared" si="799"/>
        <v>0</v>
      </c>
      <c r="Y438" s="89">
        <f t="shared" ref="Y438:AO438" si="810">Y87-Y350</f>
        <v>0</v>
      </c>
      <c r="Z438" s="89">
        <f t="shared" si="810"/>
        <v>0</v>
      </c>
      <c r="AA438" s="89">
        <f t="shared" si="810"/>
        <v>0</v>
      </c>
      <c r="AB438" s="89">
        <f t="shared" si="810"/>
        <v>0</v>
      </c>
      <c r="AC438" s="89">
        <f t="shared" si="810"/>
        <v>0</v>
      </c>
      <c r="AD438" s="89">
        <f t="shared" si="810"/>
        <v>0</v>
      </c>
      <c r="AE438" s="89">
        <f t="shared" si="810"/>
        <v>0</v>
      </c>
      <c r="AF438" s="89">
        <f t="shared" si="810"/>
        <v>0</v>
      </c>
      <c r="AG438" s="89">
        <f t="shared" si="810"/>
        <v>0</v>
      </c>
      <c r="AH438" s="89">
        <f t="shared" si="810"/>
        <v>0</v>
      </c>
      <c r="AI438" s="89">
        <f t="shared" si="810"/>
        <v>0</v>
      </c>
      <c r="AJ438" s="89">
        <f t="shared" si="810"/>
        <v>0</v>
      </c>
      <c r="AK438" s="89">
        <f t="shared" si="810"/>
        <v>0</v>
      </c>
      <c r="AL438" s="89">
        <f t="shared" si="810"/>
        <v>0</v>
      </c>
      <c r="AM438" s="89">
        <f t="shared" si="810"/>
        <v>0</v>
      </c>
      <c r="AN438" s="89">
        <f t="shared" si="810"/>
        <v>0</v>
      </c>
      <c r="AO438" s="89">
        <f t="shared" si="810"/>
        <v>0</v>
      </c>
      <c r="AP438" s="89">
        <f t="shared" si="801"/>
        <v>0</v>
      </c>
      <c r="AQ438" s="89">
        <f t="shared" si="802"/>
        <v>0</v>
      </c>
      <c r="AR438" s="89">
        <f t="shared" si="802"/>
        <v>0</v>
      </c>
      <c r="AS438" s="89">
        <f t="shared" si="802"/>
        <v>0</v>
      </c>
      <c r="AT438" s="89">
        <f t="shared" si="802"/>
        <v>0</v>
      </c>
      <c r="AU438" s="89">
        <f t="shared" si="802"/>
        <v>0</v>
      </c>
      <c r="AV438" s="89">
        <f t="shared" si="802"/>
        <v>0</v>
      </c>
      <c r="AW438" s="89">
        <f t="shared" si="802"/>
        <v>0</v>
      </c>
      <c r="AX438" s="89">
        <f t="shared" si="803"/>
        <v>0</v>
      </c>
      <c r="AY438" s="89">
        <f t="shared" si="804"/>
        <v>0</v>
      </c>
      <c r="AZ438" s="89">
        <f t="shared" si="804"/>
        <v>0</v>
      </c>
      <c r="BA438" s="89">
        <f t="shared" si="805"/>
        <v>0</v>
      </c>
      <c r="BB438" s="89">
        <f t="shared" si="805"/>
        <v>0</v>
      </c>
      <c r="BC438" s="89">
        <f t="shared" si="805"/>
        <v>0</v>
      </c>
      <c r="BD438" s="89">
        <f t="shared" si="805"/>
        <v>0</v>
      </c>
      <c r="BE438" s="89">
        <f t="shared" si="805"/>
        <v>0</v>
      </c>
      <c r="BF438" s="89">
        <f t="shared" si="806"/>
        <v>0</v>
      </c>
      <c r="BG438" s="89">
        <f>BG87-BG350</f>
        <v>0</v>
      </c>
      <c r="BH438" s="111">
        <f>X438+AP438</f>
        <v>0</v>
      </c>
    </row>
    <row r="439" spans="1:60">
      <c r="A439" s="51"/>
      <c r="B439" s="108"/>
      <c r="C439" s="52"/>
      <c r="D439" s="52"/>
      <c r="E439" s="52"/>
      <c r="F439" s="53"/>
      <c r="G439" s="52"/>
      <c r="H439" s="52"/>
      <c r="I439" s="52"/>
      <c r="J439" s="52"/>
      <c r="K439" s="52"/>
      <c r="L439" s="52"/>
      <c r="M439" s="52"/>
      <c r="N439" s="52"/>
      <c r="O439" s="52"/>
      <c r="P439" s="52"/>
      <c r="Q439" s="52"/>
      <c r="R439" s="52"/>
      <c r="S439" s="52"/>
      <c r="T439" s="52"/>
      <c r="U439" s="52"/>
      <c r="V439" s="52"/>
      <c r="W439" s="52"/>
      <c r="X439" s="52"/>
      <c r="Y439" s="52"/>
      <c r="Z439" s="52"/>
      <c r="AA439" s="52"/>
      <c r="AB439" s="52"/>
      <c r="AC439" s="52"/>
      <c r="AD439" s="52"/>
      <c r="AE439" s="52"/>
      <c r="AF439" s="52"/>
      <c r="AG439" s="52"/>
      <c r="AH439" s="52"/>
      <c r="AI439" s="52"/>
      <c r="AJ439" s="52"/>
      <c r="AK439" s="52"/>
      <c r="AL439" s="52"/>
      <c r="AM439" s="52"/>
      <c r="AN439" s="52"/>
      <c r="AO439" s="52"/>
      <c r="AP439" s="52"/>
      <c r="AQ439" s="52"/>
      <c r="AR439" s="52"/>
      <c r="AS439" s="52"/>
      <c r="AT439" s="52"/>
      <c r="AU439" s="52"/>
      <c r="AV439" s="52"/>
      <c r="AW439" s="52"/>
      <c r="AX439" s="52"/>
      <c r="AY439" s="52"/>
      <c r="AZ439" s="52"/>
      <c r="BA439" s="52"/>
      <c r="BB439" s="52"/>
      <c r="BC439" s="52"/>
      <c r="BD439" s="52"/>
      <c r="BE439" s="52"/>
      <c r="BF439" s="52"/>
      <c r="BG439" s="52"/>
      <c r="BH439" s="109"/>
    </row>
    <row r="440" spans="1:60" ht="22.5" customHeight="1" thickBot="1">
      <c r="A440" s="51"/>
      <c r="B440" s="114"/>
      <c r="C440" s="115"/>
      <c r="D440" s="115"/>
      <c r="E440" s="115"/>
      <c r="F440" s="116"/>
      <c r="G440" s="115"/>
      <c r="H440" s="115"/>
      <c r="I440" s="115"/>
      <c r="J440" s="115"/>
      <c r="K440" s="115"/>
      <c r="L440" s="115"/>
      <c r="M440" s="115"/>
      <c r="N440" s="115"/>
      <c r="O440" s="115"/>
      <c r="P440" s="115"/>
      <c r="Q440" s="115"/>
      <c r="R440" s="115"/>
      <c r="S440" s="115"/>
      <c r="T440" s="115"/>
      <c r="U440" s="115"/>
      <c r="V440" s="115"/>
      <c r="W440" s="115"/>
      <c r="X440" s="115"/>
      <c r="Y440" s="115"/>
      <c r="Z440" s="115"/>
      <c r="AA440" s="115"/>
      <c r="AB440" s="115"/>
      <c r="AC440" s="115"/>
      <c r="AD440" s="115"/>
      <c r="AE440" s="115"/>
      <c r="AF440" s="115"/>
      <c r="AG440" s="115"/>
      <c r="AH440" s="115"/>
      <c r="AI440" s="115"/>
      <c r="AJ440" s="115"/>
      <c r="AK440" s="115"/>
      <c r="AL440" s="115"/>
      <c r="AM440" s="115"/>
      <c r="AN440" s="115"/>
      <c r="AO440" s="115"/>
      <c r="AP440" s="115"/>
      <c r="AQ440" s="115"/>
      <c r="AR440" s="115"/>
      <c r="AS440" s="115"/>
      <c r="AT440" s="115"/>
      <c r="AU440" s="115"/>
      <c r="AV440" s="115"/>
      <c r="AW440" s="115"/>
      <c r="AX440" s="115"/>
      <c r="AY440" s="115"/>
      <c r="AZ440" s="115"/>
      <c r="BA440" s="115"/>
      <c r="BB440" s="115"/>
      <c r="BC440" s="115"/>
      <c r="BD440" s="115"/>
      <c r="BE440" s="115"/>
      <c r="BF440" s="115"/>
      <c r="BG440" s="115"/>
      <c r="BH440" s="117"/>
    </row>
  </sheetData>
  <mergeCells count="30">
    <mergeCell ref="B359:F359"/>
    <mergeCell ref="B357:F357"/>
    <mergeCell ref="G357:X357"/>
    <mergeCell ref="Y357:AP357"/>
    <mergeCell ref="AQ357:BH357"/>
    <mergeCell ref="B271:F271"/>
    <mergeCell ref="G355:BH355"/>
    <mergeCell ref="B269:F269"/>
    <mergeCell ref="G269:X269"/>
    <mergeCell ref="Y269:AP269"/>
    <mergeCell ref="AQ269:BH269"/>
    <mergeCell ref="B183:F183"/>
    <mergeCell ref="G267:BH267"/>
    <mergeCell ref="B181:F181"/>
    <mergeCell ref="G181:X181"/>
    <mergeCell ref="Y181:AP181"/>
    <mergeCell ref="AQ181:BH181"/>
    <mergeCell ref="B95:F95"/>
    <mergeCell ref="G179:BH179"/>
    <mergeCell ref="B93:F93"/>
    <mergeCell ref="G93:X93"/>
    <mergeCell ref="Y93:AP93"/>
    <mergeCell ref="AQ93:BH93"/>
    <mergeCell ref="G4:BH4"/>
    <mergeCell ref="G91:BH91"/>
    <mergeCell ref="B8:F8"/>
    <mergeCell ref="G6:X6"/>
    <mergeCell ref="Y6:AP6"/>
    <mergeCell ref="AQ6:BH6"/>
    <mergeCell ref="B6:F6"/>
  </mergeCells>
  <conditionalFormatting sqref="BA346:BE346 BG346:BH346 G346:AW346">
    <cfRule type="cellIs" dxfId="12" priority="15" operator="notEqual">
      <formula>0</formula>
    </cfRule>
  </conditionalFormatting>
  <conditionalFormatting sqref="G83:BH83">
    <cfRule type="cellIs" dxfId="11" priority="14" operator="notEqual">
      <formula>0</formula>
    </cfRule>
  </conditionalFormatting>
  <conditionalFormatting sqref="BA170:BE170 BG170:BH170 G170:AW170">
    <cfRule type="cellIs" dxfId="10" priority="13" operator="notEqual">
      <formula>0</formula>
    </cfRule>
  </conditionalFormatting>
  <conditionalFormatting sqref="BA258:BE258 BG258:BH258 G258:AW258">
    <cfRule type="cellIs" dxfId="9" priority="12" operator="notEqual">
      <formula>0</formula>
    </cfRule>
  </conditionalFormatting>
  <conditionalFormatting sqref="BA434:BE434 BG434:BH434 G434:AW434">
    <cfRule type="cellIs" dxfId="8" priority="11" operator="notEqual">
      <formula>0</formula>
    </cfRule>
  </conditionalFormatting>
  <conditionalFormatting sqref="AX170:AZ170">
    <cfRule type="cellIs" dxfId="7" priority="8" operator="notEqual">
      <formula>0</formula>
    </cfRule>
  </conditionalFormatting>
  <conditionalFormatting sqref="AX258:AZ258">
    <cfRule type="cellIs" dxfId="6" priority="7" operator="notEqual">
      <formula>0</formula>
    </cfRule>
  </conditionalFormatting>
  <conditionalFormatting sqref="AX346:AZ346">
    <cfRule type="cellIs" dxfId="5" priority="6" operator="notEqual">
      <formula>0</formula>
    </cfRule>
  </conditionalFormatting>
  <conditionalFormatting sqref="AX434:AZ434">
    <cfRule type="cellIs" dxfId="4" priority="5" operator="notEqual">
      <formula>0</formula>
    </cfRule>
  </conditionalFormatting>
  <conditionalFormatting sqref="BF170">
    <cfRule type="cellIs" dxfId="3" priority="4" operator="notEqual">
      <formula>0</formula>
    </cfRule>
  </conditionalFormatting>
  <conditionalFormatting sqref="BF258">
    <cfRule type="cellIs" dxfId="2" priority="3" operator="notEqual">
      <formula>0</formula>
    </cfRule>
  </conditionalFormatting>
  <conditionalFormatting sqref="BF346">
    <cfRule type="cellIs" dxfId="1" priority="2" operator="notEqual">
      <formula>0</formula>
    </cfRule>
  </conditionalFormatting>
  <conditionalFormatting sqref="BF434">
    <cfRule type="cellIs" dxfId="0" priority="1" operator="notEqual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Hoja1!$A$1:$A$2</xm:f>
          </x14:formula1>
          <xm:sqref>G3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00B050"/>
  </sheetPr>
  <dimension ref="A1:I18"/>
  <sheetViews>
    <sheetView topLeftCell="A5" zoomScale="80" zoomScaleNormal="80" workbookViewId="0">
      <selection activeCell="G16" sqref="G16:G17"/>
    </sheetView>
  </sheetViews>
  <sheetFormatPr baseColWidth="10" defaultRowHeight="15"/>
  <cols>
    <col min="1" max="1" width="2.7109375" customWidth="1"/>
    <col min="2" max="2" width="3.28515625" customWidth="1"/>
    <col min="3" max="3" width="2.7109375" customWidth="1"/>
    <col min="4" max="4" width="5.42578125" customWidth="1"/>
    <col min="5" max="5" width="2.7109375" customWidth="1"/>
    <col min="6" max="6" width="90.7109375" customWidth="1"/>
    <col min="7" max="8" width="15.7109375" customWidth="1"/>
    <col min="9" max="9" width="14.7109375" customWidth="1"/>
  </cols>
  <sheetData>
    <row r="1" spans="1:9" ht="54.95" customHeight="1" thickBot="1"/>
    <row r="2" spans="1:9" ht="164.25" thickBot="1">
      <c r="F2" s="41" t="s">
        <v>1</v>
      </c>
    </row>
    <row r="3" spans="1:9" ht="16.5" thickBot="1">
      <c r="F3" s="42" t="s">
        <v>2</v>
      </c>
    </row>
    <row r="4" spans="1:9" ht="16.5" thickBot="1">
      <c r="F4" s="86" t="s">
        <v>94</v>
      </c>
      <c r="G4" s="87" t="s">
        <v>95</v>
      </c>
    </row>
    <row r="5" spans="1:9" ht="70.5" customHeight="1">
      <c r="A5" s="16" t="s">
        <v>8</v>
      </c>
      <c r="B5" s="17"/>
      <c r="C5" s="18"/>
      <c r="D5" s="18"/>
      <c r="E5" s="19"/>
      <c r="F5" s="20" t="s">
        <v>54</v>
      </c>
      <c r="G5" s="58" t="s">
        <v>53</v>
      </c>
      <c r="H5" s="58" t="s">
        <v>53</v>
      </c>
      <c r="I5" s="21" t="s">
        <v>55</v>
      </c>
    </row>
    <row r="6" spans="1:9" ht="172.5" hidden="1" customHeight="1">
      <c r="A6" s="22" t="s">
        <v>7</v>
      </c>
      <c r="B6" s="23"/>
      <c r="C6" s="24"/>
      <c r="D6" s="25" t="s">
        <v>171</v>
      </c>
      <c r="E6" s="26" t="s">
        <v>170</v>
      </c>
      <c r="F6" s="27"/>
      <c r="G6" s="59" t="str">
        <f>SUBSTITUTE(CONCATENATE("IAS38-InfoActiIntaUtil_",TRIM(G5),"_",COLUMN(G6),"|",G5)," ","")</f>
        <v>IAS38-InfoActiIntaUtil_Agregarcolumnaopcional_7|Agregarcolumnaopcional</v>
      </c>
      <c r="H6" s="59" t="str">
        <f>SUBSTITUTE(CONCATENATE("IAS38-InfoActiIntaUtil_",TRIM(H5),"_",COLUMN(H6),"|",H5)," ","")</f>
        <v>IAS38-InfoActiIntaUtil_Agregarcolumnaopcional_8|Agregarcolumnaopcional</v>
      </c>
      <c r="I6" s="28" t="s">
        <v>164</v>
      </c>
    </row>
    <row r="7" spans="1:9">
      <c r="A7" s="29"/>
      <c r="B7" s="35"/>
      <c r="C7" s="36"/>
      <c r="D7" s="37"/>
      <c r="E7" s="38"/>
      <c r="F7" s="63"/>
      <c r="G7" s="60"/>
      <c r="H7" s="60"/>
      <c r="I7" s="43"/>
    </row>
    <row r="8" spans="1:9">
      <c r="A8" s="29"/>
      <c r="B8" s="30"/>
      <c r="C8" s="31"/>
      <c r="D8" s="32"/>
      <c r="E8" s="33"/>
      <c r="F8" s="64"/>
      <c r="G8" s="61"/>
      <c r="H8" s="61"/>
      <c r="I8" s="56"/>
    </row>
    <row r="9" spans="1:9">
      <c r="A9" s="29"/>
      <c r="B9" s="30" t="s">
        <v>191</v>
      </c>
      <c r="C9" s="31" t="s">
        <v>165</v>
      </c>
      <c r="D9" s="32" t="s">
        <v>3</v>
      </c>
      <c r="E9" s="33" t="s">
        <v>0</v>
      </c>
      <c r="F9" s="65" t="s">
        <v>56</v>
      </c>
      <c r="G9" s="67">
        <v>1000</v>
      </c>
      <c r="H9" s="67"/>
      <c r="I9" s="71">
        <f>SUM(G9:H9)</f>
        <v>1000</v>
      </c>
    </row>
    <row r="10" spans="1:9" ht="22.5">
      <c r="A10" s="29"/>
      <c r="B10" s="30" t="s">
        <v>191</v>
      </c>
      <c r="C10" s="31" t="s">
        <v>166</v>
      </c>
      <c r="D10" s="32" t="s">
        <v>3</v>
      </c>
      <c r="E10" s="33" t="s">
        <v>0</v>
      </c>
      <c r="F10" s="65" t="s">
        <v>57</v>
      </c>
      <c r="G10" s="67" t="s">
        <v>215</v>
      </c>
      <c r="H10" s="67"/>
      <c r="I10" s="34"/>
    </row>
    <row r="11" spans="1:9">
      <c r="B11" s="39"/>
      <c r="C11" s="40"/>
      <c r="D11" s="40"/>
      <c r="E11" s="40"/>
      <c r="F11" s="66"/>
      <c r="G11" s="68"/>
      <c r="H11" s="68"/>
      <c r="I11" s="44"/>
    </row>
    <row r="12" spans="1:9" ht="15.75" thickBot="1"/>
    <row r="13" spans="1:9" ht="67.5">
      <c r="A13" s="16"/>
      <c r="B13" s="17"/>
      <c r="C13" s="18"/>
      <c r="D13" s="18"/>
      <c r="E13" s="19"/>
      <c r="F13" s="20" t="s">
        <v>54</v>
      </c>
      <c r="G13" s="62" t="str">
        <f>G5</f>
        <v>Agregar columna opcional</v>
      </c>
      <c r="H13" s="62" t="str">
        <f>H5</f>
        <v>Agregar columna opcional</v>
      </c>
      <c r="I13" s="21" t="s">
        <v>55</v>
      </c>
    </row>
    <row r="14" spans="1:9">
      <c r="A14" s="29"/>
      <c r="B14" s="35"/>
      <c r="C14" s="36"/>
      <c r="D14" s="37"/>
      <c r="E14" s="38"/>
      <c r="F14" s="63"/>
      <c r="G14" s="60"/>
      <c r="H14" s="60"/>
      <c r="I14" s="43"/>
    </row>
    <row r="15" spans="1:9">
      <c r="A15" s="29"/>
      <c r="B15" s="30"/>
      <c r="C15" s="31"/>
      <c r="D15" s="32"/>
      <c r="E15" s="33"/>
      <c r="F15" s="64"/>
      <c r="G15" s="61"/>
      <c r="H15" s="61"/>
      <c r="I15" s="56"/>
    </row>
    <row r="16" spans="1:9">
      <c r="A16" s="29" t="s">
        <v>52</v>
      </c>
      <c r="B16" s="30" t="s">
        <v>191</v>
      </c>
      <c r="C16" s="31" t="s">
        <v>165</v>
      </c>
      <c r="D16" s="32" t="s">
        <v>3</v>
      </c>
      <c r="E16" s="33" t="s">
        <v>0</v>
      </c>
      <c r="F16" s="65" t="s">
        <v>56</v>
      </c>
      <c r="G16" s="67">
        <v>2000</v>
      </c>
      <c r="H16" s="67"/>
      <c r="I16" s="71">
        <f>SUM(G16:H16)</f>
        <v>2000</v>
      </c>
    </row>
    <row r="17" spans="1:9" ht="22.5">
      <c r="A17" s="29"/>
      <c r="B17" s="30" t="s">
        <v>191</v>
      </c>
      <c r="C17" s="31" t="s">
        <v>166</v>
      </c>
      <c r="D17" s="32" t="s">
        <v>93</v>
      </c>
      <c r="E17" s="33" t="s">
        <v>0</v>
      </c>
      <c r="F17" s="65" t="s">
        <v>57</v>
      </c>
      <c r="G17" s="67" t="s">
        <v>216</v>
      </c>
      <c r="H17" s="67"/>
      <c r="I17" s="34"/>
    </row>
    <row r="18" spans="1:9">
      <c r="B18" s="39"/>
      <c r="C18" s="40"/>
      <c r="D18" s="40"/>
      <c r="E18" s="40"/>
      <c r="F18" s="66"/>
      <c r="G18" s="68"/>
      <c r="H18" s="68"/>
      <c r="I18" s="44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Hoja1!$A$1:$A$2</xm:f>
          </x14:formula1>
          <xm:sqref>G4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2" tint="-0.249977111117893"/>
  </sheetPr>
  <dimension ref="A1:I20"/>
  <sheetViews>
    <sheetView topLeftCell="A9" zoomScale="80" zoomScaleNormal="80" workbookViewId="0">
      <selection activeCell="G17" sqref="G17:G19"/>
    </sheetView>
  </sheetViews>
  <sheetFormatPr baseColWidth="10" defaultRowHeight="15"/>
  <cols>
    <col min="1" max="1" width="2.7109375" customWidth="1"/>
    <col min="2" max="2" width="3.28515625" customWidth="1"/>
    <col min="3" max="3" width="2.7109375" customWidth="1"/>
    <col min="4" max="4" width="5.42578125" customWidth="1"/>
    <col min="5" max="5" width="2.7109375" customWidth="1"/>
    <col min="6" max="6" width="90.7109375" customWidth="1"/>
    <col min="7" max="8" width="15.7109375" customWidth="1"/>
    <col min="9" max="9" width="14.7109375" customWidth="1"/>
  </cols>
  <sheetData>
    <row r="1" spans="1:9" ht="54.95" customHeight="1" thickBot="1"/>
    <row r="2" spans="1:9" ht="164.25" thickBot="1">
      <c r="F2" s="41" t="s">
        <v>1</v>
      </c>
    </row>
    <row r="3" spans="1:9" ht="16.5" thickBot="1">
      <c r="F3" s="42" t="s">
        <v>2</v>
      </c>
    </row>
    <row r="4" spans="1:9" ht="16.5" thickBot="1">
      <c r="F4" s="86" t="s">
        <v>94</v>
      </c>
      <c r="G4" s="87" t="s">
        <v>95</v>
      </c>
    </row>
    <row r="5" spans="1:9" ht="70.5" customHeight="1">
      <c r="A5" s="16" t="s">
        <v>8</v>
      </c>
      <c r="B5" s="17"/>
      <c r="C5" s="18"/>
      <c r="D5" s="18"/>
      <c r="E5" s="19"/>
      <c r="F5" s="20" t="s">
        <v>58</v>
      </c>
      <c r="G5" s="58" t="s">
        <v>53</v>
      </c>
      <c r="H5" s="58" t="s">
        <v>53</v>
      </c>
      <c r="I5" s="21" t="s">
        <v>59</v>
      </c>
    </row>
    <row r="6" spans="1:9" ht="172.5" hidden="1" customHeight="1">
      <c r="A6" s="22" t="s">
        <v>7</v>
      </c>
      <c r="B6" s="23"/>
      <c r="C6" s="24"/>
      <c r="D6" s="129" t="s">
        <v>200</v>
      </c>
      <c r="E6" s="26" t="s">
        <v>172</v>
      </c>
      <c r="F6" s="27"/>
      <c r="G6" s="59" t="str">
        <f>SUBSTITUTE(CONCATENATE("IAS38-InfoActiIntaSign_",TRIM(G5),"_",COLUMN(G6),"|",G5)," ","")</f>
        <v>IAS38-InfoActiIntaSign_Agregarcolumnaopcional_7|Agregarcolumnaopcional</v>
      </c>
      <c r="H6" s="59" t="str">
        <f>SUBSTITUTE(CONCATENATE("IAS38-InfoActiIntaSign_",TRIM(H5),"_",COLUMN(H6),"|",H5)," ","")</f>
        <v>IAS38-InfoActiIntaSign_Agregarcolumnaopcional_8|Agregarcolumnaopcional</v>
      </c>
      <c r="I6" s="28" t="s">
        <v>167</v>
      </c>
    </row>
    <row r="7" spans="1:9">
      <c r="A7" s="29"/>
      <c r="B7" s="35"/>
      <c r="C7" s="36"/>
      <c r="D7" s="37"/>
      <c r="E7" s="38"/>
      <c r="F7" s="63"/>
      <c r="G7" s="60"/>
      <c r="H7" s="60"/>
      <c r="I7" s="43"/>
    </row>
    <row r="8" spans="1:9">
      <c r="A8" s="29"/>
      <c r="B8" s="30"/>
      <c r="C8" s="31"/>
      <c r="D8" s="32"/>
      <c r="E8" s="33"/>
      <c r="F8" s="64"/>
      <c r="G8" s="61"/>
      <c r="H8" s="61"/>
      <c r="I8" s="56"/>
    </row>
    <row r="9" spans="1:9">
      <c r="A9" s="29"/>
      <c r="B9" s="30" t="s">
        <v>191</v>
      </c>
      <c r="C9" s="31" t="s">
        <v>168</v>
      </c>
      <c r="D9" s="32" t="s">
        <v>3</v>
      </c>
      <c r="E9" s="33" t="s">
        <v>0</v>
      </c>
      <c r="F9" s="65" t="s">
        <v>60</v>
      </c>
      <c r="G9" s="67" t="s">
        <v>217</v>
      </c>
      <c r="H9" s="67"/>
      <c r="I9" s="34"/>
    </row>
    <row r="10" spans="1:9">
      <c r="A10" s="29"/>
      <c r="B10" s="30" t="s">
        <v>191</v>
      </c>
      <c r="C10" s="31" t="s">
        <v>169</v>
      </c>
      <c r="D10" s="32" t="s">
        <v>3</v>
      </c>
      <c r="E10" s="33" t="s">
        <v>0</v>
      </c>
      <c r="F10" s="65" t="s">
        <v>61</v>
      </c>
      <c r="G10" s="67">
        <v>2000</v>
      </c>
      <c r="H10" s="67"/>
      <c r="I10" s="70">
        <f>SUM(F10:H10)</f>
        <v>2000</v>
      </c>
    </row>
    <row r="11" spans="1:9" ht="22.5">
      <c r="A11" s="29"/>
      <c r="B11" s="135" t="s">
        <v>191</v>
      </c>
      <c r="C11" s="136" t="s">
        <v>189</v>
      </c>
      <c r="D11" s="137" t="s">
        <v>3</v>
      </c>
      <c r="E11" s="138" t="s">
        <v>0</v>
      </c>
      <c r="F11" s="139" t="s">
        <v>190</v>
      </c>
      <c r="G11" s="127" t="s">
        <v>218</v>
      </c>
      <c r="H11" s="127"/>
      <c r="I11" s="128"/>
    </row>
    <row r="12" spans="1:9">
      <c r="B12" s="39"/>
      <c r="C12" s="40"/>
      <c r="D12" s="40"/>
      <c r="E12" s="40"/>
      <c r="F12" s="66"/>
      <c r="G12" s="68"/>
      <c r="H12" s="68"/>
      <c r="I12" s="44"/>
    </row>
    <row r="13" spans="1:9" ht="15.75" thickBot="1"/>
    <row r="14" spans="1:9" ht="67.5">
      <c r="A14" s="16"/>
      <c r="B14" s="17"/>
      <c r="C14" s="18"/>
      <c r="D14" s="18"/>
      <c r="E14" s="19"/>
      <c r="F14" s="20" t="s">
        <v>58</v>
      </c>
      <c r="G14" s="62" t="str">
        <f>G5</f>
        <v>Agregar columna opcional</v>
      </c>
      <c r="H14" s="62" t="str">
        <f>H5</f>
        <v>Agregar columna opcional</v>
      </c>
      <c r="I14" s="21" t="s">
        <v>59</v>
      </c>
    </row>
    <row r="15" spans="1:9">
      <c r="A15" s="29"/>
      <c r="B15" s="35"/>
      <c r="C15" s="36"/>
      <c r="D15" s="37"/>
      <c r="E15" s="38"/>
      <c r="F15" s="63"/>
      <c r="G15" s="60"/>
      <c r="H15" s="60"/>
      <c r="I15" s="43"/>
    </row>
    <row r="16" spans="1:9">
      <c r="A16" s="29"/>
      <c r="B16" s="30"/>
      <c r="C16" s="31"/>
      <c r="D16" s="32"/>
      <c r="E16" s="33"/>
      <c r="F16" s="64"/>
      <c r="G16" s="61"/>
      <c r="H16" s="61"/>
      <c r="I16" s="56"/>
    </row>
    <row r="17" spans="1:9">
      <c r="A17" s="29"/>
      <c r="B17" s="30" t="s">
        <v>191</v>
      </c>
      <c r="C17" s="31" t="s">
        <v>168</v>
      </c>
      <c r="D17" s="32" t="s">
        <v>93</v>
      </c>
      <c r="E17" s="33" t="s">
        <v>0</v>
      </c>
      <c r="F17" s="65" t="s">
        <v>60</v>
      </c>
      <c r="G17" s="67" t="s">
        <v>219</v>
      </c>
      <c r="H17" s="67"/>
      <c r="I17" s="34"/>
    </row>
    <row r="18" spans="1:9">
      <c r="A18" s="29" t="s">
        <v>52</v>
      </c>
      <c r="B18" s="30" t="s">
        <v>191</v>
      </c>
      <c r="C18" s="31" t="s">
        <v>169</v>
      </c>
      <c r="D18" s="32" t="s">
        <v>3</v>
      </c>
      <c r="E18" s="33" t="s">
        <v>0</v>
      </c>
      <c r="F18" s="65" t="s">
        <v>61</v>
      </c>
      <c r="G18" s="67">
        <v>3000</v>
      </c>
      <c r="H18" s="67"/>
      <c r="I18" s="70">
        <f>SUM(F18:H18)</f>
        <v>3000</v>
      </c>
    </row>
    <row r="19" spans="1:9" ht="22.5">
      <c r="A19" s="29"/>
      <c r="B19" s="135" t="s">
        <v>191</v>
      </c>
      <c r="C19" s="136" t="s">
        <v>189</v>
      </c>
      <c r="D19" s="137" t="s">
        <v>93</v>
      </c>
      <c r="E19" s="138" t="s">
        <v>0</v>
      </c>
      <c r="F19" s="140" t="s">
        <v>190</v>
      </c>
      <c r="G19" s="127" t="s">
        <v>218</v>
      </c>
      <c r="H19" s="127"/>
      <c r="I19" s="128"/>
    </row>
    <row r="20" spans="1:9">
      <c r="B20" s="39"/>
      <c r="C20" s="40"/>
      <c r="D20" s="40"/>
      <c r="E20" s="40"/>
      <c r="F20" s="66"/>
      <c r="G20" s="68"/>
      <c r="H20" s="68"/>
      <c r="I20" s="44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Hoja1!$A$1:$A$2</xm:f>
          </x14:formula1>
          <xm:sqref>G4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2"/>
  <sheetViews>
    <sheetView workbookViewId="0">
      <selection activeCell="E18" sqref="E18"/>
    </sheetView>
  </sheetViews>
  <sheetFormatPr baseColWidth="10" defaultRowHeight="15"/>
  <sheetData>
    <row r="1" spans="1:1">
      <c r="A1" t="s">
        <v>95</v>
      </c>
    </row>
    <row r="2" spans="1:1">
      <c r="A2" t="s">
        <v>96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IAS38-Cuadros</vt:lpstr>
      <vt:lpstr>IAS38-InfoReveActiInta</vt:lpstr>
      <vt:lpstr>IAS38-InfoActiIntaUtil</vt:lpstr>
      <vt:lpstr>IAS38-InfoActiIntaSign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San Martin (DBNeTCorp)</dc:creator>
  <cp:lastModifiedBy>jaime</cp:lastModifiedBy>
  <dcterms:created xsi:type="dcterms:W3CDTF">2013-03-21T17:58:38Z</dcterms:created>
  <dcterms:modified xsi:type="dcterms:W3CDTF">2023-02-14T21:23:21Z</dcterms:modified>
</cp:coreProperties>
</file>