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waldo.gonzalez\Desktop\parche20240213_v3.9.4\backend\in\base\svs-cl-ci-2024-01-02\xls\"/>
    </mc:Choice>
  </mc:AlternateContent>
  <bookViews>
    <workbookView xWindow="0" yWindow="0" windowWidth="19200" windowHeight="12180"/>
  </bookViews>
  <sheets>
    <sheet name="IAS-7_510000" sheetId="1" r:id="rId1"/>
  </sheets>
  <calcPr calcId="162913"/>
</workbook>
</file>

<file path=xl/calcChain.xml><?xml version="1.0" encoding="utf-8"?>
<calcChain xmlns="http://schemas.openxmlformats.org/spreadsheetml/2006/main">
  <c r="I17" i="1" l="1"/>
  <c r="H17" i="1"/>
  <c r="I53" i="1" l="1"/>
  <c r="H53" i="1"/>
  <c r="I61" i="1" l="1"/>
  <c r="I73" i="1" s="1"/>
  <c r="H61" i="1"/>
  <c r="H73" i="1" s="1"/>
  <c r="I24" i="1"/>
  <c r="I74" i="1" l="1"/>
  <c r="I78" i="1" s="1"/>
  <c r="I80" i="1" s="1"/>
  <c r="H24" i="1" l="1"/>
  <c r="H74" i="1" l="1"/>
  <c r="H78" i="1" s="1"/>
  <c r="H80" i="1" s="1"/>
</calcChain>
</file>

<file path=xl/comments1.xml><?xml version="1.0" encoding="utf-8"?>
<comments xmlns="http://schemas.openxmlformats.org/spreadsheetml/2006/main">
  <authors>
    <author>Jaime Palma</author>
  </authors>
  <commentList>
    <comment ref="H79" authorId="0" shapeId="0">
      <text>
        <r>
          <rPr>
            <b/>
            <sz val="9"/>
            <color indexed="81"/>
            <rFont val="Tahoma"/>
            <family val="2"/>
          </rPr>
          <t>Jaime Palma:</t>
        </r>
        <r>
          <rPr>
            <sz val="9"/>
            <color indexed="81"/>
            <rFont val="Tahoma"/>
            <family val="2"/>
          </rPr>
          <t xml:space="preserve">
Diciembre 2019
</t>
        </r>
      </text>
    </comment>
    <comment ref="I79" authorId="0" shapeId="0">
      <text>
        <r>
          <rPr>
            <b/>
            <sz val="9"/>
            <color indexed="81"/>
            <rFont val="Tahoma"/>
            <family val="2"/>
          </rPr>
          <t>Jaime Palma:</t>
        </r>
        <r>
          <rPr>
            <sz val="9"/>
            <color indexed="81"/>
            <rFont val="Tahoma"/>
            <family val="2"/>
          </rPr>
          <t xml:space="preserve">
Diciembre 2018
</t>
        </r>
      </text>
    </comment>
  </commentList>
</comments>
</file>

<file path=xl/sharedStrings.xml><?xml version="1.0" encoding="utf-8"?>
<sst xmlns="http://schemas.openxmlformats.org/spreadsheetml/2006/main" count="516" uniqueCount="152">
  <si>
    <t xml:space="preserve"> </t>
  </si>
  <si>
    <t xml:space="preserve">    Estado de flujos de efectivo [sinopsis]  </t>
  </si>
  <si>
    <t xml:space="preserve">      Flujos de efectivo procedentes de (utilizados en) actividades de operación [sinopsis]  </t>
  </si>
  <si>
    <t xml:space="preserve">        Clases de cobros por actividades de operación [sinopsis]  </t>
  </si>
  <si>
    <t xml:space="preserve">          Cobros procedentes de las ventas de bienes y prestación de servicios  [Número]</t>
  </si>
  <si>
    <t>+</t>
  </si>
  <si>
    <t xml:space="preserve">          Cobros procedentes de regalías, cuotas, comisiones y otros ingresos de actividades ordinarias  [Número]</t>
  </si>
  <si>
    <t xml:space="preserve">          Cobros derivados de contratos mantenidos para intermediación o para negociar con ellos  [Número]</t>
  </si>
  <si>
    <t xml:space="preserve">          Cobros por rentas y ventas posteriores de activos mantenidos para arrendar a terceros y posteriormente mantenidos para la venta  [Número]</t>
  </si>
  <si>
    <t xml:space="preserve">          Otros cobros por actividades de operación  [Número]</t>
  </si>
  <si>
    <t xml:space="preserve">        Clases de pagos en efectivo procedentes de actividades de operación [resumen]  </t>
  </si>
  <si>
    <t xml:space="preserve">          Pagos a proveedores por el suministro de bienes y servicios  [Número]</t>
  </si>
  <si>
    <t>-</t>
  </si>
  <si>
    <t xml:space="preserve">          Pagos procedentes de contratos mantenidos para intermediación o para negociar  [Número]</t>
  </si>
  <si>
    <t xml:space="preserve">          Pagos a y por cuenta de los empleados  [Número]</t>
  </si>
  <si>
    <t xml:space="preserve">          Pagos por producir o adquirir activos mantenidos para arrendar a terceros y posteriormente mantenidos para la venta  [Número]</t>
  </si>
  <si>
    <t xml:space="preserve">          Otros pagos por actividades de operación  [Número]</t>
  </si>
  <si>
    <t xml:space="preserve">        Flujos de efectivo procedentes (utilizados en) operaciones  [Número]</t>
  </si>
  <si>
    <t xml:space="preserve">        Dividendos pagados, clasificados como actividades de operación  [Número]</t>
  </si>
  <si>
    <t xml:space="preserve">        Dividendos recibidos, clasificados como actividades de operación  [Número]</t>
  </si>
  <si>
    <t xml:space="preserve">        Intereses pagados, clasificados como actividades de operación  [Número]</t>
  </si>
  <si>
    <t xml:space="preserve">        Intereses recibidos, clasificados como actividades de operación  [Número]</t>
  </si>
  <si>
    <t xml:space="preserve">        Impuestos a las ganancias pagados (reembolsados), clasificados como actividades de operación  [Número]</t>
  </si>
  <si>
    <t xml:space="preserve">        Otras entradas (salidas) de efectivo, clasificados como actividades de operación  [Número]</t>
  </si>
  <si>
    <t xml:space="preserve">        Flujos de efectivo procedentes de (utilizados en) actividades de operación  [Número]</t>
  </si>
  <si>
    <t xml:space="preserve">      Flujos de efectivo procedentes de (utilizados en) actividades de inversión [sinopsis]  </t>
  </si>
  <si>
    <t xml:space="preserve">        Flujos de efectivo procedentes de la pérdida de control de subsidiarias u otros negocios, clasificados como actividades de inversión  [Número]</t>
  </si>
  <si>
    <t xml:space="preserve">        Flujos de efectivo utilizados para obtener el control de subsidiarias u otros negocios, clasificados como actividades de inversión  [Número]</t>
  </si>
  <si>
    <t xml:space="preserve">        Flujos de efectivo utilizados en la compra de participaciones no controladoras  [Número]</t>
  </si>
  <si>
    <t xml:space="preserve">        Otros cobros por la venta de patrimonio o instrumentos de deuda de otras entidades, clasificados como actividades de inversión  [Número]</t>
  </si>
  <si>
    <t xml:space="preserve">        Otros pagos para adquirir patrimonio o instrumentos de deuda de otras entidades, clasificados como actividades de inversión  [Número]</t>
  </si>
  <si>
    <t xml:space="preserve">        Otros cobros por la venta de participaciones en negocios conjuntos, clasificados como actividades de inversión  [Número]</t>
  </si>
  <si>
    <t xml:space="preserve">        Otros pagos para adquirir participaciones en negocios conjuntos, clasificados como actividades de inversión  [Número]</t>
  </si>
  <si>
    <t xml:space="preserve">        Préstamos a entidades relacionadas  [Número]</t>
  </si>
  <si>
    <t xml:space="preserve">        Importes procedentes de ventas de propiedades, planta y equipo, clasificados como actividades de inversión  [Número]</t>
  </si>
  <si>
    <t xml:space="preserve">        Compras de propiedades, planta y equipo, clasificados como actividades de inversión  [Número]</t>
  </si>
  <si>
    <t xml:space="preserve">        Importes procedentes de ventas de activos intangibles, clasificados como actividades de inversión  [Número]</t>
  </si>
  <si>
    <t xml:space="preserve">        Compras de activos intangibles, clasificados como actividades de inversión  [Número]</t>
  </si>
  <si>
    <t xml:space="preserve">        Recursos por ventas de otros activos a largo plazo, clasificados como actividades de inversión  [Número]</t>
  </si>
  <si>
    <t xml:space="preserve">        Compras de otros activos a largo plazo, clasificados como actividades de inversión  [Número]</t>
  </si>
  <si>
    <t xml:space="preserve">        Importes procedentes de subvenciones del gobierno, clasificados como actividades de inversión  [Número]</t>
  </si>
  <si>
    <t xml:space="preserve">        Anticipos de efectivo y préstamos concedidos a terceros, clasificados como actividades de inversión  [Número]</t>
  </si>
  <si>
    <t xml:space="preserve">        Cobros procedentes del reembolso de anticipos y préstamos concedidos a terceros, clasificados como actividades de inversión  [Número]</t>
  </si>
  <si>
    <t xml:space="preserve">        Pagos derivados de contratos de futuro, a término, de opciones y de permuta financiera, clasificados como actividades de inversión  [Número]</t>
  </si>
  <si>
    <t xml:space="preserve">        Cobros procedentes de contratos de futuro, a término, de opciones y de permuta financiera, clasificados como actividades de inversión  [Número]</t>
  </si>
  <si>
    <t xml:space="preserve">        Cobros a entidades relacionadas  [Número]</t>
  </si>
  <si>
    <t xml:space="preserve">        Dividendos recibidos, clasificados como actividades de inversión  [Número]</t>
  </si>
  <si>
    <t xml:space="preserve">        Intereses pagados, clasificados como actividades de inversión  [Número]</t>
  </si>
  <si>
    <t xml:space="preserve">        Intereses recibidos, clasificados como actividades de inversión  [Número]</t>
  </si>
  <si>
    <t xml:space="preserve">        Impuestos a las ganancias pagados (reembolsados), clasificados como actividades de inversión  [Número]</t>
  </si>
  <si>
    <t xml:space="preserve">        Flujos de efectivo procedentes de la venta de participaciones no controladoras  [Número]</t>
  </si>
  <si>
    <t xml:space="preserve">        Otras entradas (salidas) de efectivo, clasificados como actividades de inversión  [Número]</t>
  </si>
  <si>
    <t xml:space="preserve">        Flujos de efectivo procedentes de (utilizados en) actividades de inversión  [Número]</t>
  </si>
  <si>
    <t xml:space="preserve">      Flujos de efectivo procedentes de (utilizados en) actividades de financiación [sinopsis]  </t>
  </si>
  <si>
    <t xml:space="preserve">        Recursos por cambios en las participaciones en la propiedad en subsidiarias que no dan lugar a la pérdida de control  [Número]</t>
  </si>
  <si>
    <t xml:space="preserve">        Pagos por cambios en las participaciones en la propiedad en subsidiarias que no dan lugar a la pérdida de control  [Número]</t>
  </si>
  <si>
    <t xml:space="preserve">        Importes procedentes de la emisión de acciones  [Número]</t>
  </si>
  <si>
    <t xml:space="preserve">        Importes procedentes de la emisión de otros instrumentos de patrimonio  [Número]</t>
  </si>
  <si>
    <t xml:space="preserve">        Pagos por adquirir o rescatar las acciones de la entidad  [Número]</t>
  </si>
  <si>
    <t xml:space="preserve">        Pagos por otras participaciones en el patrimonio  [Número]</t>
  </si>
  <si>
    <t xml:space="preserve">        Importes procedentes de préstamos, clasificados como actividades de financiación  [Número]</t>
  </si>
  <si>
    <t xml:space="preserve">          Importes procedentes de préstamos de largo plazo  [Número]</t>
  </si>
  <si>
    <t xml:space="preserve">          Importes procedentes de préstamos de corto plazo  [Número]</t>
  </si>
  <si>
    <t xml:space="preserve">        Préstamos de entidades relacionadas  [Número]</t>
  </si>
  <si>
    <t xml:space="preserve">        Reembolsos de préstamos, clasificados como actividades de financiación  [Número]</t>
  </si>
  <si>
    <t xml:space="preserve">        Pagos de préstamos a entidades relacionadas  [Número]</t>
  </si>
  <si>
    <t xml:space="preserve">        Importes procedentes de subvenciones del gobierno, clasificados como actividades de financiación  [Número]</t>
  </si>
  <si>
    <t xml:space="preserve">        Dividendos pagados, clasificados como actividades de financiación  [Número]</t>
  </si>
  <si>
    <t xml:space="preserve">        Intereses pagados, clasificados como actividades de financiación  [Número]</t>
  </si>
  <si>
    <t xml:space="preserve">        Impuestos a las ganancias pagados (reembolsados), clasificados como actividades de financiación  [Número]</t>
  </si>
  <si>
    <t xml:space="preserve">        Otras entradas (salidas) de efectivo, clasificados como actividades de financiación  [Número]</t>
  </si>
  <si>
    <t xml:space="preserve">        Flujos de efectivo procedentes de (utilizados en) actividades de financiación  [Número]</t>
  </si>
  <si>
    <t xml:space="preserve">      Incremento (disminución) en el efectivo y equivalentes al efectivo, antes del efecto de los cambios en la tasa de cambio  [Número]</t>
  </si>
  <si>
    <t xml:space="preserve">      Efectos de la variación en la tasa de cambio sobre el efectivo y equivalentes al efectivo [sinopsis]  </t>
  </si>
  <si>
    <t xml:space="preserve">        Efectos de la variación en la tasa de cambio sobre el efectivo y equivalentes al efectivo  [Número]</t>
  </si>
  <si>
    <t xml:space="preserve">      Incremento (disminución) de efectivo y equivalentes al efectivo  [Número]</t>
  </si>
  <si>
    <t>INI</t>
  </si>
  <si>
    <t>Trimestre acumulado año actual</t>
  </si>
  <si>
    <t>Trimestre acumulado año anterior</t>
  </si>
  <si>
    <t>full_ifrs-cor_2015-03-11.xsd#ifrs-full_ReceiptsFromSalesOfGoodsAndRenderingOfServices</t>
  </si>
  <si>
    <t>full_ifrs-cor_2015-03-11.xsd#ifrs-full_ReceiptsFromRoyaltiesFeesCommissionsAndOtherRevenue</t>
  </si>
  <si>
    <t>full_ifrs-cor_2015-03-11.xsd#ifrs-full_ReceiptsFromContractsHeldForDealingOrTradingPurpose</t>
  </si>
  <si>
    <t>full_ifrs-cor_2015-03-11.xsd#ifrs-full_ReceiptsFromRentsAndSubsequentSalesOfSuchAssets</t>
  </si>
  <si>
    <t>full_ifrs-cor_2015-03-11.xsd#ifrs-full_OtherCashReceiptsFromOperatingActivities</t>
  </si>
  <si>
    <t>full_ifrs-cor_2015-03-11.xsd#ifrs-full_PaymentsToSuppliersForGoodsAndServices</t>
  </si>
  <si>
    <t>full_ifrs-cor_2015-03-11.xsd#ifrs-full_PaymentsFromContractsHeldForDealingOrTradingPurpose</t>
  </si>
  <si>
    <t>full_ifrs-cor_2015-03-11.xsd#ifrs-full_PaymentsToAndOnBehalfOfEmployees</t>
  </si>
  <si>
    <t>full_ifrs-cor_2015-03-11.xsd#ifrs-full_PaymentsToManufactureOrAcquireAssetsHeldForRentalToOthersAndSubsequentlyHeldForSale</t>
  </si>
  <si>
    <t>full_ifrs-cor_2015-03-11.xsd#ifrs-full_OtherCashPaymentsFromOperatingActivities</t>
  </si>
  <si>
    <t>full_ifrs-cor_2015-03-11.xsd#ifrs-full_CashFlowsFromUsedInOperations</t>
  </si>
  <si>
    <t>full_ifrs-cor_2015-03-11.xsd#ifrs-full_DividendsPaidClassifiedAsOperatingActivities</t>
  </si>
  <si>
    <t>full_ifrs-cor_2015-03-11.xsd#ifrs-full_DividendsReceivedClassifiedAsOperatingActivities</t>
  </si>
  <si>
    <t>full_ifrs-cor_2015-03-11.xsd#ifrs-full_InterestPaidClassifiedAsOperatingActivities</t>
  </si>
  <si>
    <t>full_ifrs-cor_2015-03-11.xsd#ifrs-full_InterestReceivedClassifiedAsOperatingActivities</t>
  </si>
  <si>
    <t>full_ifrs-cor_2015-03-11.xsd#ifrs-full_IncomeTaxesPaidRefundClassifiedAsOperatingActivities</t>
  </si>
  <si>
    <t>full_ifrs-cor_2015-03-11.xsd#ifrs-full_OtherInflowsOutflowsOfCashClassifiedAsOperatingActivities</t>
  </si>
  <si>
    <t>full_ifrs-cor_2015-03-11.xsd#ifrs-full_CashFlowsFromUsedInOperatingActivities</t>
  </si>
  <si>
    <t>full_ifrs-cor_2015-03-11.xsd#ifrs-full_CashFlowsFromLosingControlOfSubsidiariesOrOtherBusinessesClassifiedAsInvestingActivities</t>
  </si>
  <si>
    <t>full_ifrs-cor_2015-03-11.xsd#ifrs-full_CashFlowsUsedInObtainingControlOfSubsidiariesOrOtherBusinessesClassifiedAsInvestingActivities</t>
  </si>
  <si>
    <t>full_ifrs-cor_2015-03-11.xsd#ifrs-full_OtherCashReceiptsFromSalesOfEquityOrDebtInstrumentsOfOtherEntitiesClassifiedAsInvestingActivities</t>
  </si>
  <si>
    <t>full_ifrs-cor_2015-03-11.xsd#ifrs-full_OtherCashPaymentsToAcquireEquityOrDebtInstrumentsOfOtherEntitiesClassifiedAsInvestingActivities</t>
  </si>
  <si>
    <t>full_ifrs-cor_2015-03-11.xsd#ifrs-full_OtherCashReceiptsFromSalesOfInterestsInJointVenturesClassifiedAsInvestingActivities</t>
  </si>
  <si>
    <t>full_ifrs-cor_2015-03-11.xsd#ifrs-full_OtherCashPaymentsToAcquireInterestsInJointVenturesClassifiedAsInvestingActivities</t>
  </si>
  <si>
    <t>full_ifrs-cor_2015-03-11.xsd#ifrs-full_ProceedsFromSalesOfPropertyPlantAndEquipmentClassifiedAsInvestingActivities</t>
  </si>
  <si>
    <t>full_ifrs-cor_2015-03-11.xsd#ifrs-full_PurchaseOfPropertyPlantAndEquipmentClassifiedAsInvestingActivities</t>
  </si>
  <si>
    <t>full_ifrs-cor_2015-03-11.xsd#ifrs-full_ProceedsFromSalesOfIntangibleAssetsClassifiedAsInvestingActivities</t>
  </si>
  <si>
    <t>full_ifrs-cor_2015-03-11.xsd#ifrs-full_PurchaseOfIntangibleAssetsClassifiedAsInvestingActivities</t>
  </si>
  <si>
    <t>full_ifrs-cor_2015-03-11.xsd#ifrs-full_ProceedsFromOtherLongtermAssetsClassifiedAsInvestingActivities</t>
  </si>
  <si>
    <t>full_ifrs-cor_2015-03-11.xsd#ifrs-full_PurchaseOfOtherLongtermAssetsClassifiedAsInvestingActivities</t>
  </si>
  <si>
    <t>full_ifrs-cor_2015-03-11.xsd#ifrs-full_ProceedsFromGovernmentGrantsClassifiedAsInvestingActivities</t>
  </si>
  <si>
    <t>full_ifrs-cor_2015-03-11.xsd#ifrs-full_CashAdvancesAndLoansMadeToOtherPartiesClassifiedAsInvestingActivities</t>
  </si>
  <si>
    <t>full_ifrs-cor_2015-03-11.xsd#ifrs-full_CashReceiptsFromRepaymentOfAdvancesAndLoansMadeToOtherPartiesClassifiedAsInvestingActivities</t>
  </si>
  <si>
    <t>full_ifrs-cor_2015-03-11.xsd#ifrs-full_CashPaymentsForFutureContractsForwardContractsOptionContractsAndSwapContractsClassifiedAsInvestingActivities</t>
  </si>
  <si>
    <t>full_ifrs-cor_2015-03-11.xsd#ifrs-full_CashReceiptsFromFutureContractsForwardContractsOptionContractsAndSwapContractsClassifiedAsInvestingActivities</t>
  </si>
  <si>
    <t>full_ifrs-cor_2015-03-11.xsd#ifrs-full_DividendsReceivedClassifiedAsInvestingActivities</t>
  </si>
  <si>
    <t>full_ifrs-cor_2015-03-11.xsd#ifrs-full_InterestPaidClassifiedAsInvestingActivities</t>
  </si>
  <si>
    <t>full_ifrs-cor_2015-03-11.xsd#ifrs-full_InterestReceivedClassifiedAsInvestingActivities</t>
  </si>
  <si>
    <t>full_ifrs-cor_2015-03-11.xsd#ifrs-full_IncomeTaxesPaidRefundClassifiedAsInvestingActivities</t>
  </si>
  <si>
    <t>full_ifrs-cor_2015-03-11.xsd#ifrs-full_OtherInflowsOutflowsOfCashClassifiedAsInvestingActivities</t>
  </si>
  <si>
    <t>full_ifrs-cor_2015-03-11.xsd#ifrs-full_CashFlowsFromUsedInInvestingActivities</t>
  </si>
  <si>
    <t>full_ifrs-cor_2015-03-11.xsd#ifrs-full_ProceedsFromChangesInOwnershipInterestsInSubsidiaries</t>
  </si>
  <si>
    <t>full_ifrs-cor_2015-03-11.xsd#ifrs-full_PaymentsFromChangesInOwnershipInterestsInSubsidiaries</t>
  </si>
  <si>
    <t>full_ifrs-cor_2015-03-11.xsd#ifrs-full_ProceedsFromIssuingShares</t>
  </si>
  <si>
    <t>full_ifrs-cor_2015-03-11.xsd#ifrs-full_ProceedsFromIssuingOtherEquityInstruments</t>
  </si>
  <si>
    <t>full_ifrs-cor_2015-03-11.xsd#ifrs-full_PaymentsToAcquireOrRedeemEntitysShares</t>
  </si>
  <si>
    <t>full_ifrs-cor_2015-03-11.xsd#ifrs-full_PaymentsOfOtherEquityInstruments</t>
  </si>
  <si>
    <t>full_ifrs-cor_2015-03-11.xsd#ifrs-full_ProceedsFromBorrowingsClassifiedAsFinancingActivities</t>
  </si>
  <si>
    <t>full_ifrs-cor_2015-03-11.xsd#ifrs-full_RepaymentsOfBorrowingsClassifiedAsFinancingActivities</t>
  </si>
  <si>
    <t>full_ifrs-cor_2015-03-11.xsd#ifrs-full_ProceedsFromGovernmentGrantsClassifiedAsFinancingActivities</t>
  </si>
  <si>
    <t>full_ifrs-cor_2015-03-11.xsd#ifrs-full_DividendsPaidClassifiedAsFinancingActivities</t>
  </si>
  <si>
    <t>full_ifrs-cor_2015-03-11.xsd#ifrs-full_InterestPaidClassifiedAsFinancingActivities</t>
  </si>
  <si>
    <t>full_ifrs-cor_2015-03-11.xsd#ifrs-full_IncomeTaxesPaidRefundClassifiedAsFinancingActivities</t>
  </si>
  <si>
    <t>full_ifrs-cor_2015-03-11.xsd#ifrs-full_OtherInflowsOutflowsOfCashClassifiedAsFinancingActivities</t>
  </si>
  <si>
    <t>full_ifrs-cor_2015-03-11.xsd#ifrs-full_CashFlowsFromUsedInFinancingActivities</t>
  </si>
  <si>
    <t>full_ifrs-cor_2015-03-11.xsd#ifrs-full_IncreaseDecreaseInCashAndCashEquivalentsBeforeEffectOfExchangeRateChanges</t>
  </si>
  <si>
    <t>full_ifrs-cor_2015-03-11.xsd#ifrs-full_EffectOfExchangeRateChangesOnCashAndCashEquivalents</t>
  </si>
  <si>
    <t>full_ifrs-cor_2015-03-11.xsd#ifrs-full_IncreaseDecreaseInCashAndCashEquivalents</t>
  </si>
  <si>
    <t>cl-ci_cor_2016-01-11.xsd#cl-ci_FlujosEfectivoUtilizadosCompraParticipacionesNoControladorasActividadesInversion</t>
  </si>
  <si>
    <t>cl-ci_cor_2016-01-11.xsd#cl-ci_PrestamosEntidadesRelacionadasActividadesInversion</t>
  </si>
  <si>
    <t>cl-ci_cor_2016-01-11.xsd#cl-ci_CobrosEntidadesRelacionadasActividadesInversion</t>
  </si>
  <si>
    <t>cl-ci_cor_2016-01-11.xsd#cl-ci_FlujosEfectivoProcedentesVentaParticipacionesNoControladorasActividadesInversion</t>
  </si>
  <si>
    <t>cl-ci_cor_2016-01-11.xsd#cl-ci_ImportesPrestamosLargoPlazoActividadesFinanciacion</t>
  </si>
  <si>
    <t>cl-ci_cor_2016-01-11.xsd#cl-ci_ImportesPrestamosCortoPlazoActividadesFinanciacion</t>
  </si>
  <si>
    <t>cl-ci_cor_2016-01-11.xsd#cl-ci_PrestamosEntidadesRelacionadasActividadesFinanciacion</t>
  </si>
  <si>
    <t>cl-ci_cor_2016-01-11.xsd#cl-ci_PagosPrestamosEntidadesRelacionadasActividadesFinanciacion</t>
  </si>
  <si>
    <t>full_ifrs-cor_2016-03-31.xsd#ifrs-full_PaymentsOfLeaseLiabilitiesClassifiedAsFinancingActivities</t>
  </si>
  <si>
    <t xml:space="preserve">        Pagos de pasivos por arrendamientos [Número]</t>
  </si>
  <si>
    <t>full_ifrs-cor_2014-03-05.xsd#ifrs-full_CashAndCashEquivalentsIfDifferentFromStatementOfFinancialPosition</t>
  </si>
  <si>
    <t xml:space="preserve">      Efectivo y equivalentes al efectivo al inicio del periodo [Número]</t>
  </si>
  <si>
    <t xml:space="preserve">      Efectivo y equivalentes al efectivo al final del periodo [Número]</t>
  </si>
  <si>
    <t>pre_cl-ci_ias-7_2019-03-27_role-510000</t>
  </si>
  <si>
    <t>14.0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</si>
</sst>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* #,##0.00\ [$€]_-;\-* #,##0.00\ [$€]_-;_-* &quot;-&quot;??\ [$€]_-;_-@_-"/>
  </numFmts>
  <fonts count="30">
    <font>
      <sz val="11"/>
      <color theme="1"/>
      <name val="Calibri"/>
      <family val="2"/>
      <scheme val="minor"/>
    </font>
    <font>
      <sz val="8"/>
      <name val="ＭＳ Ｐゴシック"/>
      <family val="3"/>
      <charset val="128"/>
    </font>
    <font>
      <sz val="8"/>
      <name val="Verdana"/>
      <family val="2"/>
    </font>
    <font>
      <sz val="11"/>
      <color indexed="8"/>
      <name val="Czcionka tekstu podstawowego"/>
      <family val="2"/>
      <charset val="238"/>
    </font>
    <font>
      <sz val="11"/>
      <color indexed="9"/>
      <name val="Czcionka tekstu podstawowego"/>
      <family val="2"/>
      <charset val="238"/>
    </font>
    <font>
      <sz val="11"/>
      <color indexed="17"/>
      <name val="Czcionka tekstu podstawowego"/>
      <family val="2"/>
      <charset val="238"/>
    </font>
    <font>
      <b/>
      <sz val="11"/>
      <color indexed="9"/>
      <name val="Czcionka tekstu podstawowego"/>
      <family val="2"/>
      <charset val="238"/>
    </font>
    <font>
      <sz val="11"/>
      <color indexed="52"/>
      <name val="Czcionka tekstu podstawowego"/>
      <family val="2"/>
      <charset val="238"/>
    </font>
    <font>
      <sz val="11"/>
      <color indexed="62"/>
      <name val="Czcionka tekstu podstawowego"/>
      <family val="2"/>
      <charset val="238"/>
    </font>
    <font>
      <b/>
      <sz val="11"/>
      <color indexed="63"/>
      <name val="Czcionka tekstu podstawowego"/>
      <family val="2"/>
      <charset val="238"/>
    </font>
    <font>
      <b/>
      <sz val="11"/>
      <color indexed="56"/>
      <name val="Czcionka tekstu podstawowego"/>
      <family val="2"/>
      <charset val="238"/>
    </font>
    <font>
      <sz val="10"/>
      <name val="Arial"/>
      <family val="2"/>
    </font>
    <font>
      <b/>
      <sz val="15"/>
      <color indexed="56"/>
      <name val="Czcionka tekstu podstawowego"/>
      <family val="2"/>
      <charset val="238"/>
    </font>
    <font>
      <b/>
      <sz val="13"/>
      <color indexed="56"/>
      <name val="Czcionka tekstu podstawowego"/>
      <family val="2"/>
      <charset val="238"/>
    </font>
    <font>
      <sz val="11"/>
      <color indexed="60"/>
      <name val="Czcionka tekstu podstawowego"/>
      <family val="2"/>
      <charset val="238"/>
    </font>
    <font>
      <b/>
      <sz val="11"/>
      <color indexed="52"/>
      <name val="Czcionka tekstu podstawowego"/>
      <family val="2"/>
      <charset val="238"/>
    </font>
    <font>
      <b/>
      <sz val="11"/>
      <color indexed="8"/>
      <name val="Czcionka tekstu podstawowego"/>
      <family val="2"/>
      <charset val="238"/>
    </font>
    <font>
      <i/>
      <sz val="11"/>
      <color indexed="23"/>
      <name val="Czcionka tekstu podstawowego"/>
      <family val="2"/>
      <charset val="238"/>
    </font>
    <font>
      <sz val="11"/>
      <color indexed="10"/>
      <name val="Czcionka tekstu podstawowego"/>
      <family val="2"/>
      <charset val="238"/>
    </font>
    <font>
      <b/>
      <sz val="18"/>
      <color indexed="56"/>
      <name val="Cambria"/>
      <family val="2"/>
      <charset val="238"/>
    </font>
    <font>
      <sz val="11"/>
      <color indexed="20"/>
      <name val="Czcionka tekstu podstawowego"/>
      <family val="2"/>
      <charset val="238"/>
    </font>
    <font>
      <b/>
      <sz val="9"/>
      <name val="Verdana"/>
      <family val="2"/>
    </font>
    <font>
      <sz val="9"/>
      <name val="Verdana"/>
      <family val="2"/>
    </font>
    <font>
      <sz val="9"/>
      <name val="Calibri"/>
      <family val="2"/>
      <scheme val="minor"/>
    </font>
    <font>
      <b/>
      <sz val="9"/>
      <color indexed="9"/>
      <name val="Calibri"/>
      <family val="2"/>
      <scheme val="minor"/>
    </font>
    <font>
      <sz val="8"/>
      <color theme="1"/>
      <name val="Verdana"/>
      <family val="2"/>
    </font>
    <font>
      <b/>
      <sz val="9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2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44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8"/>
        <bgColor indexed="64"/>
      </patternFill>
    </fill>
  </fills>
  <borders count="22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24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5" borderId="0" applyNumberFormat="0" applyBorder="0" applyAlignment="0" applyProtection="0"/>
    <xf numFmtId="0" fontId="3" fillId="10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9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6" fillId="21" borderId="2" applyNumberFormat="0" applyAlignment="0" applyProtection="0"/>
    <xf numFmtId="0" fontId="6" fillId="21" borderId="2" applyNumberFormat="0" applyAlignment="0" applyProtection="0"/>
    <xf numFmtId="0" fontId="6" fillId="21" borderId="2" applyNumberFormat="0" applyAlignment="0" applyProtection="0"/>
    <xf numFmtId="0" fontId="6" fillId="21" borderId="2" applyNumberFormat="0" applyAlignment="0" applyProtection="0"/>
    <xf numFmtId="0" fontId="6" fillId="21" borderId="2" applyNumberFormat="0" applyAlignment="0" applyProtection="0"/>
    <xf numFmtId="0" fontId="6" fillId="21" borderId="2" applyNumberFormat="0" applyAlignment="0" applyProtection="0"/>
    <xf numFmtId="0" fontId="6" fillId="21" borderId="2" applyNumberFormat="0" applyAlignment="0" applyProtection="0"/>
    <xf numFmtId="0" fontId="6" fillId="21" borderId="2" applyNumberFormat="0" applyAlignment="0" applyProtection="0"/>
    <xf numFmtId="0" fontId="6" fillId="21" borderId="2" applyNumberFormat="0" applyAlignment="0" applyProtection="0"/>
    <xf numFmtId="0" fontId="6" fillId="21" borderId="2" applyNumberFormat="0" applyAlignment="0" applyProtection="0"/>
    <xf numFmtId="0" fontId="6" fillId="21" borderId="2" applyNumberFormat="0" applyAlignment="0" applyProtection="0"/>
    <xf numFmtId="0" fontId="7" fillId="0" borderId="3" applyNumberFormat="0" applyFill="0" applyAlignment="0" applyProtection="0"/>
    <xf numFmtId="0" fontId="7" fillId="0" borderId="3" applyNumberFormat="0" applyFill="0" applyAlignment="0" applyProtection="0"/>
    <xf numFmtId="0" fontId="7" fillId="0" borderId="3" applyNumberFormat="0" applyFill="0" applyAlignment="0" applyProtection="0"/>
    <xf numFmtId="0" fontId="7" fillId="0" borderId="3" applyNumberFormat="0" applyFill="0" applyAlignment="0" applyProtection="0"/>
    <xf numFmtId="0" fontId="7" fillId="0" borderId="3" applyNumberFormat="0" applyFill="0" applyAlignment="0" applyProtection="0"/>
    <xf numFmtId="0" fontId="7" fillId="0" borderId="3" applyNumberFormat="0" applyFill="0" applyAlignment="0" applyProtection="0"/>
    <xf numFmtId="0" fontId="7" fillId="0" borderId="3" applyNumberFormat="0" applyFill="0" applyAlignment="0" applyProtection="0"/>
    <xf numFmtId="0" fontId="7" fillId="0" borderId="3" applyNumberFormat="0" applyFill="0" applyAlignment="0" applyProtection="0"/>
    <xf numFmtId="0" fontId="7" fillId="0" borderId="3" applyNumberFormat="0" applyFill="0" applyAlignment="0" applyProtection="0"/>
    <xf numFmtId="0" fontId="7" fillId="0" borderId="3" applyNumberFormat="0" applyFill="0" applyAlignment="0" applyProtection="0"/>
    <xf numFmtId="0" fontId="7" fillId="0" borderId="3" applyNumberFormat="0" applyFill="0" applyAlignment="0" applyProtection="0"/>
    <xf numFmtId="0" fontId="8" fillId="7" borderId="1" applyNumberFormat="0" applyAlignment="0" applyProtection="0"/>
    <xf numFmtId="0" fontId="9" fillId="20" borderId="4" applyNumberFormat="0" applyAlignment="0" applyProtection="0"/>
    <xf numFmtId="0" fontId="5" fillId="4" borderId="0" applyNumberFormat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8" fillId="7" borderId="1" applyNumberFormat="0" applyAlignment="0" applyProtection="0"/>
    <xf numFmtId="0" fontId="8" fillId="7" borderId="1" applyNumberFormat="0" applyAlignment="0" applyProtection="0"/>
    <xf numFmtId="0" fontId="8" fillId="7" borderId="1" applyNumberFormat="0" applyAlignment="0" applyProtection="0"/>
    <xf numFmtId="0" fontId="8" fillId="7" borderId="1" applyNumberFormat="0" applyAlignment="0" applyProtection="0"/>
    <xf numFmtId="0" fontId="8" fillId="7" borderId="1" applyNumberFormat="0" applyAlignment="0" applyProtection="0"/>
    <xf numFmtId="0" fontId="8" fillId="7" borderId="1" applyNumberFormat="0" applyAlignment="0" applyProtection="0"/>
    <xf numFmtId="0" fontId="8" fillId="7" borderId="1" applyNumberFormat="0" applyAlignment="0" applyProtection="0"/>
    <xf numFmtId="0" fontId="8" fillId="7" borderId="1" applyNumberFormat="0" applyAlignment="0" applyProtection="0"/>
    <xf numFmtId="0" fontId="8" fillId="7" borderId="1" applyNumberFormat="0" applyAlignment="0" applyProtection="0"/>
    <xf numFmtId="0" fontId="8" fillId="7" borderId="1" applyNumberFormat="0" applyAlignment="0" applyProtection="0"/>
    <xf numFmtId="0" fontId="8" fillId="7" borderId="1" applyNumberFormat="0" applyAlignment="0" applyProtection="0"/>
    <xf numFmtId="164" fontId="11" fillId="0" borderId="0" applyFont="0" applyFill="0" applyBorder="0" applyAlignment="0" applyProtection="0"/>
    <xf numFmtId="0" fontId="7" fillId="0" borderId="3" applyNumberFormat="0" applyFill="0" applyAlignment="0" applyProtection="0"/>
    <xf numFmtId="0" fontId="6" fillId="21" borderId="2" applyNumberFormat="0" applyAlignment="0" applyProtection="0"/>
    <xf numFmtId="0" fontId="12" fillId="0" borderId="5" applyNumberFormat="0" applyFill="0" applyAlignment="0" applyProtection="0"/>
    <xf numFmtId="0" fontId="13" fillId="0" borderId="6" applyNumberFormat="0" applyFill="0" applyAlignment="0" applyProtection="0"/>
    <xf numFmtId="0" fontId="10" fillId="0" borderId="7" applyNumberFormat="0" applyFill="0" applyAlignment="0" applyProtection="0"/>
    <xf numFmtId="0" fontId="10" fillId="0" borderId="0" applyNumberFormat="0" applyFill="0" applyBorder="0" applyAlignment="0" applyProtection="0"/>
    <xf numFmtId="0" fontId="14" fillId="22" borderId="0" applyNumberFormat="0" applyBorder="0" applyAlignment="0" applyProtection="0"/>
    <xf numFmtId="0" fontId="1" fillId="0" borderId="0" applyNumberFormat="0" applyFill="0" applyBorder="0">
      <alignment vertical="center"/>
    </xf>
    <xf numFmtId="0" fontId="1" fillId="0" borderId="0" applyNumberFormat="0" applyFill="0" applyBorder="0">
      <alignment vertical="center"/>
    </xf>
    <xf numFmtId="0" fontId="1" fillId="0" borderId="0" applyNumberFormat="0" applyFill="0" applyBorder="0">
      <alignment vertical="center"/>
    </xf>
    <xf numFmtId="0" fontId="1" fillId="0" borderId="0" applyNumberFormat="0" applyFill="0" applyBorder="0">
      <alignment vertical="center"/>
    </xf>
    <xf numFmtId="0" fontId="3" fillId="23" borderId="8" applyNumberFormat="0" applyFont="0" applyAlignment="0" applyProtection="0"/>
    <xf numFmtId="0" fontId="3" fillId="23" borderId="8" applyNumberFormat="0" applyFont="0" applyAlignment="0" applyProtection="0"/>
    <xf numFmtId="0" fontId="3" fillId="23" borderId="8" applyNumberFormat="0" applyFont="0" applyAlignment="0" applyProtection="0"/>
    <xf numFmtId="0" fontId="3" fillId="23" borderId="8" applyNumberFormat="0" applyFont="0" applyAlignment="0" applyProtection="0"/>
    <xf numFmtId="0" fontId="3" fillId="23" borderId="8" applyNumberFormat="0" applyFont="0" applyAlignment="0" applyProtection="0"/>
    <xf numFmtId="0" fontId="3" fillId="23" borderId="8" applyNumberFormat="0" applyFont="0" applyAlignment="0" applyProtection="0"/>
    <xf numFmtId="0" fontId="3" fillId="23" borderId="8" applyNumberFormat="0" applyFont="0" applyAlignment="0" applyProtection="0"/>
    <xf numFmtId="0" fontId="3" fillId="23" borderId="8" applyNumberFormat="0" applyFont="0" applyAlignment="0" applyProtection="0"/>
    <xf numFmtId="0" fontId="3" fillId="23" borderId="8" applyNumberFormat="0" applyFont="0" applyAlignment="0" applyProtection="0"/>
    <xf numFmtId="0" fontId="3" fillId="23" borderId="8" applyNumberFormat="0" applyFont="0" applyAlignment="0" applyProtection="0"/>
    <xf numFmtId="0" fontId="3" fillId="23" borderId="8" applyNumberFormat="0" applyFont="0" applyAlignment="0" applyProtection="0"/>
    <xf numFmtId="0" fontId="15" fillId="20" borderId="1" applyNumberFormat="0" applyAlignment="0" applyProtection="0"/>
    <xf numFmtId="0" fontId="16" fillId="0" borderId="9" applyNumberFormat="0" applyFill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23" borderId="8" applyNumberFormat="0" applyFont="0" applyAlignment="0" applyProtection="0"/>
    <xf numFmtId="0" fontId="20" fillId="3" borderId="0" applyNumberFormat="0" applyBorder="0" applyAlignment="0" applyProtection="0"/>
    <xf numFmtId="0" fontId="1" fillId="0" borderId="0" applyNumberFormat="0" applyFill="0" applyBorder="0">
      <alignment vertical="center"/>
    </xf>
  </cellStyleXfs>
  <cellXfs count="51">
    <xf numFmtId="0" fontId="0" fillId="0" borderId="0" xfId="0"/>
    <xf numFmtId="0" fontId="0" fillId="0" borderId="0" xfId="0"/>
    <xf numFmtId="3" fontId="23" fillId="24" borderId="0" xfId="90" applyNumberFormat="1" applyFont="1" applyFill="1" applyBorder="1">
      <alignment vertical="center"/>
    </xf>
    <xf numFmtId="0" fontId="23" fillId="24" borderId="0" xfId="0" applyFont="1" applyFill="1" applyBorder="1" applyAlignment="1">
      <alignment horizontal="center"/>
    </xf>
    <xf numFmtId="3" fontId="23" fillId="24" borderId="10" xfId="90" applyNumberFormat="1" applyFont="1" applyFill="1" applyBorder="1">
      <alignment vertical="center"/>
    </xf>
    <xf numFmtId="0" fontId="23" fillId="24" borderId="11" xfId="90" applyFont="1" applyFill="1" applyBorder="1">
      <alignment vertical="center"/>
    </xf>
    <xf numFmtId="0" fontId="23" fillId="24" borderId="12" xfId="90" applyFont="1" applyFill="1" applyBorder="1">
      <alignment vertical="center"/>
    </xf>
    <xf numFmtId="3" fontId="2" fillId="24" borderId="13" xfId="90" applyNumberFormat="1" applyFont="1" applyFill="1" applyBorder="1">
      <alignment vertical="center"/>
    </xf>
    <xf numFmtId="0" fontId="2" fillId="24" borderId="14" xfId="90" applyFont="1" applyFill="1" applyBorder="1">
      <alignment vertical="center"/>
    </xf>
    <xf numFmtId="0" fontId="22" fillId="24" borderId="0" xfId="0" applyFont="1" applyFill="1" applyBorder="1" applyAlignment="1" applyProtection="1">
      <alignment horizontal="left" vertical="center" wrapText="1" indent="1"/>
    </xf>
    <xf numFmtId="0" fontId="25" fillId="25" borderId="0" xfId="0" applyFont="1" applyFill="1"/>
    <xf numFmtId="3" fontId="23" fillId="0" borderId="16" xfId="92" applyNumberFormat="1" applyFont="1" applyFill="1" applyBorder="1" applyAlignment="1" applyProtection="1">
      <alignment vertical="center"/>
      <protection locked="0"/>
    </xf>
    <xf numFmtId="3" fontId="23" fillId="0" borderId="16" xfId="93" applyNumberFormat="1" applyFont="1" applyFill="1" applyBorder="1" applyProtection="1">
      <alignment vertical="center"/>
      <protection locked="0"/>
    </xf>
    <xf numFmtId="0" fontId="21" fillId="24" borderId="0" xfId="0" applyFont="1" applyFill="1" applyBorder="1" applyAlignment="1">
      <alignment horizontal="left" wrapText="1"/>
    </xf>
    <xf numFmtId="0" fontId="22" fillId="24" borderId="0" xfId="0" applyFont="1" applyFill="1" applyBorder="1" applyAlignment="1" applyProtection="1">
      <alignment horizontal="left" vertical="center" wrapText="1"/>
    </xf>
    <xf numFmtId="3" fontId="26" fillId="26" borderId="16" xfId="91" applyNumberFormat="1" applyFont="1" applyFill="1" applyBorder="1">
      <alignment vertical="center"/>
    </xf>
    <xf numFmtId="0" fontId="21" fillId="24" borderId="0" xfId="0" applyFont="1" applyFill="1" applyBorder="1" applyAlignment="1" applyProtection="1">
      <alignment horizontal="left" vertical="center" wrapText="1" indent="1"/>
    </xf>
    <xf numFmtId="0" fontId="2" fillId="24" borderId="19" xfId="90" applyFont="1" applyFill="1" applyBorder="1" applyAlignment="1">
      <alignment horizontal="left" vertical="center"/>
    </xf>
    <xf numFmtId="0" fontId="23" fillId="24" borderId="10" xfId="90" applyFont="1" applyFill="1" applyBorder="1" applyAlignment="1">
      <alignment horizontal="left" vertical="center"/>
    </xf>
    <xf numFmtId="0" fontId="23" fillId="24" borderId="10" xfId="91" applyFont="1" applyFill="1" applyBorder="1" applyAlignment="1">
      <alignment horizontal="left" vertical="center"/>
    </xf>
    <xf numFmtId="0" fontId="2" fillId="24" borderId="20" xfId="90" applyFont="1" applyFill="1" applyBorder="1" applyAlignment="1">
      <alignment horizontal="left" vertical="center"/>
    </xf>
    <xf numFmtId="0" fontId="23" fillId="24" borderId="0" xfId="90" applyFont="1" applyFill="1" applyBorder="1" applyAlignment="1">
      <alignment horizontal="left" vertical="center"/>
    </xf>
    <xf numFmtId="0" fontId="23" fillId="24" borderId="0" xfId="91" applyFont="1" applyFill="1" applyBorder="1" applyAlignment="1">
      <alignment horizontal="left" vertical="center"/>
    </xf>
    <xf numFmtId="0" fontId="23" fillId="24" borderId="0" xfId="0" applyFont="1" applyFill="1" applyBorder="1" applyAlignment="1">
      <alignment horizontal="left"/>
    </xf>
    <xf numFmtId="0" fontId="2" fillId="24" borderId="21" xfId="90" applyFont="1" applyFill="1" applyBorder="1" applyAlignment="1">
      <alignment horizontal="left" vertical="center"/>
    </xf>
    <xf numFmtId="0" fontId="2" fillId="24" borderId="13" xfId="90" applyFont="1" applyFill="1" applyBorder="1" applyAlignment="1">
      <alignment horizontal="left" vertical="center"/>
    </xf>
    <xf numFmtId="0" fontId="2" fillId="24" borderId="13" xfId="0" applyFont="1" applyFill="1" applyBorder="1" applyAlignment="1">
      <alignment horizontal="left"/>
    </xf>
    <xf numFmtId="0" fontId="21" fillId="24" borderId="10" xfId="0" applyFont="1" applyFill="1" applyBorder="1" applyAlignment="1">
      <alignment horizontal="left"/>
    </xf>
    <xf numFmtId="0" fontId="21" fillId="24" borderId="0" xfId="0" applyFont="1" applyFill="1" applyBorder="1" applyAlignment="1">
      <alignment horizontal="left" indent="1"/>
    </xf>
    <xf numFmtId="0" fontId="21" fillId="24" borderId="0" xfId="0" applyFont="1" applyFill="1" applyBorder="1" applyAlignment="1">
      <alignment horizontal="left" vertical="center" wrapText="1" indent="2"/>
    </xf>
    <xf numFmtId="0" fontId="22" fillId="24" borderId="0" xfId="0" applyFont="1" applyFill="1" applyBorder="1" applyAlignment="1">
      <alignment horizontal="left" vertical="center"/>
    </xf>
    <xf numFmtId="0" fontId="22" fillId="24" borderId="0" xfId="0" applyFont="1" applyFill="1" applyBorder="1" applyAlignment="1">
      <alignment horizontal="left" vertical="center" wrapText="1"/>
    </xf>
    <xf numFmtId="0" fontId="22" fillId="24" borderId="0" xfId="0" applyFont="1" applyFill="1" applyBorder="1" applyAlignment="1">
      <alignment horizontal="left" vertical="center" wrapText="1" indent="1"/>
    </xf>
    <xf numFmtId="0" fontId="22" fillId="24" borderId="0" xfId="0" applyFont="1" applyFill="1" applyBorder="1" applyAlignment="1">
      <alignment horizontal="left" vertical="center" indent="3"/>
    </xf>
    <xf numFmtId="0" fontId="23" fillId="24" borderId="0" xfId="0" applyFont="1" applyFill="1" applyBorder="1" applyAlignment="1">
      <alignment horizontal="left" vertical="center"/>
    </xf>
    <xf numFmtId="0" fontId="22" fillId="24" borderId="0" xfId="0" applyFont="1" applyFill="1" applyBorder="1" applyAlignment="1">
      <alignment horizontal="left" vertical="center" wrapText="1" indent="3"/>
    </xf>
    <xf numFmtId="0" fontId="22" fillId="24" borderId="0" xfId="0" applyFont="1" applyFill="1" applyBorder="1" applyAlignment="1">
      <alignment horizontal="left" vertical="center" indent="2"/>
    </xf>
    <xf numFmtId="0" fontId="22" fillId="24" borderId="0" xfId="0" applyFont="1" applyFill="1" applyBorder="1" applyAlignment="1">
      <alignment horizontal="left" vertical="center" wrapText="1" indent="2"/>
    </xf>
    <xf numFmtId="0" fontId="21" fillId="24" borderId="0" xfId="0" applyFont="1" applyFill="1" applyBorder="1" applyAlignment="1">
      <alignment horizontal="left" vertical="center" wrapText="1"/>
    </xf>
    <xf numFmtId="0" fontId="22" fillId="24" borderId="0" xfId="0" applyFont="1" applyFill="1" applyBorder="1" applyAlignment="1">
      <alignment horizontal="left" vertical="center" indent="1"/>
    </xf>
    <xf numFmtId="0" fontId="21" fillId="24" borderId="0" xfId="0" applyFont="1" applyFill="1" applyBorder="1" applyAlignment="1">
      <alignment horizontal="left" vertical="center" wrapText="1" indent="1"/>
    </xf>
    <xf numFmtId="0" fontId="21" fillId="24" borderId="0" xfId="0" applyFont="1" applyFill="1" applyBorder="1" applyAlignment="1">
      <alignment horizontal="left" vertical="center" indent="2"/>
    </xf>
    <xf numFmtId="0" fontId="21" fillId="24" borderId="0" xfId="0" applyFont="1" applyFill="1" applyBorder="1" applyAlignment="1" applyProtection="1">
      <alignment horizontal="left" vertical="center"/>
    </xf>
    <xf numFmtId="0" fontId="24" fillId="27" borderId="15" xfId="12" applyFont="1" applyFill="1" applyBorder="1" applyAlignment="1">
      <alignment horizontal="center" vertical="center" wrapText="1"/>
    </xf>
    <xf numFmtId="3" fontId="21" fillId="26" borderId="16" xfId="123" applyNumberFormat="1" applyFont="1" applyFill="1" applyBorder="1" applyAlignment="1" applyProtection="1">
      <alignment vertical="center"/>
    </xf>
    <xf numFmtId="0" fontId="25" fillId="0" borderId="0" xfId="0" applyFont="1" applyFill="1"/>
    <xf numFmtId="0" fontId="0" fillId="0" borderId="0" xfId="0" applyFill="1"/>
    <xf numFmtId="0" fontId="0" fillId="28" borderId="17" xfId="0" applyFill="1" applyBorder="1"/>
    <xf numFmtId="3" fontId="27" fillId="28" borderId="18" xfId="0" applyNumberFormat="1" applyFont="1" applyFill="1" applyBorder="1"/>
    <xf numFmtId="0" fontId="22" fillId="24" borderId="0" xfId="0" applyFont="1" applyFill="1" applyBorder="1" applyAlignment="1" applyProtection="1">
      <alignment horizontal="left" vertical="center" indent="1"/>
    </xf>
    <xf numFmtId="3" fontId="23" fillId="0" borderId="16" xfId="92" applyNumberFormat="1" applyFont="1" applyFill="1" applyBorder="1" applyProtection="1">
      <alignment vertical="center"/>
      <protection locked="0"/>
    </xf>
  </cellXfs>
  <cellStyles count="124">
    <cellStyle name="20% - akcent 1" xfId="1"/>
    <cellStyle name="20% - akcent 2" xfId="2"/>
    <cellStyle name="20% - akcent 3" xfId="3"/>
    <cellStyle name="20% - akcent 4" xfId="4"/>
    <cellStyle name="20% - akcent 5" xfId="5"/>
    <cellStyle name="20% - akcent 6" xfId="6"/>
    <cellStyle name="40% - akcent 2" xfId="7"/>
    <cellStyle name="40% - akcent 3" xfId="8"/>
    <cellStyle name="40% - akcent 4" xfId="9"/>
    <cellStyle name="40% - akcent 5" xfId="10"/>
    <cellStyle name="40% - akcent 6" xfId="11"/>
    <cellStyle name="60% - akcent 1" xfId="12"/>
    <cellStyle name="60% - akcent 2" xfId="13"/>
    <cellStyle name="60% - akcent 3" xfId="14"/>
    <cellStyle name="60% - akcent 4" xfId="15"/>
    <cellStyle name="60% - akcent 5" xfId="16"/>
    <cellStyle name="60% - akcent 6" xfId="17"/>
    <cellStyle name="Akcent 1" xfId="18"/>
    <cellStyle name="Akcent 2" xfId="19"/>
    <cellStyle name="Akcent 3" xfId="20"/>
    <cellStyle name="Akcent 4" xfId="21"/>
    <cellStyle name="Akcent 5" xfId="22"/>
    <cellStyle name="Akcent 6" xfId="23"/>
    <cellStyle name="Buena 10" xfId="24"/>
    <cellStyle name="Buena 11" xfId="25"/>
    <cellStyle name="Buena 12" xfId="26"/>
    <cellStyle name="Buena 2" xfId="27"/>
    <cellStyle name="Buena 3" xfId="28"/>
    <cellStyle name="Buena 4" xfId="29"/>
    <cellStyle name="Buena 5" xfId="30"/>
    <cellStyle name="Buena 6" xfId="31"/>
    <cellStyle name="Buena 7" xfId="32"/>
    <cellStyle name="Buena 8" xfId="33"/>
    <cellStyle name="Buena 9" xfId="34"/>
    <cellStyle name="Celda de comprobación 10" xfId="35"/>
    <cellStyle name="Celda de comprobación 11" xfId="36"/>
    <cellStyle name="Celda de comprobación 12" xfId="37"/>
    <cellStyle name="Celda de comprobación 2" xfId="38"/>
    <cellStyle name="Celda de comprobación 3" xfId="39"/>
    <cellStyle name="Celda de comprobación 4" xfId="40"/>
    <cellStyle name="Celda de comprobación 5" xfId="41"/>
    <cellStyle name="Celda de comprobación 6" xfId="42"/>
    <cellStyle name="Celda de comprobación 7" xfId="43"/>
    <cellStyle name="Celda de comprobación 8" xfId="44"/>
    <cellStyle name="Celda de comprobación 9" xfId="45"/>
    <cellStyle name="Celda vinculada 10" xfId="46"/>
    <cellStyle name="Celda vinculada 11" xfId="47"/>
    <cellStyle name="Celda vinculada 12" xfId="48"/>
    <cellStyle name="Celda vinculada 2" xfId="49"/>
    <cellStyle name="Celda vinculada 3" xfId="50"/>
    <cellStyle name="Celda vinculada 4" xfId="51"/>
    <cellStyle name="Celda vinculada 5" xfId="52"/>
    <cellStyle name="Celda vinculada 6" xfId="53"/>
    <cellStyle name="Celda vinculada 7" xfId="54"/>
    <cellStyle name="Celda vinculada 8" xfId="55"/>
    <cellStyle name="Celda vinculada 9" xfId="56"/>
    <cellStyle name="Dane wejściowe" xfId="57"/>
    <cellStyle name="Dane wyjściowe" xfId="58"/>
    <cellStyle name="Dobre" xfId="59"/>
    <cellStyle name="Encabezado 4 10" xfId="60"/>
    <cellStyle name="Encabezado 4 11" xfId="61"/>
    <cellStyle name="Encabezado 4 12" xfId="62"/>
    <cellStyle name="Encabezado 4 2" xfId="63"/>
    <cellStyle name="Encabezado 4 3" xfId="64"/>
    <cellStyle name="Encabezado 4 4" xfId="65"/>
    <cellStyle name="Encabezado 4 5" xfId="66"/>
    <cellStyle name="Encabezado 4 6" xfId="67"/>
    <cellStyle name="Encabezado 4 7" xfId="68"/>
    <cellStyle name="Encabezado 4 8" xfId="69"/>
    <cellStyle name="Encabezado 4 9" xfId="70"/>
    <cellStyle name="Entrada 10" xfId="71"/>
    <cellStyle name="Entrada 11" xfId="72"/>
    <cellStyle name="Entrada 12" xfId="73"/>
    <cellStyle name="Entrada 2" xfId="74"/>
    <cellStyle name="Entrada 3" xfId="75"/>
    <cellStyle name="Entrada 4" xfId="76"/>
    <cellStyle name="Entrada 5" xfId="77"/>
    <cellStyle name="Entrada 6" xfId="78"/>
    <cellStyle name="Entrada 7" xfId="79"/>
    <cellStyle name="Entrada 8" xfId="80"/>
    <cellStyle name="Entrada 9" xfId="81"/>
    <cellStyle name="Euro" xfId="82"/>
    <cellStyle name="Komórka połączona" xfId="83"/>
    <cellStyle name="Komórka zaznaczona" xfId="84"/>
    <cellStyle name="Nagłówek 1" xfId="85"/>
    <cellStyle name="Nagłówek 2" xfId="86"/>
    <cellStyle name="Nagłówek 3" xfId="87"/>
    <cellStyle name="Nagłówek 4" xfId="88"/>
    <cellStyle name="Neutralne" xfId="89"/>
    <cellStyle name="Normal" xfId="0" builtinId="0"/>
    <cellStyle name="Normal 10" xfId="90"/>
    <cellStyle name="Normal 12" xfId="123"/>
    <cellStyle name="Normal 3" xfId="91"/>
    <cellStyle name="Normal_linkpresentacion" xfId="92"/>
    <cellStyle name="Normal_Modelo de Información  2010 Final al 05.02.2010" xfId="93"/>
    <cellStyle name="Notas 10" xfId="94"/>
    <cellStyle name="Notas 11" xfId="95"/>
    <cellStyle name="Notas 12" xfId="96"/>
    <cellStyle name="Notas 2" xfId="97"/>
    <cellStyle name="Notas 3" xfId="98"/>
    <cellStyle name="Notas 4" xfId="99"/>
    <cellStyle name="Notas 5" xfId="100"/>
    <cellStyle name="Notas 6" xfId="101"/>
    <cellStyle name="Notas 7" xfId="102"/>
    <cellStyle name="Notas 8" xfId="103"/>
    <cellStyle name="Notas 9" xfId="104"/>
    <cellStyle name="Obliczenia" xfId="105"/>
    <cellStyle name="Suma" xfId="106"/>
    <cellStyle name="Tekst objaśnienia" xfId="107"/>
    <cellStyle name="Tekst ostrzeżenia" xfId="108"/>
    <cellStyle name="Texto de advertencia 10" xfId="109"/>
    <cellStyle name="Texto de advertencia 11" xfId="110"/>
    <cellStyle name="Texto de advertencia 12" xfId="111"/>
    <cellStyle name="Texto de advertencia 2" xfId="112"/>
    <cellStyle name="Texto de advertencia 3" xfId="113"/>
    <cellStyle name="Texto de advertencia 4" xfId="114"/>
    <cellStyle name="Texto de advertencia 5" xfId="115"/>
    <cellStyle name="Texto de advertencia 6" xfId="116"/>
    <cellStyle name="Texto de advertencia 7" xfId="117"/>
    <cellStyle name="Texto de advertencia 8" xfId="118"/>
    <cellStyle name="Texto de advertencia 9" xfId="119"/>
    <cellStyle name="Tytuł" xfId="120"/>
    <cellStyle name="Uwaga" xfId="121"/>
    <cellStyle name="Złe" xfId="122"/>
  </cellStyles>
  <dxfs count="1">
    <dxf>
      <font>
        <color rgb="FFFF0000"/>
      </font>
      <fill>
        <patternFill>
          <bgColor rgb="FFFFFF00"/>
        </patternFill>
      </fill>
      <border>
        <left style="hair">
          <color rgb="FFFF0000"/>
        </left>
        <right style="hair">
          <color rgb="FFFF0000"/>
        </right>
        <top style="hair">
          <color rgb="FFFF0000"/>
        </top>
        <bottom style="hair">
          <color rgb="FFFF0000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1981200</xdr:colOff>
      <xdr:row>0</xdr:row>
      <xdr:rowOff>809625</xdr:rowOff>
    </xdr:to>
    <xdr:pic>
      <xdr:nvPicPr>
        <xdr:cNvPr id="2" name="4 Imagen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886075" cy="809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2333625</xdr:colOff>
      <xdr:row>0</xdr:row>
      <xdr:rowOff>83608</xdr:rowOff>
    </xdr:from>
    <xdr:to>
      <xdr:col>5</xdr:col>
      <xdr:colOff>5954036</xdr:colOff>
      <xdr:row>1</xdr:row>
      <xdr:rowOff>10108</xdr:rowOff>
    </xdr:to>
    <xdr:sp macro="" textlink="">
      <xdr:nvSpPr>
        <xdr:cNvPr id="3" name="2 CuadroTexto"/>
        <xdr:cNvSpPr txBox="1"/>
      </xdr:nvSpPr>
      <xdr:spPr>
        <a:xfrm>
          <a:off x="3238500" y="83608"/>
          <a:ext cx="3620411" cy="1260000"/>
        </a:xfrm>
        <a:prstGeom prst="rect">
          <a:avLst/>
        </a:prstGeom>
        <a:solidFill>
          <a:schemeClr val="bg1">
            <a:lumMod val="85000"/>
          </a:schemeClr>
        </a:solidFill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CL" sz="1100" b="1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IMPORTANTE</a:t>
          </a:r>
          <a:r>
            <a:rPr lang="es-CL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: El presente documento esta protegido por el registro de </a:t>
          </a:r>
          <a:r>
            <a:rPr lang="es-CL" sz="1100" b="0" i="0" u="non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propiedad</a:t>
          </a:r>
          <a:r>
            <a:rPr lang="es-CL" sz="1100" b="0" i="0" u="non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CL" sz="1100" b="0" i="0" u="non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intelectual </a:t>
          </a:r>
          <a:r>
            <a:rPr lang="es-CL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 No. 132.246, del Departamento de Derechos Intelectuales de Chile.  Este documento no puede ser utilizado por personas no autorizadas ni distribuido sin autorización expresa y por escrito de DBNeT S.A.</a:t>
          </a:r>
          <a:endParaRPr lang="es-CL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123825</xdr:colOff>
      <xdr:row>0</xdr:row>
      <xdr:rowOff>1000124</xdr:rowOff>
    </xdr:from>
    <xdr:to>
      <xdr:col>5</xdr:col>
      <xdr:colOff>479925</xdr:colOff>
      <xdr:row>1</xdr:row>
      <xdr:rowOff>98624</xdr:rowOff>
    </xdr:to>
    <xdr:sp macro="[0]!Guarda_Hojas_CSV" textlink="">
      <xdr:nvSpPr>
        <xdr:cNvPr id="4" name="3 Rectángulo redondeado"/>
        <xdr:cNvSpPr/>
      </xdr:nvSpPr>
      <xdr:spPr>
        <a:xfrm>
          <a:off x="304800" y="1000124"/>
          <a:ext cx="1080000" cy="432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s-ES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Crear CSV</a:t>
          </a:r>
        </a:p>
      </xdr:txBody>
    </xdr:sp>
    <xdr:clientData/>
  </xdr:twoCellAnchor>
  <xdr:twoCellAnchor>
    <xdr:from>
      <xdr:col>5</xdr:col>
      <xdr:colOff>647700</xdr:colOff>
      <xdr:row>0</xdr:row>
      <xdr:rowOff>1000124</xdr:rowOff>
    </xdr:from>
    <xdr:to>
      <xdr:col>5</xdr:col>
      <xdr:colOff>1727700</xdr:colOff>
      <xdr:row>1</xdr:row>
      <xdr:rowOff>98624</xdr:rowOff>
    </xdr:to>
    <xdr:sp macro="[0]!Guarda_Hojas_ZIP" textlink="">
      <xdr:nvSpPr>
        <xdr:cNvPr id="5" name="4 Rectángulo redondeado"/>
        <xdr:cNvSpPr/>
      </xdr:nvSpPr>
      <xdr:spPr>
        <a:xfrm>
          <a:off x="1552575" y="1000124"/>
          <a:ext cx="1080000" cy="432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s-ES" sz="9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Crear/Comprimir</a:t>
          </a:r>
          <a:r>
            <a:rPr lang="es-ES" sz="900" baseline="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 CSV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J81"/>
  <sheetViews>
    <sheetView tabSelected="1" topLeftCell="A52" workbookViewId="0">
      <selection activeCell="H79" sqref="H79:I79"/>
    </sheetView>
  </sheetViews>
  <sheetFormatPr baseColWidth="10" defaultRowHeight="15"/>
  <cols>
    <col min="1" max="5" width="2.7109375" customWidth="1"/>
    <col min="6" max="6" width="90.7109375" customWidth="1"/>
    <col min="7" max="7" width="2.7109375" customWidth="1"/>
    <col min="8" max="9" width="19.42578125" bestFit="1" customWidth="1"/>
    <col min="10" max="10" width="5.28515625" customWidth="1"/>
  </cols>
  <sheetData>
    <row r="1" spans="1:10" ht="105" customHeight="1">
      <c r="A1" t="s">
        <v>0</v>
      </c>
    </row>
    <row r="2" spans="1:10">
      <c r="G2" s="47" t="s">
        <v>0</v>
      </c>
      <c r="H2" s="48" t="s">
        <v>151</v>
      </c>
    </row>
    <row r="3" spans="1:10">
      <c r="A3" s="10" t="s">
        <v>0</v>
      </c>
      <c r="B3" s="17"/>
      <c r="C3" s="18"/>
      <c r="D3" s="19" t="s">
        <v>0</v>
      </c>
      <c r="E3" s="18" t="s">
        <v>0</v>
      </c>
      <c r="F3" s="27" t="s">
        <v>1</v>
      </c>
      <c r="G3" s="23" t="s">
        <v>0</v>
      </c>
      <c r="H3" s="2"/>
      <c r="I3" s="4"/>
      <c r="J3" s="5"/>
    </row>
    <row r="4" spans="1:10">
      <c r="A4" s="10" t="s">
        <v>0</v>
      </c>
      <c r="B4" s="20"/>
      <c r="C4" s="21"/>
      <c r="D4" s="22" t="s">
        <v>0</v>
      </c>
      <c r="E4" s="21" t="s">
        <v>0</v>
      </c>
      <c r="F4" s="38" t="s">
        <v>2</v>
      </c>
      <c r="G4" s="23" t="s">
        <v>0</v>
      </c>
      <c r="H4" s="2"/>
      <c r="I4" s="2"/>
      <c r="J4" s="6"/>
    </row>
    <row r="5" spans="1:10" ht="24">
      <c r="A5" s="10" t="s">
        <v>0</v>
      </c>
      <c r="B5" s="20"/>
      <c r="C5" s="21"/>
      <c r="D5" s="22" t="s">
        <v>0</v>
      </c>
      <c r="E5" s="21" t="s">
        <v>0</v>
      </c>
      <c r="F5" s="28" t="s">
        <v>3</v>
      </c>
      <c r="G5" s="23" t="s">
        <v>0</v>
      </c>
      <c r="H5" s="43" t="s">
        <v>77</v>
      </c>
      <c r="I5" s="43" t="s">
        <v>78</v>
      </c>
      <c r="J5" s="6"/>
    </row>
    <row r="6" spans="1:10">
      <c r="A6" s="10" t="s">
        <v>0</v>
      </c>
      <c r="B6" s="20" t="s">
        <v>150</v>
      </c>
      <c r="C6" s="21" t="s">
        <v>79</v>
      </c>
      <c r="D6" s="22" t="s">
        <v>0</v>
      </c>
      <c r="E6" s="21" t="s">
        <v>0</v>
      </c>
      <c r="F6" s="33" t="s">
        <v>4</v>
      </c>
      <c r="G6" s="34" t="s">
        <v>5</v>
      </c>
      <c r="H6" s="50">
        <v>213141861000</v>
      </c>
      <c r="I6" s="50">
        <v>187714344000</v>
      </c>
      <c r="J6" s="6"/>
    </row>
    <row r="7" spans="1:10" ht="22.5">
      <c r="A7" s="10" t="s">
        <v>0</v>
      </c>
      <c r="B7" s="20" t="s">
        <v>150</v>
      </c>
      <c r="C7" s="21" t="s">
        <v>80</v>
      </c>
      <c r="D7" s="22" t="s">
        <v>0</v>
      </c>
      <c r="E7" s="21" t="s">
        <v>0</v>
      </c>
      <c r="F7" s="35" t="s">
        <v>6</v>
      </c>
      <c r="G7" s="34" t="s">
        <v>5</v>
      </c>
      <c r="H7" s="11"/>
      <c r="I7" s="11"/>
      <c r="J7" s="6"/>
    </row>
    <row r="8" spans="1:10" ht="22.5">
      <c r="A8" s="10" t="s">
        <v>0</v>
      </c>
      <c r="B8" s="20" t="s">
        <v>150</v>
      </c>
      <c r="C8" s="21" t="s">
        <v>81</v>
      </c>
      <c r="D8" s="22" t="s">
        <v>0</v>
      </c>
      <c r="E8" s="21" t="s">
        <v>0</v>
      </c>
      <c r="F8" s="35" t="s">
        <v>7</v>
      </c>
      <c r="G8" s="34" t="s">
        <v>5</v>
      </c>
      <c r="H8" s="11"/>
      <c r="I8" s="11"/>
      <c r="J8" s="6"/>
    </row>
    <row r="9" spans="1:10" ht="22.5">
      <c r="A9" s="10" t="s">
        <v>0</v>
      </c>
      <c r="B9" s="20" t="s">
        <v>150</v>
      </c>
      <c r="C9" s="21" t="s">
        <v>82</v>
      </c>
      <c r="D9" s="22" t="s">
        <v>0</v>
      </c>
      <c r="E9" s="21" t="s">
        <v>0</v>
      </c>
      <c r="F9" s="35" t="s">
        <v>8</v>
      </c>
      <c r="G9" s="34" t="s">
        <v>5</v>
      </c>
      <c r="H9" s="11"/>
      <c r="I9" s="11"/>
      <c r="J9" s="6"/>
    </row>
    <row r="10" spans="1:10">
      <c r="A10" s="10" t="s">
        <v>0</v>
      </c>
      <c r="B10" s="20" t="s">
        <v>150</v>
      </c>
      <c r="C10" s="21" t="s">
        <v>83</v>
      </c>
      <c r="D10" s="22" t="s">
        <v>0</v>
      </c>
      <c r="E10" s="21" t="s">
        <v>0</v>
      </c>
      <c r="F10" s="33" t="s">
        <v>9</v>
      </c>
      <c r="G10" s="34" t="s">
        <v>5</v>
      </c>
      <c r="H10" s="11"/>
      <c r="I10" s="11"/>
      <c r="J10" s="6"/>
    </row>
    <row r="11" spans="1:10">
      <c r="A11" s="10" t="s">
        <v>0</v>
      </c>
      <c r="B11" s="20"/>
      <c r="C11" s="21"/>
      <c r="D11" s="22" t="s">
        <v>0</v>
      </c>
      <c r="E11" s="21" t="s">
        <v>0</v>
      </c>
      <c r="F11" s="29" t="s">
        <v>10</v>
      </c>
      <c r="G11" s="34" t="s">
        <v>0</v>
      </c>
      <c r="H11" s="3"/>
      <c r="I11" s="3"/>
      <c r="J11" s="6"/>
    </row>
    <row r="12" spans="1:10">
      <c r="A12" s="10" t="s">
        <v>0</v>
      </c>
      <c r="B12" s="20" t="s">
        <v>150</v>
      </c>
      <c r="C12" s="21" t="s">
        <v>84</v>
      </c>
      <c r="D12" s="22" t="s">
        <v>0</v>
      </c>
      <c r="E12" s="21" t="s">
        <v>0</v>
      </c>
      <c r="F12" s="33" t="s">
        <v>11</v>
      </c>
      <c r="G12" s="34" t="s">
        <v>12</v>
      </c>
      <c r="H12" s="50">
        <v>81968761000</v>
      </c>
      <c r="I12" s="50">
        <v>78680028000</v>
      </c>
      <c r="J12" s="6"/>
    </row>
    <row r="13" spans="1:10" ht="22.5">
      <c r="A13" s="10" t="s">
        <v>0</v>
      </c>
      <c r="B13" s="20" t="s">
        <v>150</v>
      </c>
      <c r="C13" s="21" t="s">
        <v>85</v>
      </c>
      <c r="D13" s="22" t="s">
        <v>0</v>
      </c>
      <c r="E13" s="21" t="s">
        <v>0</v>
      </c>
      <c r="F13" s="35" t="s">
        <v>13</v>
      </c>
      <c r="G13" s="34" t="s">
        <v>12</v>
      </c>
      <c r="H13" s="50"/>
      <c r="I13" s="50"/>
      <c r="J13" s="6"/>
    </row>
    <row r="14" spans="1:10">
      <c r="A14" s="10" t="s">
        <v>0</v>
      </c>
      <c r="B14" s="20" t="s">
        <v>150</v>
      </c>
      <c r="C14" s="21" t="s">
        <v>86</v>
      </c>
      <c r="D14" s="22" t="s">
        <v>0</v>
      </c>
      <c r="E14" s="21" t="s">
        <v>0</v>
      </c>
      <c r="F14" s="33" t="s">
        <v>14</v>
      </c>
      <c r="G14" s="34" t="s">
        <v>12</v>
      </c>
      <c r="H14" s="50">
        <v>16705037000</v>
      </c>
      <c r="I14" s="50">
        <v>13014553000</v>
      </c>
      <c r="J14" s="6"/>
    </row>
    <row r="15" spans="1:10" ht="22.5">
      <c r="A15" s="10" t="s">
        <v>0</v>
      </c>
      <c r="B15" s="20" t="s">
        <v>150</v>
      </c>
      <c r="C15" s="21" t="s">
        <v>87</v>
      </c>
      <c r="D15" s="22" t="s">
        <v>0</v>
      </c>
      <c r="E15" s="21" t="s">
        <v>0</v>
      </c>
      <c r="F15" s="35" t="s">
        <v>15</v>
      </c>
      <c r="G15" s="34" t="s">
        <v>12</v>
      </c>
      <c r="H15" s="11"/>
      <c r="I15" s="11"/>
      <c r="J15" s="6"/>
    </row>
    <row r="16" spans="1:10">
      <c r="A16" s="10" t="s">
        <v>0</v>
      </c>
      <c r="B16" s="20" t="s">
        <v>150</v>
      </c>
      <c r="C16" s="21" t="s">
        <v>88</v>
      </c>
      <c r="D16" s="22" t="s">
        <v>0</v>
      </c>
      <c r="E16" s="21" t="s">
        <v>0</v>
      </c>
      <c r="F16" s="33" t="s">
        <v>16</v>
      </c>
      <c r="G16" s="34" t="s">
        <v>12</v>
      </c>
      <c r="H16" s="11"/>
      <c r="I16" s="11"/>
      <c r="J16" s="6"/>
    </row>
    <row r="17" spans="1:10">
      <c r="A17" s="10" t="s">
        <v>0</v>
      </c>
      <c r="B17" s="20" t="s">
        <v>150</v>
      </c>
      <c r="C17" s="21" t="s">
        <v>89</v>
      </c>
      <c r="D17" s="22" t="s">
        <v>0</v>
      </c>
      <c r="E17" s="21" t="s">
        <v>0</v>
      </c>
      <c r="F17" s="41" t="s">
        <v>17</v>
      </c>
      <c r="G17" s="34" t="s">
        <v>5</v>
      </c>
      <c r="H17" s="15">
        <f>+H6+H7+H8+H9+H10-H12-H13-H14-H15-H16</f>
        <v>114468063000</v>
      </c>
      <c r="I17" s="15">
        <f>+I6+I7+I8+I9+I10-I12-I13-I14-I15-I16</f>
        <v>96019763000</v>
      </c>
      <c r="J17" s="6"/>
    </row>
    <row r="18" spans="1:10">
      <c r="A18" s="10" t="s">
        <v>0</v>
      </c>
      <c r="B18" s="20" t="s">
        <v>150</v>
      </c>
      <c r="C18" s="21" t="s">
        <v>90</v>
      </c>
      <c r="D18" s="22" t="s">
        <v>0</v>
      </c>
      <c r="E18" s="21" t="s">
        <v>0</v>
      </c>
      <c r="F18" s="36" t="s">
        <v>18</v>
      </c>
      <c r="G18" s="34" t="s">
        <v>12</v>
      </c>
      <c r="H18" s="11"/>
      <c r="I18" s="11"/>
      <c r="J18" s="6"/>
    </row>
    <row r="19" spans="1:10">
      <c r="A19" s="10" t="s">
        <v>0</v>
      </c>
      <c r="B19" s="20" t="s">
        <v>150</v>
      </c>
      <c r="C19" s="21" t="s">
        <v>91</v>
      </c>
      <c r="D19" s="22" t="s">
        <v>0</v>
      </c>
      <c r="E19" s="21" t="s">
        <v>0</v>
      </c>
      <c r="F19" s="36" t="s">
        <v>19</v>
      </c>
      <c r="G19" s="34" t="s">
        <v>5</v>
      </c>
      <c r="H19" s="11"/>
      <c r="I19" s="11"/>
      <c r="J19" s="6"/>
    </row>
    <row r="20" spans="1:10">
      <c r="A20" s="10" t="s">
        <v>0</v>
      </c>
      <c r="B20" s="20" t="s">
        <v>150</v>
      </c>
      <c r="C20" s="21" t="s">
        <v>92</v>
      </c>
      <c r="D20" s="22" t="s">
        <v>0</v>
      </c>
      <c r="E20" s="21" t="s">
        <v>0</v>
      </c>
      <c r="F20" s="36" t="s">
        <v>20</v>
      </c>
      <c r="G20" s="34" t="s">
        <v>12</v>
      </c>
      <c r="H20" s="11"/>
      <c r="I20" s="11"/>
      <c r="J20" s="6"/>
    </row>
    <row r="21" spans="1:10">
      <c r="A21" s="10" t="s">
        <v>0</v>
      </c>
      <c r="B21" s="20" t="s">
        <v>150</v>
      </c>
      <c r="C21" s="21" t="s">
        <v>93</v>
      </c>
      <c r="D21" s="22" t="s">
        <v>0</v>
      </c>
      <c r="E21" s="21" t="s">
        <v>0</v>
      </c>
      <c r="F21" s="36" t="s">
        <v>21</v>
      </c>
      <c r="G21" s="34" t="s">
        <v>5</v>
      </c>
      <c r="H21" s="11"/>
      <c r="I21" s="11"/>
      <c r="J21" s="6"/>
    </row>
    <row r="22" spans="1:10" ht="22.5">
      <c r="A22" s="10" t="s">
        <v>0</v>
      </c>
      <c r="B22" s="20" t="s">
        <v>150</v>
      </c>
      <c r="C22" s="22" t="s">
        <v>94</v>
      </c>
      <c r="D22" s="22" t="s">
        <v>0</v>
      </c>
      <c r="E22" s="21" t="s">
        <v>0</v>
      </c>
      <c r="F22" s="37" t="s">
        <v>22</v>
      </c>
      <c r="G22" s="34" t="s">
        <v>12</v>
      </c>
      <c r="H22" s="50">
        <v>8287621000</v>
      </c>
      <c r="I22" s="50">
        <v>3067542000</v>
      </c>
      <c r="J22" s="6"/>
    </row>
    <row r="23" spans="1:10">
      <c r="A23" s="10" t="s">
        <v>0</v>
      </c>
      <c r="B23" s="20" t="s">
        <v>150</v>
      </c>
      <c r="C23" s="21" t="s">
        <v>95</v>
      </c>
      <c r="D23" s="22" t="s">
        <v>0</v>
      </c>
      <c r="E23" s="21" t="s">
        <v>0</v>
      </c>
      <c r="F23" s="36" t="s">
        <v>23</v>
      </c>
      <c r="G23" s="34" t="s">
        <v>5</v>
      </c>
      <c r="H23" s="50">
        <v>-29752226000</v>
      </c>
      <c r="I23" s="50">
        <v>-11935793000</v>
      </c>
      <c r="J23" s="6"/>
    </row>
    <row r="24" spans="1:10">
      <c r="A24" s="10" t="s">
        <v>0</v>
      </c>
      <c r="B24" s="20" t="s">
        <v>150</v>
      </c>
      <c r="C24" s="21" t="s">
        <v>96</v>
      </c>
      <c r="D24" s="22" t="s">
        <v>0</v>
      </c>
      <c r="E24" s="21" t="s">
        <v>0</v>
      </c>
      <c r="F24" s="38" t="s">
        <v>24</v>
      </c>
      <c r="G24" s="34" t="s">
        <v>5</v>
      </c>
      <c r="H24" s="44">
        <f>H17-H18+H19-H20+H21-H22+H23</f>
        <v>76428216000</v>
      </c>
      <c r="I24" s="44">
        <f>I17-I18+I19-I20+I21-I22+I23</f>
        <v>81016428000</v>
      </c>
      <c r="J24" s="6"/>
    </row>
    <row r="25" spans="1:10">
      <c r="A25" s="1"/>
      <c r="B25" s="20"/>
      <c r="C25" s="21"/>
      <c r="D25" s="22"/>
      <c r="E25" s="21"/>
      <c r="F25" s="30"/>
      <c r="G25" s="34"/>
      <c r="H25" s="13"/>
      <c r="I25" s="13"/>
      <c r="J25" s="6"/>
    </row>
    <row r="26" spans="1:10">
      <c r="A26" s="10" t="s">
        <v>0</v>
      </c>
      <c r="B26" s="20"/>
      <c r="C26" s="21"/>
      <c r="D26" s="22"/>
      <c r="E26" s="21" t="s">
        <v>0</v>
      </c>
      <c r="F26" s="38" t="s">
        <v>25</v>
      </c>
      <c r="G26" s="30" t="s">
        <v>0</v>
      </c>
      <c r="H26" s="3"/>
      <c r="I26" s="3"/>
      <c r="J26" s="6"/>
    </row>
    <row r="27" spans="1:10" ht="22.5">
      <c r="A27" s="10" t="s">
        <v>0</v>
      </c>
      <c r="B27" s="20" t="s">
        <v>150</v>
      </c>
      <c r="C27" s="21" t="s">
        <v>97</v>
      </c>
      <c r="D27" s="22" t="s">
        <v>0</v>
      </c>
      <c r="E27" s="21" t="s">
        <v>0</v>
      </c>
      <c r="F27" s="31" t="s">
        <v>26</v>
      </c>
      <c r="G27" s="34" t="s">
        <v>5</v>
      </c>
      <c r="H27" s="50">
        <v>-38505738000</v>
      </c>
      <c r="I27" s="50">
        <v>-4890362000</v>
      </c>
      <c r="J27" s="6"/>
    </row>
    <row r="28" spans="1:10" ht="22.5">
      <c r="A28" s="10" t="s">
        <v>0</v>
      </c>
      <c r="B28" s="20" t="s">
        <v>150</v>
      </c>
      <c r="C28" s="21" t="s">
        <v>98</v>
      </c>
      <c r="D28" s="22" t="s">
        <v>0</v>
      </c>
      <c r="E28" s="21" t="s">
        <v>0</v>
      </c>
      <c r="F28" s="32" t="s">
        <v>27</v>
      </c>
      <c r="G28" s="34" t="s">
        <v>12</v>
      </c>
      <c r="H28" s="50"/>
      <c r="I28" s="50"/>
      <c r="J28" s="6"/>
    </row>
    <row r="29" spans="1:10">
      <c r="A29" s="10" t="s">
        <v>0</v>
      </c>
      <c r="B29" s="20" t="s">
        <v>150</v>
      </c>
      <c r="C29" s="21" t="s">
        <v>137</v>
      </c>
      <c r="D29" s="22" t="s">
        <v>0</v>
      </c>
      <c r="E29" s="21" t="s">
        <v>0</v>
      </c>
      <c r="F29" s="39" t="s">
        <v>28</v>
      </c>
      <c r="G29" s="34" t="s">
        <v>12</v>
      </c>
      <c r="H29" s="50">
        <v>64206935000</v>
      </c>
      <c r="I29" s="50"/>
      <c r="J29" s="6"/>
    </row>
    <row r="30" spans="1:10" ht="22.5">
      <c r="A30" s="10" t="s">
        <v>0</v>
      </c>
      <c r="B30" s="20" t="s">
        <v>150</v>
      </c>
      <c r="C30" s="21" t="s">
        <v>99</v>
      </c>
      <c r="D30" s="22" t="s">
        <v>0</v>
      </c>
      <c r="E30" s="21" t="s">
        <v>0</v>
      </c>
      <c r="F30" s="32" t="s">
        <v>29</v>
      </c>
      <c r="G30" s="34" t="s">
        <v>5</v>
      </c>
      <c r="H30" s="11"/>
      <c r="I30" s="11"/>
      <c r="J30" s="6"/>
    </row>
    <row r="31" spans="1:10" ht="22.5">
      <c r="A31" s="10" t="s">
        <v>0</v>
      </c>
      <c r="B31" s="20" t="s">
        <v>150</v>
      </c>
      <c r="C31" s="21" t="s">
        <v>100</v>
      </c>
      <c r="D31" s="22" t="s">
        <v>0</v>
      </c>
      <c r="E31" s="21" t="s">
        <v>0</v>
      </c>
      <c r="F31" s="32" t="s">
        <v>30</v>
      </c>
      <c r="G31" s="34" t="s">
        <v>12</v>
      </c>
      <c r="H31" s="11"/>
      <c r="I31" s="11"/>
      <c r="J31" s="6"/>
    </row>
    <row r="32" spans="1:10" ht="22.5">
      <c r="A32" s="10" t="s">
        <v>0</v>
      </c>
      <c r="B32" s="20" t="s">
        <v>150</v>
      </c>
      <c r="C32" s="21" t="s">
        <v>101</v>
      </c>
      <c r="D32" s="22" t="s">
        <v>0</v>
      </c>
      <c r="E32" s="21" t="s">
        <v>0</v>
      </c>
      <c r="F32" s="32" t="s">
        <v>31</v>
      </c>
      <c r="G32" s="34" t="s">
        <v>5</v>
      </c>
      <c r="H32" s="11"/>
      <c r="I32" s="11"/>
      <c r="J32" s="6"/>
    </row>
    <row r="33" spans="1:10" ht="22.5">
      <c r="A33" s="10" t="s">
        <v>0</v>
      </c>
      <c r="B33" s="20" t="s">
        <v>150</v>
      </c>
      <c r="C33" s="21" t="s">
        <v>102</v>
      </c>
      <c r="D33" s="22" t="s">
        <v>0</v>
      </c>
      <c r="E33" s="21" t="s">
        <v>0</v>
      </c>
      <c r="F33" s="32" t="s">
        <v>32</v>
      </c>
      <c r="G33" s="34" t="s">
        <v>12</v>
      </c>
      <c r="H33" s="11"/>
      <c r="I33" s="11"/>
      <c r="J33" s="6"/>
    </row>
    <row r="34" spans="1:10">
      <c r="A34" s="10" t="s">
        <v>0</v>
      </c>
      <c r="B34" s="20" t="s">
        <v>150</v>
      </c>
      <c r="C34" s="21" t="s">
        <v>138</v>
      </c>
      <c r="D34" s="22" t="s">
        <v>0</v>
      </c>
      <c r="E34" s="21" t="s">
        <v>0</v>
      </c>
      <c r="F34" s="39" t="s">
        <v>33</v>
      </c>
      <c r="G34" s="34" t="s">
        <v>12</v>
      </c>
      <c r="H34" s="50">
        <v>404863000</v>
      </c>
      <c r="I34" s="50">
        <v>1341535000</v>
      </c>
      <c r="J34" s="6"/>
    </row>
    <row r="35" spans="1:10" ht="22.5">
      <c r="A35" s="10" t="s">
        <v>0</v>
      </c>
      <c r="B35" s="20" t="s">
        <v>150</v>
      </c>
      <c r="C35" s="21" t="s">
        <v>103</v>
      </c>
      <c r="D35" s="22" t="s">
        <v>0</v>
      </c>
      <c r="E35" s="21" t="s">
        <v>0</v>
      </c>
      <c r="F35" s="32" t="s">
        <v>34</v>
      </c>
      <c r="G35" s="34" t="s">
        <v>5</v>
      </c>
      <c r="H35" s="11"/>
      <c r="I35" s="11"/>
      <c r="J35" s="6"/>
    </row>
    <row r="36" spans="1:10" ht="22.5">
      <c r="A36" s="10" t="s">
        <v>0</v>
      </c>
      <c r="B36" s="20" t="s">
        <v>150</v>
      </c>
      <c r="C36" s="21" t="s">
        <v>104</v>
      </c>
      <c r="D36" s="22" t="s">
        <v>0</v>
      </c>
      <c r="E36" s="21" t="s">
        <v>0</v>
      </c>
      <c r="F36" s="32" t="s">
        <v>35</v>
      </c>
      <c r="G36" s="34" t="s">
        <v>12</v>
      </c>
      <c r="H36" s="50">
        <v>531656000</v>
      </c>
      <c r="I36" s="50">
        <v>807381000</v>
      </c>
      <c r="J36" s="6"/>
    </row>
    <row r="37" spans="1:10" ht="22.5">
      <c r="A37" s="10" t="s">
        <v>0</v>
      </c>
      <c r="B37" s="20" t="s">
        <v>150</v>
      </c>
      <c r="C37" s="21" t="s">
        <v>105</v>
      </c>
      <c r="D37" s="22" t="s">
        <v>0</v>
      </c>
      <c r="E37" s="21" t="s">
        <v>0</v>
      </c>
      <c r="F37" s="32" t="s">
        <v>36</v>
      </c>
      <c r="G37" s="34" t="s">
        <v>5</v>
      </c>
      <c r="H37" s="11"/>
      <c r="I37" s="11"/>
      <c r="J37" s="6"/>
    </row>
    <row r="38" spans="1:10">
      <c r="A38" s="10" t="s">
        <v>0</v>
      </c>
      <c r="B38" s="20" t="s">
        <v>150</v>
      </c>
      <c r="C38" s="21" t="s">
        <v>106</v>
      </c>
      <c r="D38" s="22" t="s">
        <v>0</v>
      </c>
      <c r="E38" s="21" t="s">
        <v>0</v>
      </c>
      <c r="F38" s="39" t="s">
        <v>37</v>
      </c>
      <c r="G38" s="34" t="s">
        <v>12</v>
      </c>
      <c r="H38" s="50">
        <v>483645000</v>
      </c>
      <c r="I38" s="50">
        <v>2143757000</v>
      </c>
      <c r="J38" s="6"/>
    </row>
    <row r="39" spans="1:10" ht="22.5">
      <c r="A39" s="10" t="s">
        <v>0</v>
      </c>
      <c r="B39" s="20" t="s">
        <v>150</v>
      </c>
      <c r="C39" s="21" t="s">
        <v>107</v>
      </c>
      <c r="D39" s="22" t="s">
        <v>0</v>
      </c>
      <c r="E39" s="21" t="s">
        <v>0</v>
      </c>
      <c r="F39" s="32" t="s">
        <v>38</v>
      </c>
      <c r="G39" s="34" t="s">
        <v>5</v>
      </c>
      <c r="H39" s="11"/>
      <c r="I39" s="11"/>
      <c r="J39" s="6"/>
    </row>
    <row r="40" spans="1:10" ht="22.5">
      <c r="A40" s="10" t="s">
        <v>0</v>
      </c>
      <c r="B40" s="20" t="s">
        <v>150</v>
      </c>
      <c r="C40" s="21" t="s">
        <v>108</v>
      </c>
      <c r="D40" s="22" t="s">
        <v>0</v>
      </c>
      <c r="E40" s="21" t="s">
        <v>0</v>
      </c>
      <c r="F40" s="32" t="s">
        <v>39</v>
      </c>
      <c r="G40" s="34" t="s">
        <v>12</v>
      </c>
      <c r="H40" s="50">
        <v>115579444000</v>
      </c>
      <c r="I40" s="50">
        <v>115772550000</v>
      </c>
      <c r="J40" s="6"/>
    </row>
    <row r="41" spans="1:10" ht="22.5">
      <c r="A41" s="10" t="s">
        <v>0</v>
      </c>
      <c r="B41" s="20" t="s">
        <v>150</v>
      </c>
      <c r="C41" s="21" t="s">
        <v>109</v>
      </c>
      <c r="D41" s="22" t="s">
        <v>0</v>
      </c>
      <c r="E41" s="21" t="s">
        <v>0</v>
      </c>
      <c r="F41" s="32" t="s">
        <v>40</v>
      </c>
      <c r="G41" s="34" t="s">
        <v>5</v>
      </c>
      <c r="H41" s="11"/>
      <c r="I41" s="11"/>
      <c r="J41" s="6"/>
    </row>
    <row r="42" spans="1:10" ht="22.5">
      <c r="A42" s="10" t="s">
        <v>0</v>
      </c>
      <c r="B42" s="20" t="s">
        <v>150</v>
      </c>
      <c r="C42" s="21" t="s">
        <v>110</v>
      </c>
      <c r="D42" s="22" t="s">
        <v>0</v>
      </c>
      <c r="E42" s="21" t="s">
        <v>0</v>
      </c>
      <c r="F42" s="32" t="s">
        <v>41</v>
      </c>
      <c r="G42" s="34" t="s">
        <v>12</v>
      </c>
      <c r="H42" s="11"/>
      <c r="I42" s="11"/>
      <c r="J42" s="6"/>
    </row>
    <row r="43" spans="1:10" ht="22.5">
      <c r="A43" s="10" t="s">
        <v>0</v>
      </c>
      <c r="B43" s="20" t="s">
        <v>150</v>
      </c>
      <c r="C43" s="21" t="s">
        <v>111</v>
      </c>
      <c r="D43" s="22" t="s">
        <v>0</v>
      </c>
      <c r="E43" s="21" t="s">
        <v>0</v>
      </c>
      <c r="F43" s="32" t="s">
        <v>42</v>
      </c>
      <c r="G43" s="34" t="s">
        <v>5</v>
      </c>
      <c r="H43" s="11"/>
      <c r="I43" s="11"/>
      <c r="J43" s="6"/>
    </row>
    <row r="44" spans="1:10" ht="22.5">
      <c r="A44" s="10" t="s">
        <v>0</v>
      </c>
      <c r="B44" s="20" t="s">
        <v>150</v>
      </c>
      <c r="C44" s="21" t="s">
        <v>112</v>
      </c>
      <c r="D44" s="22" t="s">
        <v>0</v>
      </c>
      <c r="E44" s="21" t="s">
        <v>0</v>
      </c>
      <c r="F44" s="32" t="s">
        <v>43</v>
      </c>
      <c r="G44" s="34" t="s">
        <v>12</v>
      </c>
      <c r="H44" s="11"/>
      <c r="I44" s="11"/>
      <c r="J44" s="6"/>
    </row>
    <row r="45" spans="1:10" ht="22.5">
      <c r="A45" s="10" t="s">
        <v>0</v>
      </c>
      <c r="B45" s="20" t="s">
        <v>150</v>
      </c>
      <c r="C45" s="21" t="s">
        <v>113</v>
      </c>
      <c r="D45" s="22" t="s">
        <v>0</v>
      </c>
      <c r="E45" s="21" t="s">
        <v>0</v>
      </c>
      <c r="F45" s="32" t="s">
        <v>44</v>
      </c>
      <c r="G45" s="34" t="s">
        <v>5</v>
      </c>
      <c r="H45" s="11"/>
      <c r="I45" s="11"/>
      <c r="J45" s="6"/>
    </row>
    <row r="46" spans="1:10">
      <c r="A46" s="10" t="s">
        <v>0</v>
      </c>
      <c r="B46" s="20" t="s">
        <v>150</v>
      </c>
      <c r="C46" s="21" t="s">
        <v>139</v>
      </c>
      <c r="D46" s="22" t="s">
        <v>0</v>
      </c>
      <c r="E46" s="21" t="s">
        <v>0</v>
      </c>
      <c r="F46" s="39" t="s">
        <v>45</v>
      </c>
      <c r="G46" s="34" t="s">
        <v>5</v>
      </c>
      <c r="H46" s="50"/>
      <c r="I46" s="50">
        <v>542191000</v>
      </c>
      <c r="J46" s="6"/>
    </row>
    <row r="47" spans="1:10">
      <c r="A47" s="10" t="s">
        <v>0</v>
      </c>
      <c r="B47" s="20" t="s">
        <v>150</v>
      </c>
      <c r="C47" s="21" t="s">
        <v>114</v>
      </c>
      <c r="D47" s="22" t="s">
        <v>0</v>
      </c>
      <c r="E47" s="21" t="s">
        <v>0</v>
      </c>
      <c r="F47" s="39" t="s">
        <v>46</v>
      </c>
      <c r="G47" s="34" t="s">
        <v>5</v>
      </c>
      <c r="H47" s="50">
        <v>2698866000</v>
      </c>
      <c r="I47" s="50">
        <v>3864307000</v>
      </c>
      <c r="J47" s="6"/>
    </row>
    <row r="48" spans="1:10">
      <c r="A48" s="10" t="s">
        <v>0</v>
      </c>
      <c r="B48" s="20" t="s">
        <v>150</v>
      </c>
      <c r="C48" s="21" t="s">
        <v>115</v>
      </c>
      <c r="D48" s="22" t="s">
        <v>0</v>
      </c>
      <c r="E48" s="21" t="s">
        <v>0</v>
      </c>
      <c r="F48" s="39" t="s">
        <v>47</v>
      </c>
      <c r="G48" s="34" t="s">
        <v>12</v>
      </c>
      <c r="H48" s="50"/>
      <c r="I48" s="50"/>
      <c r="J48" s="6"/>
    </row>
    <row r="49" spans="1:10">
      <c r="A49" s="10" t="s">
        <v>0</v>
      </c>
      <c r="B49" s="20" t="s">
        <v>150</v>
      </c>
      <c r="C49" s="21" t="s">
        <v>116</v>
      </c>
      <c r="D49" s="22" t="s">
        <v>0</v>
      </c>
      <c r="E49" s="21" t="s">
        <v>0</v>
      </c>
      <c r="F49" s="39" t="s">
        <v>48</v>
      </c>
      <c r="G49" s="34" t="s">
        <v>5</v>
      </c>
      <c r="H49" s="50">
        <v>2895725000</v>
      </c>
      <c r="I49" s="50">
        <v>3580963000</v>
      </c>
      <c r="J49" s="6"/>
    </row>
    <row r="50" spans="1:10" ht="22.5">
      <c r="A50" s="10" t="s">
        <v>0</v>
      </c>
      <c r="B50" s="20" t="s">
        <v>150</v>
      </c>
      <c r="C50" s="21" t="s">
        <v>117</v>
      </c>
      <c r="D50" s="22" t="s">
        <v>0</v>
      </c>
      <c r="E50" s="21" t="s">
        <v>0</v>
      </c>
      <c r="F50" s="32" t="s">
        <v>49</v>
      </c>
      <c r="G50" s="34" t="s">
        <v>12</v>
      </c>
      <c r="H50" s="50"/>
      <c r="I50" s="50"/>
      <c r="J50" s="6"/>
    </row>
    <row r="51" spans="1:10">
      <c r="A51" s="10" t="s">
        <v>0</v>
      </c>
      <c r="B51" s="20" t="s">
        <v>150</v>
      </c>
      <c r="C51" s="22" t="s">
        <v>140</v>
      </c>
      <c r="D51" s="22" t="s">
        <v>0</v>
      </c>
      <c r="E51" s="21" t="s">
        <v>0</v>
      </c>
      <c r="F51" s="39" t="s">
        <v>50</v>
      </c>
      <c r="G51" s="34" t="s">
        <v>5</v>
      </c>
      <c r="H51" s="50"/>
      <c r="I51" s="50"/>
      <c r="J51" s="6"/>
    </row>
    <row r="52" spans="1:10">
      <c r="A52" s="10" t="s">
        <v>0</v>
      </c>
      <c r="B52" s="20" t="s">
        <v>150</v>
      </c>
      <c r="C52" s="21" t="s">
        <v>118</v>
      </c>
      <c r="D52" s="22" t="s">
        <v>0</v>
      </c>
      <c r="E52" s="21" t="s">
        <v>0</v>
      </c>
      <c r="F52" s="39" t="s">
        <v>51</v>
      </c>
      <c r="G52" s="34" t="s">
        <v>5</v>
      </c>
      <c r="H52" s="50">
        <v>-25248506000</v>
      </c>
      <c r="I52" s="50">
        <v>-2184032000</v>
      </c>
      <c r="J52" s="6"/>
    </row>
    <row r="53" spans="1:10">
      <c r="A53" s="1"/>
      <c r="B53" s="20" t="s">
        <v>150</v>
      </c>
      <c r="C53" s="21" t="s">
        <v>119</v>
      </c>
      <c r="D53" s="22" t="s">
        <v>0</v>
      </c>
      <c r="E53" s="21" t="s">
        <v>0</v>
      </c>
      <c r="F53" s="38" t="s">
        <v>52</v>
      </c>
      <c r="G53" s="34" t="s">
        <v>5</v>
      </c>
      <c r="H53" s="44">
        <f>+H27-H28-H29+H30-H31+H32-H33-H34+H35-H36+H37-H38+H39-H40+H41-H42+H43-H44+H45+H46+H47-H48+H49-H50+H51+H52</f>
        <v>-239366196000</v>
      </c>
      <c r="I53" s="44">
        <f>+I27-I28-I29+I30-I31+I32-I33-I34+I35-I36+I37-I38+I39-I40+I41-I42+I43-I44+I45+I46+I47-I48+I49-I50+I51+I52</f>
        <v>-119152156000</v>
      </c>
      <c r="J53" s="6"/>
    </row>
    <row r="54" spans="1:10">
      <c r="A54" s="10" t="s">
        <v>0</v>
      </c>
      <c r="B54" s="20"/>
      <c r="C54" s="21"/>
      <c r="D54" s="22" t="s">
        <v>0</v>
      </c>
      <c r="E54" s="21" t="s">
        <v>0</v>
      </c>
      <c r="F54" s="38" t="s">
        <v>53</v>
      </c>
      <c r="G54" s="34" t="s">
        <v>0</v>
      </c>
      <c r="H54" s="3"/>
      <c r="I54" s="3"/>
      <c r="J54" s="6"/>
    </row>
    <row r="55" spans="1:10" ht="22.5">
      <c r="A55" s="10" t="s">
        <v>0</v>
      </c>
      <c r="B55" s="20" t="s">
        <v>150</v>
      </c>
      <c r="C55" s="21" t="s">
        <v>120</v>
      </c>
      <c r="D55" s="22" t="s">
        <v>0</v>
      </c>
      <c r="E55" s="21" t="s">
        <v>0</v>
      </c>
      <c r="F55" s="31" t="s">
        <v>54</v>
      </c>
      <c r="G55" s="34" t="s">
        <v>5</v>
      </c>
      <c r="H55" s="11"/>
      <c r="I55" s="11"/>
      <c r="J55" s="6"/>
    </row>
    <row r="56" spans="1:10" ht="22.5">
      <c r="A56" s="10" t="s">
        <v>0</v>
      </c>
      <c r="B56" s="20" t="s">
        <v>150</v>
      </c>
      <c r="C56" s="21" t="s">
        <v>121</v>
      </c>
      <c r="D56" s="22" t="s">
        <v>0</v>
      </c>
      <c r="E56" s="21" t="s">
        <v>0</v>
      </c>
      <c r="F56" s="32" t="s">
        <v>55</v>
      </c>
      <c r="G56" s="34" t="s">
        <v>12</v>
      </c>
      <c r="H56" s="11"/>
      <c r="I56" s="11"/>
      <c r="J56" s="6"/>
    </row>
    <row r="57" spans="1:10">
      <c r="A57" s="10" t="s">
        <v>0</v>
      </c>
      <c r="B57" s="20" t="s">
        <v>150</v>
      </c>
      <c r="C57" s="21" t="s">
        <v>122</v>
      </c>
      <c r="D57" s="22" t="s">
        <v>0</v>
      </c>
      <c r="E57" s="21" t="s">
        <v>0</v>
      </c>
      <c r="F57" s="39" t="s">
        <v>56</v>
      </c>
      <c r="G57" s="34" t="s">
        <v>5</v>
      </c>
      <c r="H57" s="50">
        <v>15360847000</v>
      </c>
      <c r="I57" s="50">
        <v>118656236000</v>
      </c>
      <c r="J57" s="6"/>
    </row>
    <row r="58" spans="1:10">
      <c r="A58" s="10" t="s">
        <v>0</v>
      </c>
      <c r="B58" s="20" t="s">
        <v>150</v>
      </c>
      <c r="C58" s="21" t="s">
        <v>123</v>
      </c>
      <c r="D58" s="22" t="s">
        <v>0</v>
      </c>
      <c r="E58" s="21" t="s">
        <v>0</v>
      </c>
      <c r="F58" s="39" t="s">
        <v>57</v>
      </c>
      <c r="G58" s="34" t="s">
        <v>5</v>
      </c>
      <c r="H58" s="11"/>
      <c r="I58" s="11"/>
      <c r="J58" s="6"/>
    </row>
    <row r="59" spans="1:10">
      <c r="A59" s="10" t="s">
        <v>0</v>
      </c>
      <c r="B59" s="20" t="s">
        <v>150</v>
      </c>
      <c r="C59" s="21" t="s">
        <v>124</v>
      </c>
      <c r="D59" s="22" t="s">
        <v>0</v>
      </c>
      <c r="E59" s="21" t="s">
        <v>0</v>
      </c>
      <c r="F59" s="39" t="s">
        <v>58</v>
      </c>
      <c r="G59" s="34" t="s">
        <v>12</v>
      </c>
      <c r="H59" s="11"/>
      <c r="I59" s="11"/>
      <c r="J59" s="6"/>
    </row>
    <row r="60" spans="1:10">
      <c r="A60" s="10" t="s">
        <v>0</v>
      </c>
      <c r="B60" s="20" t="s">
        <v>150</v>
      </c>
      <c r="C60" s="21" t="s">
        <v>125</v>
      </c>
      <c r="D60" s="22" t="s">
        <v>0</v>
      </c>
      <c r="E60" s="21" t="s">
        <v>0</v>
      </c>
      <c r="F60" s="39" t="s">
        <v>59</v>
      </c>
      <c r="G60" s="34" t="s">
        <v>12</v>
      </c>
      <c r="H60" s="11"/>
      <c r="I60" s="11"/>
      <c r="J60" s="6"/>
    </row>
    <row r="61" spans="1:10" ht="22.5">
      <c r="A61" s="10" t="s">
        <v>0</v>
      </c>
      <c r="B61" s="20" t="s">
        <v>150</v>
      </c>
      <c r="C61" s="21" t="s">
        <v>126</v>
      </c>
      <c r="D61" s="22" t="s">
        <v>0</v>
      </c>
      <c r="E61" s="21" t="s">
        <v>0</v>
      </c>
      <c r="F61" s="40" t="s">
        <v>60</v>
      </c>
      <c r="G61" s="34" t="s">
        <v>5</v>
      </c>
      <c r="H61" s="15">
        <f>+H62+H63</f>
        <v>99264244000</v>
      </c>
      <c r="I61" s="15">
        <f>+I62+I63</f>
        <v>90798328000</v>
      </c>
      <c r="J61" s="6"/>
    </row>
    <row r="62" spans="1:10">
      <c r="A62" s="10" t="s">
        <v>0</v>
      </c>
      <c r="B62" s="20" t="s">
        <v>150</v>
      </c>
      <c r="C62" s="21" t="s">
        <v>141</v>
      </c>
      <c r="D62" s="22" t="s">
        <v>0</v>
      </c>
      <c r="E62" s="21" t="s">
        <v>0</v>
      </c>
      <c r="F62" s="39" t="s">
        <v>61</v>
      </c>
      <c r="G62" s="34" t="s">
        <v>5</v>
      </c>
      <c r="H62" s="50">
        <v>64275795000</v>
      </c>
      <c r="I62" s="50">
        <v>90798328000</v>
      </c>
      <c r="J62" s="6"/>
    </row>
    <row r="63" spans="1:10">
      <c r="A63" s="10" t="s">
        <v>0</v>
      </c>
      <c r="B63" s="20" t="s">
        <v>150</v>
      </c>
      <c r="C63" s="21" t="s">
        <v>142</v>
      </c>
      <c r="D63" s="22" t="s">
        <v>0</v>
      </c>
      <c r="E63" s="21" t="s">
        <v>0</v>
      </c>
      <c r="F63" s="36" t="s">
        <v>62</v>
      </c>
      <c r="G63" s="34" t="s">
        <v>5</v>
      </c>
      <c r="H63" s="50">
        <v>34988449000</v>
      </c>
      <c r="I63" s="50"/>
      <c r="J63" s="6"/>
    </row>
    <row r="64" spans="1:10">
      <c r="A64" s="10" t="s">
        <v>0</v>
      </c>
      <c r="B64" s="20" t="s">
        <v>150</v>
      </c>
      <c r="C64" s="21" t="s">
        <v>143</v>
      </c>
      <c r="D64" s="22" t="s">
        <v>0</v>
      </c>
      <c r="E64" s="21" t="s">
        <v>0</v>
      </c>
      <c r="F64" s="36" t="s">
        <v>63</v>
      </c>
      <c r="G64" s="34" t="s">
        <v>5</v>
      </c>
      <c r="H64" s="50">
        <v>222763000</v>
      </c>
      <c r="I64" s="50">
        <v>1203894000</v>
      </c>
      <c r="J64" s="6"/>
    </row>
    <row r="65" spans="1:10">
      <c r="A65" s="10" t="s">
        <v>0</v>
      </c>
      <c r="B65" s="20" t="s">
        <v>150</v>
      </c>
      <c r="C65" s="21" t="s">
        <v>127</v>
      </c>
      <c r="D65" s="22" t="s">
        <v>0</v>
      </c>
      <c r="E65" s="21" t="s">
        <v>0</v>
      </c>
      <c r="F65" s="39" t="s">
        <v>64</v>
      </c>
      <c r="G65" s="34" t="s">
        <v>12</v>
      </c>
      <c r="H65" s="50">
        <v>72662642000</v>
      </c>
      <c r="I65" s="50">
        <v>92598650000</v>
      </c>
      <c r="J65" s="6"/>
    </row>
    <row r="66" spans="1:10" s="46" customFormat="1">
      <c r="A66" s="45"/>
      <c r="B66" s="20" t="s">
        <v>150</v>
      </c>
      <c r="C66" s="21" t="s">
        <v>145</v>
      </c>
      <c r="D66" s="22" t="s">
        <v>0</v>
      </c>
      <c r="E66" s="21" t="s">
        <v>0</v>
      </c>
      <c r="F66" s="39" t="s">
        <v>146</v>
      </c>
      <c r="G66" s="34" t="s">
        <v>12</v>
      </c>
      <c r="H66" s="50">
        <v>9669152000</v>
      </c>
      <c r="I66" s="50">
        <v>3021880000</v>
      </c>
      <c r="J66" s="6"/>
    </row>
    <row r="67" spans="1:10">
      <c r="A67" s="10" t="s">
        <v>0</v>
      </c>
      <c r="B67" s="20" t="s">
        <v>150</v>
      </c>
      <c r="C67" s="21" t="s">
        <v>144</v>
      </c>
      <c r="D67" s="22" t="s">
        <v>0</v>
      </c>
      <c r="E67" s="21" t="s">
        <v>0</v>
      </c>
      <c r="F67" s="39" t="s">
        <v>65</v>
      </c>
      <c r="G67" s="34" t="s">
        <v>12</v>
      </c>
      <c r="H67" s="50"/>
      <c r="I67" s="50"/>
      <c r="J67" s="6"/>
    </row>
    <row r="68" spans="1:10" ht="22.5">
      <c r="A68" s="10" t="s">
        <v>0</v>
      </c>
      <c r="B68" s="20" t="s">
        <v>150</v>
      </c>
      <c r="C68" s="21" t="s">
        <v>128</v>
      </c>
      <c r="D68" s="22" t="s">
        <v>0</v>
      </c>
      <c r="E68" s="21" t="s">
        <v>0</v>
      </c>
      <c r="F68" s="32" t="s">
        <v>66</v>
      </c>
      <c r="G68" s="34" t="s">
        <v>5</v>
      </c>
      <c r="H68" s="50">
        <v>100000000</v>
      </c>
      <c r="I68" s="50">
        <v>100000000</v>
      </c>
      <c r="J68" s="6"/>
    </row>
    <row r="69" spans="1:10">
      <c r="A69" s="10" t="s">
        <v>0</v>
      </c>
      <c r="B69" s="20" t="s">
        <v>150</v>
      </c>
      <c r="C69" s="21" t="s">
        <v>129</v>
      </c>
      <c r="D69" s="22" t="s">
        <v>0</v>
      </c>
      <c r="E69" s="21" t="s">
        <v>0</v>
      </c>
      <c r="F69" s="39" t="s">
        <v>67</v>
      </c>
      <c r="G69" s="34" t="s">
        <v>12</v>
      </c>
      <c r="H69" s="50">
        <v>24569973000</v>
      </c>
      <c r="I69" s="50">
        <v>25211472000</v>
      </c>
      <c r="J69" s="6"/>
    </row>
    <row r="70" spans="1:10">
      <c r="A70" s="10" t="s">
        <v>0</v>
      </c>
      <c r="B70" s="20" t="s">
        <v>150</v>
      </c>
      <c r="C70" s="21" t="s">
        <v>130</v>
      </c>
      <c r="D70" s="22" t="s">
        <v>0</v>
      </c>
      <c r="E70" s="21" t="s">
        <v>0</v>
      </c>
      <c r="F70" s="39" t="s">
        <v>68</v>
      </c>
      <c r="G70" s="34" t="s">
        <v>12</v>
      </c>
      <c r="H70" s="50">
        <v>28412878000</v>
      </c>
      <c r="I70" s="50">
        <v>25441700000</v>
      </c>
      <c r="J70" s="6"/>
    </row>
    <row r="71" spans="1:10" ht="22.5">
      <c r="A71" s="10" t="s">
        <v>0</v>
      </c>
      <c r="B71" s="20" t="s">
        <v>150</v>
      </c>
      <c r="C71" s="21" t="s">
        <v>131</v>
      </c>
      <c r="D71" s="22" t="s">
        <v>0</v>
      </c>
      <c r="E71" s="21" t="s">
        <v>0</v>
      </c>
      <c r="F71" s="32" t="s">
        <v>69</v>
      </c>
      <c r="G71" s="34" t="s">
        <v>12</v>
      </c>
      <c r="H71" s="50"/>
      <c r="I71" s="12"/>
      <c r="J71" s="6"/>
    </row>
    <row r="72" spans="1:10" ht="22.5">
      <c r="A72" s="10" t="s">
        <v>0</v>
      </c>
      <c r="B72" s="20" t="s">
        <v>150</v>
      </c>
      <c r="C72" s="21" t="s">
        <v>132</v>
      </c>
      <c r="D72" s="22" t="s">
        <v>0</v>
      </c>
      <c r="E72" s="21" t="s">
        <v>0</v>
      </c>
      <c r="F72" s="32" t="s">
        <v>70</v>
      </c>
      <c r="G72" s="34" t="s">
        <v>5</v>
      </c>
      <c r="H72" s="50">
        <v>178472790000</v>
      </c>
      <c r="I72" s="12">
        <v>12889395000</v>
      </c>
      <c r="J72" s="6"/>
    </row>
    <row r="73" spans="1:10" ht="22.5">
      <c r="A73" s="1"/>
      <c r="B73" s="20" t="s">
        <v>150</v>
      </c>
      <c r="C73" s="21" t="s">
        <v>133</v>
      </c>
      <c r="D73" s="22" t="s">
        <v>0</v>
      </c>
      <c r="E73" s="21" t="s">
        <v>0</v>
      </c>
      <c r="F73" s="40" t="s">
        <v>71</v>
      </c>
      <c r="G73" s="34" t="s">
        <v>5</v>
      </c>
      <c r="H73" s="15">
        <f>+H55-H56+H57+H58-H59-H60+H61+H64-H65-H66-H67+H68-H69-H70-H71+H72</f>
        <v>158105999000</v>
      </c>
      <c r="I73" s="15">
        <f>+I55-I56+I57+I58-I59-I60+I61+I64-I65-I66-I67+I68-I69-I70-I71+I72</f>
        <v>77374151000</v>
      </c>
      <c r="J73" s="6"/>
    </row>
    <row r="74" spans="1:10" ht="22.5">
      <c r="A74" s="1"/>
      <c r="B74" s="20" t="s">
        <v>150</v>
      </c>
      <c r="C74" s="21" t="s">
        <v>134</v>
      </c>
      <c r="D74" s="22" t="s">
        <v>0</v>
      </c>
      <c r="E74" s="21" t="s">
        <v>0</v>
      </c>
      <c r="F74" s="16" t="s">
        <v>72</v>
      </c>
      <c r="G74" s="34" t="s">
        <v>5</v>
      </c>
      <c r="H74" s="15">
        <f>+H24+H53+H73</f>
        <v>-4831981000</v>
      </c>
      <c r="I74" s="15">
        <f>+I24+I53+I73</f>
        <v>39238423000</v>
      </c>
      <c r="J74" s="6"/>
    </row>
    <row r="75" spans="1:10">
      <c r="A75" s="10" t="s">
        <v>0</v>
      </c>
      <c r="B75" s="20"/>
      <c r="C75" s="21"/>
      <c r="D75" s="22"/>
      <c r="E75" s="21"/>
      <c r="F75" s="9"/>
      <c r="G75" s="34"/>
      <c r="H75" s="9"/>
      <c r="I75" s="9"/>
      <c r="J75" s="6"/>
    </row>
    <row r="76" spans="1:10" ht="22.5">
      <c r="A76" s="10" t="s">
        <v>0</v>
      </c>
      <c r="B76" s="20"/>
      <c r="C76" s="21"/>
      <c r="D76" s="22" t="s">
        <v>0</v>
      </c>
      <c r="E76" s="21" t="s">
        <v>0</v>
      </c>
      <c r="F76" s="16" t="s">
        <v>73</v>
      </c>
      <c r="G76" s="34" t="s">
        <v>0</v>
      </c>
      <c r="H76" s="3"/>
      <c r="I76" s="3"/>
      <c r="J76" s="6"/>
    </row>
    <row r="77" spans="1:10" ht="22.5">
      <c r="A77" s="1"/>
      <c r="B77" s="20" t="s">
        <v>150</v>
      </c>
      <c r="C77" s="21" t="s">
        <v>135</v>
      </c>
      <c r="D77" s="22" t="s">
        <v>0</v>
      </c>
      <c r="E77" s="21" t="s">
        <v>0</v>
      </c>
      <c r="F77" s="14" t="s">
        <v>74</v>
      </c>
      <c r="G77" s="34" t="s">
        <v>5</v>
      </c>
      <c r="H77" s="50">
        <v>8995606000</v>
      </c>
      <c r="I77" s="50">
        <v>1876867000</v>
      </c>
      <c r="J77" s="6"/>
    </row>
    <row r="78" spans="1:10">
      <c r="A78" s="1"/>
      <c r="B78" s="20" t="s">
        <v>150</v>
      </c>
      <c r="C78" s="21" t="s">
        <v>136</v>
      </c>
      <c r="D78" s="22" t="s">
        <v>0</v>
      </c>
      <c r="E78" s="21" t="s">
        <v>0</v>
      </c>
      <c r="F78" s="42" t="s">
        <v>75</v>
      </c>
      <c r="G78" s="34" t="s">
        <v>0</v>
      </c>
      <c r="H78" s="15">
        <f>H74+H77</f>
        <v>4163625000</v>
      </c>
      <c r="I78" s="15">
        <f>I74+I77</f>
        <v>41115290000</v>
      </c>
      <c r="J78" s="6"/>
    </row>
    <row r="79" spans="1:10">
      <c r="A79" s="10" t="s">
        <v>76</v>
      </c>
      <c r="B79" s="20" t="s">
        <v>150</v>
      </c>
      <c r="C79" s="21" t="s">
        <v>147</v>
      </c>
      <c r="D79" s="22" t="s">
        <v>0</v>
      </c>
      <c r="E79" s="21" t="s">
        <v>0</v>
      </c>
      <c r="F79" s="49" t="s">
        <v>148</v>
      </c>
      <c r="G79" s="34" t="s">
        <v>0</v>
      </c>
      <c r="H79" s="50">
        <v>110061086000</v>
      </c>
      <c r="I79" s="50">
        <v>68945792000</v>
      </c>
      <c r="J79" s="6"/>
    </row>
    <row r="80" spans="1:10">
      <c r="A80" s="1"/>
      <c r="B80" s="20" t="s">
        <v>150</v>
      </c>
      <c r="C80" s="21" t="s">
        <v>147</v>
      </c>
      <c r="D80" s="22" t="s">
        <v>0</v>
      </c>
      <c r="E80" s="21" t="s">
        <v>0</v>
      </c>
      <c r="F80" s="42" t="s">
        <v>149</v>
      </c>
      <c r="G80" s="34" t="s">
        <v>0</v>
      </c>
      <c r="H80" s="15">
        <f>H79+H78</f>
        <v>114224711000</v>
      </c>
      <c r="I80" s="15">
        <f>I79+I78</f>
        <v>110061082000</v>
      </c>
      <c r="J80" s="6"/>
    </row>
    <row r="81" spans="1:10">
      <c r="A81" s="1"/>
      <c r="B81" s="24"/>
      <c r="C81" s="25"/>
      <c r="D81" s="25"/>
      <c r="E81" s="25"/>
      <c r="F81" s="25"/>
      <c r="G81" s="26"/>
      <c r="H81" s="7"/>
      <c r="I81" s="7"/>
      <c r="J81" s="8"/>
    </row>
  </sheetData>
  <conditionalFormatting sqref="H24:I24 H53:I53">
    <cfRule type="expression" dxfId="0" priority="19">
      <formula>OR(IF(NOT(ISERR(FIND("ERR",#REF!)))=TRUE,TRUE,FALSE),)</formula>
    </cfRule>
  </conditionalFormatting>
  <pageMargins left="0.7" right="0.7" top="0.75" bottom="0.75" header="0.3" footer="0.3"/>
  <pageSetup paperSize="9" orientation="portrait" horizontalDpi="300" verticalDpi="300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IAS-7_510000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San Martin (DBNeTCorp)</dc:creator>
  <cp:lastModifiedBy>Waldo Byron Gonzalez Serrano</cp:lastModifiedBy>
  <dcterms:created xsi:type="dcterms:W3CDTF">2013-03-19T20:13:24Z</dcterms:created>
  <dcterms:modified xsi:type="dcterms:W3CDTF">2024-03-25T14:46:55Z</dcterms:modified>
</cp:coreProperties>
</file>