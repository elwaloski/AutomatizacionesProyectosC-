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827"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jaime\Desktop\Jaime\TESTING\Testing CI 2022\xls\"/>
    </mc:Choice>
  </mc:AlternateContent>
  <xr:revisionPtr revIDLastSave="0" documentId="13_ncr:1_{C3C72064-21B1-4A6B-8853-A82C875A9044}" xr6:coauthVersionLast="47" xr6:coauthVersionMax="47" xr10:uidLastSave="{00000000-0000-0000-0000-000000000000}"/>
  <bookViews>
    <workbookView xWindow="-120" yWindow="-120" windowWidth="20730" windowHeight="11160" firstSheet="6" activeTab="8" xr2:uid="{00000000-000D-0000-FFFF-FFFF00000000}"/>
  </bookViews>
  <sheets>
    <sheet name="IFRS12-Cuadros" sheetId="2" r:id="rId1"/>
    <sheet name="IFRS12-InfoReveSubs" sheetId="6" r:id="rId2"/>
    <sheet name="IFRS12-InfoEstrCons" sheetId="9" r:id="rId3"/>
    <sheet name="IFRS12-InfoSobrAsoc" sheetId="10" r:id="rId4"/>
    <sheet name="IFRS12-InfoOperConj" sheetId="11" r:id="rId5"/>
    <sheet name="IFRS12-InfoNegoConj" sheetId="12" r:id="rId6"/>
    <sheet name="IFRS12-InfoEstNoCon" sheetId="13" r:id="rId7"/>
    <sheet name="IFRS12-ReveSubsNoConso" sheetId="14" r:id="rId8"/>
    <sheet name="IFRS12-InfoEntiEstrNCons" sheetId="15" r:id="rId9"/>
    <sheet name="Hoja1" sheetId="16" state="hidden"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J40" i="6" l="1"/>
  <c r="J13" i="6"/>
  <c r="I55" i="6" l="1"/>
  <c r="L55" i="6" s="1"/>
  <c r="I28" i="6"/>
  <c r="L28" i="6" s="1"/>
  <c r="L42" i="6" l="1"/>
  <c r="L41" i="6"/>
  <c r="L40" i="6"/>
  <c r="L15" i="6"/>
  <c r="L14" i="6"/>
  <c r="L13" i="6"/>
  <c r="I42" i="6"/>
  <c r="I41" i="6"/>
  <c r="I40" i="6"/>
  <c r="I15" i="6" l="1"/>
  <c r="I14" i="6"/>
  <c r="I13" i="6"/>
  <c r="G6" i="11" l="1"/>
  <c r="H6" i="11"/>
  <c r="H16" i="11"/>
  <c r="G16" i="11"/>
  <c r="J21" i="10" l="1"/>
  <c r="O57" i="13" l="1"/>
  <c r="L57" i="13"/>
  <c r="I57" i="13"/>
  <c r="O55" i="13"/>
  <c r="L55" i="13"/>
  <c r="I55" i="13"/>
  <c r="O50" i="13"/>
  <c r="L50" i="13"/>
  <c r="I50" i="13"/>
  <c r="O45" i="13"/>
  <c r="L45" i="13"/>
  <c r="I45" i="13"/>
  <c r="O43" i="13"/>
  <c r="L43" i="13"/>
  <c r="I43" i="13"/>
  <c r="O42" i="13"/>
  <c r="L42" i="13"/>
  <c r="I42" i="13"/>
  <c r="O41" i="13"/>
  <c r="L41" i="13"/>
  <c r="I41" i="13"/>
  <c r="O39" i="13"/>
  <c r="L39" i="13"/>
  <c r="I39" i="13"/>
  <c r="J91" i="12"/>
  <c r="J90" i="12"/>
  <c r="J89" i="12"/>
  <c r="J88" i="12"/>
  <c r="J87" i="12"/>
  <c r="J83" i="12"/>
  <c r="J82" i="12"/>
  <c r="J81" i="12"/>
  <c r="J80" i="12"/>
  <c r="J79" i="12"/>
  <c r="J78" i="12"/>
  <c r="J77" i="12"/>
  <c r="J76" i="12"/>
  <c r="J75" i="12"/>
  <c r="J74" i="12"/>
  <c r="J73" i="12"/>
  <c r="J72" i="12"/>
  <c r="J71" i="12"/>
  <c r="J70" i="12"/>
  <c r="J69" i="12"/>
  <c r="J68" i="12"/>
  <c r="J67" i="12"/>
  <c r="J66" i="12"/>
  <c r="J65" i="12"/>
  <c r="J64" i="12"/>
  <c r="J63" i="12"/>
  <c r="J62" i="12"/>
  <c r="J61" i="12"/>
  <c r="J60" i="12"/>
  <c r="J47" i="12"/>
  <c r="J46" i="12"/>
  <c r="J45" i="12"/>
  <c r="J44" i="12"/>
  <c r="J43" i="12"/>
  <c r="J38" i="12"/>
  <c r="J37" i="12"/>
  <c r="J36" i="12"/>
  <c r="J35" i="12"/>
  <c r="J34" i="12"/>
  <c r="J33" i="12"/>
  <c r="J32" i="12"/>
  <c r="J31" i="12"/>
  <c r="J30" i="12"/>
  <c r="J29" i="12"/>
  <c r="J28" i="12"/>
  <c r="J27" i="12"/>
  <c r="J26" i="12"/>
  <c r="J25" i="12"/>
  <c r="J24" i="12"/>
  <c r="J23" i="12"/>
  <c r="J22" i="12"/>
  <c r="J21" i="12"/>
  <c r="J20" i="12"/>
  <c r="J19" i="12"/>
  <c r="J18" i="12"/>
  <c r="J17" i="12"/>
  <c r="J16" i="12"/>
  <c r="J75" i="10"/>
  <c r="J74" i="10"/>
  <c r="J73" i="10"/>
  <c r="J72" i="10"/>
  <c r="J67" i="10"/>
  <c r="J66" i="10"/>
  <c r="J65" i="10"/>
  <c r="J64" i="10"/>
  <c r="J63" i="10"/>
  <c r="J62" i="10"/>
  <c r="J61" i="10"/>
  <c r="J60" i="10"/>
  <c r="J59" i="10"/>
  <c r="J58" i="10"/>
  <c r="J57" i="10"/>
  <c r="J56" i="10"/>
  <c r="J55" i="10"/>
  <c r="J54" i="10"/>
  <c r="J53" i="10"/>
  <c r="J52" i="10"/>
  <c r="J39" i="10"/>
  <c r="J38" i="10"/>
  <c r="J37" i="10"/>
  <c r="J36" i="10"/>
  <c r="J31" i="10"/>
  <c r="J30" i="10"/>
  <c r="J29" i="10"/>
  <c r="J28" i="10"/>
  <c r="J27" i="10"/>
  <c r="J26" i="10"/>
  <c r="J25" i="10"/>
  <c r="J24" i="10"/>
  <c r="J23" i="10"/>
  <c r="J22" i="10"/>
  <c r="J20" i="10"/>
  <c r="J19" i="10"/>
  <c r="J18" i="10"/>
  <c r="J17" i="10"/>
  <c r="J16" i="10"/>
  <c r="I54" i="6"/>
  <c r="L54" i="6" s="1"/>
  <c r="I53" i="6"/>
  <c r="L53" i="6" s="1"/>
  <c r="I52" i="6"/>
  <c r="L52" i="6" s="1"/>
  <c r="I51" i="6"/>
  <c r="L51" i="6" s="1"/>
  <c r="I50" i="6"/>
  <c r="L50" i="6" s="1"/>
  <c r="I49" i="6"/>
  <c r="L49" i="6" s="1"/>
  <c r="I48" i="6"/>
  <c r="L48" i="6" s="1"/>
  <c r="I47" i="6"/>
  <c r="L47" i="6" s="1"/>
  <c r="I46" i="6"/>
  <c r="L46" i="6" s="1"/>
  <c r="I45" i="6"/>
  <c r="L45" i="6" s="1"/>
  <c r="L34" i="14"/>
  <c r="I34" i="14"/>
  <c r="I27" i="6"/>
  <c r="L27" i="6" s="1"/>
  <c r="I26" i="6"/>
  <c r="L26" i="6" s="1"/>
  <c r="I25" i="6"/>
  <c r="L25" i="6" s="1"/>
  <c r="I24" i="6"/>
  <c r="L24" i="6" s="1"/>
  <c r="I23" i="6"/>
  <c r="L23" i="6" s="1"/>
  <c r="I22" i="6"/>
  <c r="L22" i="6" s="1"/>
  <c r="I21" i="6"/>
  <c r="L21" i="6" s="1"/>
  <c r="I20" i="6"/>
  <c r="L20" i="6" s="1"/>
  <c r="I19" i="6"/>
  <c r="L19" i="6" s="1"/>
  <c r="I18" i="6"/>
  <c r="L18" i="6" s="1"/>
  <c r="H33" i="6"/>
  <c r="G33" i="6"/>
  <c r="H6" i="6"/>
  <c r="G6" i="6"/>
  <c r="P41" i="13" l="1"/>
  <c r="P43" i="13"/>
  <c r="M34" i="14"/>
  <c r="P50" i="13"/>
  <c r="P57" i="13"/>
  <c r="P45" i="13"/>
  <c r="P55" i="13"/>
  <c r="P42" i="13"/>
  <c r="P39" i="13"/>
  <c r="G6" i="15"/>
  <c r="G12" i="15"/>
  <c r="L18" i="14"/>
  <c r="I18" i="14"/>
  <c r="K6" i="14"/>
  <c r="J6" i="14"/>
  <c r="H6" i="14"/>
  <c r="G6" i="14"/>
  <c r="M18" i="14" l="1"/>
  <c r="K22" i="14"/>
  <c r="J22" i="14"/>
  <c r="H22" i="14"/>
  <c r="G22" i="14"/>
  <c r="O28" i="13" l="1"/>
  <c r="L28" i="13"/>
  <c r="I28" i="13"/>
  <c r="O26" i="13"/>
  <c r="L26" i="13"/>
  <c r="I26" i="13"/>
  <c r="O21" i="13"/>
  <c r="L21" i="13"/>
  <c r="I21" i="13"/>
  <c r="O16" i="13"/>
  <c r="L16" i="13"/>
  <c r="I16" i="13"/>
  <c r="O14" i="13"/>
  <c r="L14" i="13"/>
  <c r="I14" i="13"/>
  <c r="O13" i="13"/>
  <c r="L13" i="13"/>
  <c r="I13" i="13"/>
  <c r="O12" i="13"/>
  <c r="L12" i="13"/>
  <c r="I12" i="13"/>
  <c r="I20" i="9"/>
  <c r="P26" i="13" l="1"/>
  <c r="P16" i="13"/>
  <c r="P14" i="13"/>
  <c r="P28" i="13"/>
  <c r="P21" i="13"/>
  <c r="P13" i="13"/>
  <c r="P12" i="13"/>
  <c r="O10" i="13"/>
  <c r="L10" i="13"/>
  <c r="I10" i="13"/>
  <c r="N35" i="13"/>
  <c r="M35" i="13"/>
  <c r="N6" i="13"/>
  <c r="M6" i="13"/>
  <c r="J35" i="13"/>
  <c r="J6" i="13"/>
  <c r="K35" i="13"/>
  <c r="K6" i="13"/>
  <c r="G35" i="13"/>
  <c r="G6" i="13"/>
  <c r="H50" i="12"/>
  <c r="H6" i="12"/>
  <c r="P10" i="13" l="1"/>
  <c r="H42" i="10"/>
  <c r="H6" i="10"/>
  <c r="I10" i="9"/>
  <c r="G16" i="9"/>
  <c r="G6" i="9"/>
  <c r="J33" i="6" l="1"/>
  <c r="J6" i="6"/>
  <c r="H6" i="13" l="1"/>
  <c r="H35" i="13"/>
  <c r="I6" i="12"/>
  <c r="I50" i="12"/>
  <c r="I6" i="10"/>
  <c r="I42" i="10"/>
  <c r="H6" i="9"/>
  <c r="H16" i="9"/>
  <c r="K33" i="6"/>
  <c r="K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Mauricio Ahumada (DBNeTCorp)</author>
  </authors>
  <commentList>
    <comment ref="I5" authorId="0" shapeId="0" xr:uid="{00000000-0006-0000-0100-000001000000}">
      <text>
        <r>
          <rPr>
            <b/>
            <sz val="9"/>
            <color indexed="81"/>
            <rFont val="Tahoma"/>
            <family val="2"/>
          </rPr>
          <t>Advertencia: se debe informar  tanto las subsidiarias directas como indirectas por sus valores individuales.</t>
        </r>
      </text>
    </comment>
    <comment ref="L5" authorId="0" shapeId="0" xr:uid="{00000000-0006-0000-0100-000002000000}">
      <text>
        <r>
          <rPr>
            <b/>
            <sz val="9"/>
            <color indexed="81"/>
            <rFont val="Tahoma"/>
            <family val="2"/>
          </rPr>
          <t>Advertencia: se debe informar  tanto las subsidiarias directas como indirectas por sus valores individuales.</t>
        </r>
      </text>
    </comment>
  </commentList>
</comments>
</file>

<file path=xl/sharedStrings.xml><?xml version="1.0" encoding="utf-8"?>
<sst xmlns="http://schemas.openxmlformats.org/spreadsheetml/2006/main" count="2614" uniqueCount="895">
  <si>
    <t xml:space="preserve"> </t>
  </si>
  <si>
    <t>ACT</t>
  </si>
  <si>
    <t>ANT</t>
  </si>
  <si>
    <r>
      <t xml:space="preserve">INSTRUCCIONES DE LLENADO
</t>
    </r>
    <r>
      <rPr>
        <sz val="10"/>
        <rFont val="Calibri"/>
        <family val="2"/>
      </rPr>
      <t xml:space="preserve">Esta dimensión puede ser extendida agregando columnas (miembros) adicionales a las definidas por taxonomía.
-Las columnas marcadas con línea punteada roja y con fondo verde indican las posiciones donde es posible agregar elementos.                                                                                                                                                                                                                                                                                             </t>
    </r>
    <r>
      <rPr>
        <sz val="10"/>
        <color indexed="10"/>
        <rFont val="Calibri"/>
        <family val="2"/>
      </rPr>
      <t xml:space="preserve">-Si se presiona el botón </t>
    </r>
    <r>
      <rPr>
        <b/>
        <sz val="10"/>
        <color indexed="10"/>
        <rFont val="Calibri"/>
        <family val="2"/>
      </rPr>
      <t>'Copiar Columna'</t>
    </r>
    <r>
      <rPr>
        <sz val="10"/>
        <color indexed="10"/>
        <rFont val="Calibri"/>
        <family val="2"/>
      </rPr>
      <t xml:space="preserve"> se copiará una columna  a la derecha de la columna actualmente seleccionada. </t>
    </r>
    <r>
      <rPr>
        <sz val="10"/>
        <rFont val="Calibri"/>
        <family val="2"/>
      </rPr>
      <t xml:space="preserve">
-Edite las columnas</t>
    </r>
    <r>
      <rPr>
        <b/>
        <sz val="10"/>
        <rFont val="Calibri"/>
        <family val="2"/>
      </rPr>
      <t xml:space="preserve"> coloreadas verde </t>
    </r>
    <r>
      <rPr>
        <sz val="10"/>
        <rFont val="Calibri"/>
        <family val="2"/>
      </rPr>
      <t xml:space="preserve">de acuerdo a sus necesidades.
-Las columnas verdes pueden ser editadas, eliminadas o duplicadas, así puede agregar mas detalle donde corresponda. Asegúrese de copiar la columna completa si desea duplicar un elemento (Se recomienda utilizar el botón 'Copiar Columna').
-Las columnas marcadas en plomo </t>
    </r>
    <r>
      <rPr>
        <b/>
        <sz val="10"/>
        <rFont val="Calibri"/>
        <family val="2"/>
      </rPr>
      <t>no deben ser editadas, eliminadas ni movidas.</t>
    </r>
  </si>
  <si>
    <t>Copiar Columna</t>
  </si>
  <si>
    <t>Elimine la(s) columna(s) en verde que no aplique(n) para usted</t>
  </si>
  <si>
    <t xml:space="preserve">      Información a revelar sobre juicios y suposiciones significativos realizados en relación a participaciones en otras entidades [bloque de texto]  </t>
  </si>
  <si>
    <t xml:space="preserve">      Información a revelar sobre la forma en que la entidad acumuló sus participaciones en entidades similares [bloque de texto]  </t>
  </si>
  <si>
    <t xml:space="preserve">      Información a revelar sobre participaciones en subsidiarias [bloque de texto]  </t>
  </si>
  <si>
    <t>Participaciones en otras entidades</t>
  </si>
  <si>
    <t xml:space="preserve">        Información a revelar sobre subsidiarias [bloque de texto]  </t>
  </si>
  <si>
    <t xml:space="preserve">          Información a revelar sobre subsidiarias [resumen]  </t>
  </si>
  <si>
    <t>Agregar columna opcional</t>
  </si>
  <si>
    <t xml:space="preserve">Total de la entidad por subsidiarias [miembro]  </t>
  </si>
  <si>
    <t xml:space="preserve"> Subsidiarias [miembro]  </t>
  </si>
  <si>
    <t xml:space="preserve">Subsidiarias con participaciones no controladoras de importancia relativa [miembro]  </t>
  </si>
  <si>
    <t xml:space="preserve">              Activos corrientes  [Número]</t>
  </si>
  <si>
    <t xml:space="preserve">              Activos no corrientes  [Número]</t>
  </si>
  <si>
    <t xml:space="preserve">              Pasivos corrientes  [Número]</t>
  </si>
  <si>
    <t xml:space="preserve">              Pasivos no corrientes  [Número]</t>
  </si>
  <si>
    <t xml:space="preserve">              Ingresos de actividades ordinarias  [Número]</t>
  </si>
  <si>
    <t xml:space="preserve">              Resultado integral  [Número]</t>
  </si>
  <si>
    <r>
      <t xml:space="preserve">              Nombre de la subsidiaria </t>
    </r>
    <r>
      <rPr>
        <b/>
        <sz val="9"/>
        <rFont val="Verdana"/>
        <family val="2"/>
      </rPr>
      <t xml:space="preserve"> [Texto]</t>
    </r>
  </si>
  <si>
    <r>
      <t xml:space="preserve">              Domicilio principal de la subsidiaria </t>
    </r>
    <r>
      <rPr>
        <b/>
        <sz val="9"/>
        <rFont val="Verdana"/>
        <family val="2"/>
      </rPr>
      <t xml:space="preserve"> [Texto]</t>
    </r>
  </si>
  <si>
    <r>
      <t xml:space="preserve">              Proporción de participaciones en la propiedad mantenidas por las participaciones no controladoras.</t>
    </r>
    <r>
      <rPr>
        <b/>
        <sz val="9"/>
        <rFont val="Verdana"/>
        <family val="2"/>
      </rPr>
      <t xml:space="preserve">  [Decimal entre 0 y 1]</t>
    </r>
  </si>
  <si>
    <r>
      <t xml:space="preserve">              Proporción de derechos de voto mantenidos por las participaciones no controladoras </t>
    </r>
    <r>
      <rPr>
        <b/>
        <sz val="9"/>
        <rFont val="Verdana"/>
        <family val="2"/>
      </rPr>
      <t xml:space="preserve"> [Decimal entre 0 y 1]</t>
    </r>
  </si>
  <si>
    <r>
      <t xml:space="preserve">              Ganancia (pérdida), atribuible a participaciones no controladoras</t>
    </r>
    <r>
      <rPr>
        <b/>
        <sz val="9"/>
        <rFont val="Verdana"/>
        <family val="2"/>
      </rPr>
      <t xml:space="preserve">  [Número]</t>
    </r>
  </si>
  <si>
    <r>
      <t xml:space="preserve">              Participaciones no controladoras </t>
    </r>
    <r>
      <rPr>
        <b/>
        <sz val="9"/>
        <rFont val="Verdana"/>
        <family val="2"/>
      </rPr>
      <t xml:space="preserve"> [Número]</t>
    </r>
  </si>
  <si>
    <r>
      <t xml:space="preserve">              Dividendos pagados a participaciones no controladoras</t>
    </r>
    <r>
      <rPr>
        <b/>
        <sz val="9"/>
        <rFont val="Verdana"/>
        <family val="2"/>
      </rPr>
      <t xml:space="preserve">  [Número]</t>
    </r>
  </si>
  <si>
    <r>
      <t xml:space="preserve">              Activos corrientes </t>
    </r>
    <r>
      <rPr>
        <b/>
        <sz val="9"/>
        <rFont val="Verdana"/>
        <family val="2"/>
      </rPr>
      <t xml:space="preserve"> [Número]</t>
    </r>
  </si>
  <si>
    <r>
      <t xml:space="preserve">              Activos no corrientes </t>
    </r>
    <r>
      <rPr>
        <b/>
        <sz val="9"/>
        <rFont val="Verdana"/>
        <family val="2"/>
      </rPr>
      <t xml:space="preserve"> [Número]</t>
    </r>
  </si>
  <si>
    <r>
      <t xml:space="preserve">              Pasivos corrientes  </t>
    </r>
    <r>
      <rPr>
        <b/>
        <sz val="9"/>
        <rFont val="Verdana"/>
        <family val="2"/>
      </rPr>
      <t>[Número]</t>
    </r>
  </si>
  <si>
    <r>
      <t xml:space="preserve">              Pasivos no corrientes  </t>
    </r>
    <r>
      <rPr>
        <b/>
        <sz val="9"/>
        <rFont val="Verdana"/>
        <family val="2"/>
      </rPr>
      <t>[Número]</t>
    </r>
  </si>
  <si>
    <r>
      <t xml:space="preserve">              Ingresos de actividades ordinarias  </t>
    </r>
    <r>
      <rPr>
        <b/>
        <sz val="9"/>
        <rFont val="Verdana"/>
        <family val="2"/>
      </rPr>
      <t>[Número]</t>
    </r>
  </si>
  <si>
    <r>
      <t xml:space="preserve">              Ganancia (pérdida)  </t>
    </r>
    <r>
      <rPr>
        <b/>
        <sz val="9"/>
        <rFont val="Verdana"/>
        <family val="2"/>
      </rPr>
      <t>[Número]</t>
    </r>
  </si>
  <si>
    <r>
      <t xml:space="preserve">              Resultado integral  </t>
    </r>
    <r>
      <rPr>
        <b/>
        <sz val="9"/>
        <rFont val="Verdana"/>
        <family val="2"/>
      </rPr>
      <t>[Número]</t>
    </r>
  </si>
  <si>
    <r>
      <t xml:space="preserve">              Fecha de terminación del periodo sobre el que se informa de los estados financieros de la subsidiaria </t>
    </r>
    <r>
      <rPr>
        <b/>
        <sz val="9"/>
        <rFont val="Verdana"/>
        <family val="2"/>
      </rPr>
      <t xml:space="preserve"> [yyyy-mm-dd]</t>
    </r>
  </si>
  <si>
    <r>
      <t xml:space="preserve">              Descripción de las razones de utilizar diferentes fechas de presentación o periodos sobre los que se informa para subsidiarias </t>
    </r>
    <r>
      <rPr>
        <b/>
        <sz val="9"/>
        <rFont val="Verdana"/>
        <family val="2"/>
      </rPr>
      <t xml:space="preserve"> [Texto]</t>
    </r>
  </si>
  <si>
    <t xml:space="preserve">Información a revelar sobre subsidiarias [resumen]  </t>
  </si>
  <si>
    <t xml:space="preserve">        Descripción de restricciones significativas sobre la capacidad de la entidad para acceder o utilizar activos y liquidar pasivos del grupo  [Texto]</t>
  </si>
  <si>
    <t xml:space="preserve">        Descripción de la naturaleza y medida en que derechos protectores de participaciones no controladoras pueden restringir de forma significativa la capacidad de la entidad para acceder o utilizar activos y liquidar pasivos del grupo  [Texto]</t>
  </si>
  <si>
    <t xml:space="preserve">        Información a revelar sobre entidades estructuradas consolidadas [bloque de texto]  </t>
  </si>
  <si>
    <t xml:space="preserve">          Información a revelar sobre entidades estructuradas consolidadas [resumen]  </t>
  </si>
  <si>
    <t xml:space="preserve">Total de la entidad por entidades estructuradas consolidadas [miembro]  </t>
  </si>
  <si>
    <t xml:space="preserve">Entidades estructuradas consolidadas [miembro]  </t>
  </si>
  <si>
    <t xml:space="preserve">              Descripción del tipo de respaldo proporcionado a entidades estructuradas sin tener una obligación contractual para hacerlo  [Texto]</t>
  </si>
  <si>
    <t xml:space="preserve">              Respaldo proporcionado a entidades estructuradas sin tener obligación contractual de hacerlo  [Número]</t>
  </si>
  <si>
    <t xml:space="preserve">              Descripción de las razones para respaldar entidades estructuradas sin tener una obligación contractual para hacerlo  [Texto]</t>
  </si>
  <si>
    <t xml:space="preserve">              Descripción de las intenciones de proporcionar apoyo a una entidad estructurada  [Texto]</t>
  </si>
  <si>
    <t>Descripción de las condiciones de acuerdos contractuales que podrían requerir que la controladora o subsidiarias proporcionen respaldo financiero a entidades estructuradas  [Texto]</t>
  </si>
  <si>
    <t>Descripción del tipo de respaldo proporcionado a entidades estructuradas sin tener una obligación contractual para hacerlo  [Texto]</t>
  </si>
  <si>
    <t>Respaldo proporcionado a entidades estructuradas sin tener obligación contractual de hacerlo  [Número]</t>
  </si>
  <si>
    <t>Descripción de las razones para respaldar entidades estructuradas sin tener una obligación contractual para hacerlo  [Texto]</t>
  </si>
  <si>
    <t>Explicación de los factores para llegar a la decisión de respaldar entidades estructuradas no consolidadas con anterioridad que da lugar a la obtención del control  [Texto]</t>
  </si>
  <si>
    <t>Descripción de las intenciones de proporcionar apoyo a una entidad estructurada  [Texto]</t>
  </si>
  <si>
    <t xml:space="preserve"> Información a revelar sobre entidades estructuradas consolidadas [resumen] </t>
  </si>
  <si>
    <t xml:space="preserve">        Información a revelar sobre el efecto de las variaciones en la participación de propiedad de la controladora en la subsidiaria que no dan lugar a la pérdida de control sobre el patrimonio atribuible a los propietarios de la controladora [bloque de texto]  </t>
  </si>
  <si>
    <t xml:space="preserve">        Descripción de la partida o partidas del resultado del periodo en la que se reconoce la ganancia (pérdida) cuando se pierde el control de la subsidiaria  [Texto]</t>
  </si>
  <si>
    <t xml:space="preserve">      Información a revelar sobre participaciones en asociadas [bloque de texto]  </t>
  </si>
  <si>
    <t xml:space="preserve">        Información a revelar sobre asociadas [bloque de texto]  </t>
  </si>
  <si>
    <t xml:space="preserve">          Información a revelar sobre asociadas [resumen]  </t>
  </si>
  <si>
    <t xml:space="preserve">  Información a revelar sobre asociadas [resumen] </t>
  </si>
  <si>
    <t xml:space="preserve">                    Asociadas que no son significativas de forma individual acumuladas [miembro]  </t>
  </si>
  <si>
    <t xml:space="preserve">                  Asociadas [miembro]  </t>
  </si>
  <si>
    <t xml:space="preserve">Total de la entidad por asociadas [miembro]  </t>
  </si>
  <si>
    <t xml:space="preserve">              Nombre de la asociada  [Texto]</t>
  </si>
  <si>
    <t xml:space="preserve">              Descripción de la naturaleza de la relación de la entidad con una asociada  [Texto]</t>
  </si>
  <si>
    <t xml:space="preserve">              Domicilio principal de la asociada  [Texto]</t>
  </si>
  <si>
    <t xml:space="preserve">              Dividendos recibidos  [Número]</t>
  </si>
  <si>
    <t xml:space="preserve">              Ganancia (pérdida) procedente de operaciones continuadas  [Número]</t>
  </si>
  <si>
    <t xml:space="preserve">              Ganancia (pérdida) procedente de operaciones discontinuadas  [Número]</t>
  </si>
  <si>
    <t xml:space="preserve">              Otro resultado integral  [Número]</t>
  </si>
  <si>
    <t xml:space="preserve">              Valor razonable de inversiones en asociadas cuando se publican los precios de cotización  [Número]</t>
  </si>
  <si>
    <t xml:space="preserve">              Inversiones contabilizadas utilizando el método de la participación  [Número]</t>
  </si>
  <si>
    <t xml:space="preserve">              Participación en las ganancias (pérdidas) de operaciones continuadas de asociadas y negocios conjuntos contabilizados utilizando el método de la participación  [Número]</t>
  </si>
  <si>
    <t xml:space="preserve">              Participación en las ganancias (pérdidas) de operaciones discontinuadas de asociadas y negocios conjuntos contabilizados utilizando el método de la participación  [Número]</t>
  </si>
  <si>
    <t xml:space="preserve">              Participación en otro resultado integral de asociadas y negocios conjuntos que se contabilicen utilizando el método de la participación, neto de impuestos  [Número]</t>
  </si>
  <si>
    <t xml:space="preserve">              Participación en el resultado integral total de asociadas y negocios conjuntos contabilizados utilizando el método de la participación  [Número]</t>
  </si>
  <si>
    <t xml:space="preserve">              Información a revelar sobre la conciliación de la información financiera resumida de asociadas contabilizadas utilizando el método de la participación con el importe en libros de la participación en la asociada [bloque de texto]  </t>
  </si>
  <si>
    <t xml:space="preserve">              Descripción de la naturaleza y alcance de restricciones significativas sobre transferencia de fondos a la entidad  [Texto]</t>
  </si>
  <si>
    <t xml:space="preserve">              Descripción de la razón para utilizar una fecha sobre la que se informa o un periodo diferente para una asociada  [Texto]</t>
  </si>
  <si>
    <t xml:space="preserve">              Porción de pérdidas de asociadas no reconocidas  [Número]</t>
  </si>
  <si>
    <t xml:space="preserve">              Porción de pérdidas de la asociada acumuladas no reconocidas  [Número]</t>
  </si>
  <si>
    <t xml:space="preserve">              Pasivos contingentes incurridos en relación con participaciones en asociadas  [Número]</t>
  </si>
  <si>
    <t xml:space="preserve">              Participación en pasivos contingentes de asociadas incurridos de forma conjunta con otros inversores  [Número]</t>
  </si>
  <si>
    <t xml:space="preserve">        Información a revelar sobre operaciones conjuntas [bloque de texto]  </t>
  </si>
  <si>
    <t xml:space="preserve">      Información a revelar sobre participaciones en acuerdos conjuntos [bloque de texto]  </t>
  </si>
  <si>
    <t xml:space="preserve">          Información a revelar sobre operaciones conjuntas [resumen]  </t>
  </si>
  <si>
    <t xml:space="preserve">Total de la entidad por operaciones conjuntas [miembro]  </t>
  </si>
  <si>
    <t xml:space="preserve">Operaciones conjuntas [miembro]  </t>
  </si>
  <si>
    <t xml:space="preserve">              Nombre de la operación conjunta  [Texto]</t>
  </si>
  <si>
    <t xml:space="preserve">              Descripción de la naturaleza de la relación de la entidad con una operación conjunta  [Texto]</t>
  </si>
  <si>
    <t xml:space="preserve">              Domicilio principal de la operación conjunta  [Texto]</t>
  </si>
  <si>
    <t xml:space="preserve">              Proporción de participaciones en la propiedad de operaciones conjuntas  [Decimal entre 0 y 1]</t>
  </si>
  <si>
    <t xml:space="preserve">              Proporción de derechos de voto mantenidos en operaciones conjuntas  [Decimal entre 0 y 1]</t>
  </si>
  <si>
    <t xml:space="preserve">        Información a revelar sobre negocios conjuntos [bloque de texto]  </t>
  </si>
  <si>
    <t xml:space="preserve">Total de la entidad por negocios conjuntos [miembro]  </t>
  </si>
  <si>
    <t xml:space="preserve">Negocios conjuntos [miembro]  </t>
  </si>
  <si>
    <t xml:space="preserve">Negocios conjuntos que no son significativos de forma individual acumulados [miembro]  </t>
  </si>
  <si>
    <t xml:space="preserve">          Información a revelar sobre negocios conjuntos [resumen]  </t>
  </si>
  <si>
    <t xml:space="preserve">              Nombre del negocio conjunto  [Texto]</t>
  </si>
  <si>
    <t xml:space="preserve">              Descripción de la naturaleza de la relación de la entidad con un negocio conjunto  [Texto]</t>
  </si>
  <si>
    <t xml:space="preserve">              Domicilio principal del negocio conjunto  [Texto]</t>
  </si>
  <si>
    <t xml:space="preserve">              Proporción de participaciones en la propiedad de negocios conjuntos  [Decimal entre 0 y 1]</t>
  </si>
  <si>
    <t xml:space="preserve">              Proporción de derechos de voto mantenidos en negocios conjuntos  [Decimal entre 0 y 1]</t>
  </si>
  <si>
    <t xml:space="preserve">              Descripción de si las inversiones en negocios conjuntos se miden utilizando el método de la participación o al valor razonable  [Texto]</t>
  </si>
  <si>
    <t xml:space="preserve">              Descripción de la base de preparación de la información financiera resumida de negocios conjuntos  [Texto]</t>
  </si>
  <si>
    <t xml:space="preserve">              Efectivo y equivalentes al efectivo  [Número]</t>
  </si>
  <si>
    <t xml:space="preserve">              Otros pasivos financieros corrientes  [Número]</t>
  </si>
  <si>
    <t xml:space="preserve">              Otros pasivos financieros no corrientes  [Número]</t>
  </si>
  <si>
    <t xml:space="preserve">              Gasto por depreciación y amortización  [Número]</t>
  </si>
  <si>
    <t xml:space="preserve">              Ingresos de actividades ordinarias procedentes de intereses  [Número]</t>
  </si>
  <si>
    <t xml:space="preserve">              Gastos por intereses  [Número]</t>
  </si>
  <si>
    <t xml:space="preserve">              Gasto por impuestos a las ganancias, operaciones continuadas  [Número]</t>
  </si>
  <si>
    <t xml:space="preserve">              Valor razonable de inversiones en negocios conjuntos para las que existen precios de mercado cotizados  [Número]</t>
  </si>
  <si>
    <t xml:space="preserve">              Información a revelar sobre la conciliación de la información financiera resumida de negocios conjuntos contabilizados utilizando el método de la participación con el importe en libros de la participación en el negocio conjunto [bloque de texto]  </t>
  </si>
  <si>
    <t xml:space="preserve">              Fecha al final del periodo sobre el que se informa de los estados financieros del negocio conjunto  [yyyy-mm-dd]</t>
  </si>
  <si>
    <t xml:space="preserve">              Descripción de la razón por la que se utiliza una fecha de presentación o un periodo sobre el que se informa diferente para negocios conjuntos  [Texto]</t>
  </si>
  <si>
    <t xml:space="preserve">              Participación en pérdidas de negocios conjuntos no reconocidas  [Número]</t>
  </si>
  <si>
    <t xml:space="preserve">              Participación no reconocida acumulada en pérdidas de negocios conjuntos  [Número]</t>
  </si>
  <si>
    <t xml:space="preserve">              Compromisos en relación con negocios conjuntos  [Número]</t>
  </si>
  <si>
    <t xml:space="preserve">              Pasivos contingentes incurridos por el participante en relación con participaciones en negocios conjuntos  [Número]</t>
  </si>
  <si>
    <t xml:space="preserve"> Información a revelar sobre negocios conjuntos [resumen]  </t>
  </si>
  <si>
    <t xml:space="preserve">      Información a revelar sobre participaciones en entidades estructuradas no consolidadas [bloque de texto]  </t>
  </si>
  <si>
    <t xml:space="preserve">        Información a revelar sobre entidades estructuradas no consolidadas [bloque de texto]  </t>
  </si>
  <si>
    <t xml:space="preserve">          Información a revelar sobre entidades estructuradas no consolidadas [resumen]  </t>
  </si>
  <si>
    <t xml:space="preserve"> Información a revelar sobre entidades estructuradas no consolidadas [resumen] </t>
  </si>
  <si>
    <t xml:space="preserve">Total de la entidad por entidades estructuradas no consolidadas [miembro]  </t>
  </si>
  <si>
    <t xml:space="preserve">Entidades estructuradas no consolidadas [miembro]  </t>
  </si>
  <si>
    <t xml:space="preserve">                    Vehículos de titulización [miembro]  </t>
  </si>
  <si>
    <t xml:space="preserve">                    Financiaciones garantizadas por activos [miembro]  </t>
  </si>
  <si>
    <t xml:space="preserve">                    Fondos de inversión [miembro]  </t>
  </si>
  <si>
    <t xml:space="preserve">              Información a revelar sobre participaciones en entidad estructurada [bloque de texto]  </t>
  </si>
  <si>
    <t xml:space="preserve">              Descripción de la forma en que la entidad determinó qué entidades estructuradas respaldó  [Texto]</t>
  </si>
  <si>
    <t xml:space="preserve">              Ingresos procedentes de entidades estructuradas  [Número]</t>
  </si>
  <si>
    <t xml:space="preserve">              Descripción de los tipos de ingreso procedentes de entidades estructuradas  [Texto]</t>
  </si>
  <si>
    <t xml:space="preserve">              Activos transferidos a entidades estructuradas, en el momento de la transferencia  [Número]</t>
  </si>
  <si>
    <t xml:space="preserve">              Activos reconocidos en los estados financieros de la entidad en relación con entidades estructuradas  [Número]</t>
  </si>
  <si>
    <t xml:space="preserve">              Pasivo reconocido en los estados financieros de la entidad en relación con entidades estructuradas  [Número]</t>
  </si>
  <si>
    <t xml:space="preserve">              Descripción de las partidas del estado de situación financiera en las que se reconocen los activos y pasivos reconocidos en relación con las entidades estructuradas  [Texto]</t>
  </si>
  <si>
    <t xml:space="preserve">              Máxima exposición a pérdidas por intereses en entidades estructuradas  [Número]</t>
  </si>
  <si>
    <t xml:space="preserve">              Información sobre la forma en que se determina la exposición máxima a pérdidas por participaciones en entidades estructuradas  [Texto]</t>
  </si>
  <si>
    <t xml:space="preserve">              Descripción del hecho y razón por la que la exposición máxima a pérdidas procedentes de participaciones en entidades estructuradas no puede cuantificarse  [Texto]</t>
  </si>
  <si>
    <t xml:space="preserve">              Descripción de la comparación entre activos y pasivos reconocidos en relación con entidades estructuradas y la exposición máxima a pérdidas por participaciones en entidades estructuradas  [Texto]</t>
  </si>
  <si>
    <t xml:space="preserve">              Información adicional sobre la naturaleza de los riesgos asociados con participaciones en entidades estructuradas y cambios en dichos riesgos [bloque de texto]  </t>
  </si>
  <si>
    <t xml:space="preserve">                Descripción de las condiciones de acuerdos contractuales que podrían requerir que la controladora o subsidiarias proporcionen respaldo financiero a entidades estructuradas  [Texto]</t>
  </si>
  <si>
    <t xml:space="preserve">                Pérdidas incurridas en relación a participaciones en entidades estructuradas  [Número]</t>
  </si>
  <si>
    <t xml:space="preserve">                Descripción de si se requiere que la entidad absorba pérdidas de entidades estructuradas antes que otras partes  [Texto]</t>
  </si>
  <si>
    <t xml:space="preserve">                Límite máximo de pérdidas de entidades estructuradas que se requiere que la entidad absorba antes que otras partes  [Número]</t>
  </si>
  <si>
    <t xml:space="preserve">                Información a revelar sobre la prioridad e importes de las pérdidas potenciales en entidades estructuradas soportadas por las partes cuyas participaciones están priorizadas por debajo de las participaciones de la entidad [bloque de texto]  </t>
  </si>
  <si>
    <t xml:space="preserve">                Información a revelar sobre acuerdos de liquidez, garantías u otros compromisos con terceros que pueden afectar al valor razonable o riesgo de las participaciones en entidades estructuradas [bloque de texto]  </t>
  </si>
  <si>
    <t xml:space="preserve">                Descripción de dificultades experimentadas por entidades estructuradas en la financiación de sus actividades  [Texto]</t>
  </si>
  <si>
    <t xml:space="preserve">                Información a revelar sobre las forma de financiación de entidades estructuradas y su promedio ponderado de vida [bloque de texto]  </t>
  </si>
  <si>
    <t xml:space="preserve">      Descripción del hecho de que la entidad no tiene obligación legal o implícita sobre activos netos negativos, transición de la consolidación proporcional al método de la participación  [Texto]</t>
  </si>
  <si>
    <t xml:space="preserve">      Participación no reconocida acumulada en pérdidas de negocios conjuntos, transición de la consolidación proporcional al método de la participación  [Número]</t>
  </si>
  <si>
    <t xml:space="preserve">      Información a revelar sobre el desglose de los activos y pasivos acumulados en una sola partida del saldo de inversión, transición de la consolidación proporcional al método de la participación [bloque de texto]  </t>
  </si>
  <si>
    <t xml:space="preserve">      Información a revelar sobre la conciliación entre inversiones dadas de baja en cuentas y activos y pasivos reconocidos, transición del método de la participación a la contabilización de activos y pasivos [bloque de texto]  </t>
  </si>
  <si>
    <t xml:space="preserve">      Información a revelar sobre la conciliación entre inversiones dadas de baja en cuentas y activos y pasivos reconocidos, transición de la contabilización de inversiones al costo o de acuerdo con la NIIF 9 a la contabilización de activos y pasivos [bloque de texto]  </t>
  </si>
  <si>
    <r>
      <t xml:space="preserve">                  Descripción de las razones de utilizar diferentes fechas de presentación o periodos sobre los que se informa para subsidiarias </t>
    </r>
    <r>
      <rPr>
        <b/>
        <sz val="9"/>
        <rFont val="Verdana"/>
        <family val="2"/>
      </rPr>
      <t xml:space="preserve"> [Texto]</t>
    </r>
  </si>
  <si>
    <t xml:space="preserve">    Información a revelar sobre participaciones en otras entidades [bloque de texto]  </t>
  </si>
  <si>
    <t xml:space="preserve">        Descripción de los juicios significativos y suposiciones realizadas para determinar que la entidad no controla otra entidad aun cuando mantenga más de la mitad de los derechos de voto [Texto]</t>
  </si>
  <si>
    <t xml:space="preserve">        Descripción de los juicios significativos y suposiciones realizadas para determinar que la entidad controla otra entidad aun cuando mantenga menos de la mitad de los derechos de voto [Texto]</t>
  </si>
  <si>
    <t xml:space="preserve">        Descripción de juicios y suposiciones significativas realizadas para determinar que la entidad es un agente o un principal [Texto]</t>
  </si>
  <si>
    <t xml:space="preserve">        Descripción de las razones por las que se rechaza la presunción de que un inversor no tiene influencia significativa cuando su participación en la entidad participada es superior al veinte por ciento [Texto]</t>
  </si>
  <si>
    <t xml:space="preserve">        Descripción de las razones por las que se rechaza la presunción de que un inversor no tiene influencia significativa cuando su participación en la entidad participada es inferior al veinte por ciento [Texto]</t>
  </si>
  <si>
    <t xml:space="preserve">        Información a revelar sobre la composición del grupo [bloque de texto]  </t>
  </si>
  <si>
    <t xml:space="preserve">      Información a revelar sobre entidades de inversión [bloque de texto]  </t>
  </si>
  <si>
    <t xml:space="preserve">        Información sobre juicios significativos y suposiciones realizadas para determinar que esa entidad es entidad de inversión [Texto]</t>
  </si>
  <si>
    <t xml:space="preserve">        Descripción de las razones para concluir que la entidad es una entidad de inversión si no tiene una o más características típicas [Texto]</t>
  </si>
  <si>
    <t xml:space="preserve">        Descripción de cambios en el estatus de la entidad de inversión [Texto]</t>
  </si>
  <si>
    <t xml:space="preserve">        Descripción de las razones de cambios en el estatus de la entidad de inversión [Texto]</t>
  </si>
  <si>
    <t xml:space="preserve">        Información a revelar del efecto del cambio de estatus de una entidad de inversión sobre los estados financieros [bloque de texto]  </t>
  </si>
  <si>
    <t xml:space="preserve">          Valor razonable de subsidiarias que dejan de consolidarse en la fecha del cambio de estatus de entidad de inversión [Número]</t>
  </si>
  <si>
    <t xml:space="preserve">          Ganancia (pérdida) por cese de consolidación de subsidiarias debido al cambio de estatus de entidad de inversión [Número]</t>
  </si>
  <si>
    <t xml:space="preserve">          Descripción de las partidas del resultado en las que se reconoce la ganancia (pérdida) por el cese de consolidación de subsidiarias [Texto]</t>
  </si>
  <si>
    <t xml:space="preserve">        Declaración de que se requiere que una entidad de inversión aplique una excepción de consolidación [Texto]</t>
  </si>
  <si>
    <t xml:space="preserve">        Información a revelar sobre subsidiarias no consolidadas [bloque de texto]  </t>
  </si>
  <si>
    <t xml:space="preserve">        Información a revelar sobre entidades estructuradas no consolidadas controladas por una entidad de inversión [bloque de texto]  </t>
  </si>
  <si>
    <t xml:space="preserve">                    Subsidiarias no consolidadas que una entidad de inversión controla de forma directa [miembro]  </t>
  </si>
  <si>
    <t xml:space="preserve">                    Subsidiarias no consolidadas controladas por subsidiarias de entidad de inversión [miembro]  </t>
  </si>
  <si>
    <t xml:space="preserve">                  Subsidiarias no consolidadas [miembro]  </t>
  </si>
  <si>
    <t xml:space="preserve">          Información a revelar sobre subsidiarias no consolidadas [resumen]  </t>
  </si>
  <si>
    <t xml:space="preserve">              Nombre de la subsidiaria [Texto]</t>
  </si>
  <si>
    <t xml:space="preserve">              Domicilio principal de la subsidiaria [Texto]</t>
  </si>
  <si>
    <t xml:space="preserve">              Proporción de participaciones en la propiedad en subsidiarias [Porcentaje]</t>
  </si>
  <si>
    <t xml:space="preserve">              Proporción de derechos de voto mantenidos en subsidiarias [Porcentaje]</t>
  </si>
  <si>
    <t xml:space="preserve">              Descripción de la naturaleza y alcance de restricciones significativas sobre transferencia de fondos a la entidad [Texto]</t>
  </si>
  <si>
    <t xml:space="preserve">              Descripción de los compromisos actuales o intenciones de proporcionar apoyo a una subsidiaria [Texto]</t>
  </si>
  <si>
    <t xml:space="preserve">              Descripción del tipo de apoyo proporcionado a una subsidiaria por la entidad de inversión o sus subsidiarias sin tener obligación contractual de hacerlo [Texto]</t>
  </si>
  <si>
    <t xml:space="preserve">              Apoyo proporcionado a una subsidiaria por la entidad de inversión o sus subsidiarias sin tener obligación contractual de hacerlo [Número]</t>
  </si>
  <si>
    <t xml:space="preserve">              Descripción de las razones para proporcionar apoyo a una subsidiaria por una entidad de inversión o sus subsidiarias sin tener obligación contractual de hacerlo [Texto]</t>
  </si>
  <si>
    <t xml:space="preserve">              Descripción de los términos de acuerdos contractuales que podrían requerir que una entidad de inversión o sus subsidiarias proporcione apoyo financiero a una entidad estructurada no consolidada controlada por la entidad de inversión [Texto]</t>
  </si>
  <si>
    <t xml:space="preserve">              Explicación de los factores relevantes para alcanzar la decisión de proporcionar apoyo que dio lugar al control de una entidad estructurada no consolidada [Texto]</t>
  </si>
  <si>
    <t xml:space="preserve">          Información a revelar sobre entidades estructuradas no consolidadas controladas por una entidad de inversión [resumen]  </t>
  </si>
  <si>
    <t xml:space="preserve">                Entidades estructuradas no consolidadas controladas por entidad de inversión [miembro]  </t>
  </si>
  <si>
    <t>Total de entidad por subsidiarias no consolidadas [miembro]</t>
  </si>
  <si>
    <t>ABW: Aruba</t>
  </si>
  <si>
    <t>AFG: Afghanistan</t>
  </si>
  <si>
    <t>AGO: Angola</t>
  </si>
  <si>
    <t>AIA: Anguilla</t>
  </si>
  <si>
    <t>ALB: Albania</t>
  </si>
  <si>
    <t>AND: Andorra</t>
  </si>
  <si>
    <t>ARE: United Arab Emirates (the)</t>
  </si>
  <si>
    <t>ARG: Argentina</t>
  </si>
  <si>
    <t>ARM: Armenia</t>
  </si>
  <si>
    <t>ASM: American Samoa</t>
  </si>
  <si>
    <t>ATA: Antarctica</t>
  </si>
  <si>
    <t>ATF: French Southern Territories (the)</t>
  </si>
  <si>
    <t>ATG: Antigua and Barbuda</t>
  </si>
  <si>
    <t>AUS: Australia</t>
  </si>
  <si>
    <t>AUT: Austria</t>
  </si>
  <si>
    <t>AZE: Azerbaijan</t>
  </si>
  <si>
    <t>BDI: Burundi</t>
  </si>
  <si>
    <t>BEL: Belgium</t>
  </si>
  <si>
    <t>BEN: Benin</t>
  </si>
  <si>
    <t>BES: Bonaire, Sint Eustatius and Saba</t>
  </si>
  <si>
    <t>BFA: Burkina Faso</t>
  </si>
  <si>
    <t>BGD: Bangladesh</t>
  </si>
  <si>
    <t>BGR: Bulgaria</t>
  </si>
  <si>
    <t>BHR: Bahrain</t>
  </si>
  <si>
    <t>BHS: Bahamas (the)</t>
  </si>
  <si>
    <t>BIH: Bosnia and Herzegovina</t>
  </si>
  <si>
    <t>BLR: Belarus</t>
  </si>
  <si>
    <t>BLZ: Belize</t>
  </si>
  <si>
    <t>BMU: Bermuda</t>
  </si>
  <si>
    <t>BOL: Bolivia, Plurinational State of</t>
  </si>
  <si>
    <t>BRA: Brazil</t>
  </si>
  <si>
    <t>BRB: Barbados</t>
  </si>
  <si>
    <t>BRN: Brunei Darussalam</t>
  </si>
  <si>
    <t>BTN: Bhutan</t>
  </si>
  <si>
    <t>BVT: Bouvet Island</t>
  </si>
  <si>
    <t>BWA: Botswana</t>
  </si>
  <si>
    <t>CAF: Central African Republic (the)</t>
  </si>
  <si>
    <t>CAN: Canada</t>
  </si>
  <si>
    <t>CCK: Cocos (Keeling) Islands (the)</t>
  </si>
  <si>
    <t>CHE: Switzerland</t>
  </si>
  <si>
    <t>CHL: Chile</t>
  </si>
  <si>
    <t>CHN: China</t>
  </si>
  <si>
    <t>CMR: Cameroon</t>
  </si>
  <si>
    <t>COD: Congo (the Democratic Republic of the)</t>
  </si>
  <si>
    <t>COG: Congo</t>
  </si>
  <si>
    <t>COK: Cook Islands (the)</t>
  </si>
  <si>
    <t>COL: Colombia</t>
  </si>
  <si>
    <t>COM: Comoros</t>
  </si>
  <si>
    <t>CPV: Cabo Verde</t>
  </si>
  <si>
    <t>CRI: Costa Rica</t>
  </si>
  <si>
    <t>CUB: Cuba</t>
  </si>
  <si>
    <t>CXR: Christmas Island</t>
  </si>
  <si>
    <t>CYM: Cayman Islands (the)</t>
  </si>
  <si>
    <t>CYP: Cyprus</t>
  </si>
  <si>
    <t>CZE: Czech Republic (the)</t>
  </si>
  <si>
    <t>DEU: Germany</t>
  </si>
  <si>
    <t>DJI: Djibouti</t>
  </si>
  <si>
    <t>DMA: Dominica</t>
  </si>
  <si>
    <t>DNK: Denmark</t>
  </si>
  <si>
    <t>DOM: Dominican Republic (the)</t>
  </si>
  <si>
    <t>DZA: Algeria</t>
  </si>
  <si>
    <t>ECU: Ecuador</t>
  </si>
  <si>
    <t>EGY: Egypt</t>
  </si>
  <si>
    <t>ERI: Eritrea</t>
  </si>
  <si>
    <t>ESP: Spain</t>
  </si>
  <si>
    <t>EST: Estonia</t>
  </si>
  <si>
    <t>ETH: Ethiopia</t>
  </si>
  <si>
    <t>FIN: Finland</t>
  </si>
  <si>
    <t>FJI: Fiji</t>
  </si>
  <si>
    <t>FLK: Falkland Islands (the) [Malvinas]</t>
  </si>
  <si>
    <t>FRA: France</t>
  </si>
  <si>
    <t>FRO: Faroe Islands (the)</t>
  </si>
  <si>
    <t>FSM: Micronesia (the Federated States of)</t>
  </si>
  <si>
    <t>GAB: Gabon</t>
  </si>
  <si>
    <t>GBR: United Kingdom (the)</t>
  </si>
  <si>
    <t>GEO: Georgia</t>
  </si>
  <si>
    <t>GGY: Guernsey</t>
  </si>
  <si>
    <t>GHA: Ghana</t>
  </si>
  <si>
    <t>GIB: Gibraltar</t>
  </si>
  <si>
    <t>GIN: Guinea</t>
  </si>
  <si>
    <t>GLP: Guadeloupe</t>
  </si>
  <si>
    <t>GMB: Gambia (The)</t>
  </si>
  <si>
    <t>GNB: Guinea-Bissau</t>
  </si>
  <si>
    <t>GNQ: Equatorial Guinea</t>
  </si>
  <si>
    <t>GRC: Greece</t>
  </si>
  <si>
    <t>GRD: Grenada</t>
  </si>
  <si>
    <t>GRL: Greenland</t>
  </si>
  <si>
    <t>GTM: Guatemala</t>
  </si>
  <si>
    <t>GUF: French Guiana</t>
  </si>
  <si>
    <t>GUM: Guam</t>
  </si>
  <si>
    <t>GUY: Guyana</t>
  </si>
  <si>
    <t>HKG: Hong Kong</t>
  </si>
  <si>
    <t>HMD: Heard Island and McDonald Islands</t>
  </si>
  <si>
    <t>HND: Honduras</t>
  </si>
  <si>
    <t>HRV: Croatia</t>
  </si>
  <si>
    <t>HTI: Haiti</t>
  </si>
  <si>
    <t>HUN: Hungary</t>
  </si>
  <si>
    <t>IDN: Indonesia</t>
  </si>
  <si>
    <t>IMN: Isle of Man</t>
  </si>
  <si>
    <t>IND: India</t>
  </si>
  <si>
    <t>IOT: British Indian Ocean Territory (the)</t>
  </si>
  <si>
    <t>IRL: Ireland</t>
  </si>
  <si>
    <t>IRN: Iran (the Islamic Republic of)</t>
  </si>
  <si>
    <t>IRQ: Iraq</t>
  </si>
  <si>
    <t>ISL: Iceland</t>
  </si>
  <si>
    <t>ISR: Israel</t>
  </si>
  <si>
    <t>ITA: Italy</t>
  </si>
  <si>
    <t>JAM: Jamaica</t>
  </si>
  <si>
    <t>JEY: Jersey</t>
  </si>
  <si>
    <t>JOR: Jordan</t>
  </si>
  <si>
    <t>JPN: Japan</t>
  </si>
  <si>
    <t>KAZ: Kazakhstan</t>
  </si>
  <si>
    <t>KEN: Kenya</t>
  </si>
  <si>
    <t>KGZ: Kyrgyzstan</t>
  </si>
  <si>
    <t>KHM: Cambodia</t>
  </si>
  <si>
    <t>KIR: Kiribati</t>
  </si>
  <si>
    <t>KNA: Saint Kitts and Nevis</t>
  </si>
  <si>
    <t>KOR: Korea (the Republic of)</t>
  </si>
  <si>
    <t>KWT: Kuwait</t>
  </si>
  <si>
    <t>LAO: Lao People's Democratic Republic (the)</t>
  </si>
  <si>
    <t>LBN: Lebanon</t>
  </si>
  <si>
    <t>LBR: Liberia</t>
  </si>
  <si>
    <t>LBY: Libya</t>
  </si>
  <si>
    <t>LCA: Saint Lucia</t>
  </si>
  <si>
    <t>LIE: Liechtenstein</t>
  </si>
  <si>
    <t>LKA: Sri Lanka</t>
  </si>
  <si>
    <t>LSO: Lesotho</t>
  </si>
  <si>
    <t>LTU: Lithuania</t>
  </si>
  <si>
    <t>LUX: Luxembourg</t>
  </si>
  <si>
    <t>LVA: Latvia</t>
  </si>
  <si>
    <t>MAC: Macao</t>
  </si>
  <si>
    <t>MAF: Saint Martin (French part)</t>
  </si>
  <si>
    <t>MAR: Morocco</t>
  </si>
  <si>
    <t>MCO: Monaco</t>
  </si>
  <si>
    <t>MDA: Moldova (the Republic of)</t>
  </si>
  <si>
    <t>MDG: Madagascar</t>
  </si>
  <si>
    <t>MDV: Maldives</t>
  </si>
  <si>
    <t>MEX: Mexico</t>
  </si>
  <si>
    <t>MHL: Marshall Islands (the)</t>
  </si>
  <si>
    <t>MKD: Macedonia (the former Yugoslav Republic of)</t>
  </si>
  <si>
    <t>MLI: Mali</t>
  </si>
  <si>
    <t>MLT: Malta</t>
  </si>
  <si>
    <t>MMR: Myanmar</t>
  </si>
  <si>
    <t>MNE: Montenegro</t>
  </si>
  <si>
    <t>MNG: Mongolia</t>
  </si>
  <si>
    <t>MNP: Northern Mariana Islands (the)</t>
  </si>
  <si>
    <t>MOZ: Mozambique</t>
  </si>
  <si>
    <t>MRT: Mauritania</t>
  </si>
  <si>
    <t>MSR: Montserrat</t>
  </si>
  <si>
    <t>MTQ: Martinique</t>
  </si>
  <si>
    <t>MUS: Mauritius</t>
  </si>
  <si>
    <t>MWI: Malawi</t>
  </si>
  <si>
    <t>MYS: Malaysia</t>
  </si>
  <si>
    <t>MYT: Mayotte</t>
  </si>
  <si>
    <t>NAM: Namibia</t>
  </si>
  <si>
    <t>NCL: New Caledonia</t>
  </si>
  <si>
    <t>NER: Niger (the)</t>
  </si>
  <si>
    <t>NFK: Norfolk Island</t>
  </si>
  <si>
    <t>NGA: Nigeria</t>
  </si>
  <si>
    <t>NIC: Nicaragua</t>
  </si>
  <si>
    <t>NIU: Niue</t>
  </si>
  <si>
    <t>NLD: Netherlands (the)</t>
  </si>
  <si>
    <t>NOR: Norway</t>
  </si>
  <si>
    <t>NPL: Nepal</t>
  </si>
  <si>
    <t>NRU: Nauru</t>
  </si>
  <si>
    <t>NZL: New Zealand</t>
  </si>
  <si>
    <t>OMN: Oman</t>
  </si>
  <si>
    <t>PAK: Pakistan</t>
  </si>
  <si>
    <t>PAN: Panama</t>
  </si>
  <si>
    <t>PCN: Pitcairn</t>
  </si>
  <si>
    <t>PER: Peru</t>
  </si>
  <si>
    <t>PHL: Philippines (the)</t>
  </si>
  <si>
    <t>PLW: Palau</t>
  </si>
  <si>
    <t>PNG: Papua New Guinea</t>
  </si>
  <si>
    <t>POL: Poland</t>
  </si>
  <si>
    <t>PRI: Puerto Rico</t>
  </si>
  <si>
    <t>PRK: Korea (the Democratic People's Republic of)</t>
  </si>
  <si>
    <t>PRT: Portugal</t>
  </si>
  <si>
    <t>PRY: Paraguay</t>
  </si>
  <si>
    <t>PSE: Palestine, State of</t>
  </si>
  <si>
    <t>PYF: French Polynesia</t>
  </si>
  <si>
    <t>QAT: Qatar</t>
  </si>
  <si>
    <t>ROU: Romania</t>
  </si>
  <si>
    <t>RUS: Russian Federation (the)</t>
  </si>
  <si>
    <t>RWA: Rwanda</t>
  </si>
  <si>
    <t>SAU: Saudi Arabia</t>
  </si>
  <si>
    <t>SDN: Sudan (the)</t>
  </si>
  <si>
    <t>SEN: Senegal</t>
  </si>
  <si>
    <t>SGP: Singapore</t>
  </si>
  <si>
    <t>SGS: South Georgia and the South Sandwich Islands</t>
  </si>
  <si>
    <t>SHN: Saint Helena, Ascension and Tristan da Cunha</t>
  </si>
  <si>
    <t>SJM: Svalbard and Jan Mayen</t>
  </si>
  <si>
    <t>SLB: Solomon Islands (the)</t>
  </si>
  <si>
    <t>SLE: Sierra Leone</t>
  </si>
  <si>
    <t>SLV: El Salvador</t>
  </si>
  <si>
    <t>SMR: San Marino</t>
  </si>
  <si>
    <t>SOM: Somalia</t>
  </si>
  <si>
    <t>SPM: Saint Pierre and Miquelon</t>
  </si>
  <si>
    <t>SRB: Serbia</t>
  </si>
  <si>
    <t>SSD: South Sudan</t>
  </si>
  <si>
    <t>STP: Sao Tome and Principe</t>
  </si>
  <si>
    <t>SUR: Suriname</t>
  </si>
  <si>
    <t>SVK: Slovakia</t>
  </si>
  <si>
    <t>SVN: Slovenia</t>
  </si>
  <si>
    <t>SWE: Sweden</t>
  </si>
  <si>
    <t>SXM: Sint Maarten (Dutch part)</t>
  </si>
  <si>
    <t>SYC: Seychelles</t>
  </si>
  <si>
    <t>SYR: Syrian Arab Republic (the)</t>
  </si>
  <si>
    <t>TCA: Turks and Caicos Islands (the)</t>
  </si>
  <si>
    <t>TCD: Chad</t>
  </si>
  <si>
    <t>TGO: Togo</t>
  </si>
  <si>
    <t>THA: Thailand</t>
  </si>
  <si>
    <t>TJK: Tajikistan</t>
  </si>
  <si>
    <t>TKL: Tokelau</t>
  </si>
  <si>
    <t>TKM: Turkmenistan</t>
  </si>
  <si>
    <t>TLS: Timor-Leste</t>
  </si>
  <si>
    <t>TON: Tonga</t>
  </si>
  <si>
    <t>TTO: Trinidad and Tobago</t>
  </si>
  <si>
    <t>TUN: Tunisia</t>
  </si>
  <si>
    <t>TUR: Turkey</t>
  </si>
  <si>
    <t>TUV: Tuvalu</t>
  </si>
  <si>
    <t>TWN: Taiwan (Province of China)</t>
  </si>
  <si>
    <t>TZA: Tanzania, United Republic of</t>
  </si>
  <si>
    <t>UGA: Uganda</t>
  </si>
  <si>
    <t>UKR: Ukraine</t>
  </si>
  <si>
    <t>UMI: United States Minor Outlying Islands (the)</t>
  </si>
  <si>
    <t>URY: Uruguay</t>
  </si>
  <si>
    <t>UZB: Uzbekistan</t>
  </si>
  <si>
    <t>VAT: Holy See (the) [Vatican City State]</t>
  </si>
  <si>
    <t>VCT: Saint Vincent and the Grenadines</t>
  </si>
  <si>
    <t>VGB: Virgin Islands (British)</t>
  </si>
  <si>
    <t>VIR: Virgin Islands (U.S.)</t>
  </si>
  <si>
    <t>VNM: Viet Nam</t>
  </si>
  <si>
    <t>VUT: Vanuatu</t>
  </si>
  <si>
    <t>WLF: Wallis and Futuna</t>
  </si>
  <si>
    <t>WSM: Samoa</t>
  </si>
  <si>
    <t>YEM: Yemen</t>
  </si>
  <si>
    <t>ZAF: South Africa</t>
  </si>
  <si>
    <t>ZMB: Zambia</t>
  </si>
  <si>
    <t>ZWE: Zimbabwe</t>
  </si>
  <si>
    <t xml:space="preserve">              Fecha de terminación del periodo sobre el que se informa de los estados financieros de la asociada   [yyyy-mm-dd]</t>
  </si>
  <si>
    <t xml:space="preserve">              Fecha de terminación del periodo sobre el que se informa de los estados financieros de la asociada  [yyyy-mm-dd]</t>
  </si>
  <si>
    <t>Trimestre acumulado año actual</t>
  </si>
  <si>
    <t>Trimestre acumulado año anterior</t>
  </si>
  <si>
    <t>Último trimestre año actual</t>
  </si>
  <si>
    <t>Último trimestre año anterior</t>
  </si>
  <si>
    <t>Cierre periodo año actual</t>
  </si>
  <si>
    <t>Cierre periodo año anterior</t>
  </si>
  <si>
    <t>SI</t>
  </si>
  <si>
    <t>Cargar hoja:</t>
  </si>
  <si>
    <t>full_ifrs-cor_2015-03-11.xsd#ifrs-full_DisclosureOfInterestsInOtherEntitiesExplanatory</t>
  </si>
  <si>
    <t>full_ifrs-cor_2015-03-11.xsd#ifrs-full_DisclosureOfSignificantJudgementsAndAssumptionsMadeInRelationToInterestsInOtherEntitiesExplanatory</t>
  </si>
  <si>
    <t>full_ifrs-cor_2015-03-11.xsd#ifrs-full_DescriptionOfReasonWhyEntityWithMoreThanHalfOfVotingPowerDirectlyOrIndirectlyOwnedWhichIsNotSubsidiaryDueToAbsenceOfControl</t>
  </si>
  <si>
    <t>full_ifrs-cor_2015-03-11.xsd#ifrs-full_DescriptionOfNatureOfRelationshipWithSubsidiaryWhereParentHasDirectlyOrIndirectlyLessThanHalfOfVotingPower</t>
  </si>
  <si>
    <t>full_ifrs-cor_2015-03-11.xsd#ifrs-full_DescriptionOfSignificantJudgementsAndAssumptionsMadeInDeterminingThatEntityIsAgentOrPrincipal</t>
  </si>
  <si>
    <t>full_ifrs-cor_2015-03-11.xsd#ifrs-full_DescriptionOfReasonsWhyPresumptionThatInterestOfMoreThanTwentyPerCentInAssociateIsOvercome</t>
  </si>
  <si>
    <t>full_ifrs-cor_2015-03-11.xsd#ifrs-full_DescriptionOfReasonsWhyPresumptionThatInterestOfLessThanTwentyPerCentInAssociateIsOvercome</t>
  </si>
  <si>
    <t>full_ifrs-cor_2015-03-11.xsd#ifrs-full_DisclosureOfHowEntityAggregatedInterestsInSimilarEntitiesExplanatory</t>
  </si>
  <si>
    <t>full_ifrs-cor_2015-03-11.xsd#ifrs-full_DisclosureOfInterestsInSubsidiariesExplanatory</t>
  </si>
  <si>
    <t>full_ifrs-cor_2015-03-11.xsd#ifrs-full_DisclosureOfCompositionOfGroupExplanatory</t>
  </si>
  <si>
    <t>full_ifrs-cor_2015-03-11.xsd#ifrs-full_DisclosureOfSignificantInvestmentsInSubsidiariesExplanatory</t>
  </si>
  <si>
    <t>full_ifrs-cor_2015-03-11.xsd#ifrs-full_DescriptionOfSignificantRestrictionsOnEntitysAbilityToAccessOrUseAssetsAndSettleLiabilitiesOfGroup</t>
  </si>
  <si>
    <t>full_ifrs-cor_2015-03-11.xsd#ifrs-full_DescriptionOfNatureAndExtentToWhichProtectiveRightsOfNoncontrollingInterestsCanSignificantlyRestrictEntitysAbilityToAccessOrUseAssetsAndSettleLiabilitiesOfGroup</t>
  </si>
  <si>
    <t>full_ifrs-cor_2015-03-11.xsd#ifrs-full_AssetsToWhichSignificantRestrictionsApply</t>
  </si>
  <si>
    <t>full_ifrs-cor_2015-03-11.xsd#ifrs-full_LiabilitiesToWhichSignificantRestrictionsApply</t>
  </si>
  <si>
    <t>full_ifrs-cor_2015-03-11.xsd#ifrs-full_DisclosureOfInformationAboutConsolidatedStructuredEntitiesExplanatory</t>
  </si>
  <si>
    <t>full_ifrs-cor_2015-03-11.xsd#ifrs-full_DisclosureOfEffectsOfChangesInParentsOwnershipInterestInSubsidiaryThatDoNotResultInLossOfControlOnEquityAttributableToOwnersOfParentExplanatory</t>
  </si>
  <si>
    <t>full_ifrs-cor_2015-03-11.xsd#ifrs-full_IncreaseDecreaseThroughChangesInOwnershipInterestsInSubsidiariesThatDoNotResultInLossOfControlEquityAttributableToOwnersOfParent</t>
  </si>
  <si>
    <t>full_ifrs-cor_2015-03-11.xsd#ifrs-full_GainsLossesRecognisedWhenControlInSubsidiaryIsLost</t>
  </si>
  <si>
    <t>full_ifrs-cor_2015-03-11.xsd#ifrs-full_PortionOfGainsLossesRecognisedWhenControlOfSubsidiaryIsLostAttributableToRecognisingInvestmentRetainedInFormerSubsidiary</t>
  </si>
  <si>
    <t>full_ifrs-cor_2015-03-11.xsd#ifrs-full_ExplanationOfGainsLossesRecognisedWhenControlInSubsidiaryIsLost</t>
  </si>
  <si>
    <t>full_ifrs-cor_2015-03-11.xsd#ifrs-full_DisclosureOfInterestsInAssociatesExplanatory</t>
  </si>
  <si>
    <t>full_ifrs-cor_2015-03-11.xsd#ifrs-full_DisclosureOfSignificantInvestmentsInAssociatesExplanatory</t>
  </si>
  <si>
    <t>full_ifrs-cor_2015-03-11.xsd#ifrs-full_DisclosureOfInterestsInJointArrangementsExplanatory</t>
  </si>
  <si>
    <t>full_ifrs-cor_2015-03-11.xsd#ifrs-full_DisclosureOfJointOperationsExplanatory</t>
  </si>
  <si>
    <t>full_ifrs-cor_2015-03-11.xsd#ifrs-full_DisclosureOfJointVenturesExplanatory</t>
  </si>
  <si>
    <t>full_ifrs-cor_2015-03-11.xsd#ifrs-full_DisclosureOfInterestsInUnconsolidatedStructuredEntitiesExplanatory</t>
  </si>
  <si>
    <t>full_ifrs-cor_2015-03-11.xsd#ifrs-full_DisclosureOfUnconsolidatedStructuredEntitiesExplanatory</t>
  </si>
  <si>
    <t>full_ifrs-cor_2015-03-11.xsd#ifrs-full_DisclosureOfInvestmentEntitiesExplanatory</t>
  </si>
  <si>
    <t>full_ifrs-cor_2015-03-11.xsd#ifrs-full_InformationAboutSignificantJudgementsAndAssumptionsMadeInDeterminingThatEntityIsInvestmentEntity</t>
  </si>
  <si>
    <t>full_ifrs-cor_2015-03-11.xsd#ifrs-full_DescriptionOfReasonsForConcludingThatEntityIsInvestmentEntityIfItDoesNotHaveOneOrMoreTypicalCharacteristics</t>
  </si>
  <si>
    <t>full_ifrs-cor_2015-03-11.xsd#ifrs-full_DescriptionOfChangeOfInvestmentEntityStatus</t>
  </si>
  <si>
    <t>full_ifrs-cor_2015-03-11.xsd#ifrs-full_DescriptionOfReasonsForChangeOfInvestmentEntityStatus</t>
  </si>
  <si>
    <t>full_ifrs-cor_2015-03-11.xsd#ifrs-full_DisclosureOfEffectOfChangeOfInvestmentEntityStatusOnFinancialStatementsExplanatory</t>
  </si>
  <si>
    <t>full_ifrs-cor_2015-03-11.xsd#ifrs-full_FairValueOfSubsidiariesThatCeaseToBeConsolidatedAsOfDateOfChangeOfInvestmentEntityStatus</t>
  </si>
  <si>
    <t>full_ifrs-cor_2015-03-11.xsd#ifrs-full_GainLossOnCessationOfConsolidationOfSubsidiariesDueToChangeOfInvestmentEntityStatus</t>
  </si>
  <si>
    <t>full_ifrs-cor_2015-03-11.xsd#ifrs-full_DescriptionOfLineItemsInProfitOrLossInWhichGainLossOnCessationOfConsolidationOfSubsidiariesIsRecognised</t>
  </si>
  <si>
    <t>full_ifrs-cor_2015-03-11.xsd#ifrs-full_StatementThatInvestmentEntityIsRequiredToApplyExceptionFromConsolidation</t>
  </si>
  <si>
    <t>full_ifrs-cor_2015-03-11.xsd#ifrs-full_DisclosureOfInformationAboutUnconsolidatedSubsidiariesExplanatory</t>
  </si>
  <si>
    <t>full_ifrs-cor_2015-03-11.xsd#ifrs-full_DisclosureOfInformationAboutUnconsolidatedStructuredEntitiesControlledByInvestmentEntityExplanatory</t>
  </si>
  <si>
    <t>full_ifrs-cor_2015-03-11.xsd#ifrs-full_DescriptionOfFactThatEntityDoesNotHaveLegalOrConstructiveObligationToNegativeNetAssetsTransitionFromProportionateConsolidationToEquityMethod</t>
  </si>
  <si>
    <t>full_ifrs-cor_2015-03-11.xsd#ifrs-full_CumulativeUnrecognisedShareOfLossesOfJointVenturesTransitionFromProportionateConsolidationToEquityMethod</t>
  </si>
  <si>
    <t>full_ifrs-cor_2015-03-11.xsd#ifrs-full_DisclosureOfBreakdownOfAssetsAndLiabilitiesAggregatedIntoSingleLineInvestmentBalanceTransitionFromProportionateConsolidationToEquityMethodExplanatory</t>
  </si>
  <si>
    <t>full_ifrs-cor_2015-03-11.xsd#ifrs-full_DisclosureOfReconciliationBetweenInvestmentDerecognisedAndAssetsAndLiabilitiesRecognisedTransitionFromEquityMethodToAccountingForAssetsAndLiabilitiesExplanatory</t>
  </si>
  <si>
    <t>full_ifrs-cor_2015-03-11.xsd#ifrs-full_DisclosureOfReconciliationBetweenInvestmentDerecognisedAndAssetsAndLiabilitiesRecognisedTransitionFromAccountingForInvestmentAtCostOrInAccordanceWithIFRS9ToAccountingForAssetsAndLiabilitiesExplanatory</t>
  </si>
  <si>
    <t>full_ifrs-cor_2015-03-11.xsd#ifrs-full_SubsidiariesWithMaterialNoncontrollingInterestsMember</t>
  </si>
  <si>
    <t>full_ifrs-cor_2015-03-11.xsd#ifrs-full_SubsidiariesMember</t>
  </si>
  <si>
    <t>full_ifrs-cor_2015-03-11.xsd#ifrs-full_EntitysTotalForSubsidiariesMember</t>
  </si>
  <si>
    <t>full_ifrs-cor_2015-03-11.xsd#ifrs-full_NameOfSubsidiary</t>
  </si>
  <si>
    <t>full_ifrs-cor_2015-03-11.xsd#ifrs-full_PrincipalPlaceOfBusinessOfSubsidiary</t>
  </si>
  <si>
    <t>full_ifrs-cor_2015-03-11.xsd#ifrs-full_ProportionOfOwnershipInterestsHeldByNoncontrollingInterests</t>
  </si>
  <si>
    <t>full_ifrs-cor_2015-03-11.xsd#ifrs-full_ProportionOfVotingRightsHeldByNoncontrollingInterests</t>
  </si>
  <si>
    <t>full_ifrs-cor_2015-03-11.xsd#ifrs-full_DividendsPaidToNoncontrollingInterests</t>
  </si>
  <si>
    <t>full_ifrs-cor_2015-03-11.xsd#ifrs-full_DateOfEndOfReportingPeriodOfFinancialStatementsOfSubsidiary</t>
  </si>
  <si>
    <t>full_ifrs-cor_2015-03-11.xsd#ifrs-full_DescriptionOfReasonWhyUsingDifferentReportingDateOrPeriodForSubsidiary</t>
  </si>
  <si>
    <t>full_ifrs-cor_2015-03-11.xsd#ifrs-full_ConsolidatedStructuredEntitiesMember</t>
  </si>
  <si>
    <t>full_ifrs-cor_2015-03-11.xsd#ifrs-full_EntitysTotalForConsolidatedStructuredEntitiesMember</t>
  </si>
  <si>
    <t>full_ifrs-cor_2015-03-11.xsd#ifrs-full_DescriptionOfTermsOfContractualArrangementsThatCouldRequireParentOrSubsidiariesToProvideFinancialSupportToStructuredEntity</t>
  </si>
  <si>
    <t>full_ifrs-cor_2015-03-11.xsd#ifrs-full_DescriptionOfTypeOfSupportProvidedToStructuredEntityWithoutHavingContractualObligationToDoSo</t>
  </si>
  <si>
    <t>full_ifrs-cor_2015-03-11.xsd#ifrs-full_SupportProvidedToStructuredEntityWithoutHavingContractualObligationToDoSo</t>
  </si>
  <si>
    <t>full_ifrs-cor_2015-03-11.xsd#ifrs-full_DescriptionOfReasonsForProvidingSupportToStructuredEntityWithoutHavingContractualObligationToDoSo</t>
  </si>
  <si>
    <t>full_ifrs-cor_2015-03-11.xsd#ifrs-full_ExplanationOfFactorsInReachingDecisionThatProvisionOfSupportToPreviouslyUnconsolidatedStructuredEntityResultedInObtainingControl</t>
  </si>
  <si>
    <t>full_ifrs-cor_2015-03-11.xsd#ifrs-full_DescriptionOfIntentionsToProvideSupportToStructuredEntity</t>
  </si>
  <si>
    <t>full_ifrs-cor_2015-03-11.xsd#ifrs-full_AggregatedIndividuallyImmaterialAssociatesMember</t>
  </si>
  <si>
    <t>full_ifrs-cor_2015-03-11.xsd#ifrs-full_AssociatesMember</t>
  </si>
  <si>
    <t>full_ifrs-cor_2015-03-11.xsd#ifrs-full_EntitysTotalForAssociatesMember</t>
  </si>
  <si>
    <t>full_ifrs-cor_2015-03-11.xsd#ifrs-full_NameOfAssociate</t>
  </si>
  <si>
    <t>full_ifrs-cor_2015-03-11.xsd#ifrs-full_DescriptionOfNatureOfEntitysRelationshipWithAssociate</t>
  </si>
  <si>
    <t>full_ifrs-cor_2015-03-11.xsd#ifrs-full_PrincipalPlaceOfBusinessOfAssociate</t>
  </si>
  <si>
    <t>full_ifrs-cor_2015-03-11.xsd#ifrs-full_ProportionOfOwnershipInterestInAssociate</t>
  </si>
  <si>
    <t>full_ifrs-cor_2015-03-11.xsd#ifrs-full_ProportionOfVotingPowerHeldInAssociate</t>
  </si>
  <si>
    <t>full_ifrs-cor_2015-03-11.xsd#ifrs-full_DescriptionOfWhetherInvestmentInAssociateIsMeasuredUsingEquityMethodOrAtFairValue</t>
  </si>
  <si>
    <t>full_ifrs-cor_2015-03-11.xsd#ifrs-full_DescriptionOfBasisOfPreparationOfSummarisedFinancialInformationOfAssociate</t>
  </si>
  <si>
    <t>full_ifrs-cor_2015-03-11.xsd#ifrs-full_DividendsReceived</t>
  </si>
  <si>
    <t>full_ifrs-cor_2015-03-11.xsd#ifrs-full_FairValueOfInvestmentsInAssociatesWherePriceQuotationsPublished</t>
  </si>
  <si>
    <t>full_ifrs-cor_2015-03-11.xsd#ifrs-full_ShareOfProfitLossOfContinuingOperationsOfAssociatesAndJointVenturesAccountedForUsingEquityMethod</t>
  </si>
  <si>
    <t>full_ifrs-cor_2015-03-11.xsd#ifrs-full_ShareOfProfitLossOfDiscontinuedOperationsOfAssociatesAndJointVenturesAccountedForUsingEquityMethod</t>
  </si>
  <si>
    <t>full_ifrs-cor_2015-03-11.xsd#ifrs-full_ShareOfOtherComprehensiveIncomeOfAssociatesAndJointVenturesAccountedForUsingEquityMethod</t>
  </si>
  <si>
    <t>full_ifrs-cor_2015-03-11.xsd#ifrs-full_ShareOfTotalComprehensiveIncomeOfAssociatesAndJointVenturesAccountedForUsingEquityMethod</t>
  </si>
  <si>
    <t>full_ifrs-cor_2015-03-11.xsd#ifrs-full_DisclosureOfReconciliationOfSummarisedFinancialInformationOfAssociateAccountedForUsingEquityMethodToCarryingAmountOfInterestInAssociateExplanatory</t>
  </si>
  <si>
    <t>full_ifrs-cor_2015-03-11.xsd#ifrs-full_DescriptionOfNatureAndExtentOfSignificantRestrictionsOnTransferOfFundsToParent</t>
  </si>
  <si>
    <t>full_ifrs-cor_2015-03-11.xsd#ifrs-full_DateOfEndOfReportingPeriodOfFinancialStatementsOfAssociate</t>
  </si>
  <si>
    <t>full_ifrs-cor_2015-03-11.xsd#ifrs-full_DescriptionOfReasonWhyUsingDifferentReportingDateOrPeriodForAssociate</t>
  </si>
  <si>
    <t>full_ifrs-cor_2015-03-11.xsd#ifrs-full_UnrecognisedShareOfLossesOfAssociates</t>
  </si>
  <si>
    <t>full_ifrs-cor_2015-03-11.xsd#ifrs-full_CumulativeUnrecognisedShareOfLossesOfAssociates</t>
  </si>
  <si>
    <t>full_ifrs-cor_2015-03-11.xsd#ifrs-full_ContingentLiabilitiesIncurredInRelationToInterestsInAssociates</t>
  </si>
  <si>
    <t>full_ifrs-cor_2015-03-11.xsd#ifrs-full_ShareOfContingentLiabilitiesOfAssociatesIncurredJointlyWithOtherInvestors</t>
  </si>
  <si>
    <t>full_ifrs-cor_2015-03-11.xsd#ifrs-full_JointOperationsMember</t>
  </si>
  <si>
    <t>full_ifrs-cor_2015-03-11.xsd#ifrs-full_EntitysTotalForJointOperationsMember</t>
  </si>
  <si>
    <t>full_ifrs-cor_2015-03-11.xsd#ifrs-full_NameOfJointOperation</t>
  </si>
  <si>
    <t>full_ifrs-cor_2015-03-11.xsd#ifrs-full_DescriptionOfNatureOfEntitysRelationshipWithJointOperation</t>
  </si>
  <si>
    <t>full_ifrs-cor_2015-03-11.xsd#ifrs-full_PrincipalPlaceOfBusinessOfJointOperation</t>
  </si>
  <si>
    <t>full_ifrs-cor_2015-03-11.xsd#ifrs-full_ProportionOfOwnershipInterestInJointOperation</t>
  </si>
  <si>
    <t>full_ifrs-cor_2015-03-11.xsd#ifrs-full_ProportionOfVotingRightsHeldInJointOperation</t>
  </si>
  <si>
    <t>full_ifrs-cor_2015-03-11.xsd#ifrs-full_AggregatedIndividuallyImmaterialJointVenturesMember</t>
  </si>
  <si>
    <t>full_ifrs-cor_2015-03-11.xsd#ifrs-full_JointVenturesMember</t>
  </si>
  <si>
    <t>full_ifrs-cor_2015-03-11.xsd#ifrs-full_EntitysTotalForJointVenturesMember</t>
  </si>
  <si>
    <t>full_ifrs-cor_2015-03-11.xsd#ifrs-full_NameOfJointVenture</t>
  </si>
  <si>
    <t>full_ifrs-cor_2015-03-11.xsd#ifrs-full_DescriptionOfNatureOfEntitysRelationshipWithJointVenture</t>
  </si>
  <si>
    <t>full_ifrs-cor_2015-03-11.xsd#ifrs-full_PrincipalPlaceOfBusinessOfJointVenture</t>
  </si>
  <si>
    <t>full_ifrs-cor_2015-03-11.xsd#ifrs-full_ProportionOfOwnershipInterestInJointVenture</t>
  </si>
  <si>
    <t>full_ifrs-cor_2015-03-11.xsd#ifrs-full_ProportionOfVotingRightsHeldInJointVenture</t>
  </si>
  <si>
    <t>full_ifrs-cor_2015-03-11.xsd#ifrs-full_DescriptionOfWhetherInvestmentInJointVentureIsMeasuredUsingEquityMethodOrAtFairValue</t>
  </si>
  <si>
    <t>full_ifrs-cor_2015-03-11.xsd#ifrs-full_DescriptionOfBasisOfPreparationOfSummarisedFinancialInformationOfJointVenture</t>
  </si>
  <si>
    <t>full_ifrs-cor_2015-03-11.xsd#ifrs-full_FairValueOfInvestmentInJointVenturesWherePriceQuotationsPublished</t>
  </si>
  <si>
    <t>full_ifrs-cor_2015-03-11.xsd#ifrs-full_DisclosureOfReconciliationOfSummarisedFinancialInformationOfJointVentureAccountedForUsingEquityMethodToCarryingAmountOfInterestInJointVentureExplanatory</t>
  </si>
  <si>
    <t>full_ifrs-cor_2015-03-11.xsd#ifrs-full_DescriptionOfReasonWhyUsingDifferentReportingDateOrPeriodForJointVenture</t>
  </si>
  <si>
    <t>full_ifrs-cor_2015-03-11.xsd#ifrs-full_UnrecognisedShareOfLossesOfJointVentures</t>
  </si>
  <si>
    <t>full_ifrs-cor_2015-03-11.xsd#ifrs-full_CumulativeUnrecognisedShareOfLossesOfJointVentures</t>
  </si>
  <si>
    <t>full_ifrs-cor_2015-03-11.xsd#ifrs-full_CommitmentsInRelationToJointVentures</t>
  </si>
  <si>
    <t>full_ifrs-cor_2015-03-11.xsd#ifrs-full_ContingentLiabilitiesIncurredByVenturerInRelationToInterestsInJointVentures</t>
  </si>
  <si>
    <t>full_ifrs-cor_2015-03-11.xsd#ifrs-full_ShareOfContingentLiabilitiesIncurredJointlyWithOtherVenturers</t>
  </si>
  <si>
    <t>full_ifrs-cor_2015-03-11.xsd#ifrs-full_SecuritisationVehiclesMember</t>
  </si>
  <si>
    <t>full_ifrs-cor_2015-03-11.xsd#ifrs-full_AssetbackedFinancingsMember</t>
  </si>
  <si>
    <t>full_ifrs-cor_2015-03-11.xsd#ifrs-full_InvestmentFundsMember</t>
  </si>
  <si>
    <t>full_ifrs-cor_2015-03-11.xsd#ifrs-full_UnconsolidatedStructuredEntitiesMember</t>
  </si>
  <si>
    <t>full_ifrs-cor_2015-03-11.xsd#ifrs-full_EntitysTotalForUnconsolidatedStructuredEntitiesMember</t>
  </si>
  <si>
    <t>full_ifrs-cor_2015-03-11.xsd#ifrs-full_DisclosureOfInformationAboutInterestsInStructuredEntityExplanatory</t>
  </si>
  <si>
    <t>full_ifrs-cor_2015-03-11.xsd#ifrs-full_DescriptionOfHowEntityDeterminedWhichStructuredEntitiesItSponsored</t>
  </si>
  <si>
    <t>full_ifrs-cor_2015-03-11.xsd#ifrs-full_IncomeFromStructuredEntities</t>
  </si>
  <si>
    <t>full_ifrs-cor_2015-03-11.xsd#ifrs-full_DescriptionOfTypesOfIncomeFromStructuredEntities</t>
  </si>
  <si>
    <t>full_ifrs-cor_2015-03-11.xsd#ifrs-full_AssetsTransferredToStructuredEntitiesAtTimeOfTransfer</t>
  </si>
  <si>
    <t>full_ifrs-cor_2015-03-11.xsd#ifrs-full_AssetsRecognisedInEntitysFinancialStatementsInRelationToStructuredEntities</t>
  </si>
  <si>
    <t>full_ifrs-cor_2015-03-11.xsd#ifrs-full_LiabilitiesRecognisedInEntitysFinancialStatementsInRelationToStructuredEntities</t>
  </si>
  <si>
    <t>full_ifrs-cor_2015-03-11.xsd#ifrs-full_DescriptionOfLineItemsInStatementOfFinancialPositionInWhichAssetsAndLiabilitiesRecognisedInRelationToStructuredEntitiesAreRecognised</t>
  </si>
  <si>
    <t>full_ifrs-cor_2015-03-11.xsd#ifrs-full_MaximumExposureToLossFromInterestsInStructuredEntities</t>
  </si>
  <si>
    <t>full_ifrs-cor_2015-03-11.xsd#ifrs-full_InformationAboutHowMaximumExposureToLossFromInterestsInStructuredEntitiesIsDetermined</t>
  </si>
  <si>
    <t>full_ifrs-cor_2015-03-11.xsd#ifrs-full_DescriptionOfFactAndReasonsWhyMaximumExposureToLossFromInterestsInStructuredEntitiesCannotBeQuantified</t>
  </si>
  <si>
    <t>full_ifrs-cor_2015-03-11.xsd#ifrs-full_DescriptionOfComparisonBetweenAssetsAndLiabilitiesRecognisedInRelationToStructuredEntitiesAndMaximumExposureToLossFromInterestsInStructuredEntities</t>
  </si>
  <si>
    <t>full_ifrs-cor_2015-03-11.xsd#ifrs-full_AdditionalInformationAboutNatureOfAndChangesInRisksAssociatedWithInterestsInStructuredEntitiesExplanatory</t>
  </si>
  <si>
    <t>full_ifrs-cor_2015-03-11.xsd#ifrs-full_LossesIncurredInRelationToInterestsInStructuredEntities</t>
  </si>
  <si>
    <t>full_ifrs-cor_2015-03-11.xsd#ifrs-full_DescriptionOfWhetherEntityIsRequiredToAbsorbLossesOfStructuredEntitiesBeforeOtherParties</t>
  </si>
  <si>
    <t>full_ifrs-cor_2015-03-11.xsd#ifrs-full_MaximumLimitOfLossesOfStructuredEntitiesWhichEntityIsRequiredToAbsorbBeforeOtherParties</t>
  </si>
  <si>
    <t>full_ifrs-cor_2015-03-11.xsd#ifrs-full_DisclosureOfRankingAndAmountsOfPotentialLossesInStructuredEntitiesBorneByPartiesWhoseInterestsRankLowerThanEntitysInterestsExplanatory</t>
  </si>
  <si>
    <t>full_ifrs-cor_2015-03-11.xsd#ifrs-full_DisclosureOfInformationAboutLiquidityArrangementsGuaranteesOrOtherCommitmentsWithThirdPartiesThatMayAffectFairValueOrRiskOfInterestsInStructuredEntitiesExplanatory</t>
  </si>
  <si>
    <t>full_ifrs-cor_2015-03-11.xsd#ifrs-full_DescriptionOfDifficultiesStructuredEntityExperiencedInFinancingItsActivities</t>
  </si>
  <si>
    <t>full_ifrs-cor_2015-03-11.xsd#ifrs-full_DisclosureOfFormsOfFundingOfStructuredEntityAndTheirWeightedaverageLifeExplanatory</t>
  </si>
  <si>
    <t>full_ifrs-cor_2015-03-11.xsd#ifrs-full_UnconsolidatedSubsidiariesThatInvestmentEntityControlsDirectlyMember</t>
  </si>
  <si>
    <t>full_ifrs-cor_2015-03-11.xsd#ifrs-full_UnconsolidatedSubsidiariesControlledBySubsidiariesOfInvestmentEntityMember</t>
  </si>
  <si>
    <t>full_ifrs-cor_2015-03-11.xsd#ifrs-full_UnconsolidatedSubsidiariesMember</t>
  </si>
  <si>
    <t>full_ifrs-cor_2015-03-11.xsd#ifrs-full_EntitysTotalForUnconsolidatedSubsidiariesMember</t>
  </si>
  <si>
    <t>full_ifrs-cor_2015-03-11.xsd#ifrs-full_ProportionOfOwnershipInterestInSubsidiary</t>
  </si>
  <si>
    <t>full_ifrs-cor_2015-03-11.xsd#ifrs-full_ProportionOfVotingPowerHeldInSubsidiary</t>
  </si>
  <si>
    <t>full_ifrs-cor_2015-03-11.xsd#ifrs-full_DescriptionOfCurrentCommitmentsOrIntentionsToProvideSupportToSubsidiary</t>
  </si>
  <si>
    <t>full_ifrs-cor_2015-03-11.xsd#ifrs-full_DescriptionOfTypeOfSupportProvidedToSubsidiaryWithoutHavingContractualObligationToDoSo</t>
  </si>
  <si>
    <t>full_ifrs-cor_2015-03-11.xsd#ifrs-full_SupportProvidedToSubsidiaryWithoutHavingContractualObligationToDoSo</t>
  </si>
  <si>
    <t>full_ifrs-cor_2015-03-11.xsd#ifrs-full_DescriptionOfReasonsForProvidingSupportToSubsidiaryWithoutHavingContractualObligationToDoSo</t>
  </si>
  <si>
    <t>full_ifrs-cor_2015-03-11.xsd#ifrs-full_UnconsolidatedStructuredEntitiesControlledByInvestmentEntityMember</t>
  </si>
  <si>
    <t>full_ifrs-cor_2015-03-11.xsd#ifrs-full_DescriptionOfTermsOfContractualArrangementsThatCouldRequireInvestmentEntityOrItsSubsidiariesToProvideFinancialSupportToUnconsolidatedStructuredEntityControlledByInvestmentEntity</t>
  </si>
  <si>
    <t>full_ifrs-cor_2015-03-11.xsd#ifrs-full_ExplanationOfRelevantFactorsInReachingDecisionToProvideSupportThatResultedInControllingUnconsolidatedStructuredEntity</t>
  </si>
  <si>
    <t>cl-ci_cor_2016-01-11.xsd#cl-ci_GananciaPerdidaAtribuibleParticipacionesNoControladorasOtrasEntidades</t>
  </si>
  <si>
    <t>cl-ci_cor_2016-01-11.xsd#cl-ci_ParticipacionesNoControladorasOtrasEntidades</t>
  </si>
  <si>
    <t>cl-ci_cor_2016-01-11.xsd#cl-ci_ActivosCorrientesOtrasEntidades</t>
  </si>
  <si>
    <t>cl-ci_cor_2016-01-11.xsd#cl-ci_ActivosNoCorrientesOtrasEntidades</t>
  </si>
  <si>
    <t>cl-ci_cor_2016-01-11.xsd#cl-ci_PasivosCorrientesOtrasEntidades</t>
  </si>
  <si>
    <t>cl-ci_cor_2016-01-11.xsd#cl-ci_PasivosNoCorrientesOtrasEntidades</t>
  </si>
  <si>
    <t>cl-ci_cor_2016-01-11.xsd#cl-ci_IngresosActividadesOrdinariasOtrasEntidades</t>
  </si>
  <si>
    <t>cl-ci_cor_2016-01-11.xsd#cl-ci_GananciaPerdidaOtrasEntidades</t>
  </si>
  <si>
    <t>cl-ci_cor_2016-01-11.xsd#cl-ci_ResultadoIntegralOtrasEntidades</t>
  </si>
  <si>
    <t>cl-ci_cor_2016-01-11.xsd#cl-ci_GananciaPerdidaProcedenteOperacionesContinuadasOtrasEntidades</t>
  </si>
  <si>
    <t>cl-ci_cor_2016-01-11.xsd#cl-ci_GananciaPerdidaProcedenteOperacionesDiscontinuadasOtrasEntidades</t>
  </si>
  <si>
    <t>cl-ci_cor_2016-01-11.xsd#cl-ci_OtroResultadoIntegralOtrasEntidades</t>
  </si>
  <si>
    <t>cl-ci_cor_2016-01-11.xsd#cl-ci_InversionesContabilizadasUtilizandoMetodoParticipacionOtrasEntidades</t>
  </si>
  <si>
    <t>cl-ci_cor_2016-01-11.xsd#cl-ci_EfectivoEquivalentesEfectivoOtrasEntidades</t>
  </si>
  <si>
    <t>cl-ci_cor_2016-01-11.xsd#cl-ci_OtrosPasivosFinancierosCorrientesOtrasEntidades</t>
  </si>
  <si>
    <t>cl-ci_cor_2016-01-11.xsd#cl-ci_OtrosPasivosFinancierosNoCorrientesOtrasEntidades</t>
  </si>
  <si>
    <t>cl-ci_cor_2016-01-11.xsd#cl-ci_GastoDepreciacionAmortizacionOtrasEntidades</t>
  </si>
  <si>
    <t>cl-ci_cor_2016-01-11.xsd#cl-ci_IngresosActividadesOrdinariasProcedentesInteresesOtrasEntidades</t>
  </si>
  <si>
    <t>cl-ci_cor_2016-01-11.xsd#cl-ci_GastosPorInteresesOtrasEntidades</t>
  </si>
  <si>
    <t>cl-ci_cor_2016-01-11.xsd#cl-ci_GastoImpuestosGananciasOperacionesContinuadasOtrasEntidades</t>
  </si>
  <si>
    <t>cl-ci_cor_2016-01-11.xsd#cl-ci_DateOfEndOfReportingPeriodOfFinancialStatementsOfJointVenture</t>
  </si>
  <si>
    <t>DIMENUE</t>
  </si>
  <si>
    <t>DIMEAVA</t>
  </si>
  <si>
    <t>full_ifrs-cor_2015-03-11.xsd#ifrs-full_SignificantInvestmentsInSubsidiariesAxis</t>
  </si>
  <si>
    <t>full_ifrs-cor_2015-03-11.xsd#ifrs-full_DisclosureOfSignificantInvestmentsInSubsidiariesTable</t>
  </si>
  <si>
    <t>full_ifrs-cor_2015-03-11.xsd#ifrs-full_ConsolidatedStructuredEntitiesAxis</t>
  </si>
  <si>
    <t>full_ifrs-cor_2015-03-11.xsd#ifrs-full_DisclosureOfInformationAboutConsolidatedStructuredEntitiesTable</t>
  </si>
  <si>
    <t>full_ifrs-cor_2015-03-11.xsd#ifrs-full_SignificantInvestmentsInAssociatesAxis</t>
  </si>
  <si>
    <t>full_ifrs-cor_2015-03-11.xsd#ifrs-full_DisclosureOfSignificantInvestmentsInAssociatesTable</t>
  </si>
  <si>
    <t>full_ifrs-cor_2015-03-11.xsd#ifrs-full_JointOperationsAxis</t>
  </si>
  <si>
    <t>full_ifrs-cor_2015-03-11.xsd#ifrs-full_DisclosureOfJointOperationsTable</t>
  </si>
  <si>
    <t>full_ifrs-cor_2015-03-11.xsd#ifrs-full_JointVenturesAxis</t>
  </si>
  <si>
    <t>full_ifrs-cor_2015-03-11.xsd#ifrs-full_DisclosureOfJointVenturesTable</t>
  </si>
  <si>
    <t>full_ifrs-cor_2015-03-11.xsd#ifrs-full_UnconsolidatedStructuredEntitiesAxis</t>
  </si>
  <si>
    <t>full_ifrs-cor_2015-03-11.xsd#ifrs-full_DisclosureOfUnconsolidatedStructuredEntitiesTable</t>
  </si>
  <si>
    <t>full_ifrs-cor_2015-03-11.xsd#ifrs-full_UnconsolidatedSubsidiariesAxis</t>
  </si>
  <si>
    <t>full_ifrs-cor_2015-03-11.xsd#ifrs-full_DisclosureOfInformationAboutUnconsolidatedSubsidiariesTable</t>
  </si>
  <si>
    <t>full_ifrs-cor_2015-03-11.xsd#ifrs-full_UnconsolidatedStructuredEntitiesControlledByInvestmentEntityAxis</t>
  </si>
  <si>
    <t>full_ifrs-cor_2015-03-11.xsd#ifrs-full_DisclosureOfInformationAboutUnconsolidatedStructuredEntitiesControlledByInvestmentEntityTable</t>
  </si>
  <si>
    <t>ALA: Aland Islands</t>
  </si>
  <si>
    <t>BLM: Saint Barthelemy</t>
  </si>
  <si>
    <t>CIV: Cote d'Ivoire</t>
  </si>
  <si>
    <t>CUW: Curazao</t>
  </si>
  <si>
    <t>REU: Reunion</t>
  </si>
  <si>
    <t>VEN: Venezuela, Bolivarian Republic of</t>
  </si>
  <si>
    <t>full_ifrs-cor_2015-03-11.xsd#ifrs-full_IdentificationOfUnadjustedComparativeInformation</t>
  </si>
  <si>
    <t>full_ifrs-cor_2015-03-11.xsd#ifrs-full_StatementThatUnadjustedComparativeInformationHasBeenPreparedOnDifferentBasis</t>
  </si>
  <si>
    <t>full_ifrs-cor_2015-03-11.xsd#ifrs-full_ExplanationOfBasisOfPreparationOfUnadjustedComparativeInformation</t>
  </si>
  <si>
    <t>Identificación de información comparativa no ajustada [Texto]</t>
  </si>
  <si>
    <t>Declaración de que se ha preparado información comparativa sin ajustar sobre una base diferente [Texto]</t>
  </si>
  <si>
    <t>Explicación de la base de preparación de información comparativa no ajustada [Texto]</t>
  </si>
  <si>
    <t xml:space="preserve">              Parte de pasivos contingentes de negocios conjuntos incurridos de forma conjunta con otros inversores [Número]</t>
  </si>
  <si>
    <t xml:space="preserve">              Proporción de participaciones en la propiedad en asociadas  [Decimal entre 0 y 1] - Concepto Obligatorio</t>
  </si>
  <si>
    <t xml:space="preserve">              Proporción de derechos de voto mantenidos en asociadas  [Decimal entre 0 y 1] - Concepto Obligatorio</t>
  </si>
  <si>
    <t xml:space="preserve">              Descripción de si las inversiones en asociadas se miden utilizando el método de la participación o al valor razonable  [Texto] - Concepto Obligatorio</t>
  </si>
  <si>
    <t xml:space="preserve">              Descripción de la base de preparación de la información financiera resumida de asociadas  [Texto] - Concepto Obligatorio</t>
  </si>
  <si>
    <t xml:space="preserve">              Dividendos recibidos  [Número] - Concepto Obligatorio</t>
  </si>
  <si>
    <r>
      <t xml:space="preserve">              País de incorporación o residencia de la subsidiaria </t>
    </r>
    <r>
      <rPr>
        <b/>
        <sz val="9"/>
        <rFont val="Verdana"/>
        <family val="2"/>
      </rPr>
      <t xml:space="preserve"> [Lista Desplegable]</t>
    </r>
  </si>
  <si>
    <t xml:space="preserve">              País donde está constituida la asociada  [Lista Desplegable]</t>
  </si>
  <si>
    <t xml:space="preserve">              País donde está constituida la operación conjunta  [Lista Desplegable]</t>
  </si>
  <si>
    <t xml:space="preserve">              País donde está constituido el negocio conjunto  [Lista Desplegable]</t>
  </si>
  <si>
    <t xml:space="preserve">              País donde está constituida la subsidiaria [Lista Desplegable]</t>
  </si>
  <si>
    <t>cl-ci_cor_2019-01-02.xsd#cl-ci_CountryOfIncorporationOrResidenceOfSubsidiary</t>
  </si>
  <si>
    <t>cl-ci_cor_2019-01-02.xsd#cl-ci_CountryOfIncorporationOrResidenceOfAssociate</t>
  </si>
  <si>
    <t>cl-ci_cor_2019-01-02.xsd#cl-ci_CountryOfIncorporationOfJointOperation</t>
  </si>
  <si>
    <t>cl-ci_cor_2019-01-02.xsd#cl-ci_CountryOfIncorporationOfJointVenture</t>
  </si>
  <si>
    <t>cl-ci_cor_2016-01-11.xsd#cl-ci_RutSubsidiaria</t>
  </si>
  <si>
    <t>cl-ci_cor_2019-01-02.xsd#cl-ci_MonedaFuncionalSubsidiaria</t>
  </si>
  <si>
    <t>cl-ci_cor_2016-01-11.xsd#cl-ci_PorcentajeParticipacionDirecta</t>
  </si>
  <si>
    <t>cl-ci_cor_2016-01-11.xsd#cl-ci_PorcentajeParticipacionIndirecta</t>
  </si>
  <si>
    <t xml:space="preserve">                  Porcentaje de participación indirecta [Decimal]</t>
  </si>
  <si>
    <t xml:space="preserve">                  Porcentaje de participación directa [Decimal]</t>
  </si>
  <si>
    <t xml:space="preserve">              Proporción de participaciones en la propiedad en subsidiarias [Decimal]</t>
  </si>
  <si>
    <t xml:space="preserve">              Moneda funcional [Lista]</t>
  </si>
  <si>
    <t xml:space="preserve">              Rut subsidiaria [Texto]</t>
  </si>
  <si>
    <t>AED: UAE Dirham</t>
  </si>
  <si>
    <t>AFN: Afghani</t>
  </si>
  <si>
    <t>ALL: Lek</t>
  </si>
  <si>
    <t>AMD: Armenian Dram</t>
  </si>
  <si>
    <t>ANG: Netherlands Antillean Guilder</t>
  </si>
  <si>
    <t>AOA: Kwanza</t>
  </si>
  <si>
    <t>ARS: Argentine Peso</t>
  </si>
  <si>
    <t>AUD: Australian Dollar</t>
  </si>
  <si>
    <t>AWG: Aruban Florin</t>
  </si>
  <si>
    <t>AZN: Azerbaijanian Manat</t>
  </si>
  <si>
    <t>BAM: Convertible Mark</t>
  </si>
  <si>
    <t>BBD: Barbados Dollar</t>
  </si>
  <si>
    <t>BDT: Taka</t>
  </si>
  <si>
    <t>BGN: Bulgarian Lev</t>
  </si>
  <si>
    <t>BHD: Bahraini Dinar</t>
  </si>
  <si>
    <t>BIF: Burundi Franc</t>
  </si>
  <si>
    <t>BMD: Bermudian Dollar</t>
  </si>
  <si>
    <t>BND: Brunei Dollar</t>
  </si>
  <si>
    <t>BOB: Boliviano</t>
  </si>
  <si>
    <t>BOV: Mvdol</t>
  </si>
  <si>
    <t>BRL: Brazilian Real</t>
  </si>
  <si>
    <t>BSD: Bahamian Dollar</t>
  </si>
  <si>
    <t>BTN: Ngultrum</t>
  </si>
  <si>
    <t>BWP: Pula</t>
  </si>
  <si>
    <t>BYN: Belarussian Ruble</t>
  </si>
  <si>
    <t>BZD: Belize Dollar</t>
  </si>
  <si>
    <t>CAD: Canadian Dollar</t>
  </si>
  <si>
    <t>CDF: Congolese Franc</t>
  </si>
  <si>
    <t>CHE: WIR Euro</t>
  </si>
  <si>
    <t>CHF: Swiss Franc</t>
  </si>
  <si>
    <t>CHW: WIR Franc</t>
  </si>
  <si>
    <t>CLF: Unidad de Fomento</t>
  </si>
  <si>
    <t>CLP: Chilean Peso</t>
  </si>
  <si>
    <t>CNY: Yuan Renminbi</t>
  </si>
  <si>
    <t>COP: Colombian Peso</t>
  </si>
  <si>
    <t>COU: Unidad de Valor Real</t>
  </si>
  <si>
    <t>CRC: Costa Rican Colon</t>
  </si>
  <si>
    <t>CUC: Peso Convertible</t>
  </si>
  <si>
    <t>CUP: Cuban Peso</t>
  </si>
  <si>
    <t>CVE: Cabo Verde Escudo</t>
  </si>
  <si>
    <t>CZK: Czech Koruna</t>
  </si>
  <si>
    <t>DJF: Djibouti Franc</t>
  </si>
  <si>
    <t>DKK: Danish Krone</t>
  </si>
  <si>
    <t>DOP: Dominican Peso</t>
  </si>
  <si>
    <t>DZD: Algerian Dinar</t>
  </si>
  <si>
    <t>EGP: Egyptian Pound</t>
  </si>
  <si>
    <t>ERN: Nakfa</t>
  </si>
  <si>
    <t>ETB: Ethiopian Birr</t>
  </si>
  <si>
    <t>EUR: Euro</t>
  </si>
  <si>
    <t>FJD: Fiji Dollar</t>
  </si>
  <si>
    <t>FKP: Falkland Islands Pound</t>
  </si>
  <si>
    <t>GBP: Pound Sterling</t>
  </si>
  <si>
    <t>GEL: Lari</t>
  </si>
  <si>
    <t>GHS: Ghana Cedi</t>
  </si>
  <si>
    <t>GIP: Gibraltar Pound</t>
  </si>
  <si>
    <t>GMD: Dalasi</t>
  </si>
  <si>
    <t>GNF: Guinea Franc</t>
  </si>
  <si>
    <t>GTQ: Quetzal</t>
  </si>
  <si>
    <t>GYD: Dólar guyanés</t>
  </si>
  <si>
    <t>HKD: Hong Kong Dollar</t>
  </si>
  <si>
    <t>HNL: Lempira</t>
  </si>
  <si>
    <t>HRK: Kuna</t>
  </si>
  <si>
    <t>HTG: Gourde</t>
  </si>
  <si>
    <t>HUF: Forint</t>
  </si>
  <si>
    <t>IDR: Rupiah</t>
  </si>
  <si>
    <t>ILS: New Israeli Sheqel</t>
  </si>
  <si>
    <t>INR: Indian Rupee</t>
  </si>
  <si>
    <t>IQD: Iraqi Dinar</t>
  </si>
  <si>
    <t>IRR: Iranian Rial</t>
  </si>
  <si>
    <t>ISK: Iceland Krona</t>
  </si>
  <si>
    <t>JMD: Jamaican Dollar</t>
  </si>
  <si>
    <t>JOD: Jordanian Dinar</t>
  </si>
  <si>
    <t>JPY: Yen</t>
  </si>
  <si>
    <t>KES: Kenyan Shilling</t>
  </si>
  <si>
    <t>KGS: Som</t>
  </si>
  <si>
    <t>KHR: Riel</t>
  </si>
  <si>
    <t>KMF: Comoro Franc</t>
  </si>
  <si>
    <t>KPW: North Korean Won</t>
  </si>
  <si>
    <t>KRW: Won</t>
  </si>
  <si>
    <t>KWD: Kuwaiti Dinar</t>
  </si>
  <si>
    <t>KYD: Cayman Islands Dollar</t>
  </si>
  <si>
    <t>KZT: Tenge</t>
  </si>
  <si>
    <t>LAK: Kip</t>
  </si>
  <si>
    <t>LBP: Lebanese Pound</t>
  </si>
  <si>
    <t>LKR: Sri Lanka Rupee</t>
  </si>
  <si>
    <t>LRD: Liberian Dollar</t>
  </si>
  <si>
    <t>LSL: Loti</t>
  </si>
  <si>
    <t>LYD: Libyan Dinar</t>
  </si>
  <si>
    <t>MAD: Moroccan Dirham</t>
  </si>
  <si>
    <t>MDL: Moldovan Leu</t>
  </si>
  <si>
    <t>MGA: Ariary malgache</t>
  </si>
  <si>
    <t>MKD: Denar</t>
  </si>
  <si>
    <t>MMK: Kyat</t>
  </si>
  <si>
    <t>MNT: Tugrik</t>
  </si>
  <si>
    <t>MOP: Pataca</t>
  </si>
  <si>
    <t>MRU: Ouguiya</t>
  </si>
  <si>
    <t>MUR: Mauritius Rupee</t>
  </si>
  <si>
    <t>MVR: Rufiyaa</t>
  </si>
  <si>
    <t>MWK: Kwacha</t>
  </si>
  <si>
    <t>MXN: Mexican Peso</t>
  </si>
  <si>
    <t>MXV: Mexican Unidad de Inversion (UDI)</t>
  </si>
  <si>
    <t>MYR: Malaysian Ringgit</t>
  </si>
  <si>
    <t>MZN: Mozambique Metical</t>
  </si>
  <si>
    <t>NAD: Namibia Dollar</t>
  </si>
  <si>
    <t>NGN: Naira</t>
  </si>
  <si>
    <t>NIO: Cordoba Oro</t>
  </si>
  <si>
    <t>NOK: Norwegian Krone</t>
  </si>
  <si>
    <t>NPR: Nepalese Rupee</t>
  </si>
  <si>
    <t>NZD: New Zealand Dollar</t>
  </si>
  <si>
    <t>OMR: Rial Omani</t>
  </si>
  <si>
    <t>PAB: Balboa</t>
  </si>
  <si>
    <t>PEN: Sol</t>
  </si>
  <si>
    <t>PGK: Kina</t>
  </si>
  <si>
    <t>PHP: Philippine Peso</t>
  </si>
  <si>
    <t>PKR: Pakistan Rupee</t>
  </si>
  <si>
    <t>PLN: Zloty</t>
  </si>
  <si>
    <t>PYG: Guarani</t>
  </si>
  <si>
    <t>QAR: Qatari Rial</t>
  </si>
  <si>
    <t>RON: Romanian Leu</t>
  </si>
  <si>
    <t>RSD: Serbian Dinar</t>
  </si>
  <si>
    <t>RUB: Russian Ruble</t>
  </si>
  <si>
    <t>RWF: Rwanda Franc</t>
  </si>
  <si>
    <t>SAR: Saudi Riyal</t>
  </si>
  <si>
    <t>SBD: Solomon Islands Dollar</t>
  </si>
  <si>
    <t>SCR: Seychelles Rupee</t>
  </si>
  <si>
    <t>SDG: Sudanese Pound</t>
  </si>
  <si>
    <t>SEK: Swedish Krona</t>
  </si>
  <si>
    <t>SGD: Singapore Dollar</t>
  </si>
  <si>
    <t>SHP: Saint Helena Pound</t>
  </si>
  <si>
    <t>SLL: Leone</t>
  </si>
  <si>
    <t>SOS: Somali Shilling</t>
  </si>
  <si>
    <t>SRD: Surinam Dollar</t>
  </si>
  <si>
    <t>SSP: South Sudanese Pound</t>
  </si>
  <si>
    <t>STN: Dobra</t>
  </si>
  <si>
    <t>SVC: El Salvador Colon</t>
  </si>
  <si>
    <t>SYP: Syrian Pound</t>
  </si>
  <si>
    <t>SZL: Lilangeni</t>
  </si>
  <si>
    <t>THB: Baht</t>
  </si>
  <si>
    <t>TJS: Somoni</t>
  </si>
  <si>
    <t>TMT: Turkmenistan Manat</t>
  </si>
  <si>
    <t>TND: Tunisian Dinar</t>
  </si>
  <si>
    <t>TOP: Pa anga</t>
  </si>
  <si>
    <t>TRY: Turkish Lira</t>
  </si>
  <si>
    <t>TTD: Trinidad and Tobago Dollar</t>
  </si>
  <si>
    <t>TWD: New Taiwan Dollar</t>
  </si>
  <si>
    <t>TZS: Tanzanian Shilling</t>
  </si>
  <si>
    <t>UAH: Hryvnia</t>
  </si>
  <si>
    <t>UGX: Uganda Shilling</t>
  </si>
  <si>
    <t>USD: US Dollar</t>
  </si>
  <si>
    <t>USN: US Dollar (Next day)</t>
  </si>
  <si>
    <t>UYI: Uruguay Peso en Unidades Indexadas (URUIURUI)</t>
  </si>
  <si>
    <t>UYU: Peso Uruguayo</t>
  </si>
  <si>
    <t>UYW: Unidad previsional</t>
  </si>
  <si>
    <t>UZS: Uzbekistan Sum</t>
  </si>
  <si>
    <t>VES: Bolívar soberano</t>
  </si>
  <si>
    <t>VND: Dong</t>
  </si>
  <si>
    <t>VUV: Vatu</t>
  </si>
  <si>
    <t>WST: Tala</t>
  </si>
  <si>
    <t>XAF: CFA Franc BEAC</t>
  </si>
  <si>
    <t>XAG: Silver</t>
  </si>
  <si>
    <t>XAU: Gold</t>
  </si>
  <si>
    <t>XBA: Bond Markets Unit European Composite Unit (EURCO)</t>
  </si>
  <si>
    <t>XBB: Bond Markets Unit European Monetary Unit (E.M.U.-6)</t>
  </si>
  <si>
    <t>XBC: Bond Markets Unit European Unit of Account 9 (E.U.A.-9)</t>
  </si>
  <si>
    <t>XBD: Bond Markets Unit European Unit of Account 17 (E.U.A.-17)</t>
  </si>
  <si>
    <t>XCD: East Caribbean Dollar</t>
  </si>
  <si>
    <t>XDR: SDR (Special Drawing Right)</t>
  </si>
  <si>
    <t>XOF: CFA Franc BCEAO</t>
  </si>
  <si>
    <t>XPD: Palladium</t>
  </si>
  <si>
    <t>XPF: CFP Franc</t>
  </si>
  <si>
    <t>XPT: Platinum</t>
  </si>
  <si>
    <t>XSU: Sucre</t>
  </si>
  <si>
    <t>XTS: Codes specifically reserved for testing purposes</t>
  </si>
  <si>
    <t>XUA: ADB Unit of Account</t>
  </si>
  <si>
    <t>XXX: The codes assigned for transactions where no currency is involved</t>
  </si>
  <si>
    <t>YER: Yemeni Rial</t>
  </si>
  <si>
    <t>ZAR: Rand</t>
  </si>
  <si>
    <t>ZMW: Zambian Kwacha</t>
  </si>
  <si>
    <t>ZWL: Zimbabwe Dollar</t>
  </si>
  <si>
    <t>OTRAS: Otras Monedas</t>
  </si>
  <si>
    <t xml:space="preserve">                  Porcentaje de participación directa [Porcentaje]</t>
  </si>
  <si>
    <t xml:space="preserve">                  Porcentaje de participación indirecta [Porcentaje]</t>
  </si>
  <si>
    <t>ESH: Western Sahara</t>
  </si>
  <si>
    <t>SWZ: Eswatini (the Kingdom of)</t>
  </si>
  <si>
    <t>USA: United States of America (the)</t>
  </si>
  <si>
    <t>12.0</t>
  </si>
  <si>
    <r>
      <t xml:space="preserve">              Activo individual subsidiaria directa  </t>
    </r>
    <r>
      <rPr>
        <b/>
        <sz val="9"/>
        <rFont val="Verdana"/>
        <family val="2"/>
      </rPr>
      <t>[Número]</t>
    </r>
  </si>
  <si>
    <t>cl-ci_cor_2022-01-03.xsd#cl-ci_ActivoIndividualSubsidiariaDirecta</t>
  </si>
  <si>
    <t>pre_cl-ci_ifrs-12_2021-03-24_role-825700</t>
  </si>
  <si>
    <t>A</t>
  </si>
  <si>
    <t>B</t>
  </si>
  <si>
    <t>C</t>
  </si>
  <si>
    <t>D</t>
  </si>
  <si>
    <t>E</t>
  </si>
  <si>
    <t>F</t>
  </si>
  <si>
    <t>G</t>
  </si>
  <si>
    <t>H</t>
  </si>
  <si>
    <t>I</t>
  </si>
  <si>
    <t>J</t>
  </si>
  <si>
    <t>K</t>
  </si>
  <si>
    <t>L</t>
  </si>
  <si>
    <t>M</t>
  </si>
  <si>
    <t xml:space="preserve">        Activos a los que se aplican restricciones significativas  [Número]</t>
  </si>
  <si>
    <t xml:space="preserve">        Pasivo al que se aplican restricciones significativas  [Número]</t>
  </si>
  <si>
    <t>N</t>
  </si>
  <si>
    <t>O</t>
  </si>
  <si>
    <t xml:space="preserve">          Incrementos (disminuciones) por cambios las participaciones en la propiedad de subsidiarias que no dan lugar a pérdida de control, patrimonio atribuible a los propietarios de la controladora  [Número]</t>
  </si>
  <si>
    <t xml:space="preserve">        Ganancias (pérdidas) reconocidas cuando se pierde el control de una subsidiaria  [Número]</t>
  </si>
  <si>
    <t xml:space="preserve">        Parte de las ganancias (pérdidas) reconocidas cuando se pierde el control de una subsidiaria, atribuible al reconocer inversiones conservadas en subsidiarias anteriores  [Número]</t>
  </si>
  <si>
    <t>P</t>
  </si>
  <si>
    <t>Q</t>
  </si>
  <si>
    <t>R</t>
  </si>
  <si>
    <t>S</t>
  </si>
  <si>
    <t>T</t>
  </si>
  <si>
    <t>U</t>
  </si>
  <si>
    <t>V</t>
  </si>
  <si>
    <t>W</t>
  </si>
  <si>
    <t>X</t>
  </si>
  <si>
    <t>Y</t>
  </si>
  <si>
    <t>Z</t>
  </si>
  <si>
    <t>Bloque de texto IAS38 test 9</t>
  </si>
  <si>
    <t>Bloque de texto IAS38 test 10</t>
  </si>
  <si>
    <t>Bloque de texto IAS38 test 11</t>
  </si>
  <si>
    <t>99-K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</si>
</sst>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0"/>
    <numFmt numFmtId="166" formatCode="yyyy\-mm\-dd"/>
    <numFmt numFmtId="167" formatCode="yyyy/mm/dd;@"/>
    <numFmt numFmtId="168" formatCode="yyyy\-mm\-dd;@"/>
  </numFmts>
  <fonts count="30">
    <font>
      <sz val="11"/>
      <color theme="1"/>
      <name val="Calibri"/>
      <family val="2"/>
      <scheme val="minor"/>
    </font>
    <font>
      <sz val="11"/>
      <color indexed="9"/>
      <name val="Czcionka tekstu podstawowego"/>
      <family val="2"/>
      <charset val="238"/>
    </font>
    <font>
      <sz val="9"/>
      <color indexed="8"/>
      <name val="Calibri"/>
      <family val="2"/>
    </font>
    <font>
      <sz val="11"/>
      <color indexed="8"/>
      <name val="Verdana"/>
      <family val="2"/>
    </font>
    <font>
      <sz val="9"/>
      <color indexed="8"/>
      <name val="Verdana"/>
      <family val="2"/>
    </font>
    <font>
      <sz val="9"/>
      <color indexed="9"/>
      <name val="Verdana"/>
      <family val="2"/>
    </font>
    <font>
      <sz val="9"/>
      <name val="Verdana"/>
      <family val="2"/>
    </font>
    <font>
      <sz val="8"/>
      <name val="ＭＳ Ｐゴシック"/>
      <family val="3"/>
      <charset val="128"/>
    </font>
    <font>
      <b/>
      <sz val="9"/>
      <name val="Verdana"/>
      <family val="2"/>
    </font>
    <font>
      <sz val="10"/>
      <name val="Calibri"/>
      <family val="2"/>
    </font>
    <font>
      <b/>
      <sz val="10"/>
      <name val="Calibri"/>
      <family val="2"/>
    </font>
    <font>
      <sz val="10"/>
      <color indexed="10"/>
      <name val="Calibri"/>
      <family val="2"/>
    </font>
    <font>
      <b/>
      <sz val="10"/>
      <color indexed="10"/>
      <name val="Calibri"/>
      <family val="2"/>
    </font>
    <font>
      <u/>
      <sz val="8.8000000000000007"/>
      <color theme="10"/>
      <name val="Calibri"/>
      <family val="2"/>
    </font>
    <font>
      <sz val="11"/>
      <color rgb="FFFF0000"/>
      <name val="Calibri"/>
      <family val="2"/>
      <scheme val="minor"/>
    </font>
    <font>
      <sz val="9"/>
      <color rgb="FFFF0000"/>
      <name val="Verdana"/>
      <family val="2"/>
    </font>
    <font>
      <sz val="9"/>
      <color theme="1"/>
      <name val="Verdana"/>
      <family val="2"/>
    </font>
    <font>
      <sz val="11"/>
      <name val="Calibri"/>
      <family val="2"/>
      <scheme val="minor"/>
    </font>
    <font>
      <b/>
      <sz val="18"/>
      <name val="Calibri"/>
      <family val="2"/>
      <scheme val="minor"/>
    </font>
    <font>
      <b/>
      <sz val="9"/>
      <color rgb="FFFF0000"/>
      <name val="Verdana"/>
      <family val="2"/>
    </font>
    <font>
      <sz val="9"/>
      <color theme="0"/>
      <name val="Verdana"/>
      <family val="2"/>
    </font>
    <font>
      <sz val="11"/>
      <color rgb="FFFFFFFF"/>
      <name val="Calibri"/>
      <family val="2"/>
      <scheme val="minor"/>
    </font>
    <font>
      <b/>
      <sz val="12"/>
      <name val="Calibri"/>
      <family val="2"/>
      <scheme val="minor"/>
    </font>
    <font>
      <sz val="11"/>
      <color theme="1"/>
      <name val="Verdana"/>
      <family val="2"/>
    </font>
    <font>
      <b/>
      <sz val="11"/>
      <color indexed="8"/>
      <name val="Verdana"/>
      <family val="2"/>
    </font>
    <font>
      <b/>
      <sz val="9"/>
      <color indexed="81"/>
      <name val="Tahoma"/>
      <family val="2"/>
    </font>
    <font>
      <b/>
      <sz val="9"/>
      <color indexed="9"/>
      <name val="Calibri"/>
      <family val="2"/>
      <scheme val="minor"/>
    </font>
    <font>
      <b/>
      <sz val="11"/>
      <color theme="1"/>
      <name val="Calibri"/>
      <family val="2"/>
      <scheme val="minor"/>
    </font>
    <font>
      <b/>
      <sz val="8"/>
      <color theme="1"/>
      <name val="Calibri"/>
      <family val="2"/>
      <scheme val="minor"/>
    </font>
    <font>
      <u/>
      <sz val="9"/>
      <name val="Verdana"/>
      <family val="2"/>
    </font>
  </fonts>
  <fills count="19">
    <fill>
      <patternFill patternType="none"/>
    </fill>
    <fill>
      <patternFill patternType="gray125"/>
    </fill>
    <fill>
      <patternFill patternType="solid">
        <fgColor indexed="30"/>
      </patternFill>
    </fill>
    <fill>
      <patternFill patternType="solid">
        <fgColor indexed="9"/>
        <bgColor indexed="64"/>
      </patternFill>
    </fill>
    <fill>
      <patternFill patternType="solid">
        <fgColor theme="4" tint="0.59996337778862885"/>
        <bgColor indexed="64"/>
      </patternFill>
    </fill>
    <fill>
      <patternFill patternType="solid">
        <fgColor theme="4" tint="0.59999389629810485"/>
        <bgColor indexed="64"/>
      </patternFill>
    </fill>
    <fill>
      <patternFill patternType="solid">
        <fgColor rgb="FFFFFFCC"/>
        <bgColor indexed="64"/>
      </patternFill>
    </fill>
    <fill>
      <patternFill patternType="solid">
        <fgColor theme="6" tint="0.59999389629810485"/>
        <bgColor indexed="64"/>
      </patternFill>
    </fill>
    <fill>
      <patternFill patternType="solid">
        <fgColor theme="0" tint="-0.499984740745262"/>
        <bgColor indexed="64"/>
      </patternFill>
    </fill>
    <fill>
      <patternFill patternType="solid">
        <fgColor theme="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rgb="FF92D050"/>
        <bgColor indexed="64"/>
      </patternFill>
    </fill>
    <fill>
      <patternFill patternType="solid">
        <fgColor rgb="FFFF99FF"/>
        <bgColor indexed="64"/>
      </patternFill>
    </fill>
    <fill>
      <patternFill patternType="solid">
        <fgColor rgb="FFF5FCA0"/>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theme="9" tint="0.59999389629810485"/>
        <bgColor indexed="64"/>
      </patternFill>
    </fill>
  </fills>
  <borders count="27">
    <border>
      <left/>
      <right/>
      <top/>
      <bottom/>
      <diagonal/>
    </border>
    <border>
      <left style="thin">
        <color indexed="64"/>
      </left>
      <right/>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Dashed">
        <color rgb="FFFF0000"/>
      </left>
      <right style="mediumDashed">
        <color rgb="FFFF0000"/>
      </right>
      <top style="thin">
        <color indexed="64"/>
      </top>
      <bottom style="thin">
        <color indexed="64"/>
      </bottom>
      <diagonal/>
    </border>
    <border>
      <left style="mediumDashed">
        <color rgb="FFFF0000"/>
      </left>
      <right style="mediumDashed">
        <color rgb="FFFF0000"/>
      </right>
      <top/>
      <bottom/>
      <diagonal/>
    </border>
    <border>
      <left style="mediumDashed">
        <color rgb="FFFF0000"/>
      </left>
      <right style="mediumDashed">
        <color rgb="FFFF0000"/>
      </right>
      <top/>
      <bottom style="thin">
        <color indexed="64"/>
      </bottom>
      <diagonal/>
    </border>
    <border>
      <left style="medium">
        <color indexed="64"/>
      </left>
      <right style="medium">
        <color indexed="64"/>
      </right>
      <top style="medium">
        <color indexed="64"/>
      </top>
      <bottom/>
      <diagonal/>
    </border>
    <border>
      <left/>
      <right style="mediumDashed">
        <color rgb="FFFF0000"/>
      </right>
      <top/>
      <bottom/>
      <diagonal/>
    </border>
    <border>
      <left/>
      <right style="mediumDashed">
        <color rgb="FFFF0000"/>
      </right>
      <top style="thin">
        <color indexed="64"/>
      </top>
      <bottom style="thin">
        <color indexed="64"/>
      </bottom>
      <diagonal/>
    </border>
    <border>
      <left style="thin">
        <color indexed="64"/>
      </left>
      <right style="mediumDashed">
        <color rgb="FFFF0000"/>
      </right>
      <top style="thin">
        <color indexed="64"/>
      </top>
      <bottom style="thin">
        <color indexed="64"/>
      </bottom>
      <diagonal/>
    </border>
    <border>
      <left style="mediumDashed">
        <color rgb="FFFF0000"/>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right style="mediumDashed">
        <color rgb="FFFF0000"/>
      </right>
      <top style="medium">
        <color indexed="64"/>
      </top>
      <bottom style="thin">
        <color indexed="64"/>
      </bottom>
      <diagonal/>
    </border>
    <border>
      <left/>
      <right style="mediumDashed">
        <color rgb="FFFF0000"/>
      </right>
      <top/>
      <bottom style="thin">
        <color indexed="64"/>
      </bottom>
      <diagonal/>
    </border>
    <border>
      <left style="mediumDashed">
        <color rgb="FFFF0000"/>
      </left>
      <right style="mediumDashed">
        <color rgb="FFFF0000"/>
      </right>
      <top style="medium">
        <color indexed="64"/>
      </top>
      <bottom style="thin">
        <color indexed="64"/>
      </bottom>
      <diagonal/>
    </border>
  </borders>
  <cellStyleXfs count="4">
    <xf numFmtId="0" fontId="0" fillId="0" borderId="0"/>
    <xf numFmtId="0" fontId="1" fillId="2" borderId="0" applyNumberFormat="0" applyBorder="0" applyAlignment="0" applyProtection="0"/>
    <xf numFmtId="0" fontId="13" fillId="0" borderId="0" applyNumberFormat="0" applyFill="0" applyBorder="0" applyAlignment="0" applyProtection="0">
      <alignment vertical="top"/>
      <protection locked="0"/>
    </xf>
    <xf numFmtId="0" fontId="7" fillId="0" borderId="0" applyNumberFormat="0" applyFill="0" applyBorder="0">
      <alignment vertical="center"/>
    </xf>
  </cellStyleXfs>
  <cellXfs count="164">
    <xf numFmtId="0" fontId="0" fillId="0" borderId="0" xfId="0"/>
    <xf numFmtId="0" fontId="0" fillId="3" borderId="0" xfId="0" applyFill="1" applyBorder="1"/>
    <xf numFmtId="0" fontId="2" fillId="3" borderId="0" xfId="0" applyFont="1" applyFill="1" applyBorder="1"/>
    <xf numFmtId="0" fontId="0" fillId="3" borderId="0" xfId="0" applyFill="1" applyBorder="1" applyAlignment="1">
      <alignment horizontal="center"/>
    </xf>
    <xf numFmtId="0" fontId="0" fillId="3" borderId="0" xfId="0" applyFill="1"/>
    <xf numFmtId="0" fontId="14" fillId="0" borderId="0" xfId="0" applyFont="1" applyAlignment="1">
      <alignment horizontal="center"/>
    </xf>
    <xf numFmtId="0" fontId="15" fillId="0" borderId="0" xfId="0" applyFont="1" applyAlignment="1"/>
    <xf numFmtId="0" fontId="6" fillId="0" borderId="0" xfId="0" applyFont="1" applyAlignment="1"/>
    <xf numFmtId="0" fontId="15" fillId="0" borderId="0" xfId="0" applyNumberFormat="1" applyFont="1" applyBorder="1" applyAlignment="1">
      <alignment horizontal="center" vertical="center"/>
    </xf>
    <xf numFmtId="0" fontId="6" fillId="0" borderId="0" xfId="0" applyNumberFormat="1" applyFont="1" applyAlignment="1">
      <alignment horizontal="center" vertical="center"/>
    </xf>
    <xf numFmtId="0" fontId="6" fillId="4" borderId="1" xfId="3" applyFont="1" applyFill="1" applyBorder="1">
      <alignment vertical="center"/>
    </xf>
    <xf numFmtId="0" fontId="8" fillId="4" borderId="0" xfId="3" applyFont="1" applyFill="1" applyBorder="1" applyAlignment="1">
      <alignment vertical="center"/>
    </xf>
    <xf numFmtId="0" fontId="6" fillId="4" borderId="0" xfId="3" applyFont="1" applyFill="1" applyBorder="1">
      <alignment vertical="center"/>
    </xf>
    <xf numFmtId="0" fontId="6" fillId="5" borderId="1" xfId="0" applyFont="1" applyFill="1" applyBorder="1" applyAlignment="1"/>
    <xf numFmtId="0" fontId="6" fillId="5" borderId="0" xfId="0" applyFont="1" applyFill="1" applyBorder="1" applyAlignment="1"/>
    <xf numFmtId="0" fontId="16" fillId="5" borderId="0" xfId="0" applyFont="1" applyFill="1" applyBorder="1" applyAlignment="1"/>
    <xf numFmtId="0" fontId="6" fillId="4" borderId="0" xfId="3" applyFont="1" applyFill="1" applyBorder="1" applyAlignment="1">
      <alignment vertical="center"/>
    </xf>
    <xf numFmtId="0" fontId="8" fillId="4" borderId="0" xfId="3" applyFont="1" applyFill="1" applyBorder="1" applyAlignment="1">
      <alignment vertical="center" wrapText="1"/>
    </xf>
    <xf numFmtId="0" fontId="6" fillId="5" borderId="0" xfId="3" applyFont="1" applyFill="1" applyBorder="1" applyAlignment="1">
      <alignment vertical="center"/>
    </xf>
    <xf numFmtId="0" fontId="6" fillId="5" borderId="1" xfId="0" applyFont="1" applyFill="1" applyBorder="1" applyAlignment="1">
      <alignment vertical="top"/>
    </xf>
    <xf numFmtId="0" fontId="6" fillId="5" borderId="0" xfId="1" applyNumberFormat="1" applyFont="1" applyFill="1" applyBorder="1" applyAlignment="1">
      <alignment horizontal="center" vertical="top" wrapText="1"/>
    </xf>
    <xf numFmtId="0" fontId="6" fillId="5" borderId="0" xfId="0" applyFont="1" applyFill="1" applyBorder="1" applyAlignment="1">
      <alignment vertical="top" wrapText="1"/>
    </xf>
    <xf numFmtId="0" fontId="3" fillId="4" borderId="2" xfId="0" applyFont="1" applyFill="1" applyBorder="1" applyAlignment="1">
      <alignment horizontal="center"/>
    </xf>
    <xf numFmtId="0" fontId="3" fillId="4" borderId="0" xfId="0" applyFont="1" applyFill="1" applyBorder="1" applyAlignment="1">
      <alignment horizontal="center"/>
    </xf>
    <xf numFmtId="0" fontId="4" fillId="4" borderId="0" xfId="0" applyNumberFormat="1" applyFont="1" applyFill="1" applyBorder="1" applyAlignment="1">
      <alignment horizontal="left" wrapText="1"/>
    </xf>
    <xf numFmtId="0" fontId="6" fillId="5" borderId="5" xfId="0" applyFont="1" applyFill="1" applyBorder="1" applyAlignment="1">
      <alignment vertical="top"/>
    </xf>
    <xf numFmtId="0" fontId="6" fillId="5" borderId="6" xfId="0" applyFont="1" applyFill="1" applyBorder="1" applyAlignment="1">
      <alignment vertical="top"/>
    </xf>
    <xf numFmtId="0" fontId="6" fillId="5" borderId="0" xfId="0" applyFont="1" applyFill="1" applyBorder="1" applyAlignment="1">
      <alignment horizontal="left" vertical="top" wrapText="1" indent="1"/>
    </xf>
    <xf numFmtId="0" fontId="18" fillId="6" borderId="10" xfId="0" applyFont="1" applyFill="1" applyBorder="1" applyAlignment="1">
      <alignment horizontal="center" vertical="center" wrapText="1"/>
    </xf>
    <xf numFmtId="0" fontId="6" fillId="0" borderId="0" xfId="0" applyFont="1" applyAlignment="1">
      <alignment horizontal="center" vertical="center" wrapText="1"/>
    </xf>
    <xf numFmtId="0" fontId="6" fillId="4" borderId="2" xfId="3" applyFont="1" applyFill="1" applyBorder="1" applyAlignment="1">
      <alignment horizontal="center" vertical="center" wrapText="1"/>
    </xf>
    <xf numFmtId="0" fontId="17" fillId="7" borderId="15" xfId="3" applyFont="1" applyFill="1" applyBorder="1" applyAlignment="1">
      <alignment horizontal="center" vertical="center" wrapText="1"/>
    </xf>
    <xf numFmtId="0" fontId="6" fillId="5" borderId="16" xfId="3" applyFont="1" applyFill="1" applyBorder="1" applyAlignment="1">
      <alignment vertical="center"/>
    </xf>
    <xf numFmtId="0" fontId="6" fillId="5" borderId="17" xfId="0" applyFont="1" applyFill="1" applyBorder="1" applyAlignment="1">
      <alignment vertical="top"/>
    </xf>
    <xf numFmtId="0" fontId="17" fillId="4" borderId="0" xfId="3" applyFont="1" applyFill="1" applyBorder="1" applyAlignment="1">
      <alignment vertical="center" wrapText="1"/>
    </xf>
    <xf numFmtId="0" fontId="15" fillId="8" borderId="12" xfId="1" applyNumberFormat="1" applyFont="1" applyFill="1" applyBorder="1" applyAlignment="1">
      <alignment horizontal="center" vertical="center" wrapText="1"/>
    </xf>
    <xf numFmtId="0" fontId="15" fillId="8" borderId="13" xfId="1" applyNumberFormat="1" applyFont="1" applyFill="1" applyBorder="1" applyAlignment="1">
      <alignment horizontal="center" vertical="center" wrapText="1"/>
    </xf>
    <xf numFmtId="0" fontId="5" fillId="8" borderId="13" xfId="1" applyNumberFormat="1" applyFont="1" applyFill="1" applyBorder="1" applyAlignment="1">
      <alignment horizontal="center" vertical="center" wrapText="1"/>
    </xf>
    <xf numFmtId="0" fontId="5" fillId="8" borderId="14" xfId="1" applyNumberFormat="1" applyFont="1" applyFill="1" applyBorder="1" applyAlignment="1">
      <alignment horizontal="center" vertical="center" wrapText="1"/>
    </xf>
    <xf numFmtId="0" fontId="0" fillId="3" borderId="0" xfId="0" applyFont="1" applyFill="1" applyBorder="1"/>
    <xf numFmtId="0" fontId="21" fillId="0" borderId="0" xfId="0" applyFont="1" applyAlignment="1">
      <alignment horizontal="center"/>
    </xf>
    <xf numFmtId="0" fontId="0" fillId="9" borderId="0" xfId="0" applyFill="1" applyBorder="1"/>
    <xf numFmtId="0" fontId="4" fillId="4" borderId="4" xfId="0" applyFont="1" applyFill="1" applyBorder="1"/>
    <xf numFmtId="0" fontId="4" fillId="4" borderId="2" xfId="0" applyFont="1" applyFill="1" applyBorder="1"/>
    <xf numFmtId="0" fontId="23" fillId="4" borderId="2" xfId="0" applyFont="1" applyFill="1" applyBorder="1"/>
    <xf numFmtId="0" fontId="24" fillId="4" borderId="2" xfId="0" applyNumberFormat="1" applyFont="1" applyFill="1" applyBorder="1" applyAlignment="1">
      <alignment wrapText="1"/>
    </xf>
    <xf numFmtId="0" fontId="23" fillId="4" borderId="7" xfId="0" applyFont="1" applyFill="1" applyBorder="1"/>
    <xf numFmtId="0" fontId="4" fillId="4" borderId="1" xfId="0" applyFont="1" applyFill="1" applyBorder="1"/>
    <xf numFmtId="0" fontId="4" fillId="4" borderId="0" xfId="0" applyFont="1" applyFill="1" applyBorder="1"/>
    <xf numFmtId="0" fontId="23" fillId="4" borderId="0" xfId="0" applyFont="1" applyFill="1" applyBorder="1"/>
    <xf numFmtId="0" fontId="23" fillId="4" borderId="8" xfId="0" applyFont="1" applyFill="1" applyBorder="1"/>
    <xf numFmtId="0" fontId="4" fillId="3" borderId="0" xfId="0" applyFont="1" applyFill="1" applyBorder="1"/>
    <xf numFmtId="0" fontId="23" fillId="3" borderId="0" xfId="0" applyFont="1" applyFill="1" applyBorder="1"/>
    <xf numFmtId="0" fontId="23" fillId="3" borderId="0" xfId="0" applyFont="1" applyFill="1" applyBorder="1" applyAlignment="1">
      <alignment horizontal="center"/>
    </xf>
    <xf numFmtId="0" fontId="23" fillId="3" borderId="0" xfId="0" applyFont="1" applyFill="1"/>
    <xf numFmtId="0" fontId="4" fillId="4" borderId="0" xfId="0" applyFont="1" applyFill="1" applyBorder="1" applyAlignment="1">
      <alignment horizontal="left" wrapText="1"/>
    </xf>
    <xf numFmtId="0" fontId="20" fillId="8" borderId="13" xfId="1" applyNumberFormat="1" applyFont="1" applyFill="1" applyBorder="1" applyAlignment="1">
      <alignment horizontal="center" vertical="center" wrapText="1"/>
    </xf>
    <xf numFmtId="0" fontId="22" fillId="6" borderId="18" xfId="0" applyFont="1" applyFill="1" applyBorder="1" applyAlignment="1">
      <alignment horizontal="center" vertical="center" wrapText="1"/>
    </xf>
    <xf numFmtId="0" fontId="19" fillId="7" borderId="15" xfId="1" applyNumberFormat="1" applyFont="1" applyFill="1" applyBorder="1" applyAlignment="1">
      <alignment horizontal="center" vertical="center" wrapText="1"/>
    </xf>
    <xf numFmtId="0" fontId="0" fillId="5" borderId="0" xfId="0" applyFill="1" applyBorder="1"/>
    <xf numFmtId="0" fontId="17" fillId="4" borderId="8" xfId="3" applyFont="1" applyFill="1" applyBorder="1" applyAlignment="1">
      <alignment vertical="center" wrapText="1"/>
    </xf>
    <xf numFmtId="0" fontId="6" fillId="5" borderId="8" xfId="3" applyFont="1" applyFill="1" applyBorder="1" applyAlignment="1">
      <alignment vertical="center"/>
    </xf>
    <xf numFmtId="0" fontId="6" fillId="5" borderId="9" xfId="0" applyFont="1" applyFill="1" applyBorder="1" applyAlignment="1">
      <alignment vertical="top"/>
    </xf>
    <xf numFmtId="0" fontId="6" fillId="5" borderId="0" xfId="0" applyFont="1" applyFill="1" applyBorder="1" applyAlignment="1">
      <alignment horizontal="center" vertical="top" wrapText="1"/>
    </xf>
    <xf numFmtId="0" fontId="6" fillId="5" borderId="0" xfId="0" applyFont="1" applyFill="1" applyBorder="1" applyAlignment="1">
      <alignment horizontal="left" vertical="top" wrapText="1"/>
    </xf>
    <xf numFmtId="0" fontId="13" fillId="10" borderId="0" xfId="2" applyNumberFormat="1" applyFill="1" applyBorder="1" applyAlignment="1" applyProtection="1">
      <alignment horizontal="left" wrapText="1"/>
    </xf>
    <xf numFmtId="0" fontId="20" fillId="8" borderId="17" xfId="0" applyFont="1" applyFill="1" applyBorder="1" applyAlignment="1">
      <alignment horizontal="center" vertical="center" wrapText="1"/>
    </xf>
    <xf numFmtId="0" fontId="4" fillId="4" borderId="0" xfId="0" applyNumberFormat="1" applyFont="1" applyFill="1" applyBorder="1" applyAlignment="1">
      <alignment horizontal="left" vertical="top" wrapText="1"/>
    </xf>
    <xf numFmtId="0" fontId="4" fillId="11" borderId="0" xfId="0" applyNumberFormat="1" applyFont="1" applyFill="1" applyBorder="1" applyAlignment="1">
      <alignment horizontal="left" wrapText="1"/>
    </xf>
    <xf numFmtId="0" fontId="13" fillId="12" borderId="0" xfId="2" applyNumberFormat="1" applyFill="1" applyBorder="1" applyAlignment="1" applyProtection="1">
      <alignment horizontal="left" wrapText="1"/>
    </xf>
    <xf numFmtId="0" fontId="13" fillId="13" borderId="0" xfId="2" applyNumberFormat="1" applyFill="1" applyBorder="1" applyAlignment="1" applyProtection="1">
      <alignment horizontal="left" wrapText="1"/>
    </xf>
    <xf numFmtId="0" fontId="13" fillId="14" borderId="0" xfId="2" applyNumberFormat="1" applyFill="1" applyBorder="1" applyAlignment="1" applyProtection="1">
      <alignment horizontal="left" wrapText="1"/>
    </xf>
    <xf numFmtId="0" fontId="13" fillId="15" borderId="0" xfId="2" applyNumberFormat="1" applyFill="1" applyBorder="1" applyAlignment="1" applyProtection="1">
      <alignment horizontal="left" wrapText="1"/>
    </xf>
    <xf numFmtId="0" fontId="4" fillId="4" borderId="5" xfId="0" applyFont="1" applyFill="1" applyBorder="1"/>
    <xf numFmtId="0" fontId="4" fillId="4" borderId="6" xfId="0" applyFont="1" applyFill="1" applyBorder="1"/>
    <xf numFmtId="0" fontId="23" fillId="4" borderId="6" xfId="0" applyFont="1" applyFill="1" applyBorder="1"/>
    <xf numFmtId="0" fontId="4" fillId="4" borderId="6" xfId="0" applyNumberFormat="1" applyFont="1" applyFill="1" applyBorder="1" applyAlignment="1">
      <alignment horizontal="left" wrapText="1"/>
    </xf>
    <xf numFmtId="0" fontId="3" fillId="4" borderId="6" xfId="0" applyFont="1" applyFill="1" applyBorder="1" applyAlignment="1">
      <alignment horizontal="center"/>
    </xf>
    <xf numFmtId="0" fontId="23" fillId="4" borderId="9" xfId="0" applyFont="1" applyFill="1" applyBorder="1"/>
    <xf numFmtId="0" fontId="6" fillId="5" borderId="0" xfId="0" applyFont="1" applyFill="1" applyBorder="1" applyAlignment="1">
      <alignment horizontal="left" vertical="center"/>
    </xf>
    <xf numFmtId="0" fontId="6" fillId="5" borderId="0" xfId="0" applyFont="1" applyFill="1" applyBorder="1" applyAlignment="1">
      <alignment horizontal="left" vertical="center" wrapText="1"/>
    </xf>
    <xf numFmtId="0" fontId="6" fillId="5" borderId="1" xfId="0" applyFont="1" applyFill="1" applyBorder="1" applyAlignment="1">
      <alignment horizontal="left" vertical="center"/>
    </xf>
    <xf numFmtId="0" fontId="6" fillId="5" borderId="0" xfId="1" applyNumberFormat="1" applyFont="1" applyFill="1" applyBorder="1" applyAlignment="1">
      <alignment horizontal="left" vertical="center"/>
    </xf>
    <xf numFmtId="0" fontId="16" fillId="5" borderId="0" xfId="0" applyFont="1" applyFill="1" applyBorder="1" applyAlignment="1">
      <alignment horizontal="left" vertical="center"/>
    </xf>
    <xf numFmtId="0" fontId="6" fillId="5" borderId="19" xfId="0" applyFont="1" applyFill="1" applyBorder="1" applyAlignment="1">
      <alignment horizontal="left" vertical="center" wrapText="1"/>
    </xf>
    <xf numFmtId="0" fontId="19" fillId="7" borderId="20" xfId="1" applyNumberFormat="1" applyFont="1" applyFill="1" applyBorder="1" applyAlignment="1">
      <alignment horizontal="center" vertical="center" wrapText="1"/>
    </xf>
    <xf numFmtId="0" fontId="5" fillId="8" borderId="3" xfId="1" applyNumberFormat="1" applyFont="1" applyFill="1" applyBorder="1" applyAlignment="1">
      <alignment horizontal="center" vertical="center" wrapText="1"/>
    </xf>
    <xf numFmtId="0" fontId="6" fillId="9" borderId="15" xfId="0" applyNumberFormat="1" applyFont="1" applyFill="1" applyBorder="1" applyAlignment="1" applyProtection="1">
      <protection locked="0"/>
    </xf>
    <xf numFmtId="0" fontId="6" fillId="9" borderId="3" xfId="0" applyNumberFormat="1" applyFont="1" applyFill="1" applyBorder="1" applyAlignment="1" applyProtection="1">
      <protection locked="0"/>
    </xf>
    <xf numFmtId="0" fontId="6" fillId="9" borderId="14" xfId="0" applyNumberFormat="1" applyFont="1" applyFill="1" applyBorder="1" applyAlignment="1" applyProtection="1">
      <protection locked="0"/>
    </xf>
    <xf numFmtId="0" fontId="5" fillId="8" borderId="21" xfId="1" applyNumberFormat="1" applyFont="1" applyFill="1" applyBorder="1" applyAlignment="1">
      <alignment horizontal="center" vertical="center" wrapText="1"/>
    </xf>
    <xf numFmtId="0" fontId="6" fillId="9" borderId="21" xfId="0" applyNumberFormat="1" applyFont="1" applyFill="1" applyBorder="1" applyAlignment="1" applyProtection="1">
      <protection locked="0"/>
    </xf>
    <xf numFmtId="1" fontId="6" fillId="9" borderId="21" xfId="0" applyNumberFormat="1" applyFont="1" applyFill="1" applyBorder="1" applyAlignment="1" applyProtection="1">
      <protection locked="0"/>
    </xf>
    <xf numFmtId="1" fontId="6" fillId="9" borderId="15" xfId="0" applyNumberFormat="1" applyFont="1" applyFill="1" applyBorder="1" applyAlignment="1" applyProtection="1">
      <protection locked="0"/>
    </xf>
    <xf numFmtId="1" fontId="6" fillId="9" borderId="14" xfId="0" applyNumberFormat="1" applyFont="1" applyFill="1" applyBorder="1" applyAlignment="1" applyProtection="1">
      <protection locked="0"/>
    </xf>
    <xf numFmtId="164" fontId="6" fillId="9" borderId="15" xfId="0" applyNumberFormat="1" applyFont="1" applyFill="1" applyBorder="1" applyAlignment="1" applyProtection="1">
      <protection locked="0"/>
    </xf>
    <xf numFmtId="164" fontId="6" fillId="9" borderId="3" xfId="0" applyNumberFormat="1" applyFont="1" applyFill="1" applyBorder="1" applyAlignment="1" applyProtection="1">
      <protection locked="0"/>
    </xf>
    <xf numFmtId="164" fontId="6" fillId="9" borderId="14" xfId="0" applyNumberFormat="1" applyFont="1" applyFill="1" applyBorder="1" applyAlignment="1" applyProtection="1">
      <protection locked="0"/>
    </xf>
    <xf numFmtId="3" fontId="6" fillId="9" borderId="15" xfId="0" applyNumberFormat="1" applyFont="1" applyFill="1" applyBorder="1" applyAlignment="1" applyProtection="1">
      <protection locked="0"/>
    </xf>
    <xf numFmtId="3" fontId="6" fillId="16" borderId="14" xfId="0" applyNumberFormat="1" applyFont="1" applyFill="1" applyBorder="1" applyAlignment="1" applyProtection="1">
      <protection locked="0"/>
    </xf>
    <xf numFmtId="3" fontId="6" fillId="9" borderId="14" xfId="0" applyNumberFormat="1" applyFont="1" applyFill="1" applyBorder="1" applyAlignment="1" applyProtection="1">
      <protection locked="0"/>
    </xf>
    <xf numFmtId="165" fontId="6" fillId="9" borderId="15" xfId="0" applyNumberFormat="1" applyFont="1" applyFill="1" applyBorder="1" applyAlignment="1" applyProtection="1">
      <protection locked="0"/>
    </xf>
    <xf numFmtId="165" fontId="6" fillId="9" borderId="14" xfId="0" applyNumberFormat="1" applyFont="1" applyFill="1" applyBorder="1" applyAlignment="1" applyProtection="1">
      <protection locked="0"/>
    </xf>
    <xf numFmtId="3" fontId="6" fillId="9" borderId="21" xfId="0" applyNumberFormat="1" applyFont="1" applyFill="1" applyBorder="1" applyAlignment="1" applyProtection="1">
      <protection locked="0"/>
    </xf>
    <xf numFmtId="0" fontId="4" fillId="0" borderId="3" xfId="0" applyNumberFormat="1" applyFont="1" applyFill="1" applyBorder="1" applyProtection="1">
      <protection locked="0"/>
    </xf>
    <xf numFmtId="3" fontId="4" fillId="0" borderId="3" xfId="0" applyNumberFormat="1" applyFont="1" applyFill="1" applyBorder="1" applyProtection="1">
      <protection locked="0"/>
    </xf>
    <xf numFmtId="0" fontId="4" fillId="4" borderId="0" xfId="0" applyNumberFormat="1" applyFont="1" applyFill="1" applyBorder="1" applyAlignment="1">
      <alignment horizontal="left"/>
    </xf>
    <xf numFmtId="165" fontId="6" fillId="0" borderId="0" xfId="0" applyNumberFormat="1" applyFont="1" applyAlignment="1"/>
    <xf numFmtId="166" fontId="6" fillId="9" borderId="21" xfId="0" applyNumberFormat="1" applyFont="1" applyFill="1" applyBorder="1" applyAlignment="1" applyProtection="1">
      <protection locked="0"/>
    </xf>
    <xf numFmtId="166" fontId="6" fillId="9" borderId="3" xfId="0" applyNumberFormat="1" applyFont="1" applyFill="1" applyBorder="1" applyAlignment="1" applyProtection="1">
      <protection locked="0"/>
    </xf>
    <xf numFmtId="0" fontId="26" fillId="8" borderId="11" xfId="1" applyFont="1" applyFill="1" applyBorder="1" applyAlignment="1">
      <alignment horizontal="center" vertical="center" wrapText="1"/>
    </xf>
    <xf numFmtId="3" fontId="2" fillId="0" borderId="3" xfId="0" applyNumberFormat="1" applyFont="1" applyFill="1" applyBorder="1" applyProtection="1">
      <protection locked="0"/>
    </xf>
    <xf numFmtId="166" fontId="6" fillId="9" borderId="22" xfId="0" applyNumberFormat="1" applyFont="1" applyFill="1" applyBorder="1" applyAlignment="1" applyProtection="1">
      <protection locked="0"/>
    </xf>
    <xf numFmtId="0" fontId="22" fillId="17" borderId="10" xfId="0" applyFont="1" applyFill="1" applyBorder="1" applyAlignment="1">
      <alignment horizontal="right" vertical="center" wrapText="1"/>
    </xf>
    <xf numFmtId="0" fontId="0" fillId="17" borderId="23" xfId="0" applyFill="1" applyBorder="1" applyAlignment="1">
      <alignment vertical="center"/>
    </xf>
    <xf numFmtId="3" fontId="8" fillId="16" borderId="14" xfId="0" applyNumberFormat="1" applyFont="1" applyFill="1" applyBorder="1" applyAlignment="1" applyProtection="1">
      <protection locked="0"/>
    </xf>
    <xf numFmtId="167" fontId="6" fillId="9" borderId="15" xfId="0" applyNumberFormat="1" applyFont="1" applyFill="1" applyBorder="1" applyAlignment="1" applyProtection="1">
      <protection locked="0"/>
    </xf>
    <xf numFmtId="3" fontId="6" fillId="0" borderId="15" xfId="0" applyNumberFormat="1" applyFont="1" applyFill="1" applyBorder="1" applyAlignment="1" applyProtection="1">
      <protection locked="0"/>
    </xf>
    <xf numFmtId="3" fontId="8" fillId="16" borderId="21" xfId="0" applyNumberFormat="1" applyFont="1" applyFill="1" applyBorder="1" applyAlignment="1" applyProtection="1">
      <protection locked="0"/>
    </xf>
    <xf numFmtId="1" fontId="8" fillId="16" borderId="14" xfId="0" applyNumberFormat="1" applyFont="1" applyFill="1" applyBorder="1" applyAlignment="1" applyProtection="1">
      <protection locked="0"/>
    </xf>
    <xf numFmtId="0" fontId="8" fillId="16" borderId="14" xfId="0" applyNumberFormat="1" applyFont="1" applyFill="1" applyBorder="1" applyAlignment="1" applyProtection="1">
      <protection locked="0"/>
    </xf>
    <xf numFmtId="0" fontId="8" fillId="9" borderId="14" xfId="0" applyNumberFormat="1" applyFont="1" applyFill="1" applyBorder="1" applyAlignment="1" applyProtection="1">
      <protection locked="0"/>
    </xf>
    <xf numFmtId="166" fontId="8" fillId="9" borderId="22" xfId="0" applyNumberFormat="1" applyFont="1" applyFill="1" applyBorder="1" applyAlignment="1" applyProtection="1">
      <protection locked="0"/>
    </xf>
    <xf numFmtId="0" fontId="6" fillId="9" borderId="0" xfId="0" applyNumberFormat="1" applyFont="1" applyFill="1" applyBorder="1" applyAlignment="1" applyProtection="1">
      <protection locked="0"/>
    </xf>
    <xf numFmtId="165" fontId="6" fillId="9" borderId="21" xfId="0" applyNumberFormat="1" applyFont="1" applyFill="1" applyBorder="1" applyAlignment="1" applyProtection="1">
      <protection locked="0"/>
    </xf>
    <xf numFmtId="0" fontId="20" fillId="8" borderId="24" xfId="1" applyNumberFormat="1" applyFont="1" applyFill="1" applyBorder="1" applyAlignment="1">
      <alignment horizontal="center" vertical="center" wrapText="1"/>
    </xf>
    <xf numFmtId="0" fontId="8" fillId="4" borderId="19" xfId="3" applyFont="1" applyFill="1" applyBorder="1" applyAlignment="1">
      <alignment vertical="center" wrapText="1"/>
    </xf>
    <xf numFmtId="0" fontId="6" fillId="5" borderId="19" xfId="0" applyFont="1" applyFill="1" applyBorder="1" applyAlignment="1">
      <alignment vertical="top" wrapText="1"/>
    </xf>
    <xf numFmtId="0" fontId="6" fillId="5" borderId="25" xfId="0" applyFont="1" applyFill="1" applyBorder="1" applyAlignment="1">
      <alignment vertical="top"/>
    </xf>
    <xf numFmtId="0" fontId="0" fillId="0" borderId="19" xfId="0" applyBorder="1"/>
    <xf numFmtId="0" fontId="20" fillId="8" borderId="20" xfId="1" applyNumberFormat="1" applyFont="1" applyFill="1" applyBorder="1" applyAlignment="1">
      <alignment horizontal="center" vertical="center" wrapText="1"/>
    </xf>
    <xf numFmtId="0" fontId="19" fillId="7" borderId="26" xfId="1" applyNumberFormat="1" applyFont="1" applyFill="1" applyBorder="1" applyAlignment="1">
      <alignment horizontal="center" vertical="center" wrapText="1"/>
    </xf>
    <xf numFmtId="0" fontId="0" fillId="0" borderId="16" xfId="0" applyBorder="1"/>
    <xf numFmtId="0" fontId="5" fillId="8" borderId="15" xfId="1" applyNumberFormat="1" applyFont="1" applyFill="1" applyBorder="1" applyAlignment="1">
      <alignment horizontal="center" vertical="center" wrapText="1"/>
    </xf>
    <xf numFmtId="0" fontId="15" fillId="5" borderId="0" xfId="0" applyFont="1" applyFill="1" applyBorder="1" applyAlignment="1">
      <alignment horizontal="left" vertical="center" wrapText="1"/>
    </xf>
    <xf numFmtId="0" fontId="6" fillId="13" borderId="15" xfId="0" applyNumberFormat="1" applyFont="1" applyFill="1" applyBorder="1" applyAlignment="1" applyProtection="1">
      <protection locked="0"/>
    </xf>
    <xf numFmtId="0" fontId="6" fillId="13" borderId="21" xfId="0" applyNumberFormat="1" applyFont="1" applyFill="1" applyBorder="1" applyAlignment="1" applyProtection="1">
      <protection locked="0"/>
    </xf>
    <xf numFmtId="0" fontId="6" fillId="0" borderId="14" xfId="0" applyNumberFormat="1" applyFont="1" applyFill="1" applyBorder="1" applyAlignment="1" applyProtection="1">
      <protection locked="0"/>
    </xf>
    <xf numFmtId="0" fontId="6" fillId="0" borderId="15" xfId="0" applyNumberFormat="1" applyFont="1" applyFill="1" applyBorder="1" applyAlignment="1" applyProtection="1">
      <protection locked="0"/>
    </xf>
    <xf numFmtId="0" fontId="6" fillId="0" borderId="3" xfId="0" applyNumberFormat="1" applyFont="1" applyFill="1" applyBorder="1" applyAlignment="1" applyProtection="1">
      <protection locked="0"/>
    </xf>
    <xf numFmtId="164" fontId="6" fillId="0" borderId="14" xfId="0" applyNumberFormat="1" applyFont="1" applyFill="1" applyBorder="1" applyAlignment="1" applyProtection="1">
      <protection locked="0"/>
    </xf>
    <xf numFmtId="0" fontId="6" fillId="0" borderId="13" xfId="0" applyNumberFormat="1" applyFont="1" applyFill="1" applyBorder="1" applyAlignment="1" applyProtection="1">
      <protection locked="0"/>
    </xf>
    <xf numFmtId="49" fontId="6" fillId="9" borderId="15" xfId="0" applyNumberFormat="1" applyFont="1" applyFill="1" applyBorder="1" applyAlignment="1" applyProtection="1">
      <protection locked="0"/>
    </xf>
    <xf numFmtId="49" fontId="6" fillId="9" borderId="3" xfId="0" applyNumberFormat="1" applyFont="1" applyFill="1" applyBorder="1" applyAlignment="1" applyProtection="1">
      <protection locked="0"/>
    </xf>
    <xf numFmtId="49" fontId="6" fillId="9" borderId="14" xfId="0" applyNumberFormat="1" applyFont="1" applyFill="1" applyBorder="1" applyAlignment="1" applyProtection="1">
      <protection locked="0"/>
    </xf>
    <xf numFmtId="165" fontId="8" fillId="16" borderId="21" xfId="0" applyNumberFormat="1" applyFont="1" applyFill="1" applyBorder="1" applyAlignment="1" applyProtection="1">
      <protection locked="0"/>
    </xf>
    <xf numFmtId="0" fontId="29" fillId="13" borderId="15" xfId="0" applyNumberFormat="1" applyFont="1" applyFill="1" applyBorder="1" applyAlignment="1" applyProtection="1">
      <protection locked="0"/>
    </xf>
    <xf numFmtId="0" fontId="29" fillId="0" borderId="15" xfId="0" applyNumberFormat="1" applyFont="1" applyFill="1" applyBorder="1" applyAlignment="1" applyProtection="1">
      <protection locked="0"/>
    </xf>
    <xf numFmtId="0" fontId="29" fillId="0" borderId="3" xfId="0" applyNumberFormat="1" applyFont="1" applyFill="1" applyBorder="1" applyAlignment="1" applyProtection="1">
      <protection locked="0"/>
    </xf>
    <xf numFmtId="3" fontId="6" fillId="13" borderId="21" xfId="0" applyNumberFormat="1" applyFont="1" applyFill="1" applyBorder="1" applyAlignment="1" applyProtection="1">
      <protection locked="0"/>
    </xf>
    <xf numFmtId="0" fontId="27" fillId="18" borderId="12" xfId="0" applyFont="1" applyFill="1" applyBorder="1"/>
    <xf numFmtId="0" fontId="28" fillId="18" borderId="14" xfId="0" applyFont="1" applyFill="1" applyBorder="1"/>
    <xf numFmtId="0" fontId="6" fillId="18" borderId="0" xfId="0" applyFont="1" applyFill="1" applyBorder="1" applyAlignment="1">
      <alignment vertical="top" wrapText="1"/>
    </xf>
    <xf numFmtId="0" fontId="6" fillId="18" borderId="0" xfId="0" applyFont="1" applyFill="1" applyBorder="1" applyAlignment="1">
      <alignment horizontal="left" vertical="top" wrapText="1" indent="1"/>
    </xf>
    <xf numFmtId="0" fontId="6" fillId="9" borderId="15" xfId="0" applyFont="1" applyFill="1" applyBorder="1" applyProtection="1">
      <protection locked="0"/>
    </xf>
    <xf numFmtId="49" fontId="6" fillId="9" borderId="15" xfId="0" applyNumberFormat="1" applyFont="1" applyFill="1" applyBorder="1" applyProtection="1">
      <protection locked="0"/>
    </xf>
    <xf numFmtId="0" fontId="6" fillId="13" borderId="15" xfId="0" applyFont="1" applyFill="1" applyBorder="1" applyProtection="1">
      <protection locked="0"/>
    </xf>
    <xf numFmtId="165" fontId="8" fillId="16" borderId="21" xfId="0" applyNumberFormat="1" applyFont="1" applyFill="1" applyBorder="1" applyProtection="1">
      <protection locked="0"/>
    </xf>
    <xf numFmtId="164" fontId="6" fillId="9" borderId="15" xfId="0" applyNumberFormat="1" applyFont="1" applyFill="1" applyBorder="1" applyProtection="1">
      <protection locked="0"/>
    </xf>
    <xf numFmtId="3" fontId="6" fillId="9" borderId="15" xfId="0" applyNumberFormat="1" applyFont="1" applyFill="1" applyBorder="1" applyProtection="1">
      <protection locked="0"/>
    </xf>
    <xf numFmtId="0" fontId="29" fillId="13" borderId="15" xfId="0" applyFont="1" applyFill="1" applyBorder="1" applyProtection="1">
      <protection locked="0"/>
    </xf>
    <xf numFmtId="168" fontId="6" fillId="9" borderId="15" xfId="0" applyNumberFormat="1" applyFont="1" applyFill="1" applyBorder="1" applyAlignment="1" applyProtection="1">
      <protection locked="0"/>
    </xf>
    <xf numFmtId="165" fontId="6" fillId="9" borderId="15" xfId="0" applyNumberFormat="1" applyFont="1" applyFill="1" applyBorder="1" applyProtection="1">
      <protection locked="0"/>
    </xf>
    <xf numFmtId="166" fontId="6" fillId="9" borderId="21" xfId="0" applyNumberFormat="1" applyFont="1" applyFill="1" applyBorder="1" applyProtection="1">
      <protection locked="0"/>
    </xf>
  </cellXfs>
  <cellStyles count="4">
    <cellStyle name="60% - akcent 1" xfId="1" xr:uid="{00000000-0005-0000-0000-000000000000}"/>
    <cellStyle name="Hipervínculo" xfId="2" builtinId="8"/>
    <cellStyle name="Normal" xfId="0" builtinId="0"/>
    <cellStyle name="Normal 12" xfId="3" xr:uid="{00000000-0005-0000-0000-000003000000}"/>
  </cellStyles>
  <dxfs count="0"/>
  <tableStyles count="0" defaultTableStyle="TableStyleMedium9" defaultPivotStyle="PivotStyleLight16"/>
  <colors>
    <mruColors>
      <color rgb="FFF5FCA0"/>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9525</xdr:rowOff>
    </xdr:from>
    <xdr:to>
      <xdr:col>5</xdr:col>
      <xdr:colOff>1971675</xdr:colOff>
      <xdr:row>0</xdr:row>
      <xdr:rowOff>819150</xdr:rowOff>
    </xdr:to>
    <xdr:pic>
      <xdr:nvPicPr>
        <xdr:cNvPr id="2268" name="4 Imagen">
          <a:extLst>
            <a:ext uri="{FF2B5EF4-FFF2-40B4-BE49-F238E27FC236}">
              <a16:creationId xmlns:a16="http://schemas.microsoft.com/office/drawing/2014/main" id="{00000000-0008-0000-0000-0000DC08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525"/>
          <a:ext cx="2876550"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2333625</xdr:colOff>
      <xdr:row>0</xdr:row>
      <xdr:rowOff>93133</xdr:rowOff>
    </xdr:from>
    <xdr:to>
      <xdr:col>5</xdr:col>
      <xdr:colOff>5945531</xdr:colOff>
      <xdr:row>1</xdr:row>
      <xdr:rowOff>19633</xdr:rowOff>
    </xdr:to>
    <xdr:sp macro="" textlink="">
      <xdr:nvSpPr>
        <xdr:cNvPr id="5" name="4 CuadroTexto">
          <a:extLst>
            <a:ext uri="{FF2B5EF4-FFF2-40B4-BE49-F238E27FC236}">
              <a16:creationId xmlns:a16="http://schemas.microsoft.com/office/drawing/2014/main" id="{00000000-0008-0000-0000-000005000000}"/>
            </a:ext>
          </a:extLst>
        </xdr:cNvPr>
        <xdr:cNvSpPr txBox="1"/>
      </xdr:nvSpPr>
      <xdr:spPr>
        <a:xfrm>
          <a:off x="3238500" y="93133"/>
          <a:ext cx="3611906" cy="1260000"/>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s-CL" sz="1100" b="1" i="0">
              <a:solidFill>
                <a:schemeClr val="tx1"/>
              </a:solidFill>
              <a:effectLst/>
              <a:latin typeface="+mn-lt"/>
              <a:ea typeface="+mn-ea"/>
              <a:cs typeface="+mn-cs"/>
            </a:rPr>
            <a:t>IMPORTANTE</a:t>
          </a:r>
          <a:r>
            <a:rPr lang="es-CL" sz="1100" b="0" i="0">
              <a:solidFill>
                <a:schemeClr val="tx1"/>
              </a:solidFill>
              <a:effectLst/>
              <a:latin typeface="+mn-lt"/>
              <a:ea typeface="+mn-ea"/>
              <a:cs typeface="+mn-cs"/>
            </a:rPr>
            <a:t>: El presente documento esta protegido por el registro de </a:t>
          </a:r>
          <a:r>
            <a:rPr lang="es-CL" sz="1100" b="0" i="0" u="none">
              <a:solidFill>
                <a:schemeClr val="tx1"/>
              </a:solidFill>
              <a:effectLst/>
              <a:latin typeface="+mn-lt"/>
              <a:ea typeface="+mn-ea"/>
              <a:cs typeface="+mn-cs"/>
            </a:rPr>
            <a:t>propiedad</a:t>
          </a:r>
          <a:r>
            <a:rPr lang="es-CL" sz="1100" b="0" i="0" u="none" baseline="0">
              <a:solidFill>
                <a:schemeClr val="tx1"/>
              </a:solidFill>
              <a:effectLst/>
              <a:latin typeface="+mn-lt"/>
              <a:ea typeface="+mn-ea"/>
              <a:cs typeface="+mn-cs"/>
            </a:rPr>
            <a:t> </a:t>
          </a:r>
          <a:r>
            <a:rPr lang="es-CL" sz="1100" b="0" i="0" u="none">
              <a:solidFill>
                <a:schemeClr val="tx1"/>
              </a:solidFill>
              <a:effectLst/>
              <a:latin typeface="+mn-lt"/>
              <a:ea typeface="+mn-ea"/>
              <a:cs typeface="+mn-cs"/>
            </a:rPr>
            <a:t>intelectual </a:t>
          </a:r>
          <a:r>
            <a:rPr lang="es-CL" sz="1100" b="0" i="0">
              <a:solidFill>
                <a:schemeClr val="tx1"/>
              </a:solidFill>
              <a:effectLst/>
              <a:latin typeface="+mn-lt"/>
              <a:ea typeface="+mn-ea"/>
              <a:cs typeface="+mn-cs"/>
            </a:rPr>
            <a:t> No. 132.246, del Departamento de Derechos Intelectuales de Chile.  Este documento no puede ser utilizado por personas no autorizadas ni distribuido sin autorización expresa y por escrito de DBNeT S.A.</a:t>
          </a:r>
          <a:endParaRPr lang="es-CL" sz="1100">
            <a:solidFill>
              <a:schemeClr val="tx1"/>
            </a:solidFill>
          </a:endParaRPr>
        </a:p>
      </xdr:txBody>
    </xdr:sp>
    <xdr:clientData/>
  </xdr:twoCellAnchor>
  <xdr:twoCellAnchor>
    <xdr:from>
      <xdr:col>1</xdr:col>
      <xdr:colOff>123825</xdr:colOff>
      <xdr:row>0</xdr:row>
      <xdr:rowOff>1009649</xdr:rowOff>
    </xdr:from>
    <xdr:to>
      <xdr:col>5</xdr:col>
      <xdr:colOff>479925</xdr:colOff>
      <xdr:row>1</xdr:row>
      <xdr:rowOff>108149</xdr:rowOff>
    </xdr:to>
    <xdr:sp macro="[0]!Guarda_Hojas_CSV" textlink="">
      <xdr:nvSpPr>
        <xdr:cNvPr id="6" name="5 Rectángulo redondeado">
          <a:extLst>
            <a:ext uri="{FF2B5EF4-FFF2-40B4-BE49-F238E27FC236}">
              <a16:creationId xmlns:a16="http://schemas.microsoft.com/office/drawing/2014/main" id="{00000000-0008-0000-0000-000006000000}"/>
            </a:ext>
          </a:extLst>
        </xdr:cNvPr>
        <xdr:cNvSpPr/>
      </xdr:nvSpPr>
      <xdr:spPr>
        <a:xfrm>
          <a:off x="304800" y="1009649"/>
          <a:ext cx="1080000" cy="432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indent="0" algn="ctr"/>
          <a:r>
            <a:rPr lang="es-ES" sz="1100">
              <a:solidFill>
                <a:schemeClr val="lt1">
                  <a:lumMod val="100000"/>
                </a:schemeClr>
              </a:solidFill>
              <a:latin typeface="+mn-lt"/>
              <a:ea typeface="+mn-ea"/>
              <a:cs typeface="+mn-cs"/>
            </a:rPr>
            <a:t>Crear CSV</a:t>
          </a:r>
        </a:p>
      </xdr:txBody>
    </xdr:sp>
    <xdr:clientData/>
  </xdr:twoCellAnchor>
  <xdr:twoCellAnchor>
    <xdr:from>
      <xdr:col>5</xdr:col>
      <xdr:colOff>647700</xdr:colOff>
      <xdr:row>0</xdr:row>
      <xdr:rowOff>1009649</xdr:rowOff>
    </xdr:from>
    <xdr:to>
      <xdr:col>5</xdr:col>
      <xdr:colOff>1727700</xdr:colOff>
      <xdr:row>1</xdr:row>
      <xdr:rowOff>108149</xdr:rowOff>
    </xdr:to>
    <xdr:sp macro="[0]!Guarda_Hojas_ZIP" textlink="">
      <xdr:nvSpPr>
        <xdr:cNvPr id="7" name="6 Rectángulo redondeado">
          <a:extLst>
            <a:ext uri="{FF2B5EF4-FFF2-40B4-BE49-F238E27FC236}">
              <a16:creationId xmlns:a16="http://schemas.microsoft.com/office/drawing/2014/main" id="{00000000-0008-0000-0000-000007000000}"/>
            </a:ext>
          </a:extLst>
        </xdr:cNvPr>
        <xdr:cNvSpPr/>
      </xdr:nvSpPr>
      <xdr:spPr>
        <a:xfrm>
          <a:off x="1552575" y="1009649"/>
          <a:ext cx="1080000" cy="432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indent="0" algn="ctr"/>
          <a:r>
            <a:rPr lang="es-ES" sz="900">
              <a:solidFill>
                <a:schemeClr val="lt1">
                  <a:lumMod val="100000"/>
                </a:schemeClr>
              </a:solidFill>
              <a:latin typeface="+mn-lt"/>
              <a:ea typeface="+mn-ea"/>
              <a:cs typeface="+mn-cs"/>
            </a:rPr>
            <a:t>Crear/Comprimir</a:t>
          </a:r>
          <a:r>
            <a:rPr lang="es-ES" sz="900" baseline="0">
              <a:solidFill>
                <a:schemeClr val="lt1">
                  <a:lumMod val="100000"/>
                </a:schemeClr>
              </a:solidFill>
              <a:latin typeface="+mn-lt"/>
              <a:ea typeface="+mn-ea"/>
              <a:cs typeface="+mn-cs"/>
            </a:rPr>
            <a:t> CSV</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22488</xdr:colOff>
      <xdr:row>0</xdr:row>
      <xdr:rowOff>67469</xdr:rowOff>
    </xdr:from>
    <xdr:to>
      <xdr:col>5</xdr:col>
      <xdr:colOff>90221</xdr:colOff>
      <xdr:row>0</xdr:row>
      <xdr:rowOff>444500</xdr:rowOff>
    </xdr:to>
    <xdr:sp macro="[0]!Guarda_Hojas_CSV" textlink="">
      <xdr:nvSpPr>
        <xdr:cNvPr id="3" name="2 Rectángulo redondeado">
          <a:extLst>
            <a:ext uri="{FF2B5EF4-FFF2-40B4-BE49-F238E27FC236}">
              <a16:creationId xmlns:a16="http://schemas.microsoft.com/office/drawing/2014/main" id="{00000000-0008-0000-0100-000003000000}"/>
            </a:ext>
          </a:extLst>
        </xdr:cNvPr>
        <xdr:cNvSpPr/>
      </xdr:nvSpPr>
      <xdr:spPr>
        <a:xfrm>
          <a:off x="170655" y="67469"/>
          <a:ext cx="1030816" cy="377031"/>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Crear CSV</a:t>
          </a:r>
        </a:p>
      </xdr:txBody>
    </xdr:sp>
    <xdr:clientData/>
  </xdr:twoCellAnchor>
  <xdr:twoCellAnchor editAs="absolute">
    <xdr:from>
      <xdr:col>5</xdr:col>
      <xdr:colOff>4804834</xdr:colOff>
      <xdr:row>0</xdr:row>
      <xdr:rowOff>42333</xdr:rowOff>
    </xdr:from>
    <xdr:to>
      <xdr:col>5</xdr:col>
      <xdr:colOff>6328834</xdr:colOff>
      <xdr:row>0</xdr:row>
      <xdr:rowOff>399521</xdr:rowOff>
    </xdr:to>
    <xdr:sp macro="[0]!Copiar_columna" textlink="">
      <xdr:nvSpPr>
        <xdr:cNvPr id="4" name="3 Rectángulo redondeado">
          <a:extLst>
            <a:ext uri="{FF2B5EF4-FFF2-40B4-BE49-F238E27FC236}">
              <a16:creationId xmlns:a16="http://schemas.microsoft.com/office/drawing/2014/main" id="{00000000-0008-0000-0100-000004000000}"/>
            </a:ext>
          </a:extLst>
        </xdr:cNvPr>
        <xdr:cNvSpPr>
          <a:spLocks/>
        </xdr:cNvSpPr>
      </xdr:nvSpPr>
      <xdr:spPr>
        <a:xfrm>
          <a:off x="5916084" y="42333"/>
          <a:ext cx="1524000" cy="357188"/>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Copiar Columna</a:t>
          </a:r>
        </a:p>
      </xdr:txBody>
    </xdr:sp>
    <xdr:clientData/>
  </xdr:twoCellAnchor>
  <xdr:twoCellAnchor>
    <xdr:from>
      <xdr:col>5</xdr:col>
      <xdr:colOff>179917</xdr:colOff>
      <xdr:row>0</xdr:row>
      <xdr:rowOff>74083</xdr:rowOff>
    </xdr:from>
    <xdr:to>
      <xdr:col>5</xdr:col>
      <xdr:colOff>1200150</xdr:colOff>
      <xdr:row>0</xdr:row>
      <xdr:rowOff>435239</xdr:rowOff>
    </xdr:to>
    <xdr:sp macro="[0]!Guarda_Hojas_ZIP" textlink="">
      <xdr:nvSpPr>
        <xdr:cNvPr id="5" name="4 Rectángulo redondeado">
          <a:extLst>
            <a:ext uri="{FF2B5EF4-FFF2-40B4-BE49-F238E27FC236}">
              <a16:creationId xmlns:a16="http://schemas.microsoft.com/office/drawing/2014/main" id="{00000000-0008-0000-0100-000005000000}"/>
            </a:ext>
          </a:extLst>
        </xdr:cNvPr>
        <xdr:cNvSpPr/>
      </xdr:nvSpPr>
      <xdr:spPr>
        <a:xfrm>
          <a:off x="1291167" y="74083"/>
          <a:ext cx="1020233" cy="361156"/>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s-ES" sz="1100"/>
            <a:t>Crear/Comprimir CSV</a:t>
          </a:r>
        </a:p>
      </xdr:txBody>
    </xdr:sp>
    <xdr:clientData/>
  </xdr:twoCellAnchor>
  <xdr:twoCellAnchor>
    <xdr:from>
      <xdr:col>10</xdr:col>
      <xdr:colOff>152400</xdr:colOff>
      <xdr:row>1</xdr:row>
      <xdr:rowOff>1205754</xdr:rowOff>
    </xdr:from>
    <xdr:to>
      <xdr:col>10</xdr:col>
      <xdr:colOff>499783</xdr:colOff>
      <xdr:row>1</xdr:row>
      <xdr:rowOff>2124636</xdr:rowOff>
    </xdr:to>
    <xdr:sp macro="" textlink="">
      <xdr:nvSpPr>
        <xdr:cNvPr id="8" name="7 Flecha abajo">
          <a:extLst>
            <a:ext uri="{FF2B5EF4-FFF2-40B4-BE49-F238E27FC236}">
              <a16:creationId xmlns:a16="http://schemas.microsoft.com/office/drawing/2014/main" id="{00000000-0008-0000-0100-000008000000}"/>
            </a:ext>
          </a:extLst>
        </xdr:cNvPr>
        <xdr:cNvSpPr/>
      </xdr:nvSpPr>
      <xdr:spPr>
        <a:xfrm>
          <a:off x="11896165" y="1710019"/>
          <a:ext cx="347383" cy="91888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9</xdr:col>
      <xdr:colOff>466165</xdr:colOff>
      <xdr:row>1</xdr:row>
      <xdr:rowOff>454959</xdr:rowOff>
    </xdr:from>
    <xdr:to>
      <xdr:col>11</xdr:col>
      <xdr:colOff>298077</xdr:colOff>
      <xdr:row>1</xdr:row>
      <xdr:rowOff>1127312</xdr:rowOff>
    </xdr:to>
    <xdr:sp macro="" textlink="">
      <xdr:nvSpPr>
        <xdr:cNvPr id="9" name="8 Rectángulo redondeado">
          <a:extLst>
            <a:ext uri="{FF2B5EF4-FFF2-40B4-BE49-F238E27FC236}">
              <a16:creationId xmlns:a16="http://schemas.microsoft.com/office/drawing/2014/main" id="{00000000-0008-0000-0100-000009000000}"/>
            </a:ext>
          </a:extLst>
        </xdr:cNvPr>
        <xdr:cNvSpPr/>
      </xdr:nvSpPr>
      <xdr:spPr>
        <a:xfrm>
          <a:off x="11391900" y="959224"/>
          <a:ext cx="1467971"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twoCellAnchor>
    <xdr:from>
      <xdr:col>7</xdr:col>
      <xdr:colOff>152400</xdr:colOff>
      <xdr:row>1</xdr:row>
      <xdr:rowOff>1205754</xdr:rowOff>
    </xdr:from>
    <xdr:to>
      <xdr:col>7</xdr:col>
      <xdr:colOff>499783</xdr:colOff>
      <xdr:row>1</xdr:row>
      <xdr:rowOff>2124636</xdr:rowOff>
    </xdr:to>
    <xdr:sp macro="" textlink="">
      <xdr:nvSpPr>
        <xdr:cNvPr id="7" name="7 Flecha abajo">
          <a:extLst>
            <a:ext uri="{FF2B5EF4-FFF2-40B4-BE49-F238E27FC236}">
              <a16:creationId xmlns:a16="http://schemas.microsoft.com/office/drawing/2014/main" id="{00000000-0008-0000-0100-000007000000}"/>
            </a:ext>
          </a:extLst>
        </xdr:cNvPr>
        <xdr:cNvSpPr/>
      </xdr:nvSpPr>
      <xdr:spPr>
        <a:xfrm>
          <a:off x="24939812" y="1710019"/>
          <a:ext cx="347383" cy="91888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6</xdr:col>
      <xdr:colOff>466165</xdr:colOff>
      <xdr:row>1</xdr:row>
      <xdr:rowOff>454959</xdr:rowOff>
    </xdr:from>
    <xdr:to>
      <xdr:col>8</xdr:col>
      <xdr:colOff>298077</xdr:colOff>
      <xdr:row>1</xdr:row>
      <xdr:rowOff>1127312</xdr:rowOff>
    </xdr:to>
    <xdr:sp macro="" textlink="">
      <xdr:nvSpPr>
        <xdr:cNvPr id="10" name="8 Rectángulo redondeado">
          <a:extLst>
            <a:ext uri="{FF2B5EF4-FFF2-40B4-BE49-F238E27FC236}">
              <a16:creationId xmlns:a16="http://schemas.microsoft.com/office/drawing/2014/main" id="{00000000-0008-0000-0100-00000A000000}"/>
            </a:ext>
          </a:extLst>
        </xdr:cNvPr>
        <xdr:cNvSpPr/>
      </xdr:nvSpPr>
      <xdr:spPr>
        <a:xfrm>
          <a:off x="24435547" y="959224"/>
          <a:ext cx="1467971"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22488</xdr:colOff>
      <xdr:row>0</xdr:row>
      <xdr:rowOff>67469</xdr:rowOff>
    </xdr:from>
    <xdr:to>
      <xdr:col>5</xdr:col>
      <xdr:colOff>90221</xdr:colOff>
      <xdr:row>0</xdr:row>
      <xdr:rowOff>444500</xdr:rowOff>
    </xdr:to>
    <xdr:sp macro="[0]!Guarda_Hojas_CSV" textlink="">
      <xdr:nvSpPr>
        <xdr:cNvPr id="2" name="1 Rectángulo redondeado">
          <a:extLst>
            <a:ext uri="{FF2B5EF4-FFF2-40B4-BE49-F238E27FC236}">
              <a16:creationId xmlns:a16="http://schemas.microsoft.com/office/drawing/2014/main" id="{00000000-0008-0000-0200-000002000000}"/>
            </a:ext>
          </a:extLst>
        </xdr:cNvPr>
        <xdr:cNvSpPr/>
      </xdr:nvSpPr>
      <xdr:spPr>
        <a:xfrm>
          <a:off x="165363" y="67469"/>
          <a:ext cx="1020233" cy="377031"/>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Crear CSV</a:t>
          </a:r>
        </a:p>
      </xdr:txBody>
    </xdr:sp>
    <xdr:clientData/>
  </xdr:twoCellAnchor>
  <xdr:twoCellAnchor editAs="absolute">
    <xdr:from>
      <xdr:col>5</xdr:col>
      <xdr:colOff>4804834</xdr:colOff>
      <xdr:row>0</xdr:row>
      <xdr:rowOff>42333</xdr:rowOff>
    </xdr:from>
    <xdr:to>
      <xdr:col>5</xdr:col>
      <xdr:colOff>6017559</xdr:colOff>
      <xdr:row>0</xdr:row>
      <xdr:rowOff>399521</xdr:rowOff>
    </xdr:to>
    <xdr:sp macro="[0]!Copiar_columna" textlink="">
      <xdr:nvSpPr>
        <xdr:cNvPr id="3" name="2 Rectángulo redondeado">
          <a:extLst>
            <a:ext uri="{FF2B5EF4-FFF2-40B4-BE49-F238E27FC236}">
              <a16:creationId xmlns:a16="http://schemas.microsoft.com/office/drawing/2014/main" id="{00000000-0008-0000-0200-000003000000}"/>
            </a:ext>
          </a:extLst>
        </xdr:cNvPr>
        <xdr:cNvSpPr>
          <a:spLocks/>
        </xdr:cNvSpPr>
      </xdr:nvSpPr>
      <xdr:spPr>
        <a:xfrm>
          <a:off x="5903010" y="42333"/>
          <a:ext cx="1212725" cy="357188"/>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Copiar Columna</a:t>
          </a:r>
        </a:p>
      </xdr:txBody>
    </xdr:sp>
    <xdr:clientData/>
  </xdr:twoCellAnchor>
  <xdr:twoCellAnchor>
    <xdr:from>
      <xdr:col>5</xdr:col>
      <xdr:colOff>179917</xdr:colOff>
      <xdr:row>0</xdr:row>
      <xdr:rowOff>74083</xdr:rowOff>
    </xdr:from>
    <xdr:to>
      <xdr:col>5</xdr:col>
      <xdr:colOff>1200150</xdr:colOff>
      <xdr:row>0</xdr:row>
      <xdr:rowOff>435239</xdr:rowOff>
    </xdr:to>
    <xdr:sp macro="[0]!Guarda_Hojas_ZIP" textlink="">
      <xdr:nvSpPr>
        <xdr:cNvPr id="4" name="3 Rectángulo redondeado">
          <a:extLst>
            <a:ext uri="{FF2B5EF4-FFF2-40B4-BE49-F238E27FC236}">
              <a16:creationId xmlns:a16="http://schemas.microsoft.com/office/drawing/2014/main" id="{00000000-0008-0000-0200-000004000000}"/>
            </a:ext>
          </a:extLst>
        </xdr:cNvPr>
        <xdr:cNvSpPr/>
      </xdr:nvSpPr>
      <xdr:spPr>
        <a:xfrm>
          <a:off x="1275292" y="74083"/>
          <a:ext cx="1020233" cy="361156"/>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s-ES" sz="1100"/>
            <a:t>Crear/Comprimir CSV</a:t>
          </a:r>
        </a:p>
      </xdr:txBody>
    </xdr:sp>
    <xdr:clientData/>
  </xdr:twoCellAnchor>
  <xdr:twoCellAnchor>
    <xdr:from>
      <xdr:col>7</xdr:col>
      <xdr:colOff>212913</xdr:colOff>
      <xdr:row>1</xdr:row>
      <xdr:rowOff>1221441</xdr:rowOff>
    </xdr:from>
    <xdr:to>
      <xdr:col>7</xdr:col>
      <xdr:colOff>560296</xdr:colOff>
      <xdr:row>1</xdr:row>
      <xdr:rowOff>2140323</xdr:rowOff>
    </xdr:to>
    <xdr:sp macro="" textlink="">
      <xdr:nvSpPr>
        <xdr:cNvPr id="5" name="4 Flecha abajo">
          <a:extLst>
            <a:ext uri="{FF2B5EF4-FFF2-40B4-BE49-F238E27FC236}">
              <a16:creationId xmlns:a16="http://schemas.microsoft.com/office/drawing/2014/main" id="{00000000-0008-0000-0200-000005000000}"/>
            </a:ext>
          </a:extLst>
        </xdr:cNvPr>
        <xdr:cNvSpPr/>
      </xdr:nvSpPr>
      <xdr:spPr>
        <a:xfrm>
          <a:off x="8180295" y="1725706"/>
          <a:ext cx="347383" cy="91888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6</xdr:col>
      <xdr:colOff>526677</xdr:colOff>
      <xdr:row>1</xdr:row>
      <xdr:rowOff>470646</xdr:rowOff>
    </xdr:from>
    <xdr:to>
      <xdr:col>8</xdr:col>
      <xdr:colOff>358589</xdr:colOff>
      <xdr:row>1</xdr:row>
      <xdr:rowOff>1142999</xdr:rowOff>
    </xdr:to>
    <xdr:sp macro="" textlink="">
      <xdr:nvSpPr>
        <xdr:cNvPr id="6" name="5 Rectángulo redondeado">
          <a:extLst>
            <a:ext uri="{FF2B5EF4-FFF2-40B4-BE49-F238E27FC236}">
              <a16:creationId xmlns:a16="http://schemas.microsoft.com/office/drawing/2014/main" id="{00000000-0008-0000-0200-000006000000}"/>
            </a:ext>
          </a:extLst>
        </xdr:cNvPr>
        <xdr:cNvSpPr/>
      </xdr:nvSpPr>
      <xdr:spPr>
        <a:xfrm>
          <a:off x="7676030" y="974911"/>
          <a:ext cx="1467971"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22488</xdr:colOff>
      <xdr:row>0</xdr:row>
      <xdr:rowOff>67469</xdr:rowOff>
    </xdr:from>
    <xdr:to>
      <xdr:col>5</xdr:col>
      <xdr:colOff>90221</xdr:colOff>
      <xdr:row>0</xdr:row>
      <xdr:rowOff>444500</xdr:rowOff>
    </xdr:to>
    <xdr:sp macro="[0]!Guarda_Hojas_CSV" textlink="">
      <xdr:nvSpPr>
        <xdr:cNvPr id="2" name="1 Rectángulo redondeado">
          <a:extLst>
            <a:ext uri="{FF2B5EF4-FFF2-40B4-BE49-F238E27FC236}">
              <a16:creationId xmlns:a16="http://schemas.microsoft.com/office/drawing/2014/main" id="{00000000-0008-0000-0300-000002000000}"/>
            </a:ext>
          </a:extLst>
        </xdr:cNvPr>
        <xdr:cNvSpPr/>
      </xdr:nvSpPr>
      <xdr:spPr>
        <a:xfrm>
          <a:off x="165363" y="67469"/>
          <a:ext cx="1020233" cy="377031"/>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Crear CSV</a:t>
          </a:r>
        </a:p>
      </xdr:txBody>
    </xdr:sp>
    <xdr:clientData/>
  </xdr:twoCellAnchor>
  <xdr:twoCellAnchor editAs="absolute">
    <xdr:from>
      <xdr:col>5</xdr:col>
      <xdr:colOff>4804834</xdr:colOff>
      <xdr:row>0</xdr:row>
      <xdr:rowOff>42333</xdr:rowOff>
    </xdr:from>
    <xdr:to>
      <xdr:col>5</xdr:col>
      <xdr:colOff>6006353</xdr:colOff>
      <xdr:row>0</xdr:row>
      <xdr:rowOff>399521</xdr:rowOff>
    </xdr:to>
    <xdr:sp macro="[0]!Copiar_columna" textlink="">
      <xdr:nvSpPr>
        <xdr:cNvPr id="3" name="2 Rectángulo redondeado">
          <a:extLst>
            <a:ext uri="{FF2B5EF4-FFF2-40B4-BE49-F238E27FC236}">
              <a16:creationId xmlns:a16="http://schemas.microsoft.com/office/drawing/2014/main" id="{00000000-0008-0000-0300-000003000000}"/>
            </a:ext>
          </a:extLst>
        </xdr:cNvPr>
        <xdr:cNvSpPr>
          <a:spLocks/>
        </xdr:cNvSpPr>
      </xdr:nvSpPr>
      <xdr:spPr>
        <a:xfrm>
          <a:off x="5903010" y="42333"/>
          <a:ext cx="1201519" cy="357188"/>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Copiar Columna</a:t>
          </a:r>
        </a:p>
      </xdr:txBody>
    </xdr:sp>
    <xdr:clientData/>
  </xdr:twoCellAnchor>
  <xdr:twoCellAnchor>
    <xdr:from>
      <xdr:col>5</xdr:col>
      <xdr:colOff>179917</xdr:colOff>
      <xdr:row>0</xdr:row>
      <xdr:rowOff>74083</xdr:rowOff>
    </xdr:from>
    <xdr:to>
      <xdr:col>5</xdr:col>
      <xdr:colOff>1200150</xdr:colOff>
      <xdr:row>0</xdr:row>
      <xdr:rowOff>435239</xdr:rowOff>
    </xdr:to>
    <xdr:sp macro="[0]!Guarda_Hojas_ZIP" textlink="">
      <xdr:nvSpPr>
        <xdr:cNvPr id="4" name="3 Rectángulo redondeado">
          <a:extLst>
            <a:ext uri="{FF2B5EF4-FFF2-40B4-BE49-F238E27FC236}">
              <a16:creationId xmlns:a16="http://schemas.microsoft.com/office/drawing/2014/main" id="{00000000-0008-0000-0300-000004000000}"/>
            </a:ext>
          </a:extLst>
        </xdr:cNvPr>
        <xdr:cNvSpPr/>
      </xdr:nvSpPr>
      <xdr:spPr>
        <a:xfrm>
          <a:off x="1275292" y="74083"/>
          <a:ext cx="1020233" cy="361156"/>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s-ES" sz="1100"/>
            <a:t>Crear/Comprimir CSV</a:t>
          </a:r>
        </a:p>
      </xdr:txBody>
    </xdr:sp>
    <xdr:clientData/>
  </xdr:twoCellAnchor>
  <xdr:twoCellAnchor>
    <xdr:from>
      <xdr:col>8</xdr:col>
      <xdr:colOff>212912</xdr:colOff>
      <xdr:row>1</xdr:row>
      <xdr:rowOff>1221442</xdr:rowOff>
    </xdr:from>
    <xdr:to>
      <xdr:col>8</xdr:col>
      <xdr:colOff>560295</xdr:colOff>
      <xdr:row>1</xdr:row>
      <xdr:rowOff>2140324</xdr:rowOff>
    </xdr:to>
    <xdr:sp macro="" textlink="">
      <xdr:nvSpPr>
        <xdr:cNvPr id="5" name="4 Flecha abajo">
          <a:extLst>
            <a:ext uri="{FF2B5EF4-FFF2-40B4-BE49-F238E27FC236}">
              <a16:creationId xmlns:a16="http://schemas.microsoft.com/office/drawing/2014/main" id="{00000000-0008-0000-0300-000005000000}"/>
            </a:ext>
          </a:extLst>
        </xdr:cNvPr>
        <xdr:cNvSpPr/>
      </xdr:nvSpPr>
      <xdr:spPr>
        <a:xfrm>
          <a:off x="8942294" y="1725707"/>
          <a:ext cx="347383" cy="91888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7</xdr:col>
      <xdr:colOff>526676</xdr:colOff>
      <xdr:row>1</xdr:row>
      <xdr:rowOff>470647</xdr:rowOff>
    </xdr:from>
    <xdr:to>
      <xdr:col>9</xdr:col>
      <xdr:colOff>358588</xdr:colOff>
      <xdr:row>1</xdr:row>
      <xdr:rowOff>1143000</xdr:rowOff>
    </xdr:to>
    <xdr:sp macro="" textlink="">
      <xdr:nvSpPr>
        <xdr:cNvPr id="6" name="5 Rectángulo redondeado">
          <a:extLst>
            <a:ext uri="{FF2B5EF4-FFF2-40B4-BE49-F238E27FC236}">
              <a16:creationId xmlns:a16="http://schemas.microsoft.com/office/drawing/2014/main" id="{00000000-0008-0000-0300-000006000000}"/>
            </a:ext>
          </a:extLst>
        </xdr:cNvPr>
        <xdr:cNvSpPr/>
      </xdr:nvSpPr>
      <xdr:spPr>
        <a:xfrm>
          <a:off x="8438029" y="974912"/>
          <a:ext cx="1467971"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22488</xdr:colOff>
      <xdr:row>0</xdr:row>
      <xdr:rowOff>67469</xdr:rowOff>
    </xdr:from>
    <xdr:to>
      <xdr:col>5</xdr:col>
      <xdr:colOff>90221</xdr:colOff>
      <xdr:row>0</xdr:row>
      <xdr:rowOff>444500</xdr:rowOff>
    </xdr:to>
    <xdr:sp macro="[0]!Guarda_Hojas_CSV" textlink="">
      <xdr:nvSpPr>
        <xdr:cNvPr id="2" name="1 Rectángulo redondeado">
          <a:extLst>
            <a:ext uri="{FF2B5EF4-FFF2-40B4-BE49-F238E27FC236}">
              <a16:creationId xmlns:a16="http://schemas.microsoft.com/office/drawing/2014/main" id="{00000000-0008-0000-0400-000002000000}"/>
            </a:ext>
          </a:extLst>
        </xdr:cNvPr>
        <xdr:cNvSpPr/>
      </xdr:nvSpPr>
      <xdr:spPr>
        <a:xfrm>
          <a:off x="165363" y="67469"/>
          <a:ext cx="1020233" cy="377031"/>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Crear CSV</a:t>
          </a:r>
        </a:p>
      </xdr:txBody>
    </xdr:sp>
    <xdr:clientData/>
  </xdr:twoCellAnchor>
  <xdr:twoCellAnchor>
    <xdr:from>
      <xdr:col>5</xdr:col>
      <xdr:colOff>179917</xdr:colOff>
      <xdr:row>0</xdr:row>
      <xdr:rowOff>74083</xdr:rowOff>
    </xdr:from>
    <xdr:to>
      <xdr:col>5</xdr:col>
      <xdr:colOff>1200150</xdr:colOff>
      <xdr:row>0</xdr:row>
      <xdr:rowOff>435239</xdr:rowOff>
    </xdr:to>
    <xdr:sp macro="[0]!Guarda_Hojas_ZIP" textlink="">
      <xdr:nvSpPr>
        <xdr:cNvPr id="4" name="3 Rectángulo redondeado">
          <a:extLst>
            <a:ext uri="{FF2B5EF4-FFF2-40B4-BE49-F238E27FC236}">
              <a16:creationId xmlns:a16="http://schemas.microsoft.com/office/drawing/2014/main" id="{00000000-0008-0000-0400-000004000000}"/>
            </a:ext>
          </a:extLst>
        </xdr:cNvPr>
        <xdr:cNvSpPr/>
      </xdr:nvSpPr>
      <xdr:spPr>
        <a:xfrm>
          <a:off x="1275292" y="74083"/>
          <a:ext cx="1020233" cy="361156"/>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s-ES" sz="1100"/>
            <a:t>Crear/Comprimir CSV</a:t>
          </a:r>
        </a:p>
      </xdr:txBody>
    </xdr:sp>
    <xdr:clientData/>
  </xdr:twoCellAnchor>
  <xdr:twoCellAnchor>
    <xdr:from>
      <xdr:col>7</xdr:col>
      <xdr:colOff>168089</xdr:colOff>
      <xdr:row>1</xdr:row>
      <xdr:rowOff>1165412</xdr:rowOff>
    </xdr:from>
    <xdr:to>
      <xdr:col>7</xdr:col>
      <xdr:colOff>515472</xdr:colOff>
      <xdr:row>1</xdr:row>
      <xdr:rowOff>2084294</xdr:rowOff>
    </xdr:to>
    <xdr:sp macro="" textlink="">
      <xdr:nvSpPr>
        <xdr:cNvPr id="5" name="4 Flecha abajo">
          <a:extLst>
            <a:ext uri="{FF2B5EF4-FFF2-40B4-BE49-F238E27FC236}">
              <a16:creationId xmlns:a16="http://schemas.microsoft.com/office/drawing/2014/main" id="{00000000-0008-0000-0400-000005000000}"/>
            </a:ext>
          </a:extLst>
        </xdr:cNvPr>
        <xdr:cNvSpPr/>
      </xdr:nvSpPr>
      <xdr:spPr>
        <a:xfrm>
          <a:off x="8079442" y="1669677"/>
          <a:ext cx="347383" cy="91888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6</xdr:col>
      <xdr:colOff>425824</xdr:colOff>
      <xdr:row>1</xdr:row>
      <xdr:rowOff>414617</xdr:rowOff>
    </xdr:from>
    <xdr:to>
      <xdr:col>8</xdr:col>
      <xdr:colOff>369795</xdr:colOff>
      <xdr:row>1</xdr:row>
      <xdr:rowOff>1086970</xdr:rowOff>
    </xdr:to>
    <xdr:sp macro="" textlink="">
      <xdr:nvSpPr>
        <xdr:cNvPr id="6" name="5 Rectángulo redondeado">
          <a:extLst>
            <a:ext uri="{FF2B5EF4-FFF2-40B4-BE49-F238E27FC236}">
              <a16:creationId xmlns:a16="http://schemas.microsoft.com/office/drawing/2014/main" id="{00000000-0008-0000-0400-000006000000}"/>
            </a:ext>
          </a:extLst>
        </xdr:cNvPr>
        <xdr:cNvSpPr/>
      </xdr:nvSpPr>
      <xdr:spPr>
        <a:xfrm>
          <a:off x="7575177" y="918882"/>
          <a:ext cx="1467971"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twoCellAnchor editAs="absolute">
    <xdr:from>
      <xdr:col>5</xdr:col>
      <xdr:colOff>4504766</xdr:colOff>
      <xdr:row>0</xdr:row>
      <xdr:rowOff>56030</xdr:rowOff>
    </xdr:from>
    <xdr:to>
      <xdr:col>5</xdr:col>
      <xdr:colOff>6028766</xdr:colOff>
      <xdr:row>0</xdr:row>
      <xdr:rowOff>413218</xdr:rowOff>
    </xdr:to>
    <xdr:sp macro="[0]!Copiar_columna" textlink="">
      <xdr:nvSpPr>
        <xdr:cNvPr id="7" name="2 Rectángulo redondeado">
          <a:extLst>
            <a:ext uri="{FF2B5EF4-FFF2-40B4-BE49-F238E27FC236}">
              <a16:creationId xmlns:a16="http://schemas.microsoft.com/office/drawing/2014/main" id="{00000000-0008-0000-0400-000007000000}"/>
            </a:ext>
          </a:extLst>
        </xdr:cNvPr>
        <xdr:cNvSpPr>
          <a:spLocks/>
        </xdr:cNvSpPr>
      </xdr:nvSpPr>
      <xdr:spPr>
        <a:xfrm>
          <a:off x="5602942" y="56030"/>
          <a:ext cx="1524000" cy="357188"/>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Copiar Columna</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22488</xdr:colOff>
      <xdr:row>0</xdr:row>
      <xdr:rowOff>67469</xdr:rowOff>
    </xdr:from>
    <xdr:to>
      <xdr:col>5</xdr:col>
      <xdr:colOff>90221</xdr:colOff>
      <xdr:row>0</xdr:row>
      <xdr:rowOff>444500</xdr:rowOff>
    </xdr:to>
    <xdr:sp macro="[0]!Guarda_Hojas_CSV" textlink="">
      <xdr:nvSpPr>
        <xdr:cNvPr id="2" name="1 Rectángulo redondeado">
          <a:extLst>
            <a:ext uri="{FF2B5EF4-FFF2-40B4-BE49-F238E27FC236}">
              <a16:creationId xmlns:a16="http://schemas.microsoft.com/office/drawing/2014/main" id="{00000000-0008-0000-0500-000002000000}"/>
            </a:ext>
          </a:extLst>
        </xdr:cNvPr>
        <xdr:cNvSpPr/>
      </xdr:nvSpPr>
      <xdr:spPr>
        <a:xfrm>
          <a:off x="165363" y="67469"/>
          <a:ext cx="1020233" cy="377031"/>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Crear CSV</a:t>
          </a:r>
        </a:p>
      </xdr:txBody>
    </xdr:sp>
    <xdr:clientData/>
  </xdr:twoCellAnchor>
  <xdr:twoCellAnchor editAs="absolute">
    <xdr:from>
      <xdr:col>5</xdr:col>
      <xdr:colOff>4804834</xdr:colOff>
      <xdr:row>0</xdr:row>
      <xdr:rowOff>42333</xdr:rowOff>
    </xdr:from>
    <xdr:to>
      <xdr:col>6</xdr:col>
      <xdr:colOff>277657</xdr:colOff>
      <xdr:row>0</xdr:row>
      <xdr:rowOff>399521</xdr:rowOff>
    </xdr:to>
    <xdr:sp macro="[0]!Copiar_columna" textlink="">
      <xdr:nvSpPr>
        <xdr:cNvPr id="3" name="2 Rectángulo redondeado">
          <a:extLst>
            <a:ext uri="{FF2B5EF4-FFF2-40B4-BE49-F238E27FC236}">
              <a16:creationId xmlns:a16="http://schemas.microsoft.com/office/drawing/2014/main" id="{00000000-0008-0000-0500-000003000000}"/>
            </a:ext>
          </a:extLst>
        </xdr:cNvPr>
        <xdr:cNvSpPr>
          <a:spLocks/>
        </xdr:cNvSpPr>
      </xdr:nvSpPr>
      <xdr:spPr>
        <a:xfrm>
          <a:off x="5900209" y="42333"/>
          <a:ext cx="1524000" cy="357188"/>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Copiar Columna</a:t>
          </a:r>
        </a:p>
      </xdr:txBody>
    </xdr:sp>
    <xdr:clientData/>
  </xdr:twoCellAnchor>
  <xdr:twoCellAnchor>
    <xdr:from>
      <xdr:col>5</xdr:col>
      <xdr:colOff>179917</xdr:colOff>
      <xdr:row>0</xdr:row>
      <xdr:rowOff>74083</xdr:rowOff>
    </xdr:from>
    <xdr:to>
      <xdr:col>5</xdr:col>
      <xdr:colOff>1200150</xdr:colOff>
      <xdr:row>0</xdr:row>
      <xdr:rowOff>435239</xdr:rowOff>
    </xdr:to>
    <xdr:sp macro="[0]!Guarda_Hojas_ZIP" textlink="">
      <xdr:nvSpPr>
        <xdr:cNvPr id="4" name="3 Rectángulo redondeado">
          <a:extLst>
            <a:ext uri="{FF2B5EF4-FFF2-40B4-BE49-F238E27FC236}">
              <a16:creationId xmlns:a16="http://schemas.microsoft.com/office/drawing/2014/main" id="{00000000-0008-0000-0500-000004000000}"/>
            </a:ext>
          </a:extLst>
        </xdr:cNvPr>
        <xdr:cNvSpPr/>
      </xdr:nvSpPr>
      <xdr:spPr>
        <a:xfrm>
          <a:off x="1275292" y="74083"/>
          <a:ext cx="1020233" cy="361156"/>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s-ES" sz="1100"/>
            <a:t>Crear/Comprimir CSV</a:t>
          </a:r>
        </a:p>
      </xdr:txBody>
    </xdr:sp>
    <xdr:clientData/>
  </xdr:twoCellAnchor>
  <xdr:twoCellAnchor>
    <xdr:from>
      <xdr:col>8</xdr:col>
      <xdr:colOff>212913</xdr:colOff>
      <xdr:row>1</xdr:row>
      <xdr:rowOff>1221441</xdr:rowOff>
    </xdr:from>
    <xdr:to>
      <xdr:col>8</xdr:col>
      <xdr:colOff>560296</xdr:colOff>
      <xdr:row>1</xdr:row>
      <xdr:rowOff>2140323</xdr:rowOff>
    </xdr:to>
    <xdr:sp macro="" textlink="">
      <xdr:nvSpPr>
        <xdr:cNvPr id="5" name="4 Flecha abajo">
          <a:extLst>
            <a:ext uri="{FF2B5EF4-FFF2-40B4-BE49-F238E27FC236}">
              <a16:creationId xmlns:a16="http://schemas.microsoft.com/office/drawing/2014/main" id="{00000000-0008-0000-0500-000005000000}"/>
            </a:ext>
          </a:extLst>
        </xdr:cNvPr>
        <xdr:cNvSpPr/>
      </xdr:nvSpPr>
      <xdr:spPr>
        <a:xfrm>
          <a:off x="8942295" y="1725706"/>
          <a:ext cx="347383" cy="91888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7</xdr:col>
      <xdr:colOff>526677</xdr:colOff>
      <xdr:row>1</xdr:row>
      <xdr:rowOff>470646</xdr:rowOff>
    </xdr:from>
    <xdr:to>
      <xdr:col>9</xdr:col>
      <xdr:colOff>358589</xdr:colOff>
      <xdr:row>1</xdr:row>
      <xdr:rowOff>1142999</xdr:rowOff>
    </xdr:to>
    <xdr:sp macro="" textlink="">
      <xdr:nvSpPr>
        <xdr:cNvPr id="6" name="5 Rectángulo redondeado">
          <a:extLst>
            <a:ext uri="{FF2B5EF4-FFF2-40B4-BE49-F238E27FC236}">
              <a16:creationId xmlns:a16="http://schemas.microsoft.com/office/drawing/2014/main" id="{00000000-0008-0000-0500-000006000000}"/>
            </a:ext>
          </a:extLst>
        </xdr:cNvPr>
        <xdr:cNvSpPr/>
      </xdr:nvSpPr>
      <xdr:spPr>
        <a:xfrm>
          <a:off x="8438030" y="974911"/>
          <a:ext cx="1467971"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22488</xdr:colOff>
      <xdr:row>0</xdr:row>
      <xdr:rowOff>67469</xdr:rowOff>
    </xdr:from>
    <xdr:to>
      <xdr:col>5</xdr:col>
      <xdr:colOff>90221</xdr:colOff>
      <xdr:row>0</xdr:row>
      <xdr:rowOff>444500</xdr:rowOff>
    </xdr:to>
    <xdr:sp macro="[0]!Guarda_Hojas_CSV" textlink="">
      <xdr:nvSpPr>
        <xdr:cNvPr id="2" name="1 Rectángulo redondeado">
          <a:extLst>
            <a:ext uri="{FF2B5EF4-FFF2-40B4-BE49-F238E27FC236}">
              <a16:creationId xmlns:a16="http://schemas.microsoft.com/office/drawing/2014/main" id="{00000000-0008-0000-0600-000002000000}"/>
            </a:ext>
          </a:extLst>
        </xdr:cNvPr>
        <xdr:cNvSpPr/>
      </xdr:nvSpPr>
      <xdr:spPr>
        <a:xfrm>
          <a:off x="165363" y="67469"/>
          <a:ext cx="1020233" cy="377031"/>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Crear CSV</a:t>
          </a:r>
        </a:p>
      </xdr:txBody>
    </xdr:sp>
    <xdr:clientData/>
  </xdr:twoCellAnchor>
  <xdr:twoCellAnchor editAs="absolute">
    <xdr:from>
      <xdr:col>5</xdr:col>
      <xdr:colOff>4804834</xdr:colOff>
      <xdr:row>0</xdr:row>
      <xdr:rowOff>42333</xdr:rowOff>
    </xdr:from>
    <xdr:to>
      <xdr:col>6</xdr:col>
      <xdr:colOff>277657</xdr:colOff>
      <xdr:row>0</xdr:row>
      <xdr:rowOff>399521</xdr:rowOff>
    </xdr:to>
    <xdr:sp macro="[0]!Copiar_columna" textlink="">
      <xdr:nvSpPr>
        <xdr:cNvPr id="3" name="2 Rectángulo redondeado">
          <a:extLst>
            <a:ext uri="{FF2B5EF4-FFF2-40B4-BE49-F238E27FC236}">
              <a16:creationId xmlns:a16="http://schemas.microsoft.com/office/drawing/2014/main" id="{00000000-0008-0000-0600-000003000000}"/>
            </a:ext>
          </a:extLst>
        </xdr:cNvPr>
        <xdr:cNvSpPr>
          <a:spLocks/>
        </xdr:cNvSpPr>
      </xdr:nvSpPr>
      <xdr:spPr>
        <a:xfrm>
          <a:off x="5900209" y="42333"/>
          <a:ext cx="1524000" cy="357188"/>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Copiar Columna</a:t>
          </a:r>
        </a:p>
      </xdr:txBody>
    </xdr:sp>
    <xdr:clientData/>
  </xdr:twoCellAnchor>
  <xdr:twoCellAnchor>
    <xdr:from>
      <xdr:col>5</xdr:col>
      <xdr:colOff>179917</xdr:colOff>
      <xdr:row>0</xdr:row>
      <xdr:rowOff>74083</xdr:rowOff>
    </xdr:from>
    <xdr:to>
      <xdr:col>5</xdr:col>
      <xdr:colOff>1200150</xdr:colOff>
      <xdr:row>0</xdr:row>
      <xdr:rowOff>435239</xdr:rowOff>
    </xdr:to>
    <xdr:sp macro="[0]!Guarda_Hojas_ZIP" textlink="">
      <xdr:nvSpPr>
        <xdr:cNvPr id="4" name="3 Rectángulo redondeado">
          <a:extLst>
            <a:ext uri="{FF2B5EF4-FFF2-40B4-BE49-F238E27FC236}">
              <a16:creationId xmlns:a16="http://schemas.microsoft.com/office/drawing/2014/main" id="{00000000-0008-0000-0600-000004000000}"/>
            </a:ext>
          </a:extLst>
        </xdr:cNvPr>
        <xdr:cNvSpPr/>
      </xdr:nvSpPr>
      <xdr:spPr>
        <a:xfrm>
          <a:off x="1275292" y="74083"/>
          <a:ext cx="1020233" cy="361156"/>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s-ES" sz="1100"/>
            <a:t>Crear/Comprimir CSV</a:t>
          </a:r>
        </a:p>
      </xdr:txBody>
    </xdr:sp>
    <xdr:clientData/>
  </xdr:twoCellAnchor>
  <xdr:twoCellAnchor>
    <xdr:from>
      <xdr:col>7</xdr:col>
      <xdr:colOff>224118</xdr:colOff>
      <xdr:row>1</xdr:row>
      <xdr:rowOff>1210236</xdr:rowOff>
    </xdr:from>
    <xdr:to>
      <xdr:col>7</xdr:col>
      <xdr:colOff>571501</xdr:colOff>
      <xdr:row>1</xdr:row>
      <xdr:rowOff>2129118</xdr:rowOff>
    </xdr:to>
    <xdr:sp macro="" textlink="">
      <xdr:nvSpPr>
        <xdr:cNvPr id="5" name="4 Flecha abajo">
          <a:extLst>
            <a:ext uri="{FF2B5EF4-FFF2-40B4-BE49-F238E27FC236}">
              <a16:creationId xmlns:a16="http://schemas.microsoft.com/office/drawing/2014/main" id="{00000000-0008-0000-0600-000005000000}"/>
            </a:ext>
          </a:extLst>
        </xdr:cNvPr>
        <xdr:cNvSpPr/>
      </xdr:nvSpPr>
      <xdr:spPr>
        <a:xfrm>
          <a:off x="8191500" y="1714501"/>
          <a:ext cx="347383" cy="91888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6</xdr:col>
      <xdr:colOff>537882</xdr:colOff>
      <xdr:row>1</xdr:row>
      <xdr:rowOff>459441</xdr:rowOff>
    </xdr:from>
    <xdr:to>
      <xdr:col>8</xdr:col>
      <xdr:colOff>369794</xdr:colOff>
      <xdr:row>1</xdr:row>
      <xdr:rowOff>1131794</xdr:rowOff>
    </xdr:to>
    <xdr:sp macro="" textlink="">
      <xdr:nvSpPr>
        <xdr:cNvPr id="6" name="5 Rectángulo redondeado">
          <a:extLst>
            <a:ext uri="{FF2B5EF4-FFF2-40B4-BE49-F238E27FC236}">
              <a16:creationId xmlns:a16="http://schemas.microsoft.com/office/drawing/2014/main" id="{00000000-0008-0000-0600-000006000000}"/>
            </a:ext>
          </a:extLst>
        </xdr:cNvPr>
        <xdr:cNvSpPr/>
      </xdr:nvSpPr>
      <xdr:spPr>
        <a:xfrm>
          <a:off x="7687235" y="963706"/>
          <a:ext cx="1467971"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twoCellAnchor>
    <xdr:from>
      <xdr:col>10</xdr:col>
      <xdr:colOff>224118</xdr:colOff>
      <xdr:row>1</xdr:row>
      <xdr:rowOff>1210237</xdr:rowOff>
    </xdr:from>
    <xdr:to>
      <xdr:col>10</xdr:col>
      <xdr:colOff>571501</xdr:colOff>
      <xdr:row>1</xdr:row>
      <xdr:rowOff>2129119</xdr:rowOff>
    </xdr:to>
    <xdr:sp macro="" textlink="">
      <xdr:nvSpPr>
        <xdr:cNvPr id="7" name="6 Flecha abajo">
          <a:extLst>
            <a:ext uri="{FF2B5EF4-FFF2-40B4-BE49-F238E27FC236}">
              <a16:creationId xmlns:a16="http://schemas.microsoft.com/office/drawing/2014/main" id="{00000000-0008-0000-0600-000007000000}"/>
            </a:ext>
          </a:extLst>
        </xdr:cNvPr>
        <xdr:cNvSpPr/>
      </xdr:nvSpPr>
      <xdr:spPr>
        <a:xfrm>
          <a:off x="10589559" y="1714502"/>
          <a:ext cx="347383" cy="91888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9</xdr:col>
      <xdr:colOff>537882</xdr:colOff>
      <xdr:row>1</xdr:row>
      <xdr:rowOff>459442</xdr:rowOff>
    </xdr:from>
    <xdr:to>
      <xdr:col>11</xdr:col>
      <xdr:colOff>369794</xdr:colOff>
      <xdr:row>1</xdr:row>
      <xdr:rowOff>1131795</xdr:rowOff>
    </xdr:to>
    <xdr:sp macro="" textlink="">
      <xdr:nvSpPr>
        <xdr:cNvPr id="8" name="7 Rectángulo redondeado">
          <a:extLst>
            <a:ext uri="{FF2B5EF4-FFF2-40B4-BE49-F238E27FC236}">
              <a16:creationId xmlns:a16="http://schemas.microsoft.com/office/drawing/2014/main" id="{00000000-0008-0000-0600-000008000000}"/>
            </a:ext>
          </a:extLst>
        </xdr:cNvPr>
        <xdr:cNvSpPr/>
      </xdr:nvSpPr>
      <xdr:spPr>
        <a:xfrm>
          <a:off x="10085294" y="963707"/>
          <a:ext cx="1467971"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twoCellAnchor>
    <xdr:from>
      <xdr:col>13</xdr:col>
      <xdr:colOff>242047</xdr:colOff>
      <xdr:row>1</xdr:row>
      <xdr:rowOff>1228167</xdr:rowOff>
    </xdr:from>
    <xdr:to>
      <xdr:col>13</xdr:col>
      <xdr:colOff>589430</xdr:colOff>
      <xdr:row>1</xdr:row>
      <xdr:rowOff>2147049</xdr:rowOff>
    </xdr:to>
    <xdr:sp macro="" textlink="">
      <xdr:nvSpPr>
        <xdr:cNvPr id="9" name="8 Flecha abajo">
          <a:extLst>
            <a:ext uri="{FF2B5EF4-FFF2-40B4-BE49-F238E27FC236}">
              <a16:creationId xmlns:a16="http://schemas.microsoft.com/office/drawing/2014/main" id="{00000000-0008-0000-0600-000009000000}"/>
            </a:ext>
          </a:extLst>
        </xdr:cNvPr>
        <xdr:cNvSpPr/>
      </xdr:nvSpPr>
      <xdr:spPr>
        <a:xfrm>
          <a:off x="13106400" y="1732432"/>
          <a:ext cx="347383" cy="91888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12</xdr:col>
      <xdr:colOff>555811</xdr:colOff>
      <xdr:row>1</xdr:row>
      <xdr:rowOff>477372</xdr:rowOff>
    </xdr:from>
    <xdr:to>
      <xdr:col>14</xdr:col>
      <xdr:colOff>387724</xdr:colOff>
      <xdr:row>1</xdr:row>
      <xdr:rowOff>1149725</xdr:rowOff>
    </xdr:to>
    <xdr:sp macro="" textlink="">
      <xdr:nvSpPr>
        <xdr:cNvPr id="10" name="9 Rectángulo redondeado">
          <a:extLst>
            <a:ext uri="{FF2B5EF4-FFF2-40B4-BE49-F238E27FC236}">
              <a16:creationId xmlns:a16="http://schemas.microsoft.com/office/drawing/2014/main" id="{00000000-0008-0000-0600-00000A000000}"/>
            </a:ext>
          </a:extLst>
        </xdr:cNvPr>
        <xdr:cNvSpPr/>
      </xdr:nvSpPr>
      <xdr:spPr>
        <a:xfrm>
          <a:off x="12602135" y="981637"/>
          <a:ext cx="1467971"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22488</xdr:colOff>
      <xdr:row>0</xdr:row>
      <xdr:rowOff>67469</xdr:rowOff>
    </xdr:from>
    <xdr:to>
      <xdr:col>5</xdr:col>
      <xdr:colOff>90221</xdr:colOff>
      <xdr:row>0</xdr:row>
      <xdr:rowOff>444500</xdr:rowOff>
    </xdr:to>
    <xdr:sp macro="[0]!Guarda_Hojas_CSV" textlink="">
      <xdr:nvSpPr>
        <xdr:cNvPr id="8" name="7 Rectángulo redondeado">
          <a:extLst>
            <a:ext uri="{FF2B5EF4-FFF2-40B4-BE49-F238E27FC236}">
              <a16:creationId xmlns:a16="http://schemas.microsoft.com/office/drawing/2014/main" id="{00000000-0008-0000-0700-000008000000}"/>
            </a:ext>
          </a:extLst>
        </xdr:cNvPr>
        <xdr:cNvSpPr/>
      </xdr:nvSpPr>
      <xdr:spPr>
        <a:xfrm>
          <a:off x="165363" y="67469"/>
          <a:ext cx="1020233" cy="377031"/>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Crear CSV</a:t>
          </a:r>
        </a:p>
      </xdr:txBody>
    </xdr:sp>
    <xdr:clientData/>
  </xdr:twoCellAnchor>
  <xdr:twoCellAnchor>
    <xdr:from>
      <xdr:col>5</xdr:col>
      <xdr:colOff>179917</xdr:colOff>
      <xdr:row>0</xdr:row>
      <xdr:rowOff>74083</xdr:rowOff>
    </xdr:from>
    <xdr:to>
      <xdr:col>5</xdr:col>
      <xdr:colOff>1200150</xdr:colOff>
      <xdr:row>0</xdr:row>
      <xdr:rowOff>435239</xdr:rowOff>
    </xdr:to>
    <xdr:sp macro="[0]!Guarda_Hojas_ZIP" textlink="">
      <xdr:nvSpPr>
        <xdr:cNvPr id="9" name="8 Rectángulo redondeado">
          <a:extLst>
            <a:ext uri="{FF2B5EF4-FFF2-40B4-BE49-F238E27FC236}">
              <a16:creationId xmlns:a16="http://schemas.microsoft.com/office/drawing/2014/main" id="{00000000-0008-0000-0700-000009000000}"/>
            </a:ext>
          </a:extLst>
        </xdr:cNvPr>
        <xdr:cNvSpPr/>
      </xdr:nvSpPr>
      <xdr:spPr>
        <a:xfrm>
          <a:off x="1275292" y="74083"/>
          <a:ext cx="1020233" cy="361156"/>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s-ES" sz="1100"/>
            <a:t>Crear/Comprimir CSV</a:t>
          </a:r>
        </a:p>
      </xdr:txBody>
    </xdr:sp>
    <xdr:clientData/>
  </xdr:twoCellAnchor>
  <xdr:twoCellAnchor editAs="absolute">
    <xdr:from>
      <xdr:col>5</xdr:col>
      <xdr:colOff>4410075</xdr:colOff>
      <xdr:row>0</xdr:row>
      <xdr:rowOff>76200</xdr:rowOff>
    </xdr:from>
    <xdr:to>
      <xdr:col>5</xdr:col>
      <xdr:colOff>5934075</xdr:colOff>
      <xdr:row>0</xdr:row>
      <xdr:rowOff>433388</xdr:rowOff>
    </xdr:to>
    <xdr:sp macro="[0]!Copiar_columna" textlink="">
      <xdr:nvSpPr>
        <xdr:cNvPr id="12" name="11 Rectángulo redondeado">
          <a:extLst>
            <a:ext uri="{FF2B5EF4-FFF2-40B4-BE49-F238E27FC236}">
              <a16:creationId xmlns:a16="http://schemas.microsoft.com/office/drawing/2014/main" id="{00000000-0008-0000-0700-00000C000000}"/>
            </a:ext>
          </a:extLst>
        </xdr:cNvPr>
        <xdr:cNvSpPr>
          <a:spLocks/>
        </xdr:cNvSpPr>
      </xdr:nvSpPr>
      <xdr:spPr>
        <a:xfrm>
          <a:off x="5505450" y="76200"/>
          <a:ext cx="1524000" cy="357188"/>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Copiar Columna</a:t>
          </a:r>
        </a:p>
      </xdr:txBody>
    </xdr:sp>
    <xdr:clientData/>
  </xdr:twoCellAnchor>
  <xdr:twoCellAnchor>
    <xdr:from>
      <xdr:col>7</xdr:col>
      <xdr:colOff>218515</xdr:colOff>
      <xdr:row>1</xdr:row>
      <xdr:rowOff>1363117</xdr:rowOff>
    </xdr:from>
    <xdr:to>
      <xdr:col>7</xdr:col>
      <xdr:colOff>565898</xdr:colOff>
      <xdr:row>2</xdr:row>
      <xdr:rowOff>200106</xdr:rowOff>
    </xdr:to>
    <xdr:sp macro="" textlink="">
      <xdr:nvSpPr>
        <xdr:cNvPr id="5" name="4 Flecha abajo">
          <a:extLst>
            <a:ext uri="{FF2B5EF4-FFF2-40B4-BE49-F238E27FC236}">
              <a16:creationId xmlns:a16="http://schemas.microsoft.com/office/drawing/2014/main" id="{00000000-0008-0000-0700-000005000000}"/>
            </a:ext>
          </a:extLst>
        </xdr:cNvPr>
        <xdr:cNvSpPr/>
      </xdr:nvSpPr>
      <xdr:spPr>
        <a:xfrm>
          <a:off x="8205908" y="1866581"/>
          <a:ext cx="347383" cy="91888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6</xdr:col>
      <xdr:colOff>530679</xdr:colOff>
      <xdr:row>1</xdr:row>
      <xdr:rowOff>612322</xdr:rowOff>
    </xdr:from>
    <xdr:to>
      <xdr:col>8</xdr:col>
      <xdr:colOff>365793</xdr:colOff>
      <xdr:row>1</xdr:row>
      <xdr:rowOff>1284675</xdr:rowOff>
    </xdr:to>
    <xdr:sp macro="" textlink="">
      <xdr:nvSpPr>
        <xdr:cNvPr id="6" name="5 Rectángulo redondeado">
          <a:extLst>
            <a:ext uri="{FF2B5EF4-FFF2-40B4-BE49-F238E27FC236}">
              <a16:creationId xmlns:a16="http://schemas.microsoft.com/office/drawing/2014/main" id="{00000000-0008-0000-0700-000006000000}"/>
            </a:ext>
          </a:extLst>
        </xdr:cNvPr>
        <xdr:cNvSpPr/>
      </xdr:nvSpPr>
      <xdr:spPr>
        <a:xfrm>
          <a:off x="7701643" y="1115786"/>
          <a:ext cx="1467971"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twoCellAnchor>
    <xdr:from>
      <xdr:col>10</xdr:col>
      <xdr:colOff>248450</xdr:colOff>
      <xdr:row>1</xdr:row>
      <xdr:rowOff>1352232</xdr:rowOff>
    </xdr:from>
    <xdr:to>
      <xdr:col>10</xdr:col>
      <xdr:colOff>595833</xdr:colOff>
      <xdr:row>2</xdr:row>
      <xdr:rowOff>189221</xdr:rowOff>
    </xdr:to>
    <xdr:sp macro="" textlink="">
      <xdr:nvSpPr>
        <xdr:cNvPr id="7" name="6 Flecha abajo">
          <a:extLst>
            <a:ext uri="{FF2B5EF4-FFF2-40B4-BE49-F238E27FC236}">
              <a16:creationId xmlns:a16="http://schemas.microsoft.com/office/drawing/2014/main" id="{00000000-0008-0000-0700-000007000000}"/>
            </a:ext>
          </a:extLst>
        </xdr:cNvPr>
        <xdr:cNvSpPr/>
      </xdr:nvSpPr>
      <xdr:spPr>
        <a:xfrm>
          <a:off x="10780379" y="1855696"/>
          <a:ext cx="347383" cy="91888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9</xdr:col>
      <xdr:colOff>560614</xdr:colOff>
      <xdr:row>1</xdr:row>
      <xdr:rowOff>601437</xdr:rowOff>
    </xdr:from>
    <xdr:to>
      <xdr:col>11</xdr:col>
      <xdr:colOff>395728</xdr:colOff>
      <xdr:row>1</xdr:row>
      <xdr:rowOff>1273790</xdr:rowOff>
    </xdr:to>
    <xdr:sp macro="" textlink="">
      <xdr:nvSpPr>
        <xdr:cNvPr id="10" name="9 Rectángulo redondeado">
          <a:extLst>
            <a:ext uri="{FF2B5EF4-FFF2-40B4-BE49-F238E27FC236}">
              <a16:creationId xmlns:a16="http://schemas.microsoft.com/office/drawing/2014/main" id="{00000000-0008-0000-0700-00000A000000}"/>
            </a:ext>
          </a:extLst>
        </xdr:cNvPr>
        <xdr:cNvSpPr/>
      </xdr:nvSpPr>
      <xdr:spPr>
        <a:xfrm>
          <a:off x="10276114" y="1104901"/>
          <a:ext cx="1467971"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22488</xdr:colOff>
      <xdr:row>0</xdr:row>
      <xdr:rowOff>67469</xdr:rowOff>
    </xdr:from>
    <xdr:to>
      <xdr:col>5</xdr:col>
      <xdr:colOff>90221</xdr:colOff>
      <xdr:row>0</xdr:row>
      <xdr:rowOff>444500</xdr:rowOff>
    </xdr:to>
    <xdr:sp macro="[0]!Guarda_Hojas_CSV" textlink="">
      <xdr:nvSpPr>
        <xdr:cNvPr id="2" name="1 Rectángulo redondeado">
          <a:extLst>
            <a:ext uri="{FF2B5EF4-FFF2-40B4-BE49-F238E27FC236}">
              <a16:creationId xmlns:a16="http://schemas.microsoft.com/office/drawing/2014/main" id="{00000000-0008-0000-0800-000002000000}"/>
            </a:ext>
          </a:extLst>
        </xdr:cNvPr>
        <xdr:cNvSpPr/>
      </xdr:nvSpPr>
      <xdr:spPr>
        <a:xfrm>
          <a:off x="165363" y="67469"/>
          <a:ext cx="1020233" cy="377031"/>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Crear CSV</a:t>
          </a:r>
        </a:p>
      </xdr:txBody>
    </xdr:sp>
    <xdr:clientData/>
  </xdr:twoCellAnchor>
  <xdr:twoCellAnchor>
    <xdr:from>
      <xdr:col>5</xdr:col>
      <xdr:colOff>179917</xdr:colOff>
      <xdr:row>0</xdr:row>
      <xdr:rowOff>74083</xdr:rowOff>
    </xdr:from>
    <xdr:to>
      <xdr:col>5</xdr:col>
      <xdr:colOff>1200150</xdr:colOff>
      <xdr:row>0</xdr:row>
      <xdr:rowOff>435239</xdr:rowOff>
    </xdr:to>
    <xdr:sp macro="[0]!Guarda_Hojas_ZIP" textlink="">
      <xdr:nvSpPr>
        <xdr:cNvPr id="3" name="2 Rectángulo redondeado">
          <a:extLst>
            <a:ext uri="{FF2B5EF4-FFF2-40B4-BE49-F238E27FC236}">
              <a16:creationId xmlns:a16="http://schemas.microsoft.com/office/drawing/2014/main" id="{00000000-0008-0000-0800-000003000000}"/>
            </a:ext>
          </a:extLst>
        </xdr:cNvPr>
        <xdr:cNvSpPr/>
      </xdr:nvSpPr>
      <xdr:spPr>
        <a:xfrm>
          <a:off x="1275292" y="74083"/>
          <a:ext cx="1020233" cy="361156"/>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s-ES" sz="1100"/>
            <a:t>Crear/Comprimir CSV</a:t>
          </a:r>
        </a:p>
      </xdr:txBody>
    </xdr:sp>
    <xdr:clientData/>
  </xdr:twoCellAnchor>
  <xdr:twoCellAnchor>
    <xdr:from>
      <xdr:col>6</xdr:col>
      <xdr:colOff>309476</xdr:colOff>
      <xdr:row>1</xdr:row>
      <xdr:rowOff>1395954</xdr:rowOff>
    </xdr:from>
    <xdr:to>
      <xdr:col>6</xdr:col>
      <xdr:colOff>602498</xdr:colOff>
      <xdr:row>3</xdr:row>
      <xdr:rowOff>63723</xdr:rowOff>
    </xdr:to>
    <xdr:sp macro="" textlink="">
      <xdr:nvSpPr>
        <xdr:cNvPr id="6" name="5 Flecha abajo">
          <a:extLst>
            <a:ext uri="{FF2B5EF4-FFF2-40B4-BE49-F238E27FC236}">
              <a16:creationId xmlns:a16="http://schemas.microsoft.com/office/drawing/2014/main" id="{00000000-0008-0000-0800-000006000000}"/>
            </a:ext>
          </a:extLst>
        </xdr:cNvPr>
        <xdr:cNvSpPr/>
      </xdr:nvSpPr>
      <xdr:spPr>
        <a:xfrm>
          <a:off x="7453226" y="1900779"/>
          <a:ext cx="293022" cy="96329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6</xdr:col>
      <xdr:colOff>95249</xdr:colOff>
      <xdr:row>1</xdr:row>
      <xdr:rowOff>161926</xdr:rowOff>
    </xdr:from>
    <xdr:to>
      <xdr:col>7</xdr:col>
      <xdr:colOff>19050</xdr:colOff>
      <xdr:row>1</xdr:row>
      <xdr:rowOff>1343026</xdr:rowOff>
    </xdr:to>
    <xdr:sp macro="" textlink="">
      <xdr:nvSpPr>
        <xdr:cNvPr id="7" name="6 Rectángulo redondeado">
          <a:extLst>
            <a:ext uri="{FF2B5EF4-FFF2-40B4-BE49-F238E27FC236}">
              <a16:creationId xmlns:a16="http://schemas.microsoft.com/office/drawing/2014/main" id="{00000000-0008-0000-0800-000007000000}"/>
            </a:ext>
          </a:extLst>
        </xdr:cNvPr>
        <xdr:cNvSpPr/>
      </xdr:nvSpPr>
      <xdr:spPr>
        <a:xfrm>
          <a:off x="7238999" y="666751"/>
          <a:ext cx="971551" cy="11811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twoCellAnchor editAs="absolute">
    <xdr:from>
      <xdr:col>5</xdr:col>
      <xdr:colOff>4514850</xdr:colOff>
      <xdr:row>0</xdr:row>
      <xdr:rowOff>57150</xdr:rowOff>
    </xdr:from>
    <xdr:to>
      <xdr:col>5</xdr:col>
      <xdr:colOff>6038850</xdr:colOff>
      <xdr:row>0</xdr:row>
      <xdr:rowOff>414338</xdr:rowOff>
    </xdr:to>
    <xdr:sp macro="[0]!Copiar_columna" textlink="">
      <xdr:nvSpPr>
        <xdr:cNvPr id="10" name="9 Rectángulo redondeado">
          <a:extLst>
            <a:ext uri="{FF2B5EF4-FFF2-40B4-BE49-F238E27FC236}">
              <a16:creationId xmlns:a16="http://schemas.microsoft.com/office/drawing/2014/main" id="{00000000-0008-0000-0800-00000A000000}"/>
            </a:ext>
          </a:extLst>
        </xdr:cNvPr>
        <xdr:cNvSpPr>
          <a:spLocks/>
        </xdr:cNvSpPr>
      </xdr:nvSpPr>
      <xdr:spPr>
        <a:xfrm>
          <a:off x="5610225" y="57150"/>
          <a:ext cx="1524000" cy="357188"/>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Copiar Columna</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L151"/>
  <sheetViews>
    <sheetView topLeftCell="A130" zoomScale="80" zoomScaleNormal="80" workbookViewId="0">
      <selection activeCell="F140" sqref="F140"/>
    </sheetView>
  </sheetViews>
  <sheetFormatPr baseColWidth="10" defaultRowHeight="15"/>
  <cols>
    <col min="1" max="1" width="2.7109375" style="1" customWidth="1"/>
    <col min="2" max="3" width="2.7109375" style="2" customWidth="1"/>
    <col min="4" max="5" width="2.7109375" style="1" customWidth="1"/>
    <col min="6" max="6" width="109" style="1" customWidth="1"/>
    <col min="7" max="7" width="2" style="3" bestFit="1" customWidth="1"/>
    <col min="8" max="8" width="16.7109375" style="4" customWidth="1"/>
    <col min="9" max="11" width="16.7109375" style="1" customWidth="1"/>
    <col min="12" max="12" width="2.28515625" style="1" customWidth="1"/>
    <col min="13" max="16384" width="11.42578125" style="1"/>
  </cols>
  <sheetData>
    <row r="1" spans="1:12" ht="105" customHeight="1">
      <c r="A1" s="39" t="s">
        <v>0</v>
      </c>
      <c r="B1" s="2" t="s">
        <v>0</v>
      </c>
      <c r="C1" s="2" t="s">
        <v>0</v>
      </c>
      <c r="D1" s="1" t="s">
        <v>0</v>
      </c>
      <c r="E1" s="1" t="s">
        <v>0</v>
      </c>
      <c r="G1" s="41"/>
      <c r="H1" s="41"/>
    </row>
    <row r="2" spans="1:12">
      <c r="A2" s="1" t="s">
        <v>0</v>
      </c>
      <c r="G2" s="150" t="s">
        <v>0</v>
      </c>
      <c r="H2" s="151" t="s">
        <v>856</v>
      </c>
    </row>
    <row r="3" spans="1:12">
      <c r="A3" s="1" t="s">
        <v>0</v>
      </c>
      <c r="B3" s="42"/>
      <c r="C3" s="43"/>
      <c r="D3" s="44"/>
      <c r="E3" s="44"/>
      <c r="F3" s="45" t="s">
        <v>9</v>
      </c>
      <c r="G3" s="23"/>
      <c r="H3" s="23"/>
      <c r="I3" s="22"/>
      <c r="J3" s="22"/>
      <c r="K3" s="22"/>
      <c r="L3" s="46"/>
    </row>
    <row r="4" spans="1:12">
      <c r="A4" s="1" t="s">
        <v>0</v>
      </c>
      <c r="B4" s="47"/>
      <c r="C4" s="48"/>
      <c r="D4" s="49" t="s">
        <v>0</v>
      </c>
      <c r="E4" s="49" t="s">
        <v>0</v>
      </c>
      <c r="F4" s="24" t="s">
        <v>159</v>
      </c>
      <c r="G4" s="23"/>
      <c r="H4" s="23"/>
      <c r="I4" s="23"/>
      <c r="J4" s="23"/>
      <c r="K4" s="23"/>
      <c r="L4" s="50"/>
    </row>
    <row r="5" spans="1:12" ht="15" customHeight="1">
      <c r="A5" s="1" t="s">
        <v>0</v>
      </c>
      <c r="B5" s="47" t="s">
        <v>859</v>
      </c>
      <c r="C5" s="48" t="s">
        <v>446</v>
      </c>
      <c r="D5" s="49" t="s">
        <v>0</v>
      </c>
      <c r="E5" s="49" t="s">
        <v>0</v>
      </c>
      <c r="F5" s="104" t="s">
        <v>860</v>
      </c>
      <c r="G5" s="23"/>
      <c r="H5" s="23"/>
      <c r="I5" s="23"/>
      <c r="J5" s="23"/>
      <c r="K5" s="23"/>
      <c r="L5" s="50"/>
    </row>
    <row r="6" spans="1:12" ht="15" customHeight="1">
      <c r="B6" s="47" t="s">
        <v>0</v>
      </c>
      <c r="C6" s="48" t="s">
        <v>0</v>
      </c>
      <c r="D6" s="49" t="s">
        <v>0</v>
      </c>
      <c r="E6" s="49" t="s">
        <v>0</v>
      </c>
      <c r="F6" s="24"/>
      <c r="G6" s="23"/>
      <c r="H6" s="23"/>
      <c r="I6" s="23"/>
      <c r="J6" s="23"/>
      <c r="K6" s="23"/>
      <c r="L6" s="50"/>
    </row>
    <row r="7" spans="1:12" ht="29.25" customHeight="1">
      <c r="B7" s="47"/>
      <c r="C7" s="48"/>
      <c r="D7" s="49" t="s">
        <v>0</v>
      </c>
      <c r="E7" s="49" t="s">
        <v>0</v>
      </c>
      <c r="F7" s="24" t="s">
        <v>6</v>
      </c>
      <c r="G7" s="23"/>
      <c r="H7" s="23"/>
      <c r="I7" s="23"/>
      <c r="J7" s="23"/>
      <c r="K7" s="23"/>
      <c r="L7" s="50"/>
    </row>
    <row r="8" spans="1:12" ht="15" customHeight="1">
      <c r="A8" s="1" t="s">
        <v>0</v>
      </c>
      <c r="B8" s="47" t="s">
        <v>859</v>
      </c>
      <c r="C8" s="48" t="s">
        <v>447</v>
      </c>
      <c r="D8" s="49" t="s">
        <v>0</v>
      </c>
      <c r="E8" s="49" t="s">
        <v>0</v>
      </c>
      <c r="F8" s="104" t="s">
        <v>861</v>
      </c>
      <c r="G8" s="23"/>
      <c r="H8" s="23"/>
      <c r="I8" s="23"/>
      <c r="J8" s="23"/>
      <c r="K8" s="23"/>
      <c r="L8" s="50"/>
    </row>
    <row r="9" spans="1:12" ht="15" customHeight="1">
      <c r="B9" s="47" t="s">
        <v>0</v>
      </c>
      <c r="C9" s="48" t="s">
        <v>0</v>
      </c>
      <c r="D9" s="49" t="s">
        <v>0</v>
      </c>
      <c r="E9" s="49" t="s">
        <v>0</v>
      </c>
      <c r="F9" s="49"/>
      <c r="G9" s="49"/>
      <c r="H9" s="23"/>
      <c r="I9" s="23"/>
      <c r="J9" s="23"/>
      <c r="K9" s="23"/>
      <c r="L9" s="50"/>
    </row>
    <row r="10" spans="1:12" ht="24">
      <c r="A10" s="1" t="s">
        <v>0</v>
      </c>
      <c r="B10" s="47"/>
      <c r="C10" s="48"/>
      <c r="D10" s="49" t="s">
        <v>0</v>
      </c>
      <c r="E10" s="49" t="s">
        <v>0</v>
      </c>
      <c r="F10" s="24" t="s">
        <v>160</v>
      </c>
      <c r="G10" s="23"/>
      <c r="H10" s="23"/>
      <c r="I10" s="23"/>
      <c r="J10" s="23"/>
      <c r="K10" s="23"/>
      <c r="L10" s="50"/>
    </row>
    <row r="11" spans="1:12">
      <c r="B11" s="47" t="s">
        <v>859</v>
      </c>
      <c r="C11" s="48" t="s">
        <v>448</v>
      </c>
      <c r="D11" s="49" t="s">
        <v>0</v>
      </c>
      <c r="E11" s="49" t="s">
        <v>0</v>
      </c>
      <c r="F11" s="104" t="s">
        <v>862</v>
      </c>
      <c r="G11" s="23"/>
      <c r="H11" s="23"/>
      <c r="I11" s="23"/>
      <c r="J11" s="23"/>
      <c r="K11" s="23"/>
      <c r="L11" s="50"/>
    </row>
    <row r="12" spans="1:12">
      <c r="B12" s="47" t="s">
        <v>0</v>
      </c>
      <c r="C12" s="48" t="s">
        <v>0</v>
      </c>
      <c r="D12" s="49" t="s">
        <v>0</v>
      </c>
      <c r="E12" s="49" t="s">
        <v>0</v>
      </c>
      <c r="F12" s="24"/>
      <c r="G12" s="23"/>
      <c r="H12" s="23"/>
      <c r="I12" s="23"/>
      <c r="J12" s="23"/>
      <c r="K12" s="23"/>
      <c r="L12" s="50"/>
    </row>
    <row r="13" spans="1:12" ht="24">
      <c r="B13" s="47"/>
      <c r="C13" s="48"/>
      <c r="D13" s="49" t="s">
        <v>0</v>
      </c>
      <c r="E13" s="49" t="s">
        <v>0</v>
      </c>
      <c r="F13" s="55" t="s">
        <v>161</v>
      </c>
      <c r="G13" s="23"/>
      <c r="H13" s="23"/>
      <c r="I13" s="23"/>
      <c r="J13" s="23"/>
      <c r="K13" s="23"/>
      <c r="L13" s="50"/>
    </row>
    <row r="14" spans="1:12">
      <c r="B14" s="47" t="s">
        <v>859</v>
      </c>
      <c r="C14" s="48" t="s">
        <v>449</v>
      </c>
      <c r="D14" s="49" t="s">
        <v>0</v>
      </c>
      <c r="E14" s="49" t="s">
        <v>0</v>
      </c>
      <c r="F14" s="104" t="s">
        <v>863</v>
      </c>
      <c r="G14" s="23"/>
      <c r="H14" s="23"/>
      <c r="I14" s="23"/>
      <c r="J14" s="23"/>
      <c r="K14" s="23"/>
      <c r="L14" s="50"/>
    </row>
    <row r="15" spans="1:12">
      <c r="B15" s="47" t="s">
        <v>0</v>
      </c>
      <c r="C15" s="48" t="s">
        <v>0</v>
      </c>
      <c r="D15" s="49" t="s">
        <v>0</v>
      </c>
      <c r="E15" s="49" t="s">
        <v>0</v>
      </c>
      <c r="F15" s="23"/>
      <c r="G15" s="23"/>
      <c r="H15" s="23"/>
      <c r="I15" s="23"/>
      <c r="J15" s="23"/>
      <c r="K15" s="23"/>
      <c r="L15" s="50"/>
    </row>
    <row r="16" spans="1:12" ht="24">
      <c r="B16" s="47"/>
      <c r="C16" s="48"/>
      <c r="D16" s="49" t="s">
        <v>0</v>
      </c>
      <c r="E16" s="49" t="s">
        <v>0</v>
      </c>
      <c r="F16" s="24" t="s">
        <v>162</v>
      </c>
      <c r="G16" s="23"/>
      <c r="H16" s="23"/>
      <c r="I16" s="23"/>
      <c r="J16" s="23"/>
      <c r="K16" s="23"/>
      <c r="L16" s="50"/>
    </row>
    <row r="17" spans="2:12" ht="15" customHeight="1">
      <c r="B17" s="47" t="s">
        <v>859</v>
      </c>
      <c r="C17" s="48" t="s">
        <v>450</v>
      </c>
      <c r="D17" s="49" t="s">
        <v>0</v>
      </c>
      <c r="E17" s="49" t="s">
        <v>0</v>
      </c>
      <c r="F17" s="104" t="s">
        <v>864</v>
      </c>
      <c r="G17" s="23"/>
      <c r="H17" s="23"/>
      <c r="I17" s="23"/>
      <c r="J17" s="23"/>
      <c r="K17" s="23"/>
      <c r="L17" s="50"/>
    </row>
    <row r="18" spans="2:12">
      <c r="B18" s="47" t="s">
        <v>0</v>
      </c>
      <c r="C18" s="48" t="s">
        <v>0</v>
      </c>
      <c r="D18" s="49" t="s">
        <v>0</v>
      </c>
      <c r="E18" s="49" t="s">
        <v>0</v>
      </c>
      <c r="F18" s="24"/>
      <c r="G18" s="23"/>
      <c r="H18" s="23"/>
      <c r="I18" s="23"/>
      <c r="J18" s="23"/>
      <c r="K18" s="23"/>
      <c r="L18" s="50"/>
    </row>
    <row r="19" spans="2:12" ht="24">
      <c r="B19" s="47"/>
      <c r="C19" s="48"/>
      <c r="D19" s="49" t="s">
        <v>0</v>
      </c>
      <c r="E19" s="49" t="s">
        <v>0</v>
      </c>
      <c r="F19" s="24" t="s">
        <v>163</v>
      </c>
      <c r="G19" s="23"/>
      <c r="H19" s="23"/>
      <c r="I19" s="23"/>
      <c r="J19" s="23"/>
      <c r="K19" s="23"/>
      <c r="L19" s="50"/>
    </row>
    <row r="20" spans="2:12">
      <c r="B20" s="47" t="s">
        <v>859</v>
      </c>
      <c r="C20" s="48" t="s">
        <v>451</v>
      </c>
      <c r="D20" s="49" t="s">
        <v>0</v>
      </c>
      <c r="E20" s="49" t="s">
        <v>0</v>
      </c>
      <c r="F20" s="104" t="s">
        <v>865</v>
      </c>
      <c r="G20" s="23"/>
      <c r="H20" s="23"/>
      <c r="I20" s="23"/>
      <c r="J20" s="23"/>
      <c r="K20" s="23"/>
      <c r="L20" s="50"/>
    </row>
    <row r="21" spans="2:12">
      <c r="B21" s="47" t="s">
        <v>0</v>
      </c>
      <c r="C21" s="48" t="s">
        <v>0</v>
      </c>
      <c r="D21" s="49" t="s">
        <v>0</v>
      </c>
      <c r="E21" s="49" t="s">
        <v>0</v>
      </c>
      <c r="F21" s="24"/>
      <c r="G21" s="23"/>
      <c r="H21" s="23"/>
      <c r="I21" s="23"/>
      <c r="J21" s="23"/>
      <c r="K21" s="23"/>
      <c r="L21" s="50"/>
    </row>
    <row r="22" spans="2:12" ht="24">
      <c r="B22" s="47"/>
      <c r="C22" s="48"/>
      <c r="D22" s="49" t="s">
        <v>0</v>
      </c>
      <c r="E22" s="49" t="s">
        <v>0</v>
      </c>
      <c r="F22" s="24" t="s">
        <v>164</v>
      </c>
      <c r="G22" s="23"/>
      <c r="H22" s="23"/>
      <c r="I22" s="23"/>
      <c r="J22" s="23"/>
      <c r="K22" s="23"/>
      <c r="L22" s="50"/>
    </row>
    <row r="23" spans="2:12">
      <c r="B23" s="47" t="s">
        <v>859</v>
      </c>
      <c r="C23" s="48" t="s">
        <v>452</v>
      </c>
      <c r="D23" s="49" t="s">
        <v>0</v>
      </c>
      <c r="E23" s="49" t="s">
        <v>0</v>
      </c>
      <c r="F23" s="104" t="s">
        <v>866</v>
      </c>
      <c r="G23" s="23"/>
      <c r="H23" s="23"/>
      <c r="I23" s="23"/>
      <c r="J23" s="23"/>
      <c r="K23" s="23"/>
      <c r="L23" s="50"/>
    </row>
    <row r="24" spans="2:12" ht="15" customHeight="1">
      <c r="B24" s="47" t="s">
        <v>0</v>
      </c>
      <c r="C24" s="48" t="s">
        <v>0</v>
      </c>
      <c r="D24" s="49" t="s">
        <v>0</v>
      </c>
      <c r="E24" s="49" t="s">
        <v>0</v>
      </c>
      <c r="F24" s="24"/>
      <c r="G24" s="23"/>
      <c r="H24" s="23"/>
      <c r="I24" s="23"/>
      <c r="J24" s="23"/>
      <c r="K24" s="23"/>
      <c r="L24" s="50"/>
    </row>
    <row r="25" spans="2:12" ht="18.75" customHeight="1">
      <c r="B25" s="47"/>
      <c r="C25" s="48"/>
      <c r="D25" s="49" t="s">
        <v>0</v>
      </c>
      <c r="E25" s="49" t="s">
        <v>0</v>
      </c>
      <c r="F25" s="24" t="s">
        <v>7</v>
      </c>
      <c r="G25" s="23"/>
      <c r="H25" s="23"/>
      <c r="I25" s="23"/>
      <c r="J25" s="23"/>
      <c r="K25" s="23"/>
      <c r="L25" s="50"/>
    </row>
    <row r="26" spans="2:12">
      <c r="B26" s="47" t="s">
        <v>859</v>
      </c>
      <c r="C26" s="48" t="s">
        <v>453</v>
      </c>
      <c r="D26" s="49" t="s">
        <v>0</v>
      </c>
      <c r="E26" s="49" t="s">
        <v>0</v>
      </c>
      <c r="F26" s="104" t="s">
        <v>867</v>
      </c>
      <c r="G26" s="23"/>
      <c r="H26" s="23"/>
      <c r="I26" s="23"/>
      <c r="J26" s="23"/>
      <c r="K26" s="23"/>
      <c r="L26" s="50"/>
    </row>
    <row r="27" spans="2:12">
      <c r="B27" s="47" t="s">
        <v>0</v>
      </c>
      <c r="C27" s="48" t="s">
        <v>0</v>
      </c>
      <c r="D27" s="49" t="s">
        <v>0</v>
      </c>
      <c r="E27" s="49" t="s">
        <v>0</v>
      </c>
      <c r="F27" s="24"/>
      <c r="G27" s="23"/>
      <c r="H27" s="23"/>
      <c r="I27" s="23"/>
      <c r="J27" s="23"/>
      <c r="K27" s="23"/>
      <c r="L27" s="50"/>
    </row>
    <row r="28" spans="2:12">
      <c r="B28" s="47"/>
      <c r="C28" s="48"/>
      <c r="D28" s="49" t="s">
        <v>0</v>
      </c>
      <c r="E28" s="49" t="s">
        <v>0</v>
      </c>
      <c r="F28" s="24" t="s">
        <v>8</v>
      </c>
      <c r="G28" s="23"/>
      <c r="H28" s="23"/>
      <c r="I28" s="23"/>
      <c r="J28" s="23"/>
      <c r="K28" s="23"/>
      <c r="L28" s="50"/>
    </row>
    <row r="29" spans="2:12">
      <c r="B29" s="47" t="s">
        <v>859</v>
      </c>
      <c r="C29" s="48" t="s">
        <v>454</v>
      </c>
      <c r="D29" s="49" t="s">
        <v>0</v>
      </c>
      <c r="E29" s="49" t="s">
        <v>0</v>
      </c>
      <c r="F29" s="104" t="s">
        <v>868</v>
      </c>
      <c r="G29" s="23"/>
      <c r="H29" s="23"/>
      <c r="I29" s="23"/>
      <c r="J29" s="23"/>
      <c r="K29" s="23"/>
      <c r="L29" s="50"/>
    </row>
    <row r="30" spans="2:12">
      <c r="B30" s="47" t="s">
        <v>0</v>
      </c>
      <c r="C30" s="48" t="s">
        <v>0</v>
      </c>
      <c r="D30" s="49" t="s">
        <v>0</v>
      </c>
      <c r="E30" s="49" t="s">
        <v>0</v>
      </c>
      <c r="F30" s="24"/>
      <c r="G30" s="23"/>
      <c r="H30" s="23"/>
      <c r="I30" s="23"/>
      <c r="J30" s="23"/>
      <c r="K30" s="23"/>
      <c r="L30" s="50"/>
    </row>
    <row r="31" spans="2:12">
      <c r="B31" s="47"/>
      <c r="C31" s="48"/>
      <c r="D31" s="49" t="s">
        <v>0</v>
      </c>
      <c r="E31" s="49" t="s">
        <v>0</v>
      </c>
      <c r="F31" s="24" t="s">
        <v>165</v>
      </c>
      <c r="G31" s="23"/>
      <c r="H31" s="23"/>
      <c r="I31" s="23"/>
      <c r="J31" s="23"/>
      <c r="K31" s="23"/>
      <c r="L31" s="50"/>
    </row>
    <row r="32" spans="2:12">
      <c r="B32" s="47" t="s">
        <v>859</v>
      </c>
      <c r="C32" s="48" t="s">
        <v>455</v>
      </c>
      <c r="D32" s="49" t="s">
        <v>0</v>
      </c>
      <c r="E32" s="49" t="s">
        <v>0</v>
      </c>
      <c r="F32" s="104" t="s">
        <v>869</v>
      </c>
      <c r="G32" s="23"/>
      <c r="H32" s="23"/>
      <c r="I32" s="23"/>
      <c r="J32" s="23"/>
      <c r="K32" s="23"/>
      <c r="L32" s="50"/>
    </row>
    <row r="33" spans="2:12">
      <c r="B33" s="47" t="s">
        <v>0</v>
      </c>
      <c r="C33" s="48" t="s">
        <v>0</v>
      </c>
      <c r="D33" s="49" t="s">
        <v>0</v>
      </c>
      <c r="E33" s="49" t="s">
        <v>0</v>
      </c>
      <c r="F33" s="24"/>
      <c r="G33" s="23"/>
      <c r="H33" s="23"/>
      <c r="I33" s="23"/>
      <c r="J33" s="23"/>
      <c r="K33" s="23"/>
      <c r="L33" s="50"/>
    </row>
    <row r="34" spans="2:12">
      <c r="B34" s="47"/>
      <c r="C34" s="48"/>
      <c r="D34" s="49" t="s">
        <v>0</v>
      </c>
      <c r="E34" s="49" t="s">
        <v>0</v>
      </c>
      <c r="F34" s="24" t="s">
        <v>10</v>
      </c>
      <c r="G34" s="23"/>
      <c r="H34" s="23"/>
      <c r="I34" s="23"/>
      <c r="J34" s="23"/>
      <c r="K34" s="23"/>
      <c r="L34" s="50"/>
    </row>
    <row r="35" spans="2:12">
      <c r="B35" s="47" t="s">
        <v>859</v>
      </c>
      <c r="C35" s="48" t="s">
        <v>456</v>
      </c>
      <c r="D35" s="49" t="s">
        <v>0</v>
      </c>
      <c r="E35" s="49" t="s">
        <v>0</v>
      </c>
      <c r="F35" s="104" t="s">
        <v>870</v>
      </c>
      <c r="G35" s="23"/>
      <c r="H35" s="23"/>
      <c r="I35" s="23"/>
      <c r="J35" s="23"/>
      <c r="K35" s="23"/>
      <c r="L35" s="50"/>
    </row>
    <row r="36" spans="2:12">
      <c r="B36" s="47"/>
      <c r="C36" s="48"/>
      <c r="D36" s="49"/>
      <c r="E36" s="49"/>
      <c r="F36" s="24"/>
      <c r="G36" s="23"/>
      <c r="H36" s="23"/>
      <c r="I36" s="23"/>
      <c r="J36" s="23"/>
      <c r="K36" s="23"/>
      <c r="L36" s="50"/>
    </row>
    <row r="37" spans="2:12">
      <c r="B37" s="47"/>
      <c r="C37" s="48"/>
      <c r="D37" s="49"/>
      <c r="E37" s="49"/>
      <c r="F37" s="65" t="s">
        <v>38</v>
      </c>
      <c r="G37" s="23"/>
      <c r="H37" s="23"/>
      <c r="I37" s="23"/>
      <c r="J37" s="23"/>
      <c r="K37" s="23"/>
      <c r="L37" s="50"/>
    </row>
    <row r="38" spans="2:12">
      <c r="B38" s="47"/>
      <c r="C38" s="48"/>
      <c r="D38" s="49"/>
      <c r="E38" s="49"/>
      <c r="F38" s="24"/>
      <c r="G38" s="23"/>
      <c r="H38" s="23"/>
      <c r="I38" s="23"/>
      <c r="J38" s="23"/>
      <c r="K38" s="23"/>
      <c r="L38" s="50"/>
    </row>
    <row r="39" spans="2:12" ht="22.5">
      <c r="B39" s="47"/>
      <c r="C39" s="48"/>
      <c r="D39" s="49" t="s">
        <v>0</v>
      </c>
      <c r="E39" s="49" t="s">
        <v>0</v>
      </c>
      <c r="F39" s="67" t="s">
        <v>39</v>
      </c>
      <c r="G39" s="23"/>
      <c r="H39" s="23"/>
      <c r="I39" s="23"/>
      <c r="J39" s="23"/>
      <c r="K39" s="23"/>
      <c r="L39" s="50"/>
    </row>
    <row r="40" spans="2:12">
      <c r="B40" s="47" t="s">
        <v>859</v>
      </c>
      <c r="C40" s="48" t="s">
        <v>457</v>
      </c>
      <c r="D40" s="49" t="s">
        <v>0</v>
      </c>
      <c r="E40" s="49" t="s">
        <v>0</v>
      </c>
      <c r="F40" s="104" t="s">
        <v>871</v>
      </c>
      <c r="G40" s="23"/>
      <c r="H40" s="23"/>
      <c r="I40" s="23"/>
      <c r="J40" s="23"/>
      <c r="K40" s="23"/>
      <c r="L40" s="50"/>
    </row>
    <row r="41" spans="2:12">
      <c r="B41" s="47" t="s">
        <v>0</v>
      </c>
      <c r="C41" s="48" t="s">
        <v>0</v>
      </c>
      <c r="D41" s="49" t="s">
        <v>0</v>
      </c>
      <c r="E41" s="49" t="s">
        <v>0</v>
      </c>
      <c r="F41" s="24"/>
      <c r="G41" s="23"/>
      <c r="H41" s="23"/>
      <c r="I41" s="23"/>
      <c r="J41" s="23"/>
      <c r="K41" s="23"/>
      <c r="L41" s="50"/>
    </row>
    <row r="42" spans="2:12" ht="35.25">
      <c r="B42" s="47"/>
      <c r="C42" s="48"/>
      <c r="D42" s="49" t="s">
        <v>0</v>
      </c>
      <c r="E42" s="49" t="s">
        <v>0</v>
      </c>
      <c r="F42" s="24" t="s">
        <v>40</v>
      </c>
      <c r="G42" s="23"/>
      <c r="H42" s="23"/>
      <c r="I42" s="23"/>
      <c r="J42" s="23"/>
      <c r="K42" s="23"/>
      <c r="L42" s="50"/>
    </row>
    <row r="43" spans="2:12">
      <c r="B43" s="47" t="s">
        <v>859</v>
      </c>
      <c r="C43" s="48" t="s">
        <v>458</v>
      </c>
      <c r="D43" s="49" t="s">
        <v>0</v>
      </c>
      <c r="E43" s="49" t="s">
        <v>0</v>
      </c>
      <c r="F43" s="104" t="s">
        <v>872</v>
      </c>
      <c r="G43" s="23"/>
      <c r="H43" s="23"/>
      <c r="I43" s="23"/>
      <c r="J43" s="23"/>
      <c r="K43" s="23"/>
      <c r="L43" s="50"/>
    </row>
    <row r="44" spans="2:12" ht="24">
      <c r="B44" s="47"/>
      <c r="C44" s="48"/>
      <c r="D44" s="49"/>
      <c r="E44" s="49"/>
      <c r="F44" s="24"/>
      <c r="G44" s="23"/>
      <c r="H44" s="110" t="s">
        <v>442</v>
      </c>
      <c r="I44" s="110" t="s">
        <v>443</v>
      </c>
      <c r="J44" s="23"/>
      <c r="K44" s="23"/>
      <c r="L44" s="50"/>
    </row>
    <row r="45" spans="2:12">
      <c r="B45" s="47" t="s">
        <v>859</v>
      </c>
      <c r="C45" s="48" t="s">
        <v>459</v>
      </c>
      <c r="D45" s="49" t="s">
        <v>0</v>
      </c>
      <c r="E45" s="49" t="s">
        <v>0</v>
      </c>
      <c r="F45" s="24" t="s">
        <v>873</v>
      </c>
      <c r="G45" s="23"/>
      <c r="H45" s="111">
        <v>1000</v>
      </c>
      <c r="I45" s="111">
        <v>3000</v>
      </c>
      <c r="J45" s="23"/>
      <c r="K45" s="23"/>
      <c r="L45" s="50"/>
    </row>
    <row r="46" spans="2:12">
      <c r="B46" s="47" t="s">
        <v>859</v>
      </c>
      <c r="C46" s="48" t="s">
        <v>460</v>
      </c>
      <c r="D46" s="49" t="s">
        <v>0</v>
      </c>
      <c r="E46" s="49" t="s">
        <v>0</v>
      </c>
      <c r="F46" s="24" t="s">
        <v>874</v>
      </c>
      <c r="G46" s="23"/>
      <c r="H46" s="111">
        <v>2000</v>
      </c>
      <c r="I46" s="111">
        <v>4000</v>
      </c>
      <c r="J46" s="23"/>
      <c r="K46" s="23"/>
      <c r="L46" s="50"/>
    </row>
    <row r="47" spans="2:12">
      <c r="B47" s="47"/>
      <c r="C47" s="48"/>
      <c r="D47" s="49"/>
      <c r="E47" s="49"/>
      <c r="F47" s="24"/>
      <c r="G47" s="23"/>
      <c r="H47" s="23"/>
      <c r="I47" s="23"/>
      <c r="J47" s="23"/>
      <c r="K47" s="23"/>
      <c r="L47" s="50"/>
    </row>
    <row r="48" spans="2:12">
      <c r="B48" s="47"/>
      <c r="C48" s="48"/>
      <c r="D48" s="49" t="s">
        <v>0</v>
      </c>
      <c r="E48" s="49" t="s">
        <v>0</v>
      </c>
      <c r="F48" s="24" t="s">
        <v>41</v>
      </c>
      <c r="G48" s="23"/>
      <c r="H48" s="23"/>
      <c r="I48" s="23"/>
      <c r="J48" s="23"/>
      <c r="K48" s="23"/>
      <c r="L48" s="50"/>
    </row>
    <row r="49" spans="2:12">
      <c r="B49" s="47" t="s">
        <v>859</v>
      </c>
      <c r="C49" s="48" t="s">
        <v>461</v>
      </c>
      <c r="D49" s="49" t="s">
        <v>0</v>
      </c>
      <c r="E49" s="49" t="s">
        <v>0</v>
      </c>
      <c r="F49" s="104" t="s">
        <v>875</v>
      </c>
      <c r="G49" s="23"/>
      <c r="H49" s="23"/>
      <c r="I49" s="23"/>
      <c r="J49" s="23"/>
      <c r="K49" s="23"/>
      <c r="L49" s="50"/>
    </row>
    <row r="50" spans="2:12">
      <c r="B50" s="47"/>
      <c r="C50" s="48"/>
      <c r="D50" s="49"/>
      <c r="E50" s="49"/>
      <c r="F50" s="24"/>
      <c r="G50" s="23"/>
      <c r="H50" s="23"/>
      <c r="I50" s="23"/>
      <c r="J50" s="23"/>
      <c r="K50" s="23"/>
      <c r="L50" s="50"/>
    </row>
    <row r="51" spans="2:12">
      <c r="B51" s="47"/>
      <c r="C51" s="48"/>
      <c r="D51" s="49"/>
      <c r="E51" s="49"/>
      <c r="F51" s="69" t="s">
        <v>55</v>
      </c>
      <c r="G51" s="23"/>
      <c r="H51" s="23"/>
      <c r="I51" s="23"/>
      <c r="J51" s="23"/>
      <c r="K51" s="23"/>
      <c r="L51" s="50"/>
    </row>
    <row r="52" spans="2:12">
      <c r="B52" s="47"/>
      <c r="C52" s="48"/>
      <c r="D52" s="49"/>
      <c r="E52" s="49"/>
      <c r="F52" s="24"/>
      <c r="G52" s="23"/>
      <c r="H52" s="23"/>
      <c r="I52" s="23"/>
      <c r="J52" s="23"/>
      <c r="K52" s="23"/>
      <c r="L52" s="50"/>
    </row>
    <row r="53" spans="2:12" ht="35.25">
      <c r="B53" s="47"/>
      <c r="C53" s="48"/>
      <c r="D53" s="49" t="s">
        <v>0</v>
      </c>
      <c r="E53" s="49" t="s">
        <v>0</v>
      </c>
      <c r="F53" s="24" t="s">
        <v>56</v>
      </c>
      <c r="G53" s="23"/>
      <c r="H53" s="23"/>
      <c r="I53" s="23"/>
      <c r="J53" s="23"/>
      <c r="K53" s="23"/>
      <c r="L53" s="50"/>
    </row>
    <row r="54" spans="2:12">
      <c r="B54" s="47" t="s">
        <v>859</v>
      </c>
      <c r="C54" s="48" t="s">
        <v>462</v>
      </c>
      <c r="D54" s="49" t="s">
        <v>0</v>
      </c>
      <c r="E54" s="49" t="s">
        <v>0</v>
      </c>
      <c r="F54" s="104" t="s">
        <v>876</v>
      </c>
      <c r="G54" s="23"/>
      <c r="H54" s="23"/>
      <c r="I54" s="23"/>
      <c r="J54" s="23"/>
      <c r="K54" s="23"/>
      <c r="L54" s="50"/>
    </row>
    <row r="55" spans="2:12" ht="39" customHeight="1">
      <c r="B55" s="47"/>
      <c r="C55" s="48"/>
      <c r="D55" s="49"/>
      <c r="E55" s="49"/>
      <c r="F55" s="24"/>
      <c r="G55" s="23"/>
      <c r="H55" s="110" t="s">
        <v>438</v>
      </c>
      <c r="I55" s="110" t="s">
        <v>439</v>
      </c>
      <c r="J55" s="110" t="s">
        <v>440</v>
      </c>
      <c r="K55" s="110" t="s">
        <v>441</v>
      </c>
      <c r="L55" s="50"/>
    </row>
    <row r="56" spans="2:12" ht="24">
      <c r="B56" s="47" t="s">
        <v>859</v>
      </c>
      <c r="C56" s="48" t="s">
        <v>463</v>
      </c>
      <c r="D56" s="49" t="s">
        <v>0</v>
      </c>
      <c r="E56" s="49" t="s">
        <v>0</v>
      </c>
      <c r="F56" s="24" t="s">
        <v>877</v>
      </c>
      <c r="G56" s="23"/>
      <c r="H56" s="105">
        <v>10000</v>
      </c>
      <c r="I56" s="105">
        <v>4000</v>
      </c>
      <c r="J56" s="105"/>
      <c r="K56" s="105"/>
      <c r="L56" s="50"/>
    </row>
    <row r="57" spans="2:12">
      <c r="B57" s="47" t="s">
        <v>859</v>
      </c>
      <c r="C57" s="48" t="s">
        <v>464</v>
      </c>
      <c r="D57" s="49" t="s">
        <v>0</v>
      </c>
      <c r="E57" s="49" t="s">
        <v>0</v>
      </c>
      <c r="F57" s="24" t="s">
        <v>878</v>
      </c>
      <c r="G57" s="23"/>
      <c r="H57" s="105">
        <v>2000</v>
      </c>
      <c r="I57" s="105">
        <v>5000</v>
      </c>
      <c r="J57" s="105"/>
      <c r="K57" s="105"/>
      <c r="L57" s="50"/>
    </row>
    <row r="58" spans="2:12" ht="24">
      <c r="B58" s="47" t="s">
        <v>859</v>
      </c>
      <c r="C58" s="48" t="s">
        <v>465</v>
      </c>
      <c r="D58" s="49" t="s">
        <v>0</v>
      </c>
      <c r="E58" s="49" t="s">
        <v>0</v>
      </c>
      <c r="F58" s="24" t="s">
        <v>879</v>
      </c>
      <c r="G58" s="23"/>
      <c r="H58" s="105">
        <v>3000</v>
      </c>
      <c r="I58" s="105">
        <v>6000</v>
      </c>
      <c r="J58" s="105"/>
      <c r="K58" s="105"/>
      <c r="L58" s="50"/>
    </row>
    <row r="59" spans="2:12">
      <c r="B59" s="47"/>
      <c r="C59" s="48"/>
      <c r="D59" s="49"/>
      <c r="E59" s="49"/>
      <c r="F59" s="24"/>
      <c r="G59" s="23"/>
      <c r="H59" s="23"/>
      <c r="I59" s="23"/>
      <c r="J59" s="23"/>
      <c r="K59" s="23"/>
      <c r="L59" s="50"/>
    </row>
    <row r="60" spans="2:12" ht="22.5">
      <c r="B60" s="47"/>
      <c r="C60" s="48"/>
      <c r="D60" s="49" t="s">
        <v>0</v>
      </c>
      <c r="E60" s="49" t="s">
        <v>0</v>
      </c>
      <c r="F60" s="67" t="s">
        <v>57</v>
      </c>
      <c r="G60" s="23"/>
      <c r="H60" s="23"/>
      <c r="I60" s="23"/>
      <c r="J60" s="23"/>
      <c r="K60" s="23"/>
      <c r="L60" s="50"/>
    </row>
    <row r="61" spans="2:12">
      <c r="B61" s="47" t="s">
        <v>859</v>
      </c>
      <c r="C61" s="48" t="s">
        <v>466</v>
      </c>
      <c r="D61" s="49" t="s">
        <v>0</v>
      </c>
      <c r="E61" s="49" t="s">
        <v>0</v>
      </c>
      <c r="F61" s="104" t="s">
        <v>880</v>
      </c>
      <c r="G61" s="23"/>
      <c r="H61" s="23"/>
      <c r="I61" s="23"/>
      <c r="J61" s="23"/>
      <c r="K61" s="23"/>
      <c r="L61" s="50"/>
    </row>
    <row r="62" spans="2:12">
      <c r="B62" s="47" t="s">
        <v>0</v>
      </c>
      <c r="C62" s="48" t="s">
        <v>0</v>
      </c>
      <c r="D62" s="49" t="s">
        <v>0</v>
      </c>
      <c r="E62" s="49" t="s">
        <v>0</v>
      </c>
      <c r="F62" s="24"/>
      <c r="G62" s="23"/>
      <c r="H62" s="23"/>
      <c r="I62" s="23"/>
      <c r="J62" s="23"/>
      <c r="K62" s="23"/>
      <c r="L62" s="50"/>
    </row>
    <row r="63" spans="2:12">
      <c r="B63" s="47"/>
      <c r="C63" s="48"/>
      <c r="D63" s="49" t="s">
        <v>0</v>
      </c>
      <c r="E63" s="49" t="s">
        <v>0</v>
      </c>
      <c r="F63" s="24" t="s">
        <v>58</v>
      </c>
      <c r="G63" s="23"/>
      <c r="H63" s="23"/>
      <c r="I63" s="23"/>
      <c r="J63" s="23"/>
      <c r="K63" s="23"/>
      <c r="L63" s="50"/>
    </row>
    <row r="64" spans="2:12">
      <c r="B64" s="47" t="s">
        <v>859</v>
      </c>
      <c r="C64" s="48" t="s">
        <v>467</v>
      </c>
      <c r="D64" s="49" t="s">
        <v>0</v>
      </c>
      <c r="E64" s="49" t="s">
        <v>0</v>
      </c>
      <c r="F64" s="104" t="s">
        <v>881</v>
      </c>
      <c r="G64" s="23"/>
      <c r="H64" s="23"/>
      <c r="I64" s="23"/>
      <c r="J64" s="23"/>
      <c r="K64" s="23"/>
      <c r="L64" s="50"/>
    </row>
    <row r="65" spans="2:12">
      <c r="B65" s="47"/>
      <c r="C65" s="48"/>
      <c r="D65" s="49"/>
      <c r="E65" s="49"/>
      <c r="F65" s="24"/>
      <c r="G65" s="23"/>
      <c r="H65" s="23"/>
      <c r="I65" s="23"/>
      <c r="J65" s="23"/>
      <c r="K65" s="23"/>
      <c r="L65" s="50"/>
    </row>
    <row r="66" spans="2:12">
      <c r="B66" s="47"/>
      <c r="C66" s="48"/>
      <c r="D66" s="49" t="s">
        <v>0</v>
      </c>
      <c r="E66" s="49" t="s">
        <v>0</v>
      </c>
      <c r="F66" s="24" t="s">
        <v>59</v>
      </c>
      <c r="G66" s="23"/>
      <c r="H66" s="23"/>
      <c r="I66" s="23"/>
      <c r="J66" s="23"/>
      <c r="K66" s="23"/>
      <c r="L66" s="50"/>
    </row>
    <row r="67" spans="2:12">
      <c r="B67" s="47" t="s">
        <v>859</v>
      </c>
      <c r="C67" s="48" t="s">
        <v>468</v>
      </c>
      <c r="D67" s="49" t="s">
        <v>0</v>
      </c>
      <c r="E67" s="49" t="s">
        <v>0</v>
      </c>
      <c r="F67" s="104" t="s">
        <v>882</v>
      </c>
      <c r="G67" s="23"/>
      <c r="H67" s="23"/>
      <c r="I67" s="23"/>
      <c r="J67" s="23"/>
      <c r="K67" s="23"/>
      <c r="L67" s="50"/>
    </row>
    <row r="68" spans="2:12">
      <c r="B68" s="47"/>
      <c r="C68" s="48"/>
      <c r="D68" s="49"/>
      <c r="E68" s="49"/>
      <c r="F68" s="24"/>
      <c r="G68" s="23"/>
      <c r="H68" s="23"/>
      <c r="I68" s="23"/>
      <c r="J68" s="23"/>
      <c r="K68" s="23"/>
      <c r="L68" s="50"/>
    </row>
    <row r="69" spans="2:12">
      <c r="B69" s="47"/>
      <c r="C69" s="48"/>
      <c r="D69" s="49"/>
      <c r="E69" s="49"/>
      <c r="F69" s="70" t="s">
        <v>61</v>
      </c>
      <c r="G69" s="23"/>
      <c r="H69" s="23"/>
      <c r="I69" s="23"/>
      <c r="J69" s="23"/>
      <c r="K69" s="23"/>
      <c r="L69" s="50"/>
    </row>
    <row r="70" spans="2:12">
      <c r="B70" s="47"/>
      <c r="C70" s="48"/>
      <c r="D70" s="49"/>
      <c r="E70" s="49"/>
      <c r="F70" s="24"/>
      <c r="G70" s="23"/>
      <c r="H70" s="23"/>
      <c r="I70" s="23"/>
      <c r="J70" s="23"/>
      <c r="K70" s="23"/>
      <c r="L70" s="50"/>
    </row>
    <row r="71" spans="2:12">
      <c r="B71" s="47"/>
      <c r="C71" s="48"/>
      <c r="D71" s="49" t="s">
        <v>0</v>
      </c>
      <c r="E71" s="49" t="s">
        <v>0</v>
      </c>
      <c r="F71" s="24" t="s">
        <v>86</v>
      </c>
      <c r="G71" s="23"/>
      <c r="H71" s="23"/>
      <c r="I71" s="23"/>
      <c r="J71" s="23"/>
      <c r="K71" s="23"/>
      <c r="L71" s="50"/>
    </row>
    <row r="72" spans="2:12">
      <c r="B72" s="47" t="s">
        <v>859</v>
      </c>
      <c r="C72" s="48" t="s">
        <v>469</v>
      </c>
      <c r="D72" s="49" t="s">
        <v>0</v>
      </c>
      <c r="E72" s="49" t="s">
        <v>0</v>
      </c>
      <c r="F72" s="104" t="s">
        <v>883</v>
      </c>
      <c r="G72" s="23"/>
      <c r="H72" s="23"/>
      <c r="I72" s="23"/>
      <c r="J72" s="23"/>
      <c r="K72" s="23"/>
      <c r="L72" s="50"/>
    </row>
    <row r="73" spans="2:12">
      <c r="B73" s="47"/>
      <c r="C73" s="48"/>
      <c r="D73" s="49" t="s">
        <v>0</v>
      </c>
      <c r="E73" s="49" t="s">
        <v>0</v>
      </c>
      <c r="F73" s="24"/>
      <c r="G73" s="23"/>
      <c r="H73" s="23"/>
      <c r="I73" s="23"/>
      <c r="J73" s="23"/>
      <c r="K73" s="23"/>
      <c r="L73" s="50"/>
    </row>
    <row r="74" spans="2:12">
      <c r="B74" s="47"/>
      <c r="C74" s="48"/>
      <c r="D74" s="49" t="s">
        <v>0</v>
      </c>
      <c r="E74" s="49" t="s">
        <v>0</v>
      </c>
      <c r="F74" s="24" t="s">
        <v>85</v>
      </c>
      <c r="G74" s="23"/>
      <c r="H74" s="23"/>
      <c r="I74" s="23"/>
      <c r="J74" s="23"/>
      <c r="K74" s="23"/>
      <c r="L74" s="50"/>
    </row>
    <row r="75" spans="2:12" ht="16.5" customHeight="1">
      <c r="B75" s="47" t="s">
        <v>859</v>
      </c>
      <c r="C75" s="48" t="s">
        <v>470</v>
      </c>
      <c r="D75" s="49" t="s">
        <v>0</v>
      </c>
      <c r="E75" s="49" t="s">
        <v>0</v>
      </c>
      <c r="F75" s="104" t="s">
        <v>884</v>
      </c>
      <c r="G75" s="23"/>
      <c r="H75" s="23"/>
      <c r="I75" s="23"/>
      <c r="J75" s="23"/>
      <c r="K75" s="23"/>
      <c r="L75" s="50"/>
    </row>
    <row r="76" spans="2:12">
      <c r="B76" s="47"/>
      <c r="C76" s="48"/>
      <c r="D76" s="49" t="s">
        <v>0</v>
      </c>
      <c r="E76" s="49" t="s">
        <v>0</v>
      </c>
      <c r="F76" s="24"/>
      <c r="G76" s="23"/>
      <c r="H76" s="23"/>
      <c r="I76" s="23"/>
      <c r="J76" s="23"/>
      <c r="K76" s="23"/>
      <c r="L76" s="50"/>
    </row>
    <row r="77" spans="2:12">
      <c r="B77" s="47"/>
      <c r="C77" s="48"/>
      <c r="D77" s="49" t="s">
        <v>0</v>
      </c>
      <c r="E77" s="49" t="s">
        <v>0</v>
      </c>
      <c r="F77" s="68"/>
      <c r="G77" s="23"/>
      <c r="H77" s="23"/>
      <c r="I77" s="23"/>
      <c r="J77" s="23"/>
      <c r="K77" s="23"/>
      <c r="L77" s="50"/>
    </row>
    <row r="78" spans="2:12">
      <c r="B78" s="47"/>
      <c r="C78" s="48"/>
      <c r="D78" s="49" t="s">
        <v>0</v>
      </c>
      <c r="E78" s="49" t="s">
        <v>0</v>
      </c>
      <c r="F78" s="24"/>
      <c r="G78" s="23"/>
      <c r="H78" s="23"/>
      <c r="I78" s="23"/>
      <c r="J78" s="23"/>
      <c r="K78" s="23"/>
      <c r="L78" s="50"/>
    </row>
    <row r="79" spans="2:12">
      <c r="B79" s="47"/>
      <c r="C79" s="48"/>
      <c r="D79" s="49" t="s">
        <v>0</v>
      </c>
      <c r="E79" s="49" t="s">
        <v>0</v>
      </c>
      <c r="F79" s="24" t="s">
        <v>95</v>
      </c>
      <c r="G79" s="23"/>
      <c r="H79" s="23"/>
      <c r="I79" s="23"/>
      <c r="J79" s="23"/>
      <c r="K79" s="23"/>
      <c r="L79" s="50"/>
    </row>
    <row r="80" spans="2:12">
      <c r="B80" s="47" t="s">
        <v>859</v>
      </c>
      <c r="C80" s="48" t="s">
        <v>471</v>
      </c>
      <c r="D80" s="49" t="s">
        <v>0</v>
      </c>
      <c r="E80" s="49" t="s">
        <v>0</v>
      </c>
      <c r="F80" s="104" t="s">
        <v>885</v>
      </c>
      <c r="G80" s="23"/>
      <c r="H80" s="23"/>
      <c r="I80" s="23"/>
      <c r="J80" s="23"/>
      <c r="K80" s="23"/>
      <c r="L80" s="50"/>
    </row>
    <row r="81" spans="2:12">
      <c r="B81" s="47"/>
      <c r="C81" s="48"/>
      <c r="D81" s="49" t="s">
        <v>0</v>
      </c>
      <c r="E81" s="49" t="s">
        <v>0</v>
      </c>
      <c r="F81" s="24"/>
      <c r="G81" s="23"/>
      <c r="H81" s="23"/>
      <c r="I81" s="23"/>
      <c r="J81" s="23"/>
      <c r="K81" s="23"/>
      <c r="L81" s="50"/>
    </row>
    <row r="82" spans="2:12">
      <c r="B82" s="47"/>
      <c r="C82" s="48"/>
      <c r="D82" s="49" t="s">
        <v>0</v>
      </c>
      <c r="E82" s="49" t="s">
        <v>0</v>
      </c>
      <c r="F82" s="71" t="s">
        <v>122</v>
      </c>
      <c r="G82" s="23"/>
      <c r="H82" s="23"/>
      <c r="I82" s="23"/>
      <c r="J82" s="23"/>
      <c r="K82" s="23"/>
      <c r="L82" s="50"/>
    </row>
    <row r="83" spans="2:12">
      <c r="B83" s="47"/>
      <c r="C83" s="48"/>
      <c r="D83" s="49" t="s">
        <v>0</v>
      </c>
      <c r="E83" s="49" t="s">
        <v>0</v>
      </c>
      <c r="F83" s="24"/>
      <c r="G83" s="23"/>
      <c r="H83" s="23"/>
      <c r="I83" s="23"/>
      <c r="J83" s="23"/>
      <c r="K83" s="23"/>
      <c r="L83" s="50"/>
    </row>
    <row r="84" spans="2:12">
      <c r="B84" s="47"/>
      <c r="C84" s="48"/>
      <c r="D84" s="49" t="s">
        <v>0</v>
      </c>
      <c r="E84" s="49" t="s">
        <v>0</v>
      </c>
      <c r="F84" s="24" t="s">
        <v>123</v>
      </c>
      <c r="G84" s="23"/>
      <c r="H84" s="23"/>
      <c r="I84" s="23"/>
      <c r="J84" s="23"/>
      <c r="K84" s="23"/>
      <c r="L84" s="50"/>
    </row>
    <row r="85" spans="2:12">
      <c r="B85" s="47" t="s">
        <v>859</v>
      </c>
      <c r="C85" s="48" t="s">
        <v>472</v>
      </c>
      <c r="D85" s="49" t="s">
        <v>0</v>
      </c>
      <c r="E85" s="49" t="s">
        <v>0</v>
      </c>
      <c r="F85" s="104" t="s">
        <v>886</v>
      </c>
      <c r="G85" s="23"/>
      <c r="H85" s="23"/>
      <c r="I85" s="23"/>
      <c r="J85" s="23"/>
      <c r="K85" s="23"/>
      <c r="L85" s="50"/>
    </row>
    <row r="86" spans="2:12">
      <c r="B86" s="47" t="s">
        <v>0</v>
      </c>
      <c r="C86" s="48" t="s">
        <v>0</v>
      </c>
      <c r="D86" s="49" t="s">
        <v>0</v>
      </c>
      <c r="E86" s="49" t="s">
        <v>0</v>
      </c>
      <c r="F86" s="24"/>
      <c r="G86" s="23"/>
      <c r="H86" s="23"/>
      <c r="I86" s="23"/>
      <c r="J86" s="23"/>
      <c r="K86" s="23"/>
      <c r="L86" s="50"/>
    </row>
    <row r="87" spans="2:12">
      <c r="B87" s="47"/>
      <c r="C87" s="48"/>
      <c r="D87" s="49" t="s">
        <v>0</v>
      </c>
      <c r="E87" s="49" t="s">
        <v>0</v>
      </c>
      <c r="F87" s="24" t="s">
        <v>124</v>
      </c>
      <c r="G87" s="23"/>
      <c r="H87" s="23"/>
      <c r="I87" s="23"/>
      <c r="J87" s="23"/>
      <c r="K87" s="23"/>
      <c r="L87" s="50"/>
    </row>
    <row r="88" spans="2:12">
      <c r="B88" s="47" t="s">
        <v>859</v>
      </c>
      <c r="C88" s="48" t="s">
        <v>473</v>
      </c>
      <c r="D88" s="49" t="s">
        <v>0</v>
      </c>
      <c r="E88" s="49" t="s">
        <v>0</v>
      </c>
      <c r="F88" s="104" t="s">
        <v>887</v>
      </c>
      <c r="G88" s="23"/>
      <c r="H88" s="23"/>
      <c r="I88" s="23"/>
      <c r="J88" s="23"/>
      <c r="K88" s="23"/>
      <c r="L88" s="50"/>
    </row>
    <row r="89" spans="2:12">
      <c r="B89" s="47"/>
      <c r="C89" s="48"/>
      <c r="D89" s="49" t="s">
        <v>0</v>
      </c>
      <c r="E89" s="49" t="s">
        <v>0</v>
      </c>
      <c r="F89" s="24"/>
      <c r="G89" s="23"/>
      <c r="H89" s="23"/>
      <c r="I89" s="23"/>
      <c r="J89" s="23"/>
      <c r="K89" s="23"/>
      <c r="L89" s="50"/>
    </row>
    <row r="90" spans="2:12">
      <c r="B90" s="47"/>
      <c r="C90" s="48"/>
      <c r="D90" s="49" t="s">
        <v>0</v>
      </c>
      <c r="E90" s="49" t="s">
        <v>0</v>
      </c>
      <c r="F90" s="72" t="s">
        <v>126</v>
      </c>
      <c r="G90" s="23"/>
      <c r="H90" s="23"/>
      <c r="I90" s="23"/>
      <c r="J90" s="23"/>
      <c r="K90" s="23"/>
      <c r="L90" s="50"/>
    </row>
    <row r="91" spans="2:12">
      <c r="B91" s="47"/>
      <c r="C91" s="48"/>
      <c r="D91" s="49" t="s">
        <v>0</v>
      </c>
      <c r="E91" s="49" t="s">
        <v>0</v>
      </c>
      <c r="F91" s="24"/>
      <c r="G91" s="23"/>
      <c r="H91" s="23"/>
      <c r="I91" s="23"/>
      <c r="J91" s="23"/>
      <c r="K91" s="23"/>
      <c r="L91" s="50"/>
    </row>
    <row r="92" spans="2:12">
      <c r="B92" s="47"/>
      <c r="C92" s="48"/>
      <c r="D92" s="49" t="s">
        <v>0</v>
      </c>
      <c r="E92" s="49" t="s">
        <v>0</v>
      </c>
      <c r="F92" s="24" t="s">
        <v>166</v>
      </c>
      <c r="G92" s="23"/>
      <c r="H92" s="23"/>
      <c r="I92" s="23"/>
      <c r="J92" s="23"/>
      <c r="K92" s="23"/>
      <c r="L92" s="50"/>
    </row>
    <row r="93" spans="2:12">
      <c r="B93" s="47" t="s">
        <v>859</v>
      </c>
      <c r="C93" s="48" t="s">
        <v>474</v>
      </c>
      <c r="D93" s="49" t="s">
        <v>0</v>
      </c>
      <c r="E93" s="49" t="s">
        <v>0</v>
      </c>
      <c r="F93" s="104" t="s">
        <v>888</v>
      </c>
      <c r="G93" s="23"/>
      <c r="H93" s="23"/>
      <c r="I93" s="23"/>
      <c r="J93" s="23"/>
      <c r="K93" s="23"/>
      <c r="L93" s="50"/>
    </row>
    <row r="94" spans="2:12">
      <c r="B94" s="47" t="s">
        <v>0</v>
      </c>
      <c r="C94" s="48" t="s">
        <v>0</v>
      </c>
      <c r="D94" s="49" t="s">
        <v>0</v>
      </c>
      <c r="E94" s="49" t="s">
        <v>0</v>
      </c>
      <c r="F94" s="24"/>
      <c r="G94" s="23"/>
      <c r="H94" s="23"/>
      <c r="I94" s="23"/>
      <c r="J94" s="23"/>
      <c r="K94" s="23"/>
      <c r="L94" s="50"/>
    </row>
    <row r="95" spans="2:12" ht="24">
      <c r="B95" s="47"/>
      <c r="C95" s="48"/>
      <c r="D95" s="49" t="s">
        <v>0</v>
      </c>
      <c r="E95" s="49" t="s">
        <v>0</v>
      </c>
      <c r="F95" s="24" t="s">
        <v>167</v>
      </c>
      <c r="G95" s="23"/>
      <c r="H95" s="23"/>
      <c r="I95" s="23"/>
      <c r="J95" s="23"/>
      <c r="K95" s="23"/>
      <c r="L95" s="50"/>
    </row>
    <row r="96" spans="2:12">
      <c r="B96" s="47" t="s">
        <v>859</v>
      </c>
      <c r="C96" s="48" t="s">
        <v>475</v>
      </c>
      <c r="D96" s="49" t="s">
        <v>0</v>
      </c>
      <c r="E96" s="49" t="s">
        <v>0</v>
      </c>
      <c r="F96" s="104" t="s">
        <v>889</v>
      </c>
      <c r="G96" s="23"/>
      <c r="H96" s="23"/>
      <c r="I96" s="23"/>
      <c r="J96" s="23"/>
      <c r="K96" s="23"/>
      <c r="L96" s="50"/>
    </row>
    <row r="97" spans="2:12">
      <c r="B97" s="47" t="s">
        <v>0</v>
      </c>
      <c r="C97" s="48" t="s">
        <v>0</v>
      </c>
      <c r="D97" s="49" t="s">
        <v>0</v>
      </c>
      <c r="E97" s="49" t="s">
        <v>0</v>
      </c>
      <c r="F97" s="24"/>
      <c r="G97" s="23"/>
      <c r="H97" s="23"/>
      <c r="I97" s="23"/>
      <c r="J97" s="23"/>
      <c r="K97" s="23"/>
      <c r="L97" s="50"/>
    </row>
    <row r="98" spans="2:12" ht="24">
      <c r="B98" s="47"/>
      <c r="C98" s="48"/>
      <c r="D98" s="49" t="s">
        <v>0</v>
      </c>
      <c r="E98" s="49" t="s">
        <v>0</v>
      </c>
      <c r="F98" s="24" t="s">
        <v>168</v>
      </c>
      <c r="G98" s="23"/>
      <c r="H98" s="23"/>
      <c r="I98" s="23"/>
      <c r="J98" s="23"/>
      <c r="K98" s="23"/>
      <c r="L98" s="50"/>
    </row>
    <row r="99" spans="2:12">
      <c r="B99" s="47" t="s">
        <v>859</v>
      </c>
      <c r="C99" s="48" t="s">
        <v>476</v>
      </c>
      <c r="D99" s="49" t="s">
        <v>0</v>
      </c>
      <c r="E99" s="49" t="s">
        <v>0</v>
      </c>
      <c r="F99" s="104" t="s">
        <v>890</v>
      </c>
      <c r="G99" s="23"/>
      <c r="H99" s="23"/>
      <c r="I99" s="23"/>
      <c r="J99" s="23"/>
      <c r="K99" s="23"/>
      <c r="L99" s="50"/>
    </row>
    <row r="100" spans="2:12">
      <c r="B100" s="47" t="s">
        <v>0</v>
      </c>
      <c r="C100" s="48" t="s">
        <v>0</v>
      </c>
      <c r="D100" s="49" t="s">
        <v>0</v>
      </c>
      <c r="E100" s="49" t="s">
        <v>0</v>
      </c>
      <c r="F100" s="24"/>
      <c r="G100" s="23"/>
      <c r="H100" s="23"/>
      <c r="I100" s="23"/>
      <c r="J100" s="23"/>
      <c r="K100" s="23"/>
      <c r="L100" s="50"/>
    </row>
    <row r="101" spans="2:12">
      <c r="B101" s="47"/>
      <c r="C101" s="48"/>
      <c r="D101" s="49" t="s">
        <v>0</v>
      </c>
      <c r="E101" s="49" t="s">
        <v>0</v>
      </c>
      <c r="F101" s="24" t="s">
        <v>169</v>
      </c>
      <c r="G101" s="23"/>
      <c r="H101" s="23"/>
      <c r="I101" s="23"/>
      <c r="J101" s="23"/>
      <c r="K101" s="23"/>
      <c r="L101" s="50"/>
    </row>
    <row r="102" spans="2:12">
      <c r="B102" s="47" t="s">
        <v>859</v>
      </c>
      <c r="C102" s="48" t="s">
        <v>477</v>
      </c>
      <c r="D102" s="49" t="s">
        <v>0</v>
      </c>
      <c r="E102" s="49" t="s">
        <v>0</v>
      </c>
      <c r="F102" s="104" t="s">
        <v>860</v>
      </c>
      <c r="G102" s="23"/>
      <c r="H102" s="23"/>
      <c r="I102" s="23"/>
      <c r="J102" s="23"/>
      <c r="K102" s="23"/>
      <c r="L102" s="50"/>
    </row>
    <row r="103" spans="2:12">
      <c r="B103" s="47" t="s">
        <v>0</v>
      </c>
      <c r="C103" s="48" t="s">
        <v>0</v>
      </c>
      <c r="D103" s="49" t="s">
        <v>0</v>
      </c>
      <c r="E103" s="49" t="s">
        <v>0</v>
      </c>
      <c r="F103" s="24"/>
      <c r="G103" s="23"/>
      <c r="H103" s="23"/>
      <c r="I103" s="23"/>
      <c r="J103" s="23"/>
      <c r="K103" s="23"/>
      <c r="L103" s="50"/>
    </row>
    <row r="104" spans="2:12">
      <c r="B104" s="47"/>
      <c r="C104" s="48"/>
      <c r="D104" s="49" t="s">
        <v>0</v>
      </c>
      <c r="E104" s="49" t="s">
        <v>0</v>
      </c>
      <c r="F104" s="24" t="s">
        <v>170</v>
      </c>
      <c r="G104" s="23"/>
      <c r="H104" s="23"/>
      <c r="I104" s="23"/>
      <c r="J104" s="23"/>
      <c r="K104" s="23"/>
      <c r="L104" s="50"/>
    </row>
    <row r="105" spans="2:12">
      <c r="B105" s="47" t="s">
        <v>859</v>
      </c>
      <c r="C105" s="48" t="s">
        <v>478</v>
      </c>
      <c r="D105" s="49" t="s">
        <v>0</v>
      </c>
      <c r="E105" s="49" t="s">
        <v>0</v>
      </c>
      <c r="F105" s="104" t="s">
        <v>861</v>
      </c>
      <c r="G105" s="23"/>
      <c r="H105" s="23"/>
      <c r="I105" s="23"/>
      <c r="J105" s="23"/>
      <c r="K105" s="23"/>
      <c r="L105" s="50"/>
    </row>
    <row r="106" spans="2:12">
      <c r="B106" s="47" t="s">
        <v>0</v>
      </c>
      <c r="C106" s="48" t="s">
        <v>0</v>
      </c>
      <c r="D106" s="49" t="s">
        <v>0</v>
      </c>
      <c r="E106" s="49" t="s">
        <v>0</v>
      </c>
      <c r="F106" s="24"/>
      <c r="G106" s="23"/>
      <c r="H106" s="23"/>
      <c r="I106" s="23"/>
      <c r="J106" s="23"/>
      <c r="K106" s="23"/>
      <c r="L106" s="50"/>
    </row>
    <row r="107" spans="2:12" ht="24">
      <c r="B107" s="47"/>
      <c r="C107" s="48"/>
      <c r="D107" s="49" t="s">
        <v>0</v>
      </c>
      <c r="E107" s="49" t="s">
        <v>0</v>
      </c>
      <c r="F107" s="24" t="s">
        <v>171</v>
      </c>
      <c r="G107" s="23"/>
      <c r="H107" s="23"/>
      <c r="I107" s="23"/>
      <c r="J107" s="23"/>
      <c r="K107" s="23"/>
      <c r="L107" s="50"/>
    </row>
    <row r="108" spans="2:12">
      <c r="B108" s="47" t="s">
        <v>859</v>
      </c>
      <c r="C108" s="48" t="s">
        <v>479</v>
      </c>
      <c r="D108" s="49" t="s">
        <v>0</v>
      </c>
      <c r="E108" s="49" t="s">
        <v>0</v>
      </c>
      <c r="F108" s="104" t="s">
        <v>862</v>
      </c>
      <c r="G108" s="23"/>
      <c r="H108" s="23"/>
      <c r="I108" s="23"/>
      <c r="J108" s="23"/>
      <c r="K108" s="23"/>
      <c r="L108" s="50"/>
    </row>
    <row r="109" spans="2:12" ht="24">
      <c r="B109" s="47"/>
      <c r="C109" s="48"/>
      <c r="D109" s="49"/>
      <c r="E109" s="49"/>
      <c r="F109" s="24"/>
      <c r="G109" s="23"/>
      <c r="H109" s="110" t="s">
        <v>442</v>
      </c>
      <c r="I109" s="110" t="s">
        <v>443</v>
      </c>
      <c r="J109" s="23"/>
      <c r="K109" s="23"/>
      <c r="L109" s="50"/>
    </row>
    <row r="110" spans="2:12">
      <c r="B110" s="47" t="s">
        <v>859</v>
      </c>
      <c r="C110" s="48" t="s">
        <v>480</v>
      </c>
      <c r="D110" s="49" t="s">
        <v>0</v>
      </c>
      <c r="E110" s="49" t="s">
        <v>0</v>
      </c>
      <c r="F110" s="106" t="s">
        <v>172</v>
      </c>
      <c r="G110" s="23"/>
      <c r="H110" s="105">
        <v>1000</v>
      </c>
      <c r="I110" s="105">
        <v>3000</v>
      </c>
      <c r="J110" s="23"/>
      <c r="K110" s="23"/>
      <c r="L110" s="50"/>
    </row>
    <row r="111" spans="2:12">
      <c r="B111" s="47" t="s">
        <v>859</v>
      </c>
      <c r="C111" s="48" t="s">
        <v>481</v>
      </c>
      <c r="D111" s="49" t="s">
        <v>0</v>
      </c>
      <c r="E111" s="49" t="s">
        <v>0</v>
      </c>
      <c r="F111" s="106" t="s">
        <v>173</v>
      </c>
      <c r="G111" s="23"/>
      <c r="H111" s="105">
        <v>2000</v>
      </c>
      <c r="I111" s="105">
        <v>4000</v>
      </c>
      <c r="J111" s="23"/>
      <c r="K111" s="23"/>
      <c r="L111" s="50"/>
    </row>
    <row r="112" spans="2:12">
      <c r="B112" s="47" t="s">
        <v>0</v>
      </c>
      <c r="C112" s="48" t="s">
        <v>0</v>
      </c>
      <c r="D112" s="49" t="s">
        <v>0</v>
      </c>
      <c r="E112" s="49" t="s">
        <v>0</v>
      </c>
      <c r="F112" s="24"/>
      <c r="G112" s="23"/>
      <c r="H112" s="23"/>
      <c r="I112" s="23"/>
      <c r="J112" s="23"/>
      <c r="K112" s="23"/>
      <c r="L112" s="50"/>
    </row>
    <row r="113" spans="2:12" ht="24">
      <c r="B113" s="47"/>
      <c r="C113" s="48"/>
      <c r="D113" s="49" t="s">
        <v>0</v>
      </c>
      <c r="E113" s="49" t="s">
        <v>0</v>
      </c>
      <c r="F113" s="24" t="s">
        <v>174</v>
      </c>
      <c r="G113" s="23"/>
      <c r="H113" s="23"/>
      <c r="I113" s="23"/>
      <c r="J113" s="23"/>
      <c r="K113" s="23"/>
      <c r="L113" s="50"/>
    </row>
    <row r="114" spans="2:12">
      <c r="B114" s="47" t="s">
        <v>859</v>
      </c>
      <c r="C114" s="48" t="s">
        <v>482</v>
      </c>
      <c r="D114" s="49" t="s">
        <v>0</v>
      </c>
      <c r="E114" s="49" t="s">
        <v>0</v>
      </c>
      <c r="F114" s="104" t="s">
        <v>863</v>
      </c>
      <c r="G114" s="23"/>
      <c r="H114" s="23"/>
      <c r="I114" s="23"/>
      <c r="J114" s="23"/>
      <c r="K114" s="23"/>
      <c r="L114" s="50"/>
    </row>
    <row r="115" spans="2:12">
      <c r="B115" s="47" t="s">
        <v>0</v>
      </c>
      <c r="C115" s="48" t="s">
        <v>0</v>
      </c>
      <c r="D115" s="49" t="s">
        <v>0</v>
      </c>
      <c r="E115" s="49" t="s">
        <v>0</v>
      </c>
      <c r="F115" s="24"/>
      <c r="G115" s="23"/>
      <c r="H115" s="23"/>
      <c r="I115" s="23"/>
      <c r="J115" s="23"/>
      <c r="K115" s="23"/>
      <c r="L115" s="50"/>
    </row>
    <row r="116" spans="2:12">
      <c r="B116" s="47"/>
      <c r="C116" s="48"/>
      <c r="D116" s="49" t="s">
        <v>0</v>
      </c>
      <c r="E116" s="49" t="s">
        <v>0</v>
      </c>
      <c r="F116" s="24" t="s">
        <v>175</v>
      </c>
      <c r="G116" s="23"/>
      <c r="H116" s="23"/>
      <c r="I116" s="23"/>
      <c r="J116" s="23"/>
      <c r="K116" s="23"/>
      <c r="L116" s="50"/>
    </row>
    <row r="117" spans="2:12">
      <c r="B117" s="47" t="s">
        <v>859</v>
      </c>
      <c r="C117" s="48" t="s">
        <v>483</v>
      </c>
      <c r="D117" s="49" t="s">
        <v>0</v>
      </c>
      <c r="E117" s="49" t="s">
        <v>0</v>
      </c>
      <c r="F117" s="104" t="s">
        <v>864</v>
      </c>
      <c r="G117" s="23"/>
      <c r="H117" s="23"/>
      <c r="I117" s="23"/>
      <c r="J117" s="23"/>
      <c r="K117" s="23"/>
      <c r="L117" s="50"/>
    </row>
    <row r="118" spans="2:12">
      <c r="B118" s="47" t="s">
        <v>0</v>
      </c>
      <c r="C118" s="48" t="s">
        <v>0</v>
      </c>
      <c r="D118" s="49" t="s">
        <v>0</v>
      </c>
      <c r="E118" s="49" t="s">
        <v>0</v>
      </c>
      <c r="F118" s="24"/>
      <c r="G118" s="23"/>
      <c r="H118" s="23"/>
      <c r="I118" s="23"/>
      <c r="J118" s="23"/>
      <c r="K118" s="23"/>
      <c r="L118" s="50"/>
    </row>
    <row r="119" spans="2:12">
      <c r="B119" s="47"/>
      <c r="C119" s="48"/>
      <c r="D119" s="49" t="s">
        <v>0</v>
      </c>
      <c r="E119" s="49" t="s">
        <v>0</v>
      </c>
      <c r="F119" s="24" t="s">
        <v>176</v>
      </c>
      <c r="G119" s="23"/>
      <c r="H119" s="23"/>
      <c r="I119" s="23"/>
      <c r="J119" s="23"/>
      <c r="K119" s="23"/>
      <c r="L119" s="50"/>
    </row>
    <row r="120" spans="2:12">
      <c r="B120" s="47" t="s">
        <v>859</v>
      </c>
      <c r="C120" s="48" t="s">
        <v>484</v>
      </c>
      <c r="D120" s="49" t="s">
        <v>0</v>
      </c>
      <c r="E120" s="49" t="s">
        <v>0</v>
      </c>
      <c r="F120" s="104" t="s">
        <v>865</v>
      </c>
      <c r="G120" s="23"/>
      <c r="H120" s="23"/>
      <c r="I120" s="23"/>
      <c r="J120" s="23"/>
      <c r="K120" s="23"/>
      <c r="L120" s="50"/>
    </row>
    <row r="121" spans="2:12">
      <c r="B121" s="47"/>
      <c r="C121" s="48"/>
      <c r="D121" s="49"/>
      <c r="E121" s="49"/>
      <c r="F121" s="24"/>
      <c r="G121" s="23"/>
      <c r="H121" s="23"/>
      <c r="I121" s="23"/>
      <c r="J121" s="23"/>
      <c r="K121" s="23"/>
      <c r="L121" s="50"/>
    </row>
    <row r="122" spans="2:12" ht="24">
      <c r="B122" s="47"/>
      <c r="C122" s="48"/>
      <c r="D122" s="49" t="s">
        <v>0</v>
      </c>
      <c r="E122" s="49" t="s">
        <v>0</v>
      </c>
      <c r="F122" s="24" t="s">
        <v>177</v>
      </c>
      <c r="G122" s="23"/>
      <c r="H122" s="23"/>
      <c r="I122" s="23"/>
      <c r="J122" s="23"/>
      <c r="K122" s="23"/>
      <c r="L122" s="50"/>
    </row>
    <row r="123" spans="2:12">
      <c r="B123" s="47" t="s">
        <v>859</v>
      </c>
      <c r="C123" s="48" t="s">
        <v>485</v>
      </c>
      <c r="D123" s="49" t="s">
        <v>0</v>
      </c>
      <c r="E123" s="49" t="s">
        <v>0</v>
      </c>
      <c r="F123" s="104" t="s">
        <v>866</v>
      </c>
      <c r="G123" s="23"/>
      <c r="H123" s="23"/>
      <c r="I123" s="23"/>
      <c r="J123" s="23"/>
      <c r="K123" s="23"/>
      <c r="L123" s="50"/>
    </row>
    <row r="124" spans="2:12">
      <c r="B124" s="47"/>
      <c r="C124" s="48"/>
      <c r="D124" s="49"/>
      <c r="E124" s="49"/>
      <c r="F124" s="24"/>
      <c r="G124" s="23"/>
      <c r="H124" s="23"/>
      <c r="I124" s="23"/>
      <c r="J124" s="23"/>
      <c r="K124" s="23"/>
      <c r="L124" s="50"/>
    </row>
    <row r="125" spans="2:12" ht="24">
      <c r="B125" s="47"/>
      <c r="C125" s="48"/>
      <c r="D125" s="49" t="s">
        <v>0</v>
      </c>
      <c r="E125" s="49" t="s">
        <v>0</v>
      </c>
      <c r="F125" s="24" t="s">
        <v>153</v>
      </c>
      <c r="G125" s="23"/>
      <c r="H125" s="23"/>
      <c r="I125" s="23"/>
      <c r="J125" s="23"/>
      <c r="K125" s="23"/>
      <c r="L125" s="50"/>
    </row>
    <row r="126" spans="2:12">
      <c r="B126" s="47" t="s">
        <v>859</v>
      </c>
      <c r="C126" s="48" t="s">
        <v>486</v>
      </c>
      <c r="D126" s="49" t="s">
        <v>0</v>
      </c>
      <c r="E126" s="49" t="s">
        <v>0</v>
      </c>
      <c r="F126" s="104" t="s">
        <v>867</v>
      </c>
      <c r="G126" s="23"/>
      <c r="H126" s="23"/>
      <c r="I126" s="23"/>
      <c r="J126" s="23"/>
      <c r="K126" s="23"/>
      <c r="L126" s="50"/>
    </row>
    <row r="127" spans="2:12" ht="24">
      <c r="B127" s="47"/>
      <c r="C127" s="48"/>
      <c r="D127" s="49"/>
      <c r="E127" s="49"/>
      <c r="F127" s="24"/>
      <c r="G127" s="23"/>
      <c r="H127" s="110" t="s">
        <v>442</v>
      </c>
      <c r="I127" s="110" t="s">
        <v>443</v>
      </c>
      <c r="J127" s="23"/>
      <c r="K127" s="23"/>
      <c r="L127" s="50"/>
    </row>
    <row r="128" spans="2:12" ht="24">
      <c r="B128" s="47" t="s">
        <v>859</v>
      </c>
      <c r="C128" s="48" t="s">
        <v>487</v>
      </c>
      <c r="D128" s="49" t="s">
        <v>0</v>
      </c>
      <c r="E128" s="49" t="s">
        <v>0</v>
      </c>
      <c r="F128" s="24" t="s">
        <v>154</v>
      </c>
      <c r="G128" s="23"/>
      <c r="H128" s="105">
        <v>1000</v>
      </c>
      <c r="I128" s="105">
        <v>2000</v>
      </c>
      <c r="J128" s="23"/>
      <c r="K128" s="23"/>
      <c r="L128" s="50"/>
    </row>
    <row r="129" spans="2:12">
      <c r="B129" s="47" t="s">
        <v>0</v>
      </c>
      <c r="C129" s="48" t="s">
        <v>0</v>
      </c>
      <c r="D129" s="49" t="s">
        <v>0</v>
      </c>
      <c r="E129" s="49" t="s">
        <v>0</v>
      </c>
      <c r="F129" s="24"/>
      <c r="G129" s="23"/>
      <c r="H129" s="23"/>
      <c r="I129" s="23"/>
      <c r="J129" s="23"/>
      <c r="K129" s="23"/>
      <c r="L129" s="50"/>
    </row>
    <row r="130" spans="2:12" ht="24.75" customHeight="1">
      <c r="B130" s="47"/>
      <c r="C130" s="48"/>
      <c r="D130" s="49" t="s">
        <v>0</v>
      </c>
      <c r="E130" s="49" t="s">
        <v>0</v>
      </c>
      <c r="F130" s="24" t="s">
        <v>155</v>
      </c>
      <c r="G130" s="23"/>
      <c r="H130" s="23"/>
      <c r="I130" s="23"/>
      <c r="J130" s="23"/>
      <c r="K130" s="23"/>
      <c r="L130" s="50"/>
    </row>
    <row r="131" spans="2:12">
      <c r="B131" s="47" t="s">
        <v>859</v>
      </c>
      <c r="C131" s="48" t="s">
        <v>488</v>
      </c>
      <c r="D131" s="49" t="s">
        <v>0</v>
      </c>
      <c r="E131" s="49" t="s">
        <v>0</v>
      </c>
      <c r="F131" s="104" t="s">
        <v>868</v>
      </c>
      <c r="G131" s="23"/>
      <c r="H131" s="23"/>
      <c r="I131" s="23"/>
      <c r="J131" s="23"/>
      <c r="K131" s="23"/>
      <c r="L131" s="50"/>
    </row>
    <row r="132" spans="2:12">
      <c r="B132" s="47" t="s">
        <v>0</v>
      </c>
      <c r="C132" s="48" t="s">
        <v>0</v>
      </c>
      <c r="D132" s="49" t="s">
        <v>0</v>
      </c>
      <c r="E132" s="49" t="s">
        <v>0</v>
      </c>
      <c r="F132" s="24"/>
      <c r="G132" s="23"/>
      <c r="H132" s="23"/>
      <c r="I132" s="23"/>
      <c r="J132" s="23"/>
      <c r="K132" s="23"/>
      <c r="L132" s="50"/>
    </row>
    <row r="133" spans="2:12" ht="26.25" customHeight="1">
      <c r="B133" s="47"/>
      <c r="C133" s="48"/>
      <c r="D133" s="49" t="s">
        <v>0</v>
      </c>
      <c r="E133" s="49" t="s">
        <v>0</v>
      </c>
      <c r="F133" s="24" t="s">
        <v>156</v>
      </c>
      <c r="G133" s="23"/>
      <c r="H133" s="23"/>
      <c r="I133" s="23"/>
      <c r="J133" s="23"/>
      <c r="K133" s="23"/>
      <c r="L133" s="50"/>
    </row>
    <row r="134" spans="2:12">
      <c r="B134" s="47" t="s">
        <v>859</v>
      </c>
      <c r="C134" s="48" t="s">
        <v>489</v>
      </c>
      <c r="D134" s="49" t="s">
        <v>0</v>
      </c>
      <c r="E134" s="49" t="s">
        <v>0</v>
      </c>
      <c r="F134" s="104" t="s">
        <v>869</v>
      </c>
      <c r="G134" s="23"/>
      <c r="H134" s="23"/>
      <c r="I134" s="23"/>
      <c r="J134" s="23"/>
      <c r="K134" s="23"/>
      <c r="L134" s="50"/>
    </row>
    <row r="135" spans="2:12">
      <c r="B135" s="47" t="s">
        <v>0</v>
      </c>
      <c r="C135" s="48" t="s">
        <v>0</v>
      </c>
      <c r="D135" s="49" t="s">
        <v>0</v>
      </c>
      <c r="E135" s="49" t="s">
        <v>0</v>
      </c>
      <c r="F135" s="24"/>
      <c r="G135" s="23"/>
      <c r="H135" s="23"/>
      <c r="I135" s="23"/>
      <c r="J135" s="23"/>
      <c r="K135" s="23"/>
      <c r="L135" s="50"/>
    </row>
    <row r="136" spans="2:12" ht="29.25" customHeight="1">
      <c r="B136" s="47"/>
      <c r="C136" s="48"/>
      <c r="D136" s="49" t="s">
        <v>0</v>
      </c>
      <c r="E136" s="49" t="s">
        <v>0</v>
      </c>
      <c r="F136" s="24" t="s">
        <v>157</v>
      </c>
      <c r="G136" s="23"/>
      <c r="H136" s="23"/>
      <c r="I136" s="23"/>
      <c r="J136" s="23"/>
      <c r="K136" s="23"/>
      <c r="L136" s="50"/>
    </row>
    <row r="137" spans="2:12">
      <c r="B137" s="47" t="s">
        <v>859</v>
      </c>
      <c r="C137" s="48" t="s">
        <v>490</v>
      </c>
      <c r="D137" s="49" t="s">
        <v>0</v>
      </c>
      <c r="E137" s="49" t="s">
        <v>0</v>
      </c>
      <c r="F137" s="104" t="s">
        <v>870</v>
      </c>
      <c r="G137" s="23"/>
      <c r="H137" s="23"/>
      <c r="I137" s="23"/>
      <c r="J137" s="23"/>
      <c r="K137" s="23"/>
      <c r="L137" s="50"/>
    </row>
    <row r="138" spans="2:12">
      <c r="B138" s="47"/>
      <c r="C138" s="48"/>
      <c r="D138" s="49"/>
      <c r="E138" s="49"/>
      <c r="F138" s="49"/>
      <c r="G138" s="23"/>
      <c r="H138" s="23"/>
      <c r="I138" s="23"/>
      <c r="J138" s="23"/>
      <c r="K138" s="23"/>
      <c r="L138" s="50"/>
    </row>
    <row r="139" spans="2:12">
      <c r="B139" s="47"/>
      <c r="C139" s="48"/>
      <c r="D139" s="49" t="s">
        <v>0</v>
      </c>
      <c r="E139" s="49" t="s">
        <v>0</v>
      </c>
      <c r="F139" s="24" t="s">
        <v>644</v>
      </c>
      <c r="G139" s="23"/>
      <c r="H139" s="23"/>
      <c r="I139" s="23"/>
      <c r="J139" s="23"/>
      <c r="K139" s="23"/>
      <c r="L139" s="50"/>
    </row>
    <row r="140" spans="2:12">
      <c r="B140" s="47" t="s">
        <v>859</v>
      </c>
      <c r="C140" s="48" t="s">
        <v>641</v>
      </c>
      <c r="D140" s="49" t="s">
        <v>0</v>
      </c>
      <c r="E140" s="49" t="s">
        <v>0</v>
      </c>
      <c r="F140" s="104" t="s">
        <v>891</v>
      </c>
      <c r="G140" s="23"/>
      <c r="H140" s="23"/>
      <c r="I140" s="23"/>
      <c r="J140" s="23"/>
      <c r="K140" s="23"/>
      <c r="L140" s="50"/>
    </row>
    <row r="141" spans="2:12">
      <c r="B141" s="47"/>
      <c r="C141" s="48"/>
      <c r="D141" s="49"/>
      <c r="E141" s="49"/>
      <c r="F141" s="49"/>
      <c r="G141" s="23"/>
      <c r="H141" s="23"/>
      <c r="I141" s="23"/>
      <c r="J141" s="23"/>
      <c r="K141" s="23"/>
      <c r="L141" s="50"/>
    </row>
    <row r="142" spans="2:12">
      <c r="B142" s="47"/>
      <c r="C142" s="48"/>
      <c r="D142" s="49" t="s">
        <v>0</v>
      </c>
      <c r="E142" s="49" t="s">
        <v>0</v>
      </c>
      <c r="F142" s="24" t="s">
        <v>645</v>
      </c>
      <c r="G142" s="23"/>
      <c r="H142" s="23"/>
      <c r="I142" s="23"/>
      <c r="J142" s="23"/>
      <c r="K142" s="23"/>
      <c r="L142" s="50"/>
    </row>
    <row r="143" spans="2:12">
      <c r="B143" s="47" t="s">
        <v>859</v>
      </c>
      <c r="C143" s="48" t="s">
        <v>642</v>
      </c>
      <c r="D143" s="49" t="s">
        <v>0</v>
      </c>
      <c r="E143" s="49" t="s">
        <v>0</v>
      </c>
      <c r="F143" s="104" t="s">
        <v>892</v>
      </c>
      <c r="G143" s="23"/>
      <c r="H143" s="23"/>
      <c r="I143" s="23"/>
      <c r="J143" s="23"/>
      <c r="K143" s="23"/>
      <c r="L143" s="50"/>
    </row>
    <row r="144" spans="2:12">
      <c r="B144" s="47"/>
      <c r="C144" s="48"/>
      <c r="D144" s="49"/>
      <c r="E144" s="49"/>
      <c r="F144" s="49"/>
      <c r="G144" s="23"/>
      <c r="H144" s="23"/>
      <c r="I144" s="23"/>
      <c r="J144" s="23"/>
      <c r="K144" s="23"/>
      <c r="L144" s="50"/>
    </row>
    <row r="145" spans="2:12">
      <c r="B145" s="47"/>
      <c r="C145" s="48"/>
      <c r="D145" s="49" t="s">
        <v>0</v>
      </c>
      <c r="E145" s="49" t="s">
        <v>0</v>
      </c>
      <c r="F145" s="24" t="s">
        <v>646</v>
      </c>
      <c r="G145" s="23"/>
      <c r="H145" s="23"/>
      <c r="I145" s="23"/>
      <c r="J145" s="23"/>
      <c r="K145" s="23"/>
      <c r="L145" s="50"/>
    </row>
    <row r="146" spans="2:12">
      <c r="B146" s="47" t="s">
        <v>859</v>
      </c>
      <c r="C146" s="48" t="s">
        <v>643</v>
      </c>
      <c r="D146" s="49" t="s">
        <v>0</v>
      </c>
      <c r="E146" s="49" t="s">
        <v>0</v>
      </c>
      <c r="F146" s="104" t="s">
        <v>893</v>
      </c>
      <c r="G146" s="23"/>
      <c r="H146" s="23"/>
      <c r="I146" s="23"/>
      <c r="J146" s="23"/>
      <c r="K146" s="23"/>
      <c r="L146" s="50"/>
    </row>
    <row r="147" spans="2:12">
      <c r="B147" s="73"/>
      <c r="C147" s="74"/>
      <c r="D147" s="75"/>
      <c r="E147" s="75"/>
      <c r="F147" s="76"/>
      <c r="G147" s="77"/>
      <c r="H147" s="77"/>
      <c r="I147" s="77"/>
      <c r="J147" s="77"/>
      <c r="K147" s="77"/>
      <c r="L147" s="78"/>
    </row>
    <row r="148" spans="2:12">
      <c r="B148" s="51"/>
      <c r="C148" s="51"/>
      <c r="D148" s="52"/>
      <c r="E148" s="52"/>
      <c r="F148" s="52"/>
      <c r="G148" s="53"/>
      <c r="H148" s="54"/>
      <c r="I148" s="52"/>
      <c r="J148" s="52"/>
      <c r="K148" s="52"/>
      <c r="L148" s="52"/>
    </row>
    <row r="149" spans="2:12">
      <c r="B149" s="51"/>
      <c r="C149" s="51"/>
      <c r="D149" s="52"/>
      <c r="E149" s="52"/>
      <c r="F149" s="52"/>
      <c r="G149" s="53"/>
      <c r="H149" s="54"/>
      <c r="I149" s="52"/>
      <c r="J149" s="52"/>
      <c r="K149" s="52"/>
      <c r="L149" s="52"/>
    </row>
    <row r="150" spans="2:12">
      <c r="B150" s="51"/>
      <c r="C150" s="51"/>
      <c r="D150" s="52"/>
      <c r="E150" s="52"/>
      <c r="F150" s="52"/>
      <c r="G150" s="53"/>
      <c r="H150" s="54"/>
      <c r="I150" s="52"/>
      <c r="J150" s="52"/>
      <c r="K150" s="52"/>
      <c r="L150" s="52"/>
    </row>
    <row r="151" spans="2:12">
      <c r="B151" s="51"/>
      <c r="C151" s="51"/>
      <c r="D151" s="52"/>
      <c r="E151" s="52"/>
      <c r="F151" s="52"/>
      <c r="G151" s="53"/>
      <c r="H151" s="54"/>
      <c r="I151" s="52"/>
      <c r="J151" s="52"/>
      <c r="K151" s="52"/>
      <c r="L151" s="52"/>
    </row>
  </sheetData>
  <sheetProtection formatCells="0"/>
  <hyperlinks>
    <hyperlink ref="F51" location="'IFRS12-InfoEstrCons'!A1" display=" Información a revelar sobre entidades estructuradas consolidadas [resumen] " xr:uid="{00000000-0004-0000-0000-000000000000}"/>
    <hyperlink ref="F69" location="'IFRS12-InfoSobrAsoc'!A1" display="  Información a revelar sobre asociadas [resumen] " xr:uid="{00000000-0004-0000-0000-000001000000}"/>
    <hyperlink ref="F82" location="'IFRS12-InfoNegoConj'!A1" display=" Información a revelar sobre negocios conjuntos [resumen]  " xr:uid="{00000000-0004-0000-0000-000002000000}"/>
    <hyperlink ref="F90" location="'IFRS12-InfoEstNoCon'!A1" display=" Información a revelar sobre entidades estructuradas no consolidadas [resumen] " xr:uid="{00000000-0004-0000-0000-000003000000}"/>
    <hyperlink ref="F37" location="'IFRS12-InfoReveSubs'!A1" display="Información a revelar sobre subsidiarias [resumen]  " xr:uid="{00000000-0004-0000-0000-000004000000}"/>
  </hyperlinks>
  <pageMargins left="0.7" right="0.7" top="0.75" bottom="0.75" header="0.3" footer="0.3"/>
  <pageSetup paperSize="11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tabColor theme="9" tint="0.39997558519241921"/>
  </sheetPr>
  <dimension ref="A1:Q58"/>
  <sheetViews>
    <sheetView topLeftCell="A46" zoomScale="85" zoomScaleNormal="85" workbookViewId="0">
      <selection activeCell="J57" sqref="J57"/>
    </sheetView>
  </sheetViews>
  <sheetFormatPr baseColWidth="10" defaultRowHeight="15"/>
  <cols>
    <col min="1" max="1" width="2.140625" customWidth="1"/>
    <col min="2" max="2" width="3.5703125" customWidth="1"/>
    <col min="3" max="3" width="4" customWidth="1"/>
    <col min="4" max="4" width="5" customWidth="1"/>
    <col min="5" max="5" width="1.7109375" customWidth="1"/>
    <col min="6" max="6" width="110.140625" customWidth="1"/>
    <col min="7" max="8" width="12.28515625" customWidth="1"/>
    <col min="9" max="9" width="12.7109375" customWidth="1"/>
    <col min="10" max="11" width="12.28515625" customWidth="1"/>
  </cols>
  <sheetData>
    <row r="1" spans="1:16" ht="39.950000000000003" customHeight="1" thickBot="1">
      <c r="F1" s="40" t="s">
        <v>4</v>
      </c>
    </row>
    <row r="2" spans="1:16" ht="171" customHeight="1" thickBot="1">
      <c r="F2" s="28" t="s">
        <v>3</v>
      </c>
    </row>
    <row r="3" spans="1:16" s="7" customFormat="1" ht="15" customHeight="1" thickBot="1">
      <c r="A3" s="6"/>
      <c r="F3" s="57" t="s">
        <v>5</v>
      </c>
      <c r="G3" s="5"/>
      <c r="H3" s="5"/>
      <c r="I3" s="5"/>
      <c r="J3" s="5"/>
      <c r="K3" s="5"/>
      <c r="L3" s="5"/>
      <c r="M3" s="5"/>
    </row>
    <row r="4" spans="1:16" s="7" customFormat="1" ht="15" customHeight="1" thickBot="1">
      <c r="A4" s="6"/>
      <c r="F4" s="113" t="s">
        <v>445</v>
      </c>
      <c r="G4" s="114" t="s">
        <v>444</v>
      </c>
      <c r="H4" s="5"/>
      <c r="J4" s="5"/>
      <c r="K4" s="5"/>
      <c r="L4" s="5"/>
      <c r="M4" s="5"/>
    </row>
    <row r="5" spans="1:16" s="9" customFormat="1" ht="117.95" customHeight="1">
      <c r="A5" s="8" t="s">
        <v>617</v>
      </c>
      <c r="B5" s="35"/>
      <c r="C5" s="36"/>
      <c r="D5" s="36"/>
      <c r="E5" s="37"/>
      <c r="F5" s="56" t="s">
        <v>11</v>
      </c>
      <c r="G5" s="85" t="s">
        <v>12</v>
      </c>
      <c r="H5" s="85" t="s">
        <v>12</v>
      </c>
      <c r="I5" s="86" t="s">
        <v>15</v>
      </c>
      <c r="J5" s="85" t="s">
        <v>12</v>
      </c>
      <c r="K5" s="85" t="s">
        <v>12</v>
      </c>
      <c r="L5" s="38" t="s">
        <v>14</v>
      </c>
      <c r="M5" s="38" t="s">
        <v>13</v>
      </c>
    </row>
    <row r="6" spans="1:16" s="7" customFormat="1" ht="68.25" hidden="1" customHeight="1">
      <c r="A6" s="29" t="s">
        <v>618</v>
      </c>
      <c r="B6" s="10"/>
      <c r="C6" s="11"/>
      <c r="D6" s="12" t="s">
        <v>620</v>
      </c>
      <c r="E6" s="30" t="s">
        <v>619</v>
      </c>
      <c r="F6" s="59"/>
      <c r="G6" s="31" t="str">
        <f>SUBSTITUTE(CONCATENATE("IFRS12-InfoReveSubs_",TRIM(G5),"_",COLUMN(G6),"|",G5)," ","")</f>
        <v>IFRS12-InfoReveSubs_Agregarcolumnaopcional_7|Agregarcolumnaopcional</v>
      </c>
      <c r="H6" s="31" t="str">
        <f>SUBSTITUTE(CONCATENATE("IFRS12-InfoReveSubs_",TRIM(H5),"_",COLUMN(H6),"|",H5)," ","")</f>
        <v>IFRS12-InfoReveSubs_Agregarcolumnaopcional_8|Agregarcolumnaopcional</v>
      </c>
      <c r="I6" s="34" t="s">
        <v>491</v>
      </c>
      <c r="J6" s="31" t="str">
        <f>SUBSTITUTE(CONCATENATE("IFRS12-InfoReveSubs_",TRIM(J5),"_",COLUMN(J6),"|",J5)," ","")</f>
        <v>IFRS12-InfoReveSubs_Agregarcolumnaopcional_10|Agregarcolumnaopcional</v>
      </c>
      <c r="K6" s="31" t="str">
        <f>SUBSTITUTE(CONCATENATE("IFRS12-InfoReveSubs_",TRIM(K5),"_",COLUMN(K6),"|",K5)," ","")</f>
        <v>IFRS12-InfoReveSubs_Agregarcolumnaopcional_11|Agregarcolumnaopcional</v>
      </c>
      <c r="L6" s="34" t="s">
        <v>492</v>
      </c>
      <c r="M6" s="60" t="s">
        <v>493</v>
      </c>
    </row>
    <row r="7" spans="1:16" s="7" customFormat="1" ht="11.25">
      <c r="B7" s="13"/>
      <c r="C7" s="14"/>
      <c r="D7" s="15" t="s">
        <v>0</v>
      </c>
      <c r="E7" s="16" t="s">
        <v>0</v>
      </c>
      <c r="F7" s="17"/>
      <c r="G7" s="32"/>
      <c r="H7" s="32"/>
      <c r="I7" s="18"/>
      <c r="J7" s="32"/>
      <c r="K7" s="32"/>
      <c r="L7" s="18"/>
      <c r="M7" s="61"/>
    </row>
    <row r="8" spans="1:16" s="7" customFormat="1" ht="15" customHeight="1">
      <c r="B8" s="19" t="s">
        <v>859</v>
      </c>
      <c r="C8" s="21" t="s">
        <v>494</v>
      </c>
      <c r="D8" s="20" t="s">
        <v>1</v>
      </c>
      <c r="E8" s="15"/>
      <c r="F8" s="27" t="s">
        <v>22</v>
      </c>
      <c r="G8" s="87"/>
      <c r="H8" s="87"/>
      <c r="I8" s="88"/>
      <c r="J8" s="154" t="s">
        <v>860</v>
      </c>
      <c r="K8" s="87"/>
      <c r="L8" s="89"/>
      <c r="M8" s="89"/>
    </row>
    <row r="9" spans="1:16" s="7" customFormat="1" ht="15" customHeight="1">
      <c r="B9" s="19" t="s">
        <v>859</v>
      </c>
      <c r="C9" s="21" t="s">
        <v>662</v>
      </c>
      <c r="D9" s="20" t="s">
        <v>1</v>
      </c>
      <c r="E9" s="15"/>
      <c r="F9" s="27" t="s">
        <v>670</v>
      </c>
      <c r="G9" s="142"/>
      <c r="H9" s="142"/>
      <c r="I9" s="143"/>
      <c r="J9" s="155" t="s">
        <v>894</v>
      </c>
      <c r="K9" s="142"/>
      <c r="L9" s="144"/>
      <c r="M9" s="144"/>
    </row>
    <row r="10" spans="1:16" s="7" customFormat="1" ht="15" customHeight="1">
      <c r="B10" s="19" t="s">
        <v>859</v>
      </c>
      <c r="C10" s="63" t="s">
        <v>495</v>
      </c>
      <c r="D10" s="20" t="s">
        <v>1</v>
      </c>
      <c r="E10" s="14"/>
      <c r="F10" s="27" t="s">
        <v>23</v>
      </c>
      <c r="G10" s="87"/>
      <c r="H10" s="87"/>
      <c r="I10" s="88"/>
      <c r="J10" s="154" t="s">
        <v>861</v>
      </c>
      <c r="K10" s="87"/>
      <c r="L10" s="89"/>
      <c r="M10" s="89"/>
      <c r="N10"/>
      <c r="O10"/>
      <c r="P10"/>
    </row>
    <row r="11" spans="1:16" s="7" customFormat="1" ht="15" customHeight="1">
      <c r="B11" s="19" t="s">
        <v>859</v>
      </c>
      <c r="C11" s="63" t="s">
        <v>658</v>
      </c>
      <c r="D11" s="20" t="s">
        <v>1</v>
      </c>
      <c r="E11" s="14"/>
      <c r="F11" s="27" t="s">
        <v>653</v>
      </c>
      <c r="G11" s="135"/>
      <c r="H11" s="135"/>
      <c r="I11" s="138"/>
      <c r="J11" s="156" t="s">
        <v>236</v>
      </c>
      <c r="K11" s="135"/>
      <c r="L11" s="139"/>
      <c r="M11" s="139"/>
      <c r="N11"/>
      <c r="O11"/>
      <c r="P11"/>
    </row>
    <row r="12" spans="1:16" s="7" customFormat="1" ht="15" customHeight="1">
      <c r="B12" s="19" t="s">
        <v>859</v>
      </c>
      <c r="C12" s="63" t="s">
        <v>663</v>
      </c>
      <c r="D12" s="20" t="s">
        <v>1</v>
      </c>
      <c r="E12" s="14"/>
      <c r="F12" s="27" t="s">
        <v>669</v>
      </c>
      <c r="G12" s="135"/>
      <c r="H12" s="135"/>
      <c r="I12" s="141"/>
      <c r="J12" s="156" t="s">
        <v>703</v>
      </c>
      <c r="K12" s="135"/>
      <c r="L12" s="137"/>
      <c r="M12" s="137"/>
      <c r="N12"/>
      <c r="O12"/>
      <c r="P12"/>
    </row>
    <row r="13" spans="1:16" s="7" customFormat="1" ht="15" customHeight="1">
      <c r="B13" s="19" t="s">
        <v>859</v>
      </c>
      <c r="C13" s="63" t="s">
        <v>587</v>
      </c>
      <c r="D13" s="20" t="s">
        <v>1</v>
      </c>
      <c r="E13" s="14"/>
      <c r="F13" s="27" t="s">
        <v>668</v>
      </c>
      <c r="G13" s="95"/>
      <c r="H13" s="95"/>
      <c r="I13" s="145">
        <f t="shared" ref="I13:I15" si="0">SUM(G13:H13)</f>
        <v>0</v>
      </c>
      <c r="J13" s="157">
        <f>SUM(J14:J15)</f>
        <v>1</v>
      </c>
      <c r="K13" s="95"/>
      <c r="L13" s="145">
        <f t="shared" ref="L13:L15" si="1">SUM(J13:K13)</f>
        <v>1</v>
      </c>
      <c r="M13" s="140"/>
      <c r="N13"/>
      <c r="O13"/>
      <c r="P13"/>
    </row>
    <row r="14" spans="1:16" s="7" customFormat="1" ht="15" customHeight="1">
      <c r="B14" s="19" t="s">
        <v>859</v>
      </c>
      <c r="C14" s="63" t="s">
        <v>664</v>
      </c>
      <c r="D14" s="20" t="s">
        <v>1</v>
      </c>
      <c r="E14" s="14"/>
      <c r="F14" s="27" t="s">
        <v>667</v>
      </c>
      <c r="G14" s="95"/>
      <c r="H14" s="95"/>
      <c r="I14" s="145">
        <f t="shared" si="0"/>
        <v>0</v>
      </c>
      <c r="J14" s="158">
        <v>0.9</v>
      </c>
      <c r="K14" s="95"/>
      <c r="L14" s="145">
        <f t="shared" si="1"/>
        <v>0.9</v>
      </c>
      <c r="M14" s="140"/>
      <c r="N14"/>
      <c r="O14"/>
      <c r="P14"/>
    </row>
    <row r="15" spans="1:16" s="7" customFormat="1" ht="15" customHeight="1">
      <c r="B15" s="19" t="s">
        <v>859</v>
      </c>
      <c r="C15" s="63" t="s">
        <v>665</v>
      </c>
      <c r="D15" s="20" t="s">
        <v>1</v>
      </c>
      <c r="E15" s="14"/>
      <c r="F15" s="27" t="s">
        <v>666</v>
      </c>
      <c r="G15" s="95"/>
      <c r="H15" s="95"/>
      <c r="I15" s="145">
        <f t="shared" si="0"/>
        <v>0</v>
      </c>
      <c r="J15" s="158">
        <v>0.1</v>
      </c>
      <c r="K15" s="95"/>
      <c r="L15" s="145">
        <f t="shared" si="1"/>
        <v>0.1</v>
      </c>
      <c r="M15" s="140"/>
      <c r="N15"/>
      <c r="O15"/>
      <c r="P15"/>
    </row>
    <row r="16" spans="1:16" s="7" customFormat="1" ht="15" customHeight="1">
      <c r="B16" s="19" t="s">
        <v>859</v>
      </c>
      <c r="C16" s="21" t="s">
        <v>496</v>
      </c>
      <c r="D16" s="20" t="s">
        <v>1</v>
      </c>
      <c r="E16" s="14" t="s">
        <v>0</v>
      </c>
      <c r="F16" s="27" t="s">
        <v>24</v>
      </c>
      <c r="G16" s="95"/>
      <c r="H16" s="95"/>
      <c r="I16" s="96"/>
      <c r="J16" s="158">
        <v>0.8</v>
      </c>
      <c r="K16" s="95"/>
      <c r="L16" s="140"/>
      <c r="M16" s="140"/>
      <c r="N16"/>
      <c r="O16"/>
      <c r="P16"/>
    </row>
    <row r="17" spans="2:17" s="7" customFormat="1" ht="15" customHeight="1">
      <c r="B17" s="19" t="s">
        <v>859</v>
      </c>
      <c r="C17" s="21" t="s">
        <v>497</v>
      </c>
      <c r="D17" s="20" t="s">
        <v>1</v>
      </c>
      <c r="E17" s="14" t="s">
        <v>0</v>
      </c>
      <c r="F17" s="27" t="s">
        <v>25</v>
      </c>
      <c r="G17" s="95"/>
      <c r="H17" s="95"/>
      <c r="I17" s="96"/>
      <c r="J17" s="158">
        <v>0.7</v>
      </c>
      <c r="K17" s="95"/>
      <c r="L17" s="97"/>
      <c r="M17" s="97"/>
      <c r="N17"/>
      <c r="O17"/>
      <c r="P17"/>
    </row>
    <row r="18" spans="2:17" s="7" customFormat="1" ht="15" customHeight="1">
      <c r="B18" s="19" t="s">
        <v>859</v>
      </c>
      <c r="C18" s="21" t="s">
        <v>596</v>
      </c>
      <c r="D18" s="20" t="s">
        <v>1</v>
      </c>
      <c r="E18" s="14" t="s">
        <v>0</v>
      </c>
      <c r="F18" s="27" t="s">
        <v>26</v>
      </c>
      <c r="G18" s="98"/>
      <c r="H18" s="117"/>
      <c r="I18" s="118">
        <f>SUM(G18:H18)</f>
        <v>0</v>
      </c>
      <c r="J18" s="159">
        <v>1000</v>
      </c>
      <c r="K18" s="98"/>
      <c r="L18" s="115">
        <f>SUM(I18:K18)</f>
        <v>1000</v>
      </c>
      <c r="M18" s="100"/>
      <c r="N18"/>
      <c r="O18"/>
      <c r="P18"/>
    </row>
    <row r="19" spans="2:17" s="7" customFormat="1" ht="15" customHeight="1">
      <c r="B19" s="19" t="s">
        <v>859</v>
      </c>
      <c r="C19" s="21" t="s">
        <v>597</v>
      </c>
      <c r="D19" s="20" t="s">
        <v>1</v>
      </c>
      <c r="E19" s="14" t="s">
        <v>0</v>
      </c>
      <c r="F19" s="27" t="s">
        <v>27</v>
      </c>
      <c r="G19" s="98"/>
      <c r="H19" s="117"/>
      <c r="I19" s="118">
        <f t="shared" ref="I19:I27" si="2">SUM(G19:H19)</f>
        <v>0</v>
      </c>
      <c r="J19" s="159">
        <v>2000</v>
      </c>
      <c r="K19" s="98"/>
      <c r="L19" s="115">
        <f t="shared" ref="L19:L27" si="3">SUM(I19:K19)</f>
        <v>2000</v>
      </c>
      <c r="M19" s="100"/>
      <c r="N19"/>
      <c r="O19"/>
      <c r="P19"/>
    </row>
    <row r="20" spans="2:17" s="7" customFormat="1" ht="15" customHeight="1">
      <c r="B20" s="19" t="s">
        <v>859</v>
      </c>
      <c r="C20" s="21" t="s">
        <v>498</v>
      </c>
      <c r="D20" s="20" t="s">
        <v>1</v>
      </c>
      <c r="E20" s="14" t="s">
        <v>0</v>
      </c>
      <c r="F20" s="27" t="s">
        <v>28</v>
      </c>
      <c r="G20" s="98"/>
      <c r="H20" s="117"/>
      <c r="I20" s="118">
        <f t="shared" si="2"/>
        <v>0</v>
      </c>
      <c r="J20" s="159">
        <v>3000</v>
      </c>
      <c r="K20" s="98"/>
      <c r="L20" s="115">
        <f t="shared" si="3"/>
        <v>3000</v>
      </c>
      <c r="M20" s="100"/>
      <c r="N20"/>
      <c r="O20"/>
      <c r="P20"/>
    </row>
    <row r="21" spans="2:17" s="7" customFormat="1" ht="15" customHeight="1">
      <c r="B21" s="19" t="s">
        <v>859</v>
      </c>
      <c r="C21" s="21" t="s">
        <v>598</v>
      </c>
      <c r="D21" s="20" t="s">
        <v>1</v>
      </c>
      <c r="E21" s="14" t="s">
        <v>0</v>
      </c>
      <c r="F21" s="27" t="s">
        <v>29</v>
      </c>
      <c r="G21" s="98"/>
      <c r="H21" s="117"/>
      <c r="I21" s="118">
        <f t="shared" si="2"/>
        <v>0</v>
      </c>
      <c r="J21" s="159">
        <v>4000</v>
      </c>
      <c r="K21" s="98"/>
      <c r="L21" s="115">
        <f t="shared" si="3"/>
        <v>4000</v>
      </c>
      <c r="M21" s="100"/>
      <c r="N21"/>
      <c r="O21"/>
      <c r="P21"/>
    </row>
    <row r="22" spans="2:17" s="7" customFormat="1" ht="15" customHeight="1">
      <c r="B22" s="19" t="s">
        <v>859</v>
      </c>
      <c r="C22" s="21" t="s">
        <v>599</v>
      </c>
      <c r="D22" s="20" t="s">
        <v>1</v>
      </c>
      <c r="E22" s="14" t="s">
        <v>0</v>
      </c>
      <c r="F22" s="27" t="s">
        <v>30</v>
      </c>
      <c r="G22" s="98"/>
      <c r="H22" s="117"/>
      <c r="I22" s="118">
        <f t="shared" si="2"/>
        <v>0</v>
      </c>
      <c r="J22" s="159">
        <v>5000</v>
      </c>
      <c r="K22" s="98"/>
      <c r="L22" s="115">
        <f t="shared" si="3"/>
        <v>5000</v>
      </c>
      <c r="M22" s="100"/>
      <c r="N22"/>
      <c r="O22"/>
      <c r="P22"/>
    </row>
    <row r="23" spans="2:17" s="7" customFormat="1" ht="15" customHeight="1">
      <c r="B23" s="19" t="s">
        <v>859</v>
      </c>
      <c r="C23" s="21" t="s">
        <v>600</v>
      </c>
      <c r="D23" s="20" t="s">
        <v>1</v>
      </c>
      <c r="E23" s="14" t="s">
        <v>0</v>
      </c>
      <c r="F23" s="27" t="s">
        <v>31</v>
      </c>
      <c r="G23" s="98"/>
      <c r="H23" s="117"/>
      <c r="I23" s="118">
        <f t="shared" si="2"/>
        <v>0</v>
      </c>
      <c r="J23" s="159">
        <v>6000</v>
      </c>
      <c r="K23" s="98"/>
      <c r="L23" s="115">
        <f t="shared" si="3"/>
        <v>6000</v>
      </c>
      <c r="M23" s="100"/>
      <c r="N23"/>
      <c r="O23"/>
      <c r="P23"/>
    </row>
    <row r="24" spans="2:17" s="7" customFormat="1" ht="15" customHeight="1">
      <c r="B24" s="19" t="s">
        <v>859</v>
      </c>
      <c r="C24" s="21" t="s">
        <v>601</v>
      </c>
      <c r="D24" s="20" t="s">
        <v>1</v>
      </c>
      <c r="E24" s="14" t="s">
        <v>0</v>
      </c>
      <c r="F24" s="27" t="s">
        <v>32</v>
      </c>
      <c r="G24" s="98"/>
      <c r="H24" s="117"/>
      <c r="I24" s="118">
        <f t="shared" si="2"/>
        <v>0</v>
      </c>
      <c r="J24" s="159">
        <v>7000</v>
      </c>
      <c r="K24" s="98"/>
      <c r="L24" s="115">
        <f t="shared" si="3"/>
        <v>7000</v>
      </c>
      <c r="M24" s="100"/>
      <c r="N24"/>
      <c r="O24"/>
      <c r="P24"/>
    </row>
    <row r="25" spans="2:17" s="7" customFormat="1" ht="15" customHeight="1">
      <c r="B25" s="19" t="s">
        <v>859</v>
      </c>
      <c r="C25" s="21" t="s">
        <v>602</v>
      </c>
      <c r="D25" s="20" t="s">
        <v>1</v>
      </c>
      <c r="E25" s="14" t="s">
        <v>0</v>
      </c>
      <c r="F25" s="27" t="s">
        <v>33</v>
      </c>
      <c r="G25" s="98"/>
      <c r="H25" s="117"/>
      <c r="I25" s="118">
        <f t="shared" si="2"/>
        <v>0</v>
      </c>
      <c r="J25" s="159">
        <v>8000</v>
      </c>
      <c r="K25" s="98"/>
      <c r="L25" s="115">
        <f t="shared" si="3"/>
        <v>8000</v>
      </c>
      <c r="M25" s="100"/>
      <c r="N25"/>
      <c r="O25"/>
      <c r="P25"/>
    </row>
    <row r="26" spans="2:17" s="7" customFormat="1" ht="15" customHeight="1">
      <c r="B26" s="19" t="s">
        <v>859</v>
      </c>
      <c r="C26" s="21" t="s">
        <v>603</v>
      </c>
      <c r="D26" s="20" t="s">
        <v>1</v>
      </c>
      <c r="E26" s="14" t="s">
        <v>0</v>
      </c>
      <c r="F26" s="27" t="s">
        <v>34</v>
      </c>
      <c r="G26" s="98"/>
      <c r="H26" s="117"/>
      <c r="I26" s="118">
        <f t="shared" si="2"/>
        <v>0</v>
      </c>
      <c r="J26" s="159">
        <v>9000</v>
      </c>
      <c r="K26" s="98"/>
      <c r="L26" s="115">
        <f t="shared" si="3"/>
        <v>9000</v>
      </c>
      <c r="M26" s="100"/>
      <c r="N26"/>
      <c r="O26"/>
      <c r="P26"/>
    </row>
    <row r="27" spans="2:17" s="7" customFormat="1" ht="15" customHeight="1">
      <c r="B27" s="19" t="s">
        <v>859</v>
      </c>
      <c r="C27" s="21" t="s">
        <v>604</v>
      </c>
      <c r="D27" s="20" t="s">
        <v>1</v>
      </c>
      <c r="E27" s="14" t="s">
        <v>0</v>
      </c>
      <c r="F27" s="27" t="s">
        <v>35</v>
      </c>
      <c r="G27" s="98"/>
      <c r="H27" s="117"/>
      <c r="I27" s="118">
        <f t="shared" si="2"/>
        <v>0</v>
      </c>
      <c r="J27" s="159">
        <v>1000</v>
      </c>
      <c r="K27" s="98"/>
      <c r="L27" s="115">
        <f t="shared" si="3"/>
        <v>1000</v>
      </c>
      <c r="M27" s="100"/>
      <c r="N27"/>
      <c r="O27"/>
      <c r="P27"/>
    </row>
    <row r="28" spans="2:17" s="7" customFormat="1" ht="15" customHeight="1">
      <c r="B28" s="19" t="s">
        <v>859</v>
      </c>
      <c r="C28" s="152" t="s">
        <v>858</v>
      </c>
      <c r="D28" s="20" t="s">
        <v>1</v>
      </c>
      <c r="E28" s="14" t="s">
        <v>0</v>
      </c>
      <c r="F28" s="153" t="s">
        <v>857</v>
      </c>
      <c r="G28" s="98"/>
      <c r="H28" s="117"/>
      <c r="I28" s="118">
        <f t="shared" ref="I28" si="4">SUM(G28:H28)</f>
        <v>0</v>
      </c>
      <c r="J28" s="98">
        <v>2000</v>
      </c>
      <c r="K28" s="98"/>
      <c r="L28" s="115">
        <f t="shared" ref="L28" si="5">SUM(I28:K28)</f>
        <v>2000</v>
      </c>
      <c r="M28" s="100"/>
      <c r="N28"/>
      <c r="O28"/>
      <c r="P28"/>
    </row>
    <row r="29" spans="2:17" s="7" customFormat="1" ht="15" customHeight="1">
      <c r="B29" s="19" t="s">
        <v>859</v>
      </c>
      <c r="C29" s="21" t="s">
        <v>499</v>
      </c>
      <c r="D29" s="20" t="s">
        <v>1</v>
      </c>
      <c r="E29" s="15" t="s">
        <v>0</v>
      </c>
      <c r="F29" s="27" t="s">
        <v>36</v>
      </c>
      <c r="G29" s="116"/>
      <c r="H29" s="116"/>
      <c r="I29" s="116"/>
      <c r="J29" s="161">
        <v>44591</v>
      </c>
      <c r="K29" s="116"/>
      <c r="L29" s="109"/>
      <c r="M29" s="109"/>
    </row>
    <row r="30" spans="2:17" s="7" customFormat="1" ht="15" customHeight="1">
      <c r="B30" s="19" t="s">
        <v>859</v>
      </c>
      <c r="C30" s="63" t="s">
        <v>500</v>
      </c>
      <c r="D30" s="20" t="s">
        <v>1</v>
      </c>
      <c r="E30" s="14"/>
      <c r="F30" s="64" t="s">
        <v>158</v>
      </c>
      <c r="G30" s="87"/>
      <c r="H30" s="87"/>
      <c r="I30" s="88"/>
      <c r="J30" s="87"/>
      <c r="K30" s="87"/>
      <c r="L30" s="89"/>
      <c r="M30" s="89"/>
      <c r="N30"/>
      <c r="O30"/>
      <c r="P30"/>
    </row>
    <row r="31" spans="2:17" s="7" customFormat="1" ht="15" customHeight="1">
      <c r="B31" s="25"/>
      <c r="C31" s="26"/>
      <c r="D31" s="26"/>
      <c r="E31" s="26"/>
      <c r="F31" s="26"/>
      <c r="G31" s="33"/>
      <c r="H31" s="33"/>
      <c r="I31" s="26"/>
      <c r="J31" s="33"/>
      <c r="K31" s="33"/>
      <c r="L31" s="26"/>
      <c r="M31" s="62"/>
    </row>
    <row r="32" spans="2:17">
      <c r="Q32" s="7"/>
    </row>
    <row r="33" spans="1:16" s="9" customFormat="1" ht="117.95" customHeight="1">
      <c r="A33" s="8"/>
      <c r="B33" s="35"/>
      <c r="C33" s="36"/>
      <c r="D33" s="36"/>
      <c r="E33" s="37"/>
      <c r="F33" s="56" t="s">
        <v>11</v>
      </c>
      <c r="G33" s="66" t="str">
        <f>IF(G5="Agregar columna opcional","",G5)</f>
        <v/>
      </c>
      <c r="H33" s="66" t="str">
        <f>IF(H5="Agregar columna opcional","",H5)</f>
        <v/>
      </c>
      <c r="I33" s="90" t="s">
        <v>15</v>
      </c>
      <c r="J33" s="66" t="str">
        <f>IF(J5="Agregar columna opcional","",J5)</f>
        <v/>
      </c>
      <c r="K33" s="66" t="str">
        <f>IF(K5="Agregar columna opcional","",K5)</f>
        <v/>
      </c>
      <c r="L33" s="38" t="s">
        <v>14</v>
      </c>
      <c r="M33" s="38" t="s">
        <v>13</v>
      </c>
    </row>
    <row r="34" spans="1:16" s="7" customFormat="1" ht="11.25">
      <c r="B34" s="13"/>
      <c r="C34" s="14"/>
      <c r="D34" s="15" t="s">
        <v>0</v>
      </c>
      <c r="E34" s="16" t="s">
        <v>0</v>
      </c>
      <c r="F34" s="17"/>
      <c r="G34" s="32"/>
      <c r="H34" s="32"/>
      <c r="I34" s="18"/>
      <c r="J34" s="32"/>
      <c r="K34" s="32"/>
      <c r="L34" s="18"/>
      <c r="M34" s="61"/>
    </row>
    <row r="35" spans="1:16" s="7" customFormat="1" ht="15" customHeight="1">
      <c r="B35" s="19" t="s">
        <v>859</v>
      </c>
      <c r="C35" s="21" t="s">
        <v>494</v>
      </c>
      <c r="D35" s="20" t="s">
        <v>2</v>
      </c>
      <c r="E35" s="15"/>
      <c r="F35" s="27" t="s">
        <v>22</v>
      </c>
      <c r="G35" s="87"/>
      <c r="H35" s="87"/>
      <c r="I35" s="88"/>
      <c r="J35" s="154" t="s">
        <v>861</v>
      </c>
      <c r="K35" s="87"/>
      <c r="L35" s="89"/>
      <c r="M35" s="89"/>
    </row>
    <row r="36" spans="1:16" s="7" customFormat="1" ht="15" customHeight="1">
      <c r="B36" s="19" t="s">
        <v>859</v>
      </c>
      <c r="C36" s="21" t="s">
        <v>662</v>
      </c>
      <c r="D36" s="20" t="s">
        <v>2</v>
      </c>
      <c r="E36" s="15"/>
      <c r="F36" s="27" t="s">
        <v>670</v>
      </c>
      <c r="G36" s="142"/>
      <c r="H36" s="142"/>
      <c r="I36" s="143"/>
      <c r="J36" s="155" t="s">
        <v>894</v>
      </c>
      <c r="K36" s="142"/>
      <c r="L36" s="144"/>
      <c r="M36" s="144"/>
    </row>
    <row r="37" spans="1:16" s="7" customFormat="1" ht="15" customHeight="1">
      <c r="B37" s="19" t="s">
        <v>859</v>
      </c>
      <c r="C37" s="63" t="s">
        <v>495</v>
      </c>
      <c r="D37" s="20" t="s">
        <v>2</v>
      </c>
      <c r="E37" s="14"/>
      <c r="F37" s="27" t="s">
        <v>23</v>
      </c>
      <c r="G37" s="87"/>
      <c r="H37" s="87"/>
      <c r="I37" s="88"/>
      <c r="J37" s="154" t="s">
        <v>862</v>
      </c>
      <c r="K37" s="87"/>
      <c r="L37" s="89"/>
      <c r="M37" s="89"/>
      <c r="N37"/>
      <c r="O37"/>
      <c r="P37"/>
    </row>
    <row r="38" spans="1:16" s="7" customFormat="1" ht="15" customHeight="1">
      <c r="B38" s="19" t="s">
        <v>859</v>
      </c>
      <c r="C38" s="63" t="s">
        <v>658</v>
      </c>
      <c r="D38" s="20" t="s">
        <v>2</v>
      </c>
      <c r="E38" s="14"/>
      <c r="F38" s="27" t="s">
        <v>653</v>
      </c>
      <c r="G38" s="146"/>
      <c r="H38" s="146"/>
      <c r="I38" s="147"/>
      <c r="J38" s="160" t="s">
        <v>236</v>
      </c>
      <c r="K38" s="146"/>
      <c r="L38" s="148"/>
      <c r="M38" s="148"/>
      <c r="N38"/>
      <c r="O38"/>
      <c r="P38"/>
    </row>
    <row r="39" spans="1:16" s="7" customFormat="1" ht="15" customHeight="1">
      <c r="B39" s="19" t="s">
        <v>859</v>
      </c>
      <c r="C39" s="63" t="s">
        <v>663</v>
      </c>
      <c r="D39" s="20" t="s">
        <v>2</v>
      </c>
      <c r="E39" s="14"/>
      <c r="F39" s="27" t="s">
        <v>669</v>
      </c>
      <c r="G39" s="135"/>
      <c r="H39" s="135"/>
      <c r="I39" s="141"/>
      <c r="J39" s="156" t="s">
        <v>703</v>
      </c>
      <c r="K39" s="135"/>
      <c r="L39" s="137"/>
      <c r="M39" s="137"/>
      <c r="N39"/>
      <c r="O39"/>
      <c r="P39"/>
    </row>
    <row r="40" spans="1:16" s="7" customFormat="1" ht="15" customHeight="1">
      <c r="B40" s="19" t="s">
        <v>859</v>
      </c>
      <c r="C40" s="63" t="s">
        <v>587</v>
      </c>
      <c r="D40" s="20" t="s">
        <v>2</v>
      </c>
      <c r="E40" s="14"/>
      <c r="F40" s="27" t="s">
        <v>668</v>
      </c>
      <c r="G40" s="95"/>
      <c r="H40" s="95"/>
      <c r="I40" s="145">
        <f t="shared" ref="I40:I42" si="6">SUM(G40:H40)</f>
        <v>0</v>
      </c>
      <c r="J40" s="157">
        <f>SUM(J41:J42)</f>
        <v>1</v>
      </c>
      <c r="K40" s="95"/>
      <c r="L40" s="145">
        <f t="shared" ref="L40:L42" si="7">SUM(J40:K40)</f>
        <v>1</v>
      </c>
      <c r="M40" s="140"/>
      <c r="N40"/>
      <c r="O40"/>
      <c r="P40"/>
    </row>
    <row r="41" spans="1:16" s="7" customFormat="1" ht="15" customHeight="1">
      <c r="B41" s="19" t="s">
        <v>859</v>
      </c>
      <c r="C41" s="63" t="s">
        <v>664</v>
      </c>
      <c r="D41" s="20" t="s">
        <v>2</v>
      </c>
      <c r="E41" s="14"/>
      <c r="F41" s="27" t="s">
        <v>667</v>
      </c>
      <c r="G41" s="95"/>
      <c r="H41" s="95"/>
      <c r="I41" s="145">
        <f t="shared" si="6"/>
        <v>0</v>
      </c>
      <c r="J41" s="158">
        <v>0.7</v>
      </c>
      <c r="K41" s="95"/>
      <c r="L41" s="145">
        <f t="shared" si="7"/>
        <v>0.7</v>
      </c>
      <c r="M41" s="140"/>
      <c r="N41"/>
      <c r="O41"/>
      <c r="P41"/>
    </row>
    <row r="42" spans="1:16" s="7" customFormat="1" ht="15" customHeight="1">
      <c r="B42" s="19" t="s">
        <v>859</v>
      </c>
      <c r="C42" s="63" t="s">
        <v>665</v>
      </c>
      <c r="D42" s="20" t="s">
        <v>2</v>
      </c>
      <c r="E42" s="14"/>
      <c r="F42" s="27" t="s">
        <v>666</v>
      </c>
      <c r="G42" s="95"/>
      <c r="H42" s="95"/>
      <c r="I42" s="145">
        <f t="shared" si="6"/>
        <v>0</v>
      </c>
      <c r="J42" s="158">
        <v>0.3</v>
      </c>
      <c r="K42" s="95"/>
      <c r="L42" s="145">
        <f t="shared" si="7"/>
        <v>0.3</v>
      </c>
      <c r="M42" s="140"/>
      <c r="N42"/>
      <c r="O42"/>
      <c r="P42"/>
    </row>
    <row r="43" spans="1:16" s="7" customFormat="1" ht="15" customHeight="1">
      <c r="B43" s="19" t="s">
        <v>859</v>
      </c>
      <c r="C43" s="21" t="s">
        <v>496</v>
      </c>
      <c r="D43" s="20" t="s">
        <v>2</v>
      </c>
      <c r="E43" s="14" t="s">
        <v>0</v>
      </c>
      <c r="F43" s="27" t="s">
        <v>24</v>
      </c>
      <c r="G43" s="95"/>
      <c r="H43" s="95"/>
      <c r="I43" s="96"/>
      <c r="J43" s="158">
        <v>0.1</v>
      </c>
      <c r="K43" s="95"/>
      <c r="L43" s="97"/>
      <c r="M43" s="97"/>
      <c r="N43"/>
      <c r="O43"/>
      <c r="P43"/>
    </row>
    <row r="44" spans="1:16" s="7" customFormat="1" ht="15" customHeight="1">
      <c r="B44" s="19" t="s">
        <v>859</v>
      </c>
      <c r="C44" s="21" t="s">
        <v>497</v>
      </c>
      <c r="D44" s="20" t="s">
        <v>2</v>
      </c>
      <c r="E44" s="14" t="s">
        <v>0</v>
      </c>
      <c r="F44" s="27" t="s">
        <v>25</v>
      </c>
      <c r="G44" s="95"/>
      <c r="H44" s="95"/>
      <c r="I44" s="96"/>
      <c r="J44" s="158">
        <v>0.2</v>
      </c>
      <c r="K44" s="95"/>
      <c r="L44" s="97"/>
      <c r="M44" s="97"/>
      <c r="N44"/>
      <c r="O44"/>
      <c r="P44"/>
    </row>
    <row r="45" spans="1:16" s="7" customFormat="1" ht="15" customHeight="1">
      <c r="B45" s="19" t="s">
        <v>859</v>
      </c>
      <c r="C45" s="21" t="s">
        <v>596</v>
      </c>
      <c r="D45" s="20" t="s">
        <v>2</v>
      </c>
      <c r="E45" s="14" t="s">
        <v>0</v>
      </c>
      <c r="F45" s="27" t="s">
        <v>26</v>
      </c>
      <c r="G45" s="98"/>
      <c r="H45" s="117"/>
      <c r="I45" s="118">
        <f>SUM(G45:H45)</f>
        <v>0</v>
      </c>
      <c r="J45" s="159">
        <v>1000</v>
      </c>
      <c r="K45" s="98"/>
      <c r="L45" s="115">
        <f t="shared" ref="L45:L54" si="8">SUM(I45:K45)</f>
        <v>1000</v>
      </c>
      <c r="M45" s="100"/>
      <c r="N45"/>
      <c r="O45"/>
      <c r="P45"/>
    </row>
    <row r="46" spans="1:16" s="7" customFormat="1" ht="15" customHeight="1">
      <c r="B46" s="19" t="s">
        <v>859</v>
      </c>
      <c r="C46" s="21" t="s">
        <v>597</v>
      </c>
      <c r="D46" s="20" t="s">
        <v>2</v>
      </c>
      <c r="E46" s="14" t="s">
        <v>0</v>
      </c>
      <c r="F46" s="27" t="s">
        <v>27</v>
      </c>
      <c r="G46" s="98"/>
      <c r="H46" s="117"/>
      <c r="I46" s="118">
        <f t="shared" ref="I46:I54" si="9">SUM(G46:H46)</f>
        <v>0</v>
      </c>
      <c r="J46" s="159">
        <v>2000</v>
      </c>
      <c r="K46" s="98"/>
      <c r="L46" s="115">
        <f t="shared" si="8"/>
        <v>2000</v>
      </c>
      <c r="M46" s="100"/>
      <c r="N46"/>
      <c r="O46"/>
      <c r="P46"/>
    </row>
    <row r="47" spans="1:16" s="7" customFormat="1" ht="15" customHeight="1">
      <c r="B47" s="19" t="s">
        <v>859</v>
      </c>
      <c r="C47" s="21" t="s">
        <v>498</v>
      </c>
      <c r="D47" s="20" t="s">
        <v>2</v>
      </c>
      <c r="E47" s="14" t="s">
        <v>0</v>
      </c>
      <c r="F47" s="27" t="s">
        <v>28</v>
      </c>
      <c r="G47" s="98"/>
      <c r="H47" s="117"/>
      <c r="I47" s="118">
        <f t="shared" si="9"/>
        <v>0</v>
      </c>
      <c r="J47" s="159">
        <v>3000</v>
      </c>
      <c r="K47" s="98"/>
      <c r="L47" s="115">
        <f t="shared" si="8"/>
        <v>3000</v>
      </c>
      <c r="M47" s="100"/>
      <c r="N47"/>
      <c r="O47"/>
      <c r="P47"/>
    </row>
    <row r="48" spans="1:16" s="7" customFormat="1" ht="15" customHeight="1">
      <c r="B48" s="19" t="s">
        <v>859</v>
      </c>
      <c r="C48" s="21" t="s">
        <v>598</v>
      </c>
      <c r="D48" s="20" t="s">
        <v>2</v>
      </c>
      <c r="E48" s="14" t="s">
        <v>0</v>
      </c>
      <c r="F48" s="27" t="s">
        <v>29</v>
      </c>
      <c r="G48" s="98"/>
      <c r="H48" s="117"/>
      <c r="I48" s="118">
        <f t="shared" si="9"/>
        <v>0</v>
      </c>
      <c r="J48" s="159">
        <v>4000</v>
      </c>
      <c r="K48" s="98"/>
      <c r="L48" s="115">
        <f t="shared" si="8"/>
        <v>4000</v>
      </c>
      <c r="M48" s="100"/>
      <c r="N48"/>
      <c r="O48"/>
      <c r="P48"/>
    </row>
    <row r="49" spans="2:16" s="7" customFormat="1" ht="15" customHeight="1">
      <c r="B49" s="19" t="s">
        <v>859</v>
      </c>
      <c r="C49" s="21" t="s">
        <v>599</v>
      </c>
      <c r="D49" s="20" t="s">
        <v>2</v>
      </c>
      <c r="E49" s="14" t="s">
        <v>0</v>
      </c>
      <c r="F49" s="27" t="s">
        <v>30</v>
      </c>
      <c r="G49" s="98"/>
      <c r="H49" s="117"/>
      <c r="I49" s="118">
        <f t="shared" si="9"/>
        <v>0</v>
      </c>
      <c r="J49" s="159">
        <v>5000</v>
      </c>
      <c r="K49" s="98"/>
      <c r="L49" s="115">
        <f t="shared" si="8"/>
        <v>5000</v>
      </c>
      <c r="M49" s="100"/>
      <c r="N49"/>
      <c r="O49"/>
      <c r="P49"/>
    </row>
    <row r="50" spans="2:16" s="7" customFormat="1" ht="15" customHeight="1">
      <c r="B50" s="19" t="s">
        <v>859</v>
      </c>
      <c r="C50" s="21" t="s">
        <v>600</v>
      </c>
      <c r="D50" s="20" t="s">
        <v>2</v>
      </c>
      <c r="E50" s="14" t="s">
        <v>0</v>
      </c>
      <c r="F50" s="27" t="s">
        <v>31</v>
      </c>
      <c r="G50" s="98"/>
      <c r="H50" s="117"/>
      <c r="I50" s="118">
        <f t="shared" si="9"/>
        <v>0</v>
      </c>
      <c r="J50" s="159">
        <v>6000</v>
      </c>
      <c r="K50" s="98"/>
      <c r="L50" s="115">
        <f t="shared" si="8"/>
        <v>6000</v>
      </c>
      <c r="M50" s="100"/>
      <c r="N50"/>
      <c r="O50"/>
      <c r="P50"/>
    </row>
    <row r="51" spans="2:16" s="7" customFormat="1" ht="15" customHeight="1">
      <c r="B51" s="19" t="s">
        <v>859</v>
      </c>
      <c r="C51" s="21" t="s">
        <v>601</v>
      </c>
      <c r="D51" s="20" t="s">
        <v>2</v>
      </c>
      <c r="E51" s="14" t="s">
        <v>0</v>
      </c>
      <c r="F51" s="27" t="s">
        <v>32</v>
      </c>
      <c r="G51" s="98"/>
      <c r="H51" s="117"/>
      <c r="I51" s="118">
        <f t="shared" si="9"/>
        <v>0</v>
      </c>
      <c r="J51" s="159">
        <v>7000</v>
      </c>
      <c r="K51" s="98"/>
      <c r="L51" s="115">
        <f t="shared" si="8"/>
        <v>7000</v>
      </c>
      <c r="M51" s="100"/>
      <c r="N51"/>
      <c r="O51"/>
      <c r="P51"/>
    </row>
    <row r="52" spans="2:16" s="7" customFormat="1" ht="15" customHeight="1">
      <c r="B52" s="19" t="s">
        <v>859</v>
      </c>
      <c r="C52" s="21" t="s">
        <v>602</v>
      </c>
      <c r="D52" s="20" t="s">
        <v>2</v>
      </c>
      <c r="E52" s="14" t="s">
        <v>0</v>
      </c>
      <c r="F52" s="27" t="s">
        <v>33</v>
      </c>
      <c r="G52" s="98"/>
      <c r="H52" s="117"/>
      <c r="I52" s="118">
        <f t="shared" si="9"/>
        <v>0</v>
      </c>
      <c r="J52" s="159">
        <v>8000</v>
      </c>
      <c r="K52" s="98"/>
      <c r="L52" s="115">
        <f t="shared" si="8"/>
        <v>8000</v>
      </c>
      <c r="M52" s="100"/>
      <c r="N52"/>
      <c r="O52"/>
      <c r="P52"/>
    </row>
    <row r="53" spans="2:16" s="7" customFormat="1" ht="15" customHeight="1">
      <c r="B53" s="19" t="s">
        <v>859</v>
      </c>
      <c r="C53" s="21" t="s">
        <v>603</v>
      </c>
      <c r="D53" s="20" t="s">
        <v>2</v>
      </c>
      <c r="E53" s="14" t="s">
        <v>0</v>
      </c>
      <c r="F53" s="27" t="s">
        <v>34</v>
      </c>
      <c r="G53" s="98"/>
      <c r="H53" s="117"/>
      <c r="I53" s="118">
        <f t="shared" si="9"/>
        <v>0</v>
      </c>
      <c r="J53" s="159">
        <v>9000</v>
      </c>
      <c r="K53" s="98"/>
      <c r="L53" s="115">
        <f t="shared" si="8"/>
        <v>9000</v>
      </c>
      <c r="M53" s="100"/>
      <c r="N53"/>
      <c r="O53"/>
      <c r="P53"/>
    </row>
    <row r="54" spans="2:16" s="7" customFormat="1" ht="15" customHeight="1">
      <c r="B54" s="19" t="s">
        <v>859</v>
      </c>
      <c r="C54" s="21" t="s">
        <v>604</v>
      </c>
      <c r="D54" s="20" t="s">
        <v>2</v>
      </c>
      <c r="E54" s="14" t="s">
        <v>0</v>
      </c>
      <c r="F54" s="27" t="s">
        <v>35</v>
      </c>
      <c r="G54" s="98"/>
      <c r="H54" s="117"/>
      <c r="I54" s="118">
        <f t="shared" si="9"/>
        <v>0</v>
      </c>
      <c r="J54" s="159">
        <v>1000</v>
      </c>
      <c r="K54" s="98"/>
      <c r="L54" s="115">
        <f t="shared" si="8"/>
        <v>1000</v>
      </c>
      <c r="M54" s="100"/>
      <c r="N54"/>
      <c r="O54"/>
      <c r="P54"/>
    </row>
    <row r="55" spans="2:16" s="7" customFormat="1" ht="15" customHeight="1">
      <c r="B55" s="19" t="s">
        <v>859</v>
      </c>
      <c r="C55" s="152" t="s">
        <v>858</v>
      </c>
      <c r="D55" s="20" t="s">
        <v>2</v>
      </c>
      <c r="E55" s="14" t="s">
        <v>0</v>
      </c>
      <c r="F55" s="153" t="s">
        <v>857</v>
      </c>
      <c r="G55" s="98"/>
      <c r="H55" s="117"/>
      <c r="I55" s="118">
        <f t="shared" ref="I55" si="10">SUM(G55:H55)</f>
        <v>0</v>
      </c>
      <c r="J55" s="98">
        <v>3000</v>
      </c>
      <c r="K55" s="98"/>
      <c r="L55" s="115">
        <f t="shared" ref="L55" si="11">SUM(I55:K55)</f>
        <v>3000</v>
      </c>
      <c r="M55" s="100"/>
      <c r="N55"/>
      <c r="O55"/>
      <c r="P55"/>
    </row>
    <row r="56" spans="2:16" s="7" customFormat="1" ht="15" customHeight="1">
      <c r="B56" s="19" t="s">
        <v>859</v>
      </c>
      <c r="C56" s="21" t="s">
        <v>499</v>
      </c>
      <c r="D56" s="20" t="s">
        <v>2</v>
      </c>
      <c r="E56" s="15" t="s">
        <v>0</v>
      </c>
      <c r="F56" s="27" t="s">
        <v>36</v>
      </c>
      <c r="G56" s="116"/>
      <c r="H56" s="116"/>
      <c r="I56" s="116"/>
      <c r="J56" s="161">
        <v>44226</v>
      </c>
      <c r="K56" s="116"/>
      <c r="L56" s="109"/>
      <c r="M56" s="109"/>
    </row>
    <row r="57" spans="2:16" s="7" customFormat="1" ht="15" customHeight="1">
      <c r="B57" s="19" t="s">
        <v>859</v>
      </c>
      <c r="C57" s="63" t="s">
        <v>500</v>
      </c>
      <c r="D57" s="20" t="s">
        <v>2</v>
      </c>
      <c r="E57" s="14"/>
      <c r="F57" s="64" t="s">
        <v>37</v>
      </c>
      <c r="G57" s="87"/>
      <c r="H57" s="87"/>
      <c r="I57" s="88"/>
      <c r="J57" s="87"/>
      <c r="K57" s="87"/>
      <c r="L57" s="89"/>
      <c r="M57" s="89"/>
      <c r="N57"/>
      <c r="O57"/>
      <c r="P57"/>
    </row>
    <row r="58" spans="2:16" s="7" customFormat="1" ht="15" customHeight="1">
      <c r="B58" s="25"/>
      <c r="C58" s="26"/>
      <c r="D58" s="26"/>
      <c r="E58" s="26"/>
      <c r="F58" s="26"/>
      <c r="G58" s="33"/>
      <c r="H58" s="33"/>
      <c r="I58" s="26"/>
      <c r="J58" s="33"/>
      <c r="K58" s="33"/>
      <c r="L58" s="26"/>
      <c r="M58" s="62"/>
    </row>
  </sheetData>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0000000}">
          <x14:formula1>
            <xm:f>Hoja1!$B$93:$B$94</xm:f>
          </x14:formula1>
          <xm:sqref>G4</xm:sqref>
        </x14:dataValidation>
        <x14:dataValidation type="list" allowBlank="1" showInputMessage="1" showErrorMessage="1" xr:uid="{00000000-0002-0000-0100-000001000000}">
          <x14:formula1>
            <xm:f>Hoja1!$B$1:$B$180</xm:f>
          </x14:formula1>
          <xm:sqref>K12:M12 G12:I12 G39:I39 K39:M39</xm:sqref>
        </x14:dataValidation>
        <x14:dataValidation type="list" allowBlank="1" showInputMessage="1" showErrorMessage="1" xr:uid="{00000000-0002-0000-0100-000002000000}">
          <x14:formula1>
            <xm:f>Hoja1!$A$1:$A$249</xm:f>
          </x14:formula1>
          <xm:sqref>K11:M11 G11:I11 G38:I38 K38:M38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
    <tabColor theme="7" tint="0.39997558519241921"/>
  </sheetPr>
  <dimension ref="A1:N24"/>
  <sheetViews>
    <sheetView topLeftCell="A16" zoomScale="85" zoomScaleNormal="85" workbookViewId="0">
      <selection activeCell="G18" sqref="G18:G23"/>
    </sheetView>
  </sheetViews>
  <sheetFormatPr baseColWidth="10" defaultRowHeight="15"/>
  <cols>
    <col min="1" max="1" width="2.140625" customWidth="1"/>
    <col min="2" max="2" width="3.5703125" customWidth="1"/>
    <col min="3" max="3" width="4" customWidth="1"/>
    <col min="4" max="4" width="5" customWidth="1"/>
    <col min="5" max="5" width="1.7109375" customWidth="1"/>
    <col min="6" max="6" width="90.7109375" customWidth="1"/>
    <col min="7" max="8" width="12.28515625" customWidth="1"/>
    <col min="9" max="9" width="11.7109375" customWidth="1"/>
    <col min="10" max="10" width="12" customWidth="1"/>
  </cols>
  <sheetData>
    <row r="1" spans="1:14" ht="39.950000000000003" customHeight="1" thickBot="1">
      <c r="F1" s="40" t="s">
        <v>4</v>
      </c>
    </row>
    <row r="2" spans="1:14" ht="171" customHeight="1" thickBot="1">
      <c r="F2" s="28" t="s">
        <v>3</v>
      </c>
    </row>
    <row r="3" spans="1:14" s="7" customFormat="1" ht="15" customHeight="1" thickBot="1">
      <c r="A3" s="6"/>
      <c r="F3" s="57" t="s">
        <v>5</v>
      </c>
      <c r="G3" s="5"/>
      <c r="H3" s="5"/>
      <c r="I3" s="5"/>
      <c r="J3" s="5"/>
    </row>
    <row r="4" spans="1:14" s="7" customFormat="1" ht="15" customHeight="1" thickBot="1">
      <c r="A4" s="6"/>
      <c r="F4" s="113" t="s">
        <v>445</v>
      </c>
      <c r="G4" s="114" t="s">
        <v>444</v>
      </c>
      <c r="H4" s="5"/>
      <c r="I4" s="5"/>
      <c r="J4" s="5"/>
    </row>
    <row r="5" spans="1:14" s="9" customFormat="1" ht="117.95" customHeight="1">
      <c r="A5" s="8" t="s">
        <v>617</v>
      </c>
      <c r="B5" s="35"/>
      <c r="C5" s="36"/>
      <c r="D5" s="36"/>
      <c r="E5" s="37"/>
      <c r="F5" s="56" t="s">
        <v>42</v>
      </c>
      <c r="G5" s="58" t="s">
        <v>12</v>
      </c>
      <c r="H5" s="58" t="s">
        <v>12</v>
      </c>
      <c r="I5" s="38" t="s">
        <v>44</v>
      </c>
      <c r="J5" s="38" t="s">
        <v>43</v>
      </c>
    </row>
    <row r="6" spans="1:14" s="7" customFormat="1" ht="68.25" hidden="1" customHeight="1">
      <c r="A6" s="29" t="s">
        <v>618</v>
      </c>
      <c r="B6" s="10"/>
      <c r="C6" s="11"/>
      <c r="D6" s="12" t="s">
        <v>622</v>
      </c>
      <c r="E6" s="30" t="s">
        <v>621</v>
      </c>
      <c r="F6" s="59"/>
      <c r="G6" s="31" t="str">
        <f>SUBSTITUTE(CONCATENATE("IFRS12-InfoEstrCons_",TRIM(G5),"_",COLUMN(G6),"|",G5)," ","")</f>
        <v>IFRS12-InfoEstrCons_Agregarcolumnaopcional_7|Agregarcolumnaopcional</v>
      </c>
      <c r="H6" s="31" t="str">
        <f>SUBSTITUTE(CONCATENATE("IFRS12-InfoEstrCons_",TRIM(H5),"_",COLUMN(H6),"|",H5)," ","")</f>
        <v>IFRS12-InfoEstrCons_Agregarcolumnaopcional_8|Agregarcolumnaopcional</v>
      </c>
      <c r="I6" s="34" t="s">
        <v>501</v>
      </c>
      <c r="J6" s="60" t="s">
        <v>502</v>
      </c>
    </row>
    <row r="7" spans="1:14" s="7" customFormat="1" ht="11.25">
      <c r="B7" s="13"/>
      <c r="C7" s="14"/>
      <c r="D7" s="15" t="s">
        <v>0</v>
      </c>
      <c r="E7" s="16" t="s">
        <v>0</v>
      </c>
      <c r="F7" s="17"/>
      <c r="G7" s="32"/>
      <c r="H7" s="32"/>
      <c r="I7" s="18"/>
      <c r="J7" s="61"/>
    </row>
    <row r="8" spans="1:14" s="7" customFormat="1" ht="22.5">
      <c r="B8" s="81" t="s">
        <v>859</v>
      </c>
      <c r="C8" s="79" t="s">
        <v>503</v>
      </c>
      <c r="D8" s="82" t="s">
        <v>1</v>
      </c>
      <c r="E8" s="83"/>
      <c r="F8" s="80" t="s">
        <v>49</v>
      </c>
      <c r="G8" s="87" t="s">
        <v>860</v>
      </c>
      <c r="H8" s="87"/>
      <c r="I8" s="89"/>
      <c r="J8" s="89"/>
    </row>
    <row r="9" spans="1:14" s="7" customFormat="1" ht="22.5">
      <c r="B9" s="81" t="s">
        <v>859</v>
      </c>
      <c r="C9" s="79" t="s">
        <v>504</v>
      </c>
      <c r="D9" s="82" t="s">
        <v>1</v>
      </c>
      <c r="E9" s="83"/>
      <c r="F9" s="80" t="s">
        <v>50</v>
      </c>
      <c r="G9" s="87" t="s">
        <v>861</v>
      </c>
      <c r="H9" s="87"/>
      <c r="I9" s="89"/>
      <c r="J9" s="89"/>
      <c r="K9"/>
      <c r="L9"/>
      <c r="M9"/>
    </row>
    <row r="10" spans="1:14" s="7" customFormat="1" ht="15" customHeight="1">
      <c r="B10" s="81" t="s">
        <v>859</v>
      </c>
      <c r="C10" s="79" t="s">
        <v>505</v>
      </c>
      <c r="D10" s="82" t="s">
        <v>1</v>
      </c>
      <c r="E10" s="83"/>
      <c r="F10" s="79" t="s">
        <v>51</v>
      </c>
      <c r="G10" s="98">
        <v>1000</v>
      </c>
      <c r="H10" s="98"/>
      <c r="I10" s="115">
        <f>SUM(G10:H10)</f>
        <v>1000</v>
      </c>
      <c r="J10" s="100"/>
      <c r="K10"/>
      <c r="L10"/>
      <c r="M10"/>
    </row>
    <row r="11" spans="1:14" s="7" customFormat="1" ht="22.5">
      <c r="B11" s="81" t="s">
        <v>859</v>
      </c>
      <c r="C11" s="79" t="s">
        <v>506</v>
      </c>
      <c r="D11" s="82" t="s">
        <v>1</v>
      </c>
      <c r="E11" s="83" t="s">
        <v>0</v>
      </c>
      <c r="F11" s="80" t="s">
        <v>52</v>
      </c>
      <c r="G11" s="87" t="s">
        <v>862</v>
      </c>
      <c r="H11" s="87"/>
      <c r="I11" s="89"/>
      <c r="J11" s="89"/>
      <c r="K11"/>
      <c r="L11"/>
      <c r="M11"/>
    </row>
    <row r="12" spans="1:14" s="7" customFormat="1" ht="22.5">
      <c r="B12" s="81" t="s">
        <v>859</v>
      </c>
      <c r="C12" s="79" t="s">
        <v>507</v>
      </c>
      <c r="D12" s="82" t="s">
        <v>1</v>
      </c>
      <c r="E12" s="83" t="s">
        <v>0</v>
      </c>
      <c r="F12" s="80" t="s">
        <v>53</v>
      </c>
      <c r="G12" s="87" t="s">
        <v>863</v>
      </c>
      <c r="H12" s="87"/>
      <c r="I12" s="89"/>
      <c r="J12" s="89"/>
      <c r="K12"/>
      <c r="L12"/>
      <c r="M12"/>
    </row>
    <row r="13" spans="1:14" s="7" customFormat="1" ht="15" customHeight="1">
      <c r="B13" s="81" t="s">
        <v>859</v>
      </c>
      <c r="C13" s="79" t="s">
        <v>508</v>
      </c>
      <c r="D13" s="82" t="s">
        <v>1</v>
      </c>
      <c r="E13" s="83" t="s">
        <v>0</v>
      </c>
      <c r="F13" s="79" t="s">
        <v>54</v>
      </c>
      <c r="G13" s="87" t="s">
        <v>864</v>
      </c>
      <c r="H13" s="87"/>
      <c r="I13" s="89"/>
      <c r="J13" s="89"/>
      <c r="K13"/>
      <c r="L13"/>
      <c r="M13"/>
    </row>
    <row r="14" spans="1:14" s="7" customFormat="1" ht="15" customHeight="1">
      <c r="B14" s="25"/>
      <c r="C14" s="26"/>
      <c r="D14" s="26"/>
      <c r="E14" s="26"/>
      <c r="F14" s="26"/>
      <c r="G14" s="33"/>
      <c r="H14" s="33"/>
      <c r="I14" s="26"/>
      <c r="J14" s="62"/>
    </row>
    <row r="15" spans="1:14">
      <c r="N15" s="7"/>
    </row>
    <row r="16" spans="1:14" s="9" customFormat="1" ht="117.95" customHeight="1">
      <c r="A16" s="8"/>
      <c r="B16" s="35"/>
      <c r="C16" s="36"/>
      <c r="D16" s="36"/>
      <c r="E16" s="37"/>
      <c r="F16" s="56" t="s">
        <v>42</v>
      </c>
      <c r="G16" s="66" t="str">
        <f>IF(G5="Agregar columna opcional","",G5)</f>
        <v/>
      </c>
      <c r="H16" s="66" t="str">
        <f>IF(H5="Agregar columna opcional","",H5)</f>
        <v/>
      </c>
      <c r="I16" s="38" t="s">
        <v>44</v>
      </c>
      <c r="J16" s="38" t="s">
        <v>43</v>
      </c>
    </row>
    <row r="17" spans="2:13" s="7" customFormat="1" ht="11.25">
      <c r="B17" s="13"/>
      <c r="C17" s="14"/>
      <c r="D17" s="15" t="s">
        <v>0</v>
      </c>
      <c r="E17" s="16" t="s">
        <v>0</v>
      </c>
      <c r="F17" s="17"/>
      <c r="G17" s="32"/>
      <c r="H17" s="32"/>
      <c r="I17" s="18"/>
      <c r="J17" s="61"/>
    </row>
    <row r="18" spans="2:13" s="7" customFormat="1" ht="22.5">
      <c r="B18" s="81" t="s">
        <v>859</v>
      </c>
      <c r="C18" s="79" t="s">
        <v>503</v>
      </c>
      <c r="D18" s="82" t="s">
        <v>2</v>
      </c>
      <c r="E18" s="83"/>
      <c r="F18" s="80" t="s">
        <v>49</v>
      </c>
      <c r="G18" s="87" t="s">
        <v>860</v>
      </c>
      <c r="H18" s="87"/>
      <c r="I18" s="89"/>
      <c r="J18" s="89"/>
    </row>
    <row r="19" spans="2:13" s="7" customFormat="1" ht="22.5">
      <c r="B19" s="81" t="s">
        <v>859</v>
      </c>
      <c r="C19" s="79" t="s">
        <v>504</v>
      </c>
      <c r="D19" s="82" t="s">
        <v>2</v>
      </c>
      <c r="E19" s="83"/>
      <c r="F19" s="80" t="s">
        <v>50</v>
      </c>
      <c r="G19" s="87" t="s">
        <v>861</v>
      </c>
      <c r="H19" s="87"/>
      <c r="I19" s="89"/>
      <c r="J19" s="89"/>
      <c r="K19"/>
      <c r="L19"/>
      <c r="M19"/>
    </row>
    <row r="20" spans="2:13" s="7" customFormat="1" ht="15" customHeight="1">
      <c r="B20" s="81" t="s">
        <v>859</v>
      </c>
      <c r="C20" s="79" t="s">
        <v>505</v>
      </c>
      <c r="D20" s="82" t="s">
        <v>2</v>
      </c>
      <c r="E20" s="83"/>
      <c r="F20" s="79" t="s">
        <v>51</v>
      </c>
      <c r="G20" s="98">
        <v>1000</v>
      </c>
      <c r="H20" s="98"/>
      <c r="I20" s="115">
        <f>SUM(G20:H20)</f>
        <v>1000</v>
      </c>
      <c r="J20" s="100"/>
      <c r="K20"/>
      <c r="L20"/>
      <c r="M20"/>
    </row>
    <row r="21" spans="2:13" s="7" customFormat="1" ht="22.5">
      <c r="B21" s="81" t="s">
        <v>859</v>
      </c>
      <c r="C21" s="79" t="s">
        <v>506</v>
      </c>
      <c r="D21" s="82" t="s">
        <v>2</v>
      </c>
      <c r="E21" s="83" t="s">
        <v>0</v>
      </c>
      <c r="F21" s="80" t="s">
        <v>52</v>
      </c>
      <c r="G21" s="87" t="s">
        <v>862</v>
      </c>
      <c r="H21" s="87"/>
      <c r="I21" s="89"/>
      <c r="J21" s="89"/>
      <c r="K21"/>
      <c r="L21"/>
      <c r="M21"/>
    </row>
    <row r="22" spans="2:13" s="7" customFormat="1" ht="22.5">
      <c r="B22" s="81" t="s">
        <v>859</v>
      </c>
      <c r="C22" s="79" t="s">
        <v>507</v>
      </c>
      <c r="D22" s="82" t="s">
        <v>2</v>
      </c>
      <c r="E22" s="83" t="s">
        <v>0</v>
      </c>
      <c r="F22" s="80" t="s">
        <v>53</v>
      </c>
      <c r="G22" s="87" t="s">
        <v>863</v>
      </c>
      <c r="H22" s="87"/>
      <c r="I22" s="89"/>
      <c r="J22" s="89"/>
      <c r="K22"/>
      <c r="L22"/>
      <c r="M22"/>
    </row>
    <row r="23" spans="2:13" s="7" customFormat="1" ht="15" customHeight="1">
      <c r="B23" s="81" t="s">
        <v>859</v>
      </c>
      <c r="C23" s="79" t="s">
        <v>508</v>
      </c>
      <c r="D23" s="82" t="s">
        <v>2</v>
      </c>
      <c r="E23" s="83" t="s">
        <v>0</v>
      </c>
      <c r="F23" s="79" t="s">
        <v>54</v>
      </c>
      <c r="G23" s="87" t="s">
        <v>864</v>
      </c>
      <c r="H23" s="87"/>
      <c r="I23" s="89"/>
      <c r="J23" s="89"/>
      <c r="K23"/>
      <c r="L23"/>
      <c r="M23"/>
    </row>
    <row r="24" spans="2:13" s="7" customFormat="1" ht="15" customHeight="1">
      <c r="B24" s="25"/>
      <c r="C24" s="26"/>
      <c r="D24" s="26"/>
      <c r="E24" s="26"/>
      <c r="F24" s="26"/>
      <c r="G24" s="33"/>
      <c r="H24" s="33"/>
      <c r="I24" s="26"/>
      <c r="J24" s="62"/>
    </row>
  </sheetData>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Hoja1!$B$93:$B$94</xm:f>
          </x14:formula1>
          <xm:sqref>G4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5">
    <tabColor rgb="FF92D050"/>
  </sheetPr>
  <dimension ref="A1:O76"/>
  <sheetViews>
    <sheetView topLeftCell="A61" zoomScale="85" zoomScaleNormal="85" workbookViewId="0">
      <selection activeCell="H71" sqref="H71"/>
    </sheetView>
  </sheetViews>
  <sheetFormatPr baseColWidth="10" defaultRowHeight="15"/>
  <cols>
    <col min="1" max="1" width="2.140625" customWidth="1"/>
    <col min="2" max="2" width="3.5703125" customWidth="1"/>
    <col min="3" max="3" width="4" customWidth="1"/>
    <col min="4" max="4" width="5" customWidth="1"/>
    <col min="5" max="5" width="1.7109375" customWidth="1"/>
    <col min="6" max="6" width="90.7109375" customWidth="1"/>
    <col min="8" max="9" width="12.28515625" customWidth="1"/>
  </cols>
  <sheetData>
    <row r="1" spans="1:14" ht="39.950000000000003" customHeight="1" thickBot="1">
      <c r="F1" s="40" t="s">
        <v>4</v>
      </c>
    </row>
    <row r="2" spans="1:14" ht="171" customHeight="1" thickBot="1">
      <c r="F2" s="28" t="s">
        <v>3</v>
      </c>
    </row>
    <row r="3" spans="1:14" s="7" customFormat="1" ht="15" customHeight="1" thickBot="1">
      <c r="A3" s="6"/>
      <c r="F3" s="57" t="s">
        <v>5</v>
      </c>
      <c r="G3" s="5"/>
      <c r="H3" s="5"/>
      <c r="I3" s="5"/>
      <c r="J3" s="5"/>
      <c r="K3" s="5"/>
    </row>
    <row r="4" spans="1:14" s="7" customFormat="1" ht="15" customHeight="1" thickBot="1">
      <c r="A4" s="6"/>
      <c r="F4" s="113" t="s">
        <v>445</v>
      </c>
      <c r="G4" s="114" t="s">
        <v>444</v>
      </c>
      <c r="H4" s="5"/>
      <c r="I4" s="5"/>
      <c r="J4" s="5"/>
      <c r="K4" s="5"/>
    </row>
    <row r="5" spans="1:14" s="9" customFormat="1" ht="117.95" customHeight="1">
      <c r="A5" s="8" t="s">
        <v>617</v>
      </c>
      <c r="B5" s="35"/>
      <c r="C5" s="36"/>
      <c r="D5" s="36"/>
      <c r="E5" s="37"/>
      <c r="F5" s="56" t="s">
        <v>60</v>
      </c>
      <c r="G5" s="90" t="s">
        <v>62</v>
      </c>
      <c r="H5" s="58" t="s">
        <v>12</v>
      </c>
      <c r="I5" s="58" t="s">
        <v>12</v>
      </c>
      <c r="J5" s="38" t="s">
        <v>63</v>
      </c>
      <c r="K5" s="38" t="s">
        <v>64</v>
      </c>
    </row>
    <row r="6" spans="1:14" s="7" customFormat="1" ht="68.25" hidden="1" customHeight="1">
      <c r="A6" s="29" t="s">
        <v>618</v>
      </c>
      <c r="B6" s="10"/>
      <c r="C6" s="11"/>
      <c r="D6" s="12" t="s">
        <v>624</v>
      </c>
      <c r="E6" s="30" t="s">
        <v>623</v>
      </c>
      <c r="F6" s="59"/>
      <c r="G6" s="34" t="s">
        <v>509</v>
      </c>
      <c r="H6" s="31" t="str">
        <f>SUBSTITUTE(CONCATENATE("IFRS12-InfoSobrAsoc_",TRIM(H5),"_",COLUMN(H6),"|",H5)," ","")</f>
        <v>IFRS12-InfoSobrAsoc_Agregarcolumnaopcional_8|Agregarcolumnaopcional</v>
      </c>
      <c r="I6" s="31" t="str">
        <f>SUBSTITUTE(CONCATENATE("IFRS12-InfoSobrAsoc_",TRIM(I5),"_",COLUMN(I6),"|",I5)," ","")</f>
        <v>IFRS12-InfoSobrAsoc_Agregarcolumnaopcional_9|Agregarcolumnaopcional</v>
      </c>
      <c r="J6" s="34" t="s">
        <v>510</v>
      </c>
      <c r="K6" s="60" t="s">
        <v>511</v>
      </c>
    </row>
    <row r="7" spans="1:14" s="7" customFormat="1" ht="11.25">
      <c r="B7" s="13"/>
      <c r="C7" s="14"/>
      <c r="D7" s="15" t="s">
        <v>0</v>
      </c>
      <c r="E7" s="16" t="s">
        <v>0</v>
      </c>
      <c r="F7" s="17"/>
      <c r="G7" s="18"/>
      <c r="H7" s="32"/>
      <c r="I7" s="32"/>
      <c r="J7" s="18"/>
      <c r="K7" s="61"/>
    </row>
    <row r="8" spans="1:14" s="7" customFormat="1" ht="13.5" customHeight="1">
      <c r="B8" s="81" t="s">
        <v>859</v>
      </c>
      <c r="C8" s="79" t="s">
        <v>512</v>
      </c>
      <c r="D8" s="82" t="s">
        <v>1</v>
      </c>
      <c r="E8" s="83"/>
      <c r="F8" s="80" t="s">
        <v>65</v>
      </c>
      <c r="G8" s="91"/>
      <c r="H8" s="87" t="s">
        <v>860</v>
      </c>
      <c r="I8" s="87"/>
      <c r="J8" s="89"/>
      <c r="K8" s="89"/>
    </row>
    <row r="9" spans="1:14" s="7" customFormat="1" ht="15" customHeight="1">
      <c r="B9" s="81" t="s">
        <v>859</v>
      </c>
      <c r="C9" s="79" t="s">
        <v>513</v>
      </c>
      <c r="D9" s="82" t="s">
        <v>1</v>
      </c>
      <c r="E9" s="83"/>
      <c r="F9" s="80" t="s">
        <v>66</v>
      </c>
      <c r="G9" s="91"/>
      <c r="H9" s="87" t="s">
        <v>861</v>
      </c>
      <c r="I9" s="87"/>
      <c r="J9" s="89"/>
      <c r="K9" s="89"/>
      <c r="L9"/>
      <c r="M9"/>
      <c r="N9"/>
    </row>
    <row r="10" spans="1:14" s="7" customFormat="1" ht="15" customHeight="1">
      <c r="B10" s="81" t="s">
        <v>859</v>
      </c>
      <c r="C10" s="79" t="s">
        <v>514</v>
      </c>
      <c r="D10" s="82" t="s">
        <v>1</v>
      </c>
      <c r="E10" s="83"/>
      <c r="F10" s="80" t="s">
        <v>67</v>
      </c>
      <c r="G10" s="91"/>
      <c r="H10" s="87" t="s">
        <v>862</v>
      </c>
      <c r="I10" s="87"/>
      <c r="J10" s="89"/>
      <c r="K10" s="89"/>
      <c r="L10"/>
      <c r="M10"/>
      <c r="N10"/>
    </row>
    <row r="11" spans="1:14" s="7" customFormat="1" ht="15" customHeight="1">
      <c r="B11" s="81" t="s">
        <v>859</v>
      </c>
      <c r="C11" s="79" t="s">
        <v>659</v>
      </c>
      <c r="D11" s="82" t="s">
        <v>1</v>
      </c>
      <c r="E11" s="83"/>
      <c r="F11" s="80" t="s">
        <v>654</v>
      </c>
      <c r="G11" s="136"/>
      <c r="H11" s="135" t="s">
        <v>236</v>
      </c>
      <c r="I11" s="135"/>
      <c r="J11" s="137"/>
      <c r="K11" s="137"/>
      <c r="L11"/>
      <c r="M11"/>
      <c r="N11"/>
    </row>
    <row r="12" spans="1:14" s="7" customFormat="1" ht="15" customHeight="1">
      <c r="B12" s="81" t="s">
        <v>859</v>
      </c>
      <c r="C12" s="79" t="s">
        <v>515</v>
      </c>
      <c r="D12" s="82" t="s">
        <v>1</v>
      </c>
      <c r="E12" s="83" t="s">
        <v>0</v>
      </c>
      <c r="F12" s="134" t="s">
        <v>648</v>
      </c>
      <c r="G12" s="91"/>
      <c r="H12" s="87">
        <v>0.2</v>
      </c>
      <c r="I12" s="87"/>
      <c r="J12" s="89"/>
      <c r="K12" s="89"/>
      <c r="L12"/>
      <c r="M12"/>
      <c r="N12"/>
    </row>
    <row r="13" spans="1:14" s="7" customFormat="1" ht="15" customHeight="1">
      <c r="B13" s="81" t="s">
        <v>859</v>
      </c>
      <c r="C13" s="79" t="s">
        <v>516</v>
      </c>
      <c r="D13" s="82" t="s">
        <v>1</v>
      </c>
      <c r="E13" s="83" t="s">
        <v>0</v>
      </c>
      <c r="F13" s="134" t="s">
        <v>649</v>
      </c>
      <c r="G13" s="91"/>
      <c r="H13" s="87">
        <v>0.3</v>
      </c>
      <c r="I13" s="87"/>
      <c r="J13" s="89"/>
      <c r="K13" s="89"/>
      <c r="L13"/>
      <c r="M13"/>
      <c r="N13"/>
    </row>
    <row r="14" spans="1:14" s="7" customFormat="1" ht="22.5">
      <c r="B14" s="81" t="s">
        <v>859</v>
      </c>
      <c r="C14" s="79" t="s">
        <v>517</v>
      </c>
      <c r="D14" s="82" t="s">
        <v>1</v>
      </c>
      <c r="E14" s="83"/>
      <c r="F14" s="134" t="s">
        <v>650</v>
      </c>
      <c r="G14" s="91"/>
      <c r="H14" s="87" t="s">
        <v>863</v>
      </c>
      <c r="I14" s="87"/>
      <c r="J14" s="89"/>
      <c r="K14" s="89"/>
      <c r="L14"/>
      <c r="M14"/>
      <c r="N14"/>
    </row>
    <row r="15" spans="1:14" s="7" customFormat="1" ht="22.5">
      <c r="B15" s="81" t="s">
        <v>859</v>
      </c>
      <c r="C15" s="79" t="s">
        <v>518</v>
      </c>
      <c r="D15" s="82" t="s">
        <v>1</v>
      </c>
      <c r="E15" s="83"/>
      <c r="F15" s="134" t="s">
        <v>651</v>
      </c>
      <c r="G15" s="91"/>
      <c r="H15" s="87" t="s">
        <v>864</v>
      </c>
      <c r="I15" s="87"/>
      <c r="J15" s="89"/>
      <c r="K15" s="89"/>
      <c r="L15"/>
      <c r="M15"/>
      <c r="N15"/>
    </row>
    <row r="16" spans="1:14" s="7" customFormat="1" ht="15" customHeight="1">
      <c r="B16" s="81" t="s">
        <v>859</v>
      </c>
      <c r="C16" s="79" t="s">
        <v>519</v>
      </c>
      <c r="D16" s="82" t="s">
        <v>1</v>
      </c>
      <c r="E16" s="83" t="s">
        <v>0</v>
      </c>
      <c r="F16" s="134" t="s">
        <v>652</v>
      </c>
      <c r="G16" s="92"/>
      <c r="H16" s="93">
        <v>1000</v>
      </c>
      <c r="I16" s="93"/>
      <c r="J16" s="119">
        <f>SUM(G16:I16)</f>
        <v>1000</v>
      </c>
      <c r="K16" s="94"/>
      <c r="L16"/>
      <c r="M16"/>
      <c r="N16"/>
    </row>
    <row r="17" spans="2:14" s="7" customFormat="1" ht="15" customHeight="1">
      <c r="B17" s="81" t="s">
        <v>859</v>
      </c>
      <c r="C17" s="79" t="s">
        <v>598</v>
      </c>
      <c r="D17" s="82" t="s">
        <v>1</v>
      </c>
      <c r="E17" s="83" t="s">
        <v>0</v>
      </c>
      <c r="F17" s="80" t="s">
        <v>16</v>
      </c>
      <c r="G17" s="92"/>
      <c r="H17" s="93">
        <v>2000</v>
      </c>
      <c r="I17" s="93"/>
      <c r="J17" s="119">
        <f t="shared" ref="J17:J31" si="0">SUM(G17:I17)</f>
        <v>2000</v>
      </c>
      <c r="K17" s="94"/>
      <c r="L17"/>
      <c r="M17"/>
      <c r="N17"/>
    </row>
    <row r="18" spans="2:14" s="7" customFormat="1" ht="15" customHeight="1">
      <c r="B18" s="81" t="s">
        <v>859</v>
      </c>
      <c r="C18" s="79" t="s">
        <v>599</v>
      </c>
      <c r="D18" s="82" t="s">
        <v>1</v>
      </c>
      <c r="E18" s="83" t="s">
        <v>0</v>
      </c>
      <c r="F18" s="80" t="s">
        <v>17</v>
      </c>
      <c r="G18" s="92"/>
      <c r="H18" s="93">
        <v>3000</v>
      </c>
      <c r="I18" s="93"/>
      <c r="J18" s="119">
        <f t="shared" si="0"/>
        <v>3000</v>
      </c>
      <c r="K18" s="94"/>
      <c r="L18"/>
      <c r="M18"/>
      <c r="N18"/>
    </row>
    <row r="19" spans="2:14" s="7" customFormat="1" ht="15" customHeight="1">
      <c r="B19" s="81" t="s">
        <v>859</v>
      </c>
      <c r="C19" s="79" t="s">
        <v>600</v>
      </c>
      <c r="D19" s="82" t="s">
        <v>1</v>
      </c>
      <c r="E19" s="83" t="s">
        <v>0</v>
      </c>
      <c r="F19" s="80" t="s">
        <v>18</v>
      </c>
      <c r="G19" s="92"/>
      <c r="H19" s="93">
        <v>4000</v>
      </c>
      <c r="I19" s="93"/>
      <c r="J19" s="119">
        <f t="shared" si="0"/>
        <v>4000</v>
      </c>
      <c r="K19" s="94"/>
      <c r="L19"/>
      <c r="M19"/>
      <c r="N19"/>
    </row>
    <row r="20" spans="2:14" s="7" customFormat="1" ht="15" customHeight="1">
      <c r="B20" s="81" t="s">
        <v>859</v>
      </c>
      <c r="C20" s="79" t="s">
        <v>601</v>
      </c>
      <c r="D20" s="82" t="s">
        <v>1</v>
      </c>
      <c r="E20" s="83" t="s">
        <v>0</v>
      </c>
      <c r="F20" s="80" t="s">
        <v>19</v>
      </c>
      <c r="G20" s="92"/>
      <c r="H20" s="93">
        <v>5000</v>
      </c>
      <c r="I20" s="93"/>
      <c r="J20" s="119">
        <f t="shared" si="0"/>
        <v>5000</v>
      </c>
      <c r="K20" s="94"/>
      <c r="L20"/>
      <c r="M20"/>
      <c r="N20"/>
    </row>
    <row r="21" spans="2:14" s="7" customFormat="1" ht="15" customHeight="1">
      <c r="B21" s="81" t="s">
        <v>859</v>
      </c>
      <c r="C21" s="79" t="s">
        <v>602</v>
      </c>
      <c r="D21" s="82" t="s">
        <v>1</v>
      </c>
      <c r="E21" s="83" t="s">
        <v>0</v>
      </c>
      <c r="F21" s="80" t="s">
        <v>20</v>
      </c>
      <c r="G21" s="92"/>
      <c r="H21" s="93">
        <v>6000</v>
      </c>
      <c r="I21" s="93"/>
      <c r="J21" s="119">
        <f t="shared" si="0"/>
        <v>6000</v>
      </c>
      <c r="K21" s="94"/>
      <c r="L21"/>
      <c r="M21"/>
      <c r="N21"/>
    </row>
    <row r="22" spans="2:14" s="7" customFormat="1" ht="15" customHeight="1">
      <c r="B22" s="81" t="s">
        <v>859</v>
      </c>
      <c r="C22" s="79" t="s">
        <v>605</v>
      </c>
      <c r="D22" s="82" t="s">
        <v>1</v>
      </c>
      <c r="E22" s="83" t="s">
        <v>0</v>
      </c>
      <c r="F22" s="80" t="s">
        <v>69</v>
      </c>
      <c r="G22" s="92"/>
      <c r="H22" s="93">
        <v>7000</v>
      </c>
      <c r="I22" s="93"/>
      <c r="J22" s="119">
        <f t="shared" si="0"/>
        <v>7000</v>
      </c>
      <c r="K22" s="94"/>
      <c r="L22"/>
      <c r="M22"/>
      <c r="N22"/>
    </row>
    <row r="23" spans="2:14" s="7" customFormat="1" ht="15" customHeight="1">
      <c r="B23" s="81" t="s">
        <v>859</v>
      </c>
      <c r="C23" s="79" t="s">
        <v>606</v>
      </c>
      <c r="D23" s="82" t="s">
        <v>1</v>
      </c>
      <c r="E23" s="83" t="s">
        <v>0</v>
      </c>
      <c r="F23" s="80" t="s">
        <v>70</v>
      </c>
      <c r="G23" s="92"/>
      <c r="H23" s="93">
        <v>8000</v>
      </c>
      <c r="I23" s="93"/>
      <c r="J23" s="119">
        <f t="shared" si="0"/>
        <v>8000</v>
      </c>
      <c r="K23" s="94"/>
      <c r="L23"/>
      <c r="M23"/>
      <c r="N23"/>
    </row>
    <row r="24" spans="2:14" s="7" customFormat="1" ht="15" customHeight="1">
      <c r="B24" s="81" t="s">
        <v>859</v>
      </c>
      <c r="C24" s="79" t="s">
        <v>607</v>
      </c>
      <c r="D24" s="82" t="s">
        <v>1</v>
      </c>
      <c r="E24" s="83" t="s">
        <v>0</v>
      </c>
      <c r="F24" s="80" t="s">
        <v>71</v>
      </c>
      <c r="G24" s="92"/>
      <c r="H24" s="93">
        <v>9000</v>
      </c>
      <c r="I24" s="93"/>
      <c r="J24" s="119">
        <f t="shared" si="0"/>
        <v>9000</v>
      </c>
      <c r="K24" s="94"/>
      <c r="L24"/>
      <c r="M24"/>
      <c r="N24"/>
    </row>
    <row r="25" spans="2:14" s="7" customFormat="1" ht="15" customHeight="1">
      <c r="B25" s="81" t="s">
        <v>859</v>
      </c>
      <c r="C25" s="79" t="s">
        <v>604</v>
      </c>
      <c r="D25" s="82" t="s">
        <v>1</v>
      </c>
      <c r="E25" s="83" t="s">
        <v>0</v>
      </c>
      <c r="F25" s="80" t="s">
        <v>21</v>
      </c>
      <c r="G25" s="92"/>
      <c r="H25" s="93">
        <v>1000</v>
      </c>
      <c r="I25" s="93"/>
      <c r="J25" s="119">
        <f t="shared" si="0"/>
        <v>1000</v>
      </c>
      <c r="K25" s="94"/>
      <c r="L25"/>
      <c r="M25"/>
      <c r="N25"/>
    </row>
    <row r="26" spans="2:14" s="7" customFormat="1" ht="15" customHeight="1">
      <c r="B26" s="81" t="s">
        <v>859</v>
      </c>
      <c r="C26" s="79" t="s">
        <v>520</v>
      </c>
      <c r="D26" s="82" t="s">
        <v>1</v>
      </c>
      <c r="E26" s="83" t="s">
        <v>0</v>
      </c>
      <c r="F26" s="80" t="s">
        <v>72</v>
      </c>
      <c r="G26" s="92"/>
      <c r="H26" s="93">
        <v>2000</v>
      </c>
      <c r="I26" s="93"/>
      <c r="J26" s="119">
        <f t="shared" si="0"/>
        <v>2000</v>
      </c>
      <c r="K26" s="94"/>
      <c r="L26"/>
      <c r="M26"/>
      <c r="N26"/>
    </row>
    <row r="27" spans="2:14" s="7" customFormat="1" ht="15" customHeight="1">
      <c r="B27" s="81" t="s">
        <v>859</v>
      </c>
      <c r="C27" s="79" t="s">
        <v>608</v>
      </c>
      <c r="D27" s="82" t="s">
        <v>1</v>
      </c>
      <c r="E27" s="83" t="s">
        <v>0</v>
      </c>
      <c r="F27" s="80" t="s">
        <v>73</v>
      </c>
      <c r="G27" s="92"/>
      <c r="H27" s="93">
        <v>3000</v>
      </c>
      <c r="I27" s="93"/>
      <c r="J27" s="119">
        <f t="shared" si="0"/>
        <v>3000</v>
      </c>
      <c r="K27" s="94"/>
      <c r="L27"/>
      <c r="M27"/>
      <c r="N27"/>
    </row>
    <row r="28" spans="2:14" s="7" customFormat="1" ht="22.5">
      <c r="B28" s="81" t="s">
        <v>859</v>
      </c>
      <c r="C28" s="79" t="s">
        <v>521</v>
      </c>
      <c r="D28" s="82" t="s">
        <v>1</v>
      </c>
      <c r="E28" s="83" t="s">
        <v>0</v>
      </c>
      <c r="F28" s="80" t="s">
        <v>74</v>
      </c>
      <c r="G28" s="92"/>
      <c r="H28" s="93">
        <v>4000</v>
      </c>
      <c r="I28" s="93"/>
      <c r="J28" s="119">
        <f t="shared" si="0"/>
        <v>4000</v>
      </c>
      <c r="K28" s="94"/>
      <c r="L28"/>
      <c r="M28"/>
      <c r="N28"/>
    </row>
    <row r="29" spans="2:14" s="7" customFormat="1" ht="22.5">
      <c r="B29" s="81" t="s">
        <v>859</v>
      </c>
      <c r="C29" s="79" t="s">
        <v>522</v>
      </c>
      <c r="D29" s="82" t="s">
        <v>1</v>
      </c>
      <c r="E29" s="83" t="s">
        <v>0</v>
      </c>
      <c r="F29" s="80" t="s">
        <v>75</v>
      </c>
      <c r="G29" s="92"/>
      <c r="H29" s="93">
        <v>5000</v>
      </c>
      <c r="I29" s="93"/>
      <c r="J29" s="119">
        <f t="shared" si="0"/>
        <v>5000</v>
      </c>
      <c r="K29" s="94"/>
      <c r="L29"/>
      <c r="M29"/>
      <c r="N29"/>
    </row>
    <row r="30" spans="2:14" s="7" customFormat="1" ht="22.5">
      <c r="B30" s="81" t="s">
        <v>859</v>
      </c>
      <c r="C30" s="79" t="s">
        <v>523</v>
      </c>
      <c r="D30" s="82" t="s">
        <v>1</v>
      </c>
      <c r="E30" s="83" t="s">
        <v>0</v>
      </c>
      <c r="F30" s="80" t="s">
        <v>76</v>
      </c>
      <c r="G30" s="92"/>
      <c r="H30" s="93">
        <v>6000</v>
      </c>
      <c r="I30" s="93"/>
      <c r="J30" s="119">
        <f t="shared" si="0"/>
        <v>6000</v>
      </c>
      <c r="K30" s="94"/>
      <c r="L30"/>
      <c r="M30"/>
      <c r="N30"/>
    </row>
    <row r="31" spans="2:14" s="7" customFormat="1" ht="22.5">
      <c r="B31" s="81" t="s">
        <v>859</v>
      </c>
      <c r="C31" s="79" t="s">
        <v>524</v>
      </c>
      <c r="D31" s="82" t="s">
        <v>1</v>
      </c>
      <c r="E31" s="83" t="s">
        <v>0</v>
      </c>
      <c r="F31" s="80" t="s">
        <v>77</v>
      </c>
      <c r="G31" s="92"/>
      <c r="H31" s="93">
        <v>7000</v>
      </c>
      <c r="I31" s="93"/>
      <c r="J31" s="119">
        <f t="shared" si="0"/>
        <v>7000</v>
      </c>
      <c r="K31" s="94"/>
      <c r="L31"/>
      <c r="M31"/>
      <c r="N31"/>
    </row>
    <row r="32" spans="2:14" s="7" customFormat="1" ht="23.25" customHeight="1">
      <c r="B32" s="81" t="s">
        <v>859</v>
      </c>
      <c r="C32" s="79" t="s">
        <v>525</v>
      </c>
      <c r="D32" s="82" t="s">
        <v>1</v>
      </c>
      <c r="E32" s="83"/>
      <c r="F32" s="80" t="s">
        <v>78</v>
      </c>
      <c r="G32" s="91"/>
      <c r="H32" s="87" t="s">
        <v>865</v>
      </c>
      <c r="I32" s="87"/>
      <c r="J32" s="89"/>
      <c r="K32" s="89"/>
      <c r="L32"/>
      <c r="M32"/>
      <c r="N32"/>
    </row>
    <row r="33" spans="1:15" s="7" customFormat="1" ht="22.5">
      <c r="B33" s="81" t="s">
        <v>859</v>
      </c>
      <c r="C33" s="79" t="s">
        <v>526</v>
      </c>
      <c r="D33" s="82" t="s">
        <v>1</v>
      </c>
      <c r="E33" s="83"/>
      <c r="F33" s="80" t="s">
        <v>79</v>
      </c>
      <c r="G33" s="91"/>
      <c r="H33" s="87" t="s">
        <v>866</v>
      </c>
      <c r="I33" s="87"/>
      <c r="J33" s="89"/>
      <c r="K33" s="89"/>
      <c r="L33"/>
      <c r="M33"/>
      <c r="N33"/>
    </row>
    <row r="34" spans="1:15" s="7" customFormat="1" ht="22.5">
      <c r="B34" s="81" t="s">
        <v>859</v>
      </c>
      <c r="C34" s="79" t="s">
        <v>527</v>
      </c>
      <c r="D34" s="82" t="s">
        <v>1</v>
      </c>
      <c r="E34" s="83" t="s">
        <v>0</v>
      </c>
      <c r="F34" s="80" t="s">
        <v>436</v>
      </c>
      <c r="G34" s="108"/>
      <c r="H34" s="108">
        <v>44586</v>
      </c>
      <c r="I34" s="108"/>
      <c r="J34" s="112"/>
      <c r="K34" s="109"/>
      <c r="L34"/>
      <c r="M34"/>
      <c r="N34"/>
    </row>
    <row r="35" spans="1:15" s="7" customFormat="1" ht="22.5">
      <c r="B35" s="81" t="s">
        <v>859</v>
      </c>
      <c r="C35" s="79" t="s">
        <v>528</v>
      </c>
      <c r="D35" s="82" t="s">
        <v>1</v>
      </c>
      <c r="E35" s="83"/>
      <c r="F35" s="80" t="s">
        <v>80</v>
      </c>
      <c r="G35" s="91"/>
      <c r="H35" s="87" t="s">
        <v>867</v>
      </c>
      <c r="I35" s="87"/>
      <c r="J35" s="89"/>
      <c r="K35" s="89"/>
      <c r="L35"/>
      <c r="M35"/>
      <c r="N35"/>
    </row>
    <row r="36" spans="1:15" s="7" customFormat="1" ht="15" customHeight="1">
      <c r="B36" s="81" t="s">
        <v>859</v>
      </c>
      <c r="C36" s="79" t="s">
        <v>529</v>
      </c>
      <c r="D36" s="82" t="s">
        <v>1</v>
      </c>
      <c r="E36" s="83" t="s">
        <v>0</v>
      </c>
      <c r="F36" s="80" t="s">
        <v>81</v>
      </c>
      <c r="G36" s="92"/>
      <c r="H36" s="93">
        <v>2000</v>
      </c>
      <c r="I36" s="93"/>
      <c r="J36" s="119">
        <f t="shared" ref="J36:J39" si="1">SUM(G36:I36)</f>
        <v>2000</v>
      </c>
      <c r="K36" s="94"/>
      <c r="L36"/>
      <c r="M36"/>
      <c r="N36"/>
    </row>
    <row r="37" spans="1:15" s="7" customFormat="1" ht="15" customHeight="1">
      <c r="B37" s="81" t="s">
        <v>859</v>
      </c>
      <c r="C37" s="79" t="s">
        <v>530</v>
      </c>
      <c r="D37" s="82" t="s">
        <v>1</v>
      </c>
      <c r="E37" s="83" t="s">
        <v>0</v>
      </c>
      <c r="F37" s="80" t="s">
        <v>82</v>
      </c>
      <c r="G37" s="92"/>
      <c r="H37" s="93">
        <v>3000</v>
      </c>
      <c r="I37" s="93"/>
      <c r="J37" s="119">
        <f t="shared" si="1"/>
        <v>3000</v>
      </c>
      <c r="K37" s="94"/>
      <c r="L37"/>
      <c r="M37"/>
      <c r="N37"/>
    </row>
    <row r="38" spans="1:15" s="7" customFormat="1" ht="15" customHeight="1">
      <c r="B38" s="81" t="s">
        <v>859</v>
      </c>
      <c r="C38" s="79" t="s">
        <v>531</v>
      </c>
      <c r="D38" s="82" t="s">
        <v>1</v>
      </c>
      <c r="E38" s="83" t="s">
        <v>0</v>
      </c>
      <c r="F38" s="80" t="s">
        <v>83</v>
      </c>
      <c r="G38" s="92"/>
      <c r="H38" s="93">
        <v>4000</v>
      </c>
      <c r="I38" s="93"/>
      <c r="J38" s="119">
        <f t="shared" si="1"/>
        <v>4000</v>
      </c>
      <c r="K38" s="94"/>
      <c r="L38"/>
      <c r="M38"/>
      <c r="N38"/>
    </row>
    <row r="39" spans="1:15" s="7" customFormat="1" ht="22.5">
      <c r="B39" s="81" t="s">
        <v>859</v>
      </c>
      <c r="C39" s="79" t="s">
        <v>532</v>
      </c>
      <c r="D39" s="82" t="s">
        <v>1</v>
      </c>
      <c r="E39" s="83" t="s">
        <v>0</v>
      </c>
      <c r="F39" s="80" t="s">
        <v>84</v>
      </c>
      <c r="G39" s="92"/>
      <c r="H39" s="93">
        <v>6000</v>
      </c>
      <c r="I39" s="93"/>
      <c r="J39" s="119">
        <f t="shared" si="1"/>
        <v>6000</v>
      </c>
      <c r="K39" s="94"/>
      <c r="L39"/>
      <c r="M39"/>
      <c r="N39"/>
    </row>
    <row r="40" spans="1:15" s="7" customFormat="1" ht="15" customHeight="1">
      <c r="B40" s="25"/>
      <c r="C40" s="26"/>
      <c r="D40" s="26"/>
      <c r="E40" s="26"/>
      <c r="F40" s="26"/>
      <c r="G40" s="26"/>
      <c r="H40" s="33"/>
      <c r="I40" s="33"/>
      <c r="J40" s="26"/>
      <c r="K40" s="62"/>
    </row>
    <row r="41" spans="1:15">
      <c r="O41" s="7"/>
    </row>
    <row r="42" spans="1:15" s="9" customFormat="1" ht="117.95" customHeight="1">
      <c r="A42" s="8"/>
      <c r="B42" s="35"/>
      <c r="C42" s="36"/>
      <c r="D42" s="36"/>
      <c r="E42" s="37"/>
      <c r="F42" s="56" t="s">
        <v>60</v>
      </c>
      <c r="G42" s="38" t="s">
        <v>62</v>
      </c>
      <c r="H42" s="66" t="str">
        <f>IF(H5="Agregar columna opcional","",H5)</f>
        <v/>
      </c>
      <c r="I42" s="66" t="str">
        <f>IF(I5="Agregar columna opcional","",I5)</f>
        <v/>
      </c>
      <c r="J42" s="38" t="s">
        <v>63</v>
      </c>
      <c r="K42" s="38" t="s">
        <v>64</v>
      </c>
    </row>
    <row r="43" spans="1:15" s="7" customFormat="1" ht="11.25">
      <c r="B43" s="13"/>
      <c r="C43" s="14"/>
      <c r="D43" s="15" t="s">
        <v>0</v>
      </c>
      <c r="E43" s="16" t="s">
        <v>0</v>
      </c>
      <c r="F43" s="17"/>
      <c r="G43" s="18"/>
      <c r="H43" s="32"/>
      <c r="I43" s="32"/>
      <c r="J43" s="18"/>
      <c r="K43" s="61"/>
    </row>
    <row r="44" spans="1:15" s="7" customFormat="1" ht="13.5" customHeight="1">
      <c r="B44" s="81" t="s">
        <v>859</v>
      </c>
      <c r="C44" s="79" t="s">
        <v>512</v>
      </c>
      <c r="D44" s="82" t="s">
        <v>2</v>
      </c>
      <c r="E44" s="83"/>
      <c r="F44" s="80" t="s">
        <v>65</v>
      </c>
      <c r="G44" s="91"/>
      <c r="H44" s="87" t="s">
        <v>860</v>
      </c>
      <c r="I44" s="87"/>
      <c r="J44" s="89"/>
      <c r="K44" s="89"/>
    </row>
    <row r="45" spans="1:15" s="7" customFormat="1" ht="15" customHeight="1">
      <c r="B45" s="81" t="s">
        <v>859</v>
      </c>
      <c r="C45" s="79" t="s">
        <v>513</v>
      </c>
      <c r="D45" s="82" t="s">
        <v>2</v>
      </c>
      <c r="E45" s="83"/>
      <c r="F45" s="80" t="s">
        <v>66</v>
      </c>
      <c r="G45" s="91"/>
      <c r="H45" s="87" t="s">
        <v>861</v>
      </c>
      <c r="I45" s="87"/>
      <c r="J45" s="89"/>
      <c r="K45" s="89"/>
      <c r="L45"/>
      <c r="M45"/>
      <c r="N45"/>
    </row>
    <row r="46" spans="1:15" s="7" customFormat="1" ht="15" customHeight="1">
      <c r="B46" s="81" t="s">
        <v>859</v>
      </c>
      <c r="C46" s="79" t="s">
        <v>514</v>
      </c>
      <c r="D46" s="82" t="s">
        <v>2</v>
      </c>
      <c r="E46" s="83"/>
      <c r="F46" s="80" t="s">
        <v>67</v>
      </c>
      <c r="G46" s="91"/>
      <c r="H46" s="87" t="s">
        <v>862</v>
      </c>
      <c r="I46" s="87"/>
      <c r="J46" s="89"/>
      <c r="K46" s="89"/>
      <c r="L46" s="123"/>
      <c r="M46"/>
      <c r="N46"/>
    </row>
    <row r="47" spans="1:15" s="7" customFormat="1" ht="15" customHeight="1">
      <c r="B47" s="81" t="s">
        <v>859</v>
      </c>
      <c r="C47" s="79" t="s">
        <v>659</v>
      </c>
      <c r="D47" s="82" t="s">
        <v>2</v>
      </c>
      <c r="E47" s="83"/>
      <c r="F47" s="80" t="s">
        <v>654</v>
      </c>
      <c r="G47" s="136"/>
      <c r="H47" s="135" t="s">
        <v>236</v>
      </c>
      <c r="I47" s="135"/>
      <c r="J47" s="137"/>
      <c r="K47" s="137"/>
      <c r="L47"/>
      <c r="M47"/>
      <c r="N47"/>
    </row>
    <row r="48" spans="1:15" s="7" customFormat="1" ht="15" customHeight="1">
      <c r="B48" s="81" t="s">
        <v>859</v>
      </c>
      <c r="C48" s="79" t="s">
        <v>515</v>
      </c>
      <c r="D48" s="82" t="s">
        <v>2</v>
      </c>
      <c r="E48" s="83" t="s">
        <v>0</v>
      </c>
      <c r="F48" s="134" t="s">
        <v>648</v>
      </c>
      <c r="G48" s="91"/>
      <c r="H48" s="87">
        <v>0.2</v>
      </c>
      <c r="I48" s="87"/>
      <c r="J48" s="89"/>
      <c r="K48" s="89"/>
      <c r="L48"/>
      <c r="M48"/>
      <c r="N48"/>
    </row>
    <row r="49" spans="2:14" s="7" customFormat="1" ht="15" customHeight="1">
      <c r="B49" s="81" t="s">
        <v>859</v>
      </c>
      <c r="C49" s="79" t="s">
        <v>516</v>
      </c>
      <c r="D49" s="82" t="s">
        <v>2</v>
      </c>
      <c r="E49" s="83" t="s">
        <v>0</v>
      </c>
      <c r="F49" s="134" t="s">
        <v>649</v>
      </c>
      <c r="G49" s="91"/>
      <c r="H49" s="87">
        <v>0.3</v>
      </c>
      <c r="I49" s="87"/>
      <c r="J49" s="89"/>
      <c r="K49" s="89"/>
      <c r="L49"/>
      <c r="M49"/>
      <c r="N49"/>
    </row>
    <row r="50" spans="2:14" s="7" customFormat="1" ht="22.5">
      <c r="B50" s="81" t="s">
        <v>859</v>
      </c>
      <c r="C50" s="79" t="s">
        <v>517</v>
      </c>
      <c r="D50" s="82" t="s">
        <v>2</v>
      </c>
      <c r="E50" s="83"/>
      <c r="F50" s="134" t="s">
        <v>650</v>
      </c>
      <c r="G50" s="91"/>
      <c r="H50" s="87" t="s">
        <v>863</v>
      </c>
      <c r="I50" s="87"/>
      <c r="J50" s="89"/>
      <c r="K50" s="89"/>
      <c r="L50"/>
      <c r="M50"/>
      <c r="N50"/>
    </row>
    <row r="51" spans="2:14" s="7" customFormat="1" ht="15" customHeight="1">
      <c r="B51" s="81" t="s">
        <v>859</v>
      </c>
      <c r="C51" s="79" t="s">
        <v>518</v>
      </c>
      <c r="D51" s="82" t="s">
        <v>2</v>
      </c>
      <c r="E51" s="83"/>
      <c r="F51" s="134" t="s">
        <v>651</v>
      </c>
      <c r="G51" s="91"/>
      <c r="H51" s="87" t="s">
        <v>864</v>
      </c>
      <c r="I51" s="87"/>
      <c r="J51" s="89"/>
      <c r="K51" s="89"/>
      <c r="L51"/>
      <c r="M51"/>
      <c r="N51"/>
    </row>
    <row r="52" spans="2:14" s="7" customFormat="1" ht="15" customHeight="1">
      <c r="B52" s="81" t="s">
        <v>859</v>
      </c>
      <c r="C52" s="79" t="s">
        <v>519</v>
      </c>
      <c r="D52" s="82" t="s">
        <v>2</v>
      </c>
      <c r="E52" s="83" t="s">
        <v>0</v>
      </c>
      <c r="F52" s="134" t="s">
        <v>652</v>
      </c>
      <c r="G52" s="92"/>
      <c r="H52" s="93">
        <v>1000</v>
      </c>
      <c r="I52" s="93"/>
      <c r="J52" s="119">
        <f>SUM(G52:I52)</f>
        <v>1000</v>
      </c>
      <c r="K52" s="94"/>
      <c r="L52"/>
      <c r="M52"/>
      <c r="N52"/>
    </row>
    <row r="53" spans="2:14" s="7" customFormat="1" ht="15" customHeight="1">
      <c r="B53" s="81" t="s">
        <v>859</v>
      </c>
      <c r="C53" s="79" t="s">
        <v>598</v>
      </c>
      <c r="D53" s="82" t="s">
        <v>2</v>
      </c>
      <c r="E53" s="83" t="s">
        <v>0</v>
      </c>
      <c r="F53" s="80" t="s">
        <v>16</v>
      </c>
      <c r="G53" s="92"/>
      <c r="H53" s="93">
        <v>2000</v>
      </c>
      <c r="I53" s="93"/>
      <c r="J53" s="119">
        <f t="shared" ref="J53:J67" si="2">SUM(G53:I53)</f>
        <v>2000</v>
      </c>
      <c r="K53" s="94"/>
      <c r="L53"/>
      <c r="M53"/>
      <c r="N53"/>
    </row>
    <row r="54" spans="2:14" s="7" customFormat="1" ht="15" customHeight="1">
      <c r="B54" s="81" t="s">
        <v>859</v>
      </c>
      <c r="C54" s="79" t="s">
        <v>599</v>
      </c>
      <c r="D54" s="82" t="s">
        <v>2</v>
      </c>
      <c r="E54" s="83" t="s">
        <v>0</v>
      </c>
      <c r="F54" s="80" t="s">
        <v>17</v>
      </c>
      <c r="G54" s="92"/>
      <c r="H54" s="93">
        <v>3000</v>
      </c>
      <c r="I54" s="93"/>
      <c r="J54" s="119">
        <f t="shared" si="2"/>
        <v>3000</v>
      </c>
      <c r="K54" s="94"/>
      <c r="L54"/>
      <c r="M54"/>
      <c r="N54"/>
    </row>
    <row r="55" spans="2:14" s="7" customFormat="1" ht="15" customHeight="1">
      <c r="B55" s="81" t="s">
        <v>859</v>
      </c>
      <c r="C55" s="79" t="s">
        <v>600</v>
      </c>
      <c r="D55" s="82" t="s">
        <v>2</v>
      </c>
      <c r="E55" s="83" t="s">
        <v>0</v>
      </c>
      <c r="F55" s="80" t="s">
        <v>18</v>
      </c>
      <c r="G55" s="92"/>
      <c r="H55" s="93">
        <v>4000</v>
      </c>
      <c r="I55" s="93"/>
      <c r="J55" s="119">
        <f t="shared" si="2"/>
        <v>4000</v>
      </c>
      <c r="K55" s="94"/>
      <c r="L55"/>
      <c r="M55"/>
      <c r="N55"/>
    </row>
    <row r="56" spans="2:14" s="7" customFormat="1" ht="15" customHeight="1">
      <c r="B56" s="81" t="s">
        <v>859</v>
      </c>
      <c r="C56" s="79" t="s">
        <v>601</v>
      </c>
      <c r="D56" s="82" t="s">
        <v>2</v>
      </c>
      <c r="E56" s="83" t="s">
        <v>0</v>
      </c>
      <c r="F56" s="80" t="s">
        <v>19</v>
      </c>
      <c r="G56" s="92"/>
      <c r="H56" s="93">
        <v>5000</v>
      </c>
      <c r="I56" s="93"/>
      <c r="J56" s="119">
        <f t="shared" si="2"/>
        <v>5000</v>
      </c>
      <c r="K56" s="94"/>
      <c r="L56"/>
      <c r="M56"/>
      <c r="N56"/>
    </row>
    <row r="57" spans="2:14" s="7" customFormat="1" ht="15" customHeight="1">
      <c r="B57" s="81" t="s">
        <v>859</v>
      </c>
      <c r="C57" s="79" t="s">
        <v>602</v>
      </c>
      <c r="D57" s="82" t="s">
        <v>2</v>
      </c>
      <c r="E57" s="83" t="s">
        <v>0</v>
      </c>
      <c r="F57" s="80" t="s">
        <v>20</v>
      </c>
      <c r="G57" s="92"/>
      <c r="H57" s="93">
        <v>6000</v>
      </c>
      <c r="I57" s="93"/>
      <c r="J57" s="119">
        <f t="shared" si="2"/>
        <v>6000</v>
      </c>
      <c r="K57" s="94"/>
      <c r="L57"/>
      <c r="M57"/>
      <c r="N57"/>
    </row>
    <row r="58" spans="2:14" s="7" customFormat="1" ht="15" customHeight="1">
      <c r="B58" s="81" t="s">
        <v>859</v>
      </c>
      <c r="C58" s="79" t="s">
        <v>605</v>
      </c>
      <c r="D58" s="82" t="s">
        <v>2</v>
      </c>
      <c r="E58" s="83" t="s">
        <v>0</v>
      </c>
      <c r="F58" s="80" t="s">
        <v>69</v>
      </c>
      <c r="G58" s="92"/>
      <c r="H58" s="93">
        <v>7000</v>
      </c>
      <c r="I58" s="93"/>
      <c r="J58" s="119">
        <f t="shared" si="2"/>
        <v>7000</v>
      </c>
      <c r="K58" s="94"/>
      <c r="L58"/>
      <c r="M58"/>
      <c r="N58"/>
    </row>
    <row r="59" spans="2:14" s="7" customFormat="1" ht="15" customHeight="1">
      <c r="B59" s="81" t="s">
        <v>859</v>
      </c>
      <c r="C59" s="79" t="s">
        <v>606</v>
      </c>
      <c r="D59" s="82" t="s">
        <v>2</v>
      </c>
      <c r="E59" s="83" t="s">
        <v>0</v>
      </c>
      <c r="F59" s="80" t="s">
        <v>70</v>
      </c>
      <c r="G59" s="92"/>
      <c r="H59" s="93">
        <v>8000</v>
      </c>
      <c r="I59" s="93"/>
      <c r="J59" s="119">
        <f t="shared" si="2"/>
        <v>8000</v>
      </c>
      <c r="K59" s="94"/>
      <c r="L59"/>
      <c r="M59"/>
      <c r="N59"/>
    </row>
    <row r="60" spans="2:14" s="7" customFormat="1" ht="15" customHeight="1">
      <c r="B60" s="81" t="s">
        <v>859</v>
      </c>
      <c r="C60" s="79" t="s">
        <v>607</v>
      </c>
      <c r="D60" s="82" t="s">
        <v>2</v>
      </c>
      <c r="E60" s="83" t="s">
        <v>0</v>
      </c>
      <c r="F60" s="80" t="s">
        <v>71</v>
      </c>
      <c r="G60" s="92"/>
      <c r="H60" s="93">
        <v>9000</v>
      </c>
      <c r="I60" s="93"/>
      <c r="J60" s="119">
        <f t="shared" si="2"/>
        <v>9000</v>
      </c>
      <c r="K60" s="94"/>
      <c r="L60"/>
      <c r="M60"/>
      <c r="N60"/>
    </row>
    <row r="61" spans="2:14" s="7" customFormat="1" ht="15" customHeight="1">
      <c r="B61" s="81" t="s">
        <v>859</v>
      </c>
      <c r="C61" s="79" t="s">
        <v>604</v>
      </c>
      <c r="D61" s="82" t="s">
        <v>2</v>
      </c>
      <c r="E61" s="83" t="s">
        <v>0</v>
      </c>
      <c r="F61" s="80" t="s">
        <v>21</v>
      </c>
      <c r="G61" s="92"/>
      <c r="H61" s="93">
        <v>1000</v>
      </c>
      <c r="I61" s="93"/>
      <c r="J61" s="119">
        <f t="shared" si="2"/>
        <v>1000</v>
      </c>
      <c r="K61" s="94"/>
      <c r="L61"/>
      <c r="M61"/>
      <c r="N61"/>
    </row>
    <row r="62" spans="2:14" s="7" customFormat="1" ht="15" customHeight="1">
      <c r="B62" s="81" t="s">
        <v>859</v>
      </c>
      <c r="C62" s="79" t="s">
        <v>520</v>
      </c>
      <c r="D62" s="82" t="s">
        <v>2</v>
      </c>
      <c r="E62" s="83" t="s">
        <v>0</v>
      </c>
      <c r="F62" s="80" t="s">
        <v>72</v>
      </c>
      <c r="G62" s="92"/>
      <c r="H62" s="93">
        <v>2000</v>
      </c>
      <c r="I62" s="93"/>
      <c r="J62" s="119">
        <f t="shared" si="2"/>
        <v>2000</v>
      </c>
      <c r="K62" s="94"/>
      <c r="L62"/>
      <c r="M62"/>
      <c r="N62"/>
    </row>
    <row r="63" spans="2:14" s="7" customFormat="1" ht="15" customHeight="1">
      <c r="B63" s="81" t="s">
        <v>859</v>
      </c>
      <c r="C63" s="79" t="s">
        <v>608</v>
      </c>
      <c r="D63" s="82" t="s">
        <v>2</v>
      </c>
      <c r="E63" s="83" t="s">
        <v>0</v>
      </c>
      <c r="F63" s="80" t="s">
        <v>73</v>
      </c>
      <c r="G63" s="92"/>
      <c r="H63" s="93">
        <v>3000</v>
      </c>
      <c r="I63" s="93"/>
      <c r="J63" s="119">
        <f t="shared" si="2"/>
        <v>3000</v>
      </c>
      <c r="K63" s="94"/>
      <c r="L63"/>
      <c r="M63"/>
      <c r="N63"/>
    </row>
    <row r="64" spans="2:14" s="7" customFormat="1" ht="22.5">
      <c r="B64" s="81" t="s">
        <v>859</v>
      </c>
      <c r="C64" s="79" t="s">
        <v>521</v>
      </c>
      <c r="D64" s="82" t="s">
        <v>2</v>
      </c>
      <c r="E64" s="83" t="s">
        <v>0</v>
      </c>
      <c r="F64" s="80" t="s">
        <v>74</v>
      </c>
      <c r="G64" s="92"/>
      <c r="H64" s="93">
        <v>4000</v>
      </c>
      <c r="I64" s="93"/>
      <c r="J64" s="119">
        <f t="shared" si="2"/>
        <v>4000</v>
      </c>
      <c r="K64" s="94"/>
      <c r="L64"/>
      <c r="M64"/>
      <c r="N64"/>
    </row>
    <row r="65" spans="2:14" s="7" customFormat="1" ht="22.5">
      <c r="B65" s="81" t="s">
        <v>859</v>
      </c>
      <c r="C65" s="79" t="s">
        <v>522</v>
      </c>
      <c r="D65" s="82" t="s">
        <v>2</v>
      </c>
      <c r="E65" s="83" t="s">
        <v>0</v>
      </c>
      <c r="F65" s="80" t="s">
        <v>75</v>
      </c>
      <c r="G65" s="92"/>
      <c r="H65" s="93">
        <v>5000</v>
      </c>
      <c r="I65" s="93"/>
      <c r="J65" s="119">
        <f t="shared" si="2"/>
        <v>5000</v>
      </c>
      <c r="K65" s="94"/>
      <c r="L65"/>
      <c r="M65"/>
      <c r="N65"/>
    </row>
    <row r="66" spans="2:14" s="7" customFormat="1" ht="22.5">
      <c r="B66" s="81" t="s">
        <v>859</v>
      </c>
      <c r="C66" s="79" t="s">
        <v>523</v>
      </c>
      <c r="D66" s="82" t="s">
        <v>2</v>
      </c>
      <c r="E66" s="83" t="s">
        <v>0</v>
      </c>
      <c r="F66" s="80" t="s">
        <v>76</v>
      </c>
      <c r="G66" s="92"/>
      <c r="H66" s="93">
        <v>6000</v>
      </c>
      <c r="I66" s="93"/>
      <c r="J66" s="119">
        <f t="shared" si="2"/>
        <v>6000</v>
      </c>
      <c r="K66" s="94"/>
      <c r="L66"/>
      <c r="M66"/>
      <c r="N66"/>
    </row>
    <row r="67" spans="2:14" s="7" customFormat="1" ht="22.5">
      <c r="B67" s="81" t="s">
        <v>859</v>
      </c>
      <c r="C67" s="79" t="s">
        <v>524</v>
      </c>
      <c r="D67" s="82" t="s">
        <v>2</v>
      </c>
      <c r="E67" s="83" t="s">
        <v>0</v>
      </c>
      <c r="F67" s="80" t="s">
        <v>77</v>
      </c>
      <c r="G67" s="92"/>
      <c r="H67" s="93">
        <v>7000</v>
      </c>
      <c r="I67" s="93"/>
      <c r="J67" s="119">
        <f t="shared" si="2"/>
        <v>7000</v>
      </c>
      <c r="K67" s="94"/>
      <c r="L67"/>
      <c r="M67"/>
      <c r="N67"/>
    </row>
    <row r="68" spans="2:14" s="7" customFormat="1" ht="33.75">
      <c r="B68" s="81" t="s">
        <v>859</v>
      </c>
      <c r="C68" s="79" t="s">
        <v>525</v>
      </c>
      <c r="D68" s="82" t="s">
        <v>2</v>
      </c>
      <c r="E68" s="83"/>
      <c r="F68" s="80" t="s">
        <v>78</v>
      </c>
      <c r="G68" s="91"/>
      <c r="H68" s="87" t="s">
        <v>865</v>
      </c>
      <c r="I68" s="87"/>
      <c r="J68" s="89"/>
      <c r="K68" s="89"/>
      <c r="L68"/>
      <c r="M68"/>
      <c r="N68"/>
    </row>
    <row r="69" spans="2:14" s="7" customFormat="1" ht="22.5">
      <c r="B69" s="81" t="s">
        <v>859</v>
      </c>
      <c r="C69" s="79" t="s">
        <v>526</v>
      </c>
      <c r="D69" s="82" t="s">
        <v>2</v>
      </c>
      <c r="E69" s="83"/>
      <c r="F69" s="80" t="s">
        <v>79</v>
      </c>
      <c r="G69" s="91"/>
      <c r="H69" s="87" t="s">
        <v>866</v>
      </c>
      <c r="I69" s="87"/>
      <c r="J69" s="89"/>
      <c r="K69" s="89"/>
      <c r="L69"/>
      <c r="M69"/>
      <c r="N69"/>
    </row>
    <row r="70" spans="2:14" s="7" customFormat="1" ht="22.5">
      <c r="B70" s="81" t="s">
        <v>859</v>
      </c>
      <c r="C70" s="79" t="s">
        <v>527</v>
      </c>
      <c r="D70" s="82" t="s">
        <v>2</v>
      </c>
      <c r="E70" s="83" t="s">
        <v>0</v>
      </c>
      <c r="F70" s="80" t="s">
        <v>437</v>
      </c>
      <c r="G70" s="108"/>
      <c r="H70" s="108">
        <v>44221</v>
      </c>
      <c r="I70" s="108"/>
      <c r="J70" s="112"/>
      <c r="K70" s="109"/>
      <c r="L70"/>
      <c r="M70"/>
      <c r="N70"/>
    </row>
    <row r="71" spans="2:14" s="7" customFormat="1" ht="22.5">
      <c r="B71" s="81" t="s">
        <v>859</v>
      </c>
      <c r="C71" s="79" t="s">
        <v>528</v>
      </c>
      <c r="D71" s="82" t="s">
        <v>2</v>
      </c>
      <c r="E71" s="83"/>
      <c r="F71" s="80" t="s">
        <v>80</v>
      </c>
      <c r="G71" s="91"/>
      <c r="H71" s="87" t="s">
        <v>867</v>
      </c>
      <c r="I71" s="87"/>
      <c r="J71" s="89"/>
      <c r="K71" s="89"/>
      <c r="L71"/>
      <c r="M71"/>
      <c r="N71"/>
    </row>
    <row r="72" spans="2:14" s="7" customFormat="1" ht="15" customHeight="1">
      <c r="B72" s="81" t="s">
        <v>859</v>
      </c>
      <c r="C72" s="79" t="s">
        <v>529</v>
      </c>
      <c r="D72" s="82" t="s">
        <v>2</v>
      </c>
      <c r="E72" s="83" t="s">
        <v>0</v>
      </c>
      <c r="F72" s="80" t="s">
        <v>81</v>
      </c>
      <c r="G72" s="92"/>
      <c r="H72" s="93">
        <v>2000</v>
      </c>
      <c r="I72" s="93"/>
      <c r="J72" s="119">
        <f t="shared" ref="J72:J75" si="3">SUM(G72:I72)</f>
        <v>2000</v>
      </c>
      <c r="K72" s="94"/>
      <c r="L72"/>
      <c r="M72"/>
      <c r="N72"/>
    </row>
    <row r="73" spans="2:14" s="7" customFormat="1" ht="15" customHeight="1">
      <c r="B73" s="81" t="s">
        <v>859</v>
      </c>
      <c r="C73" s="79" t="s">
        <v>530</v>
      </c>
      <c r="D73" s="82" t="s">
        <v>2</v>
      </c>
      <c r="E73" s="83" t="s">
        <v>0</v>
      </c>
      <c r="F73" s="80" t="s">
        <v>82</v>
      </c>
      <c r="G73" s="92"/>
      <c r="H73" s="93">
        <v>3000</v>
      </c>
      <c r="I73" s="93"/>
      <c r="J73" s="119">
        <f t="shared" si="3"/>
        <v>3000</v>
      </c>
      <c r="K73" s="94"/>
      <c r="L73"/>
      <c r="M73"/>
      <c r="N73"/>
    </row>
    <row r="74" spans="2:14" s="7" customFormat="1" ht="15" customHeight="1">
      <c r="B74" s="81" t="s">
        <v>859</v>
      </c>
      <c r="C74" s="79" t="s">
        <v>531</v>
      </c>
      <c r="D74" s="82" t="s">
        <v>2</v>
      </c>
      <c r="E74" s="83" t="s">
        <v>0</v>
      </c>
      <c r="F74" s="80" t="s">
        <v>83</v>
      </c>
      <c r="G74" s="92"/>
      <c r="H74" s="93">
        <v>4000</v>
      </c>
      <c r="I74" s="93"/>
      <c r="J74" s="119">
        <f t="shared" si="3"/>
        <v>4000</v>
      </c>
      <c r="K74" s="94"/>
      <c r="L74"/>
      <c r="M74"/>
      <c r="N74"/>
    </row>
    <row r="75" spans="2:14" s="7" customFormat="1" ht="22.5">
      <c r="B75" s="81" t="s">
        <v>859</v>
      </c>
      <c r="C75" s="79" t="s">
        <v>532</v>
      </c>
      <c r="D75" s="82" t="s">
        <v>2</v>
      </c>
      <c r="E75" s="83" t="s">
        <v>0</v>
      </c>
      <c r="F75" s="80" t="s">
        <v>84</v>
      </c>
      <c r="G75" s="92"/>
      <c r="H75" s="93">
        <v>6000</v>
      </c>
      <c r="I75" s="93"/>
      <c r="J75" s="119">
        <f t="shared" si="3"/>
        <v>6000</v>
      </c>
      <c r="K75" s="94"/>
      <c r="L75"/>
      <c r="M75"/>
      <c r="N75"/>
    </row>
    <row r="76" spans="2:14" s="7" customFormat="1" ht="15" customHeight="1">
      <c r="B76" s="25"/>
      <c r="C76" s="26"/>
      <c r="D76" s="26"/>
      <c r="E76" s="26"/>
      <c r="F76" s="26"/>
      <c r="G76" s="26"/>
      <c r="H76" s="33"/>
      <c r="I76" s="33"/>
      <c r="J76" s="26"/>
      <c r="K76" s="62"/>
    </row>
  </sheetData>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300-000000000000}">
          <x14:formula1>
            <xm:f>Hoja1!$B$93:$B$94</xm:f>
          </x14:formula1>
          <xm:sqref>G4</xm:sqref>
        </x14:dataValidation>
        <x14:dataValidation type="list" allowBlank="1" showInputMessage="1" showErrorMessage="1" xr:uid="{00000000-0002-0000-0300-000001000000}">
          <x14:formula1>
            <xm:f>Hoja1!$A$1:$A$249</xm:f>
          </x14:formula1>
          <xm:sqref>G11:K11 G47:K47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6">
    <tabColor theme="2" tint="-0.499984740745262"/>
  </sheetPr>
  <dimension ref="A1:N24"/>
  <sheetViews>
    <sheetView topLeftCell="A10" zoomScale="85" zoomScaleNormal="85" workbookViewId="0">
      <selection activeCell="G18" sqref="G18:G23"/>
    </sheetView>
  </sheetViews>
  <sheetFormatPr baseColWidth="10" defaultRowHeight="15"/>
  <cols>
    <col min="1" max="1" width="2.140625" customWidth="1"/>
    <col min="2" max="2" width="3.5703125" customWidth="1"/>
    <col min="3" max="3" width="4" customWidth="1"/>
    <col min="4" max="4" width="5" customWidth="1"/>
    <col min="5" max="5" width="1.7109375" customWidth="1"/>
    <col min="6" max="6" width="90.7109375" customWidth="1"/>
  </cols>
  <sheetData>
    <row r="1" spans="1:14" ht="39.950000000000003" customHeight="1" thickBot="1">
      <c r="F1" s="40" t="s">
        <v>4</v>
      </c>
    </row>
    <row r="2" spans="1:14" ht="171" customHeight="1" thickBot="1">
      <c r="F2" s="28" t="s">
        <v>3</v>
      </c>
    </row>
    <row r="3" spans="1:14" s="7" customFormat="1" ht="15" customHeight="1" thickBot="1">
      <c r="A3" s="6"/>
      <c r="F3" s="57" t="s">
        <v>5</v>
      </c>
      <c r="G3" s="5"/>
      <c r="H3" s="5"/>
      <c r="I3" s="5"/>
      <c r="J3" s="5"/>
    </row>
    <row r="4" spans="1:14" s="7" customFormat="1" ht="15" customHeight="1" thickBot="1">
      <c r="A4" s="6"/>
      <c r="F4" s="113" t="s">
        <v>445</v>
      </c>
      <c r="G4" s="114" t="s">
        <v>444</v>
      </c>
      <c r="H4" s="5"/>
      <c r="I4" s="5"/>
      <c r="J4" s="5"/>
    </row>
    <row r="5" spans="1:14" s="9" customFormat="1" ht="117.95" customHeight="1">
      <c r="A5" s="8" t="s">
        <v>617</v>
      </c>
      <c r="B5" s="35"/>
      <c r="C5" s="36"/>
      <c r="D5" s="36"/>
      <c r="E5" s="37"/>
      <c r="F5" s="125" t="s">
        <v>87</v>
      </c>
      <c r="G5" s="131" t="s">
        <v>12</v>
      </c>
      <c r="H5" s="131" t="s">
        <v>12</v>
      </c>
      <c r="I5" s="38" t="s">
        <v>89</v>
      </c>
      <c r="J5" s="38" t="s">
        <v>88</v>
      </c>
    </row>
    <row r="6" spans="1:14" s="7" customFormat="1" ht="68.25" hidden="1" customHeight="1">
      <c r="A6" s="29" t="s">
        <v>618</v>
      </c>
      <c r="B6" s="10"/>
      <c r="C6" s="11"/>
      <c r="D6" s="12" t="s">
        <v>626</v>
      </c>
      <c r="E6" s="30" t="s">
        <v>625</v>
      </c>
      <c r="F6" s="59"/>
      <c r="G6" s="31" t="str">
        <f>SUBSTITUTE(CONCATENATE("IFRS12-InfoOperConj_",TRIM(G5),"_",COLUMN(G6),"|",G5)," ","")</f>
        <v>IFRS12-InfoOperConj_Agregarcolumnaopcional_7|Agregarcolumnaopcional</v>
      </c>
      <c r="H6" s="31" t="str">
        <f>SUBSTITUTE(CONCATENATE("IFRS12-InfoOperConj_",TRIM(H5),"_",COLUMN(H6),"|",H5)," ","")</f>
        <v>IFRS12-InfoOperConj_Agregarcolumnaopcional_8|Agregarcolumnaopcional</v>
      </c>
      <c r="I6" s="34" t="s">
        <v>533</v>
      </c>
      <c r="J6" s="60" t="s">
        <v>534</v>
      </c>
    </row>
    <row r="7" spans="1:14" s="7" customFormat="1" ht="11.25">
      <c r="B7" s="13"/>
      <c r="C7" s="14"/>
      <c r="D7" s="15" t="s">
        <v>0</v>
      </c>
      <c r="E7" s="16" t="s">
        <v>0</v>
      </c>
      <c r="F7" s="126"/>
      <c r="G7" s="32"/>
      <c r="H7" s="32"/>
      <c r="I7" s="18"/>
      <c r="J7" s="61"/>
    </row>
    <row r="8" spans="1:14" s="7" customFormat="1" ht="13.5" customHeight="1">
      <c r="B8" s="19" t="s">
        <v>859</v>
      </c>
      <c r="C8" s="21" t="s">
        <v>535</v>
      </c>
      <c r="D8" s="20" t="s">
        <v>1</v>
      </c>
      <c r="E8" s="15"/>
      <c r="F8" s="127" t="s">
        <v>90</v>
      </c>
      <c r="G8" s="154" t="s">
        <v>860</v>
      </c>
      <c r="H8" s="87"/>
      <c r="I8" s="89"/>
      <c r="J8" s="89"/>
    </row>
    <row r="9" spans="1:14" s="7" customFormat="1" ht="15" customHeight="1">
      <c r="B9" s="19" t="s">
        <v>859</v>
      </c>
      <c r="C9" s="63" t="s">
        <v>536</v>
      </c>
      <c r="D9" s="20" t="s">
        <v>1</v>
      </c>
      <c r="E9" s="14"/>
      <c r="F9" s="127" t="s">
        <v>91</v>
      </c>
      <c r="G9" s="154" t="s">
        <v>861</v>
      </c>
      <c r="H9" s="87"/>
      <c r="I9" s="89"/>
      <c r="J9" s="89"/>
      <c r="K9"/>
      <c r="L9"/>
      <c r="M9"/>
    </row>
    <row r="10" spans="1:14" s="7" customFormat="1" ht="15" customHeight="1">
      <c r="B10" s="19" t="s">
        <v>859</v>
      </c>
      <c r="C10" s="21" t="s">
        <v>537</v>
      </c>
      <c r="D10" s="20" t="s">
        <v>1</v>
      </c>
      <c r="E10" s="14"/>
      <c r="F10" s="127" t="s">
        <v>92</v>
      </c>
      <c r="G10" s="154" t="s">
        <v>862</v>
      </c>
      <c r="H10" s="87"/>
      <c r="I10" s="89"/>
      <c r="J10" s="89"/>
      <c r="K10"/>
      <c r="L10"/>
      <c r="M10"/>
    </row>
    <row r="11" spans="1:14" s="7" customFormat="1" ht="15" customHeight="1">
      <c r="B11" s="19" t="s">
        <v>859</v>
      </c>
      <c r="C11" s="21" t="s">
        <v>660</v>
      </c>
      <c r="D11" s="20" t="s">
        <v>1</v>
      </c>
      <c r="E11" s="14"/>
      <c r="F11" s="127" t="s">
        <v>655</v>
      </c>
      <c r="G11" s="156" t="s">
        <v>236</v>
      </c>
      <c r="H11" s="135"/>
      <c r="I11" s="89"/>
      <c r="J11" s="88"/>
      <c r="K11"/>
      <c r="L11"/>
      <c r="M11"/>
    </row>
    <row r="12" spans="1:14" s="7" customFormat="1" ht="15" customHeight="1">
      <c r="B12" s="19" t="s">
        <v>859</v>
      </c>
      <c r="C12" s="21" t="s">
        <v>538</v>
      </c>
      <c r="D12" s="20" t="s">
        <v>1</v>
      </c>
      <c r="E12" s="14" t="s">
        <v>0</v>
      </c>
      <c r="F12" s="127" t="s">
        <v>93</v>
      </c>
      <c r="G12" s="162">
        <v>0.1</v>
      </c>
      <c r="H12" s="101"/>
      <c r="I12" s="102"/>
      <c r="J12" s="102"/>
      <c r="K12"/>
      <c r="L12"/>
      <c r="M12"/>
    </row>
    <row r="13" spans="1:14" s="7" customFormat="1" ht="15" customHeight="1">
      <c r="B13" s="19" t="s">
        <v>859</v>
      </c>
      <c r="C13" s="21" t="s">
        <v>539</v>
      </c>
      <c r="D13" s="20" t="s">
        <v>1</v>
      </c>
      <c r="E13" s="14" t="s">
        <v>0</v>
      </c>
      <c r="F13" s="127" t="s">
        <v>94</v>
      </c>
      <c r="G13" s="162">
        <v>0.2</v>
      </c>
      <c r="H13" s="101"/>
      <c r="I13" s="102"/>
      <c r="J13" s="102"/>
      <c r="K13"/>
      <c r="L13"/>
      <c r="M13"/>
    </row>
    <row r="14" spans="1:14" s="7" customFormat="1" ht="15" customHeight="1">
      <c r="B14" s="25"/>
      <c r="C14" s="26"/>
      <c r="D14" s="26"/>
      <c r="E14" s="26"/>
      <c r="F14" s="128"/>
      <c r="G14" s="33"/>
      <c r="H14" s="33"/>
      <c r="I14" s="26"/>
      <c r="J14" s="62"/>
    </row>
    <row r="15" spans="1:14">
      <c r="F15" s="129"/>
      <c r="G15" s="132"/>
      <c r="H15" s="132"/>
      <c r="N15" s="7"/>
    </row>
    <row r="16" spans="1:14" s="9" customFormat="1" ht="117.95" customHeight="1">
      <c r="A16" s="8"/>
      <c r="B16" s="35"/>
      <c r="C16" s="36"/>
      <c r="D16" s="36"/>
      <c r="E16" s="37"/>
      <c r="F16" s="130" t="s">
        <v>87</v>
      </c>
      <c r="G16" s="133" t="str">
        <f>G5</f>
        <v>Agregar columna opcional</v>
      </c>
      <c r="H16" s="133" t="str">
        <f>H5</f>
        <v>Agregar columna opcional</v>
      </c>
      <c r="I16" s="38" t="s">
        <v>89</v>
      </c>
      <c r="J16" s="38" t="s">
        <v>88</v>
      </c>
    </row>
    <row r="17" spans="2:13" s="7" customFormat="1" ht="11.25">
      <c r="B17" s="13"/>
      <c r="C17" s="14"/>
      <c r="D17" s="15" t="s">
        <v>0</v>
      </c>
      <c r="E17" s="16" t="s">
        <v>0</v>
      </c>
      <c r="F17" s="126"/>
      <c r="G17" s="32"/>
      <c r="H17" s="32"/>
      <c r="I17" s="18"/>
      <c r="J17" s="61"/>
    </row>
    <row r="18" spans="2:13" s="7" customFormat="1" ht="15" customHeight="1">
      <c r="B18" s="19" t="s">
        <v>859</v>
      </c>
      <c r="C18" s="21" t="s">
        <v>535</v>
      </c>
      <c r="D18" s="20" t="s">
        <v>2</v>
      </c>
      <c r="E18" s="15"/>
      <c r="F18" s="127" t="s">
        <v>90</v>
      </c>
      <c r="G18" s="154" t="s">
        <v>860</v>
      </c>
      <c r="H18" s="87"/>
      <c r="I18" s="89"/>
      <c r="J18" s="89"/>
    </row>
    <row r="19" spans="2:13" s="7" customFormat="1" ht="15" customHeight="1">
      <c r="B19" s="19" t="s">
        <v>859</v>
      </c>
      <c r="C19" s="63" t="s">
        <v>536</v>
      </c>
      <c r="D19" s="20" t="s">
        <v>2</v>
      </c>
      <c r="E19" s="14"/>
      <c r="F19" s="127" t="s">
        <v>91</v>
      </c>
      <c r="G19" s="154" t="s">
        <v>861</v>
      </c>
      <c r="H19" s="87"/>
      <c r="I19" s="89"/>
      <c r="J19" s="89"/>
      <c r="K19"/>
      <c r="L19"/>
      <c r="M19"/>
    </row>
    <row r="20" spans="2:13" s="7" customFormat="1" ht="15" customHeight="1">
      <c r="B20" s="19" t="s">
        <v>859</v>
      </c>
      <c r="C20" s="21" t="s">
        <v>537</v>
      </c>
      <c r="D20" s="20" t="s">
        <v>2</v>
      </c>
      <c r="E20" s="14"/>
      <c r="F20" s="127" t="s">
        <v>92</v>
      </c>
      <c r="G20" s="154" t="s">
        <v>862</v>
      </c>
      <c r="H20" s="87"/>
      <c r="I20" s="89"/>
      <c r="J20" s="89"/>
      <c r="K20"/>
      <c r="L20"/>
      <c r="M20"/>
    </row>
    <row r="21" spans="2:13" s="7" customFormat="1" ht="15" customHeight="1">
      <c r="B21" s="19" t="s">
        <v>859</v>
      </c>
      <c r="C21" s="21" t="s">
        <v>660</v>
      </c>
      <c r="D21" s="20" t="s">
        <v>2</v>
      </c>
      <c r="E21" s="14"/>
      <c r="F21" s="127" t="s">
        <v>655</v>
      </c>
      <c r="G21" s="156" t="s">
        <v>236</v>
      </c>
      <c r="H21" s="135"/>
      <c r="I21" s="89"/>
      <c r="J21" s="88"/>
      <c r="K21"/>
      <c r="L21"/>
      <c r="M21"/>
    </row>
    <row r="22" spans="2:13" s="7" customFormat="1" ht="15" customHeight="1">
      <c r="B22" s="19" t="s">
        <v>859</v>
      </c>
      <c r="C22" s="21" t="s">
        <v>538</v>
      </c>
      <c r="D22" s="20" t="s">
        <v>2</v>
      </c>
      <c r="E22" s="14" t="s">
        <v>0</v>
      </c>
      <c r="F22" s="127" t="s">
        <v>93</v>
      </c>
      <c r="G22" s="162">
        <v>0.1</v>
      </c>
      <c r="H22" s="101"/>
      <c r="I22" s="102"/>
      <c r="J22" s="102"/>
      <c r="K22"/>
      <c r="L22"/>
      <c r="M22"/>
    </row>
    <row r="23" spans="2:13" s="7" customFormat="1" ht="15" customHeight="1">
      <c r="B23" s="19" t="s">
        <v>859</v>
      </c>
      <c r="C23" s="21" t="s">
        <v>539</v>
      </c>
      <c r="D23" s="20" t="s">
        <v>2</v>
      </c>
      <c r="E23" s="14" t="s">
        <v>0</v>
      </c>
      <c r="F23" s="127" t="s">
        <v>94</v>
      </c>
      <c r="G23" s="162">
        <v>0.2</v>
      </c>
      <c r="H23" s="101"/>
      <c r="I23" s="102"/>
      <c r="J23" s="102"/>
      <c r="K23"/>
      <c r="L23"/>
      <c r="M23"/>
    </row>
    <row r="24" spans="2:13" s="7" customFormat="1" ht="15" customHeight="1">
      <c r="B24" s="25"/>
      <c r="C24" s="26"/>
      <c r="D24" s="26"/>
      <c r="E24" s="26"/>
      <c r="F24" s="128"/>
      <c r="G24" s="33"/>
      <c r="H24" s="33"/>
      <c r="I24" s="26"/>
      <c r="J24" s="62"/>
    </row>
  </sheetData>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0000000}">
          <x14:formula1>
            <xm:f>Hoja1!$B$93:$B$94</xm:f>
          </x14:formula1>
          <xm:sqref>G4</xm:sqref>
        </x14:dataValidation>
        <x14:dataValidation type="list" allowBlank="1" showInputMessage="1" showErrorMessage="1" xr:uid="{00000000-0002-0000-0400-000001000000}">
          <x14:formula1>
            <xm:f>Hoja1!$A$1:$A$249</xm:f>
          </x14:formula1>
          <xm:sqref>H11:J11 H21:J21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7">
    <tabColor rgb="FFFF99FF"/>
  </sheetPr>
  <dimension ref="A1:O92"/>
  <sheetViews>
    <sheetView topLeftCell="A70" zoomScale="85" zoomScaleNormal="85" workbookViewId="0">
      <selection activeCell="H86" sqref="H86"/>
    </sheetView>
  </sheetViews>
  <sheetFormatPr baseColWidth="10" defaultRowHeight="15"/>
  <cols>
    <col min="1" max="1" width="2.140625" customWidth="1"/>
    <col min="2" max="2" width="3.5703125" customWidth="1"/>
    <col min="3" max="3" width="4" customWidth="1"/>
    <col min="4" max="4" width="5" customWidth="1"/>
    <col min="5" max="5" width="1.7109375" customWidth="1"/>
    <col min="6" max="6" width="90.7109375" customWidth="1"/>
    <col min="8" max="9" width="12.28515625" customWidth="1"/>
    <col min="10" max="10" width="13.28515625" bestFit="1" customWidth="1"/>
  </cols>
  <sheetData>
    <row r="1" spans="1:14" ht="39.950000000000003" customHeight="1" thickBot="1">
      <c r="F1" s="40" t="s">
        <v>4</v>
      </c>
    </row>
    <row r="2" spans="1:14" ht="171" customHeight="1" thickBot="1">
      <c r="F2" s="28" t="s">
        <v>3</v>
      </c>
    </row>
    <row r="3" spans="1:14" s="7" customFormat="1" ht="15" customHeight="1" thickBot="1">
      <c r="A3" s="6"/>
      <c r="F3" s="57" t="s">
        <v>5</v>
      </c>
      <c r="G3" s="5"/>
      <c r="H3" s="5"/>
      <c r="I3" s="5"/>
      <c r="J3" s="5"/>
      <c r="K3" s="5"/>
    </row>
    <row r="4" spans="1:14" s="7" customFormat="1" ht="15" customHeight="1" thickBot="1">
      <c r="A4" s="6"/>
      <c r="F4" s="113" t="s">
        <v>445</v>
      </c>
      <c r="G4" s="114" t="s">
        <v>444</v>
      </c>
      <c r="H4" s="5"/>
      <c r="I4" s="5"/>
      <c r="J4" s="5"/>
      <c r="K4" s="5"/>
    </row>
    <row r="5" spans="1:14" s="9" customFormat="1" ht="117.95" customHeight="1">
      <c r="A5" s="8" t="s">
        <v>617</v>
      </c>
      <c r="B5" s="35"/>
      <c r="C5" s="36"/>
      <c r="D5" s="36"/>
      <c r="E5" s="37"/>
      <c r="F5" s="56" t="s">
        <v>99</v>
      </c>
      <c r="G5" s="86" t="s">
        <v>98</v>
      </c>
      <c r="H5" s="85" t="s">
        <v>12</v>
      </c>
      <c r="I5" s="85" t="s">
        <v>12</v>
      </c>
      <c r="J5" s="38" t="s">
        <v>97</v>
      </c>
      <c r="K5" s="38" t="s">
        <v>96</v>
      </c>
    </row>
    <row r="6" spans="1:14" s="7" customFormat="1" ht="68.25" hidden="1" customHeight="1">
      <c r="A6" s="29" t="s">
        <v>618</v>
      </c>
      <c r="B6" s="10"/>
      <c r="C6" s="11"/>
      <c r="D6" s="12" t="s">
        <v>628</v>
      </c>
      <c r="E6" s="30" t="s">
        <v>627</v>
      </c>
      <c r="F6" s="59"/>
      <c r="G6" s="34" t="s">
        <v>540</v>
      </c>
      <c r="H6" s="31" t="str">
        <f>SUBSTITUTE(CONCATENATE("IFRS12-InfoNegoConj_",TRIM(H5),"_",COLUMN(H6),"|",H5)," ","")</f>
        <v>IFRS12-InfoNegoConj_Agregarcolumnaopcional_8|Agregarcolumnaopcional</v>
      </c>
      <c r="I6" s="31" t="str">
        <f>SUBSTITUTE(CONCATENATE("IFRS12-InfoNegoConj_",TRIM(I5),"_",COLUMN(I6),"|",I5)," ","")</f>
        <v>IFRS12-InfoNegoConj_Agregarcolumnaopcional_9|Agregarcolumnaopcional</v>
      </c>
      <c r="J6" s="34" t="s">
        <v>541</v>
      </c>
      <c r="K6" s="60" t="s">
        <v>542</v>
      </c>
    </row>
    <row r="7" spans="1:14" s="7" customFormat="1" ht="11.25">
      <c r="B7" s="13"/>
      <c r="C7" s="14"/>
      <c r="D7" s="15" t="s">
        <v>0</v>
      </c>
      <c r="E7" s="16" t="s">
        <v>0</v>
      </c>
      <c r="F7" s="17"/>
      <c r="G7" s="18"/>
      <c r="H7" s="32"/>
      <c r="I7" s="32"/>
      <c r="J7" s="18"/>
      <c r="K7" s="61"/>
    </row>
    <row r="8" spans="1:14" s="7" customFormat="1" ht="13.5" customHeight="1">
      <c r="B8" s="19" t="s">
        <v>859</v>
      </c>
      <c r="C8" s="21" t="s">
        <v>543</v>
      </c>
      <c r="D8" s="20" t="s">
        <v>1</v>
      </c>
      <c r="E8" s="15"/>
      <c r="F8" s="21" t="s">
        <v>100</v>
      </c>
      <c r="G8" s="103"/>
      <c r="H8" s="154" t="s">
        <v>860</v>
      </c>
      <c r="I8" s="87"/>
      <c r="J8" s="89"/>
      <c r="K8" s="89"/>
    </row>
    <row r="9" spans="1:14" s="7" customFormat="1" ht="15" customHeight="1">
      <c r="B9" s="19" t="s">
        <v>859</v>
      </c>
      <c r="C9" s="21" t="s">
        <v>544</v>
      </c>
      <c r="D9" s="20" t="s">
        <v>1</v>
      </c>
      <c r="E9" s="15"/>
      <c r="F9" s="21" t="s">
        <v>101</v>
      </c>
      <c r="G9" s="103"/>
      <c r="H9" s="154" t="s">
        <v>861</v>
      </c>
      <c r="I9" s="87"/>
      <c r="J9" s="89"/>
      <c r="K9" s="89"/>
      <c r="L9"/>
      <c r="M9"/>
      <c r="N9"/>
    </row>
    <row r="10" spans="1:14" s="7" customFormat="1" ht="15" customHeight="1">
      <c r="B10" s="19" t="s">
        <v>859</v>
      </c>
      <c r="C10" s="21" t="s">
        <v>545</v>
      </c>
      <c r="D10" s="20" t="s">
        <v>1</v>
      </c>
      <c r="E10" s="15"/>
      <c r="F10" s="21" t="s">
        <v>102</v>
      </c>
      <c r="G10" s="103"/>
      <c r="H10" s="154" t="s">
        <v>862</v>
      </c>
      <c r="I10" s="87"/>
      <c r="J10" s="89"/>
      <c r="K10" s="89"/>
      <c r="L10"/>
      <c r="M10"/>
      <c r="N10"/>
    </row>
    <row r="11" spans="1:14" s="7" customFormat="1" ht="15" customHeight="1">
      <c r="B11" s="19" t="s">
        <v>859</v>
      </c>
      <c r="C11" s="21" t="s">
        <v>661</v>
      </c>
      <c r="D11" s="20" t="s">
        <v>1</v>
      </c>
      <c r="E11" s="15"/>
      <c r="F11" s="21" t="s">
        <v>656</v>
      </c>
      <c r="G11" s="149"/>
      <c r="H11" s="149" t="s">
        <v>236</v>
      </c>
      <c r="I11" s="135"/>
      <c r="J11" s="89"/>
      <c r="K11" s="89"/>
      <c r="L11"/>
      <c r="M11"/>
      <c r="N11"/>
    </row>
    <row r="12" spans="1:14" s="7" customFormat="1" ht="15" customHeight="1">
      <c r="B12" s="19" t="s">
        <v>859</v>
      </c>
      <c r="C12" s="21" t="s">
        <v>546</v>
      </c>
      <c r="D12" s="20" t="s">
        <v>1</v>
      </c>
      <c r="E12" s="15" t="s">
        <v>0</v>
      </c>
      <c r="F12" s="21" t="s">
        <v>103</v>
      </c>
      <c r="G12" s="124"/>
      <c r="H12" s="162">
        <v>0.1</v>
      </c>
      <c r="I12" s="101"/>
      <c r="J12" s="102"/>
      <c r="K12" s="102"/>
      <c r="L12"/>
      <c r="M12"/>
      <c r="N12"/>
    </row>
    <row r="13" spans="1:14" s="7" customFormat="1" ht="15" customHeight="1">
      <c r="B13" s="19" t="s">
        <v>859</v>
      </c>
      <c r="C13" s="21" t="s">
        <v>547</v>
      </c>
      <c r="D13" s="20" t="s">
        <v>1</v>
      </c>
      <c r="E13" s="15" t="s">
        <v>0</v>
      </c>
      <c r="F13" s="21" t="s">
        <v>104</v>
      </c>
      <c r="G13" s="124"/>
      <c r="H13" s="162">
        <v>0.2</v>
      </c>
      <c r="I13" s="101"/>
      <c r="J13" s="102"/>
      <c r="K13" s="102"/>
      <c r="L13"/>
      <c r="M13"/>
      <c r="N13"/>
    </row>
    <row r="14" spans="1:14" s="7" customFormat="1" ht="22.5">
      <c r="B14" s="81" t="s">
        <v>859</v>
      </c>
      <c r="C14" s="79" t="s">
        <v>548</v>
      </c>
      <c r="D14" s="82" t="s">
        <v>1</v>
      </c>
      <c r="E14" s="83"/>
      <c r="F14" s="80" t="s">
        <v>105</v>
      </c>
      <c r="G14" s="103"/>
      <c r="H14" s="154" t="s">
        <v>862</v>
      </c>
      <c r="I14" s="87"/>
      <c r="J14" s="89"/>
      <c r="K14" s="89"/>
      <c r="L14"/>
      <c r="M14"/>
      <c r="N14"/>
    </row>
    <row r="15" spans="1:14" s="7" customFormat="1" ht="15" customHeight="1">
      <c r="B15" s="19" t="s">
        <v>859</v>
      </c>
      <c r="C15" s="21" t="s">
        <v>549</v>
      </c>
      <c r="D15" s="20" t="s">
        <v>1</v>
      </c>
      <c r="E15" s="15"/>
      <c r="F15" s="21" t="s">
        <v>106</v>
      </c>
      <c r="G15" s="103"/>
      <c r="H15" s="154" t="s">
        <v>863</v>
      </c>
      <c r="I15" s="87"/>
      <c r="J15" s="89"/>
      <c r="K15" s="89"/>
      <c r="L15"/>
      <c r="M15"/>
      <c r="N15"/>
    </row>
    <row r="16" spans="1:14" s="7" customFormat="1" ht="15" customHeight="1">
      <c r="B16" s="19" t="s">
        <v>859</v>
      </c>
      <c r="C16" s="63" t="s">
        <v>519</v>
      </c>
      <c r="D16" s="20" t="s">
        <v>1</v>
      </c>
      <c r="E16" s="14" t="s">
        <v>0</v>
      </c>
      <c r="F16" s="21" t="s">
        <v>68</v>
      </c>
      <c r="G16" s="103"/>
      <c r="H16" s="159">
        <v>1000</v>
      </c>
      <c r="I16" s="98"/>
      <c r="J16" s="115">
        <f>SUM(G16:I16)</f>
        <v>1000</v>
      </c>
      <c r="K16" s="100"/>
      <c r="L16"/>
      <c r="M16"/>
      <c r="N16"/>
    </row>
    <row r="17" spans="2:14" s="7" customFormat="1" ht="15" customHeight="1">
      <c r="B17" s="19" t="s">
        <v>859</v>
      </c>
      <c r="C17" s="63" t="s">
        <v>598</v>
      </c>
      <c r="D17" s="20" t="s">
        <v>1</v>
      </c>
      <c r="E17" s="14" t="s">
        <v>0</v>
      </c>
      <c r="F17" s="21" t="s">
        <v>16</v>
      </c>
      <c r="G17" s="103"/>
      <c r="H17" s="159">
        <v>2000</v>
      </c>
      <c r="I17" s="98"/>
      <c r="J17" s="115">
        <f t="shared" ref="J17:J38" si="0">SUM(G17:I17)</f>
        <v>2000</v>
      </c>
      <c r="K17" s="100"/>
      <c r="L17"/>
      <c r="M17"/>
      <c r="N17"/>
    </row>
    <row r="18" spans="2:14" s="7" customFormat="1" ht="15" customHeight="1">
      <c r="B18" s="19" t="s">
        <v>859</v>
      </c>
      <c r="C18" s="63" t="s">
        <v>599</v>
      </c>
      <c r="D18" s="20" t="s">
        <v>1</v>
      </c>
      <c r="E18" s="14" t="s">
        <v>0</v>
      </c>
      <c r="F18" s="21" t="s">
        <v>17</v>
      </c>
      <c r="G18" s="103"/>
      <c r="H18" s="159">
        <v>3000</v>
      </c>
      <c r="I18" s="98"/>
      <c r="J18" s="115">
        <f t="shared" si="0"/>
        <v>3000</v>
      </c>
      <c r="K18" s="100"/>
      <c r="L18"/>
      <c r="M18"/>
      <c r="N18"/>
    </row>
    <row r="19" spans="2:14" s="7" customFormat="1" ht="15" customHeight="1">
      <c r="B19" s="19" t="s">
        <v>859</v>
      </c>
      <c r="C19" s="63" t="s">
        <v>600</v>
      </c>
      <c r="D19" s="20" t="s">
        <v>1</v>
      </c>
      <c r="E19" s="14" t="s">
        <v>0</v>
      </c>
      <c r="F19" s="21" t="s">
        <v>18</v>
      </c>
      <c r="G19" s="103"/>
      <c r="H19" s="159">
        <v>4000</v>
      </c>
      <c r="I19" s="98"/>
      <c r="J19" s="115">
        <f t="shared" si="0"/>
        <v>4000</v>
      </c>
      <c r="K19" s="100"/>
      <c r="L19"/>
      <c r="M19"/>
      <c r="N19"/>
    </row>
    <row r="20" spans="2:14" s="7" customFormat="1" ht="15" customHeight="1">
      <c r="B20" s="19" t="s">
        <v>859</v>
      </c>
      <c r="C20" s="63" t="s">
        <v>601</v>
      </c>
      <c r="D20" s="20" t="s">
        <v>1</v>
      </c>
      <c r="E20" s="14" t="s">
        <v>0</v>
      </c>
      <c r="F20" s="21" t="s">
        <v>19</v>
      </c>
      <c r="G20" s="103"/>
      <c r="H20" s="159">
        <v>5000</v>
      </c>
      <c r="I20" s="98"/>
      <c r="J20" s="115">
        <f t="shared" si="0"/>
        <v>5000</v>
      </c>
      <c r="K20" s="100"/>
      <c r="L20"/>
      <c r="M20"/>
      <c r="N20"/>
    </row>
    <row r="21" spans="2:14" s="7" customFormat="1" ht="15" customHeight="1">
      <c r="B21" s="19" t="s">
        <v>859</v>
      </c>
      <c r="C21" s="63" t="s">
        <v>602</v>
      </c>
      <c r="D21" s="20" t="s">
        <v>1</v>
      </c>
      <c r="E21" s="14" t="s">
        <v>0</v>
      </c>
      <c r="F21" s="21" t="s">
        <v>20</v>
      </c>
      <c r="G21" s="103"/>
      <c r="H21" s="159">
        <v>6000</v>
      </c>
      <c r="I21" s="98"/>
      <c r="J21" s="115">
        <f t="shared" si="0"/>
        <v>6000</v>
      </c>
      <c r="K21" s="100"/>
      <c r="L21"/>
      <c r="M21"/>
      <c r="N21"/>
    </row>
    <row r="22" spans="2:14" s="7" customFormat="1" ht="15" customHeight="1">
      <c r="B22" s="19" t="s">
        <v>859</v>
      </c>
      <c r="C22" s="63" t="s">
        <v>605</v>
      </c>
      <c r="D22" s="20" t="s">
        <v>1</v>
      </c>
      <c r="E22" s="14" t="s">
        <v>0</v>
      </c>
      <c r="F22" s="21" t="s">
        <v>69</v>
      </c>
      <c r="G22" s="103"/>
      <c r="H22" s="159">
        <v>7000</v>
      </c>
      <c r="I22" s="98"/>
      <c r="J22" s="115">
        <f t="shared" si="0"/>
        <v>7000</v>
      </c>
      <c r="K22" s="100"/>
      <c r="L22"/>
      <c r="M22"/>
      <c r="N22"/>
    </row>
    <row r="23" spans="2:14" s="7" customFormat="1" ht="15" customHeight="1">
      <c r="B23" s="19" t="s">
        <v>859</v>
      </c>
      <c r="C23" s="63" t="s">
        <v>606</v>
      </c>
      <c r="D23" s="20" t="s">
        <v>1</v>
      </c>
      <c r="E23" s="14" t="s">
        <v>0</v>
      </c>
      <c r="F23" s="21" t="s">
        <v>70</v>
      </c>
      <c r="G23" s="103"/>
      <c r="H23" s="159">
        <v>8000</v>
      </c>
      <c r="I23" s="98"/>
      <c r="J23" s="115">
        <f t="shared" si="0"/>
        <v>8000</v>
      </c>
      <c r="K23" s="100"/>
      <c r="L23"/>
      <c r="M23"/>
      <c r="N23"/>
    </row>
    <row r="24" spans="2:14" s="7" customFormat="1" ht="15" customHeight="1">
      <c r="B24" s="19" t="s">
        <v>859</v>
      </c>
      <c r="C24" s="63" t="s">
        <v>607</v>
      </c>
      <c r="D24" s="20" t="s">
        <v>1</v>
      </c>
      <c r="E24" s="14" t="s">
        <v>0</v>
      </c>
      <c r="F24" s="21" t="s">
        <v>71</v>
      </c>
      <c r="G24" s="103"/>
      <c r="H24" s="159">
        <v>9000</v>
      </c>
      <c r="I24" s="98"/>
      <c r="J24" s="115">
        <f t="shared" si="0"/>
        <v>9000</v>
      </c>
      <c r="K24" s="100"/>
      <c r="L24"/>
      <c r="M24"/>
      <c r="N24"/>
    </row>
    <row r="25" spans="2:14" s="7" customFormat="1" ht="15" customHeight="1">
      <c r="B25" s="19" t="s">
        <v>859</v>
      </c>
      <c r="C25" s="63" t="s">
        <v>604</v>
      </c>
      <c r="D25" s="20" t="s">
        <v>1</v>
      </c>
      <c r="E25" s="14" t="s">
        <v>0</v>
      </c>
      <c r="F25" s="21" t="s">
        <v>21</v>
      </c>
      <c r="G25" s="103"/>
      <c r="H25" s="159">
        <v>1000</v>
      </c>
      <c r="I25" s="98"/>
      <c r="J25" s="115">
        <f t="shared" si="0"/>
        <v>1000</v>
      </c>
      <c r="K25" s="100"/>
      <c r="L25"/>
      <c r="M25"/>
      <c r="N25"/>
    </row>
    <row r="26" spans="2:14" s="7" customFormat="1" ht="15" customHeight="1">
      <c r="B26" s="19" t="s">
        <v>859</v>
      </c>
      <c r="C26" s="63" t="s">
        <v>609</v>
      </c>
      <c r="D26" s="20" t="s">
        <v>1</v>
      </c>
      <c r="E26" s="14" t="s">
        <v>0</v>
      </c>
      <c r="F26" s="21" t="s">
        <v>107</v>
      </c>
      <c r="G26" s="103"/>
      <c r="H26" s="159">
        <v>2000</v>
      </c>
      <c r="I26" s="98"/>
      <c r="J26" s="115">
        <f t="shared" si="0"/>
        <v>2000</v>
      </c>
      <c r="K26" s="100"/>
      <c r="L26"/>
      <c r="M26"/>
      <c r="N26"/>
    </row>
    <row r="27" spans="2:14" s="7" customFormat="1" ht="15" customHeight="1">
      <c r="B27" s="19" t="s">
        <v>859</v>
      </c>
      <c r="C27" s="63" t="s">
        <v>610</v>
      </c>
      <c r="D27" s="20" t="s">
        <v>1</v>
      </c>
      <c r="E27" s="14" t="s">
        <v>0</v>
      </c>
      <c r="F27" s="21" t="s">
        <v>108</v>
      </c>
      <c r="G27" s="103"/>
      <c r="H27" s="159">
        <v>3000</v>
      </c>
      <c r="I27" s="98"/>
      <c r="J27" s="115">
        <f t="shared" si="0"/>
        <v>3000</v>
      </c>
      <c r="K27" s="100"/>
      <c r="L27"/>
      <c r="M27"/>
      <c r="N27"/>
    </row>
    <row r="28" spans="2:14" s="7" customFormat="1" ht="15" customHeight="1">
      <c r="B28" s="19" t="s">
        <v>859</v>
      </c>
      <c r="C28" s="63" t="s">
        <v>611</v>
      </c>
      <c r="D28" s="20" t="s">
        <v>1</v>
      </c>
      <c r="E28" s="14" t="s">
        <v>0</v>
      </c>
      <c r="F28" s="21" t="s">
        <v>109</v>
      </c>
      <c r="G28" s="103"/>
      <c r="H28" s="159">
        <v>4000</v>
      </c>
      <c r="I28" s="98"/>
      <c r="J28" s="115">
        <f t="shared" si="0"/>
        <v>4000</v>
      </c>
      <c r="K28" s="100"/>
      <c r="L28"/>
      <c r="M28"/>
      <c r="N28"/>
    </row>
    <row r="29" spans="2:14" s="7" customFormat="1" ht="15" customHeight="1">
      <c r="B29" s="19" t="s">
        <v>859</v>
      </c>
      <c r="C29" s="63" t="s">
        <v>612</v>
      </c>
      <c r="D29" s="20" t="s">
        <v>1</v>
      </c>
      <c r="E29" s="14" t="s">
        <v>0</v>
      </c>
      <c r="F29" s="21" t="s">
        <v>110</v>
      </c>
      <c r="G29" s="103"/>
      <c r="H29" s="159">
        <v>5000</v>
      </c>
      <c r="I29" s="98"/>
      <c r="J29" s="115">
        <f t="shared" si="0"/>
        <v>5000</v>
      </c>
      <c r="K29" s="100"/>
      <c r="L29"/>
      <c r="M29"/>
      <c r="N29"/>
    </row>
    <row r="30" spans="2:14" s="7" customFormat="1" ht="15" customHeight="1">
      <c r="B30" s="19" t="s">
        <v>859</v>
      </c>
      <c r="C30" s="63" t="s">
        <v>613</v>
      </c>
      <c r="D30" s="20" t="s">
        <v>1</v>
      </c>
      <c r="E30" s="14" t="s">
        <v>0</v>
      </c>
      <c r="F30" s="21" t="s">
        <v>111</v>
      </c>
      <c r="G30" s="103"/>
      <c r="H30" s="159">
        <v>6000</v>
      </c>
      <c r="I30" s="98"/>
      <c r="J30" s="115">
        <f t="shared" si="0"/>
        <v>6000</v>
      </c>
      <c r="K30" s="100"/>
      <c r="L30"/>
      <c r="M30"/>
      <c r="N30"/>
    </row>
    <row r="31" spans="2:14" s="7" customFormat="1" ht="15" customHeight="1">
      <c r="B31" s="19" t="s">
        <v>859</v>
      </c>
      <c r="C31" s="63" t="s">
        <v>614</v>
      </c>
      <c r="D31" s="20" t="s">
        <v>1</v>
      </c>
      <c r="E31" s="14" t="s">
        <v>0</v>
      </c>
      <c r="F31" s="21" t="s">
        <v>112</v>
      </c>
      <c r="G31" s="103"/>
      <c r="H31" s="159">
        <v>7000</v>
      </c>
      <c r="I31" s="98"/>
      <c r="J31" s="115">
        <f t="shared" si="0"/>
        <v>7000</v>
      </c>
      <c r="K31" s="100"/>
      <c r="L31"/>
      <c r="M31"/>
      <c r="N31"/>
    </row>
    <row r="32" spans="2:14" s="7" customFormat="1" ht="12" customHeight="1">
      <c r="B32" s="19" t="s">
        <v>859</v>
      </c>
      <c r="C32" s="63" t="s">
        <v>615</v>
      </c>
      <c r="D32" s="20" t="s">
        <v>1</v>
      </c>
      <c r="E32" s="14" t="s">
        <v>0</v>
      </c>
      <c r="F32" s="21" t="s">
        <v>113</v>
      </c>
      <c r="G32" s="103"/>
      <c r="H32" s="159">
        <v>8000</v>
      </c>
      <c r="I32" s="98"/>
      <c r="J32" s="115">
        <f t="shared" si="0"/>
        <v>8000</v>
      </c>
      <c r="K32" s="100"/>
      <c r="L32"/>
      <c r="M32"/>
      <c r="N32"/>
    </row>
    <row r="33" spans="2:14" s="7" customFormat="1" ht="22.5">
      <c r="B33" s="81" t="s">
        <v>859</v>
      </c>
      <c r="C33" s="79" t="s">
        <v>550</v>
      </c>
      <c r="D33" s="82" t="s">
        <v>1</v>
      </c>
      <c r="E33" s="83" t="s">
        <v>0</v>
      </c>
      <c r="F33" s="80" t="s">
        <v>114</v>
      </c>
      <c r="G33" s="103"/>
      <c r="H33" s="159">
        <v>9000</v>
      </c>
      <c r="I33" s="98"/>
      <c r="J33" s="115">
        <f t="shared" si="0"/>
        <v>9000</v>
      </c>
      <c r="K33" s="100"/>
      <c r="L33"/>
      <c r="M33"/>
      <c r="N33"/>
    </row>
    <row r="34" spans="2:14" s="7" customFormat="1" ht="15" customHeight="1">
      <c r="B34" s="81" t="s">
        <v>859</v>
      </c>
      <c r="C34" s="79" t="s">
        <v>608</v>
      </c>
      <c r="D34" s="82" t="s">
        <v>1</v>
      </c>
      <c r="E34" s="83" t="s">
        <v>0</v>
      </c>
      <c r="F34" s="80" t="s">
        <v>73</v>
      </c>
      <c r="G34" s="103"/>
      <c r="H34" s="159">
        <v>1000</v>
      </c>
      <c r="I34" s="98"/>
      <c r="J34" s="115">
        <f t="shared" si="0"/>
        <v>1000</v>
      </c>
      <c r="K34" s="100"/>
      <c r="L34"/>
      <c r="M34"/>
      <c r="N34"/>
    </row>
    <row r="35" spans="2:14" s="7" customFormat="1" ht="22.5">
      <c r="B35" s="81" t="s">
        <v>859</v>
      </c>
      <c r="C35" s="79" t="s">
        <v>521</v>
      </c>
      <c r="D35" s="82" t="s">
        <v>1</v>
      </c>
      <c r="E35" s="83" t="s">
        <v>0</v>
      </c>
      <c r="F35" s="80" t="s">
        <v>74</v>
      </c>
      <c r="G35" s="103"/>
      <c r="H35" s="159">
        <v>2000</v>
      </c>
      <c r="I35" s="98"/>
      <c r="J35" s="115">
        <f t="shared" si="0"/>
        <v>2000</v>
      </c>
      <c r="K35" s="100"/>
      <c r="L35"/>
      <c r="M35"/>
      <c r="N35"/>
    </row>
    <row r="36" spans="2:14" s="7" customFormat="1" ht="22.5">
      <c r="B36" s="81" t="s">
        <v>859</v>
      </c>
      <c r="C36" s="79" t="s">
        <v>522</v>
      </c>
      <c r="D36" s="82" t="s">
        <v>1</v>
      </c>
      <c r="E36" s="83" t="s">
        <v>0</v>
      </c>
      <c r="F36" s="80" t="s">
        <v>75</v>
      </c>
      <c r="G36" s="103"/>
      <c r="H36" s="159">
        <v>3000</v>
      </c>
      <c r="I36" s="98"/>
      <c r="J36" s="115">
        <f t="shared" si="0"/>
        <v>3000</v>
      </c>
      <c r="K36" s="100"/>
      <c r="L36"/>
      <c r="M36"/>
      <c r="N36"/>
    </row>
    <row r="37" spans="2:14" s="7" customFormat="1" ht="22.5">
      <c r="B37" s="81" t="s">
        <v>859</v>
      </c>
      <c r="C37" s="79" t="s">
        <v>523</v>
      </c>
      <c r="D37" s="82" t="s">
        <v>1</v>
      </c>
      <c r="E37" s="83" t="s">
        <v>0</v>
      </c>
      <c r="F37" s="80" t="s">
        <v>76</v>
      </c>
      <c r="G37" s="103"/>
      <c r="H37" s="159">
        <v>4000</v>
      </c>
      <c r="I37" s="98"/>
      <c r="J37" s="115">
        <f t="shared" si="0"/>
        <v>4000</v>
      </c>
      <c r="K37" s="100"/>
      <c r="L37"/>
      <c r="M37"/>
      <c r="N37"/>
    </row>
    <row r="38" spans="2:14" s="7" customFormat="1" ht="22.5">
      <c r="B38" s="81" t="s">
        <v>859</v>
      </c>
      <c r="C38" s="79" t="s">
        <v>524</v>
      </c>
      <c r="D38" s="82" t="s">
        <v>1</v>
      </c>
      <c r="E38" s="83" t="s">
        <v>0</v>
      </c>
      <c r="F38" s="80" t="s">
        <v>77</v>
      </c>
      <c r="G38" s="103"/>
      <c r="H38" s="159">
        <v>5000</v>
      </c>
      <c r="I38" s="98"/>
      <c r="J38" s="115">
        <f t="shared" si="0"/>
        <v>5000</v>
      </c>
      <c r="K38" s="100"/>
      <c r="L38"/>
      <c r="M38"/>
      <c r="N38"/>
    </row>
    <row r="39" spans="2:14" s="7" customFormat="1" ht="33.75">
      <c r="B39" s="81" t="s">
        <v>859</v>
      </c>
      <c r="C39" s="79" t="s">
        <v>551</v>
      </c>
      <c r="D39" s="82" t="s">
        <v>1</v>
      </c>
      <c r="E39" s="83"/>
      <c r="F39" s="80" t="s">
        <v>115</v>
      </c>
      <c r="G39" s="103"/>
      <c r="H39" s="154">
        <v>6000</v>
      </c>
      <c r="I39" s="87"/>
      <c r="J39" s="89"/>
      <c r="K39" s="89"/>
      <c r="L39"/>
      <c r="M39"/>
      <c r="N39"/>
    </row>
    <row r="40" spans="2:14" s="7" customFormat="1" ht="22.5">
      <c r="B40" s="81" t="s">
        <v>859</v>
      </c>
      <c r="C40" s="79" t="s">
        <v>526</v>
      </c>
      <c r="D40" s="82" t="s">
        <v>1</v>
      </c>
      <c r="E40" s="83"/>
      <c r="F40" s="80" t="s">
        <v>79</v>
      </c>
      <c r="G40" s="103"/>
      <c r="H40" s="154" t="s">
        <v>864</v>
      </c>
      <c r="I40" s="87"/>
      <c r="J40" s="89"/>
      <c r="K40" s="89"/>
      <c r="L40"/>
      <c r="M40"/>
      <c r="N40"/>
    </row>
    <row r="41" spans="2:14" s="7" customFormat="1" ht="22.5">
      <c r="B41" s="81" t="s">
        <v>859</v>
      </c>
      <c r="C41" s="79" t="s">
        <v>616</v>
      </c>
      <c r="D41" s="82" t="s">
        <v>1</v>
      </c>
      <c r="E41" s="83" t="s">
        <v>0</v>
      </c>
      <c r="F41" s="80" t="s">
        <v>116</v>
      </c>
      <c r="G41" s="108"/>
      <c r="H41" s="163">
        <v>44607</v>
      </c>
      <c r="I41" s="108"/>
      <c r="J41" s="112"/>
      <c r="K41" s="109"/>
      <c r="L41"/>
      <c r="M41"/>
      <c r="N41"/>
    </row>
    <row r="42" spans="2:14" s="7" customFormat="1" ht="22.5">
      <c r="B42" s="81" t="s">
        <v>859</v>
      </c>
      <c r="C42" s="79" t="s">
        <v>552</v>
      </c>
      <c r="D42" s="82" t="s">
        <v>1</v>
      </c>
      <c r="E42" s="83"/>
      <c r="F42" s="80" t="s">
        <v>117</v>
      </c>
      <c r="G42" s="103"/>
      <c r="H42" s="154" t="s">
        <v>865</v>
      </c>
      <c r="I42" s="87"/>
      <c r="J42" s="89"/>
      <c r="K42" s="89"/>
      <c r="L42"/>
      <c r="M42"/>
      <c r="N42"/>
    </row>
    <row r="43" spans="2:14" s="7" customFormat="1" ht="15" customHeight="1">
      <c r="B43" s="81" t="s">
        <v>859</v>
      </c>
      <c r="C43" s="79" t="s">
        <v>553</v>
      </c>
      <c r="D43" s="82" t="s">
        <v>1</v>
      </c>
      <c r="E43" s="83" t="s">
        <v>0</v>
      </c>
      <c r="F43" s="80" t="s">
        <v>118</v>
      </c>
      <c r="G43" s="103"/>
      <c r="H43" s="159">
        <v>7000</v>
      </c>
      <c r="I43" s="98"/>
      <c r="J43" s="115">
        <f t="shared" ref="J43:J47" si="1">SUM(G43:I43)</f>
        <v>7000</v>
      </c>
      <c r="K43" s="100"/>
      <c r="L43"/>
      <c r="M43"/>
      <c r="N43"/>
    </row>
    <row r="44" spans="2:14" s="7" customFormat="1" ht="15" customHeight="1">
      <c r="B44" s="81" t="s">
        <v>859</v>
      </c>
      <c r="C44" s="79" t="s">
        <v>554</v>
      </c>
      <c r="D44" s="82" t="s">
        <v>1</v>
      </c>
      <c r="E44" s="83" t="s">
        <v>0</v>
      </c>
      <c r="F44" s="80" t="s">
        <v>119</v>
      </c>
      <c r="G44" s="103"/>
      <c r="H44" s="159">
        <v>8000</v>
      </c>
      <c r="I44" s="98"/>
      <c r="J44" s="115">
        <f t="shared" si="1"/>
        <v>8000</v>
      </c>
      <c r="K44" s="100"/>
      <c r="L44"/>
      <c r="M44"/>
      <c r="N44"/>
    </row>
    <row r="45" spans="2:14" s="7" customFormat="1">
      <c r="B45" s="81" t="s">
        <v>859</v>
      </c>
      <c r="C45" s="79" t="s">
        <v>555</v>
      </c>
      <c r="D45" s="82" t="s">
        <v>1</v>
      </c>
      <c r="E45" s="83" t="s">
        <v>0</v>
      </c>
      <c r="F45" s="80" t="s">
        <v>120</v>
      </c>
      <c r="G45" s="103"/>
      <c r="H45" s="159">
        <v>9000</v>
      </c>
      <c r="I45" s="98"/>
      <c r="J45" s="115">
        <f t="shared" si="1"/>
        <v>9000</v>
      </c>
      <c r="K45" s="100"/>
      <c r="L45"/>
      <c r="M45"/>
      <c r="N45"/>
    </row>
    <row r="46" spans="2:14" s="7" customFormat="1" ht="22.5">
      <c r="B46" s="81" t="s">
        <v>859</v>
      </c>
      <c r="C46" s="79" t="s">
        <v>556</v>
      </c>
      <c r="D46" s="82" t="s">
        <v>1</v>
      </c>
      <c r="E46" s="83" t="s">
        <v>0</v>
      </c>
      <c r="F46" s="80" t="s">
        <v>121</v>
      </c>
      <c r="G46" s="103"/>
      <c r="H46" s="159">
        <v>1000</v>
      </c>
      <c r="I46" s="98"/>
      <c r="J46" s="115">
        <f t="shared" si="1"/>
        <v>1000</v>
      </c>
      <c r="K46" s="100"/>
      <c r="L46"/>
      <c r="M46"/>
      <c r="N46"/>
    </row>
    <row r="47" spans="2:14" s="7" customFormat="1" ht="22.5">
      <c r="B47" s="81" t="s">
        <v>859</v>
      </c>
      <c r="C47" s="79" t="s">
        <v>557</v>
      </c>
      <c r="D47" s="82" t="s">
        <v>1</v>
      </c>
      <c r="E47" s="83" t="s">
        <v>0</v>
      </c>
      <c r="F47" s="80" t="s">
        <v>647</v>
      </c>
      <c r="G47" s="103"/>
      <c r="H47" s="159">
        <v>2000</v>
      </c>
      <c r="I47" s="98"/>
      <c r="J47" s="115">
        <f t="shared" si="1"/>
        <v>2000</v>
      </c>
      <c r="K47" s="100"/>
      <c r="L47"/>
      <c r="M47"/>
      <c r="N47"/>
    </row>
    <row r="48" spans="2:14" s="7" customFormat="1" ht="15" customHeight="1">
      <c r="B48" s="25"/>
      <c r="C48" s="26"/>
      <c r="D48" s="26"/>
      <c r="E48" s="26"/>
      <c r="F48" s="26"/>
      <c r="G48" s="26"/>
      <c r="H48" s="33"/>
      <c r="I48" s="33"/>
      <c r="J48" s="26"/>
      <c r="K48" s="62"/>
    </row>
    <row r="49" spans="1:15">
      <c r="O49" s="7"/>
    </row>
    <row r="50" spans="1:15" s="9" customFormat="1" ht="117.95" customHeight="1">
      <c r="A50" s="8"/>
      <c r="B50" s="35"/>
      <c r="C50" s="36"/>
      <c r="D50" s="36"/>
      <c r="E50" s="37"/>
      <c r="F50" s="56" t="s">
        <v>99</v>
      </c>
      <c r="G50" s="90" t="s">
        <v>98</v>
      </c>
      <c r="H50" s="66" t="str">
        <f>IF(H5="Agregar columna opcional","",H5)</f>
        <v/>
      </c>
      <c r="I50" s="66" t="str">
        <f>IF(I5="Agregar columna opcional","",I5)</f>
        <v/>
      </c>
      <c r="J50" s="38" t="s">
        <v>97</v>
      </c>
      <c r="K50" s="38" t="s">
        <v>96</v>
      </c>
    </row>
    <row r="51" spans="1:15" s="7" customFormat="1" ht="11.25">
      <c r="B51" s="13"/>
      <c r="C51" s="14"/>
      <c r="D51" s="15" t="s">
        <v>0</v>
      </c>
      <c r="E51" s="16" t="s">
        <v>0</v>
      </c>
      <c r="F51" s="17"/>
      <c r="G51" s="18"/>
      <c r="H51" s="32"/>
      <c r="I51" s="32"/>
      <c r="J51" s="18"/>
      <c r="K51" s="61"/>
    </row>
    <row r="52" spans="1:15" s="7" customFormat="1" ht="13.5" customHeight="1">
      <c r="B52" s="19" t="s">
        <v>859</v>
      </c>
      <c r="C52" s="21" t="s">
        <v>543</v>
      </c>
      <c r="D52" s="20" t="s">
        <v>2</v>
      </c>
      <c r="E52" s="15"/>
      <c r="F52" s="21" t="s">
        <v>100</v>
      </c>
      <c r="G52" s="103"/>
      <c r="H52" s="154" t="s">
        <v>860</v>
      </c>
      <c r="I52" s="87"/>
      <c r="J52" s="89"/>
      <c r="K52" s="89"/>
    </row>
    <row r="53" spans="1:15" s="7" customFormat="1" ht="15" customHeight="1">
      <c r="B53" s="19" t="s">
        <v>859</v>
      </c>
      <c r="C53" s="21" t="s">
        <v>544</v>
      </c>
      <c r="D53" s="20" t="s">
        <v>2</v>
      </c>
      <c r="E53" s="15"/>
      <c r="F53" s="21" t="s">
        <v>101</v>
      </c>
      <c r="G53" s="103"/>
      <c r="H53" s="154" t="s">
        <v>861</v>
      </c>
      <c r="I53" s="87"/>
      <c r="J53" s="89"/>
      <c r="K53" s="89"/>
      <c r="L53"/>
      <c r="M53"/>
      <c r="N53"/>
    </row>
    <row r="54" spans="1:15" s="7" customFormat="1" ht="15" customHeight="1">
      <c r="B54" s="19" t="s">
        <v>859</v>
      </c>
      <c r="C54" s="21" t="s">
        <v>545</v>
      </c>
      <c r="D54" s="20" t="s">
        <v>2</v>
      </c>
      <c r="E54" s="15"/>
      <c r="F54" s="21" t="s">
        <v>102</v>
      </c>
      <c r="G54" s="103"/>
      <c r="H54" s="154" t="s">
        <v>862</v>
      </c>
      <c r="I54" s="87"/>
      <c r="J54" s="89"/>
      <c r="K54" s="89"/>
      <c r="L54"/>
      <c r="M54"/>
      <c r="N54"/>
    </row>
    <row r="55" spans="1:15" s="7" customFormat="1" ht="15" customHeight="1">
      <c r="B55" s="19" t="s">
        <v>859</v>
      </c>
      <c r="C55" s="21" t="s">
        <v>661</v>
      </c>
      <c r="D55" s="20" t="s">
        <v>2</v>
      </c>
      <c r="E55" s="15"/>
      <c r="F55" s="21" t="s">
        <v>656</v>
      </c>
      <c r="G55" s="149"/>
      <c r="H55" s="135" t="s">
        <v>236</v>
      </c>
      <c r="I55" s="135"/>
      <c r="J55" s="89"/>
      <c r="K55" s="89"/>
      <c r="L55"/>
      <c r="M55"/>
      <c r="N55"/>
    </row>
    <row r="56" spans="1:15" s="7" customFormat="1" ht="15" customHeight="1">
      <c r="B56" s="19" t="s">
        <v>859</v>
      </c>
      <c r="C56" s="21" t="s">
        <v>546</v>
      </c>
      <c r="D56" s="20" t="s">
        <v>2</v>
      </c>
      <c r="E56" s="15" t="s">
        <v>0</v>
      </c>
      <c r="F56" s="21" t="s">
        <v>103</v>
      </c>
      <c r="G56" s="124"/>
      <c r="H56" s="162">
        <v>0.1</v>
      </c>
      <c r="I56" s="101"/>
      <c r="J56" s="102"/>
      <c r="K56" s="102"/>
      <c r="L56"/>
      <c r="M56"/>
      <c r="N56"/>
    </row>
    <row r="57" spans="1:15" s="7" customFormat="1" ht="15" customHeight="1">
      <c r="B57" s="19" t="s">
        <v>859</v>
      </c>
      <c r="C57" s="21" t="s">
        <v>547</v>
      </c>
      <c r="D57" s="20" t="s">
        <v>2</v>
      </c>
      <c r="E57" s="15" t="s">
        <v>0</v>
      </c>
      <c r="F57" s="21" t="s">
        <v>104</v>
      </c>
      <c r="G57" s="124"/>
      <c r="H57" s="162">
        <v>0.2</v>
      </c>
      <c r="I57" s="101"/>
      <c r="J57" s="102"/>
      <c r="K57" s="102"/>
      <c r="L57"/>
      <c r="M57"/>
      <c r="N57"/>
    </row>
    <row r="58" spans="1:15" s="7" customFormat="1" ht="22.5">
      <c r="B58" s="81" t="s">
        <v>859</v>
      </c>
      <c r="C58" s="79" t="s">
        <v>548</v>
      </c>
      <c r="D58" s="82" t="s">
        <v>2</v>
      </c>
      <c r="E58" s="83"/>
      <c r="F58" s="80" t="s">
        <v>105</v>
      </c>
      <c r="G58" s="103"/>
      <c r="H58" s="154" t="s">
        <v>862</v>
      </c>
      <c r="I58" s="87"/>
      <c r="J58" s="89"/>
      <c r="K58" s="89"/>
      <c r="L58"/>
      <c r="M58"/>
      <c r="N58"/>
    </row>
    <row r="59" spans="1:15" s="7" customFormat="1" ht="15" customHeight="1">
      <c r="B59" s="19" t="s">
        <v>859</v>
      </c>
      <c r="C59" s="21" t="s">
        <v>549</v>
      </c>
      <c r="D59" s="20" t="s">
        <v>2</v>
      </c>
      <c r="E59" s="15"/>
      <c r="F59" s="21" t="s">
        <v>106</v>
      </c>
      <c r="G59" s="103"/>
      <c r="H59" s="154" t="s">
        <v>863</v>
      </c>
      <c r="I59" s="87"/>
      <c r="J59" s="89"/>
      <c r="K59" s="89"/>
      <c r="L59"/>
      <c r="M59"/>
      <c r="N59"/>
    </row>
    <row r="60" spans="1:15" s="7" customFormat="1" ht="15" customHeight="1">
      <c r="B60" s="19" t="s">
        <v>859</v>
      </c>
      <c r="C60" s="63" t="s">
        <v>519</v>
      </c>
      <c r="D60" s="20" t="s">
        <v>2</v>
      </c>
      <c r="E60" s="14" t="s">
        <v>0</v>
      </c>
      <c r="F60" s="21" t="s">
        <v>68</v>
      </c>
      <c r="G60" s="103"/>
      <c r="H60" s="159">
        <v>1000</v>
      </c>
      <c r="I60" s="98"/>
      <c r="J60" s="115">
        <f>SUM(G60:I60)</f>
        <v>1000</v>
      </c>
      <c r="K60" s="100"/>
      <c r="L60"/>
      <c r="M60"/>
      <c r="N60"/>
    </row>
    <row r="61" spans="1:15" s="7" customFormat="1" ht="15" customHeight="1">
      <c r="B61" s="19" t="s">
        <v>859</v>
      </c>
      <c r="C61" s="63" t="s">
        <v>598</v>
      </c>
      <c r="D61" s="20" t="s">
        <v>2</v>
      </c>
      <c r="E61" s="14" t="s">
        <v>0</v>
      </c>
      <c r="F61" s="21" t="s">
        <v>16</v>
      </c>
      <c r="G61" s="103"/>
      <c r="H61" s="159">
        <v>2000</v>
      </c>
      <c r="I61" s="98"/>
      <c r="J61" s="115">
        <f t="shared" ref="J61:J83" si="2">SUM(G61:I61)</f>
        <v>2000</v>
      </c>
      <c r="K61" s="100"/>
      <c r="L61"/>
      <c r="M61"/>
      <c r="N61"/>
    </row>
    <row r="62" spans="1:15" s="7" customFormat="1" ht="15" customHeight="1">
      <c r="B62" s="19" t="s">
        <v>859</v>
      </c>
      <c r="C62" s="63" t="s">
        <v>599</v>
      </c>
      <c r="D62" s="20" t="s">
        <v>2</v>
      </c>
      <c r="E62" s="14" t="s">
        <v>0</v>
      </c>
      <c r="F62" s="21" t="s">
        <v>17</v>
      </c>
      <c r="G62" s="103"/>
      <c r="H62" s="159">
        <v>3000</v>
      </c>
      <c r="I62" s="98"/>
      <c r="J62" s="115">
        <f t="shared" si="2"/>
        <v>3000</v>
      </c>
      <c r="K62" s="100"/>
      <c r="L62"/>
      <c r="M62"/>
      <c r="N62"/>
    </row>
    <row r="63" spans="1:15" s="7" customFormat="1" ht="15" customHeight="1">
      <c r="B63" s="19" t="s">
        <v>859</v>
      </c>
      <c r="C63" s="63" t="s">
        <v>600</v>
      </c>
      <c r="D63" s="20" t="s">
        <v>2</v>
      </c>
      <c r="E63" s="14" t="s">
        <v>0</v>
      </c>
      <c r="F63" s="21" t="s">
        <v>18</v>
      </c>
      <c r="G63" s="103"/>
      <c r="H63" s="159">
        <v>4000</v>
      </c>
      <c r="I63" s="98"/>
      <c r="J63" s="115">
        <f t="shared" si="2"/>
        <v>4000</v>
      </c>
      <c r="K63" s="100"/>
      <c r="L63"/>
      <c r="M63"/>
      <c r="N63"/>
    </row>
    <row r="64" spans="1:15" s="7" customFormat="1" ht="15" customHeight="1">
      <c r="B64" s="19" t="s">
        <v>859</v>
      </c>
      <c r="C64" s="63" t="s">
        <v>601</v>
      </c>
      <c r="D64" s="20" t="s">
        <v>2</v>
      </c>
      <c r="E64" s="14" t="s">
        <v>0</v>
      </c>
      <c r="F64" s="21" t="s">
        <v>19</v>
      </c>
      <c r="G64" s="103"/>
      <c r="H64" s="159">
        <v>5000</v>
      </c>
      <c r="I64" s="98"/>
      <c r="J64" s="115">
        <f t="shared" si="2"/>
        <v>5000</v>
      </c>
      <c r="K64" s="100"/>
      <c r="L64"/>
      <c r="M64"/>
      <c r="N64"/>
    </row>
    <row r="65" spans="2:14" s="7" customFormat="1" ht="15" customHeight="1">
      <c r="B65" s="19" t="s">
        <v>859</v>
      </c>
      <c r="C65" s="63" t="s">
        <v>602</v>
      </c>
      <c r="D65" s="20" t="s">
        <v>2</v>
      </c>
      <c r="E65" s="14" t="s">
        <v>0</v>
      </c>
      <c r="F65" s="21" t="s">
        <v>20</v>
      </c>
      <c r="G65" s="103"/>
      <c r="H65" s="159">
        <v>6000</v>
      </c>
      <c r="I65" s="98"/>
      <c r="J65" s="115">
        <f t="shared" si="2"/>
        <v>6000</v>
      </c>
      <c r="K65" s="100"/>
      <c r="L65"/>
      <c r="M65"/>
      <c r="N65"/>
    </row>
    <row r="66" spans="2:14" s="7" customFormat="1" ht="15" customHeight="1">
      <c r="B66" s="19" t="s">
        <v>859</v>
      </c>
      <c r="C66" s="63" t="s">
        <v>605</v>
      </c>
      <c r="D66" s="20" t="s">
        <v>2</v>
      </c>
      <c r="E66" s="14" t="s">
        <v>0</v>
      </c>
      <c r="F66" s="21" t="s">
        <v>69</v>
      </c>
      <c r="G66" s="103"/>
      <c r="H66" s="159">
        <v>7000</v>
      </c>
      <c r="I66" s="98"/>
      <c r="J66" s="115">
        <f t="shared" si="2"/>
        <v>7000</v>
      </c>
      <c r="K66" s="100"/>
      <c r="L66"/>
      <c r="M66"/>
      <c r="N66"/>
    </row>
    <row r="67" spans="2:14" s="7" customFormat="1" ht="15" customHeight="1">
      <c r="B67" s="19" t="s">
        <v>859</v>
      </c>
      <c r="C67" s="63" t="s">
        <v>606</v>
      </c>
      <c r="D67" s="20" t="s">
        <v>2</v>
      </c>
      <c r="E67" s="14" t="s">
        <v>0</v>
      </c>
      <c r="F67" s="21" t="s">
        <v>70</v>
      </c>
      <c r="G67" s="103"/>
      <c r="H67" s="159">
        <v>8000</v>
      </c>
      <c r="I67" s="98"/>
      <c r="J67" s="115">
        <f t="shared" si="2"/>
        <v>8000</v>
      </c>
      <c r="K67" s="100"/>
      <c r="L67"/>
      <c r="M67"/>
      <c r="N67"/>
    </row>
    <row r="68" spans="2:14" s="7" customFormat="1" ht="15" customHeight="1">
      <c r="B68" s="19" t="s">
        <v>859</v>
      </c>
      <c r="C68" s="63" t="s">
        <v>607</v>
      </c>
      <c r="D68" s="20" t="s">
        <v>2</v>
      </c>
      <c r="E68" s="14" t="s">
        <v>0</v>
      </c>
      <c r="F68" s="21" t="s">
        <v>71</v>
      </c>
      <c r="G68" s="103"/>
      <c r="H68" s="159">
        <v>9000</v>
      </c>
      <c r="I68" s="98"/>
      <c r="J68" s="115">
        <f t="shared" si="2"/>
        <v>9000</v>
      </c>
      <c r="K68" s="100"/>
      <c r="L68"/>
      <c r="M68"/>
      <c r="N68"/>
    </row>
    <row r="69" spans="2:14" s="7" customFormat="1" ht="15" customHeight="1">
      <c r="B69" s="19" t="s">
        <v>859</v>
      </c>
      <c r="C69" s="63" t="s">
        <v>604</v>
      </c>
      <c r="D69" s="20" t="s">
        <v>2</v>
      </c>
      <c r="E69" s="14" t="s">
        <v>0</v>
      </c>
      <c r="F69" s="21" t="s">
        <v>21</v>
      </c>
      <c r="G69" s="103"/>
      <c r="H69" s="159">
        <v>1000</v>
      </c>
      <c r="I69" s="98"/>
      <c r="J69" s="115">
        <f t="shared" si="2"/>
        <v>1000</v>
      </c>
      <c r="K69" s="100"/>
      <c r="L69"/>
      <c r="M69"/>
      <c r="N69"/>
    </row>
    <row r="70" spans="2:14" s="7" customFormat="1" ht="15" customHeight="1">
      <c r="B70" s="19" t="s">
        <v>859</v>
      </c>
      <c r="C70" s="63" t="s">
        <v>609</v>
      </c>
      <c r="D70" s="20" t="s">
        <v>2</v>
      </c>
      <c r="E70" s="14" t="s">
        <v>0</v>
      </c>
      <c r="F70" s="21" t="s">
        <v>107</v>
      </c>
      <c r="G70" s="103"/>
      <c r="H70" s="159">
        <v>2000</v>
      </c>
      <c r="I70" s="98"/>
      <c r="J70" s="115">
        <f t="shared" si="2"/>
        <v>2000</v>
      </c>
      <c r="K70" s="100"/>
      <c r="L70"/>
      <c r="M70"/>
      <c r="N70"/>
    </row>
    <row r="71" spans="2:14" s="7" customFormat="1" ht="15" customHeight="1">
      <c r="B71" s="19" t="s">
        <v>859</v>
      </c>
      <c r="C71" s="63" t="s">
        <v>610</v>
      </c>
      <c r="D71" s="20" t="s">
        <v>2</v>
      </c>
      <c r="E71" s="14" t="s">
        <v>0</v>
      </c>
      <c r="F71" s="21" t="s">
        <v>108</v>
      </c>
      <c r="G71" s="103"/>
      <c r="H71" s="159">
        <v>3000</v>
      </c>
      <c r="I71" s="98"/>
      <c r="J71" s="115">
        <f t="shared" si="2"/>
        <v>3000</v>
      </c>
      <c r="K71" s="100"/>
      <c r="L71"/>
      <c r="M71"/>
      <c r="N71"/>
    </row>
    <row r="72" spans="2:14" s="7" customFormat="1" ht="15" customHeight="1">
      <c r="B72" s="19" t="s">
        <v>859</v>
      </c>
      <c r="C72" s="63" t="s">
        <v>611</v>
      </c>
      <c r="D72" s="20" t="s">
        <v>2</v>
      </c>
      <c r="E72" s="14" t="s">
        <v>0</v>
      </c>
      <c r="F72" s="21" t="s">
        <v>109</v>
      </c>
      <c r="G72" s="103"/>
      <c r="H72" s="159">
        <v>4000</v>
      </c>
      <c r="I72" s="98"/>
      <c r="J72" s="115">
        <f t="shared" si="2"/>
        <v>4000</v>
      </c>
      <c r="K72" s="100"/>
      <c r="L72"/>
      <c r="M72"/>
      <c r="N72"/>
    </row>
    <row r="73" spans="2:14" s="7" customFormat="1" ht="15" customHeight="1">
      <c r="B73" s="19" t="s">
        <v>859</v>
      </c>
      <c r="C73" s="63" t="s">
        <v>612</v>
      </c>
      <c r="D73" s="20" t="s">
        <v>2</v>
      </c>
      <c r="E73" s="14" t="s">
        <v>0</v>
      </c>
      <c r="F73" s="21" t="s">
        <v>110</v>
      </c>
      <c r="G73" s="103"/>
      <c r="H73" s="159">
        <v>5000</v>
      </c>
      <c r="I73" s="98"/>
      <c r="J73" s="115">
        <f t="shared" si="2"/>
        <v>5000</v>
      </c>
      <c r="K73" s="100"/>
      <c r="L73"/>
      <c r="M73"/>
      <c r="N73"/>
    </row>
    <row r="74" spans="2:14" s="7" customFormat="1" ht="15" customHeight="1">
      <c r="B74" s="19" t="s">
        <v>859</v>
      </c>
      <c r="C74" s="63" t="s">
        <v>613</v>
      </c>
      <c r="D74" s="20" t="s">
        <v>2</v>
      </c>
      <c r="E74" s="14" t="s">
        <v>0</v>
      </c>
      <c r="F74" s="21" t="s">
        <v>111</v>
      </c>
      <c r="G74" s="103"/>
      <c r="H74" s="159">
        <v>6000</v>
      </c>
      <c r="I74" s="98"/>
      <c r="J74" s="115">
        <f t="shared" si="2"/>
        <v>6000</v>
      </c>
      <c r="K74" s="100"/>
      <c r="L74"/>
      <c r="M74"/>
      <c r="N74"/>
    </row>
    <row r="75" spans="2:14" s="7" customFormat="1" ht="15" customHeight="1">
      <c r="B75" s="19" t="s">
        <v>859</v>
      </c>
      <c r="C75" s="63" t="s">
        <v>614</v>
      </c>
      <c r="D75" s="20" t="s">
        <v>2</v>
      </c>
      <c r="E75" s="14" t="s">
        <v>0</v>
      </c>
      <c r="F75" s="21" t="s">
        <v>112</v>
      </c>
      <c r="G75" s="103"/>
      <c r="H75" s="159">
        <v>7000</v>
      </c>
      <c r="I75" s="98"/>
      <c r="J75" s="115">
        <f t="shared" si="2"/>
        <v>7000</v>
      </c>
      <c r="K75" s="100"/>
      <c r="L75"/>
      <c r="M75"/>
      <c r="N75"/>
    </row>
    <row r="76" spans="2:14" s="7" customFormat="1" ht="12" customHeight="1">
      <c r="B76" s="19" t="s">
        <v>859</v>
      </c>
      <c r="C76" s="63" t="s">
        <v>615</v>
      </c>
      <c r="D76" s="20" t="s">
        <v>2</v>
      </c>
      <c r="E76" s="14" t="s">
        <v>0</v>
      </c>
      <c r="F76" s="21" t="s">
        <v>113</v>
      </c>
      <c r="G76" s="103"/>
      <c r="H76" s="159">
        <v>8000</v>
      </c>
      <c r="I76" s="98"/>
      <c r="J76" s="115">
        <f t="shared" si="2"/>
        <v>8000</v>
      </c>
      <c r="K76" s="100"/>
      <c r="L76"/>
      <c r="M76"/>
      <c r="N76"/>
    </row>
    <row r="77" spans="2:14" s="7" customFormat="1" ht="22.5">
      <c r="B77" s="81" t="s">
        <v>859</v>
      </c>
      <c r="C77" s="79" t="s">
        <v>550</v>
      </c>
      <c r="D77" s="82" t="s">
        <v>2</v>
      </c>
      <c r="E77" s="83" t="s">
        <v>0</v>
      </c>
      <c r="F77" s="84" t="s">
        <v>114</v>
      </c>
      <c r="G77" s="103"/>
      <c r="H77" s="159">
        <v>9000</v>
      </c>
      <c r="I77" s="98"/>
      <c r="J77" s="115">
        <f t="shared" si="2"/>
        <v>9000</v>
      </c>
      <c r="K77" s="100"/>
      <c r="L77"/>
      <c r="M77"/>
      <c r="N77"/>
    </row>
    <row r="78" spans="2:14" s="7" customFormat="1" ht="15" customHeight="1">
      <c r="B78" s="81" t="s">
        <v>859</v>
      </c>
      <c r="C78" s="79" t="s">
        <v>608</v>
      </c>
      <c r="D78" s="82" t="s">
        <v>2</v>
      </c>
      <c r="E78" s="83" t="s">
        <v>0</v>
      </c>
      <c r="F78" s="84" t="s">
        <v>73</v>
      </c>
      <c r="G78" s="103"/>
      <c r="H78" s="159">
        <v>1000</v>
      </c>
      <c r="I78" s="98"/>
      <c r="J78" s="115">
        <f t="shared" si="2"/>
        <v>1000</v>
      </c>
      <c r="K78" s="100"/>
      <c r="L78"/>
      <c r="M78"/>
      <c r="N78"/>
    </row>
    <row r="79" spans="2:14" s="7" customFormat="1" ht="22.5">
      <c r="B79" s="81" t="s">
        <v>859</v>
      </c>
      <c r="C79" s="79" t="s">
        <v>521</v>
      </c>
      <c r="D79" s="82" t="s">
        <v>2</v>
      </c>
      <c r="E79" s="83" t="s">
        <v>0</v>
      </c>
      <c r="F79" s="84" t="s">
        <v>74</v>
      </c>
      <c r="G79" s="103"/>
      <c r="H79" s="159">
        <v>2000</v>
      </c>
      <c r="I79" s="98"/>
      <c r="J79" s="115">
        <f t="shared" si="2"/>
        <v>2000</v>
      </c>
      <c r="K79" s="100"/>
      <c r="L79"/>
      <c r="M79"/>
      <c r="N79"/>
    </row>
    <row r="80" spans="2:14" s="7" customFormat="1" ht="22.5">
      <c r="B80" s="81" t="s">
        <v>859</v>
      </c>
      <c r="C80" s="79" t="s">
        <v>522</v>
      </c>
      <c r="D80" s="82" t="s">
        <v>2</v>
      </c>
      <c r="E80" s="83" t="s">
        <v>0</v>
      </c>
      <c r="F80" s="84" t="s">
        <v>75</v>
      </c>
      <c r="G80" s="103"/>
      <c r="H80" s="159">
        <v>3000</v>
      </c>
      <c r="I80" s="98"/>
      <c r="J80" s="115">
        <f t="shared" si="2"/>
        <v>3000</v>
      </c>
      <c r="K80" s="100"/>
      <c r="L80"/>
      <c r="M80"/>
      <c r="N80"/>
    </row>
    <row r="81" spans="2:14" s="7" customFormat="1" ht="22.5">
      <c r="B81" s="81" t="s">
        <v>859</v>
      </c>
      <c r="C81" s="79" t="s">
        <v>523</v>
      </c>
      <c r="D81" s="82" t="s">
        <v>2</v>
      </c>
      <c r="E81" s="83" t="s">
        <v>0</v>
      </c>
      <c r="F81" s="84" t="s">
        <v>76</v>
      </c>
      <c r="G81" s="103"/>
      <c r="H81" s="159">
        <v>4000</v>
      </c>
      <c r="I81" s="98"/>
      <c r="J81" s="115">
        <f t="shared" si="2"/>
        <v>4000</v>
      </c>
      <c r="K81" s="100"/>
      <c r="L81"/>
      <c r="M81"/>
      <c r="N81"/>
    </row>
    <row r="82" spans="2:14" s="7" customFormat="1" ht="22.5">
      <c r="B82" s="81" t="s">
        <v>859</v>
      </c>
      <c r="C82" s="79" t="s">
        <v>524</v>
      </c>
      <c r="D82" s="82" t="s">
        <v>2</v>
      </c>
      <c r="E82" s="83" t="s">
        <v>0</v>
      </c>
      <c r="F82" s="84" t="s">
        <v>77</v>
      </c>
      <c r="G82" s="103"/>
      <c r="H82" s="159">
        <v>5000</v>
      </c>
      <c r="I82" s="98"/>
      <c r="J82" s="115">
        <f t="shared" si="2"/>
        <v>5000</v>
      </c>
      <c r="K82" s="100"/>
      <c r="L82"/>
      <c r="M82"/>
      <c r="N82"/>
    </row>
    <row r="83" spans="2:14" s="7" customFormat="1" ht="33.75">
      <c r="B83" s="81" t="s">
        <v>859</v>
      </c>
      <c r="C83" s="79" t="s">
        <v>551</v>
      </c>
      <c r="D83" s="82" t="s">
        <v>2</v>
      </c>
      <c r="E83" s="83"/>
      <c r="F83" s="84" t="s">
        <v>115</v>
      </c>
      <c r="G83" s="103"/>
      <c r="H83" s="154">
        <v>6000</v>
      </c>
      <c r="I83" s="87"/>
      <c r="J83" s="120">
        <f t="shared" si="2"/>
        <v>6000</v>
      </c>
      <c r="K83" s="89"/>
      <c r="L83"/>
      <c r="M83"/>
      <c r="N83"/>
    </row>
    <row r="84" spans="2:14" s="7" customFormat="1" ht="22.5">
      <c r="B84" s="81" t="s">
        <v>859</v>
      </c>
      <c r="C84" s="79" t="s">
        <v>526</v>
      </c>
      <c r="D84" s="82" t="s">
        <v>2</v>
      </c>
      <c r="E84" s="83"/>
      <c r="F84" s="84" t="s">
        <v>79</v>
      </c>
      <c r="G84" s="103"/>
      <c r="H84" s="154" t="s">
        <v>864</v>
      </c>
      <c r="I84" s="87"/>
      <c r="J84" s="121"/>
      <c r="K84" s="89"/>
      <c r="L84"/>
      <c r="M84"/>
      <c r="N84"/>
    </row>
    <row r="85" spans="2:14" s="7" customFormat="1" ht="22.5">
      <c r="B85" s="81" t="s">
        <v>859</v>
      </c>
      <c r="C85" s="79" t="s">
        <v>616</v>
      </c>
      <c r="D85" s="82" t="s">
        <v>2</v>
      </c>
      <c r="E85" s="83" t="s">
        <v>0</v>
      </c>
      <c r="F85" s="84" t="s">
        <v>116</v>
      </c>
      <c r="G85" s="108"/>
      <c r="H85" s="163">
        <v>44242</v>
      </c>
      <c r="I85" s="108"/>
      <c r="J85" s="122"/>
      <c r="K85" s="109"/>
      <c r="L85"/>
      <c r="M85"/>
      <c r="N85"/>
    </row>
    <row r="86" spans="2:14" s="7" customFormat="1" ht="22.5">
      <c r="B86" s="81" t="s">
        <v>859</v>
      </c>
      <c r="C86" s="79" t="s">
        <v>552</v>
      </c>
      <c r="D86" s="82" t="s">
        <v>2</v>
      </c>
      <c r="E86" s="83"/>
      <c r="F86" s="84" t="s">
        <v>117</v>
      </c>
      <c r="G86" s="103"/>
      <c r="H86" s="154" t="s">
        <v>865</v>
      </c>
      <c r="I86" s="87"/>
      <c r="J86" s="121"/>
      <c r="K86" s="89"/>
      <c r="L86"/>
      <c r="M86"/>
      <c r="N86"/>
    </row>
    <row r="87" spans="2:14" s="7" customFormat="1" ht="15" customHeight="1">
      <c r="B87" s="81" t="s">
        <v>859</v>
      </c>
      <c r="C87" s="79" t="s">
        <v>553</v>
      </c>
      <c r="D87" s="82" t="s">
        <v>2</v>
      </c>
      <c r="E87" s="83" t="s">
        <v>0</v>
      </c>
      <c r="F87" s="84" t="s">
        <v>118</v>
      </c>
      <c r="G87" s="103"/>
      <c r="H87" s="159">
        <v>7000</v>
      </c>
      <c r="I87" s="98"/>
      <c r="J87" s="115">
        <f t="shared" ref="J87:J91" si="3">SUM(G87:I87)</f>
        <v>7000</v>
      </c>
      <c r="K87" s="100"/>
      <c r="L87"/>
      <c r="M87"/>
      <c r="N87"/>
    </row>
    <row r="88" spans="2:14" s="7" customFormat="1" ht="15" customHeight="1">
      <c r="B88" s="81" t="s">
        <v>859</v>
      </c>
      <c r="C88" s="79" t="s">
        <v>554</v>
      </c>
      <c r="D88" s="82" t="s">
        <v>2</v>
      </c>
      <c r="E88" s="83" t="s">
        <v>0</v>
      </c>
      <c r="F88" s="84" t="s">
        <v>119</v>
      </c>
      <c r="G88" s="103"/>
      <c r="H88" s="159">
        <v>8000</v>
      </c>
      <c r="I88" s="98"/>
      <c r="J88" s="115">
        <f t="shared" si="3"/>
        <v>8000</v>
      </c>
      <c r="K88" s="100"/>
      <c r="L88"/>
      <c r="M88"/>
      <c r="N88"/>
    </row>
    <row r="89" spans="2:14" s="7" customFormat="1">
      <c r="B89" s="81" t="s">
        <v>859</v>
      </c>
      <c r="C89" s="79" t="s">
        <v>555</v>
      </c>
      <c r="D89" s="82" t="s">
        <v>2</v>
      </c>
      <c r="E89" s="83" t="s">
        <v>0</v>
      </c>
      <c r="F89" s="84" t="s">
        <v>120</v>
      </c>
      <c r="G89" s="103"/>
      <c r="H89" s="159">
        <v>9000</v>
      </c>
      <c r="I89" s="98"/>
      <c r="J89" s="115">
        <f t="shared" si="3"/>
        <v>9000</v>
      </c>
      <c r="K89" s="100"/>
      <c r="L89"/>
      <c r="M89"/>
      <c r="N89"/>
    </row>
    <row r="90" spans="2:14" s="7" customFormat="1" ht="22.5">
      <c r="B90" s="81" t="s">
        <v>859</v>
      </c>
      <c r="C90" s="79" t="s">
        <v>556</v>
      </c>
      <c r="D90" s="82" t="s">
        <v>2</v>
      </c>
      <c r="E90" s="83" t="s">
        <v>0</v>
      </c>
      <c r="F90" s="84" t="s">
        <v>121</v>
      </c>
      <c r="G90" s="103"/>
      <c r="H90" s="159">
        <v>1000</v>
      </c>
      <c r="I90" s="98"/>
      <c r="J90" s="115">
        <f t="shared" si="3"/>
        <v>1000</v>
      </c>
      <c r="K90" s="100"/>
      <c r="L90"/>
      <c r="M90"/>
      <c r="N90"/>
    </row>
    <row r="91" spans="2:14" s="7" customFormat="1" ht="22.5">
      <c r="B91" s="81" t="s">
        <v>859</v>
      </c>
      <c r="C91" s="79" t="s">
        <v>557</v>
      </c>
      <c r="D91" s="82" t="s">
        <v>2</v>
      </c>
      <c r="E91" s="83" t="s">
        <v>0</v>
      </c>
      <c r="F91" s="80" t="s">
        <v>647</v>
      </c>
      <c r="G91" s="103"/>
      <c r="H91" s="159">
        <v>2000</v>
      </c>
      <c r="I91" s="98"/>
      <c r="J91" s="115">
        <f t="shared" si="3"/>
        <v>2000</v>
      </c>
      <c r="K91" s="100"/>
      <c r="L91"/>
      <c r="M91"/>
      <c r="N91"/>
    </row>
    <row r="92" spans="2:14" s="7" customFormat="1" ht="15" customHeight="1">
      <c r="B92" s="25"/>
      <c r="C92" s="26"/>
      <c r="D92" s="26"/>
      <c r="E92" s="26"/>
      <c r="F92" s="26"/>
      <c r="G92" s="26"/>
      <c r="H92" s="33"/>
      <c r="I92" s="33"/>
      <c r="J92" s="26"/>
      <c r="K92" s="62"/>
    </row>
  </sheetData>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Hoja1!$B$93:$B$94</xm:f>
          </x14:formula1>
          <xm:sqref>G4</xm:sqref>
        </x14:dataValidation>
        <x14:dataValidation type="list" allowBlank="1" showInputMessage="1" showErrorMessage="1" xr:uid="{00000000-0002-0000-0500-000001000000}">
          <x14:formula1>
            <xm:f>Hoja1!$A$1:$A$249</xm:f>
          </x14:formula1>
          <xm:sqref>I11:K11 G11 G55:K55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tabColor rgb="FFF5FCA0"/>
  </sheetPr>
  <dimension ref="A1:U62"/>
  <sheetViews>
    <sheetView topLeftCell="A56" zoomScale="85" zoomScaleNormal="85" workbookViewId="0">
      <selection activeCell="G37" sqref="G37:G61"/>
    </sheetView>
  </sheetViews>
  <sheetFormatPr baseColWidth="10" defaultRowHeight="15"/>
  <cols>
    <col min="1" max="1" width="2.140625" customWidth="1"/>
    <col min="2" max="2" width="3.5703125" customWidth="1"/>
    <col min="3" max="3" width="4" customWidth="1"/>
    <col min="4" max="4" width="5" customWidth="1"/>
    <col min="5" max="5" width="1.7109375" customWidth="1"/>
    <col min="6" max="6" width="90.7109375" customWidth="1"/>
    <col min="7" max="8" width="12.28515625" customWidth="1"/>
    <col min="10" max="11" width="12.28515625" customWidth="1"/>
    <col min="12" max="12" width="12.85546875" customWidth="1"/>
    <col min="13" max="14" width="12.28515625" customWidth="1"/>
    <col min="16" max="16" width="11.5703125" customWidth="1"/>
    <col min="17" max="17" width="11.7109375" customWidth="1"/>
  </cols>
  <sheetData>
    <row r="1" spans="1:20" ht="39.950000000000003" customHeight="1" thickBot="1">
      <c r="F1" s="40" t="s">
        <v>4</v>
      </c>
    </row>
    <row r="2" spans="1:20" ht="171" customHeight="1" thickBot="1">
      <c r="F2" s="28" t="s">
        <v>3</v>
      </c>
    </row>
    <row r="3" spans="1:20" s="7" customFormat="1" ht="15" customHeight="1" thickBot="1">
      <c r="A3" s="6"/>
      <c r="F3" s="57" t="s">
        <v>5</v>
      </c>
      <c r="G3" s="5"/>
      <c r="H3" s="5"/>
      <c r="I3" s="5"/>
      <c r="J3" s="5"/>
      <c r="K3" s="5"/>
      <c r="L3" s="5"/>
      <c r="M3" s="5"/>
      <c r="N3" s="5"/>
      <c r="O3" s="5"/>
      <c r="P3" s="5"/>
      <c r="Q3" s="5"/>
    </row>
    <row r="4" spans="1:20" s="7" customFormat="1" ht="15" customHeight="1" thickBot="1">
      <c r="A4" s="6"/>
      <c r="F4" s="113" t="s">
        <v>445</v>
      </c>
      <c r="G4" s="114" t="s">
        <v>444</v>
      </c>
      <c r="H4" s="5"/>
      <c r="I4" s="5"/>
      <c r="J4" s="5"/>
      <c r="K4" s="5"/>
      <c r="L4" s="5"/>
      <c r="M4" s="5"/>
      <c r="N4" s="5"/>
      <c r="O4" s="5"/>
      <c r="P4" s="5"/>
      <c r="Q4" s="5"/>
    </row>
    <row r="5" spans="1:20" s="9" customFormat="1" ht="117.95" customHeight="1">
      <c r="A5" s="8" t="s">
        <v>617</v>
      </c>
      <c r="B5" s="35"/>
      <c r="C5" s="36"/>
      <c r="D5" s="36"/>
      <c r="E5" s="37"/>
      <c r="F5" s="56" t="s">
        <v>125</v>
      </c>
      <c r="G5" s="58" t="s">
        <v>12</v>
      </c>
      <c r="H5" s="58" t="s">
        <v>12</v>
      </c>
      <c r="I5" s="38" t="s">
        <v>129</v>
      </c>
      <c r="J5" s="58" t="s">
        <v>12</v>
      </c>
      <c r="K5" s="58" t="s">
        <v>12</v>
      </c>
      <c r="L5" s="38" t="s">
        <v>130</v>
      </c>
      <c r="M5" s="58" t="s">
        <v>12</v>
      </c>
      <c r="N5" s="58" t="s">
        <v>12</v>
      </c>
      <c r="O5" s="38" t="s">
        <v>131</v>
      </c>
      <c r="P5" s="38" t="s">
        <v>128</v>
      </c>
      <c r="Q5" s="38" t="s">
        <v>127</v>
      </c>
    </row>
    <row r="6" spans="1:20" s="7" customFormat="1" ht="68.25" hidden="1" customHeight="1">
      <c r="A6" s="29" t="s">
        <v>618</v>
      </c>
      <c r="B6" s="10"/>
      <c r="C6" s="11"/>
      <c r="D6" s="12" t="s">
        <v>630</v>
      </c>
      <c r="E6" s="30" t="s">
        <v>629</v>
      </c>
      <c r="F6" s="59"/>
      <c r="G6" s="31" t="str">
        <f>SUBSTITUTE(CONCATENATE("IFRS12-InfoEstNoConj_",TRIM(G5),"_",COLUMN(G6),"|",G5)," ","")</f>
        <v>IFRS12-InfoEstNoConj_Agregarcolumnaopcional_7|Agregarcolumnaopcional</v>
      </c>
      <c r="H6" s="31" t="str">
        <f>SUBSTITUTE(CONCATENATE("IFRS12-InfoEstNoConj_",TRIM(H5),"_",COLUMN(H6),"|",H5)," ","")</f>
        <v>IFRS12-InfoEstNoConj_Agregarcolumnaopcional_8|Agregarcolumnaopcional</v>
      </c>
      <c r="I6" s="34" t="s">
        <v>558</v>
      </c>
      <c r="J6" s="31" t="str">
        <f>SUBSTITUTE(CONCATENATE("IFRS12-InfoEstNoConj_",TRIM(J5),"_",COLUMN(J6),"|",J5)," ","")</f>
        <v>IFRS12-InfoEstNoConj_Agregarcolumnaopcional_10|Agregarcolumnaopcional</v>
      </c>
      <c r="K6" s="31" t="str">
        <f>SUBSTITUTE(CONCATENATE("IFRS12-InfoEstNoConj_",TRIM(K5),"_",COLUMN(K6),"|",K5)," ","")</f>
        <v>IFRS12-InfoEstNoConj_Agregarcolumnaopcional_11|Agregarcolumnaopcional</v>
      </c>
      <c r="L6" s="34" t="s">
        <v>559</v>
      </c>
      <c r="M6" s="31" t="str">
        <f>SUBSTITUTE(CONCATENATE("IFRS12-InfoEstNoConj_",TRIM(M5),"_",COLUMN(M6),"|",M5)," ","")</f>
        <v>IFRS12-InfoEstNoConj_Agregarcolumnaopcional_13|Agregarcolumnaopcional</v>
      </c>
      <c r="N6" s="31" t="str">
        <f>SUBSTITUTE(CONCATENATE("IFRS12-InfoEstNoConj_",TRIM(N5),"_",COLUMN(N6),"|",N5)," ","")</f>
        <v>IFRS12-InfoEstNoConj_Agregarcolumnaopcional_14|Agregarcolumnaopcional</v>
      </c>
      <c r="O6" s="34" t="s">
        <v>560</v>
      </c>
      <c r="P6" s="34" t="s">
        <v>561</v>
      </c>
      <c r="Q6" s="60" t="s">
        <v>562</v>
      </c>
    </row>
    <row r="7" spans="1:20" s="7" customFormat="1" ht="11.25">
      <c r="B7" s="13"/>
      <c r="C7" s="14"/>
      <c r="D7" s="15" t="s">
        <v>0</v>
      </c>
      <c r="E7" s="16" t="s">
        <v>0</v>
      </c>
      <c r="F7" s="17"/>
      <c r="G7" s="32"/>
      <c r="H7" s="32"/>
      <c r="I7" s="18"/>
      <c r="J7" s="32"/>
      <c r="K7" s="32"/>
      <c r="L7" s="18"/>
      <c r="M7" s="32"/>
      <c r="N7" s="32"/>
      <c r="O7" s="18"/>
      <c r="P7" s="18"/>
      <c r="Q7" s="61"/>
    </row>
    <row r="8" spans="1:20" s="7" customFormat="1" ht="13.5" customHeight="1">
      <c r="B8" s="81" t="s">
        <v>859</v>
      </c>
      <c r="C8" s="79" t="s">
        <v>563</v>
      </c>
      <c r="D8" s="82" t="s">
        <v>1</v>
      </c>
      <c r="E8" s="83"/>
      <c r="F8" s="84" t="s">
        <v>132</v>
      </c>
      <c r="G8" s="87" t="s">
        <v>860</v>
      </c>
      <c r="H8" s="87"/>
      <c r="I8" s="89"/>
      <c r="J8" s="87"/>
      <c r="K8" s="87"/>
      <c r="L8" s="89"/>
      <c r="M8" s="87"/>
      <c r="N8" s="87"/>
      <c r="O8" s="89"/>
      <c r="P8" s="89"/>
      <c r="Q8" s="89"/>
    </row>
    <row r="9" spans="1:20" s="7" customFormat="1" ht="15" customHeight="1">
      <c r="B9" s="81" t="s">
        <v>859</v>
      </c>
      <c r="C9" s="79" t="s">
        <v>564</v>
      </c>
      <c r="D9" s="82" t="s">
        <v>1</v>
      </c>
      <c r="E9" s="83"/>
      <c r="F9" s="84" t="s">
        <v>133</v>
      </c>
      <c r="G9" s="87" t="s">
        <v>861</v>
      </c>
      <c r="H9" s="87"/>
      <c r="I9" s="89"/>
      <c r="J9" s="87"/>
      <c r="K9" s="87"/>
      <c r="L9" s="89"/>
      <c r="M9" s="87"/>
      <c r="N9" s="87"/>
      <c r="O9" s="89"/>
      <c r="P9" s="89"/>
      <c r="Q9" s="89"/>
      <c r="R9"/>
      <c r="S9"/>
      <c r="T9"/>
    </row>
    <row r="10" spans="1:20" s="7" customFormat="1" ht="15" customHeight="1">
      <c r="B10" s="81" t="s">
        <v>859</v>
      </c>
      <c r="C10" s="79" t="s">
        <v>565</v>
      </c>
      <c r="D10" s="82" t="s">
        <v>1</v>
      </c>
      <c r="E10" s="83" t="s">
        <v>0</v>
      </c>
      <c r="F10" s="84" t="s">
        <v>134</v>
      </c>
      <c r="G10" s="98">
        <v>1000</v>
      </c>
      <c r="H10" s="98"/>
      <c r="I10" s="115">
        <f>SUM(G10:H10)</f>
        <v>1000</v>
      </c>
      <c r="J10" s="98"/>
      <c r="K10" s="98"/>
      <c r="L10" s="115">
        <f>SUM(J10:K10)</f>
        <v>0</v>
      </c>
      <c r="M10" s="98"/>
      <c r="N10" s="98"/>
      <c r="O10" s="115">
        <f>SUM(M10:N10)</f>
        <v>0</v>
      </c>
      <c r="P10" s="115">
        <f>+I10+L10+O10</f>
        <v>1000</v>
      </c>
      <c r="Q10" s="100"/>
      <c r="R10"/>
      <c r="S10"/>
      <c r="T10"/>
    </row>
    <row r="11" spans="1:20" s="7" customFormat="1" ht="15" customHeight="1">
      <c r="B11" s="81" t="s">
        <v>859</v>
      </c>
      <c r="C11" s="79" t="s">
        <v>566</v>
      </c>
      <c r="D11" s="82" t="s">
        <v>1</v>
      </c>
      <c r="E11" s="83"/>
      <c r="F11" s="84" t="s">
        <v>135</v>
      </c>
      <c r="G11" s="87" t="s">
        <v>862</v>
      </c>
      <c r="H11" s="87"/>
      <c r="I11" s="89"/>
      <c r="J11" s="87"/>
      <c r="K11" s="87"/>
      <c r="L11" s="89"/>
      <c r="M11" s="87"/>
      <c r="N11" s="87"/>
      <c r="O11" s="89"/>
      <c r="P11" s="89"/>
      <c r="Q11" s="89"/>
      <c r="R11"/>
      <c r="S11"/>
      <c r="T11"/>
    </row>
    <row r="12" spans="1:20" s="7" customFormat="1" ht="15" customHeight="1">
      <c r="B12" s="81" t="s">
        <v>859</v>
      </c>
      <c r="C12" s="79" t="s">
        <v>567</v>
      </c>
      <c r="D12" s="82" t="s">
        <v>1</v>
      </c>
      <c r="E12" s="83" t="s">
        <v>0</v>
      </c>
      <c r="F12" s="84" t="s">
        <v>136</v>
      </c>
      <c r="G12" s="98">
        <v>2000</v>
      </c>
      <c r="H12" s="98"/>
      <c r="I12" s="115">
        <f>SUM(G12:H12)</f>
        <v>2000</v>
      </c>
      <c r="J12" s="98"/>
      <c r="K12" s="98"/>
      <c r="L12" s="115">
        <f>SUM(J12:K12)</f>
        <v>0</v>
      </c>
      <c r="M12" s="98"/>
      <c r="N12" s="98"/>
      <c r="O12" s="115">
        <f>SUM(M12:N12)</f>
        <v>0</v>
      </c>
      <c r="P12" s="115">
        <f>+I12+L12+O12</f>
        <v>2000</v>
      </c>
      <c r="Q12" s="100"/>
      <c r="R12"/>
      <c r="S12"/>
      <c r="T12"/>
    </row>
    <row r="13" spans="1:20" s="7" customFormat="1" ht="22.5">
      <c r="B13" s="81" t="s">
        <v>859</v>
      </c>
      <c r="C13" s="79" t="s">
        <v>568</v>
      </c>
      <c r="D13" s="82" t="s">
        <v>1</v>
      </c>
      <c r="E13" s="83" t="s">
        <v>0</v>
      </c>
      <c r="F13" s="84" t="s">
        <v>137</v>
      </c>
      <c r="G13" s="98">
        <v>3000</v>
      </c>
      <c r="H13" s="98"/>
      <c r="I13" s="115">
        <f>SUM(G13:H13)</f>
        <v>3000</v>
      </c>
      <c r="J13" s="98"/>
      <c r="K13" s="98"/>
      <c r="L13" s="115">
        <f>SUM(J13:K13)</f>
        <v>0</v>
      </c>
      <c r="M13" s="98"/>
      <c r="N13" s="98"/>
      <c r="O13" s="115">
        <f>SUM(M13:N13)</f>
        <v>0</v>
      </c>
      <c r="P13" s="115">
        <f>+I13+L13+O13</f>
        <v>3000</v>
      </c>
      <c r="Q13" s="100"/>
      <c r="R13"/>
      <c r="S13"/>
      <c r="T13"/>
    </row>
    <row r="14" spans="1:20" s="7" customFormat="1" ht="15" customHeight="1">
      <c r="B14" s="81" t="s">
        <v>859</v>
      </c>
      <c r="C14" s="79" t="s">
        <v>569</v>
      </c>
      <c r="D14" s="82" t="s">
        <v>1</v>
      </c>
      <c r="E14" s="83" t="s">
        <v>0</v>
      </c>
      <c r="F14" s="84" t="s">
        <v>138</v>
      </c>
      <c r="G14" s="98">
        <v>4000</v>
      </c>
      <c r="H14" s="98"/>
      <c r="I14" s="115">
        <f>SUM(G14:H14)</f>
        <v>4000</v>
      </c>
      <c r="J14" s="98"/>
      <c r="K14" s="98"/>
      <c r="L14" s="115">
        <f>SUM(J14:K14)</f>
        <v>0</v>
      </c>
      <c r="M14" s="98"/>
      <c r="N14" s="98"/>
      <c r="O14" s="115">
        <f>SUM(M14:N14)</f>
        <v>0</v>
      </c>
      <c r="P14" s="115">
        <f>+I14+L14+O14</f>
        <v>4000</v>
      </c>
      <c r="Q14" s="100"/>
      <c r="R14"/>
      <c r="S14"/>
      <c r="T14"/>
    </row>
    <row r="15" spans="1:20" s="7" customFormat="1" ht="22.5">
      <c r="B15" s="81" t="s">
        <v>859</v>
      </c>
      <c r="C15" s="79" t="s">
        <v>570</v>
      </c>
      <c r="D15" s="82" t="s">
        <v>1</v>
      </c>
      <c r="E15" s="83"/>
      <c r="F15" s="84" t="s">
        <v>139</v>
      </c>
      <c r="G15" s="87" t="s">
        <v>863</v>
      </c>
      <c r="H15" s="87"/>
      <c r="I15" s="89"/>
      <c r="J15" s="87"/>
      <c r="K15" s="87"/>
      <c r="L15" s="89"/>
      <c r="M15" s="87"/>
      <c r="N15" s="87"/>
      <c r="O15" s="89"/>
      <c r="P15" s="89"/>
      <c r="Q15" s="89"/>
      <c r="R15"/>
      <c r="S15"/>
      <c r="T15"/>
    </row>
    <row r="16" spans="1:20" s="7" customFormat="1" ht="15" customHeight="1">
      <c r="B16" s="81" t="s">
        <v>859</v>
      </c>
      <c r="C16" s="79" t="s">
        <v>571</v>
      </c>
      <c r="D16" s="82" t="s">
        <v>1</v>
      </c>
      <c r="E16" s="83" t="s">
        <v>0</v>
      </c>
      <c r="F16" s="84" t="s">
        <v>140</v>
      </c>
      <c r="G16" s="98">
        <v>5000</v>
      </c>
      <c r="H16" s="98"/>
      <c r="I16" s="115">
        <f>SUM(G16:H16)</f>
        <v>5000</v>
      </c>
      <c r="J16" s="98"/>
      <c r="K16" s="98"/>
      <c r="L16" s="115">
        <f>SUM(J16:K16)</f>
        <v>0</v>
      </c>
      <c r="M16" s="98"/>
      <c r="N16" s="98"/>
      <c r="O16" s="115">
        <f>SUM(M16:N16)</f>
        <v>0</v>
      </c>
      <c r="P16" s="115">
        <f>+I16+L16+O16</f>
        <v>5000</v>
      </c>
      <c r="Q16" s="100"/>
      <c r="R16"/>
      <c r="S16"/>
      <c r="T16"/>
    </row>
    <row r="17" spans="2:20" s="7" customFormat="1" ht="22.5">
      <c r="B17" s="81" t="s">
        <v>859</v>
      </c>
      <c r="C17" s="79" t="s">
        <v>572</v>
      </c>
      <c r="D17" s="82" t="s">
        <v>1</v>
      </c>
      <c r="E17" s="83"/>
      <c r="F17" s="84" t="s">
        <v>141</v>
      </c>
      <c r="G17" s="87" t="s">
        <v>864</v>
      </c>
      <c r="H17" s="87"/>
      <c r="I17" s="89"/>
      <c r="J17" s="87"/>
      <c r="K17" s="87"/>
      <c r="L17" s="89"/>
      <c r="M17" s="87"/>
      <c r="N17" s="87"/>
      <c r="O17" s="89"/>
      <c r="P17" s="89"/>
      <c r="Q17" s="89"/>
      <c r="R17"/>
      <c r="S17"/>
      <c r="T17"/>
    </row>
    <row r="18" spans="2:20" s="7" customFormat="1" ht="22.5">
      <c r="B18" s="81" t="s">
        <v>859</v>
      </c>
      <c r="C18" s="79" t="s">
        <v>573</v>
      </c>
      <c r="D18" s="82" t="s">
        <v>1</v>
      </c>
      <c r="E18" s="83"/>
      <c r="F18" s="84" t="s">
        <v>142</v>
      </c>
      <c r="G18" s="87" t="s">
        <v>865</v>
      </c>
      <c r="H18" s="87"/>
      <c r="I18" s="89"/>
      <c r="J18" s="87"/>
      <c r="K18" s="87"/>
      <c r="L18" s="89"/>
      <c r="M18" s="87"/>
      <c r="N18" s="87"/>
      <c r="O18" s="89"/>
      <c r="P18" s="89"/>
      <c r="Q18" s="89"/>
      <c r="R18"/>
      <c r="S18"/>
      <c r="T18"/>
    </row>
    <row r="19" spans="2:20" s="7" customFormat="1" ht="27" customHeight="1">
      <c r="B19" s="81" t="s">
        <v>859</v>
      </c>
      <c r="C19" s="79" t="s">
        <v>574</v>
      </c>
      <c r="D19" s="82" t="s">
        <v>1</v>
      </c>
      <c r="E19" s="83"/>
      <c r="F19" s="84" t="s">
        <v>143</v>
      </c>
      <c r="G19" s="87" t="s">
        <v>866</v>
      </c>
      <c r="H19" s="87"/>
      <c r="I19" s="89"/>
      <c r="J19" s="87"/>
      <c r="K19" s="87"/>
      <c r="L19" s="89"/>
      <c r="M19" s="87"/>
      <c r="N19" s="87"/>
      <c r="O19" s="89"/>
      <c r="P19" s="89"/>
      <c r="Q19" s="89"/>
      <c r="R19"/>
      <c r="S19"/>
      <c r="T19"/>
    </row>
    <row r="20" spans="2:20" s="7" customFormat="1" ht="22.5">
      <c r="B20" s="81" t="s">
        <v>859</v>
      </c>
      <c r="C20" s="79" t="s">
        <v>504</v>
      </c>
      <c r="D20" s="82" t="s">
        <v>1</v>
      </c>
      <c r="E20" s="83"/>
      <c r="F20" s="84" t="s">
        <v>45</v>
      </c>
      <c r="G20" s="87" t="s">
        <v>867</v>
      </c>
      <c r="H20" s="87"/>
      <c r="I20" s="89"/>
      <c r="J20" s="87"/>
      <c r="K20" s="87"/>
      <c r="L20" s="89"/>
      <c r="M20" s="87"/>
      <c r="N20" s="87"/>
      <c r="O20" s="89"/>
      <c r="P20" s="89"/>
      <c r="Q20" s="89"/>
      <c r="R20"/>
      <c r="S20"/>
      <c r="T20"/>
    </row>
    <row r="21" spans="2:20" s="7" customFormat="1" ht="15" customHeight="1">
      <c r="B21" s="81" t="s">
        <v>859</v>
      </c>
      <c r="C21" s="79" t="s">
        <v>505</v>
      </c>
      <c r="D21" s="82" t="s">
        <v>1</v>
      </c>
      <c r="E21" s="83" t="s">
        <v>0</v>
      </c>
      <c r="F21" s="84" t="s">
        <v>46</v>
      </c>
      <c r="G21" s="98">
        <v>6000</v>
      </c>
      <c r="H21" s="98"/>
      <c r="I21" s="99">
        <f>SUM(G21:H21)</f>
        <v>6000</v>
      </c>
      <c r="J21" s="98"/>
      <c r="K21" s="98"/>
      <c r="L21" s="115">
        <f>SUM(J21:K21)</f>
        <v>0</v>
      </c>
      <c r="M21" s="98"/>
      <c r="N21" s="98"/>
      <c r="O21" s="115">
        <f>SUM(M21:N21)</f>
        <v>0</v>
      </c>
      <c r="P21" s="115">
        <f>+I21+L21+O21</f>
        <v>6000</v>
      </c>
      <c r="Q21" s="100"/>
      <c r="R21"/>
      <c r="S21"/>
      <c r="T21"/>
    </row>
    <row r="22" spans="2:20" s="7" customFormat="1" ht="22.5">
      <c r="B22" s="81" t="s">
        <v>859</v>
      </c>
      <c r="C22" s="79" t="s">
        <v>506</v>
      </c>
      <c r="D22" s="82" t="s">
        <v>1</v>
      </c>
      <c r="E22" s="83"/>
      <c r="F22" s="84" t="s">
        <v>47</v>
      </c>
      <c r="G22" s="87" t="s">
        <v>868</v>
      </c>
      <c r="H22" s="87"/>
      <c r="I22" s="89"/>
      <c r="J22" s="87"/>
      <c r="K22" s="87"/>
      <c r="L22" s="89"/>
      <c r="M22" s="87"/>
      <c r="N22" s="87"/>
      <c r="O22" s="89"/>
      <c r="P22" s="89"/>
      <c r="Q22" s="89"/>
      <c r="R22"/>
      <c r="S22"/>
      <c r="T22"/>
    </row>
    <row r="23" spans="2:20" s="7" customFormat="1" ht="15" customHeight="1">
      <c r="B23" s="81" t="s">
        <v>859</v>
      </c>
      <c r="C23" s="79" t="s">
        <v>508</v>
      </c>
      <c r="D23" s="82" t="s">
        <v>1</v>
      </c>
      <c r="E23" s="83"/>
      <c r="F23" s="84" t="s">
        <v>48</v>
      </c>
      <c r="G23" s="87" t="s">
        <v>869</v>
      </c>
      <c r="H23" s="87"/>
      <c r="I23" s="89"/>
      <c r="J23" s="87"/>
      <c r="K23" s="87"/>
      <c r="L23" s="89"/>
      <c r="M23" s="87"/>
      <c r="N23" s="87"/>
      <c r="O23" s="89"/>
      <c r="P23" s="89"/>
      <c r="Q23" s="89"/>
      <c r="R23"/>
      <c r="S23"/>
      <c r="T23"/>
    </row>
    <row r="24" spans="2:20" s="7" customFormat="1" ht="22.5">
      <c r="B24" s="81" t="s">
        <v>859</v>
      </c>
      <c r="C24" s="79" t="s">
        <v>575</v>
      </c>
      <c r="D24" s="82" t="s">
        <v>1</v>
      </c>
      <c r="E24" s="83"/>
      <c r="F24" s="84" t="s">
        <v>144</v>
      </c>
      <c r="G24" s="87" t="s">
        <v>870</v>
      </c>
      <c r="H24" s="87"/>
      <c r="I24" s="89"/>
      <c r="J24" s="87"/>
      <c r="K24" s="87"/>
      <c r="L24" s="89"/>
      <c r="M24" s="87"/>
      <c r="N24" s="87"/>
      <c r="O24" s="89"/>
      <c r="P24" s="89"/>
      <c r="Q24" s="89"/>
      <c r="R24"/>
      <c r="S24"/>
      <c r="T24"/>
    </row>
    <row r="25" spans="2:20" s="7" customFormat="1" ht="22.5">
      <c r="B25" s="81" t="s">
        <v>859</v>
      </c>
      <c r="C25" s="79" t="s">
        <v>503</v>
      </c>
      <c r="D25" s="82" t="s">
        <v>1</v>
      </c>
      <c r="E25" s="83"/>
      <c r="F25" s="84" t="s">
        <v>145</v>
      </c>
      <c r="G25" s="87" t="s">
        <v>871</v>
      </c>
      <c r="H25" s="87"/>
      <c r="I25" s="89"/>
      <c r="J25" s="87"/>
      <c r="K25" s="87"/>
      <c r="L25" s="89"/>
      <c r="M25" s="87"/>
      <c r="N25" s="87"/>
      <c r="O25" s="89"/>
      <c r="P25" s="89"/>
      <c r="Q25" s="89"/>
      <c r="R25"/>
      <c r="S25"/>
      <c r="T25"/>
    </row>
    <row r="26" spans="2:20" s="7" customFormat="1">
      <c r="B26" s="81" t="s">
        <v>859</v>
      </c>
      <c r="C26" s="79" t="s">
        <v>576</v>
      </c>
      <c r="D26" s="82" t="s">
        <v>1</v>
      </c>
      <c r="E26" s="83" t="s">
        <v>0</v>
      </c>
      <c r="F26" s="84" t="s">
        <v>146</v>
      </c>
      <c r="G26" s="98">
        <v>7000</v>
      </c>
      <c r="H26" s="98"/>
      <c r="I26" s="115">
        <f>SUM(G26:H26)</f>
        <v>7000</v>
      </c>
      <c r="J26" s="98"/>
      <c r="K26" s="98"/>
      <c r="L26" s="115">
        <f>SUM(J26:K26)</f>
        <v>0</v>
      </c>
      <c r="M26" s="98"/>
      <c r="N26" s="98"/>
      <c r="O26" s="115">
        <f>SUM(M26:N26)</f>
        <v>0</v>
      </c>
      <c r="P26" s="115">
        <f>+I26+L26+O26</f>
        <v>7000</v>
      </c>
      <c r="Q26" s="100"/>
      <c r="R26"/>
      <c r="S26"/>
      <c r="T26"/>
    </row>
    <row r="27" spans="2:20" s="7" customFormat="1" ht="22.5">
      <c r="B27" s="81" t="s">
        <v>859</v>
      </c>
      <c r="C27" s="79" t="s">
        <v>577</v>
      </c>
      <c r="D27" s="82" t="s">
        <v>1</v>
      </c>
      <c r="E27" s="83"/>
      <c r="F27" s="84" t="s">
        <v>147</v>
      </c>
      <c r="G27" s="87" t="s">
        <v>872</v>
      </c>
      <c r="H27" s="87"/>
      <c r="I27" s="89"/>
      <c r="J27" s="87"/>
      <c r="K27" s="87"/>
      <c r="L27" s="89"/>
      <c r="M27" s="87"/>
      <c r="N27" s="87"/>
      <c r="O27" s="89"/>
      <c r="P27" s="89"/>
      <c r="Q27" s="89"/>
      <c r="R27"/>
      <c r="S27"/>
      <c r="T27"/>
    </row>
    <row r="28" spans="2:20" s="7" customFormat="1" ht="22.5">
      <c r="B28" s="81" t="s">
        <v>859</v>
      </c>
      <c r="C28" s="79" t="s">
        <v>578</v>
      </c>
      <c r="D28" s="82" t="s">
        <v>1</v>
      </c>
      <c r="E28" s="83" t="s">
        <v>0</v>
      </c>
      <c r="F28" s="84" t="s">
        <v>148</v>
      </c>
      <c r="G28" s="98">
        <v>8000</v>
      </c>
      <c r="H28" s="98"/>
      <c r="I28" s="115">
        <f>SUM(G28:H28)</f>
        <v>8000</v>
      </c>
      <c r="J28" s="98"/>
      <c r="K28" s="98"/>
      <c r="L28" s="115">
        <f>SUM(J28:K28)</f>
        <v>0</v>
      </c>
      <c r="M28" s="98"/>
      <c r="N28" s="98"/>
      <c r="O28" s="115">
        <f>SUM(M28:N28)</f>
        <v>0</v>
      </c>
      <c r="P28" s="115">
        <f>+I28+L28+O28</f>
        <v>8000</v>
      </c>
      <c r="Q28" s="100"/>
      <c r="R28"/>
      <c r="S28"/>
      <c r="T28"/>
    </row>
    <row r="29" spans="2:20" s="7" customFormat="1" ht="33.75">
      <c r="B29" s="81" t="s">
        <v>859</v>
      </c>
      <c r="C29" s="79" t="s">
        <v>579</v>
      </c>
      <c r="D29" s="82" t="s">
        <v>1</v>
      </c>
      <c r="E29" s="83"/>
      <c r="F29" s="84" t="s">
        <v>149</v>
      </c>
      <c r="G29" s="87" t="s">
        <v>875</v>
      </c>
      <c r="H29" s="87"/>
      <c r="I29" s="89"/>
      <c r="J29" s="87"/>
      <c r="K29" s="87"/>
      <c r="L29" s="89"/>
      <c r="M29" s="87"/>
      <c r="N29" s="87"/>
      <c r="O29" s="89"/>
      <c r="P29" s="89"/>
      <c r="Q29" s="89"/>
      <c r="R29"/>
      <c r="S29"/>
      <c r="T29"/>
    </row>
    <row r="30" spans="2:20" s="7" customFormat="1" ht="22.5" customHeight="1">
      <c r="B30" s="81" t="s">
        <v>859</v>
      </c>
      <c r="C30" s="79" t="s">
        <v>580</v>
      </c>
      <c r="D30" s="82" t="s">
        <v>1</v>
      </c>
      <c r="E30" s="83"/>
      <c r="F30" s="84" t="s">
        <v>150</v>
      </c>
      <c r="G30" s="87" t="s">
        <v>876</v>
      </c>
      <c r="H30" s="87"/>
      <c r="I30" s="89"/>
      <c r="J30" s="87"/>
      <c r="K30" s="87"/>
      <c r="L30" s="89"/>
      <c r="M30" s="87"/>
      <c r="N30" s="87"/>
      <c r="O30" s="89"/>
      <c r="P30" s="89"/>
      <c r="Q30" s="89"/>
      <c r="R30"/>
      <c r="S30"/>
      <c r="T30"/>
    </row>
    <row r="31" spans="2:20" s="7" customFormat="1" ht="22.5">
      <c r="B31" s="81" t="s">
        <v>859</v>
      </c>
      <c r="C31" s="79" t="s">
        <v>581</v>
      </c>
      <c r="D31" s="82" t="s">
        <v>1</v>
      </c>
      <c r="E31" s="83"/>
      <c r="F31" s="84" t="s">
        <v>151</v>
      </c>
      <c r="G31" s="87" t="s">
        <v>880</v>
      </c>
      <c r="H31" s="87"/>
      <c r="I31" s="89"/>
      <c r="J31" s="87"/>
      <c r="K31" s="87"/>
      <c r="L31" s="89"/>
      <c r="M31" s="87"/>
      <c r="N31" s="87"/>
      <c r="O31" s="89"/>
      <c r="P31" s="89"/>
      <c r="Q31" s="89"/>
      <c r="R31"/>
      <c r="S31"/>
      <c r="T31"/>
    </row>
    <row r="32" spans="2:20" s="7" customFormat="1" ht="22.5">
      <c r="B32" s="81" t="s">
        <v>859</v>
      </c>
      <c r="C32" s="79" t="s">
        <v>582</v>
      </c>
      <c r="D32" s="82" t="s">
        <v>1</v>
      </c>
      <c r="E32" s="83"/>
      <c r="F32" s="84" t="s">
        <v>152</v>
      </c>
      <c r="G32" s="87" t="s">
        <v>881</v>
      </c>
      <c r="H32" s="87"/>
      <c r="I32" s="89"/>
      <c r="J32" s="87"/>
      <c r="K32" s="87"/>
      <c r="L32" s="89"/>
      <c r="M32" s="87"/>
      <c r="N32" s="87"/>
      <c r="O32" s="89"/>
      <c r="P32" s="89"/>
      <c r="Q32" s="89"/>
      <c r="R32"/>
      <c r="S32"/>
      <c r="T32"/>
    </row>
    <row r="33" spans="1:21" s="7" customFormat="1" ht="15" customHeight="1">
      <c r="B33" s="25"/>
      <c r="C33" s="26"/>
      <c r="D33" s="26"/>
      <c r="E33" s="26"/>
      <c r="F33" s="26"/>
      <c r="G33" s="33"/>
      <c r="H33" s="33"/>
      <c r="I33" s="26"/>
      <c r="J33" s="33"/>
      <c r="K33" s="33"/>
      <c r="L33" s="26"/>
      <c r="M33" s="33"/>
      <c r="N33" s="33"/>
      <c r="O33" s="26"/>
      <c r="P33" s="26"/>
      <c r="Q33" s="62"/>
    </row>
    <row r="34" spans="1:21">
      <c r="U34" s="7"/>
    </row>
    <row r="35" spans="1:21" s="9" customFormat="1" ht="117.95" customHeight="1">
      <c r="A35" s="8"/>
      <c r="B35" s="35"/>
      <c r="C35" s="36"/>
      <c r="D35" s="36"/>
      <c r="E35" s="37"/>
      <c r="F35" s="56" t="s">
        <v>125</v>
      </c>
      <c r="G35" s="66" t="str">
        <f>IF(G5="Agregar columna opcional","",G5)</f>
        <v/>
      </c>
      <c r="H35" s="66" t="str">
        <f>IF(H5="Agregar columna opcional","",H5)</f>
        <v/>
      </c>
      <c r="I35" s="38" t="s">
        <v>129</v>
      </c>
      <c r="J35" s="66" t="str">
        <f>IF(J5="Agregar columna opcional","",J5)</f>
        <v/>
      </c>
      <c r="K35" s="66" t="str">
        <f>IF(K5="Agregar columna opcional","",K5)</f>
        <v/>
      </c>
      <c r="L35" s="38" t="s">
        <v>130</v>
      </c>
      <c r="M35" s="66" t="str">
        <f>IF(M5="Agregar columna opcional","",M5)</f>
        <v/>
      </c>
      <c r="N35" s="66" t="str">
        <f>IF(N5="Agregar columna opcional","",N5)</f>
        <v/>
      </c>
      <c r="O35" s="38" t="s">
        <v>131</v>
      </c>
      <c r="P35" s="38" t="s">
        <v>128</v>
      </c>
      <c r="Q35" s="38" t="s">
        <v>127</v>
      </c>
    </row>
    <row r="36" spans="1:21" s="7" customFormat="1" ht="11.25">
      <c r="B36" s="13"/>
      <c r="C36" s="14"/>
      <c r="D36" s="15" t="s">
        <v>0</v>
      </c>
      <c r="E36" s="16" t="s">
        <v>0</v>
      </c>
      <c r="F36" s="17"/>
      <c r="G36" s="32"/>
      <c r="H36" s="32"/>
      <c r="I36" s="18"/>
      <c r="J36" s="32"/>
      <c r="K36" s="32"/>
      <c r="L36" s="18"/>
      <c r="M36" s="32"/>
      <c r="N36" s="32"/>
      <c r="O36" s="18"/>
      <c r="P36" s="18"/>
      <c r="Q36" s="61"/>
    </row>
    <row r="37" spans="1:21" s="7" customFormat="1" ht="13.5" customHeight="1">
      <c r="B37" s="81" t="s">
        <v>859</v>
      </c>
      <c r="C37" s="79" t="s">
        <v>563</v>
      </c>
      <c r="D37" s="82" t="s">
        <v>2</v>
      </c>
      <c r="E37" s="83"/>
      <c r="F37" s="84" t="s">
        <v>132</v>
      </c>
      <c r="G37" s="87" t="s">
        <v>860</v>
      </c>
      <c r="H37" s="87"/>
      <c r="I37" s="89"/>
      <c r="J37" s="87"/>
      <c r="K37" s="87"/>
      <c r="L37" s="89"/>
      <c r="M37" s="87"/>
      <c r="N37" s="87"/>
      <c r="O37" s="89"/>
      <c r="P37" s="89"/>
      <c r="Q37" s="89"/>
    </row>
    <row r="38" spans="1:21" s="7" customFormat="1" ht="15" customHeight="1">
      <c r="B38" s="81" t="s">
        <v>859</v>
      </c>
      <c r="C38" s="79" t="s">
        <v>564</v>
      </c>
      <c r="D38" s="82" t="s">
        <v>2</v>
      </c>
      <c r="E38" s="83"/>
      <c r="F38" s="84" t="s">
        <v>133</v>
      </c>
      <c r="G38" s="87" t="s">
        <v>861</v>
      </c>
      <c r="H38" s="87"/>
      <c r="I38" s="89"/>
      <c r="J38" s="87"/>
      <c r="K38" s="87"/>
      <c r="L38" s="89"/>
      <c r="M38" s="87"/>
      <c r="N38" s="87"/>
      <c r="O38" s="89"/>
      <c r="P38" s="89"/>
      <c r="Q38" s="89"/>
      <c r="R38"/>
      <c r="S38"/>
      <c r="T38"/>
    </row>
    <row r="39" spans="1:21" s="7" customFormat="1" ht="15" customHeight="1">
      <c r="B39" s="81" t="s">
        <v>859</v>
      </c>
      <c r="C39" s="79" t="s">
        <v>565</v>
      </c>
      <c r="D39" s="82" t="s">
        <v>2</v>
      </c>
      <c r="E39" s="83" t="s">
        <v>0</v>
      </c>
      <c r="F39" s="84" t="s">
        <v>134</v>
      </c>
      <c r="G39" s="98">
        <v>1000</v>
      </c>
      <c r="H39" s="98"/>
      <c r="I39" s="115">
        <f>SUM(G39:H39)</f>
        <v>1000</v>
      </c>
      <c r="J39" s="98"/>
      <c r="K39" s="98"/>
      <c r="L39" s="115">
        <f>SUM(J39:K39)</f>
        <v>0</v>
      </c>
      <c r="M39" s="98"/>
      <c r="N39" s="98"/>
      <c r="O39" s="115">
        <f>SUM(M39:N39)</f>
        <v>0</v>
      </c>
      <c r="P39" s="115">
        <f>+I39+L39+O39</f>
        <v>1000</v>
      </c>
      <c r="Q39" s="100"/>
      <c r="R39"/>
      <c r="S39"/>
      <c r="T39"/>
    </row>
    <row r="40" spans="1:21" s="7" customFormat="1" ht="15" customHeight="1">
      <c r="B40" s="81" t="s">
        <v>859</v>
      </c>
      <c r="C40" s="79" t="s">
        <v>566</v>
      </c>
      <c r="D40" s="82" t="s">
        <v>2</v>
      </c>
      <c r="E40" s="83"/>
      <c r="F40" s="84" t="s">
        <v>135</v>
      </c>
      <c r="G40" s="87" t="s">
        <v>862</v>
      </c>
      <c r="H40" s="87"/>
      <c r="I40" s="89"/>
      <c r="J40" s="87"/>
      <c r="K40" s="87"/>
      <c r="L40" s="89"/>
      <c r="M40" s="87"/>
      <c r="N40" s="87"/>
      <c r="O40" s="89"/>
      <c r="P40" s="89"/>
      <c r="Q40" s="89"/>
      <c r="R40"/>
      <c r="S40"/>
      <c r="T40"/>
    </row>
    <row r="41" spans="1:21" s="7" customFormat="1" ht="15" customHeight="1">
      <c r="B41" s="81" t="s">
        <v>859</v>
      </c>
      <c r="C41" s="79" t="s">
        <v>567</v>
      </c>
      <c r="D41" s="82" t="s">
        <v>2</v>
      </c>
      <c r="E41" s="83" t="s">
        <v>0</v>
      </c>
      <c r="F41" s="84" t="s">
        <v>136</v>
      </c>
      <c r="G41" s="98">
        <v>2000</v>
      </c>
      <c r="H41" s="98"/>
      <c r="I41" s="115">
        <f>SUM(G41:H41)</f>
        <v>2000</v>
      </c>
      <c r="J41" s="98"/>
      <c r="K41" s="98"/>
      <c r="L41" s="115">
        <f>SUM(J41:K41)</f>
        <v>0</v>
      </c>
      <c r="M41" s="98"/>
      <c r="N41" s="98"/>
      <c r="O41" s="115">
        <f>SUM(M41:N41)</f>
        <v>0</v>
      </c>
      <c r="P41" s="115">
        <f>+I41+L41+O41</f>
        <v>2000</v>
      </c>
      <c r="Q41" s="100"/>
      <c r="R41"/>
      <c r="S41"/>
      <c r="T41"/>
    </row>
    <row r="42" spans="1:21" s="7" customFormat="1" ht="22.5">
      <c r="B42" s="81" t="s">
        <v>859</v>
      </c>
      <c r="C42" s="79" t="s">
        <v>568</v>
      </c>
      <c r="D42" s="82" t="s">
        <v>2</v>
      </c>
      <c r="E42" s="83" t="s">
        <v>0</v>
      </c>
      <c r="F42" s="84" t="s">
        <v>137</v>
      </c>
      <c r="G42" s="98">
        <v>3000</v>
      </c>
      <c r="H42" s="98"/>
      <c r="I42" s="115">
        <f>SUM(G42:H42)</f>
        <v>3000</v>
      </c>
      <c r="J42" s="98"/>
      <c r="K42" s="98"/>
      <c r="L42" s="115">
        <f>SUM(J42:K42)</f>
        <v>0</v>
      </c>
      <c r="M42" s="98"/>
      <c r="N42" s="98"/>
      <c r="O42" s="115">
        <f>SUM(M42:N42)</f>
        <v>0</v>
      </c>
      <c r="P42" s="115">
        <f>+I42+L42+O42</f>
        <v>3000</v>
      </c>
      <c r="Q42" s="100"/>
      <c r="R42"/>
      <c r="S42"/>
      <c r="T42"/>
    </row>
    <row r="43" spans="1:21" s="7" customFormat="1" ht="15" customHeight="1">
      <c r="B43" s="81" t="s">
        <v>859</v>
      </c>
      <c r="C43" s="79" t="s">
        <v>569</v>
      </c>
      <c r="D43" s="82" t="s">
        <v>2</v>
      </c>
      <c r="E43" s="83" t="s">
        <v>0</v>
      </c>
      <c r="F43" s="84" t="s">
        <v>138</v>
      </c>
      <c r="G43" s="98">
        <v>4000</v>
      </c>
      <c r="H43" s="98"/>
      <c r="I43" s="115">
        <f>SUM(G43:H43)</f>
        <v>4000</v>
      </c>
      <c r="J43" s="98"/>
      <c r="K43" s="98"/>
      <c r="L43" s="115">
        <f>SUM(J43:K43)</f>
        <v>0</v>
      </c>
      <c r="M43" s="98"/>
      <c r="N43" s="98"/>
      <c r="O43" s="115">
        <f>SUM(M43:N43)</f>
        <v>0</v>
      </c>
      <c r="P43" s="115">
        <f>+I43+L43+O43</f>
        <v>4000</v>
      </c>
      <c r="Q43" s="100"/>
      <c r="R43"/>
      <c r="S43"/>
      <c r="T43"/>
    </row>
    <row r="44" spans="1:21" s="7" customFormat="1" ht="22.5">
      <c r="B44" s="81" t="s">
        <v>859</v>
      </c>
      <c r="C44" s="79" t="s">
        <v>570</v>
      </c>
      <c r="D44" s="82" t="s">
        <v>2</v>
      </c>
      <c r="E44" s="83"/>
      <c r="F44" s="84" t="s">
        <v>139</v>
      </c>
      <c r="G44" s="87" t="s">
        <v>863</v>
      </c>
      <c r="H44" s="87"/>
      <c r="I44" s="89"/>
      <c r="J44" s="87"/>
      <c r="K44" s="87"/>
      <c r="L44" s="89"/>
      <c r="M44" s="87"/>
      <c r="N44" s="87"/>
      <c r="O44" s="89"/>
      <c r="P44" s="89"/>
      <c r="Q44" s="89"/>
      <c r="R44"/>
      <c r="S44"/>
      <c r="T44"/>
    </row>
    <row r="45" spans="1:21" s="7" customFormat="1" ht="15" customHeight="1">
      <c r="B45" s="81" t="s">
        <v>859</v>
      </c>
      <c r="C45" s="79" t="s">
        <v>571</v>
      </c>
      <c r="D45" s="82" t="s">
        <v>2</v>
      </c>
      <c r="E45" s="83" t="s">
        <v>0</v>
      </c>
      <c r="F45" s="84" t="s">
        <v>140</v>
      </c>
      <c r="G45" s="98">
        <v>5000</v>
      </c>
      <c r="H45" s="98"/>
      <c r="I45" s="115">
        <f>SUM(G45:H45)</f>
        <v>5000</v>
      </c>
      <c r="J45" s="98"/>
      <c r="K45" s="98"/>
      <c r="L45" s="115">
        <f>SUM(J45:K45)</f>
        <v>0</v>
      </c>
      <c r="M45" s="98"/>
      <c r="N45" s="98"/>
      <c r="O45" s="115">
        <f>SUM(M45:N45)</f>
        <v>0</v>
      </c>
      <c r="P45" s="115">
        <f>+I45+L45+O45</f>
        <v>5000</v>
      </c>
      <c r="Q45" s="100"/>
      <c r="R45"/>
      <c r="S45"/>
      <c r="T45"/>
    </row>
    <row r="46" spans="1:21" s="7" customFormat="1" ht="22.5">
      <c r="B46" s="81" t="s">
        <v>859</v>
      </c>
      <c r="C46" s="79" t="s">
        <v>572</v>
      </c>
      <c r="D46" s="82" t="s">
        <v>2</v>
      </c>
      <c r="E46" s="83"/>
      <c r="F46" s="84" t="s">
        <v>141</v>
      </c>
      <c r="G46" s="87" t="s">
        <v>864</v>
      </c>
      <c r="H46" s="87"/>
      <c r="I46" s="89"/>
      <c r="J46" s="87"/>
      <c r="K46" s="87"/>
      <c r="L46" s="89"/>
      <c r="M46" s="87"/>
      <c r="N46" s="87"/>
      <c r="O46" s="89"/>
      <c r="P46" s="89"/>
      <c r="Q46" s="89"/>
      <c r="R46"/>
      <c r="S46"/>
      <c r="T46"/>
    </row>
    <row r="47" spans="1:21" s="7" customFormat="1" ht="22.5">
      <c r="B47" s="81" t="s">
        <v>859</v>
      </c>
      <c r="C47" s="79" t="s">
        <v>573</v>
      </c>
      <c r="D47" s="82" t="s">
        <v>2</v>
      </c>
      <c r="E47" s="83"/>
      <c r="F47" s="84" t="s">
        <v>142</v>
      </c>
      <c r="G47" s="87" t="s">
        <v>865</v>
      </c>
      <c r="H47" s="87"/>
      <c r="I47" s="89"/>
      <c r="J47" s="87"/>
      <c r="K47" s="87"/>
      <c r="L47" s="89"/>
      <c r="M47" s="87"/>
      <c r="N47" s="87"/>
      <c r="O47" s="89"/>
      <c r="P47" s="89"/>
      <c r="Q47" s="89"/>
      <c r="R47"/>
      <c r="S47"/>
      <c r="T47"/>
    </row>
    <row r="48" spans="1:21" s="7" customFormat="1" ht="27" customHeight="1">
      <c r="B48" s="81" t="s">
        <v>859</v>
      </c>
      <c r="C48" s="79" t="s">
        <v>574</v>
      </c>
      <c r="D48" s="82" t="s">
        <v>2</v>
      </c>
      <c r="E48" s="83"/>
      <c r="F48" s="84" t="s">
        <v>143</v>
      </c>
      <c r="G48" s="87" t="s">
        <v>866</v>
      </c>
      <c r="H48" s="87"/>
      <c r="I48" s="89"/>
      <c r="J48" s="87"/>
      <c r="K48" s="87"/>
      <c r="L48" s="89"/>
      <c r="M48" s="87"/>
      <c r="N48" s="87"/>
      <c r="O48" s="89"/>
      <c r="P48" s="89"/>
      <c r="Q48" s="89"/>
      <c r="R48"/>
      <c r="S48"/>
      <c r="T48"/>
    </row>
    <row r="49" spans="2:20" s="7" customFormat="1" ht="22.5">
      <c r="B49" s="81" t="s">
        <v>859</v>
      </c>
      <c r="C49" s="79" t="s">
        <v>504</v>
      </c>
      <c r="D49" s="82" t="s">
        <v>2</v>
      </c>
      <c r="E49" s="83"/>
      <c r="F49" s="84" t="s">
        <v>45</v>
      </c>
      <c r="G49" s="87" t="s">
        <v>867</v>
      </c>
      <c r="H49" s="87"/>
      <c r="I49" s="89"/>
      <c r="J49" s="87"/>
      <c r="K49" s="87"/>
      <c r="L49" s="89"/>
      <c r="M49" s="87"/>
      <c r="N49" s="87"/>
      <c r="O49" s="89"/>
      <c r="P49" s="89"/>
      <c r="Q49" s="89"/>
      <c r="R49"/>
      <c r="S49"/>
      <c r="T49"/>
    </row>
    <row r="50" spans="2:20" s="7" customFormat="1" ht="15" customHeight="1">
      <c r="B50" s="81" t="s">
        <v>859</v>
      </c>
      <c r="C50" s="79" t="s">
        <v>505</v>
      </c>
      <c r="D50" s="82" t="s">
        <v>2</v>
      </c>
      <c r="E50" s="83" t="s">
        <v>0</v>
      </c>
      <c r="F50" s="84" t="s">
        <v>46</v>
      </c>
      <c r="G50" s="98">
        <v>6000</v>
      </c>
      <c r="H50" s="98"/>
      <c r="I50" s="99">
        <f>SUM(G50:H50)</f>
        <v>6000</v>
      </c>
      <c r="J50" s="98"/>
      <c r="K50" s="98"/>
      <c r="L50" s="115">
        <f>SUM(J50:K50)</f>
        <v>0</v>
      </c>
      <c r="M50" s="98"/>
      <c r="N50" s="98"/>
      <c r="O50" s="115">
        <f>SUM(M50:N50)</f>
        <v>0</v>
      </c>
      <c r="P50" s="115">
        <f>+I50+L50+O50</f>
        <v>6000</v>
      </c>
      <c r="Q50" s="100"/>
      <c r="R50"/>
      <c r="S50"/>
      <c r="T50"/>
    </row>
    <row r="51" spans="2:20" s="7" customFormat="1" ht="22.5">
      <c r="B51" s="81" t="s">
        <v>859</v>
      </c>
      <c r="C51" s="79" t="s">
        <v>506</v>
      </c>
      <c r="D51" s="82" t="s">
        <v>2</v>
      </c>
      <c r="E51" s="83"/>
      <c r="F51" s="84" t="s">
        <v>47</v>
      </c>
      <c r="G51" s="87" t="s">
        <v>868</v>
      </c>
      <c r="H51" s="87"/>
      <c r="I51" s="89"/>
      <c r="J51" s="87"/>
      <c r="K51" s="87"/>
      <c r="L51" s="89"/>
      <c r="M51" s="87"/>
      <c r="N51" s="87"/>
      <c r="O51" s="89"/>
      <c r="P51" s="89"/>
      <c r="Q51" s="89"/>
      <c r="R51"/>
      <c r="S51"/>
      <c r="T51"/>
    </row>
    <row r="52" spans="2:20" s="7" customFormat="1" ht="15" customHeight="1">
      <c r="B52" s="81" t="s">
        <v>859</v>
      </c>
      <c r="C52" s="79" t="s">
        <v>508</v>
      </c>
      <c r="D52" s="82" t="s">
        <v>2</v>
      </c>
      <c r="E52" s="83"/>
      <c r="F52" s="84" t="s">
        <v>48</v>
      </c>
      <c r="G52" s="87" t="s">
        <v>869</v>
      </c>
      <c r="H52" s="87"/>
      <c r="I52" s="89"/>
      <c r="J52" s="87"/>
      <c r="K52" s="87"/>
      <c r="L52" s="89"/>
      <c r="M52" s="87"/>
      <c r="N52" s="87"/>
      <c r="O52" s="89"/>
      <c r="P52" s="89"/>
      <c r="Q52" s="89"/>
      <c r="R52"/>
      <c r="S52"/>
      <c r="T52"/>
    </row>
    <row r="53" spans="2:20" s="7" customFormat="1" ht="22.5">
      <c r="B53" s="81" t="s">
        <v>859</v>
      </c>
      <c r="C53" s="79" t="s">
        <v>575</v>
      </c>
      <c r="D53" s="82" t="s">
        <v>2</v>
      </c>
      <c r="E53" s="83"/>
      <c r="F53" s="84" t="s">
        <v>144</v>
      </c>
      <c r="G53" s="87" t="s">
        <v>870</v>
      </c>
      <c r="H53" s="87"/>
      <c r="I53" s="89"/>
      <c r="J53" s="87"/>
      <c r="K53" s="87"/>
      <c r="L53" s="89"/>
      <c r="M53" s="87"/>
      <c r="N53" s="87"/>
      <c r="O53" s="89"/>
      <c r="P53" s="89"/>
      <c r="Q53" s="89"/>
      <c r="R53"/>
      <c r="S53"/>
      <c r="T53"/>
    </row>
    <row r="54" spans="2:20" s="7" customFormat="1" ht="22.5">
      <c r="B54" s="81" t="s">
        <v>859</v>
      </c>
      <c r="C54" s="79" t="s">
        <v>503</v>
      </c>
      <c r="D54" s="82" t="s">
        <v>2</v>
      </c>
      <c r="E54" s="83"/>
      <c r="F54" s="84" t="s">
        <v>145</v>
      </c>
      <c r="G54" s="87" t="s">
        <v>871</v>
      </c>
      <c r="H54" s="87"/>
      <c r="I54" s="89"/>
      <c r="J54" s="87"/>
      <c r="K54" s="87"/>
      <c r="L54" s="89"/>
      <c r="M54" s="87"/>
      <c r="N54" s="87"/>
      <c r="O54" s="89"/>
      <c r="P54" s="89"/>
      <c r="Q54" s="89"/>
      <c r="R54"/>
      <c r="S54"/>
      <c r="T54"/>
    </row>
    <row r="55" spans="2:20" s="7" customFormat="1">
      <c r="B55" s="81" t="s">
        <v>859</v>
      </c>
      <c r="C55" s="79" t="s">
        <v>576</v>
      </c>
      <c r="D55" s="82" t="s">
        <v>2</v>
      </c>
      <c r="E55" s="83" t="s">
        <v>0</v>
      </c>
      <c r="F55" s="84" t="s">
        <v>146</v>
      </c>
      <c r="G55" s="98">
        <v>7000</v>
      </c>
      <c r="H55" s="98"/>
      <c r="I55" s="115">
        <f>SUM(G55:H55)</f>
        <v>7000</v>
      </c>
      <c r="J55" s="98"/>
      <c r="K55" s="98"/>
      <c r="L55" s="115">
        <f>SUM(J55:K55)</f>
        <v>0</v>
      </c>
      <c r="M55" s="98"/>
      <c r="N55" s="98"/>
      <c r="O55" s="115">
        <f>SUM(M55:N55)</f>
        <v>0</v>
      </c>
      <c r="P55" s="115">
        <f>+I55+L55+O55</f>
        <v>7000</v>
      </c>
      <c r="Q55" s="100"/>
      <c r="R55"/>
      <c r="S55"/>
      <c r="T55"/>
    </row>
    <row r="56" spans="2:20" s="7" customFormat="1" ht="22.5">
      <c r="B56" s="81" t="s">
        <v>859</v>
      </c>
      <c r="C56" s="79" t="s">
        <v>577</v>
      </c>
      <c r="D56" s="82" t="s">
        <v>2</v>
      </c>
      <c r="E56" s="83"/>
      <c r="F56" s="84" t="s">
        <v>147</v>
      </c>
      <c r="G56" s="87" t="s">
        <v>872</v>
      </c>
      <c r="H56" s="87"/>
      <c r="I56" s="89"/>
      <c r="J56" s="87"/>
      <c r="K56" s="87"/>
      <c r="L56" s="89"/>
      <c r="M56" s="87"/>
      <c r="N56" s="87"/>
      <c r="O56" s="89"/>
      <c r="P56" s="89"/>
      <c r="Q56" s="89"/>
      <c r="R56"/>
      <c r="S56"/>
      <c r="T56"/>
    </row>
    <row r="57" spans="2:20" s="7" customFormat="1" ht="22.5">
      <c r="B57" s="81" t="s">
        <v>859</v>
      </c>
      <c r="C57" s="79" t="s">
        <v>578</v>
      </c>
      <c r="D57" s="82" t="s">
        <v>2</v>
      </c>
      <c r="E57" s="83" t="s">
        <v>0</v>
      </c>
      <c r="F57" s="84" t="s">
        <v>148</v>
      </c>
      <c r="G57" s="98">
        <v>8000</v>
      </c>
      <c r="H57" s="98"/>
      <c r="I57" s="115">
        <f>SUM(G57:H57)</f>
        <v>8000</v>
      </c>
      <c r="J57" s="98"/>
      <c r="K57" s="98"/>
      <c r="L57" s="115">
        <f>SUM(J57:K57)</f>
        <v>0</v>
      </c>
      <c r="M57" s="98"/>
      <c r="N57" s="98"/>
      <c r="O57" s="115">
        <f>SUM(M57:N57)</f>
        <v>0</v>
      </c>
      <c r="P57" s="115">
        <f>+I57+L57+O57</f>
        <v>8000</v>
      </c>
      <c r="Q57" s="100"/>
      <c r="R57"/>
      <c r="S57"/>
      <c r="T57"/>
    </row>
    <row r="58" spans="2:20" s="7" customFormat="1" ht="33.75">
      <c r="B58" s="81" t="s">
        <v>859</v>
      </c>
      <c r="C58" s="79" t="s">
        <v>579</v>
      </c>
      <c r="D58" s="82" t="s">
        <v>2</v>
      </c>
      <c r="E58" s="83"/>
      <c r="F58" s="84" t="s">
        <v>149</v>
      </c>
      <c r="G58" s="87" t="s">
        <v>875</v>
      </c>
      <c r="H58" s="87"/>
      <c r="I58" s="89"/>
      <c r="J58" s="87"/>
      <c r="K58" s="87"/>
      <c r="L58" s="89"/>
      <c r="M58" s="87"/>
      <c r="N58" s="87"/>
      <c r="O58" s="89"/>
      <c r="P58" s="89"/>
      <c r="Q58" s="89"/>
      <c r="R58"/>
      <c r="S58"/>
      <c r="T58"/>
    </row>
    <row r="59" spans="2:20" s="7" customFormat="1" ht="22.5" customHeight="1">
      <c r="B59" s="81" t="s">
        <v>859</v>
      </c>
      <c r="C59" s="79" t="s">
        <v>580</v>
      </c>
      <c r="D59" s="82" t="s">
        <v>2</v>
      </c>
      <c r="E59" s="83"/>
      <c r="F59" s="84" t="s">
        <v>150</v>
      </c>
      <c r="G59" s="87" t="s">
        <v>876</v>
      </c>
      <c r="H59" s="87"/>
      <c r="I59" s="89"/>
      <c r="J59" s="87"/>
      <c r="K59" s="87"/>
      <c r="L59" s="89"/>
      <c r="M59" s="87"/>
      <c r="N59" s="87"/>
      <c r="O59" s="89"/>
      <c r="P59" s="89"/>
      <c r="Q59" s="89"/>
      <c r="R59"/>
      <c r="S59"/>
      <c r="T59"/>
    </row>
    <row r="60" spans="2:20" s="7" customFormat="1" ht="22.5">
      <c r="B60" s="81" t="s">
        <v>859</v>
      </c>
      <c r="C60" s="79" t="s">
        <v>581</v>
      </c>
      <c r="D60" s="82" t="s">
        <v>2</v>
      </c>
      <c r="E60" s="83"/>
      <c r="F60" s="84" t="s">
        <v>151</v>
      </c>
      <c r="G60" s="87" t="s">
        <v>880</v>
      </c>
      <c r="H60" s="87"/>
      <c r="I60" s="89"/>
      <c r="J60" s="87"/>
      <c r="K60" s="87"/>
      <c r="L60" s="89"/>
      <c r="M60" s="87"/>
      <c r="N60" s="87"/>
      <c r="O60" s="89"/>
      <c r="P60" s="89"/>
      <c r="Q60" s="89"/>
      <c r="R60"/>
      <c r="S60"/>
      <c r="T60"/>
    </row>
    <row r="61" spans="2:20" s="7" customFormat="1" ht="22.5">
      <c r="B61" s="81" t="s">
        <v>859</v>
      </c>
      <c r="C61" s="79" t="s">
        <v>582</v>
      </c>
      <c r="D61" s="82" t="s">
        <v>2</v>
      </c>
      <c r="E61" s="83"/>
      <c r="F61" s="84" t="s">
        <v>152</v>
      </c>
      <c r="G61" s="87" t="s">
        <v>881</v>
      </c>
      <c r="H61" s="87"/>
      <c r="I61" s="89"/>
      <c r="J61" s="87"/>
      <c r="K61" s="87"/>
      <c r="L61" s="89"/>
      <c r="M61" s="87"/>
      <c r="N61" s="87"/>
      <c r="O61" s="89"/>
      <c r="P61" s="89"/>
      <c r="Q61" s="89"/>
      <c r="R61"/>
      <c r="S61"/>
      <c r="T61"/>
    </row>
    <row r="62" spans="2:20" s="7" customFormat="1" ht="15" customHeight="1">
      <c r="B62" s="25"/>
      <c r="C62" s="26"/>
      <c r="D62" s="26"/>
      <c r="E62" s="26"/>
      <c r="F62" s="26"/>
      <c r="G62" s="33"/>
      <c r="H62" s="33"/>
      <c r="I62" s="26"/>
      <c r="J62" s="33"/>
      <c r="K62" s="33"/>
      <c r="L62" s="26"/>
      <c r="M62" s="33"/>
      <c r="N62" s="33"/>
      <c r="O62" s="26"/>
      <c r="P62" s="26"/>
      <c r="Q62" s="62"/>
    </row>
  </sheetData>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Hoja1!$B$93:$B$94</xm:f>
          </x14:formula1>
          <xm:sqref>G4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R36"/>
  <sheetViews>
    <sheetView topLeftCell="A10" zoomScale="80" zoomScaleNormal="80" workbookViewId="0">
      <selection activeCell="G8" sqref="G8:G19"/>
    </sheetView>
  </sheetViews>
  <sheetFormatPr baseColWidth="10" defaultRowHeight="15"/>
  <cols>
    <col min="1" max="1" width="2.140625" customWidth="1"/>
    <col min="2" max="2" width="3.5703125" customWidth="1"/>
    <col min="3" max="3" width="4" customWidth="1"/>
    <col min="4" max="4" width="5" customWidth="1"/>
    <col min="5" max="5" width="1.7109375" customWidth="1"/>
    <col min="6" max="6" width="90.7109375" customWidth="1"/>
    <col min="7" max="8" width="12.28515625" customWidth="1"/>
    <col min="9" max="9" width="13.5703125" customWidth="1"/>
    <col min="10" max="11" width="12.28515625" customWidth="1"/>
    <col min="12" max="14" width="12.5703125" customWidth="1"/>
  </cols>
  <sheetData>
    <row r="1" spans="1:17" ht="39.950000000000003" customHeight="1" thickBot="1">
      <c r="F1" s="40" t="s">
        <v>4</v>
      </c>
    </row>
    <row r="2" spans="1:17" ht="164.25" thickBot="1">
      <c r="F2" s="28" t="s">
        <v>3</v>
      </c>
    </row>
    <row r="3" spans="1:17" s="7" customFormat="1" ht="16.5" thickBot="1">
      <c r="A3" s="6"/>
      <c r="F3" s="57" t="s">
        <v>5</v>
      </c>
      <c r="G3" s="5"/>
      <c r="H3" s="5"/>
      <c r="I3" s="5"/>
      <c r="J3" s="5"/>
      <c r="K3" s="5"/>
      <c r="L3" s="5"/>
      <c r="M3" s="5"/>
      <c r="N3" s="5"/>
    </row>
    <row r="4" spans="1:17" s="7" customFormat="1" ht="16.5" thickBot="1">
      <c r="A4" s="6"/>
      <c r="F4" s="113" t="s">
        <v>445</v>
      </c>
      <c r="G4" s="114" t="s">
        <v>444</v>
      </c>
      <c r="H4" s="5"/>
      <c r="I4" s="5"/>
      <c r="J4" s="5"/>
      <c r="K4" s="5"/>
      <c r="L4" s="5"/>
      <c r="M4" s="5"/>
      <c r="N4" s="5"/>
    </row>
    <row r="5" spans="1:17" s="9" customFormat="1" ht="123.75">
      <c r="A5" s="8" t="s">
        <v>617</v>
      </c>
      <c r="B5" s="35"/>
      <c r="C5" s="36"/>
      <c r="D5" s="36"/>
      <c r="E5" s="37"/>
      <c r="F5" s="56" t="s">
        <v>181</v>
      </c>
      <c r="G5" s="58" t="s">
        <v>12</v>
      </c>
      <c r="H5" s="58" t="s">
        <v>12</v>
      </c>
      <c r="I5" s="38" t="s">
        <v>178</v>
      </c>
      <c r="J5" s="58" t="s">
        <v>12</v>
      </c>
      <c r="K5" s="58" t="s">
        <v>12</v>
      </c>
      <c r="L5" s="38" t="s">
        <v>179</v>
      </c>
      <c r="M5" s="38" t="s">
        <v>180</v>
      </c>
      <c r="N5" s="38" t="s">
        <v>195</v>
      </c>
    </row>
    <row r="6" spans="1:17" s="7" customFormat="1" ht="168" hidden="1" customHeight="1">
      <c r="A6" s="29" t="s">
        <v>618</v>
      </c>
      <c r="B6" s="10"/>
      <c r="C6" s="11"/>
      <c r="D6" s="12" t="s">
        <v>632</v>
      </c>
      <c r="E6" s="30" t="s">
        <v>631</v>
      </c>
      <c r="F6" s="59"/>
      <c r="G6" s="31" t="str">
        <f>SUBSTITUTE(CONCATENATE("IFRS12-ReveSubsNoConso_",TRIM(G5),"_",COLUMN(G6),"|",G5)," ","")</f>
        <v>IFRS12-ReveSubsNoConso_Agregarcolumnaopcional_7|Agregarcolumnaopcional</v>
      </c>
      <c r="H6" s="31" t="str">
        <f>SUBSTITUTE(CONCATENATE("IFRS12-ReveSubsNoConso_",TRIM(H5),"_",COLUMN(H6),"|",H5)," ","")</f>
        <v>IFRS12-ReveSubsNoConso_Agregarcolumnaopcional_8|Agregarcolumnaopcional</v>
      </c>
      <c r="I6" s="34" t="s">
        <v>583</v>
      </c>
      <c r="J6" s="31" t="str">
        <f>SUBSTITUTE(CONCATENATE("IFRS12-ReveSubsNoConso_",TRIM(J5),"_",COLUMN(J6),"|",J5)," ","")</f>
        <v>IFRS12-ReveSubsNoConso_Agregarcolumnaopcional_10|Agregarcolumnaopcional</v>
      </c>
      <c r="K6" s="31" t="str">
        <f>SUBSTITUTE(CONCATENATE("IFRS12-ReveSubsNoConso_",TRIM(K5),"_",COLUMN(K6),"|",K5)," ","")</f>
        <v>IFRS12-ReveSubsNoConso_Agregarcolumnaopcional_11|Agregarcolumnaopcional</v>
      </c>
      <c r="L6" s="34" t="s">
        <v>584</v>
      </c>
      <c r="M6" s="60" t="s">
        <v>585</v>
      </c>
      <c r="N6" s="60" t="s">
        <v>586</v>
      </c>
    </row>
    <row r="7" spans="1:17" s="7" customFormat="1" ht="11.25">
      <c r="B7" s="13"/>
      <c r="C7" s="14"/>
      <c r="D7" s="15" t="s">
        <v>0</v>
      </c>
      <c r="E7" s="16" t="s">
        <v>0</v>
      </c>
      <c r="F7" s="17"/>
      <c r="G7" s="32"/>
      <c r="H7" s="32"/>
      <c r="I7" s="18"/>
      <c r="J7" s="32"/>
      <c r="K7" s="32"/>
      <c r="L7" s="18"/>
      <c r="M7" s="18"/>
      <c r="N7" s="61"/>
    </row>
    <row r="8" spans="1:17" s="7" customFormat="1" ht="11.25">
      <c r="B8" s="81" t="s">
        <v>859</v>
      </c>
      <c r="C8" s="79" t="s">
        <v>494</v>
      </c>
      <c r="D8" s="82" t="s">
        <v>1</v>
      </c>
      <c r="E8" s="83" t="s">
        <v>0</v>
      </c>
      <c r="F8" s="84" t="s">
        <v>182</v>
      </c>
      <c r="G8" s="154" t="s">
        <v>860</v>
      </c>
      <c r="H8" s="87"/>
      <c r="I8" s="89"/>
      <c r="J8" s="87"/>
      <c r="K8" s="87"/>
      <c r="L8" s="89"/>
      <c r="M8" s="89"/>
      <c r="N8" s="89"/>
    </row>
    <row r="9" spans="1:17" s="7" customFormat="1">
      <c r="B9" s="81" t="s">
        <v>859</v>
      </c>
      <c r="C9" s="79" t="s">
        <v>495</v>
      </c>
      <c r="D9" s="82" t="s">
        <v>1</v>
      </c>
      <c r="E9" s="83" t="s">
        <v>0</v>
      </c>
      <c r="F9" s="84" t="s">
        <v>183</v>
      </c>
      <c r="G9" s="154" t="s">
        <v>861</v>
      </c>
      <c r="H9" s="87"/>
      <c r="I9" s="89"/>
      <c r="J9" s="87"/>
      <c r="K9" s="87"/>
      <c r="L9" s="89"/>
      <c r="M9" s="89"/>
      <c r="N9" s="89"/>
      <c r="O9"/>
      <c r="P9"/>
      <c r="Q9"/>
    </row>
    <row r="10" spans="1:17" s="7" customFormat="1">
      <c r="B10" s="81" t="s">
        <v>859</v>
      </c>
      <c r="C10" s="79" t="s">
        <v>658</v>
      </c>
      <c r="D10" s="82" t="s">
        <v>1</v>
      </c>
      <c r="E10" s="83" t="s">
        <v>0</v>
      </c>
      <c r="F10" s="84" t="s">
        <v>657</v>
      </c>
      <c r="G10" s="156" t="s">
        <v>236</v>
      </c>
      <c r="H10" s="135"/>
      <c r="I10" s="89"/>
      <c r="J10" s="135"/>
      <c r="K10" s="135"/>
      <c r="L10" s="89"/>
      <c r="M10" s="89"/>
      <c r="N10" s="89"/>
      <c r="O10"/>
      <c r="P10"/>
      <c r="Q10"/>
    </row>
    <row r="11" spans="1:17" s="7" customFormat="1">
      <c r="B11" s="81" t="s">
        <v>859</v>
      </c>
      <c r="C11" s="79" t="s">
        <v>587</v>
      </c>
      <c r="D11" s="82" t="s">
        <v>1</v>
      </c>
      <c r="E11" s="83" t="s">
        <v>0</v>
      </c>
      <c r="F11" s="84" t="s">
        <v>184</v>
      </c>
      <c r="G11" s="162">
        <v>0.3</v>
      </c>
      <c r="H11" s="101"/>
      <c r="I11" s="102"/>
      <c r="J11" s="101"/>
      <c r="K11" s="101"/>
      <c r="L11" s="102"/>
      <c r="M11" s="102"/>
      <c r="N11" s="102"/>
      <c r="O11"/>
      <c r="P11"/>
      <c r="Q11"/>
    </row>
    <row r="12" spans="1:17" s="7" customFormat="1">
      <c r="B12" s="81" t="s">
        <v>859</v>
      </c>
      <c r="C12" s="79" t="s">
        <v>664</v>
      </c>
      <c r="D12" s="82" t="s">
        <v>1</v>
      </c>
      <c r="E12" s="83"/>
      <c r="F12" s="84" t="s">
        <v>851</v>
      </c>
      <c r="G12" s="162">
        <v>0.9</v>
      </c>
      <c r="H12" s="101"/>
      <c r="I12" s="102"/>
      <c r="J12" s="101"/>
      <c r="K12" s="101"/>
      <c r="L12" s="102"/>
      <c r="M12" s="102"/>
      <c r="N12" s="102"/>
      <c r="O12"/>
      <c r="P12"/>
      <c r="Q12"/>
    </row>
    <row r="13" spans="1:17" s="7" customFormat="1">
      <c r="B13" s="81" t="s">
        <v>859</v>
      </c>
      <c r="C13" s="79" t="s">
        <v>665</v>
      </c>
      <c r="D13" s="82" t="s">
        <v>1</v>
      </c>
      <c r="E13" s="83"/>
      <c r="F13" s="84" t="s">
        <v>852</v>
      </c>
      <c r="G13" s="162">
        <v>0.1</v>
      </c>
      <c r="H13" s="101"/>
      <c r="I13" s="102"/>
      <c r="J13" s="101"/>
      <c r="K13" s="101"/>
      <c r="L13" s="102"/>
      <c r="M13" s="102"/>
      <c r="N13" s="102"/>
      <c r="O13"/>
      <c r="P13"/>
      <c r="Q13"/>
    </row>
    <row r="14" spans="1:17" s="7" customFormat="1">
      <c r="B14" s="81" t="s">
        <v>859</v>
      </c>
      <c r="C14" s="79" t="s">
        <v>588</v>
      </c>
      <c r="D14" s="82" t="s">
        <v>1</v>
      </c>
      <c r="E14" s="83" t="s">
        <v>0</v>
      </c>
      <c r="F14" s="84" t="s">
        <v>185</v>
      </c>
      <c r="G14" s="162">
        <v>0.8</v>
      </c>
      <c r="H14" s="101"/>
      <c r="I14" s="102"/>
      <c r="J14" s="101"/>
      <c r="K14" s="101"/>
      <c r="L14" s="102"/>
      <c r="M14" s="102"/>
      <c r="N14" s="102"/>
      <c r="O14"/>
      <c r="P14"/>
      <c r="Q14"/>
    </row>
    <row r="15" spans="1:17" s="7" customFormat="1" ht="22.5">
      <c r="B15" s="81" t="s">
        <v>859</v>
      </c>
      <c r="C15" s="79" t="s">
        <v>526</v>
      </c>
      <c r="D15" s="82" t="s">
        <v>1</v>
      </c>
      <c r="E15" s="83" t="s">
        <v>0</v>
      </c>
      <c r="F15" s="84" t="s">
        <v>186</v>
      </c>
      <c r="G15" s="159" t="s">
        <v>863</v>
      </c>
      <c r="H15" s="98"/>
      <c r="I15" s="98"/>
      <c r="J15" s="98"/>
      <c r="K15" s="98"/>
      <c r="L15" s="89"/>
      <c r="M15" s="89"/>
      <c r="N15" s="100"/>
      <c r="O15"/>
      <c r="P15"/>
      <c r="Q15"/>
    </row>
    <row r="16" spans="1:17" s="7" customFormat="1" ht="22.5">
      <c r="B16" s="81" t="s">
        <v>859</v>
      </c>
      <c r="C16" s="79" t="s">
        <v>589</v>
      </c>
      <c r="D16" s="82" t="s">
        <v>1</v>
      </c>
      <c r="E16" s="83" t="s">
        <v>0</v>
      </c>
      <c r="F16" s="84" t="s">
        <v>187</v>
      </c>
      <c r="G16" s="159" t="s">
        <v>864</v>
      </c>
      <c r="H16" s="98"/>
      <c r="I16" s="98"/>
      <c r="J16" s="98"/>
      <c r="K16" s="98"/>
      <c r="L16" s="89"/>
      <c r="M16" s="89"/>
      <c r="N16" s="100"/>
      <c r="O16"/>
      <c r="P16"/>
      <c r="Q16"/>
    </row>
    <row r="17" spans="1:18" s="7" customFormat="1" ht="22.5">
      <c r="B17" s="81" t="s">
        <v>859</v>
      </c>
      <c r="C17" s="79" t="s">
        <v>590</v>
      </c>
      <c r="D17" s="82" t="s">
        <v>1</v>
      </c>
      <c r="E17" s="83" t="s">
        <v>0</v>
      </c>
      <c r="F17" s="84" t="s">
        <v>188</v>
      </c>
      <c r="G17" s="154" t="s">
        <v>865</v>
      </c>
      <c r="H17" s="87"/>
      <c r="I17" s="89"/>
      <c r="J17" s="87"/>
      <c r="K17" s="87"/>
      <c r="L17" s="89"/>
      <c r="M17" s="89"/>
      <c r="N17" s="89"/>
      <c r="O17"/>
      <c r="P17"/>
      <c r="Q17"/>
    </row>
    <row r="18" spans="1:18" s="7" customFormat="1" ht="22.5">
      <c r="B18" s="81" t="s">
        <v>859</v>
      </c>
      <c r="C18" s="79" t="s">
        <v>591</v>
      </c>
      <c r="D18" s="82" t="s">
        <v>1</v>
      </c>
      <c r="E18" s="83" t="s">
        <v>0</v>
      </c>
      <c r="F18" s="84" t="s">
        <v>189</v>
      </c>
      <c r="G18" s="159">
        <v>100000</v>
      </c>
      <c r="H18" s="98"/>
      <c r="I18" s="115">
        <f>SUM(G18:H18)</f>
        <v>100000</v>
      </c>
      <c r="J18" s="98"/>
      <c r="K18" s="98"/>
      <c r="L18" s="115">
        <f>SUM(J18:K18)</f>
        <v>0</v>
      </c>
      <c r="M18" s="115">
        <f>I18+L18</f>
        <v>100000</v>
      </c>
      <c r="N18" s="100"/>
      <c r="O18"/>
      <c r="P18"/>
      <c r="Q18"/>
    </row>
    <row r="19" spans="1:18" s="7" customFormat="1" ht="22.5">
      <c r="B19" s="81" t="s">
        <v>859</v>
      </c>
      <c r="C19" s="79" t="s">
        <v>592</v>
      </c>
      <c r="D19" s="82" t="s">
        <v>1</v>
      </c>
      <c r="E19" s="83" t="s">
        <v>0</v>
      </c>
      <c r="F19" s="84" t="s">
        <v>190</v>
      </c>
      <c r="G19" s="154" t="s">
        <v>867</v>
      </c>
      <c r="H19" s="87"/>
      <c r="I19" s="89"/>
      <c r="J19" s="87"/>
      <c r="K19" s="87"/>
      <c r="L19" s="89"/>
      <c r="M19" s="89"/>
      <c r="N19" s="89"/>
      <c r="O19"/>
      <c r="P19"/>
      <c r="Q19"/>
    </row>
    <row r="20" spans="1:18" s="7" customFormat="1" ht="11.25">
      <c r="B20" s="25"/>
      <c r="C20" s="26"/>
      <c r="D20" s="26"/>
      <c r="E20" s="26"/>
      <c r="F20" s="26"/>
      <c r="G20" s="33"/>
      <c r="H20" s="33"/>
      <c r="I20" s="26"/>
      <c r="J20" s="33"/>
      <c r="K20" s="33"/>
      <c r="L20" s="26"/>
      <c r="M20" s="26"/>
      <c r="N20" s="62"/>
    </row>
    <row r="21" spans="1:18">
      <c r="R21" s="7"/>
    </row>
    <row r="22" spans="1:18" s="9" customFormat="1" ht="117.95" customHeight="1">
      <c r="A22" s="8"/>
      <c r="B22" s="35"/>
      <c r="C22" s="36"/>
      <c r="D22" s="36"/>
      <c r="E22" s="37"/>
      <c r="F22" s="56" t="s">
        <v>125</v>
      </c>
      <c r="G22" s="66" t="str">
        <f>IF(G5="Agregar columna opcional","",G5)</f>
        <v/>
      </c>
      <c r="H22" s="66" t="str">
        <f>IF(H5="Agregar columna opcional","",H5)</f>
        <v/>
      </c>
      <c r="I22" s="38" t="s">
        <v>178</v>
      </c>
      <c r="J22" s="66" t="str">
        <f>IF(J5="Agregar columna opcional","",J5)</f>
        <v/>
      </c>
      <c r="K22" s="66" t="str">
        <f>IF(K5="Agregar columna opcional","",K5)</f>
        <v/>
      </c>
      <c r="L22" s="38" t="s">
        <v>179</v>
      </c>
      <c r="M22" s="38" t="s">
        <v>180</v>
      </c>
      <c r="N22" s="38" t="s">
        <v>195</v>
      </c>
    </row>
    <row r="23" spans="1:18" s="7" customFormat="1" ht="11.25">
      <c r="B23" s="13"/>
      <c r="C23" s="14"/>
      <c r="D23" s="15" t="s">
        <v>0</v>
      </c>
      <c r="E23" s="16" t="s">
        <v>0</v>
      </c>
      <c r="F23" s="17"/>
      <c r="G23" s="32"/>
      <c r="H23" s="32"/>
      <c r="I23" s="18"/>
      <c r="J23" s="32"/>
      <c r="K23" s="32"/>
      <c r="L23" s="18"/>
      <c r="M23" s="18"/>
      <c r="N23" s="61"/>
    </row>
    <row r="24" spans="1:18" s="7" customFormat="1" ht="13.5" customHeight="1">
      <c r="B24" s="81" t="s">
        <v>859</v>
      </c>
      <c r="C24" s="79" t="s">
        <v>494</v>
      </c>
      <c r="D24" s="82" t="s">
        <v>2</v>
      </c>
      <c r="E24" s="83" t="s">
        <v>0</v>
      </c>
      <c r="F24" s="84" t="s">
        <v>182</v>
      </c>
      <c r="G24" s="154" t="s">
        <v>860</v>
      </c>
      <c r="H24" s="87"/>
      <c r="I24" s="89"/>
      <c r="J24" s="87"/>
      <c r="K24" s="87"/>
      <c r="L24" s="89"/>
      <c r="M24" s="89"/>
      <c r="N24" s="89"/>
    </row>
    <row r="25" spans="1:18" s="7" customFormat="1" ht="15" customHeight="1">
      <c r="B25" s="81" t="s">
        <v>859</v>
      </c>
      <c r="C25" s="79" t="s">
        <v>495</v>
      </c>
      <c r="D25" s="82" t="s">
        <v>2</v>
      </c>
      <c r="E25" s="83" t="s">
        <v>0</v>
      </c>
      <c r="F25" s="84" t="s">
        <v>183</v>
      </c>
      <c r="G25" s="154" t="s">
        <v>861</v>
      </c>
      <c r="H25" s="87"/>
      <c r="I25" s="89"/>
      <c r="J25" s="87"/>
      <c r="K25" s="87"/>
      <c r="L25" s="89"/>
      <c r="M25" s="89"/>
      <c r="N25" s="89"/>
      <c r="O25"/>
      <c r="P25"/>
      <c r="Q25"/>
    </row>
    <row r="26" spans="1:18" s="7" customFormat="1" ht="15" customHeight="1">
      <c r="B26" s="81" t="s">
        <v>859</v>
      </c>
      <c r="C26" s="79" t="s">
        <v>658</v>
      </c>
      <c r="D26" s="82" t="s">
        <v>2</v>
      </c>
      <c r="E26" s="83" t="s">
        <v>0</v>
      </c>
      <c r="F26" s="84" t="s">
        <v>657</v>
      </c>
      <c r="G26" s="156" t="s">
        <v>236</v>
      </c>
      <c r="H26" s="135"/>
      <c r="I26" s="89"/>
      <c r="J26" s="135"/>
      <c r="K26" s="135"/>
      <c r="L26" s="89"/>
      <c r="M26" s="89"/>
      <c r="N26" s="89"/>
      <c r="O26"/>
      <c r="P26"/>
      <c r="Q26"/>
    </row>
    <row r="27" spans="1:18" s="7" customFormat="1" ht="15" customHeight="1">
      <c r="B27" s="81" t="s">
        <v>859</v>
      </c>
      <c r="C27" s="79" t="s">
        <v>587</v>
      </c>
      <c r="D27" s="82" t="s">
        <v>2</v>
      </c>
      <c r="E27" s="83" t="s">
        <v>0</v>
      </c>
      <c r="F27" s="84" t="s">
        <v>184</v>
      </c>
      <c r="G27" s="162">
        <v>0.3</v>
      </c>
      <c r="H27" s="101"/>
      <c r="I27" s="107"/>
      <c r="J27" s="101"/>
      <c r="K27" s="101"/>
      <c r="L27" s="102"/>
      <c r="M27" s="102"/>
      <c r="N27" s="102"/>
      <c r="O27"/>
      <c r="P27"/>
      <c r="Q27"/>
    </row>
    <row r="28" spans="1:18" s="7" customFormat="1">
      <c r="B28" s="81" t="s">
        <v>859</v>
      </c>
      <c r="C28" s="79" t="s">
        <v>664</v>
      </c>
      <c r="D28" s="82" t="s">
        <v>2</v>
      </c>
      <c r="E28" s="83"/>
      <c r="F28" s="84" t="s">
        <v>851</v>
      </c>
      <c r="G28" s="162">
        <v>0.9</v>
      </c>
      <c r="H28" s="101"/>
      <c r="I28" s="102"/>
      <c r="J28" s="101"/>
      <c r="K28" s="101"/>
      <c r="L28" s="102"/>
      <c r="M28" s="102"/>
      <c r="N28" s="102"/>
      <c r="O28"/>
      <c r="P28"/>
      <c r="Q28"/>
    </row>
    <row r="29" spans="1:18" s="7" customFormat="1">
      <c r="B29" s="81" t="s">
        <v>859</v>
      </c>
      <c r="C29" s="79" t="s">
        <v>665</v>
      </c>
      <c r="D29" s="82" t="s">
        <v>2</v>
      </c>
      <c r="E29" s="83"/>
      <c r="F29" s="84" t="s">
        <v>852</v>
      </c>
      <c r="G29" s="162">
        <v>0.1</v>
      </c>
      <c r="H29" s="101"/>
      <c r="I29" s="102"/>
      <c r="J29" s="101"/>
      <c r="K29" s="101"/>
      <c r="L29" s="102"/>
      <c r="M29" s="102"/>
      <c r="N29" s="102"/>
      <c r="O29"/>
      <c r="P29"/>
      <c r="Q29"/>
    </row>
    <row r="30" spans="1:18" s="7" customFormat="1" ht="15" customHeight="1">
      <c r="B30" s="81" t="s">
        <v>859</v>
      </c>
      <c r="C30" s="79" t="s">
        <v>588</v>
      </c>
      <c r="D30" s="82" t="s">
        <v>2</v>
      </c>
      <c r="E30" s="83" t="s">
        <v>0</v>
      </c>
      <c r="F30" s="84" t="s">
        <v>185</v>
      </c>
      <c r="G30" s="162">
        <v>0.8</v>
      </c>
      <c r="H30" s="101"/>
      <c r="I30" s="102"/>
      <c r="J30" s="101"/>
      <c r="K30" s="101"/>
      <c r="L30" s="102"/>
      <c r="M30" s="102"/>
      <c r="N30" s="102"/>
      <c r="O30"/>
      <c r="P30"/>
      <c r="Q30"/>
    </row>
    <row r="31" spans="1:18" s="7" customFormat="1" ht="22.5">
      <c r="B31" s="81" t="s">
        <v>859</v>
      </c>
      <c r="C31" s="79" t="s">
        <v>526</v>
      </c>
      <c r="D31" s="82" t="s">
        <v>2</v>
      </c>
      <c r="E31" s="83" t="s">
        <v>0</v>
      </c>
      <c r="F31" s="84" t="s">
        <v>186</v>
      </c>
      <c r="G31" s="159" t="s">
        <v>863</v>
      </c>
      <c r="H31" s="98"/>
      <c r="I31" s="98"/>
      <c r="J31" s="98"/>
      <c r="K31" s="98"/>
      <c r="L31" s="89"/>
      <c r="M31" s="89"/>
      <c r="N31" s="100"/>
      <c r="O31"/>
      <c r="P31"/>
      <c r="Q31"/>
    </row>
    <row r="32" spans="1:18" s="7" customFormat="1" ht="22.5">
      <c r="B32" s="81" t="s">
        <v>859</v>
      </c>
      <c r="C32" s="79" t="s">
        <v>589</v>
      </c>
      <c r="D32" s="82" t="s">
        <v>2</v>
      </c>
      <c r="E32" s="83" t="s">
        <v>0</v>
      </c>
      <c r="F32" s="84" t="s">
        <v>187</v>
      </c>
      <c r="G32" s="159" t="s">
        <v>864</v>
      </c>
      <c r="H32" s="98"/>
      <c r="I32" s="98"/>
      <c r="J32" s="98"/>
      <c r="K32" s="98"/>
      <c r="L32" s="89"/>
      <c r="M32" s="89"/>
      <c r="N32" s="100"/>
      <c r="O32"/>
      <c r="P32"/>
      <c r="Q32"/>
    </row>
    <row r="33" spans="2:17" s="7" customFormat="1" ht="22.5">
      <c r="B33" s="81" t="s">
        <v>859</v>
      </c>
      <c r="C33" s="79" t="s">
        <v>590</v>
      </c>
      <c r="D33" s="82" t="s">
        <v>2</v>
      </c>
      <c r="E33" s="83" t="s">
        <v>0</v>
      </c>
      <c r="F33" s="84" t="s">
        <v>188</v>
      </c>
      <c r="G33" s="154" t="s">
        <v>865</v>
      </c>
      <c r="H33" s="87"/>
      <c r="I33" s="89"/>
      <c r="J33" s="87"/>
      <c r="K33" s="87"/>
      <c r="L33" s="89"/>
      <c r="M33" s="89"/>
      <c r="N33" s="89"/>
      <c r="O33"/>
      <c r="P33"/>
      <c r="Q33"/>
    </row>
    <row r="34" spans="2:17" s="7" customFormat="1" ht="22.5">
      <c r="B34" s="81" t="s">
        <v>859</v>
      </c>
      <c r="C34" s="79" t="s">
        <v>591</v>
      </c>
      <c r="D34" s="82" t="s">
        <v>2</v>
      </c>
      <c r="E34" s="83" t="s">
        <v>0</v>
      </c>
      <c r="F34" s="84" t="s">
        <v>189</v>
      </c>
      <c r="G34" s="159">
        <v>100000</v>
      </c>
      <c r="H34" s="98"/>
      <c r="I34" s="115">
        <f>SUM(G34:H34)</f>
        <v>100000</v>
      </c>
      <c r="J34" s="98"/>
      <c r="K34" s="98"/>
      <c r="L34" s="115">
        <f>SUM(J34:K34)</f>
        <v>0</v>
      </c>
      <c r="M34" s="115">
        <f>I34+L34</f>
        <v>100000</v>
      </c>
      <c r="N34" s="100"/>
      <c r="O34"/>
      <c r="P34"/>
      <c r="Q34"/>
    </row>
    <row r="35" spans="2:17" s="7" customFormat="1" ht="22.5">
      <c r="B35" s="81" t="s">
        <v>859</v>
      </c>
      <c r="C35" s="79" t="s">
        <v>592</v>
      </c>
      <c r="D35" s="82" t="s">
        <v>2</v>
      </c>
      <c r="E35" s="83" t="s">
        <v>0</v>
      </c>
      <c r="F35" s="84" t="s">
        <v>190</v>
      </c>
      <c r="G35" s="154" t="s">
        <v>867</v>
      </c>
      <c r="H35" s="87"/>
      <c r="I35" s="89"/>
      <c r="J35" s="87"/>
      <c r="K35" s="87"/>
      <c r="L35" s="89"/>
      <c r="M35" s="89"/>
      <c r="N35" s="89"/>
      <c r="O35"/>
      <c r="P35"/>
      <c r="Q35"/>
    </row>
    <row r="36" spans="2:17" s="7" customFormat="1" ht="11.25">
      <c r="B36" s="25"/>
      <c r="C36" s="26"/>
      <c r="D36" s="26"/>
      <c r="E36" s="26"/>
      <c r="F36" s="26"/>
      <c r="G36" s="33"/>
      <c r="H36" s="33"/>
      <c r="I36" s="26"/>
      <c r="J36" s="33"/>
      <c r="K36" s="33"/>
      <c r="L36" s="26"/>
      <c r="M36" s="26"/>
      <c r="N36" s="62"/>
    </row>
  </sheetData>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0000000}">
          <x14:formula1>
            <xm:f>Hoja1!$B$93:$B$94</xm:f>
          </x14:formula1>
          <xm:sqref>G4</xm:sqref>
        </x14:dataValidation>
        <x14:dataValidation type="list" allowBlank="1" showInputMessage="1" showErrorMessage="1" xr:uid="{00000000-0002-0000-0700-000001000000}">
          <x14:formula1>
            <xm:f>Hoja1!$A$1:$A$249</xm:f>
          </x14:formula1>
          <xm:sqref>H26:N26 H10:N10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dimension ref="A1:L16"/>
  <sheetViews>
    <sheetView tabSelected="1" topLeftCell="A7" workbookViewId="0">
      <selection activeCell="G16" sqref="G16"/>
    </sheetView>
  </sheetViews>
  <sheetFormatPr baseColWidth="10" defaultRowHeight="15"/>
  <cols>
    <col min="1" max="1" width="2.140625" customWidth="1"/>
    <col min="2" max="2" width="3.5703125" customWidth="1"/>
    <col min="3" max="3" width="4" customWidth="1"/>
    <col min="4" max="4" width="5" customWidth="1"/>
    <col min="5" max="5" width="1.7109375" customWidth="1"/>
    <col min="6" max="6" width="90.7109375" customWidth="1"/>
    <col min="7" max="8" width="15.7109375" customWidth="1"/>
  </cols>
  <sheetData>
    <row r="1" spans="1:12" ht="39.950000000000003" customHeight="1" thickBot="1">
      <c r="F1" s="40" t="s">
        <v>4</v>
      </c>
    </row>
    <row r="2" spans="1:12" ht="164.25" thickBot="1">
      <c r="F2" s="28" t="s">
        <v>3</v>
      </c>
    </row>
    <row r="3" spans="1:12" s="7" customFormat="1" ht="16.5" thickBot="1">
      <c r="A3" s="6"/>
      <c r="F3" s="57" t="s">
        <v>5</v>
      </c>
      <c r="G3" s="5"/>
      <c r="H3" s="5"/>
    </row>
    <row r="4" spans="1:12" s="7" customFormat="1" ht="16.5" thickBot="1">
      <c r="A4" s="6"/>
      <c r="F4" s="113" t="s">
        <v>445</v>
      </c>
      <c r="G4" s="114" t="s">
        <v>444</v>
      </c>
      <c r="H4" s="5"/>
    </row>
    <row r="5" spans="1:12" s="9" customFormat="1" ht="90">
      <c r="A5" s="8" t="s">
        <v>617</v>
      </c>
      <c r="B5" s="35"/>
      <c r="C5" s="36"/>
      <c r="D5" s="36"/>
      <c r="E5" s="37"/>
      <c r="F5" s="56" t="s">
        <v>193</v>
      </c>
      <c r="G5" s="58" t="s">
        <v>12</v>
      </c>
      <c r="H5" s="38" t="s">
        <v>194</v>
      </c>
    </row>
    <row r="6" spans="1:12" s="7" customFormat="1" ht="168" hidden="1" customHeight="1">
      <c r="A6" s="29" t="s">
        <v>618</v>
      </c>
      <c r="B6" s="10"/>
      <c r="C6" s="11"/>
      <c r="D6" s="12" t="s">
        <v>634</v>
      </c>
      <c r="E6" s="30" t="s">
        <v>633</v>
      </c>
      <c r="F6" s="59"/>
      <c r="G6" s="31" t="str">
        <f>SUBSTITUTE(CONCATENATE("IFRS12-InfoEntiEstrNCons_",TRIM(G5),"_",COLUMN(G6),"|",G5)," ","")</f>
        <v>IFRS12-InfoEntiEstrNCons_Agregarcolumnaopcional_7|Agregarcolumnaopcional</v>
      </c>
      <c r="H6" s="60" t="s">
        <v>593</v>
      </c>
    </row>
    <row r="7" spans="1:12" s="7" customFormat="1" ht="11.25">
      <c r="B7" s="13"/>
      <c r="C7" s="14"/>
      <c r="D7" s="15" t="s">
        <v>0</v>
      </c>
      <c r="E7" s="16" t="s">
        <v>0</v>
      </c>
      <c r="F7" s="17"/>
      <c r="G7" s="32"/>
      <c r="H7" s="61"/>
    </row>
    <row r="8" spans="1:12" s="7" customFormat="1" ht="33.75">
      <c r="B8" s="81" t="s">
        <v>859</v>
      </c>
      <c r="C8" s="79" t="s">
        <v>594</v>
      </c>
      <c r="D8" s="82" t="s">
        <v>1</v>
      </c>
      <c r="E8" s="83" t="s">
        <v>0</v>
      </c>
      <c r="F8" s="84" t="s">
        <v>191</v>
      </c>
      <c r="G8" s="87" t="s">
        <v>860</v>
      </c>
      <c r="H8" s="89"/>
    </row>
    <row r="9" spans="1:12" s="7" customFormat="1" ht="22.5">
      <c r="B9" s="81" t="s">
        <v>859</v>
      </c>
      <c r="C9" s="79" t="s">
        <v>595</v>
      </c>
      <c r="D9" s="82" t="s">
        <v>1</v>
      </c>
      <c r="E9" s="83" t="s">
        <v>0</v>
      </c>
      <c r="F9" s="84" t="s">
        <v>192</v>
      </c>
      <c r="G9" s="87" t="s">
        <v>861</v>
      </c>
      <c r="H9" s="89"/>
      <c r="I9"/>
      <c r="J9"/>
      <c r="K9"/>
    </row>
    <row r="10" spans="1:12" s="7" customFormat="1" ht="11.25">
      <c r="B10" s="25"/>
      <c r="C10" s="26"/>
      <c r="D10" s="26"/>
      <c r="E10" s="26"/>
      <c r="F10" s="26"/>
      <c r="G10" s="33"/>
      <c r="H10" s="62"/>
    </row>
    <row r="11" spans="1:12">
      <c r="L11" s="7"/>
    </row>
    <row r="12" spans="1:12" s="9" customFormat="1" ht="117.95" customHeight="1">
      <c r="A12" s="8"/>
      <c r="B12" s="35"/>
      <c r="C12" s="36"/>
      <c r="D12" s="36"/>
      <c r="E12" s="37"/>
      <c r="F12" s="56" t="s">
        <v>125</v>
      </c>
      <c r="G12" s="66" t="str">
        <f>IF(G5="Agregar columna opcional","",G5)</f>
        <v/>
      </c>
      <c r="H12" s="38" t="s">
        <v>180</v>
      </c>
    </row>
    <row r="13" spans="1:12" s="7" customFormat="1" ht="11.25">
      <c r="B13" s="13"/>
      <c r="C13" s="14"/>
      <c r="D13" s="15" t="s">
        <v>0</v>
      </c>
      <c r="E13" s="16" t="s">
        <v>0</v>
      </c>
      <c r="F13" s="17"/>
      <c r="G13" s="32"/>
      <c r="H13" s="61"/>
    </row>
    <row r="14" spans="1:12" s="7" customFormat="1" ht="33.75">
      <c r="B14" s="81" t="s">
        <v>859</v>
      </c>
      <c r="C14" s="79" t="s">
        <v>594</v>
      </c>
      <c r="D14" s="82" t="s">
        <v>2</v>
      </c>
      <c r="E14" s="83" t="s">
        <v>0</v>
      </c>
      <c r="F14" s="84" t="s">
        <v>191</v>
      </c>
      <c r="G14" s="87" t="s">
        <v>862</v>
      </c>
      <c r="H14" s="89"/>
    </row>
    <row r="15" spans="1:12" s="7" customFormat="1" ht="22.5">
      <c r="B15" s="81" t="s">
        <v>859</v>
      </c>
      <c r="C15" s="79" t="s">
        <v>595</v>
      </c>
      <c r="D15" s="82" t="s">
        <v>2</v>
      </c>
      <c r="E15" s="83" t="s">
        <v>0</v>
      </c>
      <c r="F15" s="84" t="s">
        <v>192</v>
      </c>
      <c r="G15" s="87" t="s">
        <v>863</v>
      </c>
      <c r="H15" s="89"/>
      <c r="I15"/>
      <c r="J15"/>
      <c r="K15"/>
    </row>
    <row r="16" spans="1:12" s="7" customFormat="1" ht="11.25">
      <c r="B16" s="25"/>
      <c r="C16" s="26"/>
      <c r="D16" s="26"/>
      <c r="E16" s="26"/>
      <c r="F16" s="26"/>
      <c r="G16" s="33"/>
      <c r="H16" s="62"/>
    </row>
  </sheetData>
  <pageMargins left="0.7" right="0.7" top="0.75" bottom="0.75" header="0.3" footer="0.3"/>
  <drawing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800-000000000000}">
          <x14:formula1>
            <xm:f>Hoja1!$B$93:$B$94</xm:f>
          </x14:formula1>
          <xm:sqref>G4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dimension ref="A1:B249"/>
  <sheetViews>
    <sheetView workbookViewId="0"/>
  </sheetViews>
  <sheetFormatPr baseColWidth="10" defaultRowHeight="15"/>
  <cols>
    <col min="1" max="1" width="33.140625" customWidth="1"/>
  </cols>
  <sheetData>
    <row r="1" spans="1:2">
      <c r="A1" t="s">
        <v>236</v>
      </c>
      <c r="B1" t="s">
        <v>703</v>
      </c>
    </row>
    <row r="2" spans="1:2">
      <c r="A2" t="s">
        <v>855</v>
      </c>
      <c r="B2" t="s">
        <v>702</v>
      </c>
    </row>
    <row r="3" spans="1:2">
      <c r="A3" t="s">
        <v>196</v>
      </c>
      <c r="B3" t="s">
        <v>819</v>
      </c>
    </row>
    <row r="4" spans="1:2">
      <c r="A4" t="s">
        <v>197</v>
      </c>
      <c r="B4" t="s">
        <v>671</v>
      </c>
    </row>
    <row r="5" spans="1:2">
      <c r="A5" t="s">
        <v>198</v>
      </c>
      <c r="B5" t="s">
        <v>672</v>
      </c>
    </row>
    <row r="6" spans="1:2">
      <c r="A6" t="s">
        <v>199</v>
      </c>
      <c r="B6" t="s">
        <v>673</v>
      </c>
    </row>
    <row r="7" spans="1:2">
      <c r="A7" t="s">
        <v>635</v>
      </c>
      <c r="B7" t="s">
        <v>674</v>
      </c>
    </row>
    <row r="8" spans="1:2">
      <c r="A8" t="s">
        <v>200</v>
      </c>
      <c r="B8" t="s">
        <v>675</v>
      </c>
    </row>
    <row r="9" spans="1:2">
      <c r="A9" t="s">
        <v>201</v>
      </c>
      <c r="B9" t="s">
        <v>676</v>
      </c>
    </row>
    <row r="10" spans="1:2">
      <c r="A10" t="s">
        <v>202</v>
      </c>
      <c r="B10" t="s">
        <v>677</v>
      </c>
    </row>
    <row r="11" spans="1:2">
      <c r="A11" t="s">
        <v>203</v>
      </c>
      <c r="B11" t="s">
        <v>678</v>
      </c>
    </row>
    <row r="12" spans="1:2">
      <c r="A12" t="s">
        <v>204</v>
      </c>
      <c r="B12" t="s">
        <v>679</v>
      </c>
    </row>
    <row r="13" spans="1:2">
      <c r="A13" t="s">
        <v>205</v>
      </c>
      <c r="B13" t="s">
        <v>680</v>
      </c>
    </row>
    <row r="14" spans="1:2">
      <c r="A14" t="s">
        <v>206</v>
      </c>
      <c r="B14" t="s">
        <v>681</v>
      </c>
    </row>
    <row r="15" spans="1:2">
      <c r="A15" t="s">
        <v>207</v>
      </c>
      <c r="B15" t="s">
        <v>682</v>
      </c>
    </row>
    <row r="16" spans="1:2">
      <c r="A16" t="s">
        <v>208</v>
      </c>
      <c r="B16" t="s">
        <v>683</v>
      </c>
    </row>
    <row r="17" spans="1:2">
      <c r="A17" t="s">
        <v>209</v>
      </c>
      <c r="B17" t="s">
        <v>684</v>
      </c>
    </row>
    <row r="18" spans="1:2">
      <c r="A18" t="s">
        <v>210</v>
      </c>
      <c r="B18" t="s">
        <v>685</v>
      </c>
    </row>
    <row r="19" spans="1:2">
      <c r="A19" t="s">
        <v>211</v>
      </c>
      <c r="B19" t="s">
        <v>686</v>
      </c>
    </row>
    <row r="20" spans="1:2">
      <c r="A20" t="s">
        <v>212</v>
      </c>
      <c r="B20" t="s">
        <v>687</v>
      </c>
    </row>
    <row r="21" spans="1:2">
      <c r="A21" t="s">
        <v>213</v>
      </c>
      <c r="B21" t="s">
        <v>688</v>
      </c>
    </row>
    <row r="22" spans="1:2">
      <c r="A22" t="s">
        <v>214</v>
      </c>
      <c r="B22" t="s">
        <v>689</v>
      </c>
    </row>
    <row r="23" spans="1:2">
      <c r="A23" t="s">
        <v>215</v>
      </c>
      <c r="B23" t="s">
        <v>690</v>
      </c>
    </row>
    <row r="24" spans="1:2">
      <c r="A24" t="s">
        <v>216</v>
      </c>
      <c r="B24" t="s">
        <v>691</v>
      </c>
    </row>
    <row r="25" spans="1:2">
      <c r="A25" t="s">
        <v>217</v>
      </c>
      <c r="B25" t="s">
        <v>692</v>
      </c>
    </row>
    <row r="26" spans="1:2">
      <c r="A26" t="s">
        <v>218</v>
      </c>
      <c r="B26" t="s">
        <v>693</v>
      </c>
    </row>
    <row r="27" spans="1:2">
      <c r="A27" t="s">
        <v>219</v>
      </c>
      <c r="B27" t="s">
        <v>694</v>
      </c>
    </row>
    <row r="28" spans="1:2">
      <c r="A28" t="s">
        <v>220</v>
      </c>
      <c r="B28" t="s">
        <v>695</v>
      </c>
    </row>
    <row r="29" spans="1:2">
      <c r="A29" t="s">
        <v>221</v>
      </c>
      <c r="B29" t="s">
        <v>696</v>
      </c>
    </row>
    <row r="30" spans="1:2">
      <c r="A30" t="s">
        <v>636</v>
      </c>
      <c r="B30" t="s">
        <v>697</v>
      </c>
    </row>
    <row r="31" spans="1:2">
      <c r="A31" t="s">
        <v>222</v>
      </c>
      <c r="B31" t="s">
        <v>698</v>
      </c>
    </row>
    <row r="32" spans="1:2">
      <c r="A32" t="s">
        <v>223</v>
      </c>
      <c r="B32" t="s">
        <v>699</v>
      </c>
    </row>
    <row r="33" spans="1:2">
      <c r="A33" t="s">
        <v>224</v>
      </c>
      <c r="B33" t="s">
        <v>700</v>
      </c>
    </row>
    <row r="34" spans="1:2">
      <c r="A34" t="s">
        <v>225</v>
      </c>
      <c r="B34" t="s">
        <v>701</v>
      </c>
    </row>
    <row r="35" spans="1:2">
      <c r="A35" t="s">
        <v>226</v>
      </c>
      <c r="B35" t="s">
        <v>704</v>
      </c>
    </row>
    <row r="36" spans="1:2">
      <c r="A36" t="s">
        <v>227</v>
      </c>
      <c r="B36" t="s">
        <v>705</v>
      </c>
    </row>
    <row r="37" spans="1:2">
      <c r="A37" t="s">
        <v>228</v>
      </c>
      <c r="B37" t="s">
        <v>706</v>
      </c>
    </row>
    <row r="38" spans="1:2">
      <c r="A38" t="s">
        <v>229</v>
      </c>
      <c r="B38" t="s">
        <v>707</v>
      </c>
    </row>
    <row r="39" spans="1:2">
      <c r="A39" t="s">
        <v>230</v>
      </c>
      <c r="B39" t="s">
        <v>708</v>
      </c>
    </row>
    <row r="40" spans="1:2">
      <c r="A40" t="s">
        <v>231</v>
      </c>
      <c r="B40" t="s">
        <v>709</v>
      </c>
    </row>
    <row r="41" spans="1:2">
      <c r="A41" t="s">
        <v>232</v>
      </c>
      <c r="B41" t="s">
        <v>710</v>
      </c>
    </row>
    <row r="42" spans="1:2">
      <c r="A42" t="s">
        <v>233</v>
      </c>
      <c r="B42" t="s">
        <v>711</v>
      </c>
    </row>
    <row r="43" spans="1:2">
      <c r="A43" t="s">
        <v>234</v>
      </c>
      <c r="B43" t="s">
        <v>712</v>
      </c>
    </row>
    <row r="44" spans="1:2">
      <c r="A44" t="s">
        <v>235</v>
      </c>
      <c r="B44" t="s">
        <v>713</v>
      </c>
    </row>
    <row r="45" spans="1:2">
      <c r="A45" t="s">
        <v>237</v>
      </c>
      <c r="B45" t="s">
        <v>714</v>
      </c>
    </row>
    <row r="46" spans="1:2">
      <c r="A46" t="s">
        <v>637</v>
      </c>
      <c r="B46" t="s">
        <v>715</v>
      </c>
    </row>
    <row r="47" spans="1:2">
      <c r="A47" t="s">
        <v>238</v>
      </c>
      <c r="B47" t="s">
        <v>716</v>
      </c>
    </row>
    <row r="48" spans="1:2">
      <c r="A48" t="s">
        <v>239</v>
      </c>
      <c r="B48" t="s">
        <v>717</v>
      </c>
    </row>
    <row r="49" spans="1:2">
      <c r="A49" t="s">
        <v>240</v>
      </c>
      <c r="B49" t="s">
        <v>718</v>
      </c>
    </row>
    <row r="50" spans="1:2">
      <c r="A50" t="s">
        <v>241</v>
      </c>
      <c r="B50" t="s">
        <v>719</v>
      </c>
    </row>
    <row r="51" spans="1:2">
      <c r="A51" t="s">
        <v>242</v>
      </c>
      <c r="B51" t="s">
        <v>720</v>
      </c>
    </row>
    <row r="52" spans="1:2">
      <c r="A52" t="s">
        <v>243</v>
      </c>
      <c r="B52" t="s">
        <v>721</v>
      </c>
    </row>
    <row r="53" spans="1:2">
      <c r="A53" t="s">
        <v>244</v>
      </c>
      <c r="B53" t="s">
        <v>722</v>
      </c>
    </row>
    <row r="54" spans="1:2">
      <c r="A54" t="s">
        <v>245</v>
      </c>
      <c r="B54" t="s">
        <v>723</v>
      </c>
    </row>
    <row r="55" spans="1:2">
      <c r="A55" t="s">
        <v>246</v>
      </c>
      <c r="B55" t="s">
        <v>724</v>
      </c>
    </row>
    <row r="56" spans="1:2">
      <c r="A56" t="s">
        <v>638</v>
      </c>
      <c r="B56" t="s">
        <v>725</v>
      </c>
    </row>
    <row r="57" spans="1:2">
      <c r="A57" t="s">
        <v>247</v>
      </c>
      <c r="B57" t="s">
        <v>726</v>
      </c>
    </row>
    <row r="58" spans="1:2">
      <c r="A58" t="s">
        <v>248</v>
      </c>
      <c r="B58" t="s">
        <v>727</v>
      </c>
    </row>
    <row r="59" spans="1:2">
      <c r="A59" t="s">
        <v>249</v>
      </c>
      <c r="B59" t="s">
        <v>728</v>
      </c>
    </row>
    <row r="60" spans="1:2">
      <c r="A60" t="s">
        <v>250</v>
      </c>
      <c r="B60" t="s">
        <v>729</v>
      </c>
    </row>
    <row r="61" spans="1:2">
      <c r="A61" t="s">
        <v>251</v>
      </c>
      <c r="B61" t="s">
        <v>730</v>
      </c>
    </row>
    <row r="62" spans="1:2">
      <c r="A62" t="s">
        <v>252</v>
      </c>
      <c r="B62" t="s">
        <v>731</v>
      </c>
    </row>
    <row r="63" spans="1:2">
      <c r="A63" t="s">
        <v>253</v>
      </c>
      <c r="B63" t="s">
        <v>732</v>
      </c>
    </row>
    <row r="64" spans="1:2">
      <c r="A64" t="s">
        <v>254</v>
      </c>
      <c r="B64" t="s">
        <v>733</v>
      </c>
    </row>
    <row r="65" spans="1:2">
      <c r="A65" t="s">
        <v>255</v>
      </c>
      <c r="B65" t="s">
        <v>734</v>
      </c>
    </row>
    <row r="66" spans="1:2">
      <c r="A66" t="s">
        <v>256</v>
      </c>
      <c r="B66" t="s">
        <v>735</v>
      </c>
    </row>
    <row r="67" spans="1:2">
      <c r="A67" t="s">
        <v>257</v>
      </c>
      <c r="B67" t="s">
        <v>736</v>
      </c>
    </row>
    <row r="68" spans="1:2">
      <c r="A68" t="s">
        <v>258</v>
      </c>
      <c r="B68" t="s">
        <v>737</v>
      </c>
    </row>
    <row r="69" spans="1:2">
      <c r="A69" t="s">
        <v>259</v>
      </c>
      <c r="B69" t="s">
        <v>738</v>
      </c>
    </row>
    <row r="70" spans="1:2">
      <c r="A70" t="s">
        <v>853</v>
      </c>
      <c r="B70" t="s">
        <v>739</v>
      </c>
    </row>
    <row r="71" spans="1:2">
      <c r="A71" t="s">
        <v>260</v>
      </c>
      <c r="B71" t="s">
        <v>740</v>
      </c>
    </row>
    <row r="72" spans="1:2">
      <c r="A72" t="s">
        <v>261</v>
      </c>
      <c r="B72" t="s">
        <v>741</v>
      </c>
    </row>
    <row r="73" spans="1:2">
      <c r="A73" t="s">
        <v>262</v>
      </c>
      <c r="B73" t="s">
        <v>742</v>
      </c>
    </row>
    <row r="74" spans="1:2">
      <c r="A74" t="s">
        <v>263</v>
      </c>
      <c r="B74" t="s">
        <v>743</v>
      </c>
    </row>
    <row r="75" spans="1:2">
      <c r="A75" t="s">
        <v>264</v>
      </c>
      <c r="B75" t="s">
        <v>744</v>
      </c>
    </row>
    <row r="76" spans="1:2">
      <c r="A76" t="s">
        <v>265</v>
      </c>
      <c r="B76" t="s">
        <v>745</v>
      </c>
    </row>
    <row r="77" spans="1:2">
      <c r="A77" t="s">
        <v>266</v>
      </c>
      <c r="B77" t="s">
        <v>746</v>
      </c>
    </row>
    <row r="78" spans="1:2">
      <c r="A78" t="s">
        <v>267</v>
      </c>
      <c r="B78" t="s">
        <v>747</v>
      </c>
    </row>
    <row r="79" spans="1:2">
      <c r="A79" t="s">
        <v>268</v>
      </c>
      <c r="B79" t="s">
        <v>748</v>
      </c>
    </row>
    <row r="80" spans="1:2">
      <c r="A80" t="s">
        <v>269</v>
      </c>
      <c r="B80" t="s">
        <v>749</v>
      </c>
    </row>
    <row r="81" spans="1:2">
      <c r="A81" t="s">
        <v>270</v>
      </c>
      <c r="B81" t="s">
        <v>750</v>
      </c>
    </row>
    <row r="82" spans="1:2">
      <c r="A82" t="s">
        <v>271</v>
      </c>
      <c r="B82" t="s">
        <v>751</v>
      </c>
    </row>
    <row r="83" spans="1:2">
      <c r="A83" t="s">
        <v>272</v>
      </c>
      <c r="B83" t="s">
        <v>752</v>
      </c>
    </row>
    <row r="84" spans="1:2">
      <c r="A84" t="s">
        <v>273</v>
      </c>
      <c r="B84" t="s">
        <v>753</v>
      </c>
    </row>
    <row r="85" spans="1:2">
      <c r="A85" t="s">
        <v>274</v>
      </c>
      <c r="B85" t="s">
        <v>754</v>
      </c>
    </row>
    <row r="86" spans="1:2">
      <c r="A86" t="s">
        <v>275</v>
      </c>
      <c r="B86" t="s">
        <v>755</v>
      </c>
    </row>
    <row r="87" spans="1:2">
      <c r="A87" t="s">
        <v>276</v>
      </c>
      <c r="B87" t="s">
        <v>756</v>
      </c>
    </row>
    <row r="88" spans="1:2">
      <c r="A88" t="s">
        <v>277</v>
      </c>
      <c r="B88" t="s">
        <v>757</v>
      </c>
    </row>
    <row r="89" spans="1:2">
      <c r="A89" t="s">
        <v>278</v>
      </c>
      <c r="B89" t="s">
        <v>758</v>
      </c>
    </row>
    <row r="90" spans="1:2">
      <c r="A90" t="s">
        <v>279</v>
      </c>
      <c r="B90" t="s">
        <v>759</v>
      </c>
    </row>
    <row r="91" spans="1:2">
      <c r="A91" t="s">
        <v>280</v>
      </c>
      <c r="B91" t="s">
        <v>760</v>
      </c>
    </row>
    <row r="92" spans="1:2">
      <c r="A92" t="s">
        <v>281</v>
      </c>
      <c r="B92" t="s">
        <v>761</v>
      </c>
    </row>
    <row r="93" spans="1:2">
      <c r="A93" t="s">
        <v>282</v>
      </c>
      <c r="B93" t="s">
        <v>762</v>
      </c>
    </row>
    <row r="94" spans="1:2">
      <c r="A94" t="s">
        <v>283</v>
      </c>
      <c r="B94" t="s">
        <v>763</v>
      </c>
    </row>
    <row r="95" spans="1:2">
      <c r="A95" t="s">
        <v>284</v>
      </c>
      <c r="B95" t="s">
        <v>764</v>
      </c>
    </row>
    <row r="96" spans="1:2">
      <c r="A96" t="s">
        <v>285</v>
      </c>
      <c r="B96" t="s">
        <v>765</v>
      </c>
    </row>
    <row r="97" spans="1:2">
      <c r="A97" t="s">
        <v>286</v>
      </c>
      <c r="B97" t="s">
        <v>766</v>
      </c>
    </row>
    <row r="98" spans="1:2">
      <c r="A98" t="s">
        <v>287</v>
      </c>
      <c r="B98" t="s">
        <v>767</v>
      </c>
    </row>
    <row r="99" spans="1:2">
      <c r="A99" t="s">
        <v>288</v>
      </c>
      <c r="B99" t="s">
        <v>768</v>
      </c>
    </row>
    <row r="100" spans="1:2">
      <c r="A100" t="s">
        <v>289</v>
      </c>
      <c r="B100" t="s">
        <v>769</v>
      </c>
    </row>
    <row r="101" spans="1:2">
      <c r="A101" t="s">
        <v>290</v>
      </c>
      <c r="B101" t="s">
        <v>770</v>
      </c>
    </row>
    <row r="102" spans="1:2">
      <c r="A102" t="s">
        <v>291</v>
      </c>
      <c r="B102" t="s">
        <v>771</v>
      </c>
    </row>
    <row r="103" spans="1:2">
      <c r="A103" t="s">
        <v>292</v>
      </c>
      <c r="B103" t="s">
        <v>772</v>
      </c>
    </row>
    <row r="104" spans="1:2">
      <c r="A104" t="s">
        <v>293</v>
      </c>
      <c r="B104" t="s">
        <v>773</v>
      </c>
    </row>
    <row r="105" spans="1:2">
      <c r="A105" t="s">
        <v>294</v>
      </c>
      <c r="B105" t="s">
        <v>774</v>
      </c>
    </row>
    <row r="106" spans="1:2">
      <c r="A106" t="s">
        <v>295</v>
      </c>
      <c r="B106" t="s">
        <v>775</v>
      </c>
    </row>
    <row r="107" spans="1:2">
      <c r="A107" t="s">
        <v>296</v>
      </c>
      <c r="B107" t="s">
        <v>776</v>
      </c>
    </row>
    <row r="108" spans="1:2">
      <c r="A108" t="s">
        <v>297</v>
      </c>
      <c r="B108" t="s">
        <v>777</v>
      </c>
    </row>
    <row r="109" spans="1:2">
      <c r="A109" t="s">
        <v>298</v>
      </c>
      <c r="B109" t="s">
        <v>778</v>
      </c>
    </row>
    <row r="110" spans="1:2">
      <c r="A110" t="s">
        <v>299</v>
      </c>
      <c r="B110" t="s">
        <v>779</v>
      </c>
    </row>
    <row r="111" spans="1:2">
      <c r="A111" t="s">
        <v>300</v>
      </c>
      <c r="B111" t="s">
        <v>780</v>
      </c>
    </row>
    <row r="112" spans="1:2">
      <c r="A112" t="s">
        <v>301</v>
      </c>
      <c r="B112" t="s">
        <v>781</v>
      </c>
    </row>
    <row r="113" spans="1:2">
      <c r="A113" t="s">
        <v>302</v>
      </c>
      <c r="B113" t="s">
        <v>782</v>
      </c>
    </row>
    <row r="114" spans="1:2">
      <c r="A114" t="s">
        <v>303</v>
      </c>
      <c r="B114" t="s">
        <v>783</v>
      </c>
    </row>
    <row r="115" spans="1:2">
      <c r="A115" t="s">
        <v>304</v>
      </c>
      <c r="B115" t="s">
        <v>784</v>
      </c>
    </row>
    <row r="116" spans="1:2">
      <c r="A116" t="s">
        <v>305</v>
      </c>
      <c r="B116" t="s">
        <v>785</v>
      </c>
    </row>
    <row r="117" spans="1:2">
      <c r="A117" t="s">
        <v>306</v>
      </c>
      <c r="B117" t="s">
        <v>786</v>
      </c>
    </row>
    <row r="118" spans="1:2">
      <c r="A118" t="s">
        <v>307</v>
      </c>
      <c r="B118" t="s">
        <v>787</v>
      </c>
    </row>
    <row r="119" spans="1:2">
      <c r="A119" t="s">
        <v>308</v>
      </c>
      <c r="B119" t="s">
        <v>788</v>
      </c>
    </row>
    <row r="120" spans="1:2">
      <c r="A120" t="s">
        <v>309</v>
      </c>
      <c r="B120" t="s">
        <v>789</v>
      </c>
    </row>
    <row r="121" spans="1:2">
      <c r="A121" t="s">
        <v>310</v>
      </c>
      <c r="B121" t="s">
        <v>790</v>
      </c>
    </row>
    <row r="122" spans="1:2">
      <c r="A122" t="s">
        <v>311</v>
      </c>
      <c r="B122" t="s">
        <v>791</v>
      </c>
    </row>
    <row r="123" spans="1:2">
      <c r="A123" t="s">
        <v>312</v>
      </c>
      <c r="B123" t="s">
        <v>792</v>
      </c>
    </row>
    <row r="124" spans="1:2">
      <c r="A124" t="s">
        <v>313</v>
      </c>
      <c r="B124" t="s">
        <v>793</v>
      </c>
    </row>
    <row r="125" spans="1:2">
      <c r="A125" t="s">
        <v>314</v>
      </c>
      <c r="B125" t="s">
        <v>794</v>
      </c>
    </row>
    <row r="126" spans="1:2">
      <c r="A126" t="s">
        <v>315</v>
      </c>
      <c r="B126" t="s">
        <v>795</v>
      </c>
    </row>
    <row r="127" spans="1:2">
      <c r="A127" t="s">
        <v>316</v>
      </c>
      <c r="B127" t="s">
        <v>796</v>
      </c>
    </row>
    <row r="128" spans="1:2">
      <c r="A128" t="s">
        <v>317</v>
      </c>
      <c r="B128" t="s">
        <v>797</v>
      </c>
    </row>
    <row r="129" spans="1:2">
      <c r="A129" t="s">
        <v>318</v>
      </c>
      <c r="B129" t="s">
        <v>798</v>
      </c>
    </row>
    <row r="130" spans="1:2">
      <c r="A130" t="s">
        <v>319</v>
      </c>
      <c r="B130" t="s">
        <v>799</v>
      </c>
    </row>
    <row r="131" spans="1:2">
      <c r="A131" t="s">
        <v>320</v>
      </c>
      <c r="B131" t="s">
        <v>800</v>
      </c>
    </row>
    <row r="132" spans="1:2">
      <c r="A132" t="s">
        <v>321</v>
      </c>
      <c r="B132" t="s">
        <v>801</v>
      </c>
    </row>
    <row r="133" spans="1:2">
      <c r="A133" t="s">
        <v>322</v>
      </c>
      <c r="B133" t="s">
        <v>802</v>
      </c>
    </row>
    <row r="134" spans="1:2">
      <c r="A134" t="s">
        <v>323</v>
      </c>
      <c r="B134" t="s">
        <v>803</v>
      </c>
    </row>
    <row r="135" spans="1:2">
      <c r="A135" t="s">
        <v>324</v>
      </c>
      <c r="B135" t="s">
        <v>804</v>
      </c>
    </row>
    <row r="136" spans="1:2">
      <c r="A136" t="s">
        <v>325</v>
      </c>
      <c r="B136" t="s">
        <v>805</v>
      </c>
    </row>
    <row r="137" spans="1:2">
      <c r="A137" t="s">
        <v>326</v>
      </c>
      <c r="B137" t="s">
        <v>806</v>
      </c>
    </row>
    <row r="138" spans="1:2">
      <c r="A138" t="s">
        <v>327</v>
      </c>
      <c r="B138" t="s">
        <v>807</v>
      </c>
    </row>
    <row r="139" spans="1:2">
      <c r="A139" t="s">
        <v>328</v>
      </c>
      <c r="B139" t="s">
        <v>808</v>
      </c>
    </row>
    <row r="140" spans="1:2">
      <c r="A140" t="s">
        <v>329</v>
      </c>
      <c r="B140" t="s">
        <v>809</v>
      </c>
    </row>
    <row r="141" spans="1:2">
      <c r="A141" t="s">
        <v>330</v>
      </c>
      <c r="B141" t="s">
        <v>810</v>
      </c>
    </row>
    <row r="142" spans="1:2">
      <c r="A142" t="s">
        <v>331</v>
      </c>
      <c r="B142" t="s">
        <v>811</v>
      </c>
    </row>
    <row r="143" spans="1:2">
      <c r="A143" t="s">
        <v>332</v>
      </c>
      <c r="B143" t="s">
        <v>812</v>
      </c>
    </row>
    <row r="144" spans="1:2">
      <c r="A144" t="s">
        <v>333</v>
      </c>
      <c r="B144" t="s">
        <v>813</v>
      </c>
    </row>
    <row r="145" spans="1:2">
      <c r="A145" t="s">
        <v>334</v>
      </c>
      <c r="B145" t="s">
        <v>814</v>
      </c>
    </row>
    <row r="146" spans="1:2">
      <c r="A146" t="s">
        <v>335</v>
      </c>
      <c r="B146" t="s">
        <v>815</v>
      </c>
    </row>
    <row r="147" spans="1:2">
      <c r="A147" t="s">
        <v>336</v>
      </c>
      <c r="B147" t="s">
        <v>816</v>
      </c>
    </row>
    <row r="148" spans="1:2">
      <c r="A148" t="s">
        <v>337</v>
      </c>
      <c r="B148" t="s">
        <v>817</v>
      </c>
    </row>
    <row r="149" spans="1:2">
      <c r="A149" t="s">
        <v>338</v>
      </c>
      <c r="B149" t="s">
        <v>818</v>
      </c>
    </row>
    <row r="150" spans="1:2">
      <c r="A150" t="s">
        <v>339</v>
      </c>
      <c r="B150" t="s">
        <v>820</v>
      </c>
    </row>
    <row r="151" spans="1:2">
      <c r="A151" t="s">
        <v>340</v>
      </c>
      <c r="B151" t="s">
        <v>821</v>
      </c>
    </row>
    <row r="152" spans="1:2">
      <c r="A152" t="s">
        <v>341</v>
      </c>
      <c r="B152" t="s">
        <v>822</v>
      </c>
    </row>
    <row r="153" spans="1:2">
      <c r="A153" t="s">
        <v>342</v>
      </c>
      <c r="B153" t="s">
        <v>823</v>
      </c>
    </row>
    <row r="154" spans="1:2">
      <c r="A154" t="s">
        <v>343</v>
      </c>
      <c r="B154" t="s">
        <v>824</v>
      </c>
    </row>
    <row r="155" spans="1:2">
      <c r="A155" t="s">
        <v>344</v>
      </c>
      <c r="B155" t="s">
        <v>825</v>
      </c>
    </row>
    <row r="156" spans="1:2">
      <c r="A156" t="s">
        <v>345</v>
      </c>
      <c r="B156" t="s">
        <v>826</v>
      </c>
    </row>
    <row r="157" spans="1:2">
      <c r="A157" t="s">
        <v>346</v>
      </c>
      <c r="B157" t="s">
        <v>827</v>
      </c>
    </row>
    <row r="158" spans="1:2">
      <c r="A158" t="s">
        <v>347</v>
      </c>
      <c r="B158" t="s">
        <v>828</v>
      </c>
    </row>
    <row r="159" spans="1:2">
      <c r="A159" t="s">
        <v>348</v>
      </c>
      <c r="B159" t="s">
        <v>829</v>
      </c>
    </row>
    <row r="160" spans="1:2">
      <c r="A160" t="s">
        <v>349</v>
      </c>
      <c r="B160" t="s">
        <v>830</v>
      </c>
    </row>
    <row r="161" spans="1:2">
      <c r="A161" t="s">
        <v>350</v>
      </c>
      <c r="B161" t="s">
        <v>831</v>
      </c>
    </row>
    <row r="162" spans="1:2">
      <c r="A162" t="s">
        <v>351</v>
      </c>
      <c r="B162" t="s">
        <v>832</v>
      </c>
    </row>
    <row r="163" spans="1:2">
      <c r="A163" t="s">
        <v>352</v>
      </c>
      <c r="B163" t="s">
        <v>833</v>
      </c>
    </row>
    <row r="164" spans="1:2">
      <c r="A164" t="s">
        <v>353</v>
      </c>
      <c r="B164" t="s">
        <v>834</v>
      </c>
    </row>
    <row r="165" spans="1:2">
      <c r="A165" t="s">
        <v>354</v>
      </c>
      <c r="B165" t="s">
        <v>835</v>
      </c>
    </row>
    <row r="166" spans="1:2">
      <c r="A166" t="s">
        <v>355</v>
      </c>
      <c r="B166" t="s">
        <v>836</v>
      </c>
    </row>
    <row r="167" spans="1:2">
      <c r="A167" t="s">
        <v>356</v>
      </c>
      <c r="B167" t="s">
        <v>837</v>
      </c>
    </row>
    <row r="168" spans="1:2">
      <c r="A168" t="s">
        <v>357</v>
      </c>
      <c r="B168" t="s">
        <v>838</v>
      </c>
    </row>
    <row r="169" spans="1:2">
      <c r="A169" t="s">
        <v>358</v>
      </c>
      <c r="B169" t="s">
        <v>839</v>
      </c>
    </row>
    <row r="170" spans="1:2">
      <c r="A170" t="s">
        <v>359</v>
      </c>
      <c r="B170" t="s">
        <v>840</v>
      </c>
    </row>
    <row r="171" spans="1:2">
      <c r="A171" t="s">
        <v>360</v>
      </c>
      <c r="B171" t="s">
        <v>841</v>
      </c>
    </row>
    <row r="172" spans="1:2">
      <c r="A172" t="s">
        <v>361</v>
      </c>
      <c r="B172" t="s">
        <v>842</v>
      </c>
    </row>
    <row r="173" spans="1:2">
      <c r="A173" t="s">
        <v>362</v>
      </c>
      <c r="B173" t="s">
        <v>843</v>
      </c>
    </row>
    <row r="174" spans="1:2">
      <c r="A174" t="s">
        <v>363</v>
      </c>
      <c r="B174" t="s">
        <v>844</v>
      </c>
    </row>
    <row r="175" spans="1:2">
      <c r="A175" t="s">
        <v>364</v>
      </c>
      <c r="B175" t="s">
        <v>845</v>
      </c>
    </row>
    <row r="176" spans="1:2">
      <c r="A176" t="s">
        <v>365</v>
      </c>
      <c r="B176" t="s">
        <v>846</v>
      </c>
    </row>
    <row r="177" spans="1:2">
      <c r="A177" t="s">
        <v>366</v>
      </c>
      <c r="B177" t="s">
        <v>847</v>
      </c>
    </row>
    <row r="178" spans="1:2">
      <c r="A178" t="s">
        <v>367</v>
      </c>
      <c r="B178" t="s">
        <v>848</v>
      </c>
    </row>
    <row r="179" spans="1:2">
      <c r="A179" t="s">
        <v>368</v>
      </c>
      <c r="B179" t="s">
        <v>849</v>
      </c>
    </row>
    <row r="180" spans="1:2">
      <c r="A180" t="s">
        <v>369</v>
      </c>
      <c r="B180" t="s">
        <v>850</v>
      </c>
    </row>
    <row r="181" spans="1:2">
      <c r="A181" t="s">
        <v>370</v>
      </c>
    </row>
    <row r="182" spans="1:2">
      <c r="A182" t="s">
        <v>371</v>
      </c>
    </row>
    <row r="183" spans="1:2">
      <c r="A183" t="s">
        <v>372</v>
      </c>
    </row>
    <row r="184" spans="1:2">
      <c r="A184" t="s">
        <v>373</v>
      </c>
    </row>
    <row r="185" spans="1:2">
      <c r="A185" t="s">
        <v>374</v>
      </c>
    </row>
    <row r="186" spans="1:2">
      <c r="A186" t="s">
        <v>375</v>
      </c>
    </row>
    <row r="187" spans="1:2">
      <c r="A187" t="s">
        <v>376</v>
      </c>
    </row>
    <row r="188" spans="1:2">
      <c r="A188" t="s">
        <v>377</v>
      </c>
    </row>
    <row r="189" spans="1:2">
      <c r="A189" t="s">
        <v>639</v>
      </c>
    </row>
    <row r="190" spans="1:2">
      <c r="A190" t="s">
        <v>378</v>
      </c>
    </row>
    <row r="191" spans="1:2">
      <c r="A191" t="s">
        <v>379</v>
      </c>
    </row>
    <row r="192" spans="1:2">
      <c r="A192" t="s">
        <v>380</v>
      </c>
    </row>
    <row r="193" spans="1:1">
      <c r="A193" t="s">
        <v>381</v>
      </c>
    </row>
    <row r="194" spans="1:1">
      <c r="A194" t="s">
        <v>382</v>
      </c>
    </row>
    <row r="195" spans="1:1">
      <c r="A195" t="s">
        <v>383</v>
      </c>
    </row>
    <row r="196" spans="1:1">
      <c r="A196" t="s">
        <v>384</v>
      </c>
    </row>
    <row r="197" spans="1:1">
      <c r="A197" t="s">
        <v>385</v>
      </c>
    </row>
    <row r="198" spans="1:1">
      <c r="A198" t="s">
        <v>386</v>
      </c>
    </row>
    <row r="199" spans="1:1">
      <c r="A199" t="s">
        <v>387</v>
      </c>
    </row>
    <row r="200" spans="1:1">
      <c r="A200" t="s">
        <v>388</v>
      </c>
    </row>
    <row r="201" spans="1:1">
      <c r="A201" t="s">
        <v>389</v>
      </c>
    </row>
    <row r="202" spans="1:1">
      <c r="A202" t="s">
        <v>390</v>
      </c>
    </row>
    <row r="203" spans="1:1">
      <c r="A203" t="s">
        <v>391</v>
      </c>
    </row>
    <row r="204" spans="1:1">
      <c r="A204" t="s">
        <v>392</v>
      </c>
    </row>
    <row r="205" spans="1:1">
      <c r="A205" t="s">
        <v>393</v>
      </c>
    </row>
    <row r="206" spans="1:1">
      <c r="A206" t="s">
        <v>394</v>
      </c>
    </row>
    <row r="207" spans="1:1">
      <c r="A207" t="s">
        <v>395</v>
      </c>
    </row>
    <row r="208" spans="1:1">
      <c r="A208" t="s">
        <v>396</v>
      </c>
    </row>
    <row r="209" spans="1:1">
      <c r="A209" t="s">
        <v>397</v>
      </c>
    </row>
    <row r="210" spans="1:1">
      <c r="A210" t="s">
        <v>398</v>
      </c>
    </row>
    <row r="211" spans="1:1">
      <c r="A211" t="s">
        <v>399</v>
      </c>
    </row>
    <row r="212" spans="1:1">
      <c r="A212" t="s">
        <v>400</v>
      </c>
    </row>
    <row r="213" spans="1:1">
      <c r="A213" t="s">
        <v>854</v>
      </c>
    </row>
    <row r="214" spans="1:1">
      <c r="A214" t="s">
        <v>401</v>
      </c>
    </row>
    <row r="215" spans="1:1">
      <c r="A215" t="s">
        <v>402</v>
      </c>
    </row>
    <row r="216" spans="1:1">
      <c r="A216" t="s">
        <v>403</v>
      </c>
    </row>
    <row r="217" spans="1:1">
      <c r="A217" t="s">
        <v>404</v>
      </c>
    </row>
    <row r="218" spans="1:1">
      <c r="A218" t="s">
        <v>405</v>
      </c>
    </row>
    <row r="219" spans="1:1">
      <c r="A219" t="s">
        <v>406</v>
      </c>
    </row>
    <row r="220" spans="1:1">
      <c r="A220" t="s">
        <v>407</v>
      </c>
    </row>
    <row r="221" spans="1:1">
      <c r="A221" t="s">
        <v>408</v>
      </c>
    </row>
    <row r="222" spans="1:1">
      <c r="A222" t="s">
        <v>409</v>
      </c>
    </row>
    <row r="223" spans="1:1">
      <c r="A223" t="s">
        <v>410</v>
      </c>
    </row>
    <row r="224" spans="1:1">
      <c r="A224" t="s">
        <v>411</v>
      </c>
    </row>
    <row r="225" spans="1:1">
      <c r="A225" t="s">
        <v>412</v>
      </c>
    </row>
    <row r="226" spans="1:1">
      <c r="A226" t="s">
        <v>413</v>
      </c>
    </row>
    <row r="227" spans="1:1">
      <c r="A227" t="s">
        <v>414</v>
      </c>
    </row>
    <row r="228" spans="1:1">
      <c r="A228" t="s">
        <v>415</v>
      </c>
    </row>
    <row r="229" spans="1:1">
      <c r="A229" t="s">
        <v>416</v>
      </c>
    </row>
    <row r="230" spans="1:1">
      <c r="A230" t="s">
        <v>417</v>
      </c>
    </row>
    <row r="231" spans="1:1">
      <c r="A231" t="s">
        <v>418</v>
      </c>
    </row>
    <row r="232" spans="1:1">
      <c r="A232" t="s">
        <v>419</v>
      </c>
    </row>
    <row r="233" spans="1:1">
      <c r="A233" t="s">
        <v>420</v>
      </c>
    </row>
    <row r="234" spans="1:1">
      <c r="A234" t="s">
        <v>421</v>
      </c>
    </row>
    <row r="235" spans="1:1">
      <c r="A235" t="s">
        <v>422</v>
      </c>
    </row>
    <row r="236" spans="1:1">
      <c r="A236" t="s">
        <v>423</v>
      </c>
    </row>
    <row r="237" spans="1:1">
      <c r="A237" t="s">
        <v>424</v>
      </c>
    </row>
    <row r="238" spans="1:1">
      <c r="A238" t="s">
        <v>425</v>
      </c>
    </row>
    <row r="239" spans="1:1">
      <c r="A239" t="s">
        <v>640</v>
      </c>
    </row>
    <row r="240" spans="1:1">
      <c r="A240" t="s">
        <v>426</v>
      </c>
    </row>
    <row r="241" spans="1:1">
      <c r="A241" t="s">
        <v>427</v>
      </c>
    </row>
    <row r="242" spans="1:1">
      <c r="A242" t="s">
        <v>428</v>
      </c>
    </row>
    <row r="243" spans="1:1">
      <c r="A243" t="s">
        <v>429</v>
      </c>
    </row>
    <row r="244" spans="1:1">
      <c r="A244" t="s">
        <v>430</v>
      </c>
    </row>
    <row r="245" spans="1:1">
      <c r="A245" t="s">
        <v>431</v>
      </c>
    </row>
    <row r="246" spans="1:1">
      <c r="A246" t="s">
        <v>432</v>
      </c>
    </row>
    <row r="247" spans="1:1">
      <c r="A247" t="s">
        <v>433</v>
      </c>
    </row>
    <row r="248" spans="1:1">
      <c r="A248" t="s">
        <v>434</v>
      </c>
    </row>
    <row r="249" spans="1:1">
      <c r="A249" t="s">
        <v>435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10</vt:i4>
      </vt:variant>
    </vt:vector>
  </HeadingPairs>
  <TitlesOfParts>
    <vt:vector size="10" baseType="lpstr">
      <vt:lpstr>IFRS12-Cuadros</vt:lpstr>
      <vt:lpstr>IFRS12-InfoReveSubs</vt:lpstr>
      <vt:lpstr>IFRS12-InfoEstrCons</vt:lpstr>
      <vt:lpstr>IFRS12-InfoSobrAsoc</vt:lpstr>
      <vt:lpstr>IFRS12-InfoOperConj</vt:lpstr>
      <vt:lpstr>IFRS12-InfoNegoConj</vt:lpstr>
      <vt:lpstr>IFRS12-InfoEstNoCon</vt:lpstr>
      <vt:lpstr>IFRS12-ReveSubsNoConso</vt:lpstr>
      <vt:lpstr>IFRS12-InfoEntiEstrNCons</vt:lpstr>
      <vt:lpstr>Hoja1</vt:lpstr>
    </vt:vector>
  </TitlesOfParts>
  <Company>y Trading 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Mauricio Ahumada (DBNeTCorp)</dc:creator>
  <cp:lastModifiedBy>jaime</cp:lastModifiedBy>
  <cp:lastPrinted>2013-03-25T15:24:24Z</cp:lastPrinted>
  <dcterms:created xsi:type="dcterms:W3CDTF">2010-06-04T19:45:19Z</dcterms:created>
  <dcterms:modified xsi:type="dcterms:W3CDTF">2022-02-10T01:17:34Z</dcterms:modified>
</cp:coreProperties>
</file>