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o_\OneDrive\Desktop\CI\xls\"/>
    </mc:Choice>
  </mc:AlternateContent>
  <xr:revisionPtr revIDLastSave="0" documentId="13_ncr:1_{AC1D67D8-3F54-42E0-BD25-6229CF0CF307}" xr6:coauthVersionLast="47" xr6:coauthVersionMax="47" xr10:uidLastSave="{00000000-0000-0000-0000-000000000000}"/>
  <bookViews>
    <workbookView xWindow="21375" yWindow="1380" windowWidth="34935" windowHeight="18405" xr2:uid="{00000000-000D-0000-FFFF-FFFF00000000}"/>
  </bookViews>
  <sheets>
    <sheet name="IAS-1_21000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7" i="1" l="1"/>
  <c r="I71" i="1" l="1"/>
  <c r="H71" i="1"/>
  <c r="H73" i="1" s="1"/>
  <c r="I61" i="1"/>
  <c r="H61" i="1"/>
  <c r="I49" i="1"/>
  <c r="H47" i="1"/>
  <c r="H49" i="1" s="1"/>
  <c r="I33" i="1"/>
  <c r="H33" i="1"/>
  <c r="I14" i="1"/>
  <c r="I16" i="1" s="1"/>
  <c r="H14" i="1"/>
  <c r="H16" i="1" s="1"/>
  <c r="H62" i="1" l="1"/>
  <c r="I34" i="1"/>
  <c r="L35" i="1" s="1"/>
  <c r="I62" i="1"/>
  <c r="H34" i="1"/>
  <c r="L34" i="1" s="1"/>
  <c r="I73" i="1"/>
  <c r="I74" i="1" l="1"/>
  <c r="H7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Mauricio Ahumada (DBNeTCorp)</author>
  </authors>
  <commentList>
    <comment ref="F7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Activos - Patrimonio y Pasivos debe ser igual a 0
</t>
        </r>
      </text>
    </comment>
  </commentList>
</comments>
</file>

<file path=xl/sharedStrings.xml><?xml version="1.0" encoding="utf-8"?>
<sst xmlns="http://schemas.openxmlformats.org/spreadsheetml/2006/main" count="402" uniqueCount="137">
  <si>
    <t xml:space="preserve"> </t>
  </si>
  <si>
    <t xml:space="preserve">    Estado de situación financiera [sinopsis]  </t>
  </si>
  <si>
    <t xml:space="preserve">      Activos [sinopsis]  </t>
  </si>
  <si>
    <t xml:space="preserve">        Activos corrientes [sinopsis]  </t>
  </si>
  <si>
    <t>Periodo Actual</t>
  </si>
  <si>
    <t>Periodo Anterior</t>
  </si>
  <si>
    <t>+</t>
  </si>
  <si>
    <t xml:space="preserve">          Otros activos financieros corrientes  [Número]</t>
  </si>
  <si>
    <t xml:space="preserve">          Otros activos no financieros corrientes  [Número]</t>
  </si>
  <si>
    <t xml:space="preserve">          Cuentas comerciales por cobrar y otras cuentas por cobrar corrientes  [Número]</t>
  </si>
  <si>
    <t xml:space="preserve">          Cuentas por cobrar a entidades relacionadas, corrientes  [Número]</t>
  </si>
  <si>
    <t xml:space="preserve">          Inventarios corrientes  [Número]</t>
  </si>
  <si>
    <t xml:space="preserve">          Activos biológicos corrientes  [Número]</t>
  </si>
  <si>
    <t xml:space="preserve">          Activos por impuestos corrientes, corriente  [Número]</t>
  </si>
  <si>
    <t xml:space="preserve">          Activos corrientes distintos de los activos no corrientes o grupo de activos para su disposición clasificados como mantenidos para la venta o como mantenidos para distribuir a los propietarios  [Número]</t>
  </si>
  <si>
    <t xml:space="preserve">          Activos no corrientes o grupos de activos para su disposición clasificados como mantenidos para la venta o como mantenidos para distribuir a los propietarios  [Número]</t>
  </si>
  <si>
    <t xml:space="preserve">          Activos corrientes  [Número]</t>
  </si>
  <si>
    <t xml:space="preserve">        Activos no corrientes [sinopsis]  </t>
  </si>
  <si>
    <t xml:space="preserve">          Otros activos financieros no corrientes  [Número]</t>
  </si>
  <si>
    <t xml:space="preserve">          Otros activos no financieros no corrientes  [Número]</t>
  </si>
  <si>
    <t xml:space="preserve">          Cuentas comerciales por cobrar y otras cuentas por cobrar no corrientes  [Número]</t>
  </si>
  <si>
    <t xml:space="preserve">          Cuentas por cobrar a entidades relacionadas, no corrientes  [Número]</t>
  </si>
  <si>
    <t xml:space="preserve">          Inventarios no corrientes  [Número]</t>
  </si>
  <si>
    <t xml:space="preserve">          Inversiones contabilizadas utilizando el método de la participación  [Número]</t>
  </si>
  <si>
    <t xml:space="preserve">          Activos intangibles distintos de la plusvalía  [Número]</t>
  </si>
  <si>
    <t xml:space="preserve">          Plusvalía  [Número]</t>
  </si>
  <si>
    <t xml:space="preserve">          Propiedades, planta y equipo  [Número]</t>
  </si>
  <si>
    <t xml:space="preserve">          Activos biológicos no corrientes  [Número]</t>
  </si>
  <si>
    <t xml:space="preserve">          Propiedad de inversión  [Número]</t>
  </si>
  <si>
    <t xml:space="preserve">          Activos por impuestos corrientes, no corriente  [Número]</t>
  </si>
  <si>
    <t xml:space="preserve">          Activos por impuestos diferidos  [Número]</t>
  </si>
  <si>
    <t xml:space="preserve">          Activos no corrientes  [Número]</t>
  </si>
  <si>
    <t xml:space="preserve">        Activos  [Número]</t>
  </si>
  <si>
    <t xml:space="preserve">      Patrimonio y pasivos [sinopsis]  </t>
  </si>
  <si>
    <t xml:space="preserve">        Pasivos [sinopsis]  </t>
  </si>
  <si>
    <t xml:space="preserve">          Pasivos corrientes [sinopsis]  </t>
  </si>
  <si>
    <t xml:space="preserve">            Otros pasivos financieros corrientes  [Número]</t>
  </si>
  <si>
    <t xml:space="preserve">            Cuentas por pagar comerciales y otras cuentas por pagar  [Número]</t>
  </si>
  <si>
    <t xml:space="preserve">            Cuentas por pagar a entidades relacionadas, corrientes  [Número]</t>
  </si>
  <si>
    <t xml:space="preserve">            Otras provisiones corrientes  [Número]</t>
  </si>
  <si>
    <t xml:space="preserve">            Pasivos por impuestos corrientes, corriente  [Número]</t>
  </si>
  <si>
    <t xml:space="preserve">            Provisiones corrientes por beneficios a los empleados  [Número]</t>
  </si>
  <si>
    <t xml:space="preserve">            Otros pasivos no financieros corrientes  [Número]</t>
  </si>
  <si>
    <t xml:space="preserve">            Pasivos corrientes distintos de los pasivos incluidos en grupos de activos para su disposición clasificados como mantenidos para la venta  [Número]</t>
  </si>
  <si>
    <t xml:space="preserve">            Pasivos incluidos en grupos de activos para su disposición clasificados como mantenidos para la venta  [Número]</t>
  </si>
  <si>
    <t xml:space="preserve">            Pasivos corrientes  [Número]</t>
  </si>
  <si>
    <t xml:space="preserve">          Pasivos no corrientes [sinopsis]  </t>
  </si>
  <si>
    <t xml:space="preserve">            Otros pasivos financieros no corrientes  [Número]</t>
  </si>
  <si>
    <t xml:space="preserve">            Cuentas comerciales por pagar y otras cuentas por pagar no corrientes  [Número]</t>
  </si>
  <si>
    <t xml:space="preserve">            Cuentas por pagar a entidades relacionadas, no corrientes  [Número]</t>
  </si>
  <si>
    <t xml:space="preserve">            Otras provisiones no corrientes  [Número]</t>
  </si>
  <si>
    <t xml:space="preserve">            Pasivo por impuestos diferidos  [Número]</t>
  </si>
  <si>
    <t xml:space="preserve">            Pasivos por impuestos corrientes, no corriente  [Número]</t>
  </si>
  <si>
    <t xml:space="preserve">            Provisiones no corrientes por beneficios a los empleados  [Número]</t>
  </si>
  <si>
    <t xml:space="preserve">            Otros pasivos no financieros no corrientes  [Número]</t>
  </si>
  <si>
    <t xml:space="preserve">            Pasivos no corrientes  [Número]</t>
  </si>
  <si>
    <t xml:space="preserve">          Pasivos  [Número]</t>
  </si>
  <si>
    <t xml:space="preserve">        Patrimonio [sinopsis]  </t>
  </si>
  <si>
    <t xml:space="preserve">          Capital emitido  [Número]</t>
  </si>
  <si>
    <t xml:space="preserve">          Ganancias (pérdidas) acumuladas  [Número]</t>
  </si>
  <si>
    <t xml:space="preserve">          Prima de emisión  [Número]</t>
  </si>
  <si>
    <t xml:space="preserve">          Acciones propias en cartera  [Número]</t>
  </si>
  <si>
    <t>-</t>
  </si>
  <si>
    <t xml:space="preserve">          Otras participaciones en el patrimonio  [Número]</t>
  </si>
  <si>
    <t xml:space="preserve">          Otras reservas  [Número]</t>
  </si>
  <si>
    <t xml:space="preserve">          Patrimonio atribuible a los propietarios de la controladora  [Número]</t>
  </si>
  <si>
    <t xml:space="preserve">          Participaciones no controladoras  [Número]</t>
  </si>
  <si>
    <t xml:space="preserve">          Patrimonio  [Número]</t>
  </si>
  <si>
    <t xml:space="preserve">        Patrimonio y pasivos  [Número]</t>
  </si>
  <si>
    <t>Cierre Anual Anterior</t>
  </si>
  <si>
    <t xml:space="preserve">          Efectivo y equivalentes al efectivo  [Número]</t>
  </si>
  <si>
    <t>full_ifrs-cor_2015-03-11.xsd#ifrs-full_CashAndCashEquivalents</t>
  </si>
  <si>
    <t>full_ifrs-cor_2015-03-11.xsd#ifrs-full_OtherCurrentFinancialAssets</t>
  </si>
  <si>
    <t>full_ifrs-cor_2015-03-11.xsd#ifrs-full_OtherCurrentNonfinancialAssets</t>
  </si>
  <si>
    <t>full_ifrs-cor_2015-03-11.xsd#ifrs-full_TradeAndOtherCurrentReceivables</t>
  </si>
  <si>
    <t>full_ifrs-cor_2015-03-11.xsd#ifrs-full_Inventories</t>
  </si>
  <si>
    <t>full_ifrs-cor_2015-03-11.xsd#ifrs-full_CurrentBiologicalAssets</t>
  </si>
  <si>
    <t>full_ifrs-cor_2015-03-11.xsd#ifrs-full_CurrentTaxAssetsCurrent</t>
  </si>
  <si>
    <t>full_ifrs-cor_2015-03-11.xsd#ifrs-full_CurrentAssetsOtherThanAssetsOrDisposalGroupsClassifiedAsHeldForSaleOrAsHeldForDistributionToOwners</t>
  </si>
  <si>
    <t>full_ifrs-cor_2015-03-11.xsd#ifrs-full_NoncurrentAssetsOrDisposalGroupsClassifiedAsHeldForSaleOrAsHeldForDistributionToOwners</t>
  </si>
  <si>
    <t>full_ifrs-cor_2015-03-11.xsd#ifrs-full_CurrentAssets</t>
  </si>
  <si>
    <t>full_ifrs-cor_2015-03-11.xsd#ifrs-full_OtherNoncurrentFinancialAssets</t>
  </si>
  <si>
    <t>full_ifrs-cor_2015-03-11.xsd#ifrs-full_OtherNoncurrentNonfinancialAssets</t>
  </si>
  <si>
    <t>full_ifrs-cor_2015-03-11.xsd#ifrs-full_NoncurrentReceivables</t>
  </si>
  <si>
    <t>full_ifrs-cor_2015-03-11.xsd#ifrs-full_NoncurrentInventories</t>
  </si>
  <si>
    <t>full_ifrs-cor_2015-03-11.xsd#ifrs-full_InvestmentAccountedForUsingEquityMethod</t>
  </si>
  <si>
    <t>full_ifrs-cor_2015-03-11.xsd#ifrs-full_IntangibleAssetsOtherThanGoodwill</t>
  </si>
  <si>
    <t>full_ifrs-cor_2015-03-11.xsd#ifrs-full_Goodwill</t>
  </si>
  <si>
    <t>full_ifrs-cor_2015-03-11.xsd#ifrs-full_PropertyPlantAndEquipment</t>
  </si>
  <si>
    <t>full_ifrs-cor_2015-03-11.xsd#ifrs-full_NoncurrentBiologicalAssets</t>
  </si>
  <si>
    <t>full_ifrs-cor_2015-03-11.xsd#ifrs-full_InvestmentProperty</t>
  </si>
  <si>
    <t>full_ifrs-cor_2015-03-11.xsd#ifrs-full_CurrentTaxAssetsNoncurrent</t>
  </si>
  <si>
    <t>full_ifrs-cor_2015-03-11.xsd#ifrs-full_DeferredTaxAssets</t>
  </si>
  <si>
    <t>full_ifrs-cor_2015-03-11.xsd#ifrs-full_NoncurrentAssets</t>
  </si>
  <si>
    <t>full_ifrs-cor_2015-03-11.xsd#ifrs-full_Assets</t>
  </si>
  <si>
    <t>full_ifrs-cor_2015-03-11.xsd#ifrs-full_OtherCurrentFinancialLiabilities</t>
  </si>
  <si>
    <t>full_ifrs-cor_2015-03-11.xsd#ifrs-full_TradeAndOtherCurrentPayables</t>
  </si>
  <si>
    <t>full_ifrs-cor_2015-03-11.xsd#ifrs-full_OtherShorttermProvisions</t>
  </si>
  <si>
    <t>full_ifrs-cor_2015-03-11.xsd#ifrs-full_CurrentTaxLiabilitiesCurrent</t>
  </si>
  <si>
    <t>full_ifrs-cor_2015-03-11.xsd#ifrs-full_CurrentProvisionsForEmployeeBenefits</t>
  </si>
  <si>
    <t>full_ifrs-cor_2015-03-11.xsd#ifrs-full_OtherCurrentNonfinancialLiabilities</t>
  </si>
  <si>
    <t>full_ifrs-cor_2015-03-11.xsd#ifrs-full_CurrentLiabilitiesOtherThanLiabilitiesIncludedInDisposalGroupsClassifiedAsHeldForSale</t>
  </si>
  <si>
    <t>full_ifrs-cor_2015-03-11.xsd#ifrs-full_LiabilitiesIncludedInDisposalGroupsClassifiedAsHeldForSale</t>
  </si>
  <si>
    <t>full_ifrs-cor_2015-03-11.xsd#ifrs-full_CurrentLiabilities</t>
  </si>
  <si>
    <t>full_ifrs-cor_2015-03-11.xsd#ifrs-full_OtherNoncurrentFinancialLiabilities</t>
  </si>
  <si>
    <t>full_ifrs-cor_2015-03-11.xsd#ifrs-full_NoncurrentPayables</t>
  </si>
  <si>
    <t>full_ifrs-cor_2015-03-11.xsd#ifrs-full_OtherLongtermProvisions</t>
  </si>
  <si>
    <t>full_ifrs-cor_2015-03-11.xsd#ifrs-full_DeferredTaxLiabilities</t>
  </si>
  <si>
    <t>full_ifrs-cor_2015-03-11.xsd#ifrs-full_CurrentTaxLiabilitiesNoncurrent</t>
  </si>
  <si>
    <t>full_ifrs-cor_2015-03-11.xsd#ifrs-full_NoncurrentProvisionsForEmployeeBenefits</t>
  </si>
  <si>
    <t>full_ifrs-cor_2015-03-11.xsd#ifrs-full_OtherNoncurrentNonfinancialLiabilities</t>
  </si>
  <si>
    <t>full_ifrs-cor_2015-03-11.xsd#ifrs-full_NoncurrentLiabilities</t>
  </si>
  <si>
    <t>full_ifrs-cor_2015-03-11.xsd#ifrs-full_Liabilities</t>
  </si>
  <si>
    <t>full_ifrs-cor_2015-03-11.xsd#ifrs-full_IssuedCapital</t>
  </si>
  <si>
    <t>full_ifrs-cor_2015-03-11.xsd#ifrs-full_SharePremium</t>
  </si>
  <si>
    <t>full_ifrs-cor_2015-03-11.xsd#ifrs-full_TreasuryShares</t>
  </si>
  <si>
    <t>full_ifrs-cor_2015-03-11.xsd#ifrs-full_OtherEquityInterest</t>
  </si>
  <si>
    <t>full_ifrs-cor_2015-03-11.xsd#ifrs-full_OtherReserves</t>
  </si>
  <si>
    <t>full_ifrs-cor_2015-03-11.xsd#ifrs-full_EquityAttributableToOwnersOfParent</t>
  </si>
  <si>
    <t>full_ifrs-cor_2015-03-11.xsd#ifrs-full_NoncontrollingInterests</t>
  </si>
  <si>
    <t>full_ifrs-cor_2015-03-11.xsd#ifrs-full_Equity</t>
  </si>
  <si>
    <t>full_ifrs-cor_2015-03-11.xsd#ifrs-full_EquityAndLiabilities</t>
  </si>
  <si>
    <t>cl-ci_cor_2016-01-11.xsd#cl-ci_CuentasCobrarEntidadesRelacionadasCorrientes</t>
  </si>
  <si>
    <t>cl-ci_cor_2016-01-11.xsd#cl-ci_CuentasCobrarEntidadesRelacionadasNoCorrientes</t>
  </si>
  <si>
    <t>cl-ci_cor_2016-01-11.xsd#cl-ci_CuentasPagarEntidadesRelacionadasCorrientes</t>
  </si>
  <si>
    <t>cl-ci_cor_2016-01-11.xsd#cl-ci_CuentasPagarEntidadesRelacionadasNoCorrientes</t>
  </si>
  <si>
    <t>cl-ci_cor_2016-01-11.xsd#cl-ci_GananciaPerdidaAcumulada</t>
  </si>
  <si>
    <t>Activos - Patrimonio y Pasivos = 0 (Formula de validacion basica)</t>
  </si>
  <si>
    <t>pre_cl-ci_ias-1_2019-03-27_role-210000</t>
  </si>
  <si>
    <t>full_ifrs-cor_2016-03-31.xsd#ifrs-full_RightofuseAssets</t>
  </si>
  <si>
    <t>full_ifrs-cor_2016-03-31.xsd#ifrs-full_CurrentLeaseLiabilities</t>
  </si>
  <si>
    <t>full_ifrs-cor_2016-03-31.xsd#ifrs-full_NoncurrentLeaseLiabilities</t>
  </si>
  <si>
    <t xml:space="preserve">          Activos por derecho de uso [Número]</t>
  </si>
  <si>
    <t xml:space="preserve">            Pasivos por arrendamientos corrientes [Número]</t>
  </si>
  <si>
    <t xml:space="preserve">            Pasivos por arrendamientos no corrientes [Número]</t>
  </si>
  <si>
    <t>10.0</t>
  </si>
  <si>
    <t>al sacarlo arregla IAS36-Cuadros(832410)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</si>
</sst>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b/>
      <sz val="9"/>
      <name val="Verdana"/>
      <family val="2"/>
    </font>
    <font>
      <sz val="9"/>
      <name val="Verdana"/>
      <family val="2"/>
    </font>
    <font>
      <sz val="11"/>
      <color indexed="9"/>
      <name val="Czcionka tekstu podstawowego"/>
      <family val="2"/>
      <charset val="238"/>
    </font>
    <font>
      <b/>
      <sz val="9"/>
      <color indexed="9"/>
      <name val="Calibri"/>
      <family val="2"/>
      <scheme val="minor"/>
    </font>
    <font>
      <sz val="9"/>
      <color theme="1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3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9E74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>
      <alignment vertical="center"/>
    </xf>
    <xf numFmtId="0" fontId="6" fillId="5" borderId="0" applyNumberFormat="0" applyBorder="0" applyAlignment="0" applyProtection="0"/>
    <xf numFmtId="0" fontId="2" fillId="0" borderId="0" applyNumberFormat="0" applyFill="0" applyBorder="0">
      <alignment vertical="center"/>
    </xf>
  </cellStyleXfs>
  <cellXfs count="45">
    <xf numFmtId="0" fontId="0" fillId="0" borderId="0" xfId="0"/>
    <xf numFmtId="0" fontId="1" fillId="3" borderId="0" xfId="0" applyFont="1" applyFill="1"/>
    <xf numFmtId="0" fontId="3" fillId="4" borderId="2" xfId="1" applyFont="1" applyFill="1" applyBorder="1">
      <alignment vertical="center"/>
    </xf>
    <xf numFmtId="0" fontId="3" fillId="4" borderId="3" xfId="1" applyFont="1" applyFill="1" applyBorder="1">
      <alignment vertical="center"/>
    </xf>
    <xf numFmtId="0" fontId="4" fillId="4" borderId="3" xfId="0" applyFont="1" applyFill="1" applyBorder="1"/>
    <xf numFmtId="0" fontId="5" fillId="4" borderId="0" xfId="0" applyFont="1" applyFill="1" applyAlignment="1">
      <alignment vertical="center" wrapText="1"/>
    </xf>
    <xf numFmtId="3" fontId="3" fillId="4" borderId="0" xfId="1" applyNumberFormat="1" applyFont="1" applyFill="1" applyBorder="1">
      <alignment vertical="center"/>
    </xf>
    <xf numFmtId="3" fontId="3" fillId="4" borderId="3" xfId="1" applyNumberFormat="1" applyFont="1" applyFill="1" applyBorder="1">
      <alignment vertical="center"/>
    </xf>
    <xf numFmtId="0" fontId="3" fillId="4" borderId="7" xfId="1" applyFont="1" applyFill="1" applyBorder="1">
      <alignment vertical="center"/>
    </xf>
    <xf numFmtId="0" fontId="3" fillId="4" borderId="1" xfId="1" applyFont="1" applyFill="1" applyBorder="1">
      <alignment vertical="center"/>
    </xf>
    <xf numFmtId="0" fontId="3" fillId="4" borderId="0" xfId="1" applyFont="1" applyFill="1" applyBorder="1">
      <alignment vertical="center"/>
    </xf>
    <xf numFmtId="0" fontId="4" fillId="4" borderId="0" xfId="0" applyFont="1" applyFill="1"/>
    <xf numFmtId="0" fontId="3" fillId="4" borderId="8" xfId="1" applyFont="1" applyFill="1" applyBorder="1">
      <alignment vertical="center"/>
    </xf>
    <xf numFmtId="0" fontId="7" fillId="6" borderId="9" xfId="2" applyFont="1" applyFill="1" applyBorder="1" applyAlignment="1">
      <alignment horizontal="center" wrapText="1"/>
    </xf>
    <xf numFmtId="0" fontId="5" fillId="4" borderId="0" xfId="0" applyFont="1" applyFill="1"/>
    <xf numFmtId="0" fontId="8" fillId="4" borderId="0" xfId="0" applyFont="1" applyFill="1" applyAlignment="1">
      <alignment vertical="center" wrapText="1"/>
    </xf>
    <xf numFmtId="3" fontId="3" fillId="2" borderId="5" xfId="0" applyNumberFormat="1" applyFont="1" applyFill="1" applyBorder="1" applyAlignment="1" applyProtection="1">
      <alignment vertical="center"/>
      <protection locked="0"/>
    </xf>
    <xf numFmtId="3" fontId="3" fillId="2" borderId="6" xfId="0" applyNumberFormat="1" applyFont="1" applyFill="1" applyBorder="1" applyAlignment="1" applyProtection="1">
      <alignment vertical="center"/>
      <protection locked="0"/>
    </xf>
    <xf numFmtId="0" fontId="8" fillId="4" borderId="0" xfId="0" applyFont="1" applyFill="1" applyAlignment="1">
      <alignment vertical="top" wrapText="1"/>
    </xf>
    <xf numFmtId="0" fontId="4" fillId="4" borderId="0" xfId="0" applyFont="1" applyFill="1" applyAlignment="1">
      <alignment vertical="center" wrapText="1"/>
    </xf>
    <xf numFmtId="3" fontId="9" fillId="7" borderId="5" xfId="0" applyNumberFormat="1" applyFont="1" applyFill="1" applyBorder="1" applyAlignment="1">
      <alignment vertical="center"/>
    </xf>
    <xf numFmtId="0" fontId="5" fillId="4" borderId="0" xfId="0" applyFont="1" applyFill="1" applyAlignment="1">
      <alignment wrapText="1"/>
    </xf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wrapText="1" indent="3"/>
    </xf>
    <xf numFmtId="0" fontId="7" fillId="6" borderId="5" xfId="2" applyFont="1" applyFill="1" applyBorder="1" applyAlignment="1">
      <alignment horizontal="center" wrapText="1"/>
    </xf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left" wrapText="1" indent="3"/>
    </xf>
    <xf numFmtId="0" fontId="4" fillId="4" borderId="0" xfId="0" applyFont="1" applyFill="1" applyAlignment="1">
      <alignment wrapText="1"/>
    </xf>
    <xf numFmtId="0" fontId="4" fillId="4" borderId="0" xfId="0" applyFont="1" applyFill="1" applyAlignment="1">
      <alignment horizontal="left" wrapText="1" indent="4"/>
    </xf>
    <xf numFmtId="0" fontId="3" fillId="4" borderId="10" xfId="1" applyFont="1" applyFill="1" applyBorder="1" applyAlignment="1">
      <alignment horizontal="left" vertical="center"/>
    </xf>
    <xf numFmtId="0" fontId="3" fillId="4" borderId="11" xfId="1" applyFont="1" applyFill="1" applyBorder="1" applyAlignment="1">
      <alignment horizontal="left" vertical="center"/>
    </xf>
    <xf numFmtId="0" fontId="5" fillId="4" borderId="11" xfId="1" applyFont="1" applyFill="1" applyBorder="1" applyAlignment="1">
      <alignment horizontal="left" vertical="center"/>
    </xf>
    <xf numFmtId="0" fontId="5" fillId="4" borderId="12" xfId="1" applyFont="1" applyFill="1" applyBorder="1" applyAlignment="1">
      <alignment horizontal="left" vertical="center"/>
    </xf>
    <xf numFmtId="3" fontId="3" fillId="7" borderId="5" xfId="0" applyNumberFormat="1" applyFont="1" applyFill="1" applyBorder="1" applyAlignment="1" applyProtection="1">
      <alignment vertical="center"/>
      <protection locked="0"/>
    </xf>
    <xf numFmtId="0" fontId="1" fillId="0" borderId="0" xfId="0" applyFont="1"/>
    <xf numFmtId="0" fontId="1" fillId="2" borderId="0" xfId="0" applyFont="1" applyFill="1"/>
    <xf numFmtId="0" fontId="5" fillId="4" borderId="1" xfId="1" applyFont="1" applyFill="1" applyBorder="1" applyAlignment="1">
      <alignment horizontal="left" vertical="center"/>
    </xf>
    <xf numFmtId="0" fontId="5" fillId="4" borderId="0" xfId="1" applyFont="1" applyFill="1" applyBorder="1" applyAlignment="1">
      <alignment horizontal="left" vertical="center"/>
    </xf>
    <xf numFmtId="0" fontId="4" fillId="8" borderId="0" xfId="3" applyFont="1" applyFill="1" applyBorder="1" applyAlignment="1">
      <alignment vertical="center" wrapText="1"/>
    </xf>
    <xf numFmtId="0" fontId="8" fillId="8" borderId="0" xfId="0" applyFont="1" applyFill="1" applyAlignment="1">
      <alignment vertical="center" wrapText="1"/>
    </xf>
    <xf numFmtId="3" fontId="5" fillId="8" borderId="5" xfId="3" applyNumberFormat="1" applyFont="1" applyFill="1" applyBorder="1">
      <alignment vertical="center"/>
    </xf>
    <xf numFmtId="0" fontId="0" fillId="9" borderId="4" xfId="0" applyFill="1" applyBorder="1"/>
    <xf numFmtId="0" fontId="10" fillId="9" borderId="6" xfId="0" applyFont="1" applyFill="1" applyBorder="1"/>
    <xf numFmtId="0" fontId="5" fillId="9" borderId="0" xfId="0" applyFont="1" applyFill="1"/>
    <xf numFmtId="3" fontId="1" fillId="0" borderId="0" xfId="0" applyNumberFormat="1" applyFont="1"/>
  </cellXfs>
  <cellStyles count="4">
    <cellStyle name="60% - akcent 1" xfId="2" xr:uid="{00000000-0005-0000-0000-000000000000}"/>
    <cellStyle name="Normal" xfId="0" builtinId="0"/>
    <cellStyle name="Normal 12" xfId="3" xr:uid="{00000000-0005-0000-0000-000002000000}"/>
    <cellStyle name="Normal 3" xfId="1" xr:uid="{00000000-0005-0000-0000-000003000000}"/>
  </cellStyles>
  <dxfs count="13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10583</xdr:rowOff>
    </xdr:from>
    <xdr:to>
      <xdr:col>5</xdr:col>
      <xdr:colOff>1971675</xdr:colOff>
      <xdr:row>0</xdr:row>
      <xdr:rowOff>820208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83"/>
          <a:ext cx="287655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2333625</xdr:colOff>
      <xdr:row>0</xdr:row>
      <xdr:rowOff>93133</xdr:rowOff>
    </xdr:from>
    <xdr:to>
      <xdr:col>5</xdr:col>
      <xdr:colOff>5944209</xdr:colOff>
      <xdr:row>1</xdr:row>
      <xdr:rowOff>19633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8500" y="93133"/>
          <a:ext cx="361058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123825</xdr:colOff>
      <xdr:row>0</xdr:row>
      <xdr:rowOff>1009649</xdr:rowOff>
    </xdr:from>
    <xdr:to>
      <xdr:col>5</xdr:col>
      <xdr:colOff>479925</xdr:colOff>
      <xdr:row>1</xdr:row>
      <xdr:rowOff>108149</xdr:rowOff>
    </xdr:to>
    <xdr:sp macro="[0]!crear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4800" y="1009649"/>
          <a:ext cx="1080000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CL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647700</xdr:colOff>
      <xdr:row>0</xdr:row>
      <xdr:rowOff>1009649</xdr:rowOff>
    </xdr:from>
    <xdr:to>
      <xdr:col>5</xdr:col>
      <xdr:colOff>1727700</xdr:colOff>
      <xdr:row>1</xdr:row>
      <xdr:rowOff>108149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52575" y="1009649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CL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CL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76"/>
  <sheetViews>
    <sheetView tabSelected="1" topLeftCell="A18" zoomScaleNormal="100" workbookViewId="0">
      <selection activeCell="H32" sqref="H32"/>
    </sheetView>
  </sheetViews>
  <sheetFormatPr baseColWidth="10" defaultColWidth="11.42578125" defaultRowHeight="15"/>
  <cols>
    <col min="1" max="5" width="2.7109375" customWidth="1"/>
    <col min="6" max="6" width="90.7109375" customWidth="1"/>
    <col min="7" max="7" width="2.28515625" customWidth="1"/>
    <col min="8" max="8" width="17.5703125" customWidth="1"/>
    <col min="9" max="9" width="19.140625" customWidth="1"/>
    <col min="10" max="10" width="14" bestFit="1" customWidth="1"/>
    <col min="11" max="11" width="4.5703125" customWidth="1"/>
    <col min="12" max="13" width="13" bestFit="1" customWidth="1"/>
    <col min="14" max="14" width="36.28515625" bestFit="1" customWidth="1"/>
  </cols>
  <sheetData>
    <row r="1" spans="1:11" ht="105" customHeight="1">
      <c r="A1" t="s">
        <v>0</v>
      </c>
    </row>
    <row r="2" spans="1:11">
      <c r="G2" s="41" t="s">
        <v>0</v>
      </c>
      <c r="H2" s="42" t="s">
        <v>135</v>
      </c>
    </row>
    <row r="3" spans="1:11" s="34" customFormat="1" ht="15" customHeight="1">
      <c r="A3" s="1"/>
      <c r="B3" s="2"/>
      <c r="C3" s="3"/>
      <c r="D3" s="3" t="s">
        <v>0</v>
      </c>
      <c r="E3" s="3" t="s">
        <v>0</v>
      </c>
      <c r="F3" s="4" t="s">
        <v>1</v>
      </c>
      <c r="G3" s="5" t="s">
        <v>0</v>
      </c>
      <c r="H3" s="6"/>
      <c r="I3" s="7"/>
      <c r="J3" s="7"/>
      <c r="K3" s="8"/>
    </row>
    <row r="4" spans="1:11" s="34" customFormat="1" ht="15" customHeight="1">
      <c r="A4" s="1"/>
      <c r="B4" s="9"/>
      <c r="C4" s="10"/>
      <c r="D4" s="10" t="s">
        <v>0</v>
      </c>
      <c r="E4" s="10" t="s">
        <v>0</v>
      </c>
      <c r="F4" s="11" t="s">
        <v>2</v>
      </c>
      <c r="G4" s="5" t="s">
        <v>0</v>
      </c>
      <c r="H4" s="6"/>
      <c r="I4" s="6"/>
      <c r="J4" s="6"/>
      <c r="K4" s="12"/>
    </row>
    <row r="5" spans="1:11" s="34" customFormat="1" ht="30.75" customHeight="1">
      <c r="A5" s="1"/>
      <c r="B5" s="9"/>
      <c r="C5" s="10"/>
      <c r="D5" s="10" t="s">
        <v>0</v>
      </c>
      <c r="E5" s="10" t="s">
        <v>0</v>
      </c>
      <c r="F5" s="11" t="s">
        <v>3</v>
      </c>
      <c r="G5" s="5" t="s">
        <v>0</v>
      </c>
      <c r="H5" s="13" t="s">
        <v>4</v>
      </c>
      <c r="I5" s="13" t="s">
        <v>69</v>
      </c>
      <c r="J5" s="13"/>
      <c r="K5" s="12"/>
    </row>
    <row r="6" spans="1:11" s="34" customFormat="1" ht="15" customHeight="1">
      <c r="A6" s="1"/>
      <c r="B6" s="9" t="s">
        <v>128</v>
      </c>
      <c r="C6" s="10" t="s">
        <v>71</v>
      </c>
      <c r="D6" s="10" t="s">
        <v>0</v>
      </c>
      <c r="E6" s="10" t="s">
        <v>0</v>
      </c>
      <c r="F6" s="14" t="s">
        <v>70</v>
      </c>
      <c r="G6" s="15" t="s">
        <v>6</v>
      </c>
      <c r="H6" s="16">
        <v>114224711000</v>
      </c>
      <c r="I6" s="17">
        <v>110061086000</v>
      </c>
      <c r="J6" s="17">
        <v>68945792000</v>
      </c>
      <c r="K6" s="12"/>
    </row>
    <row r="7" spans="1:11" s="34" customFormat="1" ht="15" customHeight="1">
      <c r="A7" s="1"/>
      <c r="B7" s="9" t="s">
        <v>128</v>
      </c>
      <c r="C7" s="10" t="s">
        <v>72</v>
      </c>
      <c r="D7" s="10" t="s">
        <v>0</v>
      </c>
      <c r="E7" s="10" t="s">
        <v>0</v>
      </c>
      <c r="F7" s="14" t="s">
        <v>7</v>
      </c>
      <c r="G7" s="18" t="s">
        <v>6</v>
      </c>
      <c r="H7" s="16">
        <v>18747721000</v>
      </c>
      <c r="I7" s="17">
        <v>1916359000</v>
      </c>
      <c r="J7" s="17"/>
      <c r="K7" s="12"/>
    </row>
    <row r="8" spans="1:11" s="34" customFormat="1" ht="15" customHeight="1">
      <c r="A8" s="1"/>
      <c r="B8" s="9" t="s">
        <v>128</v>
      </c>
      <c r="C8" s="10" t="s">
        <v>73</v>
      </c>
      <c r="D8" s="10" t="s">
        <v>0</v>
      </c>
      <c r="E8" s="10" t="s">
        <v>0</v>
      </c>
      <c r="F8" s="14" t="s">
        <v>8</v>
      </c>
      <c r="G8" s="15" t="s">
        <v>6</v>
      </c>
      <c r="H8" s="16">
        <v>29428064000</v>
      </c>
      <c r="I8" s="17">
        <v>20334576000</v>
      </c>
      <c r="J8" s="17"/>
      <c r="K8" s="12"/>
    </row>
    <row r="9" spans="1:11" s="34" customFormat="1" ht="15" customHeight="1">
      <c r="A9" s="1"/>
      <c r="B9" s="9" t="s">
        <v>128</v>
      </c>
      <c r="C9" s="10" t="s">
        <v>74</v>
      </c>
      <c r="D9" s="10" t="s">
        <v>0</v>
      </c>
      <c r="E9" s="10" t="s">
        <v>0</v>
      </c>
      <c r="F9" s="14" t="s">
        <v>9</v>
      </c>
      <c r="G9" s="15" t="s">
        <v>6</v>
      </c>
      <c r="H9" s="16">
        <v>26155137000</v>
      </c>
      <c r="I9" s="17">
        <v>19959586000</v>
      </c>
      <c r="J9" s="17"/>
      <c r="K9" s="12"/>
    </row>
    <row r="10" spans="1:11" s="34" customFormat="1" ht="15" customHeight="1">
      <c r="A10" s="1"/>
      <c r="B10" s="9" t="s">
        <v>128</v>
      </c>
      <c r="C10" s="10" t="s">
        <v>122</v>
      </c>
      <c r="D10" s="10" t="s">
        <v>0</v>
      </c>
      <c r="E10" s="10" t="s">
        <v>0</v>
      </c>
      <c r="F10" s="14" t="s">
        <v>10</v>
      </c>
      <c r="G10" s="15" t="s">
        <v>6</v>
      </c>
      <c r="H10" s="16">
        <v>5562759000</v>
      </c>
      <c r="I10" s="16">
        <v>6177439000</v>
      </c>
      <c r="J10" s="17"/>
      <c r="K10" s="12"/>
    </row>
    <row r="11" spans="1:11" s="34" customFormat="1" ht="15" customHeight="1">
      <c r="A11" s="1"/>
      <c r="B11" s="9" t="s">
        <v>128</v>
      </c>
      <c r="C11" s="10" t="s">
        <v>75</v>
      </c>
      <c r="D11" s="10" t="s">
        <v>0</v>
      </c>
      <c r="E11" s="10" t="s">
        <v>0</v>
      </c>
      <c r="F11" s="14" t="s">
        <v>11</v>
      </c>
      <c r="G11" s="15" t="s">
        <v>6</v>
      </c>
      <c r="H11" s="16"/>
      <c r="I11" s="17"/>
      <c r="J11" s="17"/>
      <c r="K11" s="12"/>
    </row>
    <row r="12" spans="1:11" s="34" customFormat="1" ht="15" customHeight="1">
      <c r="A12" s="1"/>
      <c r="B12" s="9" t="s">
        <v>128</v>
      </c>
      <c r="C12" s="10" t="s">
        <v>76</v>
      </c>
      <c r="D12" s="10" t="s">
        <v>0</v>
      </c>
      <c r="E12" s="10" t="s">
        <v>0</v>
      </c>
      <c r="F12" s="14" t="s">
        <v>12</v>
      </c>
      <c r="G12" s="15" t="s">
        <v>6</v>
      </c>
      <c r="H12" s="16"/>
      <c r="I12" s="17"/>
      <c r="J12" s="17"/>
      <c r="K12" s="12"/>
    </row>
    <row r="13" spans="1:11" s="34" customFormat="1" ht="15" customHeight="1">
      <c r="A13" s="1"/>
      <c r="B13" s="9" t="s">
        <v>128</v>
      </c>
      <c r="C13" s="10" t="s">
        <v>77</v>
      </c>
      <c r="D13" s="10" t="s">
        <v>0</v>
      </c>
      <c r="E13" s="10" t="s">
        <v>0</v>
      </c>
      <c r="F13" s="14" t="s">
        <v>13</v>
      </c>
      <c r="G13" s="15" t="s">
        <v>6</v>
      </c>
      <c r="H13" s="16">
        <v>4330018000</v>
      </c>
      <c r="I13" s="17">
        <v>3287411000</v>
      </c>
      <c r="J13" s="17"/>
      <c r="K13" s="12"/>
    </row>
    <row r="14" spans="1:11" s="34" customFormat="1" ht="33.75">
      <c r="A14" s="1"/>
      <c r="B14" s="9" t="s">
        <v>128</v>
      </c>
      <c r="C14" s="10" t="s">
        <v>78</v>
      </c>
      <c r="D14" s="10" t="s">
        <v>0</v>
      </c>
      <c r="E14" s="10" t="s">
        <v>0</v>
      </c>
      <c r="F14" s="19" t="s">
        <v>14</v>
      </c>
      <c r="G14" s="15" t="s">
        <v>6</v>
      </c>
      <c r="H14" s="20">
        <f>SUM(H6:H13)</f>
        <v>198448410000</v>
      </c>
      <c r="I14" s="20">
        <f>SUM(I6:I13)</f>
        <v>161736457000</v>
      </c>
      <c r="J14" s="20"/>
      <c r="K14" s="12"/>
    </row>
    <row r="15" spans="1:11" s="34" customFormat="1" ht="22.5">
      <c r="A15" s="1"/>
      <c r="B15" s="9" t="s">
        <v>128</v>
      </c>
      <c r="C15" s="10" t="s">
        <v>79</v>
      </c>
      <c r="D15" s="10" t="s">
        <v>0</v>
      </c>
      <c r="E15" s="10" t="s">
        <v>0</v>
      </c>
      <c r="F15" s="21" t="s">
        <v>15</v>
      </c>
      <c r="G15" s="15" t="s">
        <v>6</v>
      </c>
      <c r="H15" s="16"/>
      <c r="I15" s="17"/>
      <c r="J15" s="17"/>
      <c r="K15" s="12"/>
    </row>
    <row r="16" spans="1:11" s="34" customFormat="1" ht="15" customHeight="1">
      <c r="A16" s="1"/>
      <c r="B16" s="9" t="s">
        <v>128</v>
      </c>
      <c r="C16" s="10" t="s">
        <v>80</v>
      </c>
      <c r="D16" s="10" t="s">
        <v>0</v>
      </c>
      <c r="E16" s="10" t="s">
        <v>0</v>
      </c>
      <c r="F16" s="22" t="s">
        <v>16</v>
      </c>
      <c r="G16" s="15" t="s">
        <v>6</v>
      </c>
      <c r="H16" s="20">
        <f>H14+H15</f>
        <v>198448410000</v>
      </c>
      <c r="I16" s="20">
        <f>I14+I15</f>
        <v>161736457000</v>
      </c>
      <c r="J16" s="20"/>
      <c r="K16" s="12"/>
    </row>
    <row r="17" spans="1:14" s="34" customFormat="1" ht="15" customHeight="1">
      <c r="A17" s="1"/>
      <c r="B17" s="9"/>
      <c r="C17" s="10"/>
      <c r="D17" s="10" t="s">
        <v>0</v>
      </c>
      <c r="E17" s="10" t="s">
        <v>0</v>
      </c>
      <c r="F17" s="22"/>
      <c r="G17" s="5" t="s">
        <v>0</v>
      </c>
      <c r="H17" s="23"/>
      <c r="I17" s="23"/>
      <c r="J17" s="23"/>
      <c r="K17" s="12"/>
    </row>
    <row r="18" spans="1:14" s="34" customFormat="1" ht="34.5" customHeight="1">
      <c r="A18" s="1"/>
      <c r="B18" s="9"/>
      <c r="C18" s="10"/>
      <c r="D18" s="10"/>
      <c r="E18" s="10"/>
      <c r="F18" s="22" t="s">
        <v>17</v>
      </c>
      <c r="G18" s="5"/>
      <c r="H18" s="13" t="s">
        <v>4</v>
      </c>
      <c r="I18" s="24" t="s">
        <v>5</v>
      </c>
      <c r="J18" s="24"/>
      <c r="K18" s="12"/>
    </row>
    <row r="19" spans="1:14" s="34" customFormat="1" ht="15" customHeight="1">
      <c r="A19" s="1"/>
      <c r="B19" s="9" t="s">
        <v>128</v>
      </c>
      <c r="C19" s="10" t="s">
        <v>81</v>
      </c>
      <c r="D19" s="10" t="s">
        <v>0</v>
      </c>
      <c r="E19" s="10" t="s">
        <v>0</v>
      </c>
      <c r="F19" s="25" t="s">
        <v>18</v>
      </c>
      <c r="G19" s="5" t="s">
        <v>6</v>
      </c>
      <c r="H19" s="16">
        <v>240419000</v>
      </c>
      <c r="I19" s="16">
        <v>841000</v>
      </c>
      <c r="J19" s="16"/>
      <c r="K19" s="12"/>
    </row>
    <row r="20" spans="1:14" s="34" customFormat="1" ht="15" customHeight="1">
      <c r="A20" s="1"/>
      <c r="B20" s="9" t="s">
        <v>128</v>
      </c>
      <c r="C20" s="10" t="s">
        <v>82</v>
      </c>
      <c r="D20" s="10" t="s">
        <v>0</v>
      </c>
      <c r="E20" s="10" t="s">
        <v>0</v>
      </c>
      <c r="F20" s="14" t="s">
        <v>19</v>
      </c>
      <c r="G20" s="5" t="s">
        <v>6</v>
      </c>
      <c r="H20" s="16">
        <v>28490567000</v>
      </c>
      <c r="I20" s="16">
        <v>31711183000</v>
      </c>
      <c r="J20" s="16"/>
      <c r="K20" s="12"/>
    </row>
    <row r="21" spans="1:14" s="34" customFormat="1" ht="15" customHeight="1">
      <c r="A21" s="1"/>
      <c r="B21" s="9" t="s">
        <v>128</v>
      </c>
      <c r="C21" s="10" t="s">
        <v>83</v>
      </c>
      <c r="D21" s="10" t="s">
        <v>0</v>
      </c>
      <c r="E21" s="10" t="s">
        <v>0</v>
      </c>
      <c r="F21" s="14" t="s">
        <v>20</v>
      </c>
      <c r="G21" s="15" t="s">
        <v>6</v>
      </c>
      <c r="H21" s="16">
        <v>284841000</v>
      </c>
      <c r="I21" s="16">
        <v>326999000</v>
      </c>
      <c r="J21" s="16"/>
      <c r="K21" s="12"/>
    </row>
    <row r="22" spans="1:14" s="34" customFormat="1" ht="15" customHeight="1">
      <c r="A22" s="1"/>
      <c r="B22" s="9" t="s">
        <v>128</v>
      </c>
      <c r="C22" s="10" t="s">
        <v>123</v>
      </c>
      <c r="D22" s="10" t="s">
        <v>0</v>
      </c>
      <c r="E22" s="10" t="s">
        <v>0</v>
      </c>
      <c r="F22" s="14" t="s">
        <v>21</v>
      </c>
      <c r="G22" s="15" t="s">
        <v>6</v>
      </c>
      <c r="H22" s="16"/>
      <c r="I22" s="16"/>
      <c r="J22" s="17"/>
      <c r="K22" s="12"/>
    </row>
    <row r="23" spans="1:14" s="34" customFormat="1" ht="15" customHeight="1">
      <c r="A23" s="1"/>
      <c r="B23" s="9" t="s">
        <v>128</v>
      </c>
      <c r="C23" s="10" t="s">
        <v>84</v>
      </c>
      <c r="D23" s="10" t="s">
        <v>0</v>
      </c>
      <c r="E23" s="10" t="s">
        <v>0</v>
      </c>
      <c r="F23" s="14" t="s">
        <v>22</v>
      </c>
      <c r="G23" s="15" t="s">
        <v>6</v>
      </c>
      <c r="H23" s="16"/>
      <c r="I23" s="16"/>
      <c r="J23" s="16"/>
      <c r="K23" s="12"/>
    </row>
    <row r="24" spans="1:14" s="34" customFormat="1" ht="15" customHeight="1">
      <c r="A24" s="1"/>
      <c r="B24" s="9" t="s">
        <v>128</v>
      </c>
      <c r="C24" s="10" t="s">
        <v>85</v>
      </c>
      <c r="D24" s="10" t="s">
        <v>0</v>
      </c>
      <c r="E24" s="10" t="s">
        <v>0</v>
      </c>
      <c r="F24" s="14" t="s">
        <v>23</v>
      </c>
      <c r="G24" s="15" t="s">
        <v>6</v>
      </c>
      <c r="H24" s="16">
        <v>57618362000</v>
      </c>
      <c r="I24" s="16">
        <v>53585634000</v>
      </c>
      <c r="J24" s="16"/>
      <c r="K24" s="12"/>
    </row>
    <row r="25" spans="1:14" s="34" customFormat="1" ht="15" customHeight="1">
      <c r="A25" s="1"/>
      <c r="B25" s="9" t="s">
        <v>128</v>
      </c>
      <c r="C25" s="10" t="s">
        <v>86</v>
      </c>
      <c r="D25" s="10" t="s">
        <v>0</v>
      </c>
      <c r="E25" s="10" t="s">
        <v>0</v>
      </c>
      <c r="F25" s="14" t="s">
        <v>24</v>
      </c>
      <c r="G25" s="15" t="s">
        <v>6</v>
      </c>
      <c r="H25" s="16">
        <v>36521820000</v>
      </c>
      <c r="I25" s="16">
        <v>29501760000</v>
      </c>
      <c r="J25" s="16"/>
      <c r="K25" s="12"/>
    </row>
    <row r="26" spans="1:14" s="34" customFormat="1" ht="15" customHeight="1">
      <c r="A26" s="1"/>
      <c r="B26" s="9" t="s">
        <v>128</v>
      </c>
      <c r="C26" s="10" t="s">
        <v>87</v>
      </c>
      <c r="D26" s="10" t="s">
        <v>0</v>
      </c>
      <c r="E26" s="10" t="s">
        <v>0</v>
      </c>
      <c r="F26" s="14" t="s">
        <v>25</v>
      </c>
      <c r="G26" s="15" t="s">
        <v>6</v>
      </c>
      <c r="H26" s="16">
        <v>13089116000</v>
      </c>
      <c r="I26" s="16">
        <v>16383094000</v>
      </c>
      <c r="J26" s="16"/>
      <c r="K26" s="12"/>
      <c r="L26" s="16">
        <v>13089116000</v>
      </c>
      <c r="M26" s="16">
        <v>16383094000</v>
      </c>
      <c r="N26" s="34" t="s">
        <v>136</v>
      </c>
    </row>
    <row r="27" spans="1:14" s="34" customFormat="1" ht="15" customHeight="1">
      <c r="A27" s="1"/>
      <c r="B27" s="9" t="s">
        <v>128</v>
      </c>
      <c r="C27" s="10" t="s">
        <v>88</v>
      </c>
      <c r="D27" s="10" t="s">
        <v>0</v>
      </c>
      <c r="E27" s="10" t="s">
        <v>0</v>
      </c>
      <c r="F27" s="14" t="s">
        <v>26</v>
      </c>
      <c r="G27" s="15" t="s">
        <v>6</v>
      </c>
      <c r="H27" s="16">
        <v>2835678000</v>
      </c>
      <c r="I27" s="16">
        <v>2835678000</v>
      </c>
      <c r="J27" s="16"/>
      <c r="K27" s="12"/>
    </row>
    <row r="28" spans="1:14" s="34" customFormat="1" ht="15" customHeight="1">
      <c r="A28" s="1"/>
      <c r="B28" s="9" t="s">
        <v>128</v>
      </c>
      <c r="C28" s="10" t="s">
        <v>89</v>
      </c>
      <c r="D28" s="10" t="s">
        <v>0</v>
      </c>
      <c r="E28" s="10" t="s">
        <v>0</v>
      </c>
      <c r="F28" s="14" t="s">
        <v>27</v>
      </c>
      <c r="G28" s="15" t="s">
        <v>6</v>
      </c>
      <c r="H28" s="16"/>
      <c r="I28" s="16"/>
      <c r="J28" s="16"/>
      <c r="K28" s="12"/>
    </row>
    <row r="29" spans="1:14" s="34" customFormat="1" ht="15" customHeight="1">
      <c r="A29" s="1"/>
      <c r="B29" s="9" t="s">
        <v>128</v>
      </c>
      <c r="C29" s="10" t="s">
        <v>90</v>
      </c>
      <c r="D29" s="10" t="s">
        <v>0</v>
      </c>
      <c r="E29" s="10" t="s">
        <v>0</v>
      </c>
      <c r="F29" s="14" t="s">
        <v>28</v>
      </c>
      <c r="G29" s="15" t="s">
        <v>6</v>
      </c>
      <c r="H29" s="16">
        <v>1309154784000</v>
      </c>
      <c r="I29" s="16">
        <v>1090631422000</v>
      </c>
      <c r="J29" s="16">
        <v>947838880000</v>
      </c>
      <c r="K29" s="12"/>
    </row>
    <row r="30" spans="1:14" s="34" customFormat="1" ht="15" customHeight="1">
      <c r="A30" s="1"/>
      <c r="B30" s="9" t="s">
        <v>128</v>
      </c>
      <c r="C30" s="10" t="s">
        <v>129</v>
      </c>
      <c r="D30" s="10" t="s">
        <v>0</v>
      </c>
      <c r="E30" s="10"/>
      <c r="F30" s="43" t="s">
        <v>132</v>
      </c>
      <c r="G30" s="15" t="s">
        <v>6</v>
      </c>
      <c r="H30" s="16">
        <v>10000</v>
      </c>
      <c r="I30" s="16">
        <v>10000</v>
      </c>
      <c r="J30" s="16"/>
      <c r="K30" s="12"/>
    </row>
    <row r="31" spans="1:14" s="34" customFormat="1" ht="15" customHeight="1">
      <c r="A31" s="1"/>
      <c r="B31" s="9" t="s">
        <v>128</v>
      </c>
      <c r="C31" s="10" t="s">
        <v>91</v>
      </c>
      <c r="D31" s="10" t="s">
        <v>0</v>
      </c>
      <c r="E31" s="10" t="s">
        <v>0</v>
      </c>
      <c r="F31" s="14" t="s">
        <v>29</v>
      </c>
      <c r="G31" s="15" t="s">
        <v>6</v>
      </c>
      <c r="H31" s="16">
        <v>-100010000</v>
      </c>
      <c r="I31" s="16">
        <v>-10000</v>
      </c>
      <c r="J31" s="16"/>
      <c r="K31" s="12"/>
    </row>
    <row r="32" spans="1:14" s="34" customFormat="1" ht="15" customHeight="1">
      <c r="A32" s="1"/>
      <c r="B32" s="9" t="s">
        <v>128</v>
      </c>
      <c r="C32" s="10" t="s">
        <v>92</v>
      </c>
      <c r="D32" s="10" t="s">
        <v>0</v>
      </c>
      <c r="E32" s="10" t="s">
        <v>0</v>
      </c>
      <c r="F32" s="14" t="s">
        <v>30</v>
      </c>
      <c r="G32" s="15" t="s">
        <v>6</v>
      </c>
      <c r="H32" s="16">
        <v>43516148000</v>
      </c>
      <c r="I32" s="16">
        <v>41795417000</v>
      </c>
      <c r="J32" s="16"/>
      <c r="K32" s="12"/>
    </row>
    <row r="33" spans="1:12" s="34" customFormat="1" ht="15" customHeight="1">
      <c r="A33" s="1"/>
      <c r="B33" s="9" t="s">
        <v>128</v>
      </c>
      <c r="C33" s="10" t="s">
        <v>93</v>
      </c>
      <c r="D33" s="10" t="s">
        <v>0</v>
      </c>
      <c r="E33" s="10" t="s">
        <v>0</v>
      </c>
      <c r="F33" s="11" t="s">
        <v>31</v>
      </c>
      <c r="G33" s="15" t="s">
        <v>6</v>
      </c>
      <c r="H33" s="20">
        <f>SUM(H19:H32)</f>
        <v>1491651735000</v>
      </c>
      <c r="I33" s="20">
        <f>SUM(I19:I32)</f>
        <v>1266772028000</v>
      </c>
      <c r="J33" s="20"/>
      <c r="K33" s="12"/>
    </row>
    <row r="34" spans="1:12" s="34" customFormat="1" ht="15" customHeight="1">
      <c r="A34" s="1"/>
      <c r="B34" s="9" t="s">
        <v>128</v>
      </c>
      <c r="C34" s="10" t="s">
        <v>94</v>
      </c>
      <c r="D34" s="10" t="s">
        <v>0</v>
      </c>
      <c r="E34" s="10" t="s">
        <v>0</v>
      </c>
      <c r="F34" s="11" t="s">
        <v>32</v>
      </c>
      <c r="G34" s="15" t="s">
        <v>0</v>
      </c>
      <c r="H34" s="33">
        <f>H16+H33</f>
        <v>1690100145000</v>
      </c>
      <c r="I34" s="33">
        <f>I16+I33</f>
        <v>1428508485000</v>
      </c>
      <c r="J34" s="20"/>
      <c r="K34" s="12"/>
      <c r="L34" s="44">
        <f>SUM(H35-H34)</f>
        <v>0</v>
      </c>
    </row>
    <row r="35" spans="1:12" s="34" customFormat="1" ht="15" customHeight="1">
      <c r="A35" s="1"/>
      <c r="B35" s="9"/>
      <c r="C35" s="10"/>
      <c r="D35" s="10"/>
      <c r="E35" s="10"/>
      <c r="F35" s="14"/>
      <c r="G35" s="15"/>
      <c r="H35" s="33">
        <v>1690100145000</v>
      </c>
      <c r="I35" s="33">
        <v>1428508485000</v>
      </c>
      <c r="J35" s="26"/>
      <c r="K35" s="12"/>
      <c r="L35" s="44">
        <f>SUM(I35-I34)</f>
        <v>0</v>
      </c>
    </row>
    <row r="36" spans="1:12" s="34" customFormat="1" ht="15" customHeight="1">
      <c r="A36" s="1"/>
      <c r="B36" s="9"/>
      <c r="C36" s="10"/>
      <c r="D36" s="10" t="s">
        <v>0</v>
      </c>
      <c r="E36" s="10" t="s">
        <v>0</v>
      </c>
      <c r="F36" s="11" t="s">
        <v>33</v>
      </c>
      <c r="G36" s="15" t="s">
        <v>0</v>
      </c>
      <c r="H36" s="23"/>
      <c r="I36" s="23"/>
      <c r="J36" s="23"/>
      <c r="K36" s="12"/>
    </row>
    <row r="37" spans="1:12" s="34" customFormat="1" ht="15" customHeight="1">
      <c r="A37" s="1"/>
      <c r="B37" s="9"/>
      <c r="C37" s="10"/>
      <c r="D37" s="10" t="s">
        <v>0</v>
      </c>
      <c r="E37" s="10" t="s">
        <v>0</v>
      </c>
      <c r="F37" s="11" t="s">
        <v>34</v>
      </c>
      <c r="G37" s="15" t="s">
        <v>0</v>
      </c>
      <c r="H37" s="6"/>
      <c r="I37" s="6"/>
      <c r="J37" s="6"/>
      <c r="K37" s="12"/>
    </row>
    <row r="38" spans="1:12" s="34" customFormat="1" ht="30.75" customHeight="1">
      <c r="A38" s="1"/>
      <c r="B38" s="9"/>
      <c r="C38" s="10"/>
      <c r="D38" s="10" t="s">
        <v>0</v>
      </c>
      <c r="E38" s="10" t="s">
        <v>0</v>
      </c>
      <c r="F38" s="11" t="s">
        <v>35</v>
      </c>
      <c r="G38" s="21" t="s">
        <v>0</v>
      </c>
      <c r="H38" s="13" t="s">
        <v>4</v>
      </c>
      <c r="I38" s="24" t="s">
        <v>5</v>
      </c>
      <c r="J38" s="24"/>
      <c r="K38" s="12"/>
    </row>
    <row r="39" spans="1:12" s="34" customFormat="1" ht="22.5" customHeight="1">
      <c r="A39" s="1"/>
      <c r="B39" s="9" t="s">
        <v>128</v>
      </c>
      <c r="C39" s="10" t="s">
        <v>95</v>
      </c>
      <c r="D39" s="10" t="s">
        <v>0</v>
      </c>
      <c r="E39" s="10" t="s">
        <v>0</v>
      </c>
      <c r="F39" s="14" t="s">
        <v>36</v>
      </c>
      <c r="G39" s="15" t="s">
        <v>6</v>
      </c>
      <c r="H39" s="16">
        <v>77964757000</v>
      </c>
      <c r="I39" s="16">
        <v>52055207000</v>
      </c>
      <c r="J39" s="17"/>
      <c r="K39" s="12"/>
    </row>
    <row r="40" spans="1:12" s="34" customFormat="1" ht="12">
      <c r="A40" s="1"/>
      <c r="B40" s="9" t="s">
        <v>128</v>
      </c>
      <c r="C40" s="10" t="s">
        <v>130</v>
      </c>
      <c r="D40" s="10" t="s">
        <v>0</v>
      </c>
      <c r="E40" s="10"/>
      <c r="F40" s="43" t="s">
        <v>133</v>
      </c>
      <c r="G40" s="15" t="s">
        <v>6</v>
      </c>
      <c r="H40" s="16">
        <v>17000</v>
      </c>
      <c r="I40" s="16">
        <v>3000</v>
      </c>
      <c r="J40" s="17"/>
      <c r="K40" s="12"/>
    </row>
    <row r="41" spans="1:12" s="34" customFormat="1" ht="15" customHeight="1">
      <c r="A41" s="1"/>
      <c r="B41" s="9" t="s">
        <v>128</v>
      </c>
      <c r="C41" s="10" t="s">
        <v>96</v>
      </c>
      <c r="D41" s="10" t="s">
        <v>0</v>
      </c>
      <c r="E41" s="10" t="s">
        <v>0</v>
      </c>
      <c r="F41" s="14" t="s">
        <v>37</v>
      </c>
      <c r="G41" s="15" t="s">
        <v>6</v>
      </c>
      <c r="H41" s="16">
        <v>27226571000</v>
      </c>
      <c r="I41" s="16">
        <v>28379202000</v>
      </c>
      <c r="J41" s="16"/>
      <c r="K41" s="12"/>
    </row>
    <row r="42" spans="1:12" s="34" customFormat="1" ht="15" customHeight="1">
      <c r="A42" s="1"/>
      <c r="B42" s="9" t="s">
        <v>128</v>
      </c>
      <c r="C42" s="10" t="s">
        <v>124</v>
      </c>
      <c r="D42" s="10" t="s">
        <v>0</v>
      </c>
      <c r="E42" s="10" t="s">
        <v>0</v>
      </c>
      <c r="F42" s="14" t="s">
        <v>38</v>
      </c>
      <c r="G42" s="15" t="s">
        <v>6</v>
      </c>
      <c r="H42" s="16">
        <v>2418620000</v>
      </c>
      <c r="I42" s="16">
        <v>2195857000</v>
      </c>
      <c r="J42" s="16"/>
      <c r="K42" s="12"/>
    </row>
    <row r="43" spans="1:12" s="34" customFormat="1" ht="15" customHeight="1">
      <c r="A43" s="1"/>
      <c r="B43" s="9" t="s">
        <v>128</v>
      </c>
      <c r="C43" s="10" t="s">
        <v>97</v>
      </c>
      <c r="D43" s="10" t="s">
        <v>0</v>
      </c>
      <c r="E43" s="10" t="s">
        <v>0</v>
      </c>
      <c r="F43" s="14" t="s">
        <v>39</v>
      </c>
      <c r="G43" s="15" t="s">
        <v>6</v>
      </c>
      <c r="H43" s="16">
        <v>1539866000</v>
      </c>
      <c r="I43" s="16">
        <v>1603946000</v>
      </c>
      <c r="J43" s="16"/>
      <c r="K43" s="12"/>
    </row>
    <row r="44" spans="1:12" s="34" customFormat="1" ht="15" customHeight="1">
      <c r="A44" s="1"/>
      <c r="B44" s="9" t="s">
        <v>128</v>
      </c>
      <c r="C44" s="10" t="s">
        <v>98</v>
      </c>
      <c r="D44" s="10" t="s">
        <v>0</v>
      </c>
      <c r="E44" s="10" t="s">
        <v>0</v>
      </c>
      <c r="F44" s="14" t="s">
        <v>40</v>
      </c>
      <c r="G44" s="15" t="s">
        <v>6</v>
      </c>
      <c r="H44" s="16">
        <v>5193892000</v>
      </c>
      <c r="I44" s="16">
        <v>6188840000</v>
      </c>
      <c r="J44" s="16"/>
      <c r="K44" s="12"/>
    </row>
    <row r="45" spans="1:12" s="34" customFormat="1" ht="12">
      <c r="A45" s="1"/>
      <c r="B45" s="9" t="s">
        <v>128</v>
      </c>
      <c r="C45" s="10" t="s">
        <v>99</v>
      </c>
      <c r="D45" s="10" t="s">
        <v>0</v>
      </c>
      <c r="E45" s="10" t="s">
        <v>0</v>
      </c>
      <c r="F45" s="14" t="s">
        <v>41</v>
      </c>
      <c r="G45" s="15" t="s">
        <v>6</v>
      </c>
      <c r="H45" s="16">
        <v>3895946000</v>
      </c>
      <c r="I45" s="16">
        <v>3511827000</v>
      </c>
      <c r="J45" s="16"/>
      <c r="K45" s="12"/>
    </row>
    <row r="46" spans="1:12" s="34" customFormat="1" ht="12">
      <c r="A46" s="1"/>
      <c r="B46" s="9" t="s">
        <v>128</v>
      </c>
      <c r="C46" s="10" t="s">
        <v>100</v>
      </c>
      <c r="D46" s="10" t="s">
        <v>0</v>
      </c>
      <c r="E46" s="10" t="s">
        <v>0</v>
      </c>
      <c r="F46" s="14" t="s">
        <v>42</v>
      </c>
      <c r="G46" s="15" t="s">
        <v>6</v>
      </c>
      <c r="H46" s="16">
        <v>6926888000</v>
      </c>
      <c r="I46" s="16">
        <v>1716497000</v>
      </c>
      <c r="J46" s="16"/>
      <c r="K46" s="12"/>
    </row>
    <row r="47" spans="1:12" s="34" customFormat="1" ht="22.5">
      <c r="A47" s="1"/>
      <c r="B47" s="9" t="s">
        <v>128</v>
      </c>
      <c r="C47" s="10" t="s">
        <v>101</v>
      </c>
      <c r="D47" s="10" t="s">
        <v>0</v>
      </c>
      <c r="E47" s="10" t="s">
        <v>0</v>
      </c>
      <c r="F47" s="27" t="s">
        <v>43</v>
      </c>
      <c r="G47" s="15" t="s">
        <v>6</v>
      </c>
      <c r="H47" s="20">
        <f>SUM(H39:H46)</f>
        <v>125166557000</v>
      </c>
      <c r="I47" s="20">
        <f>SUM(I39:I46)</f>
        <v>95651379000</v>
      </c>
      <c r="J47" s="20"/>
      <c r="K47" s="12"/>
    </row>
    <row r="48" spans="1:12" s="34" customFormat="1" ht="22.5">
      <c r="A48" s="1"/>
      <c r="B48" s="9" t="s">
        <v>128</v>
      </c>
      <c r="C48" s="10" t="s">
        <v>102</v>
      </c>
      <c r="D48" s="10" t="s">
        <v>0</v>
      </c>
      <c r="E48" s="10" t="s">
        <v>0</v>
      </c>
      <c r="F48" s="5" t="s">
        <v>44</v>
      </c>
      <c r="G48" s="15" t="s">
        <v>6</v>
      </c>
      <c r="H48" s="16"/>
      <c r="I48" s="17"/>
      <c r="J48" s="17"/>
      <c r="K48" s="12"/>
    </row>
    <row r="49" spans="1:11" s="34" customFormat="1" ht="15" customHeight="1">
      <c r="A49" s="1"/>
      <c r="B49" s="9" t="s">
        <v>128</v>
      </c>
      <c r="C49" s="10" t="s">
        <v>103</v>
      </c>
      <c r="D49" s="10" t="s">
        <v>0</v>
      </c>
      <c r="E49" s="10" t="s">
        <v>0</v>
      </c>
      <c r="F49" s="27" t="s">
        <v>45</v>
      </c>
      <c r="G49" s="15" t="s">
        <v>6</v>
      </c>
      <c r="H49" s="20">
        <f>H47+H48</f>
        <v>125166557000</v>
      </c>
      <c r="I49" s="20">
        <f>I47+I48</f>
        <v>95651379000</v>
      </c>
      <c r="J49" s="20"/>
      <c r="K49" s="12"/>
    </row>
    <row r="50" spans="1:11" s="34" customFormat="1" ht="15" customHeight="1">
      <c r="A50" s="1"/>
      <c r="B50" s="9"/>
      <c r="C50" s="10"/>
      <c r="D50" s="10"/>
      <c r="E50" s="10"/>
      <c r="F50" s="27"/>
      <c r="G50" s="15"/>
      <c r="H50" s="23"/>
      <c r="I50" s="23"/>
      <c r="J50" s="26"/>
      <c r="K50" s="12"/>
    </row>
    <row r="51" spans="1:11" s="34" customFormat="1" ht="24" customHeight="1">
      <c r="A51" s="1"/>
      <c r="B51" s="9"/>
      <c r="C51" s="10"/>
      <c r="D51" s="10" t="s">
        <v>0</v>
      </c>
      <c r="E51" s="10" t="s">
        <v>0</v>
      </c>
      <c r="F51" s="11" t="s">
        <v>46</v>
      </c>
      <c r="G51" s="15" t="s">
        <v>0</v>
      </c>
      <c r="H51" s="13" t="s">
        <v>4</v>
      </c>
      <c r="I51" s="24" t="s">
        <v>5</v>
      </c>
      <c r="J51" s="24"/>
      <c r="K51" s="12"/>
    </row>
    <row r="52" spans="1:11" s="34" customFormat="1" ht="15" customHeight="1">
      <c r="A52" s="1"/>
      <c r="B52" s="9" t="s">
        <v>128</v>
      </c>
      <c r="C52" s="10" t="s">
        <v>104</v>
      </c>
      <c r="D52" s="10" t="s">
        <v>0</v>
      </c>
      <c r="E52" s="10" t="s">
        <v>0</v>
      </c>
      <c r="F52" s="14" t="s">
        <v>47</v>
      </c>
      <c r="G52" s="15" t="s">
        <v>6</v>
      </c>
      <c r="H52" s="16">
        <v>626015040000</v>
      </c>
      <c r="I52" s="16">
        <v>421273192000</v>
      </c>
      <c r="J52" s="17"/>
      <c r="K52" s="12"/>
    </row>
    <row r="53" spans="1:11" s="34" customFormat="1" ht="15" customHeight="1">
      <c r="A53" s="1"/>
      <c r="B53" s="9" t="s">
        <v>128</v>
      </c>
      <c r="C53" s="10" t="s">
        <v>131</v>
      </c>
      <c r="D53" s="10" t="s">
        <v>0</v>
      </c>
      <c r="E53" s="10"/>
      <c r="F53" s="43" t="s">
        <v>134</v>
      </c>
      <c r="G53" s="15" t="s">
        <v>6</v>
      </c>
      <c r="H53" s="16">
        <v>111247000</v>
      </c>
      <c r="I53" s="16">
        <v>20000</v>
      </c>
      <c r="J53" s="17"/>
      <c r="K53" s="12"/>
    </row>
    <row r="54" spans="1:11" s="34" customFormat="1" ht="15" customHeight="1">
      <c r="A54" s="1"/>
      <c r="B54" s="9" t="s">
        <v>128</v>
      </c>
      <c r="C54" s="10" t="s">
        <v>105</v>
      </c>
      <c r="D54" s="10" t="s">
        <v>0</v>
      </c>
      <c r="E54" s="10" t="s">
        <v>0</v>
      </c>
      <c r="F54" s="14" t="s">
        <v>48</v>
      </c>
      <c r="G54" s="15" t="s">
        <v>6</v>
      </c>
      <c r="H54" s="16"/>
      <c r="I54" s="16"/>
      <c r="J54" s="17"/>
      <c r="K54" s="12"/>
    </row>
    <row r="55" spans="1:11" s="34" customFormat="1" ht="15" customHeight="1">
      <c r="A55" s="1"/>
      <c r="B55" s="9" t="s">
        <v>128</v>
      </c>
      <c r="C55" s="10" t="s">
        <v>125</v>
      </c>
      <c r="D55" s="10" t="s">
        <v>0</v>
      </c>
      <c r="E55" s="10" t="s">
        <v>0</v>
      </c>
      <c r="F55" s="14" t="s">
        <v>49</v>
      </c>
      <c r="G55" s="15" t="s">
        <v>6</v>
      </c>
      <c r="H55" s="16"/>
      <c r="I55" s="16"/>
      <c r="J55" s="16"/>
      <c r="K55" s="12"/>
    </row>
    <row r="56" spans="1:11" s="34" customFormat="1" ht="15" customHeight="1">
      <c r="A56" s="1"/>
      <c r="B56" s="9" t="s">
        <v>128</v>
      </c>
      <c r="C56" s="10" t="s">
        <v>106</v>
      </c>
      <c r="D56" s="10" t="s">
        <v>0</v>
      </c>
      <c r="E56" s="10" t="s">
        <v>0</v>
      </c>
      <c r="F56" s="14" t="s">
        <v>50</v>
      </c>
      <c r="G56" s="21" t="s">
        <v>6</v>
      </c>
      <c r="H56" s="16"/>
      <c r="I56" s="16"/>
      <c r="J56" s="16"/>
      <c r="K56" s="12"/>
    </row>
    <row r="57" spans="1:11" s="34" customFormat="1" ht="15" customHeight="1">
      <c r="A57" s="1"/>
      <c r="B57" s="9" t="s">
        <v>128</v>
      </c>
      <c r="C57" s="10" t="s">
        <v>107</v>
      </c>
      <c r="D57" s="10" t="s">
        <v>0</v>
      </c>
      <c r="E57" s="10" t="s">
        <v>0</v>
      </c>
      <c r="F57" s="14" t="s">
        <v>51</v>
      </c>
      <c r="G57" s="15" t="s">
        <v>6</v>
      </c>
      <c r="H57" s="16">
        <v>130050387000</v>
      </c>
      <c r="I57" s="16">
        <v>106378627000</v>
      </c>
      <c r="J57" s="16"/>
      <c r="K57" s="12"/>
    </row>
    <row r="58" spans="1:11" s="34" customFormat="1" ht="15" customHeight="1">
      <c r="A58" s="1"/>
      <c r="B58" s="9" t="s">
        <v>128</v>
      </c>
      <c r="C58" s="10" t="s">
        <v>108</v>
      </c>
      <c r="D58" s="10" t="s">
        <v>0</v>
      </c>
      <c r="E58" s="10" t="s">
        <v>0</v>
      </c>
      <c r="F58" s="14" t="s">
        <v>52</v>
      </c>
      <c r="G58" s="15" t="s">
        <v>6</v>
      </c>
      <c r="H58" s="16"/>
      <c r="I58" s="16"/>
      <c r="J58" s="16"/>
      <c r="K58" s="12"/>
    </row>
    <row r="59" spans="1:11" s="34" customFormat="1" ht="15" customHeight="1">
      <c r="A59" s="1"/>
      <c r="B59" s="9" t="s">
        <v>128</v>
      </c>
      <c r="C59" s="10" t="s">
        <v>109</v>
      </c>
      <c r="D59" s="10" t="s">
        <v>0</v>
      </c>
      <c r="E59" s="10" t="s">
        <v>0</v>
      </c>
      <c r="F59" s="14" t="s">
        <v>53</v>
      </c>
      <c r="G59" s="15" t="s">
        <v>6</v>
      </c>
      <c r="H59" s="16"/>
      <c r="I59" s="16"/>
      <c r="J59" s="16"/>
      <c r="K59" s="12"/>
    </row>
    <row r="60" spans="1:11" s="34" customFormat="1" ht="15" customHeight="1">
      <c r="A60" s="1"/>
      <c r="B60" s="9" t="s">
        <v>128</v>
      </c>
      <c r="C60" s="10" t="s">
        <v>110</v>
      </c>
      <c r="D60" s="10" t="s">
        <v>0</v>
      </c>
      <c r="E60" s="10" t="s">
        <v>0</v>
      </c>
      <c r="F60" s="14" t="s">
        <v>54</v>
      </c>
      <c r="G60" s="15" t="s">
        <v>6</v>
      </c>
      <c r="H60" s="16">
        <v>14192599000</v>
      </c>
      <c r="I60" s="16">
        <v>10327302000</v>
      </c>
      <c r="J60" s="16"/>
      <c r="K60" s="12"/>
    </row>
    <row r="61" spans="1:11" s="34" customFormat="1" ht="15" customHeight="1">
      <c r="A61" s="1"/>
      <c r="B61" s="9" t="s">
        <v>128</v>
      </c>
      <c r="C61" s="10" t="s">
        <v>111</v>
      </c>
      <c r="D61" s="10" t="s">
        <v>0</v>
      </c>
      <c r="E61" s="10" t="s">
        <v>0</v>
      </c>
      <c r="F61" s="11" t="s">
        <v>55</v>
      </c>
      <c r="G61" s="15" t="s">
        <v>6</v>
      </c>
      <c r="H61" s="20">
        <f>SUM(H52:H60)</f>
        <v>770369273000</v>
      </c>
      <c r="I61" s="20">
        <f>SUM(I52:I60)</f>
        <v>537979141000</v>
      </c>
      <c r="J61" s="20"/>
      <c r="K61" s="12"/>
    </row>
    <row r="62" spans="1:11" s="34" customFormat="1" ht="15" customHeight="1">
      <c r="A62" s="1"/>
      <c r="B62" s="9" t="s">
        <v>128</v>
      </c>
      <c r="C62" s="10" t="s">
        <v>112</v>
      </c>
      <c r="D62" s="10" t="s">
        <v>0</v>
      </c>
      <c r="E62" s="10" t="s">
        <v>0</v>
      </c>
      <c r="F62" s="11" t="s">
        <v>56</v>
      </c>
      <c r="G62" s="15" t="s">
        <v>6</v>
      </c>
      <c r="H62" s="33">
        <f>H49+H61</f>
        <v>895535830000</v>
      </c>
      <c r="I62" s="33">
        <f>I49+I61</f>
        <v>633630520000</v>
      </c>
      <c r="J62" s="20"/>
      <c r="K62" s="12"/>
    </row>
    <row r="63" spans="1:11" s="34" customFormat="1" ht="15" customHeight="1">
      <c r="A63" s="1"/>
      <c r="B63" s="9"/>
      <c r="C63" s="10"/>
      <c r="D63" s="10"/>
      <c r="E63" s="10"/>
      <c r="F63" s="14"/>
      <c r="G63" s="15"/>
      <c r="H63" s="28"/>
      <c r="I63" s="28"/>
      <c r="J63" s="28"/>
      <c r="K63" s="12"/>
    </row>
    <row r="64" spans="1:11" s="34" customFormat="1" ht="27.75" customHeight="1">
      <c r="A64" s="1"/>
      <c r="B64" s="9"/>
      <c r="C64" s="10"/>
      <c r="D64" s="10" t="s">
        <v>0</v>
      </c>
      <c r="E64" s="10" t="s">
        <v>0</v>
      </c>
      <c r="F64" s="11" t="s">
        <v>57</v>
      </c>
      <c r="G64" s="15" t="s">
        <v>0</v>
      </c>
      <c r="H64" s="13" t="s">
        <v>4</v>
      </c>
      <c r="I64" s="24" t="s">
        <v>5</v>
      </c>
      <c r="J64" s="24"/>
      <c r="K64" s="12"/>
    </row>
    <row r="65" spans="1:11" s="34" customFormat="1" ht="23.25" customHeight="1">
      <c r="A65" s="1"/>
      <c r="B65" s="9" t="s">
        <v>128</v>
      </c>
      <c r="C65" s="10" t="s">
        <v>113</v>
      </c>
      <c r="D65" s="10" t="s">
        <v>0</v>
      </c>
      <c r="E65" s="10" t="s">
        <v>0</v>
      </c>
      <c r="F65" s="14" t="s">
        <v>58</v>
      </c>
      <c r="G65" s="15" t="s">
        <v>6</v>
      </c>
      <c r="H65" s="16">
        <v>338573354000</v>
      </c>
      <c r="I65" s="16">
        <v>336925246000</v>
      </c>
      <c r="J65" s="17"/>
      <c r="K65" s="12"/>
    </row>
    <row r="66" spans="1:11" s="34" customFormat="1" ht="30" customHeight="1">
      <c r="A66" s="1"/>
      <c r="B66" s="9" t="s">
        <v>128</v>
      </c>
      <c r="C66" s="10" t="s">
        <v>126</v>
      </c>
      <c r="D66" s="10" t="s">
        <v>0</v>
      </c>
      <c r="E66" s="10" t="s">
        <v>0</v>
      </c>
      <c r="F66" s="14" t="s">
        <v>59</v>
      </c>
      <c r="G66" s="15" t="s">
        <v>6</v>
      </c>
      <c r="H66" s="16">
        <v>321680121000</v>
      </c>
      <c r="I66" s="16">
        <v>309444765000</v>
      </c>
      <c r="J66" s="16"/>
      <c r="K66" s="12"/>
    </row>
    <row r="67" spans="1:11" s="34" customFormat="1" ht="15" customHeight="1">
      <c r="A67" s="1"/>
      <c r="B67" s="9" t="s">
        <v>128</v>
      </c>
      <c r="C67" s="10" t="s">
        <v>114</v>
      </c>
      <c r="D67" s="10" t="s">
        <v>0</v>
      </c>
      <c r="E67" s="10" t="s">
        <v>0</v>
      </c>
      <c r="F67" s="14" t="s">
        <v>60</v>
      </c>
      <c r="G67" s="15" t="s">
        <v>6</v>
      </c>
      <c r="H67" s="16">
        <v>200964000</v>
      </c>
      <c r="I67" s="16">
        <v>200964000</v>
      </c>
      <c r="J67" s="16"/>
      <c r="K67" s="12"/>
    </row>
    <row r="68" spans="1:11" s="34" customFormat="1" ht="15" customHeight="1">
      <c r="A68" s="1"/>
      <c r="B68" s="9" t="s">
        <v>128</v>
      </c>
      <c r="C68" s="10" t="s">
        <v>115</v>
      </c>
      <c r="D68" s="10" t="s">
        <v>0</v>
      </c>
      <c r="E68" s="10" t="s">
        <v>0</v>
      </c>
      <c r="F68" s="14" t="s">
        <v>61</v>
      </c>
      <c r="G68" s="15" t="s">
        <v>62</v>
      </c>
      <c r="H68" s="16"/>
      <c r="I68" s="16">
        <v>3736839000</v>
      </c>
      <c r="J68" s="16"/>
      <c r="K68" s="12"/>
    </row>
    <row r="69" spans="1:11" s="34" customFormat="1" ht="15" customHeight="1">
      <c r="A69" s="1"/>
      <c r="B69" s="9" t="s">
        <v>128</v>
      </c>
      <c r="C69" s="10" t="s">
        <v>116</v>
      </c>
      <c r="D69" s="10" t="s">
        <v>0</v>
      </c>
      <c r="E69" s="10" t="s">
        <v>0</v>
      </c>
      <c r="F69" s="14" t="s">
        <v>63</v>
      </c>
      <c r="G69" s="15" t="s">
        <v>6</v>
      </c>
      <c r="H69" s="16">
        <v>18160910000</v>
      </c>
      <c r="I69" s="16">
        <v>14750880000</v>
      </c>
      <c r="J69" s="16"/>
      <c r="K69" s="12"/>
    </row>
    <row r="70" spans="1:11" s="34" customFormat="1" ht="15" customHeight="1">
      <c r="A70" s="1"/>
      <c r="B70" s="9" t="s">
        <v>128</v>
      </c>
      <c r="C70" s="10" t="s">
        <v>117</v>
      </c>
      <c r="D70" s="10" t="s">
        <v>0</v>
      </c>
      <c r="E70" s="10" t="s">
        <v>0</v>
      </c>
      <c r="F70" s="14" t="s">
        <v>64</v>
      </c>
      <c r="G70" s="15" t="s">
        <v>6</v>
      </c>
      <c r="H70" s="16">
        <v>-4083387000</v>
      </c>
      <c r="I70" s="16">
        <v>-4950870000</v>
      </c>
      <c r="J70" s="16"/>
      <c r="K70" s="12"/>
    </row>
    <row r="71" spans="1:11" s="34" customFormat="1" ht="15" customHeight="1">
      <c r="A71" s="1"/>
      <c r="B71" s="9" t="s">
        <v>128</v>
      </c>
      <c r="C71" s="10" t="s">
        <v>118</v>
      </c>
      <c r="D71" s="10" t="s">
        <v>0</v>
      </c>
      <c r="E71" s="10" t="s">
        <v>0</v>
      </c>
      <c r="F71" s="11" t="s">
        <v>65</v>
      </c>
      <c r="G71" s="15" t="s">
        <v>6</v>
      </c>
      <c r="H71" s="20">
        <f>H65+H66+H67-H68+H69+H70</f>
        <v>674531962000</v>
      </c>
      <c r="I71" s="20">
        <f>I65+I66+I67-I68+I69+I70</f>
        <v>652634146000</v>
      </c>
      <c r="J71" s="20"/>
      <c r="K71" s="12"/>
    </row>
    <row r="72" spans="1:11" s="34" customFormat="1" ht="15" customHeight="1">
      <c r="A72" s="1"/>
      <c r="B72" s="9" t="s">
        <v>128</v>
      </c>
      <c r="C72" s="10" t="s">
        <v>119</v>
      </c>
      <c r="D72" s="10" t="s">
        <v>0</v>
      </c>
      <c r="E72" s="10" t="s">
        <v>0</v>
      </c>
      <c r="F72" s="14" t="s">
        <v>66</v>
      </c>
      <c r="G72" s="15" t="s">
        <v>6</v>
      </c>
      <c r="H72" s="16">
        <v>120032353000</v>
      </c>
      <c r="I72" s="17">
        <v>142243819000</v>
      </c>
      <c r="J72" s="17"/>
      <c r="K72" s="12"/>
    </row>
    <row r="73" spans="1:11" s="34" customFormat="1" ht="15" customHeight="1">
      <c r="A73" s="1"/>
      <c r="B73" s="9" t="s">
        <v>128</v>
      </c>
      <c r="C73" s="10" t="s">
        <v>120</v>
      </c>
      <c r="D73" s="10" t="s">
        <v>0</v>
      </c>
      <c r="E73" s="10" t="s">
        <v>0</v>
      </c>
      <c r="F73" s="11" t="s">
        <v>67</v>
      </c>
      <c r="G73" s="15" t="s">
        <v>6</v>
      </c>
      <c r="H73" s="20">
        <f>+H71+H72</f>
        <v>794564315000</v>
      </c>
      <c r="I73" s="20">
        <f>+I71+I72</f>
        <v>794877965000</v>
      </c>
      <c r="J73" s="20"/>
      <c r="K73" s="12"/>
    </row>
    <row r="74" spans="1:11" s="34" customFormat="1" ht="15" customHeight="1">
      <c r="A74" s="1"/>
      <c r="B74" s="9" t="s">
        <v>128</v>
      </c>
      <c r="C74" s="10" t="s">
        <v>121</v>
      </c>
      <c r="D74" s="10" t="s">
        <v>0</v>
      </c>
      <c r="E74" s="10" t="s">
        <v>0</v>
      </c>
      <c r="F74" s="11" t="s">
        <v>68</v>
      </c>
      <c r="G74" s="15" t="s">
        <v>0</v>
      </c>
      <c r="H74" s="20">
        <f>+H62+H73</f>
        <v>1690100145000</v>
      </c>
      <c r="I74" s="20">
        <f>+I62+I73</f>
        <v>1428508485000</v>
      </c>
      <c r="J74" s="20"/>
      <c r="K74" s="12"/>
    </row>
    <row r="75" spans="1:11" s="34" customFormat="1" ht="12">
      <c r="A75" s="35"/>
      <c r="B75" s="36"/>
      <c r="C75" s="37"/>
      <c r="D75" s="37"/>
      <c r="E75" s="37"/>
      <c r="F75" s="38" t="s">
        <v>127</v>
      </c>
      <c r="G75" s="39"/>
      <c r="H75" s="40">
        <v>0</v>
      </c>
      <c r="I75" s="40">
        <v>0</v>
      </c>
      <c r="J75" s="40"/>
      <c r="K75" s="12"/>
    </row>
    <row r="76" spans="1:11" s="34" customFormat="1" ht="10.5" customHeight="1">
      <c r="A76" s="1"/>
      <c r="B76" s="29"/>
      <c r="C76" s="30"/>
      <c r="D76" s="30"/>
      <c r="E76" s="30"/>
      <c r="F76" s="31"/>
      <c r="G76" s="31"/>
      <c r="H76" s="31"/>
      <c r="I76" s="31"/>
      <c r="J76" s="31"/>
      <c r="K76" s="32"/>
    </row>
  </sheetData>
  <sheetProtection formatCells="0"/>
  <conditionalFormatting sqref="H75">
    <cfRule type="cellIs" dxfId="12" priority="10" operator="lessThan">
      <formula>0</formula>
    </cfRule>
    <cfRule type="cellIs" dxfId="11" priority="11" operator="greaterThan">
      <formula>0</formula>
    </cfRule>
  </conditionalFormatting>
  <conditionalFormatting sqref="I75">
    <cfRule type="cellIs" dxfId="10" priority="8" operator="lessThan">
      <formula>0</formula>
    </cfRule>
    <cfRule type="cellIs" dxfId="9" priority="9" operator="greaterThan">
      <formula>0</formula>
    </cfRule>
  </conditionalFormatting>
  <conditionalFormatting sqref="J75">
    <cfRule type="cellIs" dxfId="8" priority="6" operator="lessThan">
      <formula>0</formula>
    </cfRule>
    <cfRule type="cellIs" dxfId="7" priority="7" operator="greaterThan">
      <formula>0</formula>
    </cfRule>
  </conditionalFormatting>
  <conditionalFormatting sqref="H6:I6 H9:I11 H15:I16 H22:I22 H49:I49 H52:I56 H65:I65 H70:I70 H73:I73 H39:I43">
    <cfRule type="expression" dxfId="6" priority="160">
      <formula>IF(FIND("ERR",#REF!)&gt;1,TRUE,FALSE)</formula>
    </cfRule>
  </conditionalFormatting>
  <conditionalFormatting sqref="H21:I21 H27:I27 H29:I30 H34:I34 H62:I62 H25:I25 M26">
    <cfRule type="expression" dxfId="5" priority="171">
      <formula>OR(IF(NOT(ISERR(FIND("ERR",#REF!)))=TRUE,TRUE,FALSE),IF(NOT(ISERR(FIND("ERR",#REF!)))=TRUE,TRUE,FALSE))</formula>
    </cfRule>
  </conditionalFormatting>
  <conditionalFormatting sqref="L26">
    <cfRule type="expression" dxfId="4" priority="177">
      <formula>OR(IF(NOT(ISERR(FIND("ERR",#REF!)))=TRUE,TRUE,FALSE),IF(NOT(ISERR(FIND("ERR",#REF!)))=TRUE,TRUE,FALSE),IF(NOT(ISERR(FIND("ERR",#REF!)))=TRUE,TRUE,FALSE))</formula>
    </cfRule>
  </conditionalFormatting>
  <conditionalFormatting sqref="I26">
    <cfRule type="expression" dxfId="3" priority="3">
      <formula>OR(IF(NOT(ISERR(FIND("ERR",#REF!)))=TRUE,TRUE,FALSE),IF(NOT(ISERR(FIND("ERR",#REF!)))=TRUE,TRUE,FALSE))</formula>
    </cfRule>
  </conditionalFormatting>
  <conditionalFormatting sqref="H26">
    <cfRule type="expression" dxfId="2" priority="4">
      <formula>OR(IF(NOT(ISERR(FIND("ERR",#REF!)))=TRUE,TRUE,FALSE),IF(NOT(ISERR(FIND("ERR",#REF!)))=TRUE,TRUE,FALSE),IF(NOT(ISERR(FIND("ERR",#REF!)))=TRUE,TRUE,FALSE))</formula>
    </cfRule>
  </conditionalFormatting>
  <conditionalFormatting sqref="H35">
    <cfRule type="expression" dxfId="1" priority="2">
      <formula>OR(IF(NOT(ISERR(FIND("ERR",#REF!)))=TRUE,TRUE,FALSE),IF(NOT(ISERR(FIND("ERR",#REF!)))=TRUE,TRUE,FALSE))</formula>
    </cfRule>
  </conditionalFormatting>
  <conditionalFormatting sqref="I35">
    <cfRule type="expression" dxfId="0" priority="1">
      <formula>OR(IF(NOT(ISERR(FIND("ERR",#REF!)))=TRUE,TRUE,FALSE),IF(NOT(ISERR(FIND("ERR",#REF!)))=TRUE,TRUE,FALSE))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IAS-1_210000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González</cp:lastModifiedBy>
  <dcterms:created xsi:type="dcterms:W3CDTF">2013-03-18T17:48:33Z</dcterms:created>
  <dcterms:modified xsi:type="dcterms:W3CDTF">2024-06-19T19:17:19Z</dcterms:modified>
</cp:coreProperties>
</file>