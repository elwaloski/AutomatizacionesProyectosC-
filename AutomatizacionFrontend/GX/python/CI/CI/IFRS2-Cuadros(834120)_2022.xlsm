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2\xls\"/>
    </mc:Choice>
  </mc:AlternateContent>
  <xr:revisionPtr revIDLastSave="0" documentId="13_ncr:1_{CF17934C-9710-4B78-B1E1-F42FF6B1CBC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FRS2-Cuadros" sheetId="1" r:id="rId1"/>
    <sheet name="IFRS2-InfoTermCond" sheetId="2" r:id="rId2"/>
    <sheet name="IFRS2-InfoRangPrec" sheetId="3" r:id="rId3"/>
    <sheet name="IFRS2-InfoNumePond" sheetId="4" r:id="rId4"/>
    <sheet name="Hoja1" sheetId="5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61" i="1" l="1"/>
  <c r="H161" i="1"/>
  <c r="I156" i="1"/>
  <c r="H156" i="1"/>
  <c r="I16" i="4" l="1"/>
  <c r="I14" i="2" l="1"/>
  <c r="I9" i="4" l="1"/>
  <c r="I25" i="2"/>
  <c r="G13" i="4" l="1"/>
  <c r="G6" i="4"/>
  <c r="G17" i="2" l="1"/>
  <c r="G6" i="2"/>
  <c r="H17" i="2"/>
  <c r="H13" i="4" l="1"/>
  <c r="H6" i="4"/>
  <c r="H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Mauricio Ahumada (DBNeTCorp)</author>
  </authors>
  <commentList>
    <comment ref="L15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Mauricio Ahumada (DBNeTCorp):</t>
        </r>
        <r>
          <rPr>
            <sz val="9"/>
            <color indexed="81"/>
            <rFont val="Tahoma"/>
            <family val="2"/>
          </rPr>
          <t xml:space="preserve">
Se movió       "Gasto procedente de transacciones con pagos basados en acciones con empleados  [Número]" al bloque de "Gasto procedente de transacciones con pagos basados en acciones, alternativa [resumen]"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Mauricio Ahumada (DBNeTCorp)</author>
  </authors>
  <commentList>
    <comment ref="F10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Por taxonomía se define este campo con el estándar ISO_8601 (https://es.wikipedia.org/wiki/ISO_8601)
Ejemplos de formatos válidos:
1 año = P1Y
2 mes = P2M
3 días = P3D
1 año y 20 días = P1Y20D
</t>
        </r>
      </text>
    </comment>
    <comment ref="F17" authorId="0" shapeId="0" xr:uid="{00000000-0006-0000-0300-000002000000}">
      <text>
        <r>
          <rPr>
            <sz val="9"/>
            <color indexed="81"/>
            <rFont val="Tahoma"/>
            <family val="2"/>
          </rPr>
          <t xml:space="preserve">Por taxonomía se define este campo con el estándar ISO_8601 (https://es.wikipedia.org/wiki/ISO_8601)
Ejemplos de formatos válidos:
1 año = P1Y
2 mes = P2M
3 días = P3D
1 año y 20 días = P1Y20D
</t>
        </r>
      </text>
    </comment>
  </commentList>
</comments>
</file>

<file path=xl/sharedStrings.xml><?xml version="1.0" encoding="utf-8"?>
<sst xmlns="http://schemas.openxmlformats.org/spreadsheetml/2006/main" count="755" uniqueCount="239">
  <si>
    <t xml:space="preserve"> </t>
  </si>
  <si>
    <t>Agregar columna opcional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</si>
  <si>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</si>
  <si>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</si>
  <si>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ACT</t>
  </si>
  <si>
    <t>ANT</t>
  </si>
  <si>
    <t xml:space="preserve">    Información a revelar sobre acuerdos con pagos basados en acciones [bloque de texto]  </t>
  </si>
  <si>
    <t xml:space="preserve">      Información a revelar sobre los términos y condiciones del acuerdo de pago basado en acciones [bloque de texto]  </t>
  </si>
  <si>
    <t xml:space="preserve">Información a revelar sobre los términos y condiciones del acuerdo de pago basado en acciones [sinopsis]  </t>
  </si>
  <si>
    <t xml:space="preserve">Información a revelar sobre los términos y condiciones del acuerdo de pago basado en acciones [sinopsis] </t>
  </si>
  <si>
    <t xml:space="preserve">Acuerdos de pagos basados en acciones [miembro]  </t>
  </si>
  <si>
    <t xml:space="preserve">          Información a revelar sobre los términos y condiciones del acuerdo de pago basado en acciones [partidas]  </t>
  </si>
  <si>
    <t xml:space="preserve">            Explicación de las opciones sobre acciones en acuerdos con pagos basados en acciones  [Texto]</t>
  </si>
  <si>
    <t xml:space="preserve">              Descripción de los requisitos de adquisición para acuerdos de pagos basados en acciones  [Texto]</t>
  </si>
  <si>
    <t xml:space="preserve">              Descripción del plazo máximo de opciones concedidas con acuerdos de pagos basados en acciones  [Texto]</t>
  </si>
  <si>
    <t xml:space="preserve">              Descripción del método de liquidación de acuerdos de pagos basados en acciones  [Texto]</t>
  </si>
  <si>
    <t xml:space="preserve">              Fecha de concesión de acuerdos de pagos basados en acciones  [Texto]</t>
  </si>
  <si>
    <t xml:space="preserve">              Número de instrumentos concedidos en acuerdos de pagos basados en acciones  [Decimal]</t>
  </si>
  <si>
    <t xml:space="preserve">      Información a revelar del número y media ponderada de los precios de ejercicio de las opciones sobre acciones [bloque de texto]  </t>
  </si>
  <si>
    <t xml:space="preserve">        Número de opciones sobre acciones concedidas en acuerdos con pagos basados en acciones  [Decimal]</t>
  </si>
  <si>
    <t xml:space="preserve">        Número de opciones sobre acciones anuladas en acuerdos con pagos basados en acciones  [Decimal]</t>
  </si>
  <si>
    <t xml:space="preserve">        Número de opciones sobre acciones ejercidas en acuerdos con pagos basados en acciones  [Decimal]</t>
  </si>
  <si>
    <t xml:space="preserve">        Número de opciones sobre acciones expiradas en acuerdos con pagos basados en acciones  [Decimal]</t>
  </si>
  <si>
    <t xml:space="preserve">        Número de opciones sobre acciones ejercitables en acuerdos con pagos basados en acciones  [Decimal]</t>
  </si>
  <si>
    <t xml:space="preserve">        Información a revelar sobre el rango de precios a ejercer de opciones sobre acciones existentes [bloque de texto]  </t>
  </si>
  <si>
    <t xml:space="preserve">        Información a revelar sobre el rango de precios a ejercer de opciones sobre acciones existentes [resumen]  </t>
  </si>
  <si>
    <t xml:space="preserve">Información a revelar sobre el rango de precios a ejercer de opciones sobre acciones existentes [resumen]  </t>
  </si>
  <si>
    <t xml:space="preserve">        Rangos [miembro]  </t>
  </si>
  <si>
    <t xml:space="preserve">        Extremo inferior del rango [miembro]  </t>
  </si>
  <si>
    <t xml:space="preserve">        Extremo superior del rango [miembro]  </t>
  </si>
  <si>
    <t xml:space="preserve">        Información a revelar sobre el rango de precios a ejercer de opciones sobre acciones existentes [partidas]  </t>
  </si>
  <si>
    <t xml:space="preserve">      Información a revelar sobre el número y promedio ponderado de la vida contractual remanente de opciones de acciones en circulación [bloque de texto]  </t>
  </si>
  <si>
    <t xml:space="preserve">        Información a revelar sobre el número y promedio ponderado de la vida contractual remanente de opciones de acciones en circulación [sinopsis]  </t>
  </si>
  <si>
    <t xml:space="preserve">Rangos de precios del ejercicio para opciones sobre acciones en circulación [miembro]  </t>
  </si>
  <si>
    <t xml:space="preserve">          Información a revelar sobre el número y promedio ponderado de la vida contractual remanente de opciones de acciones en circulación [partidas]  </t>
  </si>
  <si>
    <t xml:space="preserve">      Información a revelar sobre el número y promedio ponderado de los precios a ejercer de otros instrumentos de patrimonio [bloque de texto]  </t>
  </si>
  <si>
    <t xml:space="preserve">        Número de otros instrumentos de patrimonio en circulación en acuerdos con pagos basados en acciones  [Decimal]</t>
  </si>
  <si>
    <t xml:space="preserve">        Número de otros instrumentos de patrimonio anulados en acuerdos con pagos basados en acciones  [Decimal]</t>
  </si>
  <si>
    <t xml:space="preserve">        Número de otros instrumentos de patrimonio ejercidos o que son irrevocables (consolidados) en acuerdos con pagos basados en acciones  [Decimal]</t>
  </si>
  <si>
    <t xml:space="preserve">        Número de otros instrumentos de patrimonio expirados en acuerdos con pagos basados en acciones  [Decimal]</t>
  </si>
  <si>
    <t xml:space="preserve">        Número de otros instrumentos de patrimonio ejercitables en acuerdos con pagos basados en acciones  [Decimal]</t>
  </si>
  <si>
    <t xml:space="preserve">        Promedio ponderado del precio de ejercicio de otros instrumentos de patrimonio en circulación en acuerdos con pagos basados en acciones  [Número]</t>
  </si>
  <si>
    <t xml:space="preserve">      Información a revelar sobre mediciones indirectas del valor razonable de bienes o servicios recibidos, opciones sobre acciones concedidas durante el periodo [bloque de texto]  </t>
  </si>
  <si>
    <t xml:space="preserve">        Promedio ponderado del valor razonable en la fecha de medición, opciones sobre acciones concedidas  [Número]</t>
  </si>
  <si>
    <t xml:space="preserve">        Información sobre cómo el valor razonable fue medido, opciones sobre acciones concedidas  [Texto]</t>
  </si>
  <si>
    <t xml:space="preserve">          Descripción del modelo de valoración de opciones, opciones sobre acciones concedidas  [Texto]</t>
  </si>
  <si>
    <t xml:space="preserve">            Descripción de otras variables del modelo de valoración de opciones, opciones sobre acciones concedidas  [Texto]</t>
  </si>
  <si>
    <t xml:space="preserve">              Descripción del método utilizado y los supuestos para incorporar los efectos del ejercicio anticipado esperado, opciones sobre acciones concedidas  [Texto]</t>
  </si>
  <si>
    <t xml:space="preserve">          Información sobre cómo la volatilidad esperada fue determinada, opciones sobre acciones concedidas  [Texto]</t>
  </si>
  <si>
    <t xml:space="preserve">          Información sobre si y cómo otras características se incorporaron a la medición del valor razonable, opciones sobre acciones concedidas  [Texto]</t>
  </si>
  <si>
    <t xml:space="preserve">      Información a revelar sobre mediciones indirectas del valor razonable de bienes o servicios recibidos, otros instrumentos de patrimonio concedidos durante el periodo [bloque de texto]  </t>
  </si>
  <si>
    <t xml:space="preserve">        Promedio ponderado del valor razonable en la fecha de medición, otros instrumentos de patrimonio concedidos  [Número]</t>
  </si>
  <si>
    <t xml:space="preserve">        Información sobre cómo el valor razonable fue medido, otros instrumentos de patrimonio concedidos  [Texto]</t>
  </si>
  <si>
    <t xml:space="preserve">          Información sobre cómo el valor razonable fue determinado si no hay fundamento observable en el mercado, otros instrumentos de patrimonio concedidos  [Texto]</t>
  </si>
  <si>
    <t xml:space="preserve">          Información sobre si y cómo los dividendos esperados fueron incorporados en la medición del valor razonable, otros instrumentos de patrimonio concedidos  [Texto]</t>
  </si>
  <si>
    <t xml:space="preserve">          Información sobre si y cómo otras características se incorporaron a la medición del valor razonable, otros instrumentos de patrimonio concedidos  [Texto]</t>
  </si>
  <si>
    <t xml:space="preserve">      Información a revelar sobre mediciones indirectas del valor razonable de bienes o servicios recibidos, acuerdos con pagos basados en acciones modificados durante el periodo [bloque de texto]  </t>
  </si>
  <si>
    <t xml:space="preserve">        Explicación de las modificaciones, modificados acuerdos de pagos basados en accioness  [Texto]</t>
  </si>
  <si>
    <t xml:space="preserve">        Valor razonable incremental concedido, modificados acuerdos de pagos basados en accioness  [Número]</t>
  </si>
  <si>
    <t xml:space="preserve">        Información sobre cómo el valor razonable incremental concedido fue medido, modificados acuerdos de pagos basados en accioness  [Texto]</t>
  </si>
  <si>
    <t xml:space="preserve">      Explicación de mediciones directas del valor razonable de bienes o servicios recibidos  [Texto]</t>
  </si>
  <si>
    <t xml:space="preserve">      Descripción de la razón por la que el valor razonable de bienes o servicios recibidos no pueden ser estimados de forma fiable  [Texto]</t>
  </si>
  <si>
    <t xml:space="preserve">        Gastos de capital liquidados de transacciones de pagos basados en acciones en las cuales bienes o servicios recibidos no cumplían las condiciones para su reconocimiento como activos  [Número]</t>
  </si>
  <si>
    <t xml:space="preserve">        Gasto procedente de transacciones con pagos basados en acciones liquidadas en efectivo en las que los bienes o servicios recibidos no cumplen los requisitos para su reconocimiento como activos  [Número]</t>
  </si>
  <si>
    <t xml:space="preserve">      Pasivos por transacciones de pagos basados en acciones  [Número]</t>
  </si>
  <si>
    <t xml:space="preserve">      Valor intrínseco de los pasivos por transacciones de pagos basados en acciones para la cual la contraparte tiene el derecho a recibir efectivo u otros activos creados  [Número]</t>
  </si>
  <si>
    <t>INI</t>
  </si>
  <si>
    <t>Cierre periodo año actual</t>
  </si>
  <si>
    <t>Cierre periodo año anterior</t>
  </si>
  <si>
    <t>Trimestre acumulado año actual</t>
  </si>
  <si>
    <t>Trimestre acumulado año anterior</t>
  </si>
  <si>
    <t>Último trimestre año actual</t>
  </si>
  <si>
    <t>Último trimestre año anterior</t>
  </si>
  <si>
    <t>Cargar hoja:</t>
  </si>
  <si>
    <t>SI</t>
  </si>
  <si>
    <t>NO</t>
  </si>
  <si>
    <t>full_ifrs-cor_2015-03-11.xsd#ifrs-full_DisclosureOfSharebasedPaymentArrangementsExplanatory</t>
  </si>
  <si>
    <t>full_ifrs-cor_2015-03-11.xsd#ifrs-full_DisclosureOfTermsAndConditionsOfSharebasedPaymentArrangementExplanatory</t>
  </si>
  <si>
    <t>full_ifrs-cor_2015-03-11.xsd#ifrs-full_DisclosureOfNumberAndWeightedAverageExercisePricesOfShareOptionsExplanatory</t>
  </si>
  <si>
    <t>full_ifrs-cor_2015-03-11.xsd#ifrs-full_NumberOfOutstandingShareOptions</t>
  </si>
  <si>
    <t>full_ifrs-cor_2015-03-11.xsd#ifrs-full_NumberOfShareOptionsGrantedInSharebasedPaymentArrangement</t>
  </si>
  <si>
    <t>full_ifrs-cor_2015-03-11.xsd#ifrs-full_NumberOfShareOptionsForfeitedInSharebasedPaymentArrangement</t>
  </si>
  <si>
    <t>full_ifrs-cor_2015-03-11.xsd#ifrs-full_NumberOfShareOptionsExercisedInSharebasedPaymentArrangement</t>
  </si>
  <si>
    <t>full_ifrs-cor_2015-03-11.xsd#ifrs-full_NumberOfShareOptionsExpiredInSharebasedPaymentArrangement</t>
  </si>
  <si>
    <t>full_ifrs-cor_2015-03-11.xsd#ifrs-full_NumberOfShareOptionsExercisableInSharebasedPaymentArrangement</t>
  </si>
  <si>
    <t>full_ifrs-cor_2015-03-11.xsd#ifrs-full_DisclosureOfRangeOfExercisePricesOfOutstandingShareOptionsExplanatory</t>
  </si>
  <si>
    <t>full_ifrs-cor_2015-03-11.xsd#ifrs-full_DisclosureOfNumberAndWeightedAverageRemainingContractualLifeOfOutstandingShareOptionsExplanatory</t>
  </si>
  <si>
    <t>full_ifrs-cor_2015-03-11.xsd#ifrs-full_DisclosureOfNumberAndWeightedAverageExercisePricesOfOtherEquityInstrumentsExplanatory</t>
  </si>
  <si>
    <t>full_ifrs-cor_2015-03-11.xsd#ifrs-full_NumberOfOtherEquityInstrumentsOutstandingInSharebasedPaymentArrangement</t>
  </si>
  <si>
    <t>full_ifrs-cor_2015-03-11.xsd#ifrs-full_NumberOfInstrumentsOtherEquityInstrumentsGranted</t>
  </si>
  <si>
    <t>full_ifrs-cor_2015-03-11.xsd#ifrs-full_NumberOfOtherEquityInstrumentsForfeitedInSharebasedPaymentArrangement</t>
  </si>
  <si>
    <t>full_ifrs-cor_2015-03-11.xsd#ifrs-full_NumberOfOtherEquityInstrumentsExercisedOrVestedInSharebasedPaymentArrangement</t>
  </si>
  <si>
    <t>full_ifrs-cor_2015-03-11.xsd#ifrs-full_NumberOfOtherEquityInstrumentsExpiredInSharebasedPaymentArrangement</t>
  </si>
  <si>
    <t>full_ifrs-cor_2015-03-11.xsd#ifrs-full_NumberOfOtherEquityInstrumentsExercisableInSharebasedPaymentArrangement</t>
  </si>
  <si>
    <t>full_ifrs-cor_2015-03-11.xsd#ifrs-full_DeterminationOfFairValueOfGoodsOrServicesReceivedOrFairValueOfEquityInstrumentsGrantedOnSharebasedPayments</t>
  </si>
  <si>
    <t>full_ifrs-cor_2015-03-11.xsd#ifrs-full_DisclosureOfIndirectMeasurementOfFairValueOfGoodsOrServicesReceivedShareOptionsGrantedDuringPeriodExplanatory</t>
  </si>
  <si>
    <t>full_ifrs-cor_2015-03-11.xsd#ifrs-full_WeightedAverageFairValueAtMeasurementDateShareOptionsGranted</t>
  </si>
  <si>
    <t>full_ifrs-cor_2015-03-11.xsd#ifrs-full_InformationAboutHowFairValueWasMeasuredShareOptionsGranted</t>
  </si>
  <si>
    <t>full_ifrs-cor_2015-03-11.xsd#ifrs-full_DescriptionOfOptionPricingModelShareOptionsGranted</t>
  </si>
  <si>
    <t>full_ifrs-cor_2015-03-11.xsd#ifrs-full_DescriptionOfInputsToOptionPricingModelShareOptionsGranted</t>
  </si>
  <si>
    <t>full_ifrs-cor_2015-03-11.xsd#ifrs-full_DescriptionOfExpectedVolatilityShareOptionsGranted</t>
  </si>
  <si>
    <t>full_ifrs-cor_2015-03-11.xsd#ifrs-full_DescriptionOfOptionLifeShareOptionsGranted</t>
  </si>
  <si>
    <t>full_ifrs-cor_2015-03-11.xsd#ifrs-full_ExpectedDividendShareOptionsGranted</t>
  </si>
  <si>
    <t>full_ifrs-cor_2015-03-11.xsd#ifrs-full_ExpectedDividendAsPercentageShareOptionsGranted</t>
  </si>
  <si>
    <t>full_ifrs-cor_2015-03-11.xsd#ifrs-full_DescriptionOfRiskFreeInterestRateShareOptionsGranted</t>
  </si>
  <si>
    <t>full_ifrs-cor_2015-03-11.xsd#ifrs-full_DescriptionOfOtherInputsToOptionsPricingModelShareOptionsGranted</t>
  </si>
  <si>
    <t>full_ifrs-cor_2015-03-11.xsd#ifrs-full_DescriptionOfMethodUsedAndAssumptionsMadeToIncorporateEffectsOfExpectedEarlyExerciseShareOptionsGranted</t>
  </si>
  <si>
    <t>full_ifrs-cor_2015-03-11.xsd#ifrs-full_InformationAboutHowExpectedVolatilityWasDeterminedShareOptionsGranted</t>
  </si>
  <si>
    <t>full_ifrs-cor_2015-03-11.xsd#ifrs-full_InformationWhetherAndHowOtherFeaturesWereIncorporatedIntoMeasurementOfFairValueShareOptionsGranted</t>
  </si>
  <si>
    <t>full_ifrs-cor_2015-03-11.xsd#ifrs-full_DisclosureOfIndirectMeasurementOfFairValueOfGoodsOrServicesReceivedOtherEquityInstrumentsGrantedDuringPeriodExplanatory</t>
  </si>
  <si>
    <t>full_ifrs-cor_2015-03-11.xsd#ifrs-full_WeightedAverageFairValueAtMeasurementDateOtherEquityInstrumentsGranted</t>
  </si>
  <si>
    <t>full_ifrs-cor_2015-03-11.xsd#ifrs-full_InformationHowFairValueWasMeasuredOtherEquityInstrumentsGranted</t>
  </si>
  <si>
    <t>full_ifrs-cor_2015-03-11.xsd#ifrs-full_InformationAboutHowFairWasDeterminedIfNotOnBasisOfObservableMarketOtherEquityInstrumentsGranted</t>
  </si>
  <si>
    <t>full_ifrs-cor_2015-03-11.xsd#ifrs-full_InformationWhetherAndHowExpectedDividendsWereIncorporatedIntoMeasurementOfFairValueOtherEquityInstrumentsGranted</t>
  </si>
  <si>
    <t>full_ifrs-cor_2015-03-11.xsd#ifrs-full_InformationWhetherAndHowOtherFeaturesWereIncorporatedIntoMeasurementOfFairValueOtherEquityInstrumentsGranted</t>
  </si>
  <si>
    <t>full_ifrs-cor_2015-03-11.xsd#ifrs-full_DisclosureOfIndirectMeasurementOfFairValueOfGoodsOrServicesReceivedSharebasedPaymentArrangementsModifiedDuringPeriodExplanatory</t>
  </si>
  <si>
    <t>full_ifrs-cor_2015-03-11.xsd#ifrs-full_ExplanationOfModificationsModifiedSharebasedPaymentArrangements</t>
  </si>
  <si>
    <t>full_ifrs-cor_2015-03-11.xsd#ifrs-full_IncrementalFairValueGrantedModifiedSharebasedPaymentArrangements</t>
  </si>
  <si>
    <t>full_ifrs-cor_2015-03-11.xsd#ifrs-full_InformationOnHowIncrementalFairValueGrantedWasMeasuredModifiedSharebasedPaymentArrangements</t>
  </si>
  <si>
    <t>full_ifrs-cor_2015-03-11.xsd#ifrs-full_ExplanationOfDirectMeasurementOfFairValueOfGoodsOrServicesReceived</t>
  </si>
  <si>
    <t>full_ifrs-cor_2015-03-11.xsd#ifrs-full_DescriptionOfReasonWhyFairValueOfGoodsOrServicesReceivedCannotEstimateReliable</t>
  </si>
  <si>
    <t>full_ifrs-cor_2015-03-11.xsd#ifrs-full_ExplanationOfEffectOfSharebasedPaymentsOnProfitOrLoss</t>
  </si>
  <si>
    <t>full_ifrs-cor_2015-03-11.xsd#ifrs-full_ExpenseFromEquitysettledSharebasedPaymentTransactionsInWhichGoodsOrServicesReceivedDidNotQualifyForRecognitionAsAssets</t>
  </si>
  <si>
    <t>full_ifrs-cor_2015-03-11.xsd#ifrs-full_ExpenseFromCashsettledSharebasedPaymentTransactionsInWhichGoodsOrServicesReceivedDidNotQualifyForRecognitionAsAssets</t>
  </si>
  <si>
    <t>full_ifrs-cor_2015-03-11.xsd#ifrs-full_ExpenseFromSharebasedPaymentTransactionsInWhichGoodsOrServicesReceivedDidNotQualifyForRecognitionAsAssets</t>
  </si>
  <si>
    <t>full_ifrs-cor_2015-03-11.xsd#ifrs-full_ExpenseFromSharebasedPaymentTransactionsWithEmployees</t>
  </si>
  <si>
    <t>full_ifrs-cor_2015-03-11.xsd#ifrs-full_ExplanationOfEffectOfSharebasedPaymentsOnFinancialPositions</t>
  </si>
  <si>
    <t>full_ifrs-cor_2015-03-11.xsd#ifrs-full_LiabilitiesFromSharebasedPaymentTransactions2011</t>
  </si>
  <si>
    <t>full_ifrs-cor_2015-03-11.xsd#ifrs-full_IntrinsicValueOfLiabilitiesFromSharebasedPaymentTransactionsForWhichCounterpartysRightToCashOrOtherAssetsVested2011</t>
  </si>
  <si>
    <t>full_ifrs-cor_2015-03-11.xsd#ifrs-full_AdditionalInformationAboutSharebasedPaymentArrangements</t>
  </si>
  <si>
    <t>full_ifrs-cor_2015-03-11.xsd#ifrs-full_SharebasedPaymentArrangementsMember</t>
  </si>
  <si>
    <t>full_ifrs-cor_2015-03-11.xsd#ifrs-full_ExplanationOfShareOptionsInSharebasedPaymentArrangement</t>
  </si>
  <si>
    <t>full_ifrs-cor_2015-03-11.xsd#ifrs-full_DescriptionOfVestingRequirementsForSharebasedPaymentArrangement</t>
  </si>
  <si>
    <t>full_ifrs-cor_2015-03-11.xsd#ifrs-full_DescriptionOfMaximumTermOfOptionsGrantedForSharebasedPaymentArrangement</t>
  </si>
  <si>
    <t>full_ifrs-cor_2015-03-11.xsd#ifrs-full_DescriptionOfMethodOfSettlementForSharebasedPaymentArrangement</t>
  </si>
  <si>
    <t>full_ifrs-cor_2015-03-11.xsd#ifrs-full_DateOfGrantOfSharebasedPaymentArrangement</t>
  </si>
  <si>
    <t>full_ifrs-cor_2015-03-11.xsd#ifrs-full_NumberOfInstrumentsGrantedInSharebasedPaymentArrangement</t>
  </si>
  <si>
    <t>full_ifrs-cor_2015-03-11.xsd#ifrs-full_RangesOfExercisePricesForOutstandingShareOptionsMember</t>
  </si>
  <si>
    <t>full_ifrs-cor_2015-03-11.xsd#ifrs-full_BottomOfRangeMember</t>
  </si>
  <si>
    <t>full_ifrs-cor_2015-03-11.xsd#ifrs-full_TopOfRangeMember</t>
  </si>
  <si>
    <t>full_ifrs-cor_2015-03-11.xsd#ifrs-full_RangesMember</t>
  </si>
  <si>
    <t>DIMENUE</t>
  </si>
  <si>
    <t>DIMEAVA</t>
  </si>
  <si>
    <t>full_ifrs-cor_2015-03-11.xsd#ifrs-full_TypesOfSharebasedPaymentArrangementsAxis</t>
  </si>
  <si>
    <t>full_ifrs-cor_2015-03-11.xsd#ifrs-full_DisclosureOfTermsAndConditionsOfSharebasedPaymentArrangementTable</t>
  </si>
  <si>
    <t>full_ifrs-cor_2015-03-11.xsd#ifrs-full_RangesOfExercisePricesForOutstandingShareOptionsAxis</t>
  </si>
  <si>
    <t>full_ifrs-cor_2015-03-11.xsd#ifrs-full_DisclosureOfNumberAndWeightedAverageRemainingContractualLifeOfOutstandingShareOptionsTable</t>
  </si>
  <si>
    <t>full_ifrs-cor_2015-03-11.xsd#ifrs-full_RangeAxis</t>
  </si>
  <si>
    <t>full_ifrs-cor_2015-03-11.xsd#ifrs-full_DisclosureOfRangeOfExercisePricesOfOutstandingShareOptionsTable</t>
  </si>
  <si>
    <t xml:space="preserve">        Número de opciones sobre acciones en circulación en acuerdos con pagos basados en acciones [Decimal</t>
  </si>
  <si>
    <t xml:space="preserve">      Explicación del efecto de los pagos basados en acciones sobre el resultado de la entidad [Texto]</t>
  </si>
  <si>
    <t xml:space="preserve">      Explicación del efecto de los pagos basados en acciones sobre la situación financiera de la entidad  [Texto]</t>
  </si>
  <si>
    <t xml:space="preserve">      Información adicional sobre acuerdos con pagos basados con acciones [Texto]</t>
  </si>
  <si>
    <t xml:space="preserve">            Número de opciones sobre acciones en circulación en acuerdos con pagos basados en acciones [Decimal]</t>
  </si>
  <si>
    <t>full_ifrs-cor_2019-03-27.xsd#ifrs-full_WeightedAverageExercisePriceOfShareOptionsOutstandingInSharebasedPaymentArrangement2019</t>
  </si>
  <si>
    <t>full_ifrs-cor_2019-03-27.xsd#ifrs-full_WeightedAverageExercisePriceOfShareOptionsGrantedInSharebasedPaymentArrangement2019</t>
  </si>
  <si>
    <t>full_ifrs-cor_2019-03-27.xsd#ifrs-full_WeightedAverageExercisePriceOfShareOptionsForfeitedInSharebasedPaymentArrangement2019</t>
  </si>
  <si>
    <t>full_ifrs-cor_2019-03-27.xsd#ifrs-full_WeightedAverageExercisePriceOfShareOptionsExercisedInSharebasedPaymentArrangement2019</t>
  </si>
  <si>
    <t>full_ifrs-cor_2019-03-27.xsd#ifrs-full_WeightedAverageExercisePriceOfShareOptionsExpiredInSharebasedPaymentArrangement2019</t>
  </si>
  <si>
    <t>full_ifrs-cor_2019-03-27.xsd#ifrs-full_WeightedAverageExercisePriceOfShareOptionsExercisableInSharebasedPaymentArrangement2019</t>
  </si>
  <si>
    <t>full_ifrs-cor_2019-03-27.xsd#ifrs-full_WeightedAverageExercisePriceOfShareOptionsInSharebasedPaymentArrangementExercisedDuringPeriodAtDateOfExercise2019</t>
  </si>
  <si>
    <t>full_ifrs-cor_2019-03-27.xsd#ifrs-full_WeightedAverageSharePrice2019</t>
  </si>
  <si>
    <t>full_ifrs-cor_2019-03-27.xsd#ifrs-full_ExercisePriceOfOutstandingShareOptions2019</t>
  </si>
  <si>
    <t>full_ifrs-cor_2019-03-27.xsd#ifrs-full_WeightedAverageRemainingContractualLifeOfOutstandingShareOptions2019</t>
  </si>
  <si>
    <t>full_ifrs-cor_2019-03-27.xsd#ifrs-full_WeightedAverageExercisePriceOfOtherEquityInstrumentsOutstandingInSharebasedPaymentArrangement2019</t>
  </si>
  <si>
    <t>full_ifrs-cor_2019-03-27.xsd#ifrs-full_WeightedAverageExercisePriceOfOtherEquityInstrumentsGrantedInSharebasedPaymentArrangement2019</t>
  </si>
  <si>
    <t>full_ifrs-cor_2019-03-27.xsd#ifrs-full_WeightedAverageExercisePriceOfOtherEquityInstrumentsForfeitedInSharebasedPaymentArrangement2019</t>
  </si>
  <si>
    <t>full_ifrs-cor_2019-03-27.xsd#ifrs-full_WeightedAverageExercisePriceOfOtherEquityInstrumentsExercisedOrVestedInSharebasedPaymentArrangement2019</t>
  </si>
  <si>
    <t>full_ifrs-cor_2019-03-27.xsd#ifrs-full_WeightedAverageExercisePriceOfOtherEquityInstrumentsExpiredInSharebasedPaymentArrangement2019</t>
  </si>
  <si>
    <t>full_ifrs-cor_2019-03-27.xsd#ifrs-full_WeightedAverageExercisePriceOfOtherEquityInstrumentsExercisableInSharebasedPaymentArrangement2019</t>
  </si>
  <si>
    <t>Descripción de los datos de entrada del modelo de valoración de opciones, opciones sobre acciones otorgadas [texto]</t>
  </si>
  <si>
    <t>full_ifrs-cor_2019-03-27.xsd#ifrs-full_WeightedAverageSharePriceShareOptionsGranted2019</t>
  </si>
  <si>
    <t>full_ifrs-cor_2019-03-27.xsd#ifrs-full_ExercisePriceShareOptionsGranted2019</t>
  </si>
  <si>
    <t xml:space="preserve">      Descripción de la volatilidad esperada, opciones sobre acciones concedidas  [Decimal entre 0 y 1]</t>
  </si>
  <si>
    <t xml:space="preserve">      Descripción de la vida de la opción, opciones sobre acciones concedidas  [Decimal]</t>
  </si>
  <si>
    <t xml:space="preserve">      Dividendo esperado, opciones sobre acciones concedidas  [Número]</t>
  </si>
  <si>
    <t xml:space="preserve">      Dividendo esperado como porcentaje, opciones sobre acciones concedidas  [Decimal entre 0 y 1]</t>
  </si>
  <si>
    <t xml:space="preserve">      Descripción de la tasa de interés libre de riesgo, opciones sobre acciones concedidas  [Decimal entre 0 y 1]</t>
  </si>
  <si>
    <t>Promedio ponderado del precio de ejercicio de opciones sobre acciones en circulación en acuerdos con pagos basados en acciones [Decimal]</t>
  </si>
  <si>
    <t>Promedio ponderado del precio de ejercicio de opciones sobre acciones concedidas en acuerdos con pagos basados en acciones [Decimal]</t>
  </si>
  <si>
    <t>Promedio ponderado del precio de ejercicio de opciones sobre acciones anuladas en acuerdos con pagos basados en acciones [Decimal]</t>
  </si>
  <si>
    <t>Promedio ponderado del precio de ejercicio de opciones sobre acciones ejercidas en acuerdos con pagos basados en acciones [Decimal]</t>
  </si>
  <si>
    <t>Promedio ponderado del precio de ejercicio de opciones sobre acciones expiradas en acuerdos con pagos basados en acciones [Decimal]</t>
  </si>
  <si>
    <t>Promedio ponderado del precio de ejercicio de opciones sobre acciones ejercitables en acuerdos con pagos basados en acciones [Decimal]</t>
  </si>
  <si>
    <t>Promedio ponderado del precio de la acción para opciones sobre acciones en acuerdos con pagos basados en acciones ejercidos durante el periodo en la fecha de ejercicio [Decimal]</t>
  </si>
  <si>
    <t>Precio promedio ponderado de las acciones [Decimal]</t>
  </si>
  <si>
    <t xml:space="preserve">        Número de otros instrumentos de patrimonio concedidos en acuerdos con pagos basados en acciones [Decimal]</t>
  </si>
  <si>
    <t xml:space="preserve">        Número de otros instrumentos de patrimonio concedidos en acuerdos con pagos basados en acciones [decimal]</t>
  </si>
  <si>
    <t>Precio a ejercer de opciones sobre acciones existentes [decimal]</t>
  </si>
  <si>
    <t>Promedio ponderado del precio de ejercicio de otros instrumentos de patrimonio concedidos en acuerdos con pagos basados en acciones [decimal]</t>
  </si>
  <si>
    <t>Promedio ponderado del precio de ejercicio de otros instrumentos de patrimonio anulados en acuerdos con pagos basados en acciones [decimal]</t>
  </si>
  <si>
    <t>Promedio ponderado del precio de ejercicio de otros instrumentos de patrimonio ejercidos o que son irrevocables (están consolidados) en acuerdos con pagos basados en acciones [decimal]</t>
  </si>
  <si>
    <t>Promedio ponderado del precio de ejercicio de otros instrumentos de patrimonio expirados en acuerdos con pagos basados en acciones [decimal]</t>
  </si>
  <si>
    <t>Promedio ponderado del precio de ejercicio de otros instrumentos de patrimonio en circulación en acuerdos con pagos basados en acciones [decimal]</t>
  </si>
  <si>
    <t>Promedio ponderado del precio de ejercicio de otros instrumentos de patrimonio ejercitables en acuerdos con pagos basados en acciones [decimal]</t>
  </si>
  <si>
    <t>Promedio ponderado del precio de la acción, opciones sobre acciones otorgadas [Número]</t>
  </si>
  <si>
    <t>Precio de ejercicio, opciones sobre acciones otorgadas [Número]</t>
  </si>
  <si>
    <t>Explicación de la determinación del valor razonable de bienes o servicios recibidos o valor razonable de instrumentos de patrimonio otorgados en pagos basados en acciones  [Texto]</t>
  </si>
  <si>
    <t xml:space="preserve">        Número de opciones sobre acciones en circulación en acuerdos con pagos basados en acciones al 31-12-2019 [Decimal]</t>
  </si>
  <si>
    <t>Gasto procedente de transacciones con pagos basados en acciones, alternativa [resumen]</t>
  </si>
  <si>
    <t>full_ifrs-cor_2021-03-24.xsd#ifrs-full_ExpenseFromSharebasedPaymentTransactionsWithPartiesOtherThanEmployees</t>
  </si>
  <si>
    <t xml:space="preserve">Gasto procedente de transacciones con pagos basados en acciones en las que los bienes o servicios recibidos no cumplen los requisitos para su reconocimiento como activos [resumen]  </t>
  </si>
  <si>
    <t>Gastos de las transacciones de pagos basados en acciones en los cuales bienes o servicios recibidos no cumplían las condiciones para su reconocimiento como activos  [Número]</t>
  </si>
  <si>
    <t>Gasto procedente de transacciones con pagos basados en acciones con empleados [Número]</t>
  </si>
  <si>
    <t>Gasto procedente de transacciones con pagos basados en acciones con otros distintos a los empleados [Número]</t>
  </si>
  <si>
    <t>Gasto por transacciones con pagos basados en acciones en los que los bienes o servicios recibidos no cumplían los requisitos para su reconocimiento como activos [Número]</t>
  </si>
  <si>
    <t>12.0</t>
  </si>
  <si>
    <t>pre_cl-ci_ifrs-2_2021-03-24_role-834120</t>
  </si>
  <si>
    <t>Promedio ponderado de la vida contractual restante de opciones sobre acciones en circulación [Decimal]</t>
  </si>
  <si>
    <t xml:space="preserve">Información a revelar sobre el número y promedio ponderado de la vida contractual remanente de opciones de acciones en circulación [sinopsis] 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</si>
  <si>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</si>
  <si>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</si>
  <si>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</si>
  <si>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</si>
  <si>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</si>
  <si>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</si>
  <si>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</si>
  <si>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</si>
  <si>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</si>
  <si>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</si>
  <si>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</si>
  <si>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</si>
  <si>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</si>
  <si>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</si>
  <si>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</si>
  <si>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</si>
  <si>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</si>
  <si>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</si>
  <si>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</si>
  <si>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</si>
  <si>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</si>
  <si>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</si>
  <si>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</si>
  <si>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</si>
  <si>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</si>
  <si>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</si>
  <si>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</si>
  <si>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BB</t>
  </si>
  <si>
    <t>P1Y5D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</si>
</sst>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000"/>
    <numFmt numFmtId="166" formatCode="#,##0.000"/>
  </numFmts>
  <fonts count="24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b/>
      <sz val="9"/>
      <color rgb="FFFF0000"/>
      <name val="Verdana"/>
      <family val="2"/>
    </font>
    <font>
      <sz val="11"/>
      <name val="Calibri"/>
      <family val="2"/>
      <scheme val="minor"/>
    </font>
    <font>
      <sz val="9"/>
      <color theme="1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u/>
      <sz val="9.9"/>
      <color theme="10"/>
      <name val="Calibri"/>
      <family val="2"/>
    </font>
    <font>
      <b/>
      <sz val="9"/>
      <color indexed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FF0000"/>
      </right>
      <top style="thin">
        <color indexed="64"/>
      </top>
      <bottom/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8" fillId="0" borderId="0" applyNumberFormat="0" applyFill="0" applyBorder="0" applyAlignment="0" applyProtection="0">
      <alignment vertical="top"/>
      <protection locked="0"/>
    </xf>
  </cellStyleXfs>
  <cellXfs count="88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Border="1" applyAlignment="1">
      <alignment horizontal="left" vertical="center" indent="3"/>
    </xf>
    <xf numFmtId="0" fontId="3" fillId="2" borderId="0" xfId="0" applyFont="1" applyFill="1" applyBorder="1" applyAlignment="1">
      <alignment horizontal="left" vertical="center" wrapText="1" indent="3"/>
    </xf>
    <xf numFmtId="0" fontId="3" fillId="3" borderId="1" xfId="0" applyFont="1" applyFill="1" applyBorder="1" applyAlignment="1">
      <alignment horizontal="left" vertical="center" indent="3"/>
    </xf>
    <xf numFmtId="0" fontId="4" fillId="2" borderId="0" xfId="0" applyFont="1" applyFill="1" applyBorder="1" applyAlignment="1">
      <alignment horizontal="left" vertical="center" indent="3"/>
    </xf>
    <xf numFmtId="0" fontId="4" fillId="2" borderId="0" xfId="0" applyFont="1" applyFill="1" applyBorder="1" applyAlignment="1">
      <alignment horizontal="left" vertical="center" wrapText="1" indent="3"/>
    </xf>
    <xf numFmtId="3" fontId="2" fillId="3" borderId="1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3" fontId="2" fillId="2" borderId="9" xfId="1" applyNumberFormat="1" applyFont="1" applyFill="1" applyBorder="1">
      <alignment vertical="center"/>
    </xf>
    <xf numFmtId="0" fontId="3" fillId="2" borderId="9" xfId="0" applyFont="1" applyFill="1" applyBorder="1" applyAlignment="1">
      <alignment horizontal="left" vertical="center" indent="3"/>
    </xf>
    <xf numFmtId="3" fontId="2" fillId="2" borderId="10" xfId="1" applyNumberFormat="1" applyFont="1" applyFill="1" applyBorder="1">
      <alignment vertical="center"/>
    </xf>
    <xf numFmtId="0" fontId="6" fillId="0" borderId="0" xfId="0" applyNumberFormat="1" applyFont="1" applyBorder="1" applyAlignment="1">
      <alignment horizontal="center" vertical="center"/>
    </xf>
    <xf numFmtId="0" fontId="6" fillId="5" borderId="11" xfId="2" applyNumberFormat="1" applyFont="1" applyFill="1" applyBorder="1" applyAlignment="1">
      <alignment horizontal="center" vertical="center" wrapText="1"/>
    </xf>
    <xf numFmtId="0" fontId="6" fillId="5" borderId="13" xfId="2" applyNumberFormat="1" applyFont="1" applyFill="1" applyBorder="1" applyAlignment="1">
      <alignment horizontal="center" vertical="center" wrapText="1"/>
    </xf>
    <xf numFmtId="0" fontId="7" fillId="5" borderId="13" xfId="2" applyNumberFormat="1" applyFont="1" applyFill="1" applyBorder="1" applyAlignment="1">
      <alignment horizontal="center" vertical="center" wrapText="1"/>
    </xf>
    <xf numFmtId="0" fontId="8" fillId="5" borderId="13" xfId="2" applyNumberFormat="1" applyFont="1" applyFill="1" applyBorder="1" applyAlignment="1">
      <alignment horizontal="center" vertical="center" wrapText="1"/>
    </xf>
    <xf numFmtId="0" fontId="9" fillId="6" borderId="14" xfId="2" applyNumberFormat="1" applyFont="1" applyFill="1" applyBorder="1" applyAlignment="1">
      <alignment horizontal="center" vertical="center" wrapText="1"/>
    </xf>
    <xf numFmtId="0" fontId="7" fillId="5" borderId="12" xfId="2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7" borderId="6" xfId="3" applyFont="1" applyFill="1" applyBorder="1">
      <alignment vertical="center"/>
    </xf>
    <xf numFmtId="0" fontId="4" fillId="7" borderId="0" xfId="3" applyFont="1" applyFill="1" applyBorder="1" applyAlignment="1">
      <alignment vertical="center"/>
    </xf>
    <xf numFmtId="0" fontId="3" fillId="7" borderId="0" xfId="3" applyFont="1" applyFill="1" applyBorder="1">
      <alignment vertical="center"/>
    </xf>
    <xf numFmtId="0" fontId="3" fillId="7" borderId="4" xfId="3" applyFont="1" applyFill="1" applyBorder="1" applyAlignment="1">
      <alignment horizontal="center" vertical="center" wrapText="1"/>
    </xf>
    <xf numFmtId="0" fontId="0" fillId="2" borderId="0" xfId="0" applyFill="1"/>
    <xf numFmtId="0" fontId="3" fillId="7" borderId="5" xfId="3" applyFont="1" applyFill="1" applyBorder="1" applyAlignment="1">
      <alignment vertical="center" wrapText="1"/>
    </xf>
    <xf numFmtId="0" fontId="3" fillId="0" borderId="0" xfId="0" applyFont="1" applyAlignment="1"/>
    <xf numFmtId="0" fontId="3" fillId="2" borderId="6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10" fillId="6" borderId="17" xfId="3" applyFont="1" applyFill="1" applyBorder="1" applyAlignment="1">
      <alignment horizontal="center" vertical="center" wrapText="1"/>
    </xf>
    <xf numFmtId="0" fontId="3" fillId="2" borderId="3" xfId="0" applyFont="1" applyFill="1" applyBorder="1" applyAlignment="1"/>
    <xf numFmtId="0" fontId="3" fillId="2" borderId="4" xfId="0" applyFont="1" applyFill="1" applyBorder="1" applyAlignment="1"/>
    <xf numFmtId="0" fontId="11" fillId="2" borderId="4" xfId="0" applyFont="1" applyFill="1" applyBorder="1" applyAlignment="1"/>
    <xf numFmtId="0" fontId="3" fillId="7" borderId="4" xfId="3" applyFont="1" applyFill="1" applyBorder="1" applyAlignment="1">
      <alignment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7" borderId="13" xfId="3" applyFont="1" applyFill="1" applyBorder="1" applyAlignment="1">
      <alignment vertical="center"/>
    </xf>
    <xf numFmtId="0" fontId="12" fillId="8" borderId="18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4" fillId="7" borderId="19" xfId="3" applyFont="1" applyFill="1" applyBorder="1" applyAlignment="1">
      <alignment vertical="center" wrapText="1"/>
    </xf>
    <xf numFmtId="0" fontId="3" fillId="2" borderId="21" xfId="0" applyFont="1" applyFill="1" applyBorder="1" applyAlignment="1">
      <alignment horizontal="left" vertical="center"/>
    </xf>
    <xf numFmtId="0" fontId="3" fillId="7" borderId="17" xfId="3" applyFont="1" applyFill="1" applyBorder="1" applyAlignment="1">
      <alignment vertical="center"/>
    </xf>
    <xf numFmtId="0" fontId="3" fillId="2" borderId="22" xfId="0" applyFont="1" applyFill="1" applyBorder="1" applyAlignment="1">
      <alignment horizontal="left" vertical="center"/>
    </xf>
    <xf numFmtId="0" fontId="3" fillId="2" borderId="16" xfId="0" applyFont="1" applyFill="1" applyBorder="1" applyAlignment="1">
      <alignment horizontal="left" vertical="center"/>
    </xf>
    <xf numFmtId="3" fontId="3" fillId="3" borderId="15" xfId="0" applyNumberFormat="1" applyFont="1" applyFill="1" applyBorder="1" applyAlignment="1" applyProtection="1">
      <protection locked="0"/>
    </xf>
    <xf numFmtId="0" fontId="4" fillId="2" borderId="20" xfId="0" applyFont="1" applyFill="1" applyBorder="1" applyAlignment="1">
      <alignment horizontal="left" vertical="center" wrapText="1"/>
    </xf>
    <xf numFmtId="0" fontId="9" fillId="5" borderId="14" xfId="2" applyNumberFormat="1" applyFont="1" applyFill="1" applyBorder="1" applyAlignment="1">
      <alignment horizontal="center" vertical="center" wrapText="1"/>
    </xf>
    <xf numFmtId="0" fontId="18" fillId="9" borderId="0" xfId="4" applyFill="1" applyBorder="1" applyAlignment="1" applyProtection="1">
      <alignment horizontal="left" vertical="center" wrapText="1" indent="3"/>
    </xf>
    <xf numFmtId="0" fontId="18" fillId="10" borderId="0" xfId="4" applyFill="1" applyBorder="1" applyAlignment="1" applyProtection="1">
      <alignment horizontal="left" vertical="center" wrapText="1" indent="3"/>
    </xf>
    <xf numFmtId="0" fontId="18" fillId="11" borderId="0" xfId="4" applyFill="1" applyBorder="1" applyAlignment="1" applyProtection="1">
      <alignment horizontal="left" vertical="center" wrapText="1" indent="3"/>
    </xf>
    <xf numFmtId="0" fontId="3" fillId="2" borderId="20" xfId="0" applyFont="1" applyFill="1" applyBorder="1" applyAlignment="1">
      <alignment horizontal="left" vertical="center" wrapText="1"/>
    </xf>
    <xf numFmtId="0" fontId="3" fillId="2" borderId="0" xfId="2" applyNumberFormat="1" applyFont="1" applyFill="1" applyBorder="1" applyAlignment="1">
      <alignment horizontal="left" vertical="center" wrapText="1"/>
    </xf>
    <xf numFmtId="0" fontId="3" fillId="7" borderId="24" xfId="3" applyFont="1" applyFill="1" applyBorder="1" applyAlignment="1">
      <alignment vertical="center"/>
    </xf>
    <xf numFmtId="0" fontId="3" fillId="2" borderId="25" xfId="0" applyFont="1" applyFill="1" applyBorder="1" applyAlignment="1">
      <alignment horizontal="left" vertical="center"/>
    </xf>
    <xf numFmtId="3" fontId="3" fillId="3" borderId="23" xfId="0" applyNumberFormat="1" applyFont="1" applyFill="1" applyBorder="1" applyAlignment="1" applyProtection="1"/>
    <xf numFmtId="0" fontId="3" fillId="7" borderId="23" xfId="3" applyFont="1" applyFill="1" applyBorder="1" applyAlignment="1">
      <alignment vertical="center"/>
    </xf>
    <xf numFmtId="0" fontId="3" fillId="7" borderId="5" xfId="3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0" fontId="3" fillId="7" borderId="12" xfId="3" applyFont="1" applyFill="1" applyBorder="1" applyAlignment="1">
      <alignment vertical="center"/>
    </xf>
    <xf numFmtId="0" fontId="7" fillId="5" borderId="1" xfId="2" applyNumberFormat="1" applyFont="1" applyFill="1" applyBorder="1" applyAlignment="1">
      <alignment horizontal="center" vertical="center" wrapText="1"/>
    </xf>
    <xf numFmtId="0" fontId="4" fillId="7" borderId="4" xfId="3" applyFont="1" applyFill="1" applyBorder="1" applyAlignment="1">
      <alignment vertical="center" wrapText="1"/>
    </xf>
    <xf numFmtId="0" fontId="4" fillId="2" borderId="0" xfId="0" applyFont="1" applyFill="1" applyBorder="1" applyAlignment="1">
      <alignment horizontal="left" vertical="center" wrapText="1"/>
    </xf>
    <xf numFmtId="164" fontId="3" fillId="3" borderId="15" xfId="0" applyNumberFormat="1" applyFont="1" applyFill="1" applyBorder="1" applyAlignment="1" applyProtection="1">
      <protection locked="0"/>
    </xf>
    <xf numFmtId="164" fontId="3" fillId="12" borderId="23" xfId="0" applyNumberFormat="1" applyFont="1" applyFill="1" applyBorder="1" applyAlignment="1" applyProtection="1"/>
    <xf numFmtId="165" fontId="3" fillId="12" borderId="23" xfId="0" applyNumberFormat="1" applyFont="1" applyFill="1" applyBorder="1" applyAlignment="1" applyProtection="1"/>
    <xf numFmtId="165" fontId="2" fillId="3" borderId="1" xfId="1" applyNumberFormat="1" applyFont="1" applyFill="1" applyBorder="1">
      <alignment vertical="center"/>
    </xf>
    <xf numFmtId="165" fontId="3" fillId="3" borderId="15" xfId="0" applyNumberFormat="1" applyFont="1" applyFill="1" applyBorder="1" applyAlignment="1" applyProtection="1">
      <protection locked="0"/>
    </xf>
    <xf numFmtId="0" fontId="19" fillId="5" borderId="2" xfId="2" applyFont="1" applyFill="1" applyBorder="1" applyAlignment="1">
      <alignment horizontal="center" vertical="center" wrapText="1"/>
    </xf>
    <xf numFmtId="0" fontId="17" fillId="13" borderId="18" xfId="0" applyFont="1" applyFill="1" applyBorder="1" applyAlignment="1">
      <alignment horizontal="right" vertical="center" wrapText="1"/>
    </xf>
    <xf numFmtId="0" fontId="0" fillId="13" borderId="26" xfId="0" applyFill="1" applyBorder="1" applyAlignment="1">
      <alignment vertical="center"/>
    </xf>
    <xf numFmtId="0" fontId="3" fillId="2" borderId="0" xfId="0" applyFont="1" applyFill="1" applyBorder="1" applyAlignment="1">
      <alignment horizontal="left" vertical="center" wrapText="1"/>
    </xf>
    <xf numFmtId="166" fontId="2" fillId="3" borderId="1" xfId="1" applyNumberFormat="1" applyFont="1" applyFill="1" applyBorder="1">
      <alignment vertical="center"/>
    </xf>
    <xf numFmtId="166" fontId="3" fillId="3" borderId="1" xfId="0" applyNumberFormat="1" applyFont="1" applyFill="1" applyBorder="1" applyAlignment="1" applyProtection="1"/>
    <xf numFmtId="166" fontId="3" fillId="3" borderId="12" xfId="0" applyNumberFormat="1" applyFont="1" applyFill="1" applyBorder="1" applyAlignment="1" applyProtection="1"/>
    <xf numFmtId="3" fontId="23" fillId="12" borderId="1" xfId="1" applyNumberFormat="1" applyFont="1" applyFill="1" applyBorder="1">
      <alignment vertical="center"/>
    </xf>
    <xf numFmtId="0" fontId="4" fillId="2" borderId="0" xfId="0" applyFont="1" applyFill="1" applyBorder="1" applyAlignment="1">
      <alignment horizontal="left" vertical="center" wrapText="1" indent="2"/>
    </xf>
    <xf numFmtId="0" fontId="4" fillId="14" borderId="0" xfId="0" applyFont="1" applyFill="1" applyBorder="1" applyAlignment="1">
      <alignment horizontal="left" vertical="center" wrapText="1" indent="3"/>
    </xf>
    <xf numFmtId="0" fontId="3" fillId="14" borderId="0" xfId="0" applyFont="1" applyFill="1" applyBorder="1" applyAlignment="1">
      <alignment horizontal="left" vertical="center" wrapText="1" indent="5"/>
    </xf>
    <xf numFmtId="3" fontId="2" fillId="14" borderId="0" xfId="1" applyNumberFormat="1" applyFont="1" applyFill="1" applyBorder="1">
      <alignment vertical="center"/>
    </xf>
    <xf numFmtId="0" fontId="0" fillId="14" borderId="11" xfId="0" applyFill="1" applyBorder="1"/>
    <xf numFmtId="0" fontId="20" fillId="14" borderId="12" xfId="0" applyFont="1" applyFill="1" applyBorder="1"/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4691064</xdr:colOff>
      <xdr:row>0</xdr:row>
      <xdr:rowOff>154782</xdr:rowOff>
    </xdr:from>
    <xdr:to>
      <xdr:col>5</xdr:col>
      <xdr:colOff>6010276</xdr:colOff>
      <xdr:row>0</xdr:row>
      <xdr:rowOff>547688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>
        <a:xfrm>
          <a:off x="5815014" y="154782"/>
          <a:ext cx="1319212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177240</xdr:colOff>
      <xdr:row>1</xdr:row>
      <xdr:rowOff>1150845</xdr:rowOff>
    </xdr:from>
    <xdr:to>
      <xdr:col>7</xdr:col>
      <xdr:colOff>524623</xdr:colOff>
      <xdr:row>1</xdr:row>
      <xdr:rowOff>2069727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111565" y="1846170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438150</xdr:colOff>
      <xdr:row>1</xdr:row>
      <xdr:rowOff>400050</xdr:rowOff>
    </xdr:from>
    <xdr:to>
      <xdr:col>8</xdr:col>
      <xdr:colOff>375771</xdr:colOff>
      <xdr:row>1</xdr:row>
      <xdr:rowOff>1072403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610475" y="1095375"/>
          <a:ext cx="146162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0050" y="142876"/>
          <a:ext cx="1385093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950244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0050" y="142876"/>
          <a:ext cx="1385093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4691063</xdr:colOff>
      <xdr:row>0</xdr:row>
      <xdr:rowOff>154782</xdr:rowOff>
    </xdr:from>
    <xdr:to>
      <xdr:col>5</xdr:col>
      <xdr:colOff>5981700</xdr:colOff>
      <xdr:row>0</xdr:row>
      <xdr:rowOff>547688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/>
        </xdr:cNvSpPr>
      </xdr:nvSpPr>
      <xdr:spPr>
        <a:xfrm>
          <a:off x="5815013" y="154782"/>
          <a:ext cx="1290637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950244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186765</xdr:colOff>
      <xdr:row>1</xdr:row>
      <xdr:rowOff>1246095</xdr:rowOff>
    </xdr:from>
    <xdr:to>
      <xdr:col>7</xdr:col>
      <xdr:colOff>534148</xdr:colOff>
      <xdr:row>1</xdr:row>
      <xdr:rowOff>2164977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21090" y="1941420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447675</xdr:colOff>
      <xdr:row>1</xdr:row>
      <xdr:rowOff>495300</xdr:rowOff>
    </xdr:from>
    <xdr:to>
      <xdr:col>8</xdr:col>
      <xdr:colOff>385296</xdr:colOff>
      <xdr:row>1</xdr:row>
      <xdr:rowOff>1167653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620000" y="1190625"/>
          <a:ext cx="146162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71"/>
  <sheetViews>
    <sheetView tabSelected="1" zoomScale="90" zoomScaleNormal="90" workbookViewId="0">
      <selection activeCell="H154" sqref="H154"/>
    </sheetView>
  </sheetViews>
  <sheetFormatPr baseColWidth="10" defaultRowHeight="15"/>
  <cols>
    <col min="1" max="5" width="2.7109375" customWidth="1"/>
    <col min="6" max="6" width="102.7109375" customWidth="1"/>
    <col min="7" max="7" width="2.7109375" customWidth="1"/>
    <col min="8" max="11" width="16.7109375" customWidth="1"/>
  </cols>
  <sheetData>
    <row r="1" spans="1:12" ht="105" customHeight="1">
      <c r="A1" t="s">
        <v>0</v>
      </c>
    </row>
    <row r="2" spans="1:12">
      <c r="G2" s="86" t="s">
        <v>0</v>
      </c>
      <c r="H2" s="87" t="s">
        <v>206</v>
      </c>
    </row>
    <row r="3" spans="1:12">
      <c r="B3" s="8"/>
      <c r="C3" s="9"/>
      <c r="D3" s="9"/>
      <c r="E3" s="9"/>
      <c r="F3" s="9"/>
      <c r="G3" s="9"/>
      <c r="H3" s="9"/>
      <c r="I3" s="9"/>
      <c r="J3" s="9"/>
      <c r="K3" s="9"/>
      <c r="L3" s="10"/>
    </row>
    <row r="4" spans="1:12">
      <c r="B4" s="11"/>
      <c r="C4" s="1"/>
      <c r="D4" s="1" t="s">
        <v>0</v>
      </c>
      <c r="E4" s="1" t="s">
        <v>0</v>
      </c>
      <c r="F4" s="2" t="s">
        <v>6</v>
      </c>
      <c r="G4" s="1"/>
      <c r="H4" s="1"/>
      <c r="I4" s="1"/>
      <c r="J4" s="1"/>
      <c r="K4" s="1"/>
      <c r="L4" s="12"/>
    </row>
    <row r="5" spans="1:12">
      <c r="B5" s="11" t="s">
        <v>207</v>
      </c>
      <c r="C5" s="1" t="s">
        <v>76</v>
      </c>
      <c r="D5" s="1" t="s">
        <v>0</v>
      </c>
      <c r="E5" s="1" t="s">
        <v>0</v>
      </c>
      <c r="F5" s="4" t="s">
        <v>210</v>
      </c>
      <c r="G5" s="1"/>
      <c r="H5" s="1"/>
      <c r="I5" s="1"/>
      <c r="J5" s="1"/>
      <c r="K5" s="1"/>
      <c r="L5" s="12"/>
    </row>
    <row r="6" spans="1:12">
      <c r="B6" s="11" t="s">
        <v>0</v>
      </c>
      <c r="C6" s="1"/>
      <c r="D6" s="1" t="s">
        <v>0</v>
      </c>
      <c r="E6" s="1" t="s">
        <v>0</v>
      </c>
      <c r="F6" s="5"/>
      <c r="G6" s="1"/>
      <c r="H6" s="1"/>
      <c r="I6" s="1"/>
      <c r="J6" s="1"/>
      <c r="K6" s="1"/>
      <c r="L6" s="12"/>
    </row>
    <row r="7" spans="1:12" ht="23.25" customHeight="1">
      <c r="B7" s="11"/>
      <c r="C7" s="1"/>
      <c r="D7" s="1" t="s">
        <v>0</v>
      </c>
      <c r="E7" s="1" t="s">
        <v>0</v>
      </c>
      <c r="F7" s="3" t="s">
        <v>7</v>
      </c>
      <c r="G7" s="1"/>
      <c r="H7" s="1"/>
      <c r="I7" s="1"/>
      <c r="J7" s="1"/>
      <c r="K7" s="1"/>
      <c r="L7" s="12"/>
    </row>
    <row r="8" spans="1:12">
      <c r="B8" s="11" t="s">
        <v>207</v>
      </c>
      <c r="C8" s="1" t="s">
        <v>77</v>
      </c>
      <c r="D8" s="1" t="s">
        <v>0</v>
      </c>
      <c r="E8" s="1" t="s">
        <v>0</v>
      </c>
      <c r="F8" s="4" t="s">
        <v>211</v>
      </c>
      <c r="G8" s="1"/>
      <c r="H8" s="1"/>
      <c r="I8" s="1"/>
      <c r="J8" s="1"/>
      <c r="K8" s="1"/>
      <c r="L8" s="12"/>
    </row>
    <row r="9" spans="1:12">
      <c r="B9" s="11"/>
      <c r="C9" s="1"/>
      <c r="D9" s="1"/>
      <c r="E9" s="1"/>
      <c r="F9" s="3"/>
      <c r="G9" s="1"/>
      <c r="H9" s="1"/>
      <c r="I9" s="1"/>
      <c r="J9" s="1"/>
      <c r="K9" s="1"/>
      <c r="L9" s="12"/>
    </row>
    <row r="10" spans="1:12" ht="17.25" customHeight="1">
      <c r="B10" s="11"/>
      <c r="C10" s="1"/>
      <c r="D10" s="1"/>
      <c r="E10" s="1"/>
      <c r="F10" s="54" t="s">
        <v>8</v>
      </c>
      <c r="G10" s="6"/>
      <c r="H10" s="1"/>
      <c r="I10" s="1"/>
      <c r="J10" s="1"/>
      <c r="K10" s="6"/>
      <c r="L10" s="12"/>
    </row>
    <row r="11" spans="1:12">
      <c r="B11" s="11"/>
      <c r="C11" s="1"/>
      <c r="D11" s="1"/>
      <c r="E11" s="1"/>
      <c r="F11" s="3"/>
      <c r="G11" s="6"/>
      <c r="H11" s="1"/>
      <c r="I11" s="1"/>
      <c r="J11" s="1"/>
      <c r="K11" s="6"/>
      <c r="L11" s="12"/>
    </row>
    <row r="12" spans="1:12" ht="29.25" customHeight="1">
      <c r="B12" s="11"/>
      <c r="C12" s="1"/>
      <c r="D12" s="1" t="s">
        <v>0</v>
      </c>
      <c r="E12" s="1" t="s">
        <v>0</v>
      </c>
      <c r="F12" s="3" t="s">
        <v>18</v>
      </c>
      <c r="G12" s="6"/>
      <c r="H12" s="1"/>
      <c r="I12" s="1"/>
      <c r="J12" s="1"/>
      <c r="K12" s="6"/>
      <c r="L12" s="12"/>
    </row>
    <row r="13" spans="1:12" ht="17.25" customHeight="1">
      <c r="B13" s="11" t="s">
        <v>207</v>
      </c>
      <c r="C13" s="1" t="s">
        <v>78</v>
      </c>
      <c r="D13" s="1" t="s">
        <v>0</v>
      </c>
      <c r="E13" s="1" t="s">
        <v>0</v>
      </c>
      <c r="F13" s="4" t="s">
        <v>212</v>
      </c>
      <c r="G13" s="6"/>
      <c r="H13" s="6"/>
      <c r="I13" s="6"/>
      <c r="J13" s="6"/>
      <c r="K13" s="6"/>
      <c r="L13" s="12"/>
    </row>
    <row r="14" spans="1:12" ht="24">
      <c r="B14" s="11"/>
      <c r="C14" s="1"/>
      <c r="D14" s="1"/>
      <c r="E14" s="1"/>
      <c r="F14" s="6"/>
      <c r="G14" s="6"/>
      <c r="H14" s="74" t="s">
        <v>67</v>
      </c>
      <c r="I14" s="74" t="s">
        <v>68</v>
      </c>
      <c r="J14" s="6"/>
      <c r="K14" s="6"/>
      <c r="L14" s="12"/>
    </row>
    <row r="15" spans="1:12" ht="22.5">
      <c r="A15" t="s">
        <v>66</v>
      </c>
      <c r="B15" s="11" t="s">
        <v>207</v>
      </c>
      <c r="C15" s="1" t="s">
        <v>79</v>
      </c>
      <c r="D15" s="1" t="s">
        <v>0</v>
      </c>
      <c r="E15" s="1" t="s">
        <v>0</v>
      </c>
      <c r="F15" s="6" t="s">
        <v>198</v>
      </c>
      <c r="G15" s="6"/>
      <c r="H15" s="72">
        <v>80</v>
      </c>
      <c r="I15" s="72">
        <v>40</v>
      </c>
      <c r="J15" s="6"/>
      <c r="K15" s="6"/>
      <c r="L15" s="12"/>
    </row>
    <row r="16" spans="1:12">
      <c r="B16" s="11"/>
      <c r="C16" s="1"/>
      <c r="D16" s="1"/>
      <c r="E16" s="1"/>
      <c r="F16" s="3"/>
      <c r="G16" s="3"/>
      <c r="H16" s="3"/>
      <c r="I16" s="3"/>
      <c r="J16" s="6"/>
      <c r="K16" s="6"/>
      <c r="L16" s="12"/>
    </row>
    <row r="17" spans="1:12">
      <c r="B17" s="11"/>
      <c r="C17" s="1"/>
      <c r="D17" s="1"/>
      <c r="E17" s="1"/>
      <c r="F17" s="3"/>
      <c r="G17" s="3"/>
      <c r="H17" s="3"/>
      <c r="I17" s="3"/>
      <c r="J17" s="6"/>
      <c r="K17" s="6"/>
      <c r="L17" s="12"/>
    </row>
    <row r="18" spans="1:12" ht="28.5" customHeight="1">
      <c r="B18" s="11" t="s">
        <v>207</v>
      </c>
      <c r="C18" s="1" t="s">
        <v>80</v>
      </c>
      <c r="D18" s="1" t="s">
        <v>0</v>
      </c>
      <c r="E18" s="1" t="s">
        <v>0</v>
      </c>
      <c r="F18" s="3" t="s">
        <v>19</v>
      </c>
      <c r="G18" s="6"/>
      <c r="H18" s="72">
        <v>30</v>
      </c>
      <c r="I18" s="72">
        <v>70</v>
      </c>
      <c r="J18" s="6"/>
      <c r="K18" s="6"/>
      <c r="L18" s="12"/>
    </row>
    <row r="19" spans="1:12" ht="22.5">
      <c r="B19" s="11" t="s">
        <v>207</v>
      </c>
      <c r="C19" s="1" t="s">
        <v>81</v>
      </c>
      <c r="D19" s="1" t="s">
        <v>0</v>
      </c>
      <c r="E19" s="1" t="s">
        <v>0</v>
      </c>
      <c r="F19" s="3" t="s">
        <v>20</v>
      </c>
      <c r="G19" s="6"/>
      <c r="H19" s="72">
        <v>40</v>
      </c>
      <c r="I19" s="72">
        <v>80</v>
      </c>
      <c r="J19" s="6"/>
      <c r="K19" s="6"/>
      <c r="L19" s="12"/>
    </row>
    <row r="20" spans="1:12" ht="22.5">
      <c r="B20" s="11" t="s">
        <v>207</v>
      </c>
      <c r="C20" s="1" t="s">
        <v>82</v>
      </c>
      <c r="D20" s="1" t="s">
        <v>0</v>
      </c>
      <c r="E20" s="1" t="s">
        <v>0</v>
      </c>
      <c r="F20" s="3" t="s">
        <v>21</v>
      </c>
      <c r="G20" s="6"/>
      <c r="H20" s="72">
        <v>50</v>
      </c>
      <c r="I20" s="72">
        <v>90</v>
      </c>
      <c r="J20" s="6"/>
      <c r="K20" s="6"/>
      <c r="L20" s="12"/>
    </row>
    <row r="21" spans="1:12" ht="24" customHeight="1">
      <c r="B21" s="11" t="s">
        <v>207</v>
      </c>
      <c r="C21" s="1" t="s">
        <v>83</v>
      </c>
      <c r="D21" s="6" t="s">
        <v>0</v>
      </c>
      <c r="E21" s="6" t="s">
        <v>0</v>
      </c>
      <c r="F21" s="3" t="s">
        <v>22</v>
      </c>
      <c r="G21" s="6"/>
      <c r="H21" s="72">
        <v>60</v>
      </c>
      <c r="I21" s="72">
        <v>10</v>
      </c>
      <c r="J21" s="6"/>
      <c r="K21" s="6"/>
      <c r="L21" s="12"/>
    </row>
    <row r="22" spans="1:12" ht="24" customHeight="1">
      <c r="B22" s="11"/>
      <c r="C22" s="1"/>
      <c r="D22" s="6"/>
      <c r="E22" s="6"/>
      <c r="F22" s="3"/>
      <c r="G22" s="3"/>
      <c r="H22" s="3"/>
      <c r="I22" s="3"/>
      <c r="J22" s="3"/>
      <c r="K22" s="3"/>
      <c r="L22" s="12"/>
    </row>
    <row r="23" spans="1:12" ht="24" customHeight="1">
      <c r="B23" s="11"/>
      <c r="C23" s="1"/>
      <c r="D23" s="6"/>
      <c r="E23" s="6"/>
      <c r="F23" s="3"/>
      <c r="G23" s="6"/>
      <c r="H23" s="74" t="s">
        <v>67</v>
      </c>
      <c r="I23" s="74" t="s">
        <v>68</v>
      </c>
      <c r="J23" s="6"/>
      <c r="K23" s="6"/>
      <c r="L23" s="12"/>
    </row>
    <row r="24" spans="1:12" ht="22.5">
      <c r="B24" s="11" t="s">
        <v>207</v>
      </c>
      <c r="C24" s="1" t="s">
        <v>79</v>
      </c>
      <c r="D24" s="1" t="s">
        <v>0</v>
      </c>
      <c r="E24" s="1" t="s">
        <v>0</v>
      </c>
      <c r="F24" s="3" t="s">
        <v>149</v>
      </c>
      <c r="G24" s="6"/>
      <c r="H24" s="72">
        <v>40</v>
      </c>
      <c r="I24" s="72">
        <v>80</v>
      </c>
      <c r="J24" s="6"/>
      <c r="K24" s="6"/>
      <c r="L24" s="12"/>
    </row>
    <row r="25" spans="1:12" ht="24.75" customHeight="1">
      <c r="B25" s="11" t="s">
        <v>207</v>
      </c>
      <c r="C25" s="1" t="s">
        <v>84</v>
      </c>
      <c r="D25" s="1" t="s">
        <v>0</v>
      </c>
      <c r="E25" s="1" t="s">
        <v>0</v>
      </c>
      <c r="F25" s="3" t="s">
        <v>23</v>
      </c>
      <c r="G25" s="6"/>
      <c r="H25" s="72">
        <v>50</v>
      </c>
      <c r="I25" s="72">
        <v>90</v>
      </c>
      <c r="J25" s="6"/>
      <c r="K25" s="6"/>
      <c r="L25" s="12"/>
    </row>
    <row r="26" spans="1:12" ht="26.25" customHeight="1">
      <c r="A26" t="s">
        <v>66</v>
      </c>
      <c r="B26" s="11" t="s">
        <v>207</v>
      </c>
      <c r="C26" s="1" t="s">
        <v>154</v>
      </c>
      <c r="D26" s="1" t="s">
        <v>0</v>
      </c>
      <c r="E26" s="1"/>
      <c r="F26" s="3" t="s">
        <v>178</v>
      </c>
      <c r="G26" s="6"/>
      <c r="H26" s="72">
        <v>60</v>
      </c>
      <c r="I26" s="72">
        <v>20</v>
      </c>
      <c r="J26" s="6"/>
      <c r="K26" s="6"/>
      <c r="L26" s="12"/>
    </row>
    <row r="27" spans="1:12">
      <c r="B27" s="11"/>
      <c r="C27" s="1"/>
      <c r="D27" s="1"/>
      <c r="E27" s="1"/>
      <c r="F27" s="3"/>
      <c r="G27" s="6"/>
      <c r="H27" s="6"/>
      <c r="I27" s="6"/>
      <c r="J27" s="6"/>
      <c r="K27" s="6"/>
      <c r="L27" s="12"/>
    </row>
    <row r="28" spans="1:12" ht="24">
      <c r="B28" s="11"/>
      <c r="C28" s="1"/>
      <c r="D28" s="1"/>
      <c r="E28" s="1"/>
      <c r="F28" s="3"/>
      <c r="G28" s="6"/>
      <c r="H28" s="74" t="s">
        <v>69</v>
      </c>
      <c r="I28" s="74" t="s">
        <v>70</v>
      </c>
      <c r="J28" s="74" t="s">
        <v>71</v>
      </c>
      <c r="K28" s="74" t="s">
        <v>72</v>
      </c>
      <c r="L28" s="12"/>
    </row>
    <row r="29" spans="1:12" ht="25.5" customHeight="1">
      <c r="B29" s="11" t="s">
        <v>207</v>
      </c>
      <c r="C29" s="1" t="s">
        <v>155</v>
      </c>
      <c r="D29" s="1" t="s">
        <v>0</v>
      </c>
      <c r="E29" s="1"/>
      <c r="F29" s="3" t="s">
        <v>179</v>
      </c>
      <c r="G29" s="6"/>
      <c r="H29" s="72">
        <v>10000</v>
      </c>
      <c r="I29" s="72">
        <v>50000</v>
      </c>
      <c r="J29" s="78"/>
      <c r="K29" s="78"/>
      <c r="L29" s="12"/>
    </row>
    <row r="30" spans="1:12" ht="22.5" customHeight="1">
      <c r="B30" s="11" t="s">
        <v>207</v>
      </c>
      <c r="C30" s="1" t="s">
        <v>156</v>
      </c>
      <c r="D30" s="1" t="s">
        <v>0</v>
      </c>
      <c r="E30" s="1"/>
      <c r="F30" s="3" t="s">
        <v>180</v>
      </c>
      <c r="G30" s="6"/>
      <c r="H30" s="72">
        <v>20000</v>
      </c>
      <c r="I30" s="72">
        <v>60000</v>
      </c>
      <c r="J30" s="78"/>
      <c r="K30" s="78"/>
      <c r="L30" s="12"/>
    </row>
    <row r="31" spans="1:12" ht="24" customHeight="1">
      <c r="B31" s="11" t="s">
        <v>207</v>
      </c>
      <c r="C31" s="1" t="s">
        <v>157</v>
      </c>
      <c r="D31" s="1" t="s">
        <v>0</v>
      </c>
      <c r="E31" s="1"/>
      <c r="F31" s="3" t="s">
        <v>181</v>
      </c>
      <c r="G31" s="6"/>
      <c r="H31" s="72">
        <v>30000</v>
      </c>
      <c r="I31" s="72">
        <v>70000</v>
      </c>
      <c r="J31" s="78"/>
      <c r="K31" s="78"/>
      <c r="L31" s="12"/>
    </row>
    <row r="32" spans="1:12" ht="25.5" customHeight="1">
      <c r="B32" s="11" t="s">
        <v>207</v>
      </c>
      <c r="C32" s="1" t="s">
        <v>158</v>
      </c>
      <c r="D32" s="1" t="s">
        <v>0</v>
      </c>
      <c r="E32" s="1"/>
      <c r="F32" s="3" t="s">
        <v>182</v>
      </c>
      <c r="G32" s="6"/>
      <c r="H32" s="72">
        <v>40000</v>
      </c>
      <c r="I32" s="72">
        <v>80000</v>
      </c>
      <c r="J32" s="78"/>
      <c r="K32" s="78"/>
      <c r="L32" s="12"/>
    </row>
    <row r="33" spans="2:12" ht="25.5" customHeight="1">
      <c r="B33" s="11"/>
      <c r="C33" s="1"/>
      <c r="D33" s="1"/>
      <c r="E33" s="1"/>
      <c r="F33" s="3"/>
      <c r="G33" s="6"/>
      <c r="H33" s="3"/>
      <c r="I33" s="3"/>
      <c r="J33" s="3"/>
      <c r="K33" s="3"/>
      <c r="L33" s="12"/>
    </row>
    <row r="34" spans="2:12" ht="25.5" customHeight="1">
      <c r="B34" s="11"/>
      <c r="C34" s="1"/>
      <c r="D34" s="1"/>
      <c r="E34" s="1"/>
      <c r="F34" s="3"/>
      <c r="G34" s="6"/>
      <c r="H34" s="74" t="s">
        <v>67</v>
      </c>
      <c r="I34" s="74" t="s">
        <v>68</v>
      </c>
      <c r="J34" s="6"/>
      <c r="K34" s="6"/>
      <c r="L34" s="12"/>
    </row>
    <row r="35" spans="2:12" ht="24.75" customHeight="1">
      <c r="B35" s="11" t="s">
        <v>207</v>
      </c>
      <c r="C35" s="1" t="s">
        <v>154</v>
      </c>
      <c r="D35" s="1" t="s">
        <v>0</v>
      </c>
      <c r="E35" s="1"/>
      <c r="F35" s="3" t="s">
        <v>178</v>
      </c>
      <c r="G35" s="6"/>
      <c r="H35" s="72">
        <v>20</v>
      </c>
      <c r="I35" s="72">
        <v>60</v>
      </c>
      <c r="J35" s="6"/>
      <c r="K35" s="6"/>
      <c r="L35" s="12"/>
    </row>
    <row r="36" spans="2:12" ht="25.5" customHeight="1">
      <c r="B36" s="11" t="s">
        <v>207</v>
      </c>
      <c r="C36" s="1" t="s">
        <v>159</v>
      </c>
      <c r="D36" s="1" t="s">
        <v>0</v>
      </c>
      <c r="E36" s="1"/>
      <c r="F36" s="3" t="s">
        <v>183</v>
      </c>
      <c r="G36" s="6"/>
      <c r="H36" s="72">
        <v>30</v>
      </c>
      <c r="I36" s="72">
        <v>70</v>
      </c>
      <c r="J36" s="6"/>
      <c r="K36" s="6"/>
      <c r="L36" s="12"/>
    </row>
    <row r="37" spans="2:12" ht="25.5" customHeight="1">
      <c r="B37" s="11"/>
      <c r="C37" s="1"/>
      <c r="D37" s="1"/>
      <c r="E37" s="1"/>
      <c r="F37" s="3"/>
      <c r="G37" s="3"/>
      <c r="H37" s="3"/>
      <c r="I37" s="3"/>
      <c r="J37" s="3"/>
      <c r="K37" s="6"/>
      <c r="L37" s="12"/>
    </row>
    <row r="38" spans="2:12" ht="25.5" customHeight="1">
      <c r="B38" s="11"/>
      <c r="C38" s="1"/>
      <c r="D38" s="1"/>
      <c r="E38" s="1"/>
      <c r="F38" s="3"/>
      <c r="G38" s="6"/>
      <c r="H38" s="74" t="s">
        <v>69</v>
      </c>
      <c r="I38" s="74" t="s">
        <v>70</v>
      </c>
      <c r="J38" s="74" t="s">
        <v>71</v>
      </c>
      <c r="K38" s="74" t="s">
        <v>72</v>
      </c>
      <c r="L38" s="12"/>
    </row>
    <row r="39" spans="2:12" ht="24" customHeight="1">
      <c r="B39" s="11" t="s">
        <v>207</v>
      </c>
      <c r="C39" s="1" t="s">
        <v>160</v>
      </c>
      <c r="D39" s="1" t="s">
        <v>0</v>
      </c>
      <c r="E39" s="1"/>
      <c r="F39" s="3" t="s">
        <v>184</v>
      </c>
      <c r="G39" s="6"/>
      <c r="H39" s="78">
        <v>10000</v>
      </c>
      <c r="I39" s="78">
        <v>50000</v>
      </c>
      <c r="J39" s="78"/>
      <c r="K39" s="78"/>
      <c r="L39" s="12"/>
    </row>
    <row r="40" spans="2:12">
      <c r="B40" s="11" t="s">
        <v>207</v>
      </c>
      <c r="C40" s="1" t="s">
        <v>161</v>
      </c>
      <c r="D40" s="1" t="s">
        <v>0</v>
      </c>
      <c r="E40" s="1"/>
      <c r="F40" s="3" t="s">
        <v>185</v>
      </c>
      <c r="G40" s="6"/>
      <c r="H40" s="78">
        <v>20000</v>
      </c>
      <c r="I40" s="78">
        <v>60000</v>
      </c>
      <c r="J40" s="78"/>
      <c r="K40" s="78"/>
      <c r="L40" s="12"/>
    </row>
    <row r="41" spans="2:12">
      <c r="B41" s="11"/>
      <c r="C41" s="1"/>
      <c r="D41" s="1"/>
      <c r="E41" s="1"/>
      <c r="F41" s="3"/>
      <c r="G41" s="6"/>
      <c r="H41" s="6"/>
      <c r="I41" s="6"/>
      <c r="J41" s="6"/>
      <c r="K41" s="6"/>
      <c r="L41" s="12"/>
    </row>
    <row r="42" spans="2:12" ht="37.5" customHeight="1">
      <c r="B42" s="11"/>
      <c r="C42" s="1"/>
      <c r="D42" s="1" t="s">
        <v>0</v>
      </c>
      <c r="E42" s="1" t="s">
        <v>0</v>
      </c>
      <c r="F42" s="3" t="s">
        <v>24</v>
      </c>
      <c r="G42" s="6"/>
      <c r="H42" s="6"/>
      <c r="I42" s="6"/>
      <c r="J42" s="6"/>
      <c r="K42" s="6"/>
      <c r="L42" s="12"/>
    </row>
    <row r="43" spans="2:12">
      <c r="B43" s="11" t="s">
        <v>207</v>
      </c>
      <c r="C43" s="1" t="s">
        <v>85</v>
      </c>
      <c r="D43" s="1" t="s">
        <v>0</v>
      </c>
      <c r="E43" s="1" t="s">
        <v>0</v>
      </c>
      <c r="F43" s="4" t="s">
        <v>213</v>
      </c>
      <c r="G43" s="6"/>
      <c r="H43" s="6"/>
      <c r="I43" s="6"/>
      <c r="J43" s="6"/>
      <c r="K43" s="6"/>
      <c r="L43" s="12"/>
    </row>
    <row r="44" spans="2:12">
      <c r="B44" s="11"/>
      <c r="C44" s="1"/>
      <c r="D44" s="1"/>
      <c r="E44" s="1"/>
      <c r="F44" s="3"/>
      <c r="G44" s="6"/>
      <c r="H44" s="6"/>
      <c r="I44" s="6"/>
      <c r="J44" s="6"/>
      <c r="K44" s="6"/>
      <c r="L44" s="12"/>
    </row>
    <row r="45" spans="2:12" ht="18" customHeight="1">
      <c r="B45" s="11"/>
      <c r="C45" s="1"/>
      <c r="D45" s="1"/>
      <c r="E45" s="1"/>
      <c r="F45" s="55" t="s">
        <v>26</v>
      </c>
      <c r="G45" s="6"/>
      <c r="H45" s="6"/>
      <c r="I45" s="6"/>
      <c r="J45" s="6"/>
      <c r="K45" s="6"/>
      <c r="L45" s="12"/>
    </row>
    <row r="46" spans="2:12">
      <c r="B46" s="11"/>
      <c r="C46" s="1"/>
      <c r="D46" s="1"/>
      <c r="E46" s="1"/>
      <c r="F46" s="3"/>
      <c r="G46" s="6"/>
      <c r="H46" s="6"/>
      <c r="I46" s="6"/>
      <c r="J46" s="6"/>
      <c r="K46" s="6"/>
      <c r="L46" s="12"/>
    </row>
    <row r="47" spans="2:12" ht="23.25" customHeight="1">
      <c r="B47" s="11"/>
      <c r="C47" s="1"/>
      <c r="D47" s="1" t="s">
        <v>0</v>
      </c>
      <c r="E47" s="1" t="s">
        <v>0</v>
      </c>
      <c r="F47" s="3" t="s">
        <v>31</v>
      </c>
      <c r="G47" s="6"/>
      <c r="H47" s="6"/>
      <c r="I47" s="6"/>
      <c r="J47" s="6"/>
      <c r="K47" s="6"/>
      <c r="L47" s="12"/>
    </row>
    <row r="48" spans="2:12">
      <c r="B48" s="11" t="s">
        <v>207</v>
      </c>
      <c r="C48" s="1" t="s">
        <v>86</v>
      </c>
      <c r="D48" s="1" t="s">
        <v>0</v>
      </c>
      <c r="E48" s="1" t="s">
        <v>0</v>
      </c>
      <c r="F48" s="4" t="s">
        <v>214</v>
      </c>
      <c r="G48" s="6"/>
      <c r="H48" s="6"/>
      <c r="I48" s="6"/>
      <c r="J48" s="6"/>
      <c r="K48" s="6"/>
      <c r="L48" s="12"/>
    </row>
    <row r="49" spans="1:12">
      <c r="B49" s="11"/>
      <c r="C49" s="1"/>
      <c r="D49" s="1"/>
      <c r="E49" s="1"/>
      <c r="F49" s="3"/>
      <c r="G49" s="6"/>
      <c r="H49" s="6"/>
      <c r="I49" s="6"/>
      <c r="J49" s="6"/>
      <c r="K49" s="6"/>
      <c r="L49" s="12"/>
    </row>
    <row r="50" spans="1:12" ht="29.25" customHeight="1">
      <c r="B50" s="11"/>
      <c r="C50" s="1"/>
      <c r="D50" s="1"/>
      <c r="E50" s="1"/>
      <c r="F50" s="56" t="s">
        <v>209</v>
      </c>
      <c r="G50" s="6"/>
      <c r="H50" s="6"/>
      <c r="I50" s="6"/>
      <c r="J50" s="6"/>
      <c r="K50" s="6"/>
      <c r="L50" s="12"/>
    </row>
    <row r="51" spans="1:12" ht="15" customHeight="1">
      <c r="B51" s="11"/>
      <c r="C51" s="1"/>
      <c r="D51" s="1"/>
      <c r="E51" s="1"/>
      <c r="F51" s="3"/>
      <c r="G51" s="6"/>
      <c r="H51" s="6"/>
      <c r="I51" s="6"/>
      <c r="J51" s="6"/>
      <c r="K51" s="6"/>
      <c r="L51" s="12"/>
    </row>
    <row r="52" spans="1:12" ht="24" customHeight="1">
      <c r="B52" s="11"/>
      <c r="C52" s="1"/>
      <c r="D52" s="1" t="s">
        <v>0</v>
      </c>
      <c r="E52" s="1" t="s">
        <v>0</v>
      </c>
      <c r="F52" s="3" t="s">
        <v>35</v>
      </c>
      <c r="G52" s="6"/>
      <c r="H52" s="6"/>
      <c r="I52" s="6"/>
      <c r="J52" s="6"/>
      <c r="K52" s="6"/>
      <c r="L52" s="12"/>
    </row>
    <row r="53" spans="1:12" ht="15" customHeight="1">
      <c r="B53" s="11" t="s">
        <v>207</v>
      </c>
      <c r="C53" s="1" t="s">
        <v>87</v>
      </c>
      <c r="D53" s="1" t="s">
        <v>0</v>
      </c>
      <c r="E53" s="1" t="s">
        <v>0</v>
      </c>
      <c r="F53" s="4" t="s">
        <v>215</v>
      </c>
      <c r="G53" s="6"/>
      <c r="H53" s="6"/>
      <c r="I53" s="6"/>
      <c r="J53" s="6"/>
      <c r="K53" s="6"/>
      <c r="L53" s="12"/>
    </row>
    <row r="54" spans="1:12" ht="24">
      <c r="B54" s="11"/>
      <c r="C54" s="1"/>
      <c r="D54" s="1"/>
      <c r="E54" s="1"/>
      <c r="F54" s="3"/>
      <c r="G54" s="6"/>
      <c r="H54" s="74" t="s">
        <v>67</v>
      </c>
      <c r="I54" s="74" t="s">
        <v>68</v>
      </c>
      <c r="J54" s="6"/>
      <c r="K54" s="6"/>
      <c r="L54" s="12"/>
    </row>
    <row r="55" spans="1:12" ht="30.75" customHeight="1">
      <c r="A55" t="s">
        <v>66</v>
      </c>
      <c r="B55" s="11" t="s">
        <v>207</v>
      </c>
      <c r="C55" s="1" t="s">
        <v>88</v>
      </c>
      <c r="D55" s="1" t="s">
        <v>0</v>
      </c>
      <c r="E55" s="1" t="s">
        <v>0</v>
      </c>
      <c r="F55" s="3" t="s">
        <v>36</v>
      </c>
      <c r="G55" s="6"/>
      <c r="H55" s="72">
        <v>20</v>
      </c>
      <c r="I55" s="72">
        <v>20</v>
      </c>
      <c r="J55" s="6"/>
      <c r="K55" s="6"/>
      <c r="L55" s="12"/>
    </row>
    <row r="56" spans="1:12" ht="30.75" customHeight="1">
      <c r="B56" s="11"/>
      <c r="C56" s="1"/>
      <c r="D56" s="1"/>
      <c r="E56" s="1"/>
      <c r="F56" s="3"/>
      <c r="G56" s="3"/>
      <c r="H56" s="3"/>
      <c r="I56" s="3"/>
      <c r="J56" s="3"/>
      <c r="K56" s="3"/>
      <c r="L56" s="12"/>
    </row>
    <row r="57" spans="1:12" ht="30.75" customHeight="1">
      <c r="B57" s="11"/>
      <c r="C57" s="1"/>
      <c r="D57" s="1"/>
      <c r="E57" s="1"/>
      <c r="F57" s="3"/>
      <c r="G57" s="6"/>
      <c r="H57" s="74" t="s">
        <v>69</v>
      </c>
      <c r="I57" s="74" t="s">
        <v>70</v>
      </c>
      <c r="J57" s="74" t="s">
        <v>71</v>
      </c>
      <c r="K57" s="74" t="s">
        <v>72</v>
      </c>
      <c r="L57" s="12"/>
    </row>
    <row r="58" spans="1:12" ht="22.5">
      <c r="B58" s="11" t="s">
        <v>207</v>
      </c>
      <c r="C58" s="1" t="s">
        <v>89</v>
      </c>
      <c r="D58" s="1" t="s">
        <v>0</v>
      </c>
      <c r="E58" s="1" t="s">
        <v>0</v>
      </c>
      <c r="F58" s="3" t="s">
        <v>186</v>
      </c>
      <c r="G58" s="6"/>
      <c r="H58" s="72">
        <v>10</v>
      </c>
      <c r="I58" s="72">
        <v>20</v>
      </c>
      <c r="J58" s="72"/>
      <c r="K58" s="72"/>
      <c r="L58" s="12"/>
    </row>
    <row r="59" spans="1:12" ht="23.25" customHeight="1">
      <c r="B59" s="11" t="s">
        <v>207</v>
      </c>
      <c r="C59" s="1" t="s">
        <v>90</v>
      </c>
      <c r="D59" s="1" t="s">
        <v>0</v>
      </c>
      <c r="E59" s="1" t="s">
        <v>0</v>
      </c>
      <c r="F59" s="3" t="s">
        <v>37</v>
      </c>
      <c r="G59" s="6"/>
      <c r="H59" s="72">
        <v>10</v>
      </c>
      <c r="I59" s="72">
        <v>20</v>
      </c>
      <c r="J59" s="72"/>
      <c r="K59" s="72"/>
      <c r="L59" s="12"/>
    </row>
    <row r="60" spans="1:12" ht="32.25" customHeight="1">
      <c r="B60" s="11" t="s">
        <v>207</v>
      </c>
      <c r="C60" s="1" t="s">
        <v>91</v>
      </c>
      <c r="D60" s="1" t="s">
        <v>0</v>
      </c>
      <c r="E60" s="1" t="s">
        <v>0</v>
      </c>
      <c r="F60" s="3" t="s">
        <v>38</v>
      </c>
      <c r="G60" s="6"/>
      <c r="H60" s="72">
        <v>10</v>
      </c>
      <c r="I60" s="72">
        <v>20</v>
      </c>
      <c r="J60" s="72"/>
      <c r="K60" s="72"/>
      <c r="L60" s="12"/>
    </row>
    <row r="61" spans="1:12" ht="30" customHeight="1">
      <c r="B61" s="11" t="s">
        <v>207</v>
      </c>
      <c r="C61" s="1" t="s">
        <v>92</v>
      </c>
      <c r="D61" s="1" t="s">
        <v>0</v>
      </c>
      <c r="E61" s="1" t="s">
        <v>0</v>
      </c>
      <c r="F61" s="3" t="s">
        <v>39</v>
      </c>
      <c r="G61" s="6"/>
      <c r="H61" s="72">
        <v>10</v>
      </c>
      <c r="I61" s="72">
        <v>20</v>
      </c>
      <c r="J61" s="72"/>
      <c r="K61" s="72"/>
      <c r="L61" s="12"/>
    </row>
    <row r="62" spans="1:12" ht="30" customHeight="1">
      <c r="B62" s="11"/>
      <c r="C62" s="1"/>
      <c r="D62" s="1"/>
      <c r="E62" s="1"/>
      <c r="F62" s="3"/>
      <c r="G62" s="3"/>
      <c r="H62" s="3"/>
      <c r="I62" s="3"/>
      <c r="J62" s="3"/>
      <c r="K62" s="3"/>
      <c r="L62" s="12"/>
    </row>
    <row r="63" spans="1:12" ht="30" customHeight="1">
      <c r="B63" s="11"/>
      <c r="C63" s="1"/>
      <c r="D63" s="1"/>
      <c r="E63" s="1"/>
      <c r="F63" s="3"/>
      <c r="G63" s="6"/>
      <c r="H63" s="74" t="s">
        <v>67</v>
      </c>
      <c r="I63" s="74" t="s">
        <v>68</v>
      </c>
      <c r="J63" s="6"/>
      <c r="K63" s="6"/>
      <c r="L63" s="12"/>
    </row>
    <row r="64" spans="1:12" ht="30.75" customHeight="1">
      <c r="B64" s="11" t="s">
        <v>207</v>
      </c>
      <c r="C64" s="1" t="s">
        <v>88</v>
      </c>
      <c r="D64" s="1" t="s">
        <v>0</v>
      </c>
      <c r="E64" s="1" t="s">
        <v>0</v>
      </c>
      <c r="F64" s="3" t="s">
        <v>36</v>
      </c>
      <c r="G64" s="6"/>
      <c r="H64" s="72">
        <v>10</v>
      </c>
      <c r="I64" s="72">
        <v>20</v>
      </c>
      <c r="J64" s="6"/>
      <c r="K64" s="6"/>
      <c r="L64" s="12"/>
    </row>
    <row r="65" spans="1:12" ht="25.5" customHeight="1">
      <c r="B65" s="11" t="s">
        <v>207</v>
      </c>
      <c r="C65" s="1" t="s">
        <v>93</v>
      </c>
      <c r="D65" s="1" t="s">
        <v>0</v>
      </c>
      <c r="E65" s="1" t="s">
        <v>0</v>
      </c>
      <c r="F65" s="3" t="s">
        <v>40</v>
      </c>
      <c r="G65" s="6"/>
      <c r="H65" s="72">
        <v>20</v>
      </c>
      <c r="I65" s="72">
        <v>20</v>
      </c>
      <c r="J65" s="6"/>
      <c r="K65" s="6"/>
      <c r="L65" s="12"/>
    </row>
    <row r="66" spans="1:12" ht="29.25" customHeight="1">
      <c r="A66" t="s">
        <v>66</v>
      </c>
      <c r="B66" s="11" t="s">
        <v>207</v>
      </c>
      <c r="C66" s="1" t="s">
        <v>164</v>
      </c>
      <c r="D66" s="1" t="s">
        <v>0</v>
      </c>
      <c r="E66" s="1" t="s">
        <v>0</v>
      </c>
      <c r="F66" s="3" t="s">
        <v>41</v>
      </c>
      <c r="G66" s="6"/>
      <c r="H66" s="72">
        <v>20</v>
      </c>
      <c r="I66" s="72">
        <v>20</v>
      </c>
      <c r="J66" s="6"/>
      <c r="K66" s="6"/>
      <c r="L66" s="12"/>
    </row>
    <row r="67" spans="1:12" ht="29.25" customHeight="1">
      <c r="B67" s="11"/>
      <c r="C67" s="1"/>
      <c r="D67" s="1"/>
      <c r="E67" s="1"/>
      <c r="F67" s="3"/>
      <c r="G67" s="3"/>
      <c r="H67" s="3"/>
      <c r="I67" s="3"/>
      <c r="J67" s="3"/>
      <c r="K67" s="3"/>
      <c r="L67" s="12"/>
    </row>
    <row r="68" spans="1:12" ht="29.25" customHeight="1">
      <c r="B68" s="11"/>
      <c r="C68" s="1"/>
      <c r="D68" s="1"/>
      <c r="E68" s="1"/>
      <c r="F68" s="3"/>
      <c r="G68" s="6"/>
      <c r="H68" s="74" t="s">
        <v>69</v>
      </c>
      <c r="I68" s="74" t="s">
        <v>70</v>
      </c>
      <c r="J68" s="74" t="s">
        <v>71</v>
      </c>
      <c r="K68" s="74" t="s">
        <v>72</v>
      </c>
      <c r="L68" s="12"/>
    </row>
    <row r="69" spans="1:12" ht="27.75" customHeight="1">
      <c r="B69" s="11" t="s">
        <v>207</v>
      </c>
      <c r="C69" s="1" t="s">
        <v>165</v>
      </c>
      <c r="D69" s="1" t="s">
        <v>0</v>
      </c>
      <c r="E69" s="1"/>
      <c r="F69" s="3" t="s">
        <v>189</v>
      </c>
      <c r="G69" s="6"/>
      <c r="H69" s="72">
        <v>10</v>
      </c>
      <c r="I69" s="72">
        <v>20</v>
      </c>
      <c r="J69" s="78"/>
      <c r="K69" s="78"/>
      <c r="L69" s="12"/>
    </row>
    <row r="70" spans="1:12" ht="27.75" customHeight="1">
      <c r="B70" s="11" t="s">
        <v>207</v>
      </c>
      <c r="C70" s="1" t="s">
        <v>166</v>
      </c>
      <c r="D70" s="1" t="s">
        <v>0</v>
      </c>
      <c r="E70" s="1"/>
      <c r="F70" s="3" t="s">
        <v>190</v>
      </c>
      <c r="G70" s="6"/>
      <c r="H70" s="72">
        <v>10</v>
      </c>
      <c r="I70" s="72">
        <v>20</v>
      </c>
      <c r="J70" s="78"/>
      <c r="K70" s="78"/>
      <c r="L70" s="12"/>
    </row>
    <row r="71" spans="1:12" ht="27.75" customHeight="1">
      <c r="B71" s="11" t="s">
        <v>207</v>
      </c>
      <c r="C71" s="1" t="s">
        <v>167</v>
      </c>
      <c r="D71" s="1" t="s">
        <v>0</v>
      </c>
      <c r="E71" s="1"/>
      <c r="F71" s="3" t="s">
        <v>191</v>
      </c>
      <c r="G71" s="6"/>
      <c r="H71" s="72">
        <v>10</v>
      </c>
      <c r="I71" s="72">
        <v>20</v>
      </c>
      <c r="J71" s="78"/>
      <c r="K71" s="78"/>
      <c r="L71" s="12"/>
    </row>
    <row r="72" spans="1:12" ht="27.75" customHeight="1">
      <c r="B72" s="11"/>
      <c r="C72" s="1"/>
      <c r="D72" s="1"/>
      <c r="E72" s="1"/>
      <c r="F72" s="3"/>
      <c r="G72" s="3"/>
      <c r="H72" s="3"/>
      <c r="I72" s="3"/>
      <c r="J72" s="3"/>
      <c r="K72" s="3"/>
      <c r="L72" s="12"/>
    </row>
    <row r="73" spans="1:12" ht="27.75" customHeight="1">
      <c r="B73" s="11"/>
      <c r="C73" s="1"/>
      <c r="D73" s="1"/>
      <c r="E73" s="1"/>
      <c r="F73" s="3"/>
      <c r="G73" s="3"/>
      <c r="H73" s="74" t="s">
        <v>67</v>
      </c>
      <c r="I73" s="74" t="s">
        <v>68</v>
      </c>
      <c r="J73" s="6"/>
      <c r="K73" s="6"/>
      <c r="L73" s="12"/>
    </row>
    <row r="74" spans="1:12" ht="27.75" customHeight="1">
      <c r="B74" s="11" t="s">
        <v>207</v>
      </c>
      <c r="C74" s="1" t="s">
        <v>168</v>
      </c>
      <c r="D74" s="1" t="s">
        <v>0</v>
      </c>
      <c r="E74" s="1"/>
      <c r="F74" s="3" t="s">
        <v>192</v>
      </c>
      <c r="G74" s="6"/>
      <c r="H74" s="72">
        <v>10</v>
      </c>
      <c r="I74" s="72">
        <v>20</v>
      </c>
      <c r="J74" s="6"/>
      <c r="K74" s="6"/>
      <c r="L74" s="12"/>
    </row>
    <row r="75" spans="1:12" ht="27.75" customHeight="1">
      <c r="B75" s="11" t="s">
        <v>207</v>
      </c>
      <c r="C75" s="1" t="s">
        <v>164</v>
      </c>
      <c r="D75" s="1" t="s">
        <v>0</v>
      </c>
      <c r="E75" s="1"/>
      <c r="F75" s="3" t="s">
        <v>193</v>
      </c>
      <c r="G75" s="6"/>
      <c r="H75" s="72">
        <v>20</v>
      </c>
      <c r="I75" s="72">
        <v>20</v>
      </c>
      <c r="J75" s="6"/>
      <c r="K75" s="6"/>
      <c r="L75" s="12"/>
    </row>
    <row r="76" spans="1:12" ht="24.75" customHeight="1">
      <c r="B76" s="11" t="s">
        <v>207</v>
      </c>
      <c r="C76" s="1" t="s">
        <v>169</v>
      </c>
      <c r="D76" s="1" t="s">
        <v>0</v>
      </c>
      <c r="E76" s="1"/>
      <c r="F76" s="3" t="s">
        <v>194</v>
      </c>
      <c r="G76" s="6"/>
      <c r="H76" s="72">
        <v>10</v>
      </c>
      <c r="I76" s="72">
        <v>1000</v>
      </c>
      <c r="J76" s="6"/>
      <c r="K76" s="6"/>
      <c r="L76" s="12"/>
    </row>
    <row r="77" spans="1:12" ht="15" customHeight="1">
      <c r="B77" s="11" t="s">
        <v>0</v>
      </c>
      <c r="C77" s="1" t="s">
        <v>0</v>
      </c>
      <c r="D77" s="1" t="s">
        <v>0</v>
      </c>
      <c r="E77" s="1" t="s">
        <v>0</v>
      </c>
      <c r="F77" s="3"/>
      <c r="G77" s="6"/>
      <c r="H77" s="6"/>
      <c r="I77" s="6"/>
      <c r="J77" s="6"/>
      <c r="K77" s="6"/>
      <c r="L77" s="12"/>
    </row>
    <row r="78" spans="1:12" ht="24" customHeight="1">
      <c r="B78" s="11"/>
      <c r="C78" s="1"/>
      <c r="D78" s="1" t="s">
        <v>0</v>
      </c>
      <c r="E78" s="1" t="s">
        <v>0</v>
      </c>
      <c r="F78" s="3" t="s">
        <v>197</v>
      </c>
      <c r="G78" s="6"/>
      <c r="H78" s="6"/>
      <c r="I78" s="6"/>
      <c r="J78" s="6"/>
      <c r="K78" s="6"/>
      <c r="L78" s="12"/>
    </row>
    <row r="79" spans="1:12" ht="15" customHeight="1">
      <c r="B79" s="11" t="s">
        <v>207</v>
      </c>
      <c r="C79" s="1" t="s">
        <v>94</v>
      </c>
      <c r="D79" s="1" t="s">
        <v>0</v>
      </c>
      <c r="E79" s="1" t="s">
        <v>0</v>
      </c>
      <c r="F79" s="4" t="s">
        <v>216</v>
      </c>
      <c r="G79" s="6"/>
      <c r="H79" s="6"/>
      <c r="I79" s="6"/>
      <c r="J79" s="6"/>
      <c r="K79" s="6"/>
      <c r="L79" s="12"/>
    </row>
    <row r="80" spans="1:12" ht="15" customHeight="1">
      <c r="B80" s="11" t="s">
        <v>0</v>
      </c>
      <c r="C80" s="1"/>
      <c r="D80" s="1" t="s">
        <v>0</v>
      </c>
      <c r="E80" s="1" t="s">
        <v>0</v>
      </c>
      <c r="F80" s="3"/>
      <c r="G80" s="6"/>
      <c r="H80" s="6"/>
      <c r="I80" s="6"/>
      <c r="J80" s="6"/>
      <c r="K80" s="6"/>
      <c r="L80" s="12"/>
    </row>
    <row r="81" spans="2:12" ht="27.75" customHeight="1">
      <c r="B81" s="11"/>
      <c r="C81" s="1"/>
      <c r="D81" s="1" t="s">
        <v>0</v>
      </c>
      <c r="E81" s="1" t="s">
        <v>0</v>
      </c>
      <c r="F81" s="3" t="s">
        <v>42</v>
      </c>
      <c r="G81" s="6"/>
      <c r="H81" s="6"/>
      <c r="I81" s="6"/>
      <c r="J81" s="6"/>
      <c r="K81" s="6"/>
      <c r="L81" s="12"/>
    </row>
    <row r="82" spans="2:12" ht="15" customHeight="1">
      <c r="B82" s="11" t="s">
        <v>207</v>
      </c>
      <c r="C82" s="1" t="s">
        <v>95</v>
      </c>
      <c r="D82" s="1" t="s">
        <v>0</v>
      </c>
      <c r="E82" s="1" t="s">
        <v>0</v>
      </c>
      <c r="F82" s="4" t="s">
        <v>217</v>
      </c>
      <c r="G82" s="6"/>
      <c r="H82" s="6"/>
      <c r="I82" s="6"/>
      <c r="J82" s="6"/>
      <c r="K82" s="6"/>
      <c r="L82" s="12"/>
    </row>
    <row r="83" spans="2:12" ht="24">
      <c r="B83" s="11"/>
      <c r="C83" s="1"/>
      <c r="D83" s="1"/>
      <c r="E83" s="1"/>
      <c r="F83" s="3"/>
      <c r="G83" s="6"/>
      <c r="H83" s="74" t="s">
        <v>67</v>
      </c>
      <c r="I83" s="74" t="s">
        <v>68</v>
      </c>
      <c r="J83" s="6"/>
      <c r="K83" s="6"/>
      <c r="L83" s="12"/>
    </row>
    <row r="84" spans="2:12" ht="29.25" customHeight="1">
      <c r="B84" s="11" t="s">
        <v>207</v>
      </c>
      <c r="C84" s="1" t="s">
        <v>96</v>
      </c>
      <c r="D84" s="1" t="s">
        <v>0</v>
      </c>
      <c r="E84" s="1" t="s">
        <v>0</v>
      </c>
      <c r="F84" s="3" t="s">
        <v>43</v>
      </c>
      <c r="G84" s="6"/>
      <c r="H84" s="7">
        <v>3000</v>
      </c>
      <c r="I84" s="7">
        <v>4000</v>
      </c>
      <c r="J84" s="6"/>
      <c r="K84" s="6"/>
      <c r="L84" s="12"/>
    </row>
    <row r="85" spans="2:12" ht="15" customHeight="1">
      <c r="B85" s="11" t="s">
        <v>0</v>
      </c>
      <c r="C85" s="1"/>
      <c r="D85" s="1" t="s">
        <v>0</v>
      </c>
      <c r="E85" s="1" t="s">
        <v>0</v>
      </c>
      <c r="F85" s="3"/>
      <c r="G85" s="6"/>
      <c r="H85" s="6"/>
      <c r="I85" s="6"/>
      <c r="J85" s="6"/>
      <c r="K85" s="6"/>
      <c r="L85" s="12"/>
    </row>
    <row r="86" spans="2:12" ht="15" customHeight="1">
      <c r="B86" s="11"/>
      <c r="C86" s="1"/>
      <c r="D86" s="1" t="s">
        <v>0</v>
      </c>
      <c r="E86" s="1" t="s">
        <v>0</v>
      </c>
      <c r="F86" s="3" t="s">
        <v>44</v>
      </c>
      <c r="G86" s="6"/>
      <c r="H86" s="6"/>
      <c r="I86" s="6"/>
      <c r="J86" s="6"/>
      <c r="K86" s="6"/>
      <c r="L86" s="12"/>
    </row>
    <row r="87" spans="2:12" ht="15" customHeight="1">
      <c r="B87" s="11" t="s">
        <v>207</v>
      </c>
      <c r="C87" s="1" t="s">
        <v>97</v>
      </c>
      <c r="D87" s="1" t="s">
        <v>0</v>
      </c>
      <c r="E87" s="1" t="s">
        <v>0</v>
      </c>
      <c r="F87" s="4" t="s">
        <v>218</v>
      </c>
      <c r="G87" s="6"/>
      <c r="H87" s="6"/>
      <c r="I87" s="6"/>
      <c r="J87" s="6"/>
      <c r="K87" s="6"/>
      <c r="L87" s="12"/>
    </row>
    <row r="88" spans="2:12" ht="15" customHeight="1">
      <c r="B88" s="11" t="s">
        <v>0</v>
      </c>
      <c r="C88" s="1" t="s">
        <v>0</v>
      </c>
      <c r="D88" s="1" t="s">
        <v>0</v>
      </c>
      <c r="E88" s="1" t="s">
        <v>0</v>
      </c>
      <c r="F88" s="3"/>
      <c r="G88" s="6"/>
      <c r="H88" s="6"/>
      <c r="I88" s="6"/>
      <c r="J88" s="6"/>
      <c r="K88" s="6"/>
      <c r="L88" s="12"/>
    </row>
    <row r="89" spans="2:12" ht="15" customHeight="1">
      <c r="B89" s="11"/>
      <c r="C89" s="1"/>
      <c r="D89" s="1" t="s">
        <v>0</v>
      </c>
      <c r="E89" s="1" t="s">
        <v>0</v>
      </c>
      <c r="F89" s="3" t="s">
        <v>45</v>
      </c>
      <c r="G89" s="6"/>
      <c r="H89" s="6"/>
      <c r="I89" s="6"/>
      <c r="J89" s="6"/>
      <c r="K89" s="6"/>
      <c r="L89" s="12"/>
    </row>
    <row r="90" spans="2:12" ht="15" customHeight="1">
      <c r="B90" s="11" t="s">
        <v>207</v>
      </c>
      <c r="C90" s="1" t="s">
        <v>98</v>
      </c>
      <c r="D90" s="1" t="s">
        <v>0</v>
      </c>
      <c r="E90" s="1" t="s">
        <v>0</v>
      </c>
      <c r="F90" s="4" t="s">
        <v>219</v>
      </c>
      <c r="G90" s="6"/>
      <c r="H90" s="6"/>
      <c r="I90" s="6"/>
      <c r="J90" s="6"/>
      <c r="K90" s="6"/>
      <c r="L90" s="12"/>
    </row>
    <row r="91" spans="2:12" ht="15" customHeight="1">
      <c r="B91" s="11" t="s">
        <v>0</v>
      </c>
      <c r="C91" s="1" t="s">
        <v>0</v>
      </c>
      <c r="D91" s="1" t="s">
        <v>0</v>
      </c>
      <c r="E91" s="1" t="s">
        <v>0</v>
      </c>
      <c r="F91" s="3"/>
      <c r="G91" s="6"/>
      <c r="H91" s="6"/>
      <c r="I91" s="6"/>
      <c r="J91" s="6"/>
      <c r="K91" s="6"/>
      <c r="L91" s="12"/>
    </row>
    <row r="92" spans="2:12" ht="29.25" customHeight="1">
      <c r="B92" s="11"/>
      <c r="C92" s="1"/>
      <c r="D92" s="1" t="s">
        <v>0</v>
      </c>
      <c r="E92" s="1" t="s">
        <v>0</v>
      </c>
      <c r="F92" s="3" t="s">
        <v>170</v>
      </c>
      <c r="G92" s="6"/>
      <c r="H92" s="6"/>
      <c r="I92" s="6"/>
      <c r="J92" s="6"/>
      <c r="K92" s="6"/>
      <c r="L92" s="12"/>
    </row>
    <row r="93" spans="2:12" ht="15" customHeight="1">
      <c r="B93" s="11" t="s">
        <v>207</v>
      </c>
      <c r="C93" s="1" t="s">
        <v>99</v>
      </c>
      <c r="D93" s="1" t="s">
        <v>0</v>
      </c>
      <c r="E93" s="1" t="s">
        <v>0</v>
      </c>
      <c r="F93" s="4" t="s">
        <v>220</v>
      </c>
      <c r="G93" s="6"/>
      <c r="H93" s="6"/>
      <c r="I93" s="6"/>
      <c r="J93" s="6"/>
      <c r="K93" s="6"/>
      <c r="L93" s="12"/>
    </row>
    <row r="94" spans="2:12" ht="24">
      <c r="B94" s="11"/>
      <c r="C94" s="1"/>
      <c r="D94" s="1"/>
      <c r="E94" s="1"/>
      <c r="F94" s="3"/>
      <c r="G94" s="6"/>
      <c r="H94" s="74" t="s">
        <v>69</v>
      </c>
      <c r="I94" s="74" t="s">
        <v>70</v>
      </c>
      <c r="J94" s="74" t="s">
        <v>71</v>
      </c>
      <c r="K94" s="74" t="s">
        <v>72</v>
      </c>
      <c r="L94" s="12"/>
    </row>
    <row r="95" spans="2:12" ht="15" customHeight="1">
      <c r="B95" s="11" t="s">
        <v>207</v>
      </c>
      <c r="C95" s="1" t="s">
        <v>171</v>
      </c>
      <c r="D95" s="1" t="s">
        <v>0</v>
      </c>
      <c r="E95" s="1"/>
      <c r="F95" s="3" t="s">
        <v>195</v>
      </c>
      <c r="G95" s="6"/>
      <c r="H95" s="72">
        <v>1000</v>
      </c>
      <c r="I95" s="72">
        <v>3000</v>
      </c>
      <c r="J95" s="78"/>
      <c r="K95" s="78"/>
      <c r="L95" s="12"/>
    </row>
    <row r="96" spans="2:12" ht="15" customHeight="1">
      <c r="B96" s="11" t="s">
        <v>207</v>
      </c>
      <c r="C96" s="1" t="s">
        <v>172</v>
      </c>
      <c r="D96" s="1" t="s">
        <v>0</v>
      </c>
      <c r="E96" s="1"/>
      <c r="F96" s="3" t="s">
        <v>196</v>
      </c>
      <c r="G96" s="6"/>
      <c r="H96" s="72">
        <v>2000</v>
      </c>
      <c r="I96" s="72">
        <v>4000</v>
      </c>
      <c r="J96" s="78"/>
      <c r="K96" s="78"/>
      <c r="L96" s="12"/>
    </row>
    <row r="97" spans="2:12" ht="15" customHeight="1">
      <c r="B97" s="11" t="s">
        <v>207</v>
      </c>
      <c r="C97" s="1" t="s">
        <v>100</v>
      </c>
      <c r="D97" s="1" t="s">
        <v>0</v>
      </c>
      <c r="E97" s="1" t="s">
        <v>0</v>
      </c>
      <c r="F97" s="77" t="s">
        <v>173</v>
      </c>
      <c r="G97" s="6"/>
      <c r="H97" s="72">
        <v>0.1</v>
      </c>
      <c r="I97" s="72">
        <v>0.2</v>
      </c>
      <c r="J97" s="78"/>
      <c r="K97" s="78"/>
      <c r="L97" s="12"/>
    </row>
    <row r="98" spans="2:12" ht="15" customHeight="1">
      <c r="B98" s="11" t="s">
        <v>207</v>
      </c>
      <c r="C98" s="1" t="s">
        <v>101</v>
      </c>
      <c r="D98" s="1" t="s">
        <v>0</v>
      </c>
      <c r="E98" s="1" t="s">
        <v>0</v>
      </c>
      <c r="F98" s="77" t="s">
        <v>174</v>
      </c>
      <c r="G98" s="6"/>
      <c r="H98" s="72">
        <v>10</v>
      </c>
      <c r="I98" s="72">
        <v>30</v>
      </c>
      <c r="J98" s="78"/>
      <c r="K98" s="78"/>
      <c r="L98" s="12"/>
    </row>
    <row r="99" spans="2:12" ht="15" customHeight="1">
      <c r="B99" s="11" t="s">
        <v>207</v>
      </c>
      <c r="C99" s="1" t="s">
        <v>102</v>
      </c>
      <c r="D99" s="1" t="s">
        <v>0</v>
      </c>
      <c r="E99" s="1" t="s">
        <v>0</v>
      </c>
      <c r="F99" s="77" t="s">
        <v>175</v>
      </c>
      <c r="G99" s="6"/>
      <c r="H99" s="72">
        <v>1000</v>
      </c>
      <c r="I99" s="72">
        <v>3000</v>
      </c>
      <c r="J99" s="7"/>
      <c r="K99" s="7"/>
      <c r="L99" s="12"/>
    </row>
    <row r="100" spans="2:12" ht="15" customHeight="1">
      <c r="B100" s="11" t="s">
        <v>207</v>
      </c>
      <c r="C100" s="1" t="s">
        <v>103</v>
      </c>
      <c r="D100" s="1" t="s">
        <v>0</v>
      </c>
      <c r="E100" s="1" t="s">
        <v>0</v>
      </c>
      <c r="F100" s="77" t="s">
        <v>176</v>
      </c>
      <c r="G100" s="6"/>
      <c r="H100" s="72">
        <v>0.3</v>
      </c>
      <c r="I100" s="72">
        <v>0.4</v>
      </c>
      <c r="J100" s="78"/>
      <c r="K100" s="78"/>
      <c r="L100" s="12"/>
    </row>
    <row r="101" spans="2:12" ht="22.5">
      <c r="B101" s="11" t="s">
        <v>207</v>
      </c>
      <c r="C101" s="1" t="s">
        <v>104</v>
      </c>
      <c r="D101" s="1" t="s">
        <v>0</v>
      </c>
      <c r="E101" s="1" t="s">
        <v>0</v>
      </c>
      <c r="F101" s="77" t="s">
        <v>177</v>
      </c>
      <c r="G101" s="6"/>
      <c r="H101" s="72">
        <v>0.5</v>
      </c>
      <c r="I101" s="72">
        <v>0.6</v>
      </c>
      <c r="J101" s="78"/>
      <c r="K101" s="78"/>
      <c r="L101" s="12"/>
    </row>
    <row r="102" spans="2:12" ht="15" customHeight="1">
      <c r="B102" s="11" t="s">
        <v>0</v>
      </c>
      <c r="C102" s="1" t="s">
        <v>0</v>
      </c>
      <c r="D102" s="1" t="s">
        <v>0</v>
      </c>
      <c r="E102" s="1" t="s">
        <v>0</v>
      </c>
      <c r="F102" s="3"/>
      <c r="G102" s="6"/>
      <c r="H102" s="6"/>
      <c r="I102" s="6"/>
      <c r="J102" s="6"/>
      <c r="K102" s="6"/>
      <c r="L102" s="12"/>
    </row>
    <row r="103" spans="2:12" ht="27" customHeight="1">
      <c r="B103" s="11"/>
      <c r="C103" s="1"/>
      <c r="D103" s="1" t="s">
        <v>0</v>
      </c>
      <c r="E103" s="1" t="s">
        <v>0</v>
      </c>
      <c r="F103" s="3" t="s">
        <v>46</v>
      </c>
      <c r="G103" s="6"/>
      <c r="H103" s="6"/>
      <c r="I103" s="6"/>
      <c r="J103" s="6"/>
      <c r="K103" s="6"/>
      <c r="L103" s="12"/>
    </row>
    <row r="104" spans="2:12" ht="15" customHeight="1">
      <c r="B104" s="11" t="s">
        <v>207</v>
      </c>
      <c r="C104" s="1" t="s">
        <v>105</v>
      </c>
      <c r="D104" s="1" t="s">
        <v>0</v>
      </c>
      <c r="E104" s="1" t="s">
        <v>0</v>
      </c>
      <c r="F104" s="4" t="s">
        <v>221</v>
      </c>
      <c r="G104" s="6"/>
      <c r="H104" s="6"/>
      <c r="I104" s="6"/>
      <c r="J104" s="6"/>
      <c r="K104" s="6"/>
      <c r="L104" s="12"/>
    </row>
    <row r="105" spans="2:12" ht="15" customHeight="1">
      <c r="B105" s="11" t="s">
        <v>0</v>
      </c>
      <c r="C105" s="1" t="s">
        <v>0</v>
      </c>
      <c r="D105" s="1" t="s">
        <v>0</v>
      </c>
      <c r="E105" s="1" t="s">
        <v>0</v>
      </c>
      <c r="F105" s="3"/>
      <c r="G105" s="6"/>
      <c r="H105" s="6"/>
      <c r="I105" s="6"/>
      <c r="J105" s="6"/>
      <c r="K105" s="6"/>
      <c r="L105" s="12"/>
    </row>
    <row r="106" spans="2:12" ht="29.25" customHeight="1">
      <c r="B106" s="11"/>
      <c r="C106" s="1"/>
      <c r="D106" s="1" t="s">
        <v>0</v>
      </c>
      <c r="E106" s="1" t="s">
        <v>0</v>
      </c>
      <c r="F106" s="3" t="s">
        <v>47</v>
      </c>
      <c r="G106" s="6"/>
      <c r="H106" s="6"/>
      <c r="I106" s="6"/>
      <c r="J106" s="6"/>
      <c r="K106" s="6"/>
      <c r="L106" s="12"/>
    </row>
    <row r="107" spans="2:12" ht="15" customHeight="1">
      <c r="B107" s="11" t="s">
        <v>207</v>
      </c>
      <c r="C107" s="1" t="s">
        <v>106</v>
      </c>
      <c r="D107" s="1" t="s">
        <v>0</v>
      </c>
      <c r="E107" s="1" t="s">
        <v>0</v>
      </c>
      <c r="F107" s="4" t="s">
        <v>222</v>
      </c>
      <c r="G107" s="6"/>
      <c r="H107" s="6"/>
      <c r="I107" s="6"/>
      <c r="J107" s="6"/>
      <c r="K107" s="6"/>
      <c r="L107" s="12"/>
    </row>
    <row r="108" spans="2:12" ht="15" customHeight="1">
      <c r="B108" s="11" t="s">
        <v>0</v>
      </c>
      <c r="C108" s="1" t="s">
        <v>0</v>
      </c>
      <c r="D108" s="1" t="s">
        <v>0</v>
      </c>
      <c r="E108" s="1" t="s">
        <v>0</v>
      </c>
      <c r="F108" s="3"/>
      <c r="G108" s="6"/>
      <c r="H108" s="6"/>
      <c r="I108" s="6"/>
      <c r="J108" s="6"/>
      <c r="K108" s="6"/>
      <c r="L108" s="12"/>
    </row>
    <row r="109" spans="2:12" ht="28.5" customHeight="1">
      <c r="B109" s="11"/>
      <c r="C109" s="1"/>
      <c r="D109" s="1" t="s">
        <v>0</v>
      </c>
      <c r="E109" s="1" t="s">
        <v>0</v>
      </c>
      <c r="F109" s="3" t="s">
        <v>48</v>
      </c>
      <c r="G109" s="6"/>
      <c r="H109" s="6"/>
      <c r="I109" s="6"/>
      <c r="J109" s="6"/>
      <c r="K109" s="6"/>
      <c r="L109" s="12"/>
    </row>
    <row r="110" spans="2:12" ht="15" customHeight="1">
      <c r="B110" s="11" t="s">
        <v>207</v>
      </c>
      <c r="C110" s="1" t="s">
        <v>107</v>
      </c>
      <c r="D110" s="1" t="s">
        <v>0</v>
      </c>
      <c r="E110" s="1" t="s">
        <v>0</v>
      </c>
      <c r="F110" s="4" t="s">
        <v>223</v>
      </c>
      <c r="G110" s="6"/>
      <c r="H110" s="6"/>
      <c r="I110" s="6"/>
      <c r="J110" s="6"/>
      <c r="K110" s="6"/>
      <c r="L110" s="12"/>
    </row>
    <row r="111" spans="2:12" ht="15" customHeight="1">
      <c r="B111" s="11" t="s">
        <v>0</v>
      </c>
      <c r="C111" s="1" t="s">
        <v>0</v>
      </c>
      <c r="D111" s="1" t="s">
        <v>0</v>
      </c>
      <c r="E111" s="1" t="s">
        <v>0</v>
      </c>
      <c r="F111" s="3"/>
      <c r="G111" s="6"/>
      <c r="H111" s="6"/>
      <c r="I111" s="6"/>
      <c r="J111" s="6"/>
      <c r="K111" s="6"/>
      <c r="L111" s="12"/>
    </row>
    <row r="112" spans="2:12" ht="31.5" customHeight="1">
      <c r="B112" s="11"/>
      <c r="C112" s="1"/>
      <c r="D112" s="1" t="s">
        <v>0</v>
      </c>
      <c r="E112" s="1" t="s">
        <v>0</v>
      </c>
      <c r="F112" s="3" t="s">
        <v>49</v>
      </c>
      <c r="G112" s="6"/>
      <c r="H112" s="6"/>
      <c r="I112" s="6"/>
      <c r="J112" s="6"/>
      <c r="K112" s="6"/>
      <c r="L112" s="12"/>
    </row>
    <row r="113" spans="2:12" ht="15" customHeight="1">
      <c r="B113" s="11" t="s">
        <v>207</v>
      </c>
      <c r="C113" s="1" t="s">
        <v>108</v>
      </c>
      <c r="D113" s="1" t="s">
        <v>0</v>
      </c>
      <c r="E113" s="1" t="s">
        <v>0</v>
      </c>
      <c r="F113" s="4" t="s">
        <v>224</v>
      </c>
      <c r="G113" s="6"/>
      <c r="H113" s="6"/>
      <c r="I113" s="6"/>
      <c r="J113" s="6"/>
      <c r="K113" s="6"/>
      <c r="L113" s="12"/>
    </row>
    <row r="114" spans="2:12" ht="15" customHeight="1">
      <c r="B114" s="11" t="s">
        <v>0</v>
      </c>
      <c r="C114" s="1" t="s">
        <v>0</v>
      </c>
      <c r="D114" s="1" t="s">
        <v>0</v>
      </c>
      <c r="E114" s="1" t="s">
        <v>0</v>
      </c>
      <c r="F114" s="3"/>
      <c r="G114" s="6"/>
      <c r="H114" s="6"/>
      <c r="I114" s="6"/>
      <c r="J114" s="6"/>
      <c r="K114" s="6"/>
      <c r="L114" s="12"/>
    </row>
    <row r="115" spans="2:12" ht="30" customHeight="1">
      <c r="B115" s="11"/>
      <c r="C115" s="1"/>
      <c r="D115" s="1" t="s">
        <v>0</v>
      </c>
      <c r="E115" s="1" t="s">
        <v>0</v>
      </c>
      <c r="F115" s="3" t="s">
        <v>50</v>
      </c>
      <c r="G115" s="6"/>
      <c r="H115" s="6"/>
      <c r="I115" s="6"/>
      <c r="J115" s="6"/>
      <c r="K115" s="6"/>
      <c r="L115" s="12"/>
    </row>
    <row r="116" spans="2:12" ht="15" customHeight="1">
      <c r="B116" s="11" t="s">
        <v>207</v>
      </c>
      <c r="C116" s="1" t="s">
        <v>109</v>
      </c>
      <c r="D116" s="1" t="s">
        <v>0</v>
      </c>
      <c r="E116" s="1" t="s">
        <v>0</v>
      </c>
      <c r="F116" s="4" t="s">
        <v>225</v>
      </c>
      <c r="G116" s="6"/>
      <c r="H116" s="6"/>
      <c r="I116" s="6"/>
      <c r="J116" s="6"/>
      <c r="K116" s="6"/>
      <c r="L116" s="12"/>
    </row>
    <row r="117" spans="2:12" ht="24">
      <c r="B117" s="11"/>
      <c r="C117" s="1"/>
      <c r="D117" s="1"/>
      <c r="E117" s="1"/>
      <c r="F117" s="3"/>
      <c r="G117" s="6"/>
      <c r="H117" s="74" t="s">
        <v>69</v>
      </c>
      <c r="I117" s="74" t="s">
        <v>70</v>
      </c>
      <c r="J117" s="74" t="s">
        <v>71</v>
      </c>
      <c r="K117" s="74" t="s">
        <v>72</v>
      </c>
      <c r="L117" s="12"/>
    </row>
    <row r="118" spans="2:12" ht="22.5">
      <c r="B118" s="11" t="s">
        <v>207</v>
      </c>
      <c r="C118" s="1" t="s">
        <v>89</v>
      </c>
      <c r="D118" s="1" t="s">
        <v>0</v>
      </c>
      <c r="E118" s="1" t="s">
        <v>0</v>
      </c>
      <c r="F118" s="3" t="s">
        <v>187</v>
      </c>
      <c r="G118" s="6"/>
      <c r="H118" s="72">
        <v>10</v>
      </c>
      <c r="I118" s="72">
        <v>20</v>
      </c>
      <c r="J118" s="7"/>
      <c r="K118" s="7"/>
      <c r="L118" s="12"/>
    </row>
    <row r="119" spans="2:12" ht="24.75" customHeight="1">
      <c r="B119" s="11" t="s">
        <v>207</v>
      </c>
      <c r="C119" s="1" t="s">
        <v>110</v>
      </c>
      <c r="D119" s="1" t="s">
        <v>0</v>
      </c>
      <c r="E119" s="1" t="s">
        <v>0</v>
      </c>
      <c r="F119" s="3" t="s">
        <v>51</v>
      </c>
      <c r="G119" s="6"/>
      <c r="H119" s="7">
        <v>6000</v>
      </c>
      <c r="I119" s="7">
        <v>9000</v>
      </c>
      <c r="J119" s="6"/>
      <c r="K119" s="6"/>
      <c r="L119" s="12"/>
    </row>
    <row r="120" spans="2:12" ht="15" customHeight="1">
      <c r="B120" s="11" t="s">
        <v>0</v>
      </c>
      <c r="C120" s="1" t="s">
        <v>0</v>
      </c>
      <c r="D120" s="1" t="s">
        <v>0</v>
      </c>
      <c r="E120" s="1" t="s">
        <v>0</v>
      </c>
      <c r="F120" s="3"/>
      <c r="G120" s="6"/>
      <c r="H120" s="6"/>
      <c r="I120" s="6"/>
      <c r="J120" s="6"/>
      <c r="K120" s="6"/>
      <c r="L120" s="12"/>
    </row>
    <row r="121" spans="2:12" ht="27" customHeight="1">
      <c r="B121" s="11"/>
      <c r="C121" s="1"/>
      <c r="D121" s="1" t="s">
        <v>0</v>
      </c>
      <c r="E121" s="1" t="s">
        <v>0</v>
      </c>
      <c r="F121" s="3" t="s">
        <v>52</v>
      </c>
      <c r="G121" s="6"/>
      <c r="H121" s="6"/>
      <c r="I121" s="6"/>
      <c r="J121" s="6"/>
      <c r="K121" s="6"/>
      <c r="L121" s="12"/>
    </row>
    <row r="122" spans="2:12" ht="15" customHeight="1">
      <c r="B122" s="11" t="s">
        <v>207</v>
      </c>
      <c r="C122" s="1" t="s">
        <v>111</v>
      </c>
      <c r="D122" s="1" t="s">
        <v>0</v>
      </c>
      <c r="E122" s="1" t="s">
        <v>0</v>
      </c>
      <c r="F122" s="4" t="s">
        <v>226</v>
      </c>
      <c r="G122" s="6"/>
      <c r="H122" s="6"/>
      <c r="I122" s="6"/>
      <c r="J122" s="6"/>
      <c r="K122" s="6"/>
      <c r="L122" s="12"/>
    </row>
    <row r="123" spans="2:12" ht="15" customHeight="1">
      <c r="B123" s="11" t="s">
        <v>0</v>
      </c>
      <c r="C123" s="1" t="s">
        <v>0</v>
      </c>
      <c r="D123" s="1" t="s">
        <v>0</v>
      </c>
      <c r="E123" s="1" t="s">
        <v>0</v>
      </c>
      <c r="F123" s="3"/>
      <c r="G123" s="6"/>
      <c r="H123" s="6"/>
      <c r="I123" s="6"/>
      <c r="J123" s="6"/>
      <c r="K123" s="6"/>
      <c r="L123" s="12"/>
    </row>
    <row r="124" spans="2:12" ht="27" customHeight="1">
      <c r="B124" s="11"/>
      <c r="C124" s="1"/>
      <c r="D124" s="1" t="s">
        <v>0</v>
      </c>
      <c r="E124" s="1" t="s">
        <v>0</v>
      </c>
      <c r="F124" s="3" t="s">
        <v>53</v>
      </c>
      <c r="G124" s="6"/>
      <c r="H124" s="6"/>
      <c r="I124" s="6"/>
      <c r="J124" s="6"/>
      <c r="K124" s="6"/>
      <c r="L124" s="12"/>
    </row>
    <row r="125" spans="2:12" ht="15" customHeight="1">
      <c r="B125" s="11" t="s">
        <v>207</v>
      </c>
      <c r="C125" s="1" t="s">
        <v>112</v>
      </c>
      <c r="D125" s="1" t="s">
        <v>0</v>
      </c>
      <c r="E125" s="1" t="s">
        <v>0</v>
      </c>
      <c r="F125" s="4" t="s">
        <v>227</v>
      </c>
      <c r="G125" s="6"/>
      <c r="H125" s="6"/>
      <c r="I125" s="6"/>
      <c r="J125" s="6"/>
      <c r="K125" s="6"/>
      <c r="L125" s="12"/>
    </row>
    <row r="126" spans="2:12" ht="15" customHeight="1">
      <c r="B126" s="11" t="s">
        <v>0</v>
      </c>
      <c r="C126" s="1" t="s">
        <v>0</v>
      </c>
      <c r="D126" s="1" t="s">
        <v>0</v>
      </c>
      <c r="E126" s="1" t="s">
        <v>0</v>
      </c>
      <c r="F126" s="3"/>
      <c r="G126" s="6"/>
      <c r="H126" s="6"/>
      <c r="I126" s="6"/>
      <c r="J126" s="6"/>
      <c r="K126" s="6"/>
      <c r="L126" s="12"/>
    </row>
    <row r="127" spans="2:12" ht="24.75" customHeight="1">
      <c r="B127" s="11"/>
      <c r="C127" s="1"/>
      <c r="D127" s="1" t="s">
        <v>0</v>
      </c>
      <c r="E127" s="1" t="s">
        <v>0</v>
      </c>
      <c r="F127" s="3" t="s">
        <v>54</v>
      </c>
      <c r="G127" s="6"/>
      <c r="H127" s="6"/>
      <c r="I127" s="6"/>
      <c r="J127" s="6"/>
      <c r="K127" s="6"/>
      <c r="L127" s="12"/>
    </row>
    <row r="128" spans="2:12" ht="15" customHeight="1">
      <c r="B128" s="11" t="s">
        <v>207</v>
      </c>
      <c r="C128" s="1" t="s">
        <v>113</v>
      </c>
      <c r="D128" s="1" t="s">
        <v>0</v>
      </c>
      <c r="E128" s="1" t="s">
        <v>0</v>
      </c>
      <c r="F128" s="4" t="s">
        <v>228</v>
      </c>
      <c r="G128" s="6"/>
      <c r="H128" s="6"/>
      <c r="I128" s="6"/>
      <c r="J128" s="6"/>
      <c r="K128" s="6"/>
      <c r="L128" s="12"/>
    </row>
    <row r="129" spans="2:12" ht="15" customHeight="1">
      <c r="B129" s="11" t="s">
        <v>0</v>
      </c>
      <c r="C129" s="1" t="s">
        <v>0</v>
      </c>
      <c r="D129" s="1" t="s">
        <v>0</v>
      </c>
      <c r="E129" s="1" t="s">
        <v>0</v>
      </c>
      <c r="F129" s="3"/>
      <c r="G129" s="6"/>
      <c r="H129" s="6"/>
      <c r="I129" s="6"/>
      <c r="J129" s="6"/>
      <c r="K129" s="6"/>
      <c r="L129" s="12"/>
    </row>
    <row r="130" spans="2:12" ht="24.75" customHeight="1">
      <c r="B130" s="11"/>
      <c r="C130" s="1"/>
      <c r="D130" s="1" t="s">
        <v>0</v>
      </c>
      <c r="E130" s="1" t="s">
        <v>0</v>
      </c>
      <c r="F130" s="3" t="s">
        <v>55</v>
      </c>
      <c r="G130" s="6"/>
      <c r="H130" s="6"/>
      <c r="I130" s="6"/>
      <c r="J130" s="6"/>
      <c r="K130" s="6"/>
      <c r="L130" s="12"/>
    </row>
    <row r="131" spans="2:12" ht="15" customHeight="1">
      <c r="B131" s="11" t="s">
        <v>207</v>
      </c>
      <c r="C131" s="1" t="s">
        <v>114</v>
      </c>
      <c r="D131" s="1" t="s">
        <v>0</v>
      </c>
      <c r="E131" s="1" t="s">
        <v>0</v>
      </c>
      <c r="F131" s="4" t="s">
        <v>229</v>
      </c>
      <c r="G131" s="6"/>
      <c r="H131" s="6"/>
      <c r="I131" s="6"/>
      <c r="J131" s="6"/>
      <c r="K131" s="6"/>
      <c r="L131" s="12"/>
    </row>
    <row r="132" spans="2:12" ht="15" customHeight="1">
      <c r="B132" s="11" t="s">
        <v>0</v>
      </c>
      <c r="C132" s="1" t="s">
        <v>0</v>
      </c>
      <c r="D132" s="1" t="s">
        <v>0</v>
      </c>
      <c r="E132" s="1" t="s">
        <v>0</v>
      </c>
      <c r="F132" s="3"/>
      <c r="G132" s="6"/>
      <c r="H132" s="6"/>
      <c r="I132" s="6"/>
      <c r="J132" s="6"/>
      <c r="K132" s="6"/>
      <c r="L132" s="12"/>
    </row>
    <row r="133" spans="2:12" ht="29.25" customHeight="1">
      <c r="B133" s="11"/>
      <c r="C133" s="1"/>
      <c r="D133" s="1" t="s">
        <v>0</v>
      </c>
      <c r="E133" s="1" t="s">
        <v>0</v>
      </c>
      <c r="F133" s="3" t="s">
        <v>56</v>
      </c>
      <c r="G133" s="6"/>
      <c r="H133" s="6"/>
      <c r="I133" s="6"/>
      <c r="J133" s="6"/>
      <c r="K133" s="6"/>
      <c r="L133" s="12"/>
    </row>
    <row r="134" spans="2:12" ht="15" customHeight="1">
      <c r="B134" s="11" t="s">
        <v>207</v>
      </c>
      <c r="C134" s="1" t="s">
        <v>115</v>
      </c>
      <c r="D134" s="1" t="s">
        <v>0</v>
      </c>
      <c r="E134" s="1" t="s">
        <v>0</v>
      </c>
      <c r="F134" s="4" t="s">
        <v>230</v>
      </c>
      <c r="G134" s="6"/>
      <c r="H134" s="6"/>
      <c r="I134" s="6"/>
      <c r="J134" s="6"/>
      <c r="K134" s="6"/>
      <c r="L134" s="12"/>
    </row>
    <row r="135" spans="2:12" ht="15" customHeight="1">
      <c r="B135" s="11" t="s">
        <v>0</v>
      </c>
      <c r="C135" s="1" t="s">
        <v>0</v>
      </c>
      <c r="D135" s="1" t="s">
        <v>0</v>
      </c>
      <c r="E135" s="1" t="s">
        <v>0</v>
      </c>
      <c r="F135" s="3"/>
      <c r="G135" s="6"/>
      <c r="H135" s="6"/>
      <c r="I135" s="6"/>
      <c r="J135" s="6"/>
      <c r="K135" s="6"/>
      <c r="L135" s="12"/>
    </row>
    <row r="136" spans="2:12" ht="15" customHeight="1">
      <c r="B136" s="11"/>
      <c r="C136" s="1"/>
      <c r="D136" s="1" t="s">
        <v>0</v>
      </c>
      <c r="E136" s="1" t="s">
        <v>0</v>
      </c>
      <c r="F136" s="3" t="s">
        <v>57</v>
      </c>
      <c r="G136" s="6"/>
      <c r="H136" s="6"/>
      <c r="I136" s="6"/>
      <c r="J136" s="6"/>
      <c r="K136" s="6"/>
      <c r="L136" s="12"/>
    </row>
    <row r="137" spans="2:12" ht="15" customHeight="1">
      <c r="B137" s="11" t="s">
        <v>207</v>
      </c>
      <c r="C137" s="1" t="s">
        <v>116</v>
      </c>
      <c r="D137" s="1" t="s">
        <v>0</v>
      </c>
      <c r="E137" s="1" t="s">
        <v>0</v>
      </c>
      <c r="F137" s="4" t="s">
        <v>231</v>
      </c>
      <c r="G137" s="6"/>
      <c r="H137" s="6"/>
      <c r="I137" s="6"/>
      <c r="J137" s="6"/>
      <c r="K137" s="6"/>
      <c r="L137" s="12"/>
    </row>
    <row r="138" spans="2:12" ht="24">
      <c r="B138" s="11"/>
      <c r="C138" s="1"/>
      <c r="D138" s="1"/>
      <c r="E138" s="1"/>
      <c r="F138" s="3"/>
      <c r="G138" s="6"/>
      <c r="H138" s="74" t="s">
        <v>69</v>
      </c>
      <c r="I138" s="74" t="s">
        <v>70</v>
      </c>
      <c r="J138" s="74" t="s">
        <v>71</v>
      </c>
      <c r="K138" s="74" t="s">
        <v>72</v>
      </c>
      <c r="L138" s="12"/>
    </row>
    <row r="139" spans="2:12" ht="24" customHeight="1">
      <c r="B139" s="11" t="s">
        <v>207</v>
      </c>
      <c r="C139" s="1" t="s">
        <v>117</v>
      </c>
      <c r="D139" s="1" t="s">
        <v>0</v>
      </c>
      <c r="E139" s="1" t="s">
        <v>0</v>
      </c>
      <c r="F139" s="3" t="s">
        <v>58</v>
      </c>
      <c r="G139" s="6"/>
      <c r="H139" s="7">
        <v>6000</v>
      </c>
      <c r="I139" s="7">
        <v>9000</v>
      </c>
      <c r="J139" s="7"/>
      <c r="K139" s="7"/>
      <c r="L139" s="12"/>
    </row>
    <row r="140" spans="2:12" ht="15" customHeight="1">
      <c r="B140" s="11" t="s">
        <v>0</v>
      </c>
      <c r="C140" s="1" t="s">
        <v>0</v>
      </c>
      <c r="D140" s="1" t="s">
        <v>0</v>
      </c>
      <c r="E140" s="1" t="s">
        <v>0</v>
      </c>
      <c r="F140" s="3"/>
      <c r="G140" s="6"/>
      <c r="H140" s="6"/>
      <c r="I140" s="6"/>
      <c r="J140" s="6"/>
      <c r="K140" s="6"/>
      <c r="L140" s="12"/>
    </row>
    <row r="141" spans="2:12" ht="25.5" customHeight="1">
      <c r="B141" s="11"/>
      <c r="C141" s="1"/>
      <c r="D141" s="1" t="s">
        <v>0</v>
      </c>
      <c r="E141" s="1" t="s">
        <v>0</v>
      </c>
      <c r="F141" s="3" t="s">
        <v>59</v>
      </c>
      <c r="G141" s="6"/>
      <c r="H141" s="6"/>
      <c r="I141" s="6"/>
      <c r="J141" s="6"/>
      <c r="K141" s="6"/>
      <c r="L141" s="12"/>
    </row>
    <row r="142" spans="2:12" ht="15" customHeight="1">
      <c r="B142" s="11" t="s">
        <v>207</v>
      </c>
      <c r="C142" s="1" t="s">
        <v>118</v>
      </c>
      <c r="D142" s="1" t="s">
        <v>0</v>
      </c>
      <c r="E142" s="1" t="s">
        <v>0</v>
      </c>
      <c r="F142" s="4" t="s">
        <v>232</v>
      </c>
      <c r="G142" s="6"/>
      <c r="H142" s="6"/>
      <c r="I142" s="6"/>
      <c r="J142" s="6"/>
      <c r="K142" s="6"/>
      <c r="L142" s="12"/>
    </row>
    <row r="143" spans="2:12" ht="15" customHeight="1">
      <c r="B143" s="11" t="s">
        <v>0</v>
      </c>
      <c r="C143" s="1" t="s">
        <v>0</v>
      </c>
      <c r="D143" s="1" t="s">
        <v>0</v>
      </c>
      <c r="E143" s="1" t="s">
        <v>0</v>
      </c>
      <c r="F143" s="3"/>
      <c r="G143" s="6"/>
      <c r="H143" s="6"/>
      <c r="I143" s="6"/>
      <c r="J143" s="6"/>
      <c r="K143" s="6"/>
      <c r="L143" s="12"/>
    </row>
    <row r="144" spans="2:12" ht="15" customHeight="1">
      <c r="B144" s="11"/>
      <c r="C144" s="1"/>
      <c r="D144" s="1" t="s">
        <v>0</v>
      </c>
      <c r="E144" s="1" t="s">
        <v>0</v>
      </c>
      <c r="F144" s="3" t="s">
        <v>60</v>
      </c>
      <c r="G144" s="6"/>
      <c r="H144" s="6"/>
      <c r="I144" s="6"/>
      <c r="J144" s="6"/>
      <c r="K144" s="6"/>
      <c r="L144" s="12"/>
    </row>
    <row r="145" spans="2:12" ht="15" customHeight="1">
      <c r="B145" s="11" t="s">
        <v>207</v>
      </c>
      <c r="C145" s="1" t="s">
        <v>119</v>
      </c>
      <c r="D145" s="1" t="s">
        <v>0</v>
      </c>
      <c r="E145" s="1" t="s">
        <v>0</v>
      </c>
      <c r="F145" s="4" t="s">
        <v>233</v>
      </c>
      <c r="G145" s="6"/>
      <c r="H145" s="6"/>
      <c r="I145" s="6"/>
      <c r="J145" s="6"/>
      <c r="K145" s="6"/>
      <c r="L145" s="12"/>
    </row>
    <row r="146" spans="2:12" ht="15" customHeight="1">
      <c r="B146" s="11" t="s">
        <v>0</v>
      </c>
      <c r="C146" s="1" t="s">
        <v>0</v>
      </c>
      <c r="D146" s="1" t="s">
        <v>0</v>
      </c>
      <c r="E146" s="1" t="s">
        <v>0</v>
      </c>
      <c r="F146" s="3"/>
      <c r="G146" s="6"/>
      <c r="H146" s="6"/>
      <c r="I146" s="6"/>
      <c r="J146" s="6"/>
      <c r="K146" s="6"/>
      <c r="L146" s="12"/>
    </row>
    <row r="147" spans="2:12" ht="24.75" customHeight="1">
      <c r="B147" s="11"/>
      <c r="C147" s="1"/>
      <c r="D147" s="1" t="s">
        <v>0</v>
      </c>
      <c r="E147" s="1" t="s">
        <v>0</v>
      </c>
      <c r="F147" s="3" t="s">
        <v>61</v>
      </c>
      <c r="G147" s="6"/>
      <c r="H147" s="6"/>
      <c r="I147" s="6"/>
      <c r="J147" s="6"/>
      <c r="K147" s="6"/>
      <c r="L147" s="12"/>
    </row>
    <row r="148" spans="2:12" ht="15" customHeight="1">
      <c r="B148" s="11" t="s">
        <v>207</v>
      </c>
      <c r="C148" s="1" t="s">
        <v>120</v>
      </c>
      <c r="D148" s="1" t="s">
        <v>0</v>
      </c>
      <c r="E148" s="1" t="s">
        <v>0</v>
      </c>
      <c r="F148" s="4" t="s">
        <v>234</v>
      </c>
      <c r="G148" s="6"/>
      <c r="H148" s="6"/>
      <c r="I148" s="6"/>
      <c r="J148" s="6"/>
      <c r="K148" s="6"/>
      <c r="L148" s="12"/>
    </row>
    <row r="149" spans="2:12" ht="15" customHeight="1">
      <c r="B149" s="11" t="s">
        <v>0</v>
      </c>
      <c r="C149" s="1" t="s">
        <v>0</v>
      </c>
      <c r="D149" s="1" t="s">
        <v>0</v>
      </c>
      <c r="E149" s="1" t="s">
        <v>0</v>
      </c>
      <c r="F149" s="3"/>
      <c r="G149" s="6"/>
      <c r="H149" s="6"/>
      <c r="I149" s="6"/>
      <c r="J149" s="6"/>
      <c r="K149" s="6"/>
      <c r="L149" s="12"/>
    </row>
    <row r="150" spans="2:12" ht="17.25" customHeight="1">
      <c r="B150" s="11"/>
      <c r="C150" s="1"/>
      <c r="D150" s="1" t="s">
        <v>0</v>
      </c>
      <c r="E150" s="1" t="s">
        <v>0</v>
      </c>
      <c r="F150" s="3" t="s">
        <v>150</v>
      </c>
      <c r="G150" s="6"/>
      <c r="H150" s="6"/>
      <c r="I150" s="6"/>
      <c r="J150" s="6"/>
      <c r="K150" s="6"/>
      <c r="L150" s="12"/>
    </row>
    <row r="151" spans="2:12" ht="15" customHeight="1">
      <c r="B151" s="11" t="s">
        <v>207</v>
      </c>
      <c r="C151" s="1" t="s">
        <v>121</v>
      </c>
      <c r="D151" s="1" t="s">
        <v>0</v>
      </c>
      <c r="E151" s="1" t="s">
        <v>0</v>
      </c>
      <c r="F151" s="4" t="s">
        <v>235</v>
      </c>
      <c r="G151" s="6"/>
      <c r="H151" s="6"/>
      <c r="I151" s="6"/>
      <c r="J151" s="6"/>
      <c r="K151" s="6"/>
      <c r="L151" s="12"/>
    </row>
    <row r="152" spans="2:12" ht="15" customHeight="1">
      <c r="B152" s="11"/>
      <c r="C152" s="1"/>
      <c r="D152" s="1"/>
      <c r="E152" s="1"/>
      <c r="F152" s="3"/>
      <c r="G152" s="6"/>
      <c r="H152" s="6"/>
      <c r="I152" s="6"/>
      <c r="J152" s="6"/>
      <c r="K152" s="6"/>
      <c r="L152" s="12"/>
    </row>
    <row r="153" spans="2:12" ht="24">
      <c r="B153" s="11"/>
      <c r="C153" s="1"/>
      <c r="D153" s="1" t="s">
        <v>0</v>
      </c>
      <c r="E153" s="1" t="s">
        <v>0</v>
      </c>
      <c r="F153" s="82" t="s">
        <v>201</v>
      </c>
      <c r="G153" s="6"/>
      <c r="H153" s="74" t="s">
        <v>69</v>
      </c>
      <c r="I153" s="74" t="s">
        <v>70</v>
      </c>
      <c r="J153" s="74" t="s">
        <v>71</v>
      </c>
      <c r="K153" s="74" t="s">
        <v>72</v>
      </c>
      <c r="L153" s="12"/>
    </row>
    <row r="154" spans="2:12" ht="22.5" customHeight="1">
      <c r="B154" s="11" t="s">
        <v>207</v>
      </c>
      <c r="C154" s="1" t="s">
        <v>122</v>
      </c>
      <c r="D154" s="1" t="s">
        <v>0</v>
      </c>
      <c r="E154" s="1" t="s">
        <v>0</v>
      </c>
      <c r="F154" s="3" t="s">
        <v>62</v>
      </c>
      <c r="G154" s="6"/>
      <c r="H154" s="7">
        <v>3000</v>
      </c>
      <c r="I154" s="7">
        <v>5000</v>
      </c>
      <c r="J154" s="7"/>
      <c r="K154" s="7"/>
      <c r="L154" s="12"/>
    </row>
    <row r="155" spans="2:12" ht="24" customHeight="1">
      <c r="B155" s="11" t="s">
        <v>207</v>
      </c>
      <c r="C155" s="1" t="s">
        <v>123</v>
      </c>
      <c r="D155" s="1" t="s">
        <v>0</v>
      </c>
      <c r="E155" s="1" t="s">
        <v>0</v>
      </c>
      <c r="F155" s="3" t="s">
        <v>63</v>
      </c>
      <c r="G155" s="6"/>
      <c r="H155" s="7">
        <v>8000</v>
      </c>
      <c r="I155" s="7">
        <v>4000</v>
      </c>
      <c r="J155" s="7"/>
      <c r="K155" s="7"/>
      <c r="L155" s="12"/>
    </row>
    <row r="156" spans="2:12" ht="21.75" customHeight="1">
      <c r="B156" s="11" t="s">
        <v>207</v>
      </c>
      <c r="C156" s="1" t="s">
        <v>124</v>
      </c>
      <c r="D156" s="1" t="s">
        <v>0</v>
      </c>
      <c r="E156" s="1" t="s">
        <v>0</v>
      </c>
      <c r="F156" s="6" t="s">
        <v>202</v>
      </c>
      <c r="G156" s="6"/>
      <c r="H156" s="81">
        <f>SUM(H154+H155)</f>
        <v>11000</v>
      </c>
      <c r="I156" s="81">
        <f t="shared" ref="I156" si="0">SUM(I154+I155)</f>
        <v>9000</v>
      </c>
      <c r="J156" s="81"/>
      <c r="K156" s="81"/>
      <c r="L156" s="12"/>
    </row>
    <row r="157" spans="2:12" ht="15" customHeight="1">
      <c r="B157" s="11"/>
      <c r="C157" s="1"/>
      <c r="D157" s="1"/>
      <c r="E157" s="1"/>
      <c r="F157" s="3"/>
      <c r="G157" s="6"/>
      <c r="H157" s="6"/>
      <c r="I157" s="6"/>
      <c r="J157" s="6"/>
      <c r="K157" s="6"/>
      <c r="L157" s="12"/>
    </row>
    <row r="158" spans="2:12" ht="24">
      <c r="B158" s="11"/>
      <c r="C158" s="1"/>
      <c r="D158" s="1" t="s">
        <v>0</v>
      </c>
      <c r="E158" s="1" t="s">
        <v>0</v>
      </c>
      <c r="F158" s="83" t="s">
        <v>199</v>
      </c>
      <c r="G158" s="6"/>
      <c r="H158" s="74" t="s">
        <v>69</v>
      </c>
      <c r="I158" s="74" t="s">
        <v>70</v>
      </c>
      <c r="J158" s="74" t="s">
        <v>71</v>
      </c>
      <c r="K158" s="74" t="s">
        <v>72</v>
      </c>
      <c r="L158" s="12"/>
    </row>
    <row r="159" spans="2:12" ht="22.5" customHeight="1">
      <c r="B159" s="11" t="s">
        <v>207</v>
      </c>
      <c r="C159" s="85" t="s">
        <v>125</v>
      </c>
      <c r="D159" s="1" t="s">
        <v>0</v>
      </c>
      <c r="E159" s="1" t="s">
        <v>0</v>
      </c>
      <c r="F159" s="84" t="s">
        <v>203</v>
      </c>
      <c r="G159" s="6"/>
      <c r="H159" s="7">
        <v>3000</v>
      </c>
      <c r="I159" s="7">
        <v>5000</v>
      </c>
      <c r="J159" s="7"/>
      <c r="K159" s="7"/>
      <c r="L159" s="12"/>
    </row>
    <row r="160" spans="2:12" ht="24" customHeight="1">
      <c r="B160" s="11" t="s">
        <v>207</v>
      </c>
      <c r="C160" s="85" t="s">
        <v>200</v>
      </c>
      <c r="D160" s="1" t="s">
        <v>0</v>
      </c>
      <c r="E160" s="1" t="s">
        <v>0</v>
      </c>
      <c r="F160" s="84" t="s">
        <v>204</v>
      </c>
      <c r="G160" s="6"/>
      <c r="H160" s="7">
        <v>8000</v>
      </c>
      <c r="I160" s="7">
        <v>4000</v>
      </c>
      <c r="J160" s="7"/>
      <c r="K160" s="7"/>
      <c r="L160" s="12"/>
    </row>
    <row r="161" spans="2:12" ht="21.75" customHeight="1">
      <c r="B161" s="11" t="s">
        <v>207</v>
      </c>
      <c r="C161" s="85" t="s">
        <v>124</v>
      </c>
      <c r="D161" s="1" t="s">
        <v>0</v>
      </c>
      <c r="E161" s="1" t="s">
        <v>0</v>
      </c>
      <c r="F161" s="83" t="s">
        <v>205</v>
      </c>
      <c r="G161" s="6"/>
      <c r="H161" s="81">
        <f>SUM(H159+H160)</f>
        <v>11000</v>
      </c>
      <c r="I161" s="81">
        <f t="shared" ref="I161" si="1">SUM(I159+I160)</f>
        <v>9000</v>
      </c>
      <c r="J161" s="81"/>
      <c r="K161" s="81"/>
      <c r="L161" s="12"/>
    </row>
    <row r="162" spans="2:12" ht="15" customHeight="1">
      <c r="B162" s="11" t="s">
        <v>0</v>
      </c>
      <c r="C162" s="1" t="s">
        <v>0</v>
      </c>
      <c r="D162" s="1" t="s">
        <v>0</v>
      </c>
      <c r="E162" s="1" t="s">
        <v>0</v>
      </c>
      <c r="F162" s="3"/>
      <c r="G162" s="6"/>
      <c r="H162" s="6"/>
      <c r="I162" s="6"/>
      <c r="J162" s="6"/>
      <c r="K162" s="6"/>
      <c r="L162" s="12"/>
    </row>
    <row r="163" spans="2:12" ht="22.5">
      <c r="B163" s="11"/>
      <c r="C163" s="1"/>
      <c r="D163" s="1" t="s">
        <v>0</v>
      </c>
      <c r="E163" s="1" t="s">
        <v>0</v>
      </c>
      <c r="F163" s="3" t="s">
        <v>151</v>
      </c>
      <c r="G163" s="6"/>
      <c r="H163" s="6"/>
      <c r="I163" s="6"/>
      <c r="J163" s="6"/>
      <c r="K163" s="6"/>
      <c r="L163" s="12"/>
    </row>
    <row r="164" spans="2:12" ht="15" customHeight="1">
      <c r="B164" s="11" t="s">
        <v>207</v>
      </c>
      <c r="C164" s="1" t="s">
        <v>126</v>
      </c>
      <c r="D164" s="1" t="s">
        <v>0</v>
      </c>
      <c r="E164" s="1" t="s">
        <v>0</v>
      </c>
      <c r="F164" s="4" t="s">
        <v>236</v>
      </c>
      <c r="G164" s="6"/>
      <c r="H164" s="6"/>
      <c r="I164" s="6"/>
      <c r="J164" s="6"/>
      <c r="K164" s="6"/>
      <c r="L164" s="12"/>
    </row>
    <row r="165" spans="2:12" ht="24">
      <c r="B165" s="11"/>
      <c r="C165" s="1"/>
      <c r="D165" s="1"/>
      <c r="E165" s="1"/>
      <c r="F165" s="3"/>
      <c r="G165" s="6"/>
      <c r="H165" s="74" t="s">
        <v>67</v>
      </c>
      <c r="I165" s="74" t="s">
        <v>68</v>
      </c>
      <c r="J165" s="6"/>
      <c r="K165" s="6"/>
      <c r="L165" s="12"/>
    </row>
    <row r="166" spans="2:12" ht="15" customHeight="1">
      <c r="B166" s="11" t="s">
        <v>207</v>
      </c>
      <c r="C166" s="1" t="s">
        <v>127</v>
      </c>
      <c r="D166" s="1" t="s">
        <v>0</v>
      </c>
      <c r="E166" s="1" t="s">
        <v>0</v>
      </c>
      <c r="F166" s="3" t="s">
        <v>64</v>
      </c>
      <c r="G166" s="6"/>
      <c r="H166" s="7">
        <v>6000</v>
      </c>
      <c r="I166" s="7">
        <v>7000</v>
      </c>
      <c r="J166" s="6"/>
      <c r="K166" s="6"/>
      <c r="L166" s="12"/>
    </row>
    <row r="167" spans="2:12" ht="27.75" customHeight="1">
      <c r="B167" s="11" t="s">
        <v>207</v>
      </c>
      <c r="C167" s="1" t="s">
        <v>128</v>
      </c>
      <c r="D167" s="1" t="s">
        <v>0</v>
      </c>
      <c r="E167" s="1" t="s">
        <v>0</v>
      </c>
      <c r="F167" s="3" t="s">
        <v>65</v>
      </c>
      <c r="G167" s="6"/>
      <c r="H167" s="7">
        <v>9000</v>
      </c>
      <c r="I167" s="7">
        <v>4000</v>
      </c>
      <c r="J167" s="6"/>
      <c r="K167" s="6"/>
      <c r="L167" s="12"/>
    </row>
    <row r="168" spans="2:12" ht="15" customHeight="1">
      <c r="B168" s="11" t="s">
        <v>0</v>
      </c>
      <c r="C168" s="1" t="s">
        <v>0</v>
      </c>
      <c r="D168" s="1" t="s">
        <v>0</v>
      </c>
      <c r="E168" s="1" t="s">
        <v>0</v>
      </c>
      <c r="F168" s="3"/>
      <c r="G168" s="6"/>
      <c r="H168" s="6"/>
      <c r="I168" s="6"/>
      <c r="J168" s="6"/>
      <c r="K168" s="6"/>
      <c r="L168" s="12"/>
    </row>
    <row r="169" spans="2:12" ht="15" customHeight="1">
      <c r="B169" s="11"/>
      <c r="C169" s="1"/>
      <c r="D169" s="1" t="s">
        <v>0</v>
      </c>
      <c r="E169" s="1" t="s">
        <v>0</v>
      </c>
      <c r="F169" s="3" t="s">
        <v>152</v>
      </c>
      <c r="G169" s="6"/>
      <c r="H169" s="6"/>
      <c r="I169" s="6"/>
      <c r="J169" s="6"/>
      <c r="K169" s="6"/>
      <c r="L169" s="12"/>
    </row>
    <row r="170" spans="2:12" ht="15" customHeight="1">
      <c r="B170" s="11" t="s">
        <v>207</v>
      </c>
      <c r="C170" s="1" t="s">
        <v>129</v>
      </c>
      <c r="D170" s="1" t="s">
        <v>0</v>
      </c>
      <c r="E170" s="1" t="s">
        <v>0</v>
      </c>
      <c r="F170" s="4" t="s">
        <v>237</v>
      </c>
      <c r="G170" s="6"/>
      <c r="H170" s="6"/>
      <c r="I170" s="6"/>
      <c r="J170" s="6"/>
      <c r="K170" s="6"/>
      <c r="L170" s="12"/>
    </row>
    <row r="171" spans="2:12">
      <c r="B171" s="13"/>
      <c r="C171" s="14"/>
      <c r="D171" s="14"/>
      <c r="E171" s="14"/>
      <c r="F171" s="15"/>
      <c r="G171" s="14"/>
      <c r="H171" s="14"/>
      <c r="I171" s="14"/>
      <c r="J171" s="14"/>
      <c r="K171" s="14"/>
      <c r="L171" s="16"/>
    </row>
  </sheetData>
  <hyperlinks>
    <hyperlink ref="F10" location="'IFRS2-InfoTermCond'!A1" display="Información a revelar sobre los términos y condiciones del acuerdo de pago basado en acciones [sinopsis]  " xr:uid="{00000000-0004-0000-0000-000000000000}"/>
    <hyperlink ref="F45" location="'IFRS2-InfoRangPrec'!A1" display="Información a revelar sobre el rango de precios a ejercer de opciones sobre acciones existentes [resumen]  " xr:uid="{00000000-0004-0000-0000-000001000000}"/>
    <hyperlink ref="F50" location="'IFRS2-InfoNumePond'!A1" display="        Información a revelar sobre el número y promedio ponderado de la vida contractual remanente de opciones de acciones en circulación [sinopsis]  " xr:uid="{00000000-0004-0000-0000-000002000000}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 tint="0.39997558519241921"/>
  </sheetPr>
  <dimension ref="A1:I26"/>
  <sheetViews>
    <sheetView topLeftCell="A13" workbookViewId="0">
      <selection activeCell="G20" sqref="G20:G25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</cols>
  <sheetData>
    <row r="1" spans="1:9" ht="54.95" customHeight="1" thickBot="1"/>
    <row r="2" spans="1:9" ht="177" customHeight="1" thickBot="1">
      <c r="F2" s="44" t="s">
        <v>2</v>
      </c>
    </row>
    <row r="3" spans="1:9" ht="16.5" thickBot="1">
      <c r="F3" s="45" t="s">
        <v>3</v>
      </c>
    </row>
    <row r="4" spans="1:9" ht="16.5" thickBot="1">
      <c r="F4" s="75" t="s">
        <v>73</v>
      </c>
      <c r="G4" s="76" t="s">
        <v>74</v>
      </c>
    </row>
    <row r="5" spans="1:9" ht="96.75" customHeight="1">
      <c r="A5" s="17" t="s">
        <v>141</v>
      </c>
      <c r="B5" s="18"/>
      <c r="C5" s="19"/>
      <c r="D5" s="19"/>
      <c r="E5" s="20"/>
      <c r="F5" s="21" t="s">
        <v>9</v>
      </c>
      <c r="G5" s="22" t="s">
        <v>1</v>
      </c>
      <c r="H5" s="22" t="s">
        <v>1</v>
      </c>
      <c r="I5" s="23" t="s">
        <v>10</v>
      </c>
    </row>
    <row r="6" spans="1:9" ht="121.5" hidden="1" customHeight="1">
      <c r="A6" s="24" t="s">
        <v>142</v>
      </c>
      <c r="B6" s="25"/>
      <c r="C6" s="26"/>
      <c r="D6" s="27" t="s">
        <v>144</v>
      </c>
      <c r="E6" s="28" t="s">
        <v>143</v>
      </c>
      <c r="F6" s="29"/>
      <c r="G6" s="36" t="str">
        <f>SUBSTITUTE(CONCATENATE("IFRS2-InfoTermCond_",TRIM(G5),"_",COLUMN(G6),"|",G5)," ","")</f>
        <v>IFRS2-InfoTermCond_Agregarcolumnaopcional_7|Agregarcolumnaopcional</v>
      </c>
      <c r="H6" s="36" t="str">
        <f>SUBSTITUTE(CONCATENATE("IFRS2-InfoTermCond_",TRIM(H5),"_",COLUMN(H6),"|",H5)," ","")</f>
        <v>IFRS2-InfoTermCond_Agregarcolumnaopcional_8|Agregarcolumnaopcional</v>
      </c>
      <c r="I6" s="30" t="s">
        <v>130</v>
      </c>
    </row>
    <row r="7" spans="1:9">
      <c r="A7" s="31"/>
      <c r="B7" s="37"/>
      <c r="C7" s="38"/>
      <c r="D7" s="39"/>
      <c r="E7" s="40"/>
      <c r="F7" s="46"/>
      <c r="G7" s="48"/>
      <c r="H7" s="48"/>
      <c r="I7" s="59"/>
    </row>
    <row r="8" spans="1:9" ht="22.5">
      <c r="A8" s="31"/>
      <c r="B8" s="32"/>
      <c r="C8" s="33"/>
      <c r="D8" s="34"/>
      <c r="E8" s="35"/>
      <c r="F8" s="52" t="s">
        <v>11</v>
      </c>
      <c r="G8" s="49"/>
      <c r="H8" s="49"/>
      <c r="I8" s="60"/>
    </row>
    <row r="9" spans="1:9" ht="22.5">
      <c r="A9" s="31"/>
      <c r="B9" s="32" t="s">
        <v>207</v>
      </c>
      <c r="C9" s="33" t="s">
        <v>131</v>
      </c>
      <c r="D9" s="34" t="s">
        <v>4</v>
      </c>
      <c r="E9" s="33"/>
      <c r="F9" s="57" t="s">
        <v>12</v>
      </c>
      <c r="G9" s="51" t="s">
        <v>210</v>
      </c>
      <c r="H9" s="51"/>
      <c r="I9" s="61"/>
    </row>
    <row r="10" spans="1:9" ht="22.5">
      <c r="A10" s="31"/>
      <c r="B10" s="32" t="s">
        <v>207</v>
      </c>
      <c r="C10" s="33" t="s">
        <v>132</v>
      </c>
      <c r="D10" s="34" t="s">
        <v>4</v>
      </c>
      <c r="E10" s="33"/>
      <c r="F10" s="57" t="s">
        <v>13</v>
      </c>
      <c r="G10" s="51" t="s">
        <v>211</v>
      </c>
      <c r="H10" s="51"/>
      <c r="I10" s="61"/>
    </row>
    <row r="11" spans="1:9" ht="22.5">
      <c r="A11" s="31"/>
      <c r="B11" s="32" t="s">
        <v>207</v>
      </c>
      <c r="C11" s="33" t="s">
        <v>133</v>
      </c>
      <c r="D11" s="34" t="s">
        <v>4</v>
      </c>
      <c r="E11" s="33"/>
      <c r="F11" s="57" t="s">
        <v>14</v>
      </c>
      <c r="G11" s="51" t="s">
        <v>212</v>
      </c>
      <c r="H11" s="51"/>
      <c r="I11" s="61"/>
    </row>
    <row r="12" spans="1:9" ht="22.5">
      <c r="B12" s="32" t="s">
        <v>207</v>
      </c>
      <c r="C12" s="33" t="s">
        <v>134</v>
      </c>
      <c r="D12" s="34" t="s">
        <v>4</v>
      </c>
      <c r="E12" s="33"/>
      <c r="F12" s="57" t="s">
        <v>15</v>
      </c>
      <c r="G12" s="51" t="s">
        <v>213</v>
      </c>
      <c r="H12" s="51"/>
      <c r="I12" s="61"/>
    </row>
    <row r="13" spans="1:9">
      <c r="B13" s="32" t="s">
        <v>207</v>
      </c>
      <c r="C13" s="33" t="s">
        <v>135</v>
      </c>
      <c r="D13" s="34" t="s">
        <v>4</v>
      </c>
      <c r="E13" s="33"/>
      <c r="F13" s="57" t="s">
        <v>16</v>
      </c>
      <c r="G13" s="51" t="s">
        <v>214</v>
      </c>
      <c r="H13" s="51"/>
      <c r="I13" s="61"/>
    </row>
    <row r="14" spans="1:9" ht="22.5">
      <c r="B14" s="32" t="s">
        <v>207</v>
      </c>
      <c r="C14" s="33" t="s">
        <v>136</v>
      </c>
      <c r="D14" s="34" t="s">
        <v>4</v>
      </c>
      <c r="E14" s="33" t="s">
        <v>0</v>
      </c>
      <c r="F14" s="58" t="s">
        <v>17</v>
      </c>
      <c r="G14" s="69">
        <v>100</v>
      </c>
      <c r="H14" s="69"/>
      <c r="I14" s="70">
        <f>SUM(G14:H14)</f>
        <v>100</v>
      </c>
    </row>
    <row r="15" spans="1:9">
      <c r="B15" s="41"/>
      <c r="C15" s="42"/>
      <c r="D15" s="42"/>
      <c r="E15" s="42"/>
      <c r="F15" s="47"/>
      <c r="G15" s="50"/>
      <c r="H15" s="50"/>
      <c r="I15" s="62"/>
    </row>
    <row r="16" spans="1:9" ht="15.75" thickBot="1"/>
    <row r="17" spans="1:9" ht="96.75" customHeight="1">
      <c r="A17" s="17"/>
      <c r="B17" s="18"/>
      <c r="C17" s="19"/>
      <c r="D17" s="19"/>
      <c r="E17" s="20"/>
      <c r="F17" s="21" t="s">
        <v>9</v>
      </c>
      <c r="G17" s="53" t="str">
        <f>IF(G5="Agregar columna opcional","",G5)</f>
        <v/>
      </c>
      <c r="H17" s="53" t="str">
        <f>IF(H5="Agregar columna opcional","",H5)</f>
        <v/>
      </c>
      <c r="I17" s="23" t="s">
        <v>10</v>
      </c>
    </row>
    <row r="18" spans="1:9">
      <c r="A18" s="31"/>
      <c r="B18" s="37"/>
      <c r="C18" s="38"/>
      <c r="D18" s="39"/>
      <c r="E18" s="40"/>
      <c r="F18" s="46"/>
      <c r="G18" s="48"/>
      <c r="H18" s="48"/>
      <c r="I18" s="59"/>
    </row>
    <row r="19" spans="1:9" ht="22.5">
      <c r="A19" s="31"/>
      <c r="B19" s="32"/>
      <c r="C19" s="33"/>
      <c r="D19" s="34"/>
      <c r="E19" s="35"/>
      <c r="F19" s="52" t="s">
        <v>11</v>
      </c>
      <c r="G19" s="49"/>
      <c r="H19" s="49"/>
      <c r="I19" s="60"/>
    </row>
    <row r="20" spans="1:9" ht="22.5">
      <c r="A20" s="31"/>
      <c r="B20" s="32" t="s">
        <v>207</v>
      </c>
      <c r="C20" s="33" t="s">
        <v>131</v>
      </c>
      <c r="D20" s="34" t="s">
        <v>5</v>
      </c>
      <c r="E20" s="33"/>
      <c r="F20" s="57" t="s">
        <v>12</v>
      </c>
      <c r="G20" s="51" t="s">
        <v>227</v>
      </c>
      <c r="H20" s="51"/>
      <c r="I20" s="61"/>
    </row>
    <row r="21" spans="1:9" ht="22.5">
      <c r="A21" s="31"/>
      <c r="B21" s="32" t="s">
        <v>207</v>
      </c>
      <c r="C21" s="33" t="s">
        <v>132</v>
      </c>
      <c r="D21" s="34" t="s">
        <v>5</v>
      </c>
      <c r="E21" s="33"/>
      <c r="F21" s="57" t="s">
        <v>13</v>
      </c>
      <c r="G21" s="51" t="s">
        <v>229</v>
      </c>
      <c r="H21" s="51"/>
      <c r="I21" s="61"/>
    </row>
    <row r="22" spans="1:9" ht="22.5">
      <c r="A22" s="31"/>
      <c r="B22" s="32" t="s">
        <v>207</v>
      </c>
      <c r="C22" s="33" t="s">
        <v>133</v>
      </c>
      <c r="D22" s="34" t="s">
        <v>5</v>
      </c>
      <c r="E22" s="33"/>
      <c r="F22" s="57" t="s">
        <v>14</v>
      </c>
      <c r="G22" s="51" t="s">
        <v>234</v>
      </c>
      <c r="H22" s="51"/>
      <c r="I22" s="61"/>
    </row>
    <row r="23" spans="1:9" ht="22.5">
      <c r="B23" s="32" t="s">
        <v>207</v>
      </c>
      <c r="C23" s="33" t="s">
        <v>134</v>
      </c>
      <c r="D23" s="34" t="s">
        <v>5</v>
      </c>
      <c r="E23" s="33"/>
      <c r="F23" s="57" t="s">
        <v>15</v>
      </c>
      <c r="G23" s="51" t="s">
        <v>230</v>
      </c>
      <c r="H23" s="51"/>
      <c r="I23" s="61"/>
    </row>
    <row r="24" spans="1:9">
      <c r="B24" s="32" t="s">
        <v>207</v>
      </c>
      <c r="C24" s="33" t="s">
        <v>135</v>
      </c>
      <c r="D24" s="34" t="s">
        <v>5</v>
      </c>
      <c r="E24" s="33"/>
      <c r="F24" s="57" t="s">
        <v>16</v>
      </c>
      <c r="G24" s="51" t="s">
        <v>218</v>
      </c>
      <c r="H24" s="51"/>
      <c r="I24" s="61"/>
    </row>
    <row r="25" spans="1:9" ht="22.5">
      <c r="B25" s="32" t="s">
        <v>207</v>
      </c>
      <c r="C25" s="33" t="s">
        <v>136</v>
      </c>
      <c r="D25" s="34" t="s">
        <v>5</v>
      </c>
      <c r="E25" s="33" t="s">
        <v>0</v>
      </c>
      <c r="F25" s="58" t="s">
        <v>17</v>
      </c>
      <c r="G25" s="69">
        <v>200</v>
      </c>
      <c r="H25" s="69"/>
      <c r="I25" s="70">
        <f>SUM(G25:H25)</f>
        <v>200</v>
      </c>
    </row>
    <row r="26" spans="1:9">
      <c r="B26" s="41"/>
      <c r="C26" s="42"/>
      <c r="D26" s="42"/>
      <c r="E26" s="42"/>
      <c r="F26" s="47"/>
      <c r="G26" s="50"/>
      <c r="H26" s="50"/>
      <c r="I26" s="62"/>
    </row>
  </sheetData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Hoja1!$A$1:$A$2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7" tint="0.39997558519241921"/>
  </sheetPr>
  <dimension ref="A1:I16"/>
  <sheetViews>
    <sheetView topLeftCell="A7" workbookViewId="0">
      <selection activeCell="G15" sqref="G15:I15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</cols>
  <sheetData>
    <row r="1" spans="1:9" ht="54.95" customHeight="1" thickBot="1"/>
    <row r="2" spans="1:9" ht="177" customHeight="1" thickBot="1">
      <c r="F2" s="44" t="s">
        <v>2</v>
      </c>
    </row>
    <row r="3" spans="1:9" ht="16.5" thickBot="1">
      <c r="F3" s="45" t="s">
        <v>3</v>
      </c>
    </row>
    <row r="4" spans="1:9" ht="16.5" thickBot="1">
      <c r="F4" s="75" t="s">
        <v>73</v>
      </c>
      <c r="G4" s="76" t="s">
        <v>74</v>
      </c>
    </row>
    <row r="5" spans="1:9" ht="96.75" customHeight="1">
      <c r="A5" s="17" t="s">
        <v>141</v>
      </c>
      <c r="B5" s="18"/>
      <c r="C5" s="19"/>
      <c r="D5" s="19"/>
      <c r="E5" s="20"/>
      <c r="F5" s="21" t="s">
        <v>25</v>
      </c>
      <c r="G5" s="66" t="s">
        <v>28</v>
      </c>
      <c r="H5" s="23" t="s">
        <v>29</v>
      </c>
      <c r="I5" s="23" t="s">
        <v>27</v>
      </c>
    </row>
    <row r="6" spans="1:9" ht="121.5" hidden="1" customHeight="1">
      <c r="A6" s="24" t="s">
        <v>142</v>
      </c>
      <c r="B6" s="25"/>
      <c r="C6" s="26"/>
      <c r="D6" s="27" t="s">
        <v>148</v>
      </c>
      <c r="E6" s="28" t="s">
        <v>147</v>
      </c>
      <c r="F6" s="29"/>
      <c r="G6" s="30" t="s">
        <v>138</v>
      </c>
      <c r="H6" s="30" t="s">
        <v>139</v>
      </c>
      <c r="I6" s="30" t="s">
        <v>140</v>
      </c>
    </row>
    <row r="7" spans="1:9">
      <c r="A7" s="31"/>
      <c r="B7" s="37"/>
      <c r="C7" s="38"/>
      <c r="D7" s="39"/>
      <c r="E7" s="40"/>
      <c r="F7" s="67"/>
      <c r="G7" s="40"/>
      <c r="H7" s="40"/>
      <c r="I7" s="63"/>
    </row>
    <row r="8" spans="1:9" ht="22.5">
      <c r="A8" s="31"/>
      <c r="B8" s="32"/>
      <c r="C8" s="33"/>
      <c r="D8" s="34"/>
      <c r="E8" s="35"/>
      <c r="F8" s="68" t="s">
        <v>30</v>
      </c>
      <c r="G8" s="33"/>
      <c r="H8" s="33"/>
      <c r="I8" s="64"/>
    </row>
    <row r="9" spans="1:9" ht="12.75" customHeight="1">
      <c r="A9" s="31"/>
      <c r="B9" s="32" t="s">
        <v>207</v>
      </c>
      <c r="C9" s="33" t="s">
        <v>162</v>
      </c>
      <c r="D9" s="34" t="s">
        <v>4</v>
      </c>
      <c r="E9" s="33"/>
      <c r="F9" s="33" t="s">
        <v>188</v>
      </c>
      <c r="G9" s="79">
        <v>1000</v>
      </c>
      <c r="H9" s="80">
        <v>2000</v>
      </c>
      <c r="I9" s="80">
        <v>3000</v>
      </c>
    </row>
    <row r="10" spans="1:9">
      <c r="B10" s="41"/>
      <c r="C10" s="42"/>
      <c r="D10" s="42"/>
      <c r="E10" s="42"/>
      <c r="F10" s="42"/>
      <c r="G10" s="43"/>
      <c r="H10" s="43"/>
      <c r="I10" s="65"/>
    </row>
    <row r="12" spans="1:9" ht="96.75" customHeight="1">
      <c r="A12" s="17"/>
      <c r="B12" s="18"/>
      <c r="C12" s="19"/>
      <c r="D12" s="19"/>
      <c r="E12" s="20"/>
      <c r="F12" s="21" t="s">
        <v>25</v>
      </c>
      <c r="G12" s="66" t="s">
        <v>28</v>
      </c>
      <c r="H12" s="23" t="s">
        <v>29</v>
      </c>
      <c r="I12" s="23" t="s">
        <v>27</v>
      </c>
    </row>
    <row r="13" spans="1:9">
      <c r="A13" s="31"/>
      <c r="B13" s="37"/>
      <c r="C13" s="38"/>
      <c r="D13" s="39"/>
      <c r="E13" s="40"/>
      <c r="F13" s="67"/>
      <c r="G13" s="40"/>
      <c r="H13" s="40"/>
      <c r="I13" s="63"/>
    </row>
    <row r="14" spans="1:9" ht="22.5">
      <c r="A14" s="31"/>
      <c r="B14" s="32"/>
      <c r="C14" s="33"/>
      <c r="D14" s="34"/>
      <c r="E14" s="35"/>
      <c r="F14" s="68" t="s">
        <v>30</v>
      </c>
      <c r="G14" s="33"/>
      <c r="H14" s="33"/>
      <c r="I14" s="64"/>
    </row>
    <row r="15" spans="1:9" ht="12.75" customHeight="1">
      <c r="A15" s="31"/>
      <c r="B15" s="32" t="s">
        <v>207</v>
      </c>
      <c r="C15" s="33" t="s">
        <v>162</v>
      </c>
      <c r="D15" s="34" t="s">
        <v>5</v>
      </c>
      <c r="E15" s="33" t="s">
        <v>0</v>
      </c>
      <c r="F15" s="33" t="s">
        <v>188</v>
      </c>
      <c r="G15" s="79">
        <v>2000</v>
      </c>
      <c r="H15" s="80">
        <v>3000</v>
      </c>
      <c r="I15" s="80">
        <v>4000</v>
      </c>
    </row>
    <row r="16" spans="1:9">
      <c r="B16" s="41"/>
      <c r="C16" s="42"/>
      <c r="D16" s="42"/>
      <c r="E16" s="42"/>
      <c r="F16" s="42"/>
      <c r="G16" s="43"/>
      <c r="H16" s="43"/>
      <c r="I16" s="65"/>
    </row>
  </sheetData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Hoja1!$A$1:$A$2</xm:f>
          </x14:formula1>
          <xm:sqref>G4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6" tint="0.39997558519241921"/>
  </sheetPr>
  <dimension ref="A1:I18"/>
  <sheetViews>
    <sheetView topLeftCell="A10" workbookViewId="0">
      <selection activeCell="F17" sqref="F17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</cols>
  <sheetData>
    <row r="1" spans="1:9" ht="54.95" customHeight="1" thickBot="1"/>
    <row r="2" spans="1:9" ht="177" customHeight="1" thickBot="1">
      <c r="F2" s="44" t="s">
        <v>2</v>
      </c>
    </row>
    <row r="3" spans="1:9" ht="16.5" thickBot="1">
      <c r="F3" s="45" t="s">
        <v>3</v>
      </c>
    </row>
    <row r="4" spans="1:9" ht="16.5" thickBot="1">
      <c r="F4" s="75" t="s">
        <v>73</v>
      </c>
      <c r="G4" s="76" t="s">
        <v>74</v>
      </c>
    </row>
    <row r="5" spans="1:9" ht="115.5" customHeight="1">
      <c r="A5" s="17" t="s">
        <v>141</v>
      </c>
      <c r="B5" s="18"/>
      <c r="C5" s="19"/>
      <c r="D5" s="19"/>
      <c r="E5" s="20"/>
      <c r="F5" s="21" t="s">
        <v>32</v>
      </c>
      <c r="G5" s="22" t="s">
        <v>1</v>
      </c>
      <c r="H5" s="22" t="s">
        <v>1</v>
      </c>
      <c r="I5" s="23" t="s">
        <v>33</v>
      </c>
    </row>
    <row r="6" spans="1:9" ht="121.5" hidden="1" customHeight="1">
      <c r="A6" s="24" t="s">
        <v>142</v>
      </c>
      <c r="B6" s="25"/>
      <c r="C6" s="26"/>
      <c r="D6" s="27" t="s">
        <v>146</v>
      </c>
      <c r="E6" s="28" t="s">
        <v>145</v>
      </c>
      <c r="F6" s="29"/>
      <c r="G6" s="36" t="str">
        <f>SUBSTITUTE(CONCATENATE("IFRS2-InfoNumePond_",TRIM(G5),"_",COLUMN(G6),"|",G5)," ","")</f>
        <v>IFRS2-InfoNumePond_Agregarcolumnaopcional_7|Agregarcolumnaopcional</v>
      </c>
      <c r="H6" s="36" t="str">
        <f>SUBSTITUTE(CONCATENATE("IFRS2-InfoNumePond_",TRIM(H5),"_",COLUMN(H6),"|",H5)," ","")</f>
        <v>IFRS2-InfoNumePond_Agregarcolumnaopcional_8|Agregarcolumnaopcional</v>
      </c>
      <c r="I6" s="30" t="s">
        <v>137</v>
      </c>
    </row>
    <row r="7" spans="1:9">
      <c r="A7" s="31"/>
      <c r="B7" s="37"/>
      <c r="C7" s="38"/>
      <c r="D7" s="39"/>
      <c r="E7" s="40"/>
      <c r="F7" s="46"/>
      <c r="G7" s="48"/>
      <c r="H7" s="48"/>
      <c r="I7" s="59"/>
    </row>
    <row r="8" spans="1:9" ht="28.5" customHeight="1">
      <c r="A8" s="31"/>
      <c r="B8" s="32"/>
      <c r="C8" s="33"/>
      <c r="D8" s="34"/>
      <c r="E8" s="35"/>
      <c r="F8" s="52" t="s">
        <v>34</v>
      </c>
      <c r="G8" s="49"/>
      <c r="H8" s="49"/>
      <c r="I8" s="60"/>
    </row>
    <row r="9" spans="1:9" ht="22.5">
      <c r="A9" s="31"/>
      <c r="B9" s="32" t="s">
        <v>207</v>
      </c>
      <c r="C9" s="33" t="s">
        <v>79</v>
      </c>
      <c r="D9" s="34" t="s">
        <v>4</v>
      </c>
      <c r="E9" s="33" t="s">
        <v>0</v>
      </c>
      <c r="F9" s="57" t="s">
        <v>153</v>
      </c>
      <c r="G9" s="73">
        <v>40</v>
      </c>
      <c r="H9" s="73"/>
      <c r="I9" s="71">
        <f>SUM(G9:H9)</f>
        <v>40</v>
      </c>
    </row>
    <row r="10" spans="1:9" ht="22.5">
      <c r="A10" s="31"/>
      <c r="B10" s="32" t="s">
        <v>207</v>
      </c>
      <c r="C10" s="33" t="s">
        <v>163</v>
      </c>
      <c r="D10" s="34" t="s">
        <v>4</v>
      </c>
      <c r="E10" s="33"/>
      <c r="F10" s="57" t="s">
        <v>208</v>
      </c>
      <c r="G10" s="73" t="s">
        <v>238</v>
      </c>
      <c r="H10" s="73"/>
      <c r="I10" s="73"/>
    </row>
    <row r="11" spans="1:9">
      <c r="B11" s="41"/>
      <c r="C11" s="42"/>
      <c r="D11" s="42"/>
      <c r="E11" s="42"/>
      <c r="F11" s="47"/>
      <c r="G11" s="50"/>
      <c r="H11" s="50"/>
      <c r="I11" s="62"/>
    </row>
    <row r="12" spans="1:9" ht="15.75" thickBot="1"/>
    <row r="13" spans="1:9" ht="114.75" customHeight="1">
      <c r="A13" s="17"/>
      <c r="B13" s="18"/>
      <c r="C13" s="19"/>
      <c r="D13" s="19"/>
      <c r="E13" s="20"/>
      <c r="F13" s="21" t="s">
        <v>32</v>
      </c>
      <c r="G13" s="53" t="str">
        <f>IF(G5="Agregar columna opcional","",G5)</f>
        <v/>
      </c>
      <c r="H13" s="53" t="str">
        <f>IF(H5="Agregar columna opcional","",H5)</f>
        <v/>
      </c>
      <c r="I13" s="23" t="s">
        <v>33</v>
      </c>
    </row>
    <row r="14" spans="1:9">
      <c r="A14" s="31"/>
      <c r="B14" s="37"/>
      <c r="C14" s="38"/>
      <c r="D14" s="39"/>
      <c r="E14" s="40"/>
      <c r="F14" s="46"/>
      <c r="G14" s="48"/>
      <c r="H14" s="48"/>
      <c r="I14" s="59"/>
    </row>
    <row r="15" spans="1:9" ht="22.5">
      <c r="A15" s="31"/>
      <c r="B15" s="32"/>
      <c r="C15" s="33"/>
      <c r="D15" s="34"/>
      <c r="E15" s="35"/>
      <c r="F15" s="52" t="s">
        <v>34</v>
      </c>
      <c r="G15" s="49"/>
      <c r="H15" s="49"/>
      <c r="I15" s="60"/>
    </row>
    <row r="16" spans="1:9" ht="22.5">
      <c r="A16" s="31"/>
      <c r="B16" s="32" t="s">
        <v>207</v>
      </c>
      <c r="C16" s="33" t="s">
        <v>79</v>
      </c>
      <c r="D16" s="34" t="s">
        <v>5</v>
      </c>
      <c r="E16" s="33" t="s">
        <v>0</v>
      </c>
      <c r="F16" s="57" t="s">
        <v>153</v>
      </c>
      <c r="G16" s="73">
        <v>80</v>
      </c>
      <c r="H16" s="73"/>
      <c r="I16" s="71">
        <f>SUM(G16:H16)</f>
        <v>80</v>
      </c>
    </row>
    <row r="17" spans="1:9" ht="22.5">
      <c r="A17" s="31"/>
      <c r="B17" s="32" t="s">
        <v>207</v>
      </c>
      <c r="C17" s="33" t="s">
        <v>163</v>
      </c>
      <c r="D17" s="34" t="s">
        <v>5</v>
      </c>
      <c r="E17" s="33"/>
      <c r="F17" s="57" t="s">
        <v>208</v>
      </c>
      <c r="G17" s="73" t="s">
        <v>238</v>
      </c>
      <c r="H17" s="73"/>
      <c r="I17" s="73"/>
    </row>
    <row r="18" spans="1:9">
      <c r="B18" s="41"/>
      <c r="C18" s="42"/>
      <c r="D18" s="42"/>
      <c r="E18" s="42"/>
      <c r="F18" s="47"/>
      <c r="G18" s="50"/>
      <c r="H18" s="50"/>
      <c r="I18" s="6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Hoja1!$A$1:$A$2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2"/>
  <sheetViews>
    <sheetView workbookViewId="0">
      <selection activeCell="B10" sqref="B10"/>
    </sheetView>
  </sheetViews>
  <sheetFormatPr baseColWidth="10" defaultRowHeight="15"/>
  <sheetData>
    <row r="1" spans="1:1">
      <c r="A1" t="s">
        <v>74</v>
      </c>
    </row>
    <row r="2" spans="1:1">
      <c r="A2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IFRS2-Cuadros</vt:lpstr>
      <vt:lpstr>IFRS2-InfoTermCond</vt:lpstr>
      <vt:lpstr>IFRS2-InfoRangPrec</vt:lpstr>
      <vt:lpstr>IFRS2-InfoNumePond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2013-03-21T17:58:38Z</dcterms:created>
  <dcterms:modified xsi:type="dcterms:W3CDTF">2022-02-17T23:44:34Z</dcterms:modified>
</cp:coreProperties>
</file>