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waldo.gonzalez\Desktop\Funcionan 2024\svs-cl-ci-2024-01-02\xls\"/>
    </mc:Choice>
  </mc:AlternateContent>
  <bookViews>
    <workbookView xWindow="-120" yWindow="-120" windowWidth="20730" windowHeight="11160"/>
  </bookViews>
  <sheets>
    <sheet name="IAS-1_310000" sheetId="1" r:id="rId1"/>
  </sheets>
  <calcPr calcId="162913"/>
</workbook>
</file>

<file path=xl/calcChain.xml><?xml version="1.0" encoding="utf-8"?>
<calcChain xmlns="http://schemas.openxmlformats.org/spreadsheetml/2006/main">
  <c r="H33" i="1" l="1"/>
  <c r="K42" i="1"/>
  <c r="J42" i="1"/>
  <c r="H42" i="1"/>
  <c r="K47" i="1"/>
  <c r="J47" i="1"/>
  <c r="I47" i="1"/>
  <c r="H47" i="1"/>
  <c r="J33" i="1" l="1"/>
  <c r="J7" i="1"/>
  <c r="J13" i="1" s="1"/>
  <c r="J24" i="1" s="1"/>
  <c r="J26" i="1" s="1"/>
  <c r="J28" i="1" s="1"/>
  <c r="K33" i="1"/>
  <c r="K7" i="1"/>
  <c r="K13" i="1" s="1"/>
  <c r="K24" i="1" s="1"/>
  <c r="K26" i="1" s="1"/>
  <c r="K28" i="1" s="1"/>
  <c r="I24" i="1" l="1"/>
  <c r="I33" i="1" l="1"/>
  <c r="I42" i="1" l="1"/>
  <c r="I7" i="1"/>
  <c r="I13" i="1" s="1"/>
  <c r="H7" i="1"/>
  <c r="H13" i="1" s="1"/>
  <c r="H24" i="1" s="1"/>
  <c r="I26" i="1" l="1"/>
  <c r="H26" i="1"/>
  <c r="H28" i="1" l="1"/>
  <c r="I28" i="1"/>
</calcChain>
</file>

<file path=xl/sharedStrings.xml><?xml version="1.0" encoding="utf-8"?>
<sst xmlns="http://schemas.openxmlformats.org/spreadsheetml/2006/main" count="269" uniqueCount="82">
  <si>
    <t xml:space="preserve"> </t>
  </si>
  <si>
    <t>+</t>
  </si>
  <si>
    <t>-</t>
  </si>
  <si>
    <t xml:space="preserve">    Resultado de periodo [resumen]  </t>
  </si>
  <si>
    <t xml:space="preserve">      Ganancia (pérdida) [sinopsis]  </t>
  </si>
  <si>
    <t xml:space="preserve">        Ingresos de actividades ordinarias  [Número]</t>
  </si>
  <si>
    <t xml:space="preserve">        Costo de ventas  [Número]</t>
  </si>
  <si>
    <t xml:space="preserve">        Ganancia bruta  [Número]</t>
  </si>
  <si>
    <t xml:space="preserve">        Otros ingresos  [Número]</t>
  </si>
  <si>
    <t xml:space="preserve">        Costos de distribución  [Número]</t>
  </si>
  <si>
    <t xml:space="preserve">        Gastos de administración  [Número]</t>
  </si>
  <si>
    <t xml:space="preserve">        Otros gastos, por función  [Número]</t>
  </si>
  <si>
    <t xml:space="preserve">        Otras ganancias (pérdidas)  [Número]</t>
  </si>
  <si>
    <t xml:space="preserve">        Ganancia (pérdida) por actividades de operación  [Número]</t>
  </si>
  <si>
    <t xml:space="preserve">        Ganancias (pérdidas) que surgen de la baja en cuentas de activos financieros medidos al costo amortizado  [Número]</t>
  </si>
  <si>
    <t xml:space="preserve">        Ingresos financieros  [Número]</t>
  </si>
  <si>
    <t xml:space="preserve">        Costos financieros  [Número]</t>
  </si>
  <si>
    <t xml:space="preserve">        Participación en las ganancias (pérdidas) de asociadas y negocios conjuntos que se contabilicen utilizando el método de la participación  [Número]</t>
  </si>
  <si>
    <t xml:space="preserve">        Resultados por unidades de reajuste  [Número]</t>
  </si>
  <si>
    <t xml:space="preserve">        Ganancias (pérdidas) que surgen de diferencias entre importes en libros anteriores y el valor razonable de activos financieros reclasificados como medidos al valor razonable  [Número]</t>
  </si>
  <si>
    <t xml:space="preserve">        Ganancia (pérdida), antes de impuestos  [Número]</t>
  </si>
  <si>
    <t xml:space="preserve">        Gasto (ingreso) por impuestos, operaciones continuadas  [Número]</t>
  </si>
  <si>
    <t xml:space="preserve">        Ganancia (pérdida) procedente de operaciones continuadas  [Número]</t>
  </si>
  <si>
    <t xml:space="preserve">        Ganancia (pérdida) procedente de operaciones discontinuadas  [Número]</t>
  </si>
  <si>
    <t xml:space="preserve">        Ganancia (pérdida)  [Número]</t>
  </si>
  <si>
    <t xml:space="preserve">      Ganancia (pérdida), atribuible a [sinopsis]  </t>
  </si>
  <si>
    <t xml:space="preserve">        Ganancia (pérdida), atribuible a los propietarios de la controladora  [Número]</t>
  </si>
  <si>
    <t xml:space="preserve">        Ganancia (pérdida), atribuible a participaciones no controladoras  [Número]</t>
  </si>
  <si>
    <t xml:space="preserve">        Ganancias (pérdidas) de cobertura por cobertura de un grupo de partidas con posiciones de riesgo compensadoras [número]</t>
  </si>
  <si>
    <t>Trimestre acumulado año actual</t>
  </si>
  <si>
    <t>Trimestre acumulado año anterior</t>
  </si>
  <si>
    <t>Último trimestre año actual</t>
  </si>
  <si>
    <t>Último trimestre año anterior</t>
  </si>
  <si>
    <t>full_ifrs-cor_2015-03-11.xsd#ifrs-full_ImpairmentLossImpairmentGainAndReversalOfImpairmentLossDeterminedInAccordanceWithIFRS9</t>
  </si>
  <si>
    <t>full_ifrs-cor_2015-03-11.xsd#ifrs-full_CumulativeGainLossPreviouslyRecognisedInOtherComprehensiveIncomeArisingFromReclassificationOfFinancialAssetsOutOfFairValueThroughOtherComprehensiveIncomeIntoFairValueThroughProfitOrLossMeasurementCategory</t>
  </si>
  <si>
    <t>full_ifrs-cor_2015-03-11.xsd#ifrs-full_Revenue</t>
  </si>
  <si>
    <t>full_ifrs-cor_2015-03-11.xsd#ifrs-full_CostOfSales</t>
  </si>
  <si>
    <t>full_ifrs-cor_2015-03-11.xsd#ifrs-full_GrossProfit</t>
  </si>
  <si>
    <t>full_ifrs-cor_2015-03-11.xsd#ifrs-full_OtherIncome</t>
  </si>
  <si>
    <t>full_ifrs-cor_2015-03-11.xsd#ifrs-full_DistributionCosts</t>
  </si>
  <si>
    <t>full_ifrs-cor_2015-03-11.xsd#ifrs-full_AdministrativeExpense</t>
  </si>
  <si>
    <t>full_ifrs-cor_2015-03-11.xsd#ifrs-full_OtherExpenseByFunction</t>
  </si>
  <si>
    <t>full_ifrs-cor_2015-03-11.xsd#ifrs-full_OtherGainsLosses</t>
  </si>
  <si>
    <t>full_ifrs-cor_2015-03-11.xsd#ifrs-full_ProfitLossFromOperatingActivities</t>
  </si>
  <si>
    <t>full_ifrs-cor_2015-03-11.xsd#ifrs-full_GainLossArisingFromDerecognitionOfFinancialAssetsMeasuredAtAmortisedCost</t>
  </si>
  <si>
    <t>full_ifrs-cor_2015-03-11.xsd#ifrs-full_FinanceIncome</t>
  </si>
  <si>
    <t>full_ifrs-cor_2015-03-11.xsd#ifrs-full_FinanceCosts</t>
  </si>
  <si>
    <t>full_ifrs-cor_2015-03-11.xsd#ifrs-full_ShareOfProfitLossOfAssociatesAndJointVenturesAccountedForUsingEquityMethod</t>
  </si>
  <si>
    <t>full_ifrs-cor_2015-03-11.xsd#ifrs-full_GainsLossesArisingFromDifferenceBetweenPreviousCarryingAmountAndFairValueOfFinancialAssetsReclassifiedAsMeasuredAtFairValue</t>
  </si>
  <si>
    <t>full_ifrs-cor_2015-03-11.xsd#ifrs-full_HedgingGainsLossesForHedgeOfGroupOfItemsWithOffsettingRiskPositions</t>
  </si>
  <si>
    <t>full_ifrs-cor_2015-03-11.xsd#ifrs-full_ProfitLossBeforeTax</t>
  </si>
  <si>
    <t>full_ifrs-cor_2015-03-11.xsd#ifrs-full_IncomeTaxExpenseContinuingOperations</t>
  </si>
  <si>
    <t>full_ifrs-cor_2015-03-11.xsd#ifrs-full_ProfitLossFromContinuingOperations</t>
  </si>
  <si>
    <t>full_ifrs-cor_2015-03-11.xsd#ifrs-full_ProfitLossFromDiscontinuedOperations</t>
  </si>
  <si>
    <t>full_ifrs-cor_2015-03-11.xsd#ifrs-full_ProfitLoss</t>
  </si>
  <si>
    <t>full_ifrs-cor_2015-03-11.xsd#ifrs-full_ProfitLossAttributableToOwnersOfParent</t>
  </si>
  <si>
    <t>full_ifrs-cor_2015-03-11.xsd#ifrs-full_ProfitLossAttributableToNoncontrollingInterests</t>
  </si>
  <si>
    <t>full_ifrs-cor_2015-03-11.xsd#ifrs-full_BasicEarningsLossPerShareFromContinuingOperations</t>
  </si>
  <si>
    <t>full_ifrs-cor_2015-03-11.xsd#ifrs-full_BasicEarningsLossPerShareFromDiscontinuedOperations</t>
  </si>
  <si>
    <t>full_ifrs-cor_2015-03-11.xsd#ifrs-full_BasicEarningsLossPerShare</t>
  </si>
  <si>
    <t>full_ifrs-cor_2015-03-11.xsd#ifrs-full_DilutedEarningsPerShareAbstract</t>
  </si>
  <si>
    <t>full_ifrs-cor_2015-03-11.xsd#ifrs-full_DilutedEarningsLossPerShareFromContinuingOperations</t>
  </si>
  <si>
    <t>full_ifrs-cor_2015-03-11.xsd#ifrs-full_DilutedEarningsLossPerShareFromDiscontinuedOperations</t>
  </si>
  <si>
    <t>full_ifrs-cor_2015-03-11.xsd#ifrs-full_DilutedEarningsLossPerShare</t>
  </si>
  <si>
    <t>cl-ci_cor_2016-01-11.xsd#cl-ci_ResultadosUnidadesReajuste</t>
  </si>
  <si>
    <t xml:space="preserve">        Ganancias por acción [bloque de texto]</t>
  </si>
  <si>
    <t>full_ifrs-cor_2015-03-11.xsd#ifrs-full_EarningsPerShareExplanatory</t>
  </si>
  <si>
    <t>Pérdidas por deterioro de valor (ganancias por deterioro de valor y reversión de pérdidas por deterioro de valor) determinadas de acuerdo con la NIIF 9 [Número]</t>
  </si>
  <si>
    <t>Ganancia (pérdida) acumulada anteriormente reconocida en otro resultado integral que surge de la reclasificación de activos financieros de la categoría de medición de valor razonable con cambios en otro resultado integral a la de valor razonable con cambios en resultados [Número]</t>
  </si>
  <si>
    <t xml:space="preserve">Ganancias por acción diluidas [sinopsis]  </t>
  </si>
  <si>
    <t>Ganancias (pérdida) diluida por acción procedente de operaciones continuadas  [Decimal]</t>
  </si>
  <si>
    <t>Ganancias (pérdida) diluida por acción procedentes de operaciones discontinuadas  [Decimal]</t>
  </si>
  <si>
    <t>Ganancias (pérdida) diluida por acción  [Decimal]</t>
  </si>
  <si>
    <t>Ganancia (pérdida) por acción básica  [Decimal]</t>
  </si>
  <si>
    <t xml:space="preserve">Ganancias por acción [sinopsis]  </t>
  </si>
  <si>
    <t xml:space="preserve">Ganancia por acción básica [sinopsis]  </t>
  </si>
  <si>
    <t>Ganancia (pérdida) por acción básica en operaciones continuadas  [Decimal]</t>
  </si>
  <si>
    <t>Ganancia (pérdida) por acción básica en operaciones discontinuadas  [Decimal]</t>
  </si>
  <si>
    <t>10.0</t>
  </si>
  <si>
    <t>full_ifrs-cor_2014-03-05.xsd#ifrs-full_GainsLossesOnExchangeDifferencesOnTranslationRecognisedInProfitOrLoss</t>
  </si>
  <si>
    <t>pre_cl-ci_ias-1_2019-03-27_role-310000</t>
  </si>
  <si>
    <t xml:space="preserve">        Ganancias (pérdidas) de cambio en moneda extranjera  [Número]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</si>
</sst>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10">
    <font>
      <sz val="11"/>
      <color theme="1"/>
      <name val="Calibri"/>
      <family val="2"/>
      <scheme val="minor"/>
    </font>
    <font>
      <sz val="8"/>
      <color theme="1"/>
      <name val="Verdana"/>
      <family val="2"/>
    </font>
    <font>
      <sz val="8"/>
      <name val="ＭＳ Ｐゴシック"/>
      <family val="3"/>
      <charset val="128"/>
    </font>
    <font>
      <sz val="9"/>
      <name val="Calibri"/>
      <family val="2"/>
      <scheme val="minor"/>
    </font>
    <font>
      <b/>
      <sz val="9"/>
      <name val="Verdana"/>
      <family val="2"/>
    </font>
    <font>
      <sz val="9"/>
      <name val="Verdana"/>
      <family val="2"/>
    </font>
    <font>
      <sz val="11"/>
      <color indexed="9"/>
      <name val="Czcionka tekstu podstawowego"/>
      <family val="2"/>
      <charset val="238"/>
    </font>
    <font>
      <b/>
      <sz val="9"/>
      <color indexed="9"/>
      <name val="Calibri"/>
      <family val="2"/>
      <scheme val="minor"/>
    </font>
    <font>
      <sz val="9"/>
      <color theme="1"/>
      <name val="Calibri"/>
      <family val="2"/>
      <scheme val="minor"/>
    </font>
    <font>
      <b/>
      <sz val="9"/>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indexed="30"/>
      </patternFill>
    </fill>
    <fill>
      <patternFill patternType="solid">
        <fgColor theme="3" tint="0.59999389629810485"/>
        <bgColor indexed="64"/>
      </patternFill>
    </fill>
    <fill>
      <patternFill patternType="solid">
        <fgColor theme="0" tint="-0.499984740745262"/>
        <bgColor indexed="64"/>
      </patternFill>
    </fill>
    <fill>
      <patternFill patternType="solid">
        <fgColor rgb="FF19E740"/>
        <bgColor indexed="64"/>
      </patternFill>
    </fill>
  </fills>
  <borders count="14">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0" fontId="2" fillId="0" borderId="0" applyNumberFormat="0" applyFill="0" applyBorder="0">
      <alignment vertical="center"/>
    </xf>
    <xf numFmtId="0" fontId="6" fillId="4" borderId="0" applyNumberFormat="0" applyBorder="0" applyAlignment="0" applyProtection="0"/>
    <xf numFmtId="0" fontId="2" fillId="0" borderId="0" applyNumberFormat="0" applyFill="0" applyBorder="0">
      <alignment vertical="center"/>
    </xf>
    <xf numFmtId="0" fontId="2" fillId="0" borderId="0" applyNumberFormat="0" applyFill="0" applyBorder="0">
      <alignment vertical="center"/>
    </xf>
  </cellStyleXfs>
  <cellXfs count="54">
    <xf numFmtId="0" fontId="0" fillId="0" borderId="0" xfId="0"/>
    <xf numFmtId="0" fontId="5" fillId="3" borderId="0" xfId="0" applyFont="1" applyFill="1" applyAlignment="1">
      <alignment horizontal="left" vertical="center" wrapText="1" indent="3"/>
    </xf>
    <xf numFmtId="0" fontId="1" fillId="2" borderId="0" xfId="0" applyFont="1" applyFill="1"/>
    <xf numFmtId="0" fontId="3" fillId="3" borderId="2" xfId="3" applyFont="1" applyFill="1" applyBorder="1" applyAlignment="1">
      <alignment horizontal="left" vertical="center"/>
    </xf>
    <xf numFmtId="0" fontId="3" fillId="3" borderId="3" xfId="3" applyFont="1" applyFill="1" applyBorder="1" applyAlignment="1">
      <alignment horizontal="left" vertical="center"/>
    </xf>
    <xf numFmtId="0" fontId="3" fillId="3" borderId="3" xfId="1" applyFont="1" applyFill="1" applyBorder="1" applyAlignment="1">
      <alignment horizontal="left" vertical="center"/>
    </xf>
    <xf numFmtId="0" fontId="4" fillId="3" borderId="3" xfId="0" applyFont="1" applyFill="1" applyBorder="1" applyAlignment="1">
      <alignment horizontal="left" vertical="center"/>
    </xf>
    <xf numFmtId="0" fontId="3" fillId="3" borderId="0" xfId="1" applyFont="1" applyFill="1" applyBorder="1" applyAlignment="1">
      <alignment horizontal="left" vertical="center"/>
    </xf>
    <xf numFmtId="0" fontId="3" fillId="3" borderId="0" xfId="3" applyFont="1" applyFill="1" applyBorder="1">
      <alignment vertical="center"/>
    </xf>
    <xf numFmtId="0" fontId="3" fillId="3" borderId="3" xfId="3" applyFont="1" applyFill="1" applyBorder="1">
      <alignment vertical="center"/>
    </xf>
    <xf numFmtId="0" fontId="3" fillId="3" borderId="7" xfId="3" applyFont="1" applyFill="1" applyBorder="1">
      <alignment vertical="center"/>
    </xf>
    <xf numFmtId="0" fontId="3" fillId="3" borderId="1" xfId="3" applyFont="1" applyFill="1" applyBorder="1" applyAlignment="1">
      <alignment horizontal="left" vertical="center"/>
    </xf>
    <xf numFmtId="0" fontId="3" fillId="3" borderId="0" xfId="3" applyFont="1" applyFill="1" applyBorder="1" applyAlignment="1">
      <alignment horizontal="left" vertical="center"/>
    </xf>
    <xf numFmtId="0" fontId="4" fillId="3" borderId="0" xfId="0" applyFont="1" applyFill="1" applyAlignment="1">
      <alignment horizontal="left" vertical="center"/>
    </xf>
    <xf numFmtId="0" fontId="3" fillId="3" borderId="8" xfId="3" applyFont="1" applyFill="1" applyBorder="1">
      <alignment vertical="center"/>
    </xf>
    <xf numFmtId="3" fontId="3" fillId="0" borderId="5" xfId="0" applyNumberFormat="1" applyFont="1" applyBorder="1" applyAlignment="1" applyProtection="1">
      <alignment vertical="center"/>
      <protection locked="0"/>
    </xf>
    <xf numFmtId="0" fontId="4" fillId="3" borderId="0" xfId="0" applyFont="1" applyFill="1" applyAlignment="1">
      <alignment horizontal="left" vertical="center" indent="4"/>
    </xf>
    <xf numFmtId="0" fontId="5" fillId="3" borderId="0" xfId="0" applyFont="1" applyFill="1" applyAlignment="1">
      <alignment horizontal="left" vertical="center" wrapText="1" indent="4"/>
    </xf>
    <xf numFmtId="0" fontId="5" fillId="3" borderId="0" xfId="0" applyFont="1" applyFill="1" applyAlignment="1">
      <alignment horizontal="left" vertical="center" indent="4"/>
    </xf>
    <xf numFmtId="0" fontId="4" fillId="3" borderId="0" xfId="0" applyFont="1" applyFill="1" applyAlignment="1">
      <alignment horizontal="left" vertical="center" indent="3"/>
    </xf>
    <xf numFmtId="0" fontId="5" fillId="3" borderId="0" xfId="1" applyFont="1" applyFill="1" applyBorder="1" applyAlignment="1">
      <alignment horizontal="left" vertical="center" wrapText="1"/>
    </xf>
    <xf numFmtId="0" fontId="5" fillId="3" borderId="0" xfId="0" applyFont="1" applyFill="1" applyAlignment="1">
      <alignment horizontal="left" vertical="center" indent="3"/>
    </xf>
    <xf numFmtId="0" fontId="4" fillId="3" borderId="0" xfId="0" applyFont="1" applyFill="1" applyAlignment="1">
      <alignment horizontal="left" vertical="center" indent="2"/>
    </xf>
    <xf numFmtId="0" fontId="5" fillId="3" borderId="0" xfId="0" applyFont="1" applyFill="1" applyAlignment="1">
      <alignment horizontal="left" vertical="center" indent="2"/>
    </xf>
    <xf numFmtId="0" fontId="4" fillId="3" borderId="0" xfId="0" applyFont="1" applyFill="1" applyAlignment="1">
      <alignment horizontal="left" vertical="center" indent="1"/>
    </xf>
    <xf numFmtId="0" fontId="5" fillId="3" borderId="0" xfId="0" applyFont="1" applyFill="1" applyAlignment="1">
      <alignment horizontal="left" vertical="center" indent="1"/>
    </xf>
    <xf numFmtId="0" fontId="5" fillId="3" borderId="0" xfId="0" applyFont="1" applyFill="1" applyAlignment="1">
      <alignment horizontal="left" vertical="center"/>
    </xf>
    <xf numFmtId="0" fontId="4" fillId="3" borderId="0" xfId="0" applyFont="1" applyFill="1" applyAlignment="1">
      <alignment horizontal="left"/>
    </xf>
    <xf numFmtId="3" fontId="3" fillId="3" borderId="0" xfId="3" applyNumberFormat="1" applyFont="1" applyFill="1" applyBorder="1">
      <alignment vertical="center"/>
    </xf>
    <xf numFmtId="164" fontId="3" fillId="0" borderId="5" xfId="0" applyNumberFormat="1" applyFont="1" applyBorder="1" applyAlignment="1" applyProtection="1">
      <alignment vertical="center"/>
      <protection locked="0"/>
    </xf>
    <xf numFmtId="0" fontId="3" fillId="3" borderId="13" xfId="3" applyFont="1" applyFill="1" applyBorder="1">
      <alignment vertical="center"/>
    </xf>
    <xf numFmtId="0" fontId="3" fillId="3" borderId="10" xfId="3" applyFont="1" applyFill="1" applyBorder="1" applyAlignment="1">
      <alignment horizontal="left" vertical="center"/>
    </xf>
    <xf numFmtId="0" fontId="3" fillId="3" borderId="11" xfId="3" applyFont="1" applyFill="1" applyBorder="1" applyAlignment="1">
      <alignment horizontal="left" vertical="center"/>
    </xf>
    <xf numFmtId="0" fontId="3" fillId="3" borderId="11" xfId="3" applyFont="1" applyFill="1" applyBorder="1">
      <alignment vertical="center"/>
    </xf>
    <xf numFmtId="0" fontId="3" fillId="3" borderId="12" xfId="3" applyFont="1" applyFill="1" applyBorder="1">
      <alignment vertical="center"/>
    </xf>
    <xf numFmtId="0" fontId="7" fillId="6" borderId="9" xfId="2" applyFont="1" applyFill="1" applyBorder="1" applyAlignment="1">
      <alignment horizontal="center" vertical="center" wrapText="1"/>
    </xf>
    <xf numFmtId="0" fontId="5" fillId="3" borderId="0" xfId="0" applyFont="1" applyFill="1" applyAlignment="1">
      <alignment horizontal="left" vertical="center" indent="5"/>
    </xf>
    <xf numFmtId="0" fontId="5" fillId="3" borderId="0" xfId="1" applyFont="1" applyFill="1" applyBorder="1" applyAlignment="1">
      <alignment horizontal="left" vertical="center" wrapText="1" indent="4"/>
    </xf>
    <xf numFmtId="3" fontId="3" fillId="2" borderId="5" xfId="0" applyNumberFormat="1" applyFont="1" applyFill="1" applyBorder="1" applyAlignment="1" applyProtection="1">
      <alignment vertical="center"/>
      <protection locked="0"/>
    </xf>
    <xf numFmtId="0" fontId="1" fillId="0" borderId="0" xfId="0" applyFont="1"/>
    <xf numFmtId="0" fontId="5" fillId="3" borderId="0" xfId="1" applyFont="1" applyFill="1" applyBorder="1" applyAlignment="1">
      <alignment horizontal="left" vertical="center"/>
    </xf>
    <xf numFmtId="0" fontId="4" fillId="3" borderId="0" xfId="0" applyFont="1" applyFill="1" applyAlignment="1">
      <alignment horizontal="left" indent="1"/>
    </xf>
    <xf numFmtId="0" fontId="1" fillId="3" borderId="8" xfId="0" applyFont="1" applyFill="1" applyBorder="1"/>
    <xf numFmtId="3" fontId="9" fillId="5" borderId="5" xfId="1" applyNumberFormat="1" applyFont="1" applyFill="1" applyBorder="1">
      <alignment vertical="center"/>
    </xf>
    <xf numFmtId="3" fontId="9" fillId="5" borderId="5" xfId="0" applyNumberFormat="1" applyFont="1" applyFill="1" applyBorder="1" applyAlignment="1" applyProtection="1">
      <alignment vertical="center"/>
      <protection locked="0"/>
    </xf>
    <xf numFmtId="164" fontId="9" fillId="5" borderId="5" xfId="4" applyNumberFormat="1" applyFont="1" applyFill="1" applyBorder="1">
      <alignment vertical="center"/>
    </xf>
    <xf numFmtId="0" fontId="4" fillId="3" borderId="0" xfId="0" applyFont="1" applyFill="1" applyAlignment="1">
      <alignment horizontal="left" vertical="center" wrapText="1" indent="1"/>
    </xf>
    <xf numFmtId="0" fontId="5" fillId="3" borderId="0" xfId="0" applyFont="1" applyFill="1" applyAlignment="1">
      <alignment horizontal="left" vertical="center" wrapText="1" indent="2"/>
    </xf>
    <xf numFmtId="0" fontId="0" fillId="7" borderId="4" xfId="0" applyFill="1" applyBorder="1"/>
    <xf numFmtId="0" fontId="8" fillId="7" borderId="6" xfId="0" applyFont="1" applyFill="1" applyBorder="1"/>
    <xf numFmtId="0" fontId="5" fillId="7" borderId="0" xfId="0" applyFont="1" applyFill="1" applyAlignment="1">
      <alignment horizontal="left" vertical="center" indent="3"/>
    </xf>
    <xf numFmtId="3" fontId="3" fillId="0" borderId="5" xfId="0" applyNumberFormat="1" applyFont="1" applyBorder="1" applyAlignment="1" applyProtection="1">
      <alignment vertical="center"/>
      <protection locked="0"/>
    </xf>
    <xf numFmtId="3" fontId="3" fillId="0" borderId="5" xfId="0" applyNumberFormat="1" applyFont="1" applyBorder="1" applyAlignment="1" applyProtection="1">
      <alignment vertical="center"/>
      <protection locked="0"/>
    </xf>
    <xf numFmtId="3" fontId="3" fillId="0" borderId="5" xfId="0" applyNumberFormat="1" applyFont="1" applyBorder="1" applyAlignment="1" applyProtection="1">
      <alignment vertical="center"/>
      <protection locked="0"/>
    </xf>
  </cellXfs>
  <cellStyles count="5">
    <cellStyle name="60% - akcent 1" xfId="2"/>
    <cellStyle name="Normal" xfId="0" builtinId="0"/>
    <cellStyle name="Normal 3" xfId="1"/>
    <cellStyle name="Normal 5" xfId="4"/>
    <cellStyle name="Normal 6" xfId="3"/>
  </cellStyles>
  <dxfs count="13">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s>
  <tableStyles count="0" defaultTableStyle="TableStyleMedium2" defaultPivotStyle="PivotStyleLight16"/>
  <colors>
    <mruColors>
      <color rgb="FF19E7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10583</xdr:rowOff>
    </xdr:from>
    <xdr:to>
      <xdr:col>5</xdr:col>
      <xdr:colOff>1966383</xdr:colOff>
      <xdr:row>0</xdr:row>
      <xdr:rowOff>820208</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583"/>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2333625</xdr:colOff>
      <xdr:row>0</xdr:row>
      <xdr:rowOff>93133</xdr:rowOff>
    </xdr:from>
    <xdr:to>
      <xdr:col>5</xdr:col>
      <xdr:colOff>5938917</xdr:colOff>
      <xdr:row>1</xdr:row>
      <xdr:rowOff>19633</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8500" y="93133"/>
          <a:ext cx="3605292"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123825</xdr:colOff>
      <xdr:row>0</xdr:row>
      <xdr:rowOff>1009649</xdr:rowOff>
    </xdr:from>
    <xdr:to>
      <xdr:col>5</xdr:col>
      <xdr:colOff>479925</xdr:colOff>
      <xdr:row>1</xdr:row>
      <xdr:rowOff>108149</xdr:rowOff>
    </xdr:to>
    <xdr:sp macro="[0]!crear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4800" y="1009649"/>
          <a:ext cx="1080000"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CL" sz="1100">
              <a:solidFill>
                <a:schemeClr val="lt1">
                  <a:lumMod val="100000"/>
                </a:schemeClr>
              </a:solidFill>
              <a:latin typeface="+mn-lt"/>
              <a:ea typeface="+mn-ea"/>
              <a:cs typeface="+mn-cs"/>
            </a:rPr>
            <a:t>Crear CSV</a:t>
          </a:r>
        </a:p>
      </xdr:txBody>
    </xdr:sp>
    <xdr:clientData/>
  </xdr:twoCellAnchor>
  <xdr:twoCellAnchor>
    <xdr:from>
      <xdr:col>5</xdr:col>
      <xdr:colOff>647700</xdr:colOff>
      <xdr:row>0</xdr:row>
      <xdr:rowOff>1009649</xdr:rowOff>
    </xdr:from>
    <xdr:to>
      <xdr:col>5</xdr:col>
      <xdr:colOff>1727700</xdr:colOff>
      <xdr:row>1</xdr:row>
      <xdr:rowOff>108149</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52575" y="1009649"/>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CL" sz="900">
              <a:solidFill>
                <a:schemeClr val="lt1">
                  <a:lumMod val="100000"/>
                </a:schemeClr>
              </a:solidFill>
              <a:latin typeface="+mn-lt"/>
              <a:ea typeface="+mn-ea"/>
              <a:cs typeface="+mn-cs"/>
            </a:rPr>
            <a:t>Crear/Comprimir</a:t>
          </a:r>
          <a:r>
            <a:rPr lang="es-CL" sz="900" baseline="0">
              <a:solidFill>
                <a:schemeClr val="lt1">
                  <a:lumMod val="100000"/>
                </a:schemeClr>
              </a:solidFill>
              <a:latin typeface="+mn-lt"/>
              <a:ea typeface="+mn-ea"/>
              <a:cs typeface="+mn-cs"/>
            </a:rPr>
            <a:t> CSV</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L48"/>
  <sheetViews>
    <sheetView tabSelected="1" topLeftCell="A16" zoomScale="90" zoomScaleNormal="90" workbookViewId="0">
      <selection activeCell="O25" sqref="O25"/>
    </sheetView>
  </sheetViews>
  <sheetFormatPr baseColWidth="10" defaultRowHeight="15"/>
  <cols>
    <col min="1" max="5" width="2.7109375" customWidth="1"/>
    <col min="6" max="6" width="90.7109375" customWidth="1"/>
    <col min="7" max="7" width="2.7109375" customWidth="1"/>
    <col min="8" max="8" width="16.7109375" bestFit="1" customWidth="1"/>
    <col min="9" max="9" width="19.85546875" bestFit="1" customWidth="1"/>
    <col min="10" max="11" width="14" bestFit="1" customWidth="1"/>
  </cols>
  <sheetData>
    <row r="1" spans="1:12" ht="105" customHeight="1">
      <c r="A1" t="s">
        <v>0</v>
      </c>
    </row>
    <row r="2" spans="1:12">
      <c r="G2" s="48" t="s">
        <v>0</v>
      </c>
      <c r="H2" s="49" t="s">
        <v>78</v>
      </c>
    </row>
    <row r="3" spans="1:12" s="39" customFormat="1" ht="15" customHeight="1">
      <c r="A3" s="2" t="s">
        <v>0</v>
      </c>
      <c r="B3" s="3"/>
      <c r="C3" s="4"/>
      <c r="D3" s="5" t="s">
        <v>0</v>
      </c>
      <c r="E3" s="4" t="s">
        <v>0</v>
      </c>
      <c r="F3" s="6" t="s">
        <v>3</v>
      </c>
      <c r="G3" s="7" t="s">
        <v>0</v>
      </c>
      <c r="H3" s="8"/>
      <c r="I3" s="9"/>
      <c r="J3" s="9"/>
      <c r="K3" s="9"/>
      <c r="L3" s="10"/>
    </row>
    <row r="4" spans="1:12" s="39" customFormat="1" ht="24">
      <c r="A4" s="2" t="s">
        <v>0</v>
      </c>
      <c r="B4" s="11"/>
      <c r="C4" s="12"/>
      <c r="D4" s="7" t="s">
        <v>0</v>
      </c>
      <c r="E4" s="12" t="s">
        <v>0</v>
      </c>
      <c r="F4" s="13" t="s">
        <v>4</v>
      </c>
      <c r="G4" s="7" t="s">
        <v>0</v>
      </c>
      <c r="H4" s="35" t="s">
        <v>29</v>
      </c>
      <c r="I4" s="35" t="s">
        <v>30</v>
      </c>
      <c r="J4" s="35" t="s">
        <v>31</v>
      </c>
      <c r="K4" s="35" t="s">
        <v>32</v>
      </c>
      <c r="L4" s="14"/>
    </row>
    <row r="5" spans="1:12" s="39" customFormat="1" ht="15" customHeight="1">
      <c r="A5" s="2" t="s">
        <v>0</v>
      </c>
      <c r="B5" s="11" t="s">
        <v>80</v>
      </c>
      <c r="C5" s="12" t="s">
        <v>35</v>
      </c>
      <c r="D5" s="7" t="s">
        <v>0</v>
      </c>
      <c r="E5" s="12" t="s">
        <v>0</v>
      </c>
      <c r="F5" s="36" t="s">
        <v>5</v>
      </c>
      <c r="G5" s="7" t="s">
        <v>1</v>
      </c>
      <c r="H5" s="51">
        <v>146210509000</v>
      </c>
      <c r="I5" s="15">
        <v>125886312000</v>
      </c>
      <c r="J5" s="15">
        <v>146210509000</v>
      </c>
      <c r="K5" s="15">
        <v>125886312000</v>
      </c>
      <c r="L5" s="30"/>
    </row>
    <row r="6" spans="1:12" s="39" customFormat="1" ht="15" customHeight="1">
      <c r="A6" s="2" t="s">
        <v>0</v>
      </c>
      <c r="B6" s="11" t="s">
        <v>80</v>
      </c>
      <c r="C6" s="12" t="s">
        <v>36</v>
      </c>
      <c r="D6" s="7" t="s">
        <v>0</v>
      </c>
      <c r="E6" s="12" t="s">
        <v>0</v>
      </c>
      <c r="F6" s="36" t="s">
        <v>6</v>
      </c>
      <c r="G6" s="7" t="s">
        <v>2</v>
      </c>
      <c r="H6" s="52">
        <v>33731080000</v>
      </c>
      <c r="I6" s="15">
        <v>28606149000</v>
      </c>
      <c r="J6" s="15">
        <v>33731080000</v>
      </c>
      <c r="K6" s="15">
        <v>28606149000</v>
      </c>
      <c r="L6" s="14"/>
    </row>
    <row r="7" spans="1:12" s="39" customFormat="1" ht="15" customHeight="1">
      <c r="A7" s="2" t="s">
        <v>0</v>
      </c>
      <c r="B7" s="11" t="s">
        <v>80</v>
      </c>
      <c r="C7" s="12" t="s">
        <v>37</v>
      </c>
      <c r="D7" s="7" t="s">
        <v>0</v>
      </c>
      <c r="E7" s="12" t="s">
        <v>0</v>
      </c>
      <c r="F7" s="16" t="s">
        <v>7</v>
      </c>
      <c r="G7" s="7" t="s">
        <v>1</v>
      </c>
      <c r="H7" s="43">
        <f>H5-H6</f>
        <v>112479429000</v>
      </c>
      <c r="I7" s="43">
        <f>I5-I6</f>
        <v>97280163000</v>
      </c>
      <c r="J7" s="43">
        <f>J5-J6</f>
        <v>112479429000</v>
      </c>
      <c r="K7" s="43">
        <f>K5-K6</f>
        <v>97280163000</v>
      </c>
      <c r="L7" s="14"/>
    </row>
    <row r="8" spans="1:12" s="39" customFormat="1" ht="15" customHeight="1">
      <c r="A8" s="2" t="s">
        <v>0</v>
      </c>
      <c r="B8" s="11" t="s">
        <v>80</v>
      </c>
      <c r="C8" s="12" t="s">
        <v>38</v>
      </c>
      <c r="D8" s="7" t="s">
        <v>0</v>
      </c>
      <c r="E8" s="12" t="s">
        <v>0</v>
      </c>
      <c r="F8" s="17" t="s">
        <v>8</v>
      </c>
      <c r="G8" s="7" t="s">
        <v>1</v>
      </c>
      <c r="H8" s="15"/>
      <c r="I8" s="15"/>
      <c r="J8" s="15"/>
      <c r="K8" s="15"/>
      <c r="L8" s="14"/>
    </row>
    <row r="9" spans="1:12" s="39" customFormat="1" ht="15" customHeight="1">
      <c r="A9" s="2" t="s">
        <v>0</v>
      </c>
      <c r="B9" s="11" t="s">
        <v>80</v>
      </c>
      <c r="C9" s="12" t="s">
        <v>39</v>
      </c>
      <c r="D9" s="7" t="s">
        <v>0</v>
      </c>
      <c r="E9" s="12" t="s">
        <v>0</v>
      </c>
      <c r="F9" s="37" t="s">
        <v>9</v>
      </c>
      <c r="G9" s="7" t="s">
        <v>2</v>
      </c>
      <c r="H9" s="15"/>
      <c r="I9" s="15"/>
      <c r="J9" s="15"/>
      <c r="K9" s="15"/>
      <c r="L9" s="14"/>
    </row>
    <row r="10" spans="1:12" s="39" customFormat="1" ht="15" customHeight="1">
      <c r="A10" s="2" t="s">
        <v>0</v>
      </c>
      <c r="B10" s="11" t="s">
        <v>80</v>
      </c>
      <c r="C10" s="12" t="s">
        <v>40</v>
      </c>
      <c r="D10" s="7" t="s">
        <v>0</v>
      </c>
      <c r="E10" s="12" t="s">
        <v>0</v>
      </c>
      <c r="F10" s="18" t="s">
        <v>10</v>
      </c>
      <c r="G10" s="7" t="s">
        <v>2</v>
      </c>
      <c r="H10" s="15">
        <v>14955558000</v>
      </c>
      <c r="I10" s="15">
        <v>15315325000</v>
      </c>
      <c r="J10" s="15">
        <v>14955558000</v>
      </c>
      <c r="K10" s="15">
        <v>15315325000</v>
      </c>
      <c r="L10" s="14"/>
    </row>
    <row r="11" spans="1:12" s="39" customFormat="1" ht="15" customHeight="1">
      <c r="A11" s="2" t="s">
        <v>0</v>
      </c>
      <c r="B11" s="11" t="s">
        <v>80</v>
      </c>
      <c r="C11" s="12" t="s">
        <v>41</v>
      </c>
      <c r="D11" s="7" t="s">
        <v>0</v>
      </c>
      <c r="E11" s="12" t="s">
        <v>0</v>
      </c>
      <c r="F11" s="18" t="s">
        <v>11</v>
      </c>
      <c r="G11" s="7" t="s">
        <v>2</v>
      </c>
      <c r="H11" s="15"/>
      <c r="I11" s="15"/>
      <c r="J11" s="15"/>
      <c r="K11" s="15"/>
      <c r="L11" s="14"/>
    </row>
    <row r="12" spans="1:12" s="39" customFormat="1" ht="15" customHeight="1">
      <c r="A12" s="2" t="s">
        <v>0</v>
      </c>
      <c r="B12" s="11" t="s">
        <v>80</v>
      </c>
      <c r="C12" s="12" t="s">
        <v>42</v>
      </c>
      <c r="D12" s="7" t="s">
        <v>0</v>
      </c>
      <c r="E12" s="12" t="s">
        <v>0</v>
      </c>
      <c r="F12" s="18" t="s">
        <v>12</v>
      </c>
      <c r="G12" s="7" t="s">
        <v>1</v>
      </c>
      <c r="H12" s="15">
        <v>-4138296000</v>
      </c>
      <c r="I12" s="15">
        <v>-1460204000</v>
      </c>
      <c r="J12" s="15">
        <v>-4138296000</v>
      </c>
      <c r="K12" s="15">
        <v>-1460204000</v>
      </c>
      <c r="L12" s="14"/>
    </row>
    <row r="13" spans="1:12" s="39" customFormat="1" ht="15" customHeight="1">
      <c r="A13" s="2" t="s">
        <v>0</v>
      </c>
      <c r="B13" s="11" t="s">
        <v>80</v>
      </c>
      <c r="C13" s="12" t="s">
        <v>43</v>
      </c>
      <c r="D13" s="7" t="s">
        <v>0</v>
      </c>
      <c r="E13" s="12" t="s">
        <v>0</v>
      </c>
      <c r="F13" s="19" t="s">
        <v>13</v>
      </c>
      <c r="G13" s="7" t="s">
        <v>1</v>
      </c>
      <c r="H13" s="43">
        <f>+H7+H8-H9-H10-H11+H12</f>
        <v>93385575000</v>
      </c>
      <c r="I13" s="43">
        <f>+I7+I8-I9-I10-I11+I12</f>
        <v>80504634000</v>
      </c>
      <c r="J13" s="43">
        <f>+J7+J8-J9-J10-J11+J12</f>
        <v>93385575000</v>
      </c>
      <c r="K13" s="43">
        <f>+K7+K8-K9-K10-K11+K12</f>
        <v>80504634000</v>
      </c>
      <c r="L13" s="14"/>
    </row>
    <row r="14" spans="1:12" s="39" customFormat="1" ht="22.5">
      <c r="A14" s="2" t="s">
        <v>0</v>
      </c>
      <c r="B14" s="11" t="s">
        <v>80</v>
      </c>
      <c r="C14" s="12" t="s">
        <v>44</v>
      </c>
      <c r="D14" s="7" t="s">
        <v>0</v>
      </c>
      <c r="E14" s="12" t="s">
        <v>0</v>
      </c>
      <c r="F14" s="20" t="s">
        <v>14</v>
      </c>
      <c r="G14" s="7" t="s">
        <v>1</v>
      </c>
      <c r="H14" s="15"/>
      <c r="I14" s="15"/>
      <c r="J14" s="15"/>
      <c r="K14" s="15"/>
      <c r="L14" s="14"/>
    </row>
    <row r="15" spans="1:12" s="39" customFormat="1" ht="15" customHeight="1">
      <c r="A15" s="2" t="s">
        <v>0</v>
      </c>
      <c r="B15" s="11" t="s">
        <v>80</v>
      </c>
      <c r="C15" s="12" t="s">
        <v>45</v>
      </c>
      <c r="D15" s="7" t="s">
        <v>0</v>
      </c>
      <c r="E15" s="12" t="s">
        <v>0</v>
      </c>
      <c r="F15" s="21" t="s">
        <v>15</v>
      </c>
      <c r="G15" s="7" t="s">
        <v>1</v>
      </c>
      <c r="H15" s="15">
        <v>3537871000</v>
      </c>
      <c r="I15" s="15">
        <v>4605580000</v>
      </c>
      <c r="J15" s="15">
        <v>3537871000</v>
      </c>
      <c r="K15" s="15">
        <v>4605580000</v>
      </c>
      <c r="L15" s="14"/>
    </row>
    <row r="16" spans="1:12" s="39" customFormat="1" ht="15" customHeight="1">
      <c r="A16" s="2" t="s">
        <v>0</v>
      </c>
      <c r="B16" s="11" t="s">
        <v>80</v>
      </c>
      <c r="C16" s="12" t="s">
        <v>46</v>
      </c>
      <c r="D16" s="7" t="s">
        <v>0</v>
      </c>
      <c r="E16" s="7" t="s">
        <v>0</v>
      </c>
      <c r="F16" s="1" t="s">
        <v>16</v>
      </c>
      <c r="G16" s="7" t="s">
        <v>2</v>
      </c>
      <c r="H16" s="15"/>
      <c r="I16" s="15"/>
      <c r="J16" s="15"/>
      <c r="K16" s="15"/>
      <c r="L16" s="14"/>
    </row>
    <row r="17" spans="1:12" s="39" customFormat="1" ht="22.5">
      <c r="A17" s="2"/>
      <c r="B17" s="11" t="s">
        <v>80</v>
      </c>
      <c r="C17" s="12" t="s">
        <v>33</v>
      </c>
      <c r="D17" s="7" t="s">
        <v>0</v>
      </c>
      <c r="E17" s="7"/>
      <c r="F17" s="1" t="s">
        <v>67</v>
      </c>
      <c r="G17" s="7" t="s">
        <v>2</v>
      </c>
      <c r="H17" s="15">
        <v>30189637000</v>
      </c>
      <c r="I17" s="15">
        <v>25825240000</v>
      </c>
      <c r="J17" s="15">
        <v>30189637000</v>
      </c>
      <c r="K17" s="15">
        <v>25825240000</v>
      </c>
      <c r="L17" s="14"/>
    </row>
    <row r="18" spans="1:12" s="39" customFormat="1" ht="24.75" customHeight="1">
      <c r="A18" s="2" t="s">
        <v>0</v>
      </c>
      <c r="B18" s="11" t="s">
        <v>80</v>
      </c>
      <c r="C18" s="12" t="s">
        <v>47</v>
      </c>
      <c r="D18" s="7" t="s">
        <v>0</v>
      </c>
      <c r="E18" s="12" t="s">
        <v>0</v>
      </c>
      <c r="F18" s="1" t="s">
        <v>17</v>
      </c>
      <c r="G18" s="7" t="s">
        <v>1</v>
      </c>
      <c r="H18" s="15">
        <v>8296038000</v>
      </c>
      <c r="I18" s="15">
        <v>8750979000</v>
      </c>
      <c r="J18" s="15">
        <v>8296038000</v>
      </c>
      <c r="K18" s="15">
        <v>8750979000</v>
      </c>
      <c r="L18" s="14"/>
    </row>
    <row r="19" spans="1:12" s="39" customFormat="1" ht="15" customHeight="1">
      <c r="A19" s="2" t="s">
        <v>0</v>
      </c>
      <c r="B19" s="11" t="s">
        <v>80</v>
      </c>
      <c r="C19" s="12" t="s">
        <v>79</v>
      </c>
      <c r="D19" s="7" t="s">
        <v>0</v>
      </c>
      <c r="E19" s="12" t="s">
        <v>0</v>
      </c>
      <c r="F19" s="50" t="s">
        <v>81</v>
      </c>
      <c r="G19" s="7" t="s">
        <v>1</v>
      </c>
      <c r="H19" s="15">
        <v>-4317078000</v>
      </c>
      <c r="I19" s="15">
        <v>889035000</v>
      </c>
      <c r="J19" s="15">
        <v>-4317078000</v>
      </c>
      <c r="K19" s="15">
        <v>889035000</v>
      </c>
      <c r="L19" s="14"/>
    </row>
    <row r="20" spans="1:12" s="39" customFormat="1" ht="15" customHeight="1">
      <c r="A20" s="2" t="s">
        <v>0</v>
      </c>
      <c r="B20" s="11" t="s">
        <v>80</v>
      </c>
      <c r="C20" s="12" t="s">
        <v>64</v>
      </c>
      <c r="D20" s="7" t="s">
        <v>0</v>
      </c>
      <c r="E20" s="12" t="s">
        <v>0</v>
      </c>
      <c r="F20" s="21" t="s">
        <v>18</v>
      </c>
      <c r="G20" s="7" t="s">
        <v>1</v>
      </c>
      <c r="H20" s="15">
        <v>-14833818000</v>
      </c>
      <c r="I20" s="15">
        <v>-13095652000</v>
      </c>
      <c r="J20" s="15">
        <v>-14833818000</v>
      </c>
      <c r="K20" s="15">
        <v>-13095652000</v>
      </c>
      <c r="L20" s="14"/>
    </row>
    <row r="21" spans="1:12" s="39" customFormat="1" ht="33.75">
      <c r="A21" s="2" t="s">
        <v>0</v>
      </c>
      <c r="B21" s="11" t="s">
        <v>80</v>
      </c>
      <c r="C21" s="12" t="s">
        <v>48</v>
      </c>
      <c r="D21" s="7" t="s">
        <v>0</v>
      </c>
      <c r="E21" s="12" t="s">
        <v>0</v>
      </c>
      <c r="F21" s="1" t="s">
        <v>19</v>
      </c>
      <c r="G21" s="7" t="s">
        <v>1</v>
      </c>
      <c r="H21" s="15"/>
      <c r="I21" s="15"/>
      <c r="J21" s="15"/>
      <c r="K21" s="15"/>
      <c r="L21" s="14"/>
    </row>
    <row r="22" spans="1:12" s="39" customFormat="1" ht="45">
      <c r="A22" s="2"/>
      <c r="B22" s="11" t="s">
        <v>80</v>
      </c>
      <c r="C22" s="12" t="s">
        <v>34</v>
      </c>
      <c r="D22" s="7" t="s">
        <v>0</v>
      </c>
      <c r="E22" s="12"/>
      <c r="F22" s="1" t="s">
        <v>68</v>
      </c>
      <c r="G22" s="7" t="s">
        <v>1</v>
      </c>
      <c r="H22" s="15">
        <v>33955291000</v>
      </c>
      <c r="I22" s="15">
        <v>16707834000</v>
      </c>
      <c r="J22" s="15">
        <v>33955291000</v>
      </c>
      <c r="K22" s="15">
        <v>16707834000</v>
      </c>
      <c r="L22" s="14"/>
    </row>
    <row r="23" spans="1:12" s="39" customFormat="1" ht="22.5">
      <c r="A23" s="2"/>
      <c r="B23" s="11" t="s">
        <v>80</v>
      </c>
      <c r="C23" s="12" t="s">
        <v>49</v>
      </c>
      <c r="D23" s="7" t="s">
        <v>0</v>
      </c>
      <c r="E23" s="12"/>
      <c r="F23" s="1" t="s">
        <v>28</v>
      </c>
      <c r="G23" s="7"/>
      <c r="H23" s="15">
        <v>-18083655000</v>
      </c>
      <c r="I23" s="15">
        <v>-11744400000</v>
      </c>
      <c r="J23" s="15">
        <v>-18083655000</v>
      </c>
      <c r="K23" s="15">
        <v>-11744400000</v>
      </c>
      <c r="L23" s="14"/>
    </row>
    <row r="24" spans="1:12" s="39" customFormat="1" ht="15" customHeight="1">
      <c r="A24" s="2" t="s">
        <v>0</v>
      </c>
      <c r="B24" s="11" t="s">
        <v>80</v>
      </c>
      <c r="C24" s="12" t="s">
        <v>50</v>
      </c>
      <c r="D24" s="7" t="s">
        <v>0</v>
      </c>
      <c r="E24" s="12" t="s">
        <v>0</v>
      </c>
      <c r="F24" s="22" t="s">
        <v>20</v>
      </c>
      <c r="G24" s="7" t="s">
        <v>1</v>
      </c>
      <c r="H24" s="44">
        <f>+H13+H14+H15-H16-H17+H18+H19+H20+H21+H22+H23</f>
        <v>71750587000</v>
      </c>
      <c r="I24" s="44">
        <f t="shared" ref="I24" si="0">+I13+I14+I15-I16-I17+I18+I19+I20+I21+I22+I23</f>
        <v>60792770000</v>
      </c>
      <c r="J24" s="44">
        <f>+J13+J14+J15-J16-J17+J18+J19+J20+J21+J22+J23</f>
        <v>71750587000</v>
      </c>
      <c r="K24" s="44">
        <f t="shared" ref="K24" si="1">+K13+K14+K15-K16-K17+K18+K19+K20+K21+K22+K23</f>
        <v>60792770000</v>
      </c>
      <c r="L24" s="14"/>
    </row>
    <row r="25" spans="1:12" s="39" customFormat="1" ht="15" customHeight="1">
      <c r="A25" s="2" t="s">
        <v>0</v>
      </c>
      <c r="B25" s="11" t="s">
        <v>80</v>
      </c>
      <c r="C25" s="12" t="s">
        <v>51</v>
      </c>
      <c r="D25" s="7" t="s">
        <v>0</v>
      </c>
      <c r="E25" s="12" t="s">
        <v>0</v>
      </c>
      <c r="F25" s="23" t="s">
        <v>21</v>
      </c>
      <c r="G25" s="7" t="s">
        <v>2</v>
      </c>
      <c r="H25" s="15">
        <v>18083655000</v>
      </c>
      <c r="I25" s="15">
        <v>11744400000</v>
      </c>
      <c r="J25" s="15">
        <v>18083655000</v>
      </c>
      <c r="K25" s="15">
        <v>11744400000</v>
      </c>
      <c r="L25" s="14"/>
    </row>
    <row r="26" spans="1:12" s="39" customFormat="1" ht="15" customHeight="1">
      <c r="A26" s="2" t="s">
        <v>0</v>
      </c>
      <c r="B26" s="11" t="s">
        <v>80</v>
      </c>
      <c r="C26" s="12" t="s">
        <v>52</v>
      </c>
      <c r="D26" s="7" t="s">
        <v>0</v>
      </c>
      <c r="E26" s="12" t="s">
        <v>0</v>
      </c>
      <c r="F26" s="24" t="s">
        <v>22</v>
      </c>
      <c r="G26" s="7" t="s">
        <v>1</v>
      </c>
      <c r="H26" s="44">
        <f>H24-H25</f>
        <v>53666932000</v>
      </c>
      <c r="I26" s="44">
        <f>I24-I25</f>
        <v>49048370000</v>
      </c>
      <c r="J26" s="44">
        <f>J24-J25</f>
        <v>53666932000</v>
      </c>
      <c r="K26" s="44">
        <f>K24-K25</f>
        <v>49048370000</v>
      </c>
      <c r="L26" s="14"/>
    </row>
    <row r="27" spans="1:12" s="39" customFormat="1" ht="15" customHeight="1">
      <c r="A27" s="2" t="s">
        <v>0</v>
      </c>
      <c r="B27" s="11" t="s">
        <v>80</v>
      </c>
      <c r="C27" s="12" t="s">
        <v>53</v>
      </c>
      <c r="D27" s="7" t="s">
        <v>0</v>
      </c>
      <c r="E27" s="12" t="s">
        <v>0</v>
      </c>
      <c r="F27" s="25" t="s">
        <v>23</v>
      </c>
      <c r="G27" s="7" t="s">
        <v>1</v>
      </c>
      <c r="H27" s="38">
        <v>18083655000</v>
      </c>
      <c r="I27" s="38">
        <v>11744400000</v>
      </c>
      <c r="J27" s="38">
        <v>18083655000</v>
      </c>
      <c r="K27" s="38">
        <v>11744400000</v>
      </c>
      <c r="L27" s="14"/>
    </row>
    <row r="28" spans="1:12" s="39" customFormat="1" ht="15" customHeight="1">
      <c r="A28" s="2" t="s">
        <v>0</v>
      </c>
      <c r="B28" s="11" t="s">
        <v>80</v>
      </c>
      <c r="C28" s="12" t="s">
        <v>54</v>
      </c>
      <c r="D28" s="7" t="s">
        <v>0</v>
      </c>
      <c r="E28" s="12" t="s">
        <v>0</v>
      </c>
      <c r="F28" s="13" t="s">
        <v>24</v>
      </c>
      <c r="G28" s="7" t="s">
        <v>0</v>
      </c>
      <c r="H28" s="43">
        <f>H27+H26</f>
        <v>71750587000</v>
      </c>
      <c r="I28" s="43">
        <f>I27+I26</f>
        <v>60792770000</v>
      </c>
      <c r="J28" s="43">
        <f>J27+J26</f>
        <v>71750587000</v>
      </c>
      <c r="K28" s="43">
        <f>K27+K26</f>
        <v>60792770000</v>
      </c>
      <c r="L28" s="14"/>
    </row>
    <row r="29" spans="1:12" s="39" customFormat="1" ht="15" customHeight="1">
      <c r="A29" s="2"/>
      <c r="B29" s="11"/>
      <c r="C29" s="12"/>
      <c r="D29" s="7"/>
      <c r="E29" s="12"/>
      <c r="F29" s="26"/>
      <c r="G29" s="7"/>
      <c r="H29" s="27"/>
      <c r="I29" s="27"/>
      <c r="J29" s="27"/>
      <c r="K29" s="27"/>
      <c r="L29" s="14"/>
    </row>
    <row r="30" spans="1:12" s="39" customFormat="1" ht="15" customHeight="1">
      <c r="A30" s="2" t="s">
        <v>0</v>
      </c>
      <c r="B30" s="11"/>
      <c r="C30" s="12"/>
      <c r="D30" s="7" t="s">
        <v>0</v>
      </c>
      <c r="E30" s="12" t="s">
        <v>0</v>
      </c>
      <c r="F30" s="13" t="s">
        <v>25</v>
      </c>
      <c r="G30" s="7" t="s">
        <v>0</v>
      </c>
      <c r="H30" s="28"/>
      <c r="I30" s="28"/>
      <c r="J30" s="28"/>
      <c r="K30" s="28"/>
      <c r="L30" s="14"/>
    </row>
    <row r="31" spans="1:12" s="39" customFormat="1" ht="15" customHeight="1">
      <c r="A31" s="2" t="s">
        <v>0</v>
      </c>
      <c r="B31" s="11" t="s">
        <v>80</v>
      </c>
      <c r="C31" s="12" t="s">
        <v>55</v>
      </c>
      <c r="D31" s="7" t="s">
        <v>0</v>
      </c>
      <c r="E31" s="12" t="s">
        <v>0</v>
      </c>
      <c r="F31" s="26" t="s">
        <v>26</v>
      </c>
      <c r="G31" s="7" t="s">
        <v>1</v>
      </c>
      <c r="H31" s="53">
        <v>60087742000</v>
      </c>
      <c r="I31" s="15">
        <v>57749400000</v>
      </c>
      <c r="J31" s="15">
        <v>60087742000</v>
      </c>
      <c r="K31" s="15">
        <v>57749400000</v>
      </c>
      <c r="L31" s="14"/>
    </row>
    <row r="32" spans="1:12" s="39" customFormat="1" ht="15" customHeight="1">
      <c r="A32" s="2" t="s">
        <v>0</v>
      </c>
      <c r="B32" s="11" t="s">
        <v>80</v>
      </c>
      <c r="C32" s="12" t="s">
        <v>56</v>
      </c>
      <c r="D32" s="7" t="s">
        <v>0</v>
      </c>
      <c r="E32" s="12" t="s">
        <v>0</v>
      </c>
      <c r="F32" s="25" t="s">
        <v>27</v>
      </c>
      <c r="G32" s="7" t="s">
        <v>1</v>
      </c>
      <c r="H32" s="15">
        <v>11662845000</v>
      </c>
      <c r="I32" s="15">
        <v>3043370000</v>
      </c>
      <c r="J32" s="15">
        <v>11662845000</v>
      </c>
      <c r="K32" s="15">
        <v>3043370000</v>
      </c>
      <c r="L32" s="14"/>
    </row>
    <row r="33" spans="1:12" s="39" customFormat="1" ht="15" customHeight="1">
      <c r="A33" s="2" t="s">
        <v>0</v>
      </c>
      <c r="B33" s="11" t="s">
        <v>80</v>
      </c>
      <c r="C33" s="12" t="s">
        <v>54</v>
      </c>
      <c r="D33" s="7" t="s">
        <v>0</v>
      </c>
      <c r="E33" s="12" t="s">
        <v>0</v>
      </c>
      <c r="F33" s="24" t="s">
        <v>24</v>
      </c>
      <c r="G33" s="7" t="s">
        <v>0</v>
      </c>
      <c r="H33" s="43">
        <f>H32+H31</f>
        <v>71750587000</v>
      </c>
      <c r="I33" s="43">
        <f>I32+I31</f>
        <v>60792770000</v>
      </c>
      <c r="J33" s="43">
        <f>J32+J31</f>
        <v>71750587000</v>
      </c>
      <c r="K33" s="43">
        <f>K32+K31</f>
        <v>60792770000</v>
      </c>
      <c r="L33" s="14"/>
    </row>
    <row r="34" spans="1:12" s="39" customFormat="1" ht="15" customHeight="1">
      <c r="A34" s="2"/>
      <c r="B34" s="11"/>
      <c r="C34" s="12"/>
      <c r="D34" s="7"/>
      <c r="E34" s="12"/>
      <c r="F34" s="24"/>
      <c r="G34" s="7"/>
      <c r="H34" s="24"/>
      <c r="I34" s="24"/>
      <c r="J34" s="24"/>
      <c r="K34" s="24"/>
      <c r="L34" s="14"/>
    </row>
    <row r="35" spans="1:12" s="39" customFormat="1" ht="15" customHeight="1">
      <c r="A35" s="2"/>
      <c r="B35" s="11"/>
      <c r="C35" s="12"/>
      <c r="D35" s="7" t="s">
        <v>0</v>
      </c>
      <c r="E35" s="12" t="s">
        <v>0</v>
      </c>
      <c r="F35" s="27" t="s">
        <v>65</v>
      </c>
      <c r="G35" s="40" t="s">
        <v>0</v>
      </c>
      <c r="H35" s="41"/>
      <c r="I35" s="41"/>
      <c r="J35" s="41"/>
      <c r="K35" s="41"/>
      <c r="L35" s="42"/>
    </row>
    <row r="36" spans="1:12" s="39" customFormat="1" ht="15" customHeight="1">
      <c r="A36" s="2"/>
      <c r="B36" s="11" t="s">
        <v>80</v>
      </c>
      <c r="C36" s="12" t="s">
        <v>66</v>
      </c>
      <c r="D36" s="7" t="s">
        <v>0</v>
      </c>
      <c r="E36" s="12"/>
      <c r="F36" s="15"/>
      <c r="G36" s="40"/>
      <c r="H36" s="41"/>
      <c r="I36" s="41"/>
      <c r="J36" s="41"/>
      <c r="K36" s="41"/>
      <c r="L36" s="42"/>
    </row>
    <row r="37" spans="1:12" s="39" customFormat="1" ht="15" customHeight="1">
      <c r="A37" s="2"/>
      <c r="B37" s="11"/>
      <c r="C37" s="12"/>
      <c r="D37" s="7"/>
      <c r="E37" s="12"/>
      <c r="F37" s="25"/>
      <c r="G37" s="7"/>
      <c r="H37" s="27"/>
      <c r="I37" s="27"/>
      <c r="J37" s="27"/>
      <c r="K37" s="27"/>
      <c r="L37" s="14"/>
    </row>
    <row r="38" spans="1:12" s="39" customFormat="1" ht="15" customHeight="1">
      <c r="A38" s="2"/>
      <c r="B38" s="11"/>
      <c r="C38" s="12"/>
      <c r="D38" s="7" t="s">
        <v>0</v>
      </c>
      <c r="E38" s="12" t="s">
        <v>0</v>
      </c>
      <c r="F38" s="13" t="s">
        <v>74</v>
      </c>
      <c r="G38" s="7" t="s">
        <v>0</v>
      </c>
      <c r="H38" s="28"/>
      <c r="I38" s="28"/>
      <c r="J38" s="28"/>
      <c r="K38" s="28"/>
      <c r="L38" s="14"/>
    </row>
    <row r="39" spans="1:12" s="39" customFormat="1" ht="15" customHeight="1">
      <c r="A39" s="2"/>
      <c r="B39" s="11"/>
      <c r="C39" s="12"/>
      <c r="D39" s="7" t="s">
        <v>0</v>
      </c>
      <c r="E39" s="12" t="s">
        <v>0</v>
      </c>
      <c r="F39" s="24" t="s">
        <v>75</v>
      </c>
      <c r="G39" s="7" t="s">
        <v>0</v>
      </c>
      <c r="H39" s="28"/>
      <c r="I39" s="28"/>
      <c r="J39" s="28"/>
      <c r="K39" s="28"/>
      <c r="L39" s="14"/>
    </row>
    <row r="40" spans="1:12" s="39" customFormat="1" ht="15" customHeight="1">
      <c r="A40" s="2" t="s">
        <v>0</v>
      </c>
      <c r="B40" s="11" t="s">
        <v>80</v>
      </c>
      <c r="C40" s="12" t="s">
        <v>57</v>
      </c>
      <c r="D40" s="7" t="s">
        <v>0</v>
      </c>
      <c r="E40" s="12" t="s">
        <v>0</v>
      </c>
      <c r="F40" s="23" t="s">
        <v>76</v>
      </c>
      <c r="G40" s="7" t="s">
        <v>1</v>
      </c>
      <c r="H40" s="29">
        <v>73.540000000000006</v>
      </c>
      <c r="I40" s="29">
        <v>73.27</v>
      </c>
      <c r="J40" s="29">
        <v>73.540000000000006</v>
      </c>
      <c r="K40" s="29">
        <v>73.27</v>
      </c>
      <c r="L40" s="14"/>
    </row>
    <row r="41" spans="1:12" s="39" customFormat="1" ht="15" customHeight="1">
      <c r="A41" s="2" t="s">
        <v>0</v>
      </c>
      <c r="B41" s="11" t="s">
        <v>80</v>
      </c>
      <c r="C41" s="12" t="s">
        <v>58</v>
      </c>
      <c r="D41" s="7" t="s">
        <v>0</v>
      </c>
      <c r="E41" s="12" t="s">
        <v>0</v>
      </c>
      <c r="F41" s="23" t="s">
        <v>77</v>
      </c>
      <c r="G41" s="7" t="s">
        <v>1</v>
      </c>
      <c r="H41" s="29"/>
      <c r="I41" s="29"/>
      <c r="J41" s="29"/>
      <c r="K41" s="29"/>
      <c r="L41" s="14"/>
    </row>
    <row r="42" spans="1:12" s="39" customFormat="1" ht="15" customHeight="1">
      <c r="A42" s="2" t="s">
        <v>0</v>
      </c>
      <c r="B42" s="11" t="s">
        <v>80</v>
      </c>
      <c r="C42" s="12" t="s">
        <v>59</v>
      </c>
      <c r="D42" s="7" t="s">
        <v>0</v>
      </c>
      <c r="E42" s="12" t="s">
        <v>0</v>
      </c>
      <c r="F42" s="24" t="s">
        <v>73</v>
      </c>
      <c r="G42" s="7" t="s">
        <v>0</v>
      </c>
      <c r="H42" s="45">
        <f>H41+H40</f>
        <v>73.540000000000006</v>
      </c>
      <c r="I42" s="45">
        <f>I41+I40</f>
        <v>73.27</v>
      </c>
      <c r="J42" s="45">
        <f>J41+J40</f>
        <v>73.540000000000006</v>
      </c>
      <c r="K42" s="45">
        <f>K41+K40</f>
        <v>73.27</v>
      </c>
      <c r="L42" s="14"/>
    </row>
    <row r="43" spans="1:12" s="39" customFormat="1" ht="15" customHeight="1">
      <c r="A43" s="2"/>
      <c r="B43" s="11"/>
      <c r="C43" s="12"/>
      <c r="D43" s="7"/>
      <c r="E43" s="12"/>
      <c r="F43" s="19"/>
      <c r="G43" s="7"/>
      <c r="H43" s="28"/>
      <c r="I43" s="28"/>
      <c r="J43" s="28"/>
      <c r="K43" s="28"/>
      <c r="L43" s="14"/>
    </row>
    <row r="44" spans="1:12" s="39" customFormat="1" ht="15" customHeight="1">
      <c r="A44" s="2" t="s">
        <v>0</v>
      </c>
      <c r="B44" s="11" t="s">
        <v>80</v>
      </c>
      <c r="C44" s="12" t="s">
        <v>60</v>
      </c>
      <c r="D44" s="7" t="s">
        <v>0</v>
      </c>
      <c r="E44" s="12" t="s">
        <v>0</v>
      </c>
      <c r="F44" s="24" t="s">
        <v>69</v>
      </c>
      <c r="G44" s="7" t="s">
        <v>0</v>
      </c>
      <c r="H44" s="28"/>
      <c r="I44" s="28"/>
      <c r="J44" s="28"/>
      <c r="K44" s="28"/>
      <c r="L44" s="14"/>
    </row>
    <row r="45" spans="1:12" s="39" customFormat="1" ht="12">
      <c r="A45" s="2" t="s">
        <v>0</v>
      </c>
      <c r="B45" s="11" t="s">
        <v>80</v>
      </c>
      <c r="C45" s="12" t="s">
        <v>61</v>
      </c>
      <c r="D45" s="7" t="s">
        <v>0</v>
      </c>
      <c r="E45" s="12" t="s">
        <v>0</v>
      </c>
      <c r="F45" s="23" t="s">
        <v>70</v>
      </c>
      <c r="G45" s="7" t="s">
        <v>1</v>
      </c>
      <c r="H45" s="29">
        <v>71.48</v>
      </c>
      <c r="I45" s="29">
        <v>71.099999999999994</v>
      </c>
      <c r="J45" s="29">
        <v>71.48</v>
      </c>
      <c r="K45" s="29">
        <v>71.099999999999994</v>
      </c>
      <c r="L45" s="30"/>
    </row>
    <row r="46" spans="1:12" s="39" customFormat="1" ht="12">
      <c r="A46" s="2" t="s">
        <v>0</v>
      </c>
      <c r="B46" s="11" t="s">
        <v>80</v>
      </c>
      <c r="C46" s="12" t="s">
        <v>62</v>
      </c>
      <c r="D46" s="7" t="s">
        <v>0</v>
      </c>
      <c r="E46" s="12" t="s">
        <v>0</v>
      </c>
      <c r="F46" s="47" t="s">
        <v>71</v>
      </c>
      <c r="G46" s="7" t="s">
        <v>1</v>
      </c>
      <c r="H46" s="29"/>
      <c r="I46" s="29"/>
      <c r="J46" s="29"/>
      <c r="K46" s="29"/>
      <c r="L46" s="30"/>
    </row>
    <row r="47" spans="1:12" s="39" customFormat="1" ht="15" customHeight="1">
      <c r="A47" s="2" t="s">
        <v>0</v>
      </c>
      <c r="B47" s="11" t="s">
        <v>80</v>
      </c>
      <c r="C47" s="12" t="s">
        <v>63</v>
      </c>
      <c r="D47" s="7" t="s">
        <v>0</v>
      </c>
      <c r="E47" s="12" t="s">
        <v>0</v>
      </c>
      <c r="F47" s="46" t="s">
        <v>72</v>
      </c>
      <c r="G47" s="7" t="s">
        <v>0</v>
      </c>
      <c r="H47" s="45">
        <f>H46+H45</f>
        <v>71.48</v>
      </c>
      <c r="I47" s="45">
        <f>I46+I45</f>
        <v>71.099999999999994</v>
      </c>
      <c r="J47" s="45">
        <f>J46+J45</f>
        <v>71.48</v>
      </c>
      <c r="K47" s="45">
        <f>K46+K45</f>
        <v>71.099999999999994</v>
      </c>
      <c r="L47" s="30"/>
    </row>
    <row r="48" spans="1:12" s="39" customFormat="1" ht="15" customHeight="1">
      <c r="A48" s="2" t="s">
        <v>0</v>
      </c>
      <c r="B48" s="31"/>
      <c r="C48" s="32"/>
      <c r="D48" s="32"/>
      <c r="E48" s="32"/>
      <c r="F48" s="32"/>
      <c r="G48" s="32"/>
      <c r="H48" s="33"/>
      <c r="I48" s="33"/>
      <c r="J48" s="33"/>
      <c r="K48" s="33"/>
      <c r="L48" s="34"/>
    </row>
  </sheetData>
  <conditionalFormatting sqref="H5">
    <cfRule type="expression" dxfId="12" priority="99">
      <formula>OR(IF(NOT(ISERR(FIND("ERR",#REF!)))=TRUE,TRUE,FALSE),IF(NOT(ISERR(FIND("ERR",#REF!)))=TRUE,TRUE,FALSE),IF(NOT(ISERR(FIND("ERR",#REF!)))=TRUE,TRUE,FALSE),IF(NOT(ISERR(FIND("ERR",#REF!)))=TRUE,TRUE,FALSE),IF(NOT(ISERR(FIND("ERR",#REF!)))=TRUE,TRUE,FALSE))</formula>
    </cfRule>
  </conditionalFormatting>
  <conditionalFormatting sqref="I5">
    <cfRule type="expression" dxfId="11" priority="100">
      <formula>OR(IF(NOT(ISERR(FIND("ERR",#REF!)))=TRUE,TRUE,FALSE),IF(NOT(ISERR(FIND("ERR",#REF!)))=TRUE,TRUE,FALSE),IF(NOT(ISERR(FIND("ERR",#REF!)))=TRUE,TRUE,FALSE),IF(NOT(ISERR(FIND("ERR",#REF!)))=TRUE,TRUE,FALSE),IF(NOT(ISERR(FIND("ERR",#REF!)))=TRUE,TRUE,FALSE))</formula>
    </cfRule>
  </conditionalFormatting>
  <conditionalFormatting sqref="H6:I6 H25:I25">
    <cfRule type="expression" dxfId="10" priority="101">
      <formula>OR(IF(NOT(ISERR(FIND("ERR",#REF!)))=TRUE,TRUE,FALSE),IF(NOT(ISERR(FIND("ERR",#REF!)))=TRUE,TRUE,FALSE))</formula>
    </cfRule>
  </conditionalFormatting>
  <conditionalFormatting sqref="H9:I10 H24:I24 H26:I27">
    <cfRule type="expression" dxfId="9" priority="103">
      <formula>OR(IF(NOT(ISERR(FIND("ERR",#REF!)))=TRUE,TRUE,FALSE),)</formula>
    </cfRule>
  </conditionalFormatting>
  <conditionalFormatting sqref="H28:I28 H33:I33">
    <cfRule type="expression" dxfId="8" priority="117">
      <formula>OR(IF(NOT(ISERR(FIND("ERR",#REF!)))=TRUE,TRUE,FALSE),IF(NOT(ISERR(FIND("ERR",#REF!)))=TRUE,TRUE,FALSE),IF(NOT(ISERR(FIND("ERR",#REF!)))=TRUE,TRUE,FALSE),IF(NOT(ISERR(FIND("ERR",#REF!)))=TRUE,TRUE,FALSE),)</formula>
    </cfRule>
  </conditionalFormatting>
  <conditionalFormatting sqref="K5">
    <cfRule type="expression" dxfId="7" priority="5">
      <formula>OR(IF(NOT(ISERR(FIND("ERR",#REF!)))=TRUE,TRUE,FALSE),IF(NOT(ISERR(FIND("ERR",#REF!)))=TRUE,TRUE,FALSE),IF(NOT(ISERR(FIND("ERR",#REF!)))=TRUE,TRUE,FALSE),IF(NOT(ISERR(FIND("ERR",#REF!)))=TRUE,TRUE,FALSE),IF(NOT(ISERR(FIND("ERR",#REF!)))=TRUE,TRUE,FALSE))</formula>
    </cfRule>
  </conditionalFormatting>
  <conditionalFormatting sqref="K6 K25">
    <cfRule type="expression" dxfId="6" priority="6">
      <formula>OR(IF(NOT(ISERR(FIND("ERR",#REF!)))=TRUE,TRUE,FALSE),IF(NOT(ISERR(FIND("ERR",#REF!)))=TRUE,TRUE,FALSE))</formula>
    </cfRule>
  </conditionalFormatting>
  <conditionalFormatting sqref="K9:K10 K24 K26:K27">
    <cfRule type="expression" dxfId="5" priority="7">
      <formula>OR(IF(NOT(ISERR(FIND("ERR",#REF!)))=TRUE,TRUE,FALSE),)</formula>
    </cfRule>
  </conditionalFormatting>
  <conditionalFormatting sqref="K28 K33">
    <cfRule type="expression" dxfId="4" priority="8">
      <formula>OR(IF(NOT(ISERR(FIND("ERR",#REF!)))=TRUE,TRUE,FALSE),IF(NOT(ISERR(FIND("ERR",#REF!)))=TRUE,TRUE,FALSE),IF(NOT(ISERR(FIND("ERR",#REF!)))=TRUE,TRUE,FALSE),IF(NOT(ISERR(FIND("ERR",#REF!)))=TRUE,TRUE,FALSE),)</formula>
    </cfRule>
  </conditionalFormatting>
  <conditionalFormatting sqref="J5">
    <cfRule type="expression" dxfId="3" priority="1">
      <formula>OR(IF(NOT(ISERR(FIND("ERR",#REF!)))=TRUE,TRUE,FALSE),IF(NOT(ISERR(FIND("ERR",#REF!)))=TRUE,TRUE,FALSE),IF(NOT(ISERR(FIND("ERR",#REF!)))=TRUE,TRUE,FALSE),IF(NOT(ISERR(FIND("ERR",#REF!)))=TRUE,TRUE,FALSE),IF(NOT(ISERR(FIND("ERR",#REF!)))=TRUE,TRUE,FALSE))</formula>
    </cfRule>
  </conditionalFormatting>
  <conditionalFormatting sqref="J6 J25">
    <cfRule type="expression" dxfId="2" priority="2">
      <formula>OR(IF(NOT(ISERR(FIND("ERR",#REF!)))=TRUE,TRUE,FALSE),IF(NOT(ISERR(FIND("ERR",#REF!)))=TRUE,TRUE,FALSE))</formula>
    </cfRule>
  </conditionalFormatting>
  <conditionalFormatting sqref="J9:J10 J24 J26:J27">
    <cfRule type="expression" dxfId="1" priority="3">
      <formula>OR(IF(NOT(ISERR(FIND("ERR",#REF!)))=TRUE,TRUE,FALSE),)</formula>
    </cfRule>
  </conditionalFormatting>
  <conditionalFormatting sqref="J28 J33">
    <cfRule type="expression" dxfId="0" priority="4">
      <formula>OR(IF(NOT(ISERR(FIND("ERR",#REF!)))=TRUE,TRUE,FALSE),IF(NOT(ISERR(FIND("ERR",#REF!)))=TRUE,TRUE,FALSE),IF(NOT(ISERR(FIND("ERR",#REF!)))=TRUE,TRUE,FALSE),IF(NOT(ISERR(FIND("ERR",#REF!)))=TRUE,TRUE,FALSE),)</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IAS-1_310000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Waldo Byron Gonzalez Serrano</cp:lastModifiedBy>
  <dcterms:created xsi:type="dcterms:W3CDTF">2013-03-18T18:51:41Z</dcterms:created>
  <dcterms:modified xsi:type="dcterms:W3CDTF">2024-03-27T18:38:21Z</dcterms:modified>
</cp:coreProperties>
</file>