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2\xls\"/>
    </mc:Choice>
  </mc:AlternateContent>
  <xr:revisionPtr revIDLastSave="0" documentId="13_ncr:1_{9A9CBEAF-C8DB-406E-BB69-0C361E13A8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AS-1_61000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17" i="1" l="1"/>
  <c r="AB17" i="1"/>
  <c r="X8" i="1"/>
  <c r="Y38" i="1" l="1"/>
  <c r="Y11" i="1"/>
  <c r="X28" i="1"/>
  <c r="AA28" i="1" s="1"/>
  <c r="X27" i="1"/>
  <c r="AA27" i="1" s="1"/>
  <c r="X26" i="1"/>
  <c r="X25" i="1"/>
  <c r="X24" i="1"/>
  <c r="X23" i="1"/>
  <c r="X22" i="1"/>
  <c r="X21" i="1"/>
  <c r="AA21" i="1" s="1"/>
  <c r="X20" i="1"/>
  <c r="AA20" i="1" s="1"/>
  <c r="X19" i="1"/>
  <c r="AA19" i="1" s="1"/>
  <c r="X18" i="1"/>
  <c r="X16" i="1"/>
  <c r="AA16" i="1" s="1"/>
  <c r="X15" i="1"/>
  <c r="AA15" i="1" s="1"/>
  <c r="X55" i="1"/>
  <c r="AA55" i="1" s="1"/>
  <c r="AC55" i="1" s="1"/>
  <c r="AE55" i="1" s="1"/>
  <c r="X54" i="1"/>
  <c r="AA54" i="1" s="1"/>
  <c r="AC54" i="1" s="1"/>
  <c r="AE54" i="1" s="1"/>
  <c r="X53" i="1"/>
  <c r="X52" i="1"/>
  <c r="X51" i="1"/>
  <c r="X50" i="1"/>
  <c r="X49" i="1"/>
  <c r="AA49" i="1" s="1"/>
  <c r="AC49" i="1" s="1"/>
  <c r="AE49" i="1" s="1"/>
  <c r="X48" i="1"/>
  <c r="AA48" i="1" s="1"/>
  <c r="AC48" i="1" s="1"/>
  <c r="AE48" i="1" s="1"/>
  <c r="X47" i="1"/>
  <c r="AA47" i="1" s="1"/>
  <c r="AC47" i="1" s="1"/>
  <c r="AE47" i="1" s="1"/>
  <c r="X46" i="1"/>
  <c r="AA46" i="1" s="1"/>
  <c r="AC46" i="1" s="1"/>
  <c r="AE46" i="1" s="1"/>
  <c r="X45" i="1"/>
  <c r="X43" i="1"/>
  <c r="AA43" i="1" s="1"/>
  <c r="AC43" i="1" s="1"/>
  <c r="AE43" i="1" s="1"/>
  <c r="X42" i="1"/>
  <c r="Z56" i="1"/>
  <c r="Y56" i="1"/>
  <c r="H56" i="1"/>
  <c r="AA53" i="1"/>
  <c r="AC53" i="1" s="1"/>
  <c r="AE53" i="1" s="1"/>
  <c r="AA52" i="1"/>
  <c r="AC52" i="1" s="1"/>
  <c r="AE52" i="1" s="1"/>
  <c r="AA51" i="1"/>
  <c r="AC51" i="1" s="1"/>
  <c r="AE51" i="1" s="1"/>
  <c r="AA50" i="1"/>
  <c r="AC50" i="1" s="1"/>
  <c r="AE50" i="1" s="1"/>
  <c r="AA45" i="1"/>
  <c r="AC45" i="1" s="1"/>
  <c r="AE45" i="1" s="1"/>
  <c r="AD44" i="1"/>
  <c r="AD56" i="1" s="1"/>
  <c r="AB44" i="1"/>
  <c r="AB56" i="1" s="1"/>
  <c r="Z44" i="1"/>
  <c r="Y44" i="1"/>
  <c r="W44" i="1"/>
  <c r="W56" i="1" s="1"/>
  <c r="V44" i="1"/>
  <c r="V56" i="1" s="1"/>
  <c r="V57" i="1" s="1"/>
  <c r="U44" i="1"/>
  <c r="U56" i="1" s="1"/>
  <c r="T44" i="1"/>
  <c r="T56" i="1" s="1"/>
  <c r="S44" i="1"/>
  <c r="S56" i="1" s="1"/>
  <c r="R44" i="1"/>
  <c r="R56" i="1" s="1"/>
  <c r="Q44" i="1"/>
  <c r="Q56" i="1" s="1"/>
  <c r="P44" i="1"/>
  <c r="P56" i="1" s="1"/>
  <c r="O44" i="1"/>
  <c r="O56" i="1" s="1"/>
  <c r="N44" i="1"/>
  <c r="N56" i="1" s="1"/>
  <c r="M44" i="1"/>
  <c r="M56" i="1" s="1"/>
  <c r="L44" i="1"/>
  <c r="L56" i="1" s="1"/>
  <c r="K44" i="1"/>
  <c r="K56" i="1" s="1"/>
  <c r="J44" i="1"/>
  <c r="J56" i="1" s="1"/>
  <c r="I44" i="1"/>
  <c r="I56" i="1" s="1"/>
  <c r="H44" i="1"/>
  <c r="G44" i="1"/>
  <c r="G56" i="1" s="1"/>
  <c r="AD38" i="1"/>
  <c r="AB38" i="1"/>
  <c r="Z38" i="1"/>
  <c r="Z57" i="1" s="1"/>
  <c r="W38" i="1"/>
  <c r="V38" i="1"/>
  <c r="U38" i="1"/>
  <c r="T38" i="1"/>
  <c r="S38" i="1"/>
  <c r="S57" i="1" s="1"/>
  <c r="R38" i="1"/>
  <c r="Q38" i="1"/>
  <c r="P38" i="1"/>
  <c r="P57" i="1" s="1"/>
  <c r="O38" i="1"/>
  <c r="N38" i="1"/>
  <c r="M38" i="1"/>
  <c r="L38" i="1"/>
  <c r="K38" i="1"/>
  <c r="J38" i="1"/>
  <c r="I38" i="1"/>
  <c r="H38" i="1"/>
  <c r="G38" i="1"/>
  <c r="X37" i="1"/>
  <c r="AA37" i="1" s="1"/>
  <c r="AC37" i="1" s="1"/>
  <c r="AE37" i="1" s="1"/>
  <c r="X36" i="1"/>
  <c r="AA36" i="1" s="1"/>
  <c r="AC36" i="1" s="1"/>
  <c r="AE36" i="1" s="1"/>
  <c r="X35" i="1"/>
  <c r="AA26" i="1"/>
  <c r="AA25" i="1"/>
  <c r="AA24" i="1"/>
  <c r="AA23" i="1"/>
  <c r="AA22" i="1"/>
  <c r="AA18" i="1"/>
  <c r="Y17" i="1"/>
  <c r="Y29" i="1" s="1"/>
  <c r="AA10" i="1"/>
  <c r="AA9" i="1"/>
  <c r="AA8" i="1"/>
  <c r="X10" i="1"/>
  <c r="X9" i="1"/>
  <c r="X44" i="1" l="1"/>
  <c r="X56" i="1" s="1"/>
  <c r="N57" i="1"/>
  <c r="H57" i="1"/>
  <c r="I57" i="1"/>
  <c r="J57" i="1"/>
  <c r="AB57" i="1"/>
  <c r="X38" i="1"/>
  <c r="R57" i="1"/>
  <c r="M57" i="1"/>
  <c r="U57" i="1"/>
  <c r="Q57" i="1"/>
  <c r="G57" i="1"/>
  <c r="O57" i="1"/>
  <c r="W57" i="1"/>
  <c r="AD57" i="1"/>
  <c r="Y57" i="1"/>
  <c r="Y30" i="1"/>
  <c r="X17" i="1"/>
  <c r="AA42" i="1"/>
  <c r="AC42" i="1" s="1"/>
  <c r="AE42" i="1" s="1"/>
  <c r="K57" i="1"/>
  <c r="L57" i="1"/>
  <c r="T57" i="1"/>
  <c r="AA35" i="1"/>
  <c r="X11" i="1"/>
  <c r="AA44" i="1" l="1"/>
  <c r="AA56" i="1" s="1"/>
  <c r="X57" i="1"/>
  <c r="X29" i="1"/>
  <c r="X30" i="1" s="1"/>
  <c r="AC35" i="1"/>
  <c r="AE35" i="1" s="1"/>
  <c r="AA38" i="1"/>
  <c r="R17" i="1"/>
  <c r="R29" i="1" s="1"/>
  <c r="R11" i="1"/>
  <c r="AC44" i="1" l="1"/>
  <c r="AE44" i="1" s="1"/>
  <c r="AE56" i="1" s="1"/>
  <c r="AA57" i="1"/>
  <c r="AC57" i="1" s="1"/>
  <c r="AC38" i="1"/>
  <c r="AE38" i="1" s="1"/>
  <c r="R30" i="1"/>
  <c r="AC56" i="1" l="1"/>
  <c r="AE57" i="1"/>
  <c r="AC28" i="1"/>
  <c r="AE28" i="1" s="1"/>
  <c r="AC27" i="1"/>
  <c r="AE27" i="1" s="1"/>
  <c r="AC26" i="1"/>
  <c r="AE26" i="1" s="1"/>
  <c r="AC25" i="1"/>
  <c r="AE25" i="1" s="1"/>
  <c r="P17" i="1"/>
  <c r="P29" i="1" s="1"/>
  <c r="P11" i="1"/>
  <c r="Q17" i="1"/>
  <c r="Q29" i="1" s="1"/>
  <c r="Q11" i="1"/>
  <c r="O17" i="1"/>
  <c r="O29" i="1" s="1"/>
  <c r="O11" i="1"/>
  <c r="N17" i="1"/>
  <c r="N29" i="1" s="1"/>
  <c r="N11" i="1"/>
  <c r="P30" i="1" l="1"/>
  <c r="N30" i="1"/>
  <c r="O30" i="1"/>
  <c r="Q30" i="1"/>
  <c r="AC24" i="1" l="1"/>
  <c r="AE24" i="1" s="1"/>
  <c r="AC23" i="1"/>
  <c r="AC22" i="1"/>
  <c r="AC21" i="1"/>
  <c r="AC20" i="1"/>
  <c r="AC19" i="1"/>
  <c r="AC18" i="1"/>
  <c r="AB29" i="1"/>
  <c r="Z17" i="1"/>
  <c r="W17" i="1"/>
  <c r="W29" i="1" s="1"/>
  <c r="V17" i="1"/>
  <c r="V29" i="1" s="1"/>
  <c r="U17" i="1"/>
  <c r="U29" i="1" s="1"/>
  <c r="T17" i="1"/>
  <c r="T29" i="1" s="1"/>
  <c r="S17" i="1"/>
  <c r="S29" i="1" s="1"/>
  <c r="M17" i="1"/>
  <c r="M29" i="1" s="1"/>
  <c r="L17" i="1"/>
  <c r="L29" i="1" s="1"/>
  <c r="K17" i="1"/>
  <c r="K29" i="1" s="1"/>
  <c r="J17" i="1"/>
  <c r="J29" i="1" s="1"/>
  <c r="I17" i="1"/>
  <c r="I29" i="1" s="1"/>
  <c r="H17" i="1"/>
  <c r="H29" i="1" s="1"/>
  <c r="G17" i="1"/>
  <c r="AC16" i="1"/>
  <c r="AC15" i="1"/>
  <c r="AE15" i="1" s="1"/>
  <c r="AD11" i="1"/>
  <c r="AB11" i="1"/>
  <c r="Z11" i="1"/>
  <c r="W11" i="1"/>
  <c r="V11" i="1"/>
  <c r="U11" i="1"/>
  <c r="T11" i="1"/>
  <c r="S11" i="1"/>
  <c r="M11" i="1"/>
  <c r="L11" i="1"/>
  <c r="K11" i="1"/>
  <c r="J11" i="1"/>
  <c r="I11" i="1"/>
  <c r="H11" i="1"/>
  <c r="G11" i="1"/>
  <c r="AC10" i="1"/>
  <c r="AC9" i="1"/>
  <c r="AC8" i="1"/>
  <c r="Z29" i="1" l="1"/>
  <c r="Z30" i="1" s="1"/>
  <c r="AA17" i="1"/>
  <c r="AC17" i="1" s="1"/>
  <c r="AD29" i="1"/>
  <c r="AD30" i="1" s="1"/>
  <c r="G29" i="1"/>
  <c r="G30" i="1" s="1"/>
  <c r="AE18" i="1"/>
  <c r="AE19" i="1"/>
  <c r="AE10" i="1"/>
  <c r="H30" i="1"/>
  <c r="I30" i="1"/>
  <c r="AB30" i="1"/>
  <c r="L30" i="1"/>
  <c r="W30" i="1"/>
  <c r="S30" i="1"/>
  <c r="V30" i="1"/>
  <c r="AE16" i="1"/>
  <c r="AE9" i="1"/>
  <c r="AE21" i="1"/>
  <c r="AE22" i="1"/>
  <c r="AE23" i="1"/>
  <c r="AE20" i="1"/>
  <c r="M30" i="1"/>
  <c r="T30" i="1"/>
  <c r="K30" i="1"/>
  <c r="AA11" i="1"/>
  <c r="AC11" i="1" s="1"/>
  <c r="AE11" i="1" s="1"/>
  <c r="J30" i="1"/>
  <c r="U30" i="1"/>
  <c r="AE8" i="1"/>
  <c r="AC29" i="1" l="1"/>
  <c r="AA29" i="1"/>
  <c r="AA30" i="1" s="1"/>
  <c r="AC30" i="1" s="1"/>
  <c r="AE17" i="1" l="1"/>
  <c r="AE29" i="1" l="1"/>
  <c r="AE30" i="1" s="1"/>
</calcChain>
</file>

<file path=xl/sharedStrings.xml><?xml version="1.0" encoding="utf-8"?>
<sst xmlns="http://schemas.openxmlformats.org/spreadsheetml/2006/main" count="354" uniqueCount="106">
  <si>
    <t>[610000] Estado de Cambio en el Patrimonio – Estados financieros consolidados</t>
  </si>
  <si>
    <t xml:space="preserve">              Capital emitido [miembro]  </t>
  </si>
  <si>
    <t xml:space="preserve">              Acciones propias en cartera [miembro]  </t>
  </si>
  <si>
    <t xml:space="preserve">                Superávit de revaluación [miembro]  </t>
  </si>
  <si>
    <t xml:space="preserve">                Reserva de diferencias de cambio en conversiones [miembro]  </t>
  </si>
  <si>
    <t xml:space="preserve">                Reserva de coberturas de flujo de efectivo [miembro]  </t>
  </si>
  <si>
    <t xml:space="preserve">                Reserva de ganancias o pérdidas actuariales en planes de beneficios definidos [miembro]  </t>
  </si>
  <si>
    <t xml:space="preserve">                Importes reconocidos en otro resultado integral y acumulados en el patrimonio relativos a activos no corrientes o grupos de activos para su disposición mantenidos para la venta [miembro]  </t>
  </si>
  <si>
    <t xml:space="preserve">                Reserva de ganancias y pérdidas por inversiones en instrumentos de patrimonio [miembro]  </t>
  </si>
  <si>
    <t xml:space="preserve">                Reserva para cambios en el valor razonable de pasivos financieros atribuibles a cambios en el riesgo de crédito del pasivo [miembro]  </t>
  </si>
  <si>
    <t xml:space="preserve">                Reserva de ganancias y pérdidas en nuevas mediciones de activos financieros disponibles para la venta [miembro]  </t>
  </si>
  <si>
    <t xml:space="preserve">              Ganancias (pérdidas) acumuladas [miembro]  </t>
  </si>
  <si>
    <t xml:space="preserve">            Patrimonio atribuible a los propietarios de la controladora [miembro]  </t>
  </si>
  <si>
    <t xml:space="preserve">            Participaciones no controladoras [miembro]  </t>
  </si>
  <si>
    <t xml:space="preserve">          Patrimonio [miembro]  </t>
  </si>
  <si>
    <t xml:space="preserve"> </t>
  </si>
  <si>
    <t>INI</t>
  </si>
  <si>
    <t xml:space="preserve">Otras participaciones en el patrimonio [miembro]  </t>
  </si>
  <si>
    <t xml:space="preserve">Otras reservas varias [miembro]  </t>
  </si>
  <si>
    <t xml:space="preserve">Otras reservas [miembro]  </t>
  </si>
  <si>
    <t xml:space="preserve">Prima de emisión [miembro]  </t>
  </si>
  <si>
    <t>ACT</t>
  </si>
  <si>
    <t>ANT</t>
  </si>
  <si>
    <t>Patrimonio  [Número]</t>
  </si>
  <si>
    <t>Patrimonio previamente reportado</t>
  </si>
  <si>
    <t>Incremento (disminución) del patrimonio por cambios en políticas contables  [Número]</t>
  </si>
  <si>
    <t>Incremento (disminución) del patrimonio por correcciones de errores  [Número]</t>
  </si>
  <si>
    <t xml:space="preserve">Cambios en el patrimonio [sinopsis]  </t>
  </si>
  <si>
    <t xml:space="preserve">Resultado integral [sinopsis]  </t>
  </si>
  <si>
    <t>Ganancia (pérdida)  [Número]</t>
  </si>
  <si>
    <t>Otro resultado integral  [Número]</t>
  </si>
  <si>
    <t>Resultado integral  [Número]</t>
  </si>
  <si>
    <t>Emisión de patrimonio  [Número]</t>
  </si>
  <si>
    <t>Dividendos  [Número]</t>
  </si>
  <si>
    <t>Incrementos por otras aportaciones de los propietarios, patrimonio  [Número]</t>
  </si>
  <si>
    <t>Disminución por otras distribuciones a los propietarios, patrimonio  [Número]</t>
  </si>
  <si>
    <t>Incrementos (disminuciones) por otros cambios, patrimonio  [Número]</t>
  </si>
  <si>
    <t>Incrementos (disminuciones) por transacciones con acciones propias, patrimonio  [Número]</t>
  </si>
  <si>
    <t>Incrementos (disminuciones) por cambios las participaciones en la propiedad de subsidiarias que no dan lugar a pérdida de control, patrimonio  [Número]</t>
  </si>
  <si>
    <t>Incremento (disminución) en el patrimonio  [Número]</t>
  </si>
  <si>
    <t>Importe eliminado de reservas de coberturas de flujos de efectivo e incluido en el costo inicial u otro importe en libros de activos (pasivos) no financieros o compromisos en firme para los que se aplica la contabilidad de coberturas del valor razonable  [Número]</t>
  </si>
  <si>
    <t>Importe eliminado de reservas de cambios en el valor temporal del dinero de opciones e incluido en el costo inicial u otro importe en libros de activos (pasivos) no financieros o compromisos en firme para los que se aplica la contabilidad de coberturas del valor razonable [Número]</t>
  </si>
  <si>
    <t>Importe eliminado de reservas de cambios en el valor de los elementos a término de contratos a término e incluido en el costo inicial u otro importe en libros de activos (pasivos) no financieros o compromisos en firme para los que se aplica la contabilidad de coberturas del valor razonable [Número]</t>
  </si>
  <si>
    <t>Importe eliminado de reservas de cambios en el valor de los diferenciales de tasa cambio de moneda extranjera e incluido en el costo inicial u otro importe en libros de activos (pasivos) no financieros o compromisos en firme para los que se aplica la contabilidad de coberturas del valor razonable [Número]</t>
  </si>
  <si>
    <t xml:space="preserve">                Reserva de ganancias y pérdidas sobre instrumentos de cobertura que cubren inversiones en instrumentos de patrimonio [miembro]</t>
  </si>
  <si>
    <t xml:space="preserve">                Reserva por cambios en el valor temporal del dinero de opciones [miembro]</t>
  </si>
  <si>
    <t xml:space="preserve">                Reserva por cambios en el valor de los elementos a término de contratos a término [miembro]</t>
  </si>
  <si>
    <t xml:space="preserve">                Reserva por cambios en el valor de los diferenciales de la tasa de cambio de la moneda extranjera [miembro]</t>
  </si>
  <si>
    <t>Reversión de ganancias y pérdidas sobre activos financieros medidos al valor razonable con cambios en otro resultado integral [miembro]</t>
  </si>
  <si>
    <t>full_ifrs-cor_2015-03-11.xsd#ifrs-full_ReserveOfGainsAndLossesOnFinancialAssetsMeasuredAtFairValueThroughOtherComprehensiveIncomeMember</t>
  </si>
  <si>
    <t>full_ifrs-cor_2015-03-11.xsd#ifrs-full_IssuedCapitalMember</t>
  </si>
  <si>
    <t>full_ifrs-cor_2015-03-11.xsd#ifrs-full_SharePremiumMember</t>
  </si>
  <si>
    <t>full_ifrs-cor_2015-03-11.xsd#ifrs-full_TreasurySharesMember</t>
  </si>
  <si>
    <t>full_ifrs-cor_2015-03-11.xsd#ifrs-full_OtherEquityInterestMember</t>
  </si>
  <si>
    <t>full_ifrs-cor_2015-03-11.xsd#ifrs-full_RevaluationSurplusMember</t>
  </si>
  <si>
    <t>full_ifrs-cor_2015-03-11.xsd#ifrs-full_ReserveOfExchangeDifferencesOnTranslationMember</t>
  </si>
  <si>
    <t>full_ifrs-cor_2015-03-11.xsd#ifrs-full_ReserveOfCashFlowHedgesMember</t>
  </si>
  <si>
    <t>full_ifrs-cor_2015-03-11.xsd#ifrs-full_ReserveOfGainsAndLossesOnHedgingInstrumentsThatHedgeInvestmentsInEquityInstrumentsMember</t>
  </si>
  <si>
    <t>full_ifrs-cor_2015-03-11.xsd#ifrs-full_ReserveOfChangeInValueOfTimeValueOfOptionsMember</t>
  </si>
  <si>
    <t>full_ifrs-cor_2015-03-11.xsd#ifrs-full_ReserveOfChangeInValueOfForwardElementsOfForwardContractsMember</t>
  </si>
  <si>
    <t>full_ifrs-cor_2015-03-11.xsd#ifrs-full_ReserveOfChangeInValueOfForeignCurrencyBasisSpreadsMember</t>
  </si>
  <si>
    <t>full_ifrs-cor_2015-03-11.xsd#ifrs-full_ReserveOfSharebasedPaymentsMember</t>
  </si>
  <si>
    <t>full_ifrs-cor_2015-03-11.xsd#ifrs-full_AmountRecognisedInOtherComprehensiveIncomeAndAccumulatedInEquityRelatingToNoncurrentAssetsOrDisposalGroupsHeldForSaleMember</t>
  </si>
  <si>
    <t>full_ifrs-cor_2015-03-11.xsd#ifrs-full_ReserveOfGainsAndLossesFromInvestmentsInEquityInstrumentsMember</t>
  </si>
  <si>
    <t>full_ifrs-cor_2015-03-11.xsd#ifrs-full_ReserveOfChangeInFairValueOfFinancialLiabilityAttributableToChangeInCreditRiskOfLiabilityMember</t>
  </si>
  <si>
    <t>full_ifrs-cor_2015-03-11.xsd#ifrs-full_ReserveOfGainsAndLossesOnRemeasuringAvailableforsaleFinancialAssetsMember</t>
  </si>
  <si>
    <t>full_ifrs-cor_2015-03-11.xsd#ifrs-full_OtherReservesMember</t>
  </si>
  <si>
    <t>full_ifrs-cor_2015-03-11.xsd#ifrs-full_EquityAttributableToOwnersOfParentMember</t>
  </si>
  <si>
    <t>full_ifrs-cor_2015-03-11.xsd#ifrs-full_NoncontrollingInterestsMember</t>
  </si>
  <si>
    <t>full_ifrs-cor_2015-03-11.xsd#ifrs-full_EquityMember</t>
  </si>
  <si>
    <t>full_ifrs-cor_2015-03-11.xsd#ifrs-full_Equity</t>
  </si>
  <si>
    <t>full_ifrs-cor_2015-03-11.xsd#ifrs-full_ProfitLoss</t>
  </si>
  <si>
    <t>full_ifrs-cor_2015-03-11.xsd#ifrs-full_OtherComprehensiveIncome</t>
  </si>
  <si>
    <t>full_ifrs-cor_2015-03-11.xsd#ifrs-full_ComprehensiveIncome</t>
  </si>
  <si>
    <t>full_ifrs-cor_2015-03-11.xsd#ifrs-full_IssueOfEquity</t>
  </si>
  <si>
    <t>full_ifrs-cor_2015-03-11.xsd#ifrs-full_IncreaseDecreaseThroughOtherContributionsByOwners</t>
  </si>
  <si>
    <t>full_ifrs-cor_2015-03-11.xsd#ifrs-full_IncreaseDecreaseThroughOtherDistributionsToOwners</t>
  </si>
  <si>
    <t>full_ifrs-cor_2015-03-11.xsd#ifrs-full_IncreaseDecreaseThroughTransfersAndOtherChangesEquity</t>
  </si>
  <si>
    <t>full_ifrs-cor_2015-03-11.xsd#ifrs-full_IncreaseDecreaseThroughTreasuryShareTransactions</t>
  </si>
  <si>
    <t>full_ifrs-cor_2015-03-11.xsd#ifrs-full_IncreaseDecreaseThroughChangesInOwnershipInterestsInSubsidiariesThatDoNotResultInLossOfControl</t>
  </si>
  <si>
    <t>full_ifrs-cor_2015-03-11.xsd#ifrs-full_AmountRemovedFromReserveOfCashFlowHedgesAndIncludedInInitialCostOrOtherCarryingAmountOfNonfinancialAssetLiabilityOrFirmCommitmentForWhichFairValueHedgeAccountingIsApplied</t>
  </si>
  <si>
    <t>full_ifrs-cor_2015-03-11.xsd#ifrs-full_AmountRemovedFromReserveOfChangeInValueOfTimeValueOfOptionsAndIncludedInInitialCostOrOtherCarryingAmountOfNonfinancialAssetLiabilityOrFirmCommitmentForWhichFairValueHedgeAccountingIsApplied</t>
  </si>
  <si>
    <t>full_ifrs-cor_2015-03-11.xsd#ifrs-full_AmountRemovedFromReserveOfChangeInValueOfForwardElementsOfForwardContractsAndIncludedInInitialCostOrOtherCarryingAmountOfNonfinancialAssetLiabilityOrFirmCommitmentForWhichFairValueHedgeAccountingIsApplied</t>
  </si>
  <si>
    <t>full_ifrs-cor_2015-03-11.xsd#ifrs-full_AmountRemovedFromReserveOfChangeInValueOfForeignCurrencyBasisSpreadsAndIncludedInInitialCostOrOtherCarryingAmountOfNonfinancialAssetLiabilityOrFirmCommitmentForWhichFairValueHedgeAccountingIsApplied</t>
  </si>
  <si>
    <t>full_ifrs-cor_2015-03-11.xsd#ifrs-full_ChangesInEquity</t>
  </si>
  <si>
    <t>cl-ci_cor_2016-01-11.xsd#cl-ci_ReserveOfActuarialGainsOrLossesOnDefinedBenefitPlansMember</t>
  </si>
  <si>
    <t>cl-ci_cor_2016-01-11.xsd#cl-ci_OtrasReservasVariasMember</t>
  </si>
  <si>
    <t>cl-ci_cor_2016-01-11.xsd#cl-ci_GananciaPerdidaAcumuladaMember</t>
  </si>
  <si>
    <t>cl-ci_cor_2016-01-11.xsd#cl-ci_PatrimonioPreviamenteReportado</t>
  </si>
  <si>
    <t>cl-ci_cor_2016-01-11.xsd#cl-ci_IncreaseDecreaseThroughChangesInAccountingPolicies</t>
  </si>
  <si>
    <t>cl-ci_cor_2016-01-11.xsd#cl-ci_IncreaseDecreaseThroughCorrectionsOfErrors</t>
  </si>
  <si>
    <t>cl-ci_cor_2016-01-11.xsd#cl-ci_Dividendos</t>
  </si>
  <si>
    <t>DIMENUE</t>
  </si>
  <si>
    <t>DIMEAVA</t>
  </si>
  <si>
    <t>full_ifrs-cor_2015-03-11.xsd#ifrs-full_ComponentsOfEquityAxis</t>
  </si>
  <si>
    <t>full_ifrs-cor_2015-03-11.xsd#ifrs-full_StatementOfChangesInEquityTable</t>
  </si>
  <si>
    <t>cl-ci_cor_2014-03-15.xsd#cl-ci_PatrimonioReexpresado</t>
  </si>
  <si>
    <t>Patrimonio Reexpresado [Número]</t>
  </si>
  <si>
    <t>Estado de cambios en el patrimonio [partidas]</t>
  </si>
  <si>
    <t>Periodo Actual</t>
  </si>
  <si>
    <t>Periodo Anterior</t>
  </si>
  <si>
    <t>12.0</t>
  </si>
  <si>
    <t>Otro resultado integral acumulado [miembro]</t>
  </si>
  <si>
    <t>full_ifrs-cor_2014-03-05.xsd#ifrs-full_AccumulatedOtherComprehensiveIncomeMember</t>
  </si>
  <si>
    <t xml:space="preserve">Reserva de pagos basados en acciones [miembro] </t>
  </si>
  <si>
    <t>pre_cl-ci_ias-1_2021-03-24_role-610000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</si>
</sst>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9"/>
      <name val="Czcionka tekstu podstawowego"/>
      <family val="2"/>
      <charset val="238"/>
    </font>
    <font>
      <sz val="9"/>
      <color indexed="9"/>
      <name val="Verdana"/>
      <family val="2"/>
    </font>
    <font>
      <sz val="9"/>
      <name val="Verdana"/>
      <family val="2"/>
    </font>
    <font>
      <sz val="8"/>
      <name val="ＭＳ Ｐゴシック"/>
      <family val="3"/>
      <charset val="128"/>
    </font>
    <font>
      <b/>
      <sz val="9"/>
      <name val="Verdana"/>
      <family val="2"/>
    </font>
    <font>
      <sz val="9"/>
      <color rgb="FFFF0000"/>
      <name val="Verdana"/>
      <family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8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>
      <alignment vertical="center"/>
    </xf>
  </cellStyleXfs>
  <cellXfs count="72">
    <xf numFmtId="0" fontId="0" fillId="0" borderId="0" xfId="0"/>
    <xf numFmtId="0" fontId="0" fillId="0" borderId="0" xfId="0"/>
    <xf numFmtId="0" fontId="7" fillId="3" borderId="1" xfId="1" applyNumberFormat="1" applyFont="1" applyFill="1" applyBorder="1" applyAlignment="1">
      <alignment horizontal="center" vertical="center" wrapText="1"/>
    </xf>
    <xf numFmtId="0" fontId="7" fillId="3" borderId="2" xfId="1" applyNumberFormat="1" applyFont="1" applyFill="1" applyBorder="1" applyAlignment="1">
      <alignment horizontal="center" vertical="center" wrapText="1"/>
    </xf>
    <xf numFmtId="0" fontId="3" fillId="3" borderId="2" xfId="1" applyNumberFormat="1" applyFont="1" applyFill="1" applyBorder="1" applyAlignment="1">
      <alignment horizontal="center" vertical="center" wrapText="1"/>
    </xf>
    <xf numFmtId="0" fontId="3" fillId="3" borderId="3" xfId="1" applyNumberFormat="1" applyFont="1" applyFill="1" applyBorder="1" applyAlignment="1">
      <alignment horizontal="center" vertical="center" wrapText="1"/>
    </xf>
    <xf numFmtId="0" fontId="4" fillId="0" borderId="0" xfId="0" applyFont="1" applyAlignment="1"/>
    <xf numFmtId="0" fontId="7" fillId="0" borderId="0" xfId="0" applyNumberFormat="1" applyFont="1" applyBorder="1" applyAlignment="1">
      <alignment horizontal="center" vertical="center"/>
    </xf>
    <xf numFmtId="0" fontId="4" fillId="4" borderId="4" xfId="2" applyFont="1" applyFill="1" applyBorder="1">
      <alignment vertical="center"/>
    </xf>
    <xf numFmtId="0" fontId="6" fillId="4" borderId="0" xfId="2" applyFont="1" applyFill="1" applyBorder="1" applyAlignment="1">
      <alignment vertical="center"/>
    </xf>
    <xf numFmtId="0" fontId="4" fillId="4" borderId="0" xfId="2" applyFont="1" applyFill="1" applyBorder="1">
      <alignment vertical="center"/>
    </xf>
    <xf numFmtId="0" fontId="4" fillId="5" borderId="4" xfId="0" applyFont="1" applyFill="1" applyBorder="1" applyAlignment="1"/>
    <xf numFmtId="0" fontId="4" fillId="5" borderId="0" xfId="0" applyFont="1" applyFill="1" applyBorder="1" applyAlignment="1"/>
    <xf numFmtId="0" fontId="8" fillId="5" borderId="0" xfId="0" applyFont="1" applyFill="1" applyBorder="1" applyAlignment="1"/>
    <xf numFmtId="0" fontId="4" fillId="4" borderId="0" xfId="2" applyFont="1" applyFill="1" applyBorder="1" applyAlignment="1">
      <alignment vertical="center"/>
    </xf>
    <xf numFmtId="0" fontId="6" fillId="4" borderId="0" xfId="2" applyFont="1" applyFill="1" applyBorder="1" applyAlignment="1">
      <alignment vertical="center" wrapText="1"/>
    </xf>
    <xf numFmtId="0" fontId="4" fillId="5" borderId="0" xfId="2" applyFont="1" applyFill="1" applyBorder="1" applyAlignment="1">
      <alignment vertical="center"/>
    </xf>
    <xf numFmtId="0" fontId="0" fillId="5" borderId="0" xfId="0" applyFill="1"/>
    <xf numFmtId="0" fontId="9" fillId="0" borderId="8" xfId="0" applyFont="1" applyBorder="1" applyAlignment="1">
      <alignment wrapText="1"/>
    </xf>
    <xf numFmtId="0" fontId="4" fillId="4" borderId="5" xfId="2" applyFont="1" applyFill="1" applyBorder="1" applyAlignment="1">
      <alignment vertical="center" wrapText="1"/>
    </xf>
    <xf numFmtId="0" fontId="4" fillId="5" borderId="4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4" fillId="5" borderId="0" xfId="1" applyNumberFormat="1" applyFont="1" applyFill="1" applyBorder="1" applyAlignment="1">
      <alignment vertical="center"/>
    </xf>
    <xf numFmtId="0" fontId="8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4" fillId="5" borderId="9" xfId="2" applyFont="1" applyFill="1" applyBorder="1" applyAlignment="1">
      <alignment vertical="center"/>
    </xf>
    <xf numFmtId="0" fontId="4" fillId="5" borderId="11" xfId="2" applyFont="1" applyFill="1" applyBorder="1" applyAlignment="1">
      <alignment vertical="center"/>
    </xf>
    <xf numFmtId="0" fontId="3" fillId="3" borderId="3" xfId="1" applyNumberFormat="1" applyFont="1" applyFill="1" applyBorder="1" applyAlignment="1">
      <alignment horizontal="center" vertical="center" wrapText="1"/>
    </xf>
    <xf numFmtId="0" fontId="4" fillId="0" borderId="0" xfId="0" applyFont="1" applyAlignment="1"/>
    <xf numFmtId="0" fontId="4" fillId="4" borderId="4" xfId="2" applyFont="1" applyFill="1" applyBorder="1">
      <alignment vertical="center"/>
    </xf>
    <xf numFmtId="0" fontId="6" fillId="4" borderId="0" xfId="2" applyFont="1" applyFill="1" applyBorder="1" applyAlignment="1">
      <alignment vertical="center"/>
    </xf>
    <xf numFmtId="0" fontId="4" fillId="4" borderId="0" xfId="2" applyFont="1" applyFill="1" applyBorder="1">
      <alignment vertical="center"/>
    </xf>
    <xf numFmtId="0" fontId="4" fillId="4" borderId="5" xfId="2" applyFont="1" applyFill="1" applyBorder="1">
      <alignment vertical="center"/>
    </xf>
    <xf numFmtId="0" fontId="4" fillId="5" borderId="4" xfId="0" applyFont="1" applyFill="1" applyBorder="1" applyAlignment="1"/>
    <xf numFmtId="0" fontId="4" fillId="5" borderId="0" xfId="0" applyFont="1" applyFill="1" applyBorder="1" applyAlignment="1"/>
    <xf numFmtId="0" fontId="8" fillId="5" borderId="0" xfId="0" applyFont="1" applyFill="1" applyBorder="1" applyAlignment="1"/>
    <xf numFmtId="0" fontId="4" fillId="4" borderId="0" xfId="2" applyFont="1" applyFill="1" applyBorder="1" applyAlignment="1">
      <alignment vertical="center"/>
    </xf>
    <xf numFmtId="0" fontId="6" fillId="4" borderId="0" xfId="2" applyFont="1" applyFill="1" applyBorder="1" applyAlignment="1">
      <alignment vertical="center" wrapText="1"/>
    </xf>
    <xf numFmtId="0" fontId="4" fillId="5" borderId="0" xfId="2" applyFont="1" applyFill="1" applyBorder="1" applyAlignment="1">
      <alignment vertical="center"/>
    </xf>
    <xf numFmtId="0" fontId="4" fillId="5" borderId="6" xfId="0" applyFont="1" applyFill="1" applyBorder="1" applyAlignment="1"/>
    <xf numFmtId="0" fontId="4" fillId="5" borderId="7" xfId="0" applyFont="1" applyFill="1" applyBorder="1" applyAlignment="1"/>
    <xf numFmtId="0" fontId="4" fillId="5" borderId="0" xfId="1" applyNumberFormat="1" applyFont="1" applyFill="1" applyBorder="1" applyAlignment="1">
      <alignment horizontal="center" vertical="top" wrapText="1"/>
    </xf>
    <xf numFmtId="0" fontId="0" fillId="5" borderId="0" xfId="0" applyFill="1"/>
    <xf numFmtId="0" fontId="4" fillId="5" borderId="4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4" fillId="5" borderId="0" xfId="1" applyNumberFormat="1" applyFont="1" applyFill="1" applyBorder="1" applyAlignment="1">
      <alignment vertical="center"/>
    </xf>
    <xf numFmtId="0" fontId="8" fillId="5" borderId="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4" fillId="5" borderId="9" xfId="2" applyFont="1" applyFill="1" applyBorder="1" applyAlignment="1">
      <alignment vertical="center"/>
    </xf>
    <xf numFmtId="0" fontId="4" fillId="5" borderId="10" xfId="0" applyFont="1" applyFill="1" applyBorder="1" applyAlignment="1"/>
    <xf numFmtId="0" fontId="4" fillId="5" borderId="0" xfId="0" applyFont="1" applyFill="1" applyBorder="1" applyAlignment="1"/>
    <xf numFmtId="0" fontId="6" fillId="5" borderId="0" xfId="0" applyFont="1" applyFill="1" applyBorder="1" applyAlignment="1">
      <alignment horizontal="left" vertical="top"/>
    </xf>
    <xf numFmtId="3" fontId="6" fillId="7" borderId="3" xfId="2" applyNumberFormat="1" applyFont="1" applyFill="1" applyBorder="1" applyAlignment="1" applyProtection="1">
      <alignment vertical="center"/>
      <protection locked="0"/>
    </xf>
    <xf numFmtId="3" fontId="4" fillId="6" borderId="3" xfId="0" applyNumberFormat="1" applyFont="1" applyFill="1" applyBorder="1" applyAlignment="1" applyProtection="1">
      <protection locked="0"/>
    </xf>
    <xf numFmtId="0" fontId="4" fillId="5" borderId="0" xfId="0" applyFont="1" applyFill="1" applyBorder="1" applyAlignment="1">
      <alignment horizontal="left" vertical="center" indent="1"/>
    </xf>
    <xf numFmtId="0" fontId="6" fillId="5" borderId="0" xfId="0" applyFont="1" applyFill="1" applyBorder="1" applyAlignment="1">
      <alignment horizontal="left" vertical="center" indent="1"/>
    </xf>
    <xf numFmtId="0" fontId="6" fillId="5" borderId="0" xfId="0" applyFont="1" applyFill="1" applyBorder="1" applyAlignment="1">
      <alignment horizontal="left" vertical="center" indent="2"/>
    </xf>
    <xf numFmtId="0" fontId="4" fillId="5" borderId="0" xfId="0" applyFont="1" applyFill="1" applyBorder="1" applyAlignment="1">
      <alignment horizontal="left" vertical="center" indent="3"/>
    </xf>
    <xf numFmtId="0" fontId="4" fillId="5" borderId="0" xfId="0" applyFont="1" applyFill="1" applyBorder="1" applyAlignment="1">
      <alignment horizontal="left" vertical="center" wrapText="1" indent="3"/>
    </xf>
    <xf numFmtId="0" fontId="6" fillId="5" borderId="0" xfId="0" applyFont="1" applyFill="1" applyBorder="1" applyAlignment="1">
      <alignment horizontal="left" vertical="center" indent="3"/>
    </xf>
    <xf numFmtId="0" fontId="4" fillId="5" borderId="0" xfId="0" applyFont="1" applyFill="1" applyBorder="1" applyAlignment="1">
      <alignment horizontal="left" vertical="center" indent="4"/>
    </xf>
    <xf numFmtId="3" fontId="10" fillId="8" borderId="3" xfId="2" applyNumberFormat="1" applyFont="1" applyFill="1" applyBorder="1" applyAlignment="1" applyProtection="1">
      <alignment vertical="center"/>
      <protection locked="0"/>
    </xf>
    <xf numFmtId="3" fontId="6" fillId="7" borderId="3" xfId="2" applyNumberFormat="1" applyFont="1" applyFill="1" applyBorder="1" applyAlignment="1" applyProtection="1">
      <alignment vertical="center"/>
    </xf>
    <xf numFmtId="0" fontId="4" fillId="5" borderId="0" xfId="0" applyFont="1" applyFill="1" applyBorder="1" applyAlignment="1">
      <alignment horizontal="left" vertical="center" indent="2"/>
    </xf>
    <xf numFmtId="0" fontId="6" fillId="4" borderId="7" xfId="2" applyFont="1" applyFill="1" applyBorder="1" applyAlignment="1">
      <alignment vertical="center" wrapText="1"/>
    </xf>
    <xf numFmtId="0" fontId="4" fillId="9" borderId="0" xfId="2" applyFont="1" applyFill="1" applyBorder="1">
      <alignment vertical="center"/>
    </xf>
    <xf numFmtId="0" fontId="8" fillId="9" borderId="3" xfId="1" applyNumberFormat="1" applyFont="1" applyFill="1" applyBorder="1" applyAlignment="1">
      <alignment horizontal="center" vertical="center" wrapText="1"/>
    </xf>
    <xf numFmtId="3" fontId="4" fillId="6" borderId="3" xfId="0" applyNumberFormat="1" applyFont="1" applyFill="1" applyBorder="1" applyProtection="1">
      <protection locked="0"/>
    </xf>
    <xf numFmtId="3" fontId="6" fillId="7" borderId="3" xfId="2" applyNumberFormat="1" applyFont="1" applyFill="1" applyBorder="1" applyProtection="1">
      <alignment vertical="center"/>
      <protection locked="0"/>
    </xf>
    <xf numFmtId="3" fontId="4" fillId="10" borderId="3" xfId="0" applyNumberFormat="1" applyFont="1" applyFill="1" applyBorder="1" applyAlignment="1" applyProtection="1">
      <protection locked="0"/>
    </xf>
    <xf numFmtId="0" fontId="1" fillId="9" borderId="1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</cellXfs>
  <cellStyles count="3">
    <cellStyle name="60% - akcent 1" xfId="1" xr:uid="{00000000-0005-0000-0000-000000000000}"/>
    <cellStyle name="Normal" xfId="0" builtinId="0"/>
    <cellStyle name="Normal 12" xfId="2" xr:uid="{00000000-0005-0000-0000-000002000000}"/>
  </cellStyles>
  <dxfs count="6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1609725</xdr:colOff>
      <xdr:row>0</xdr:row>
      <xdr:rowOff>809625</xdr:rowOff>
    </xdr:to>
    <xdr:pic>
      <xdr:nvPicPr>
        <xdr:cNvPr id="2" name="4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645569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2143125</xdr:colOff>
      <xdr:row>0</xdr:row>
      <xdr:rowOff>83608</xdr:rowOff>
    </xdr:from>
    <xdr:to>
      <xdr:col>5</xdr:col>
      <xdr:colOff>5722714</xdr:colOff>
      <xdr:row>1</xdr:row>
      <xdr:rowOff>10108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036094" y="83608"/>
          <a:ext cx="3579589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83343</xdr:colOff>
      <xdr:row>0</xdr:row>
      <xdr:rowOff>1000124</xdr:rowOff>
    </xdr:from>
    <xdr:to>
      <xdr:col>5</xdr:col>
      <xdr:colOff>369093</xdr:colOff>
      <xdr:row>1</xdr:row>
      <xdr:rowOff>98624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1937" y="1000124"/>
          <a:ext cx="1000125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528636</xdr:colOff>
      <xdr:row>0</xdr:row>
      <xdr:rowOff>1000124</xdr:rowOff>
    </xdr:from>
    <xdr:to>
      <xdr:col>5</xdr:col>
      <xdr:colOff>1608636</xdr:colOff>
      <xdr:row>1</xdr:row>
      <xdr:rowOff>98624</xdr:rowOff>
    </xdr:to>
    <xdr:sp macro="[0]!Guarda_Hojas_ZI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21605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58"/>
  <sheetViews>
    <sheetView tabSelected="1" topLeftCell="A22" zoomScale="80" zoomScaleNormal="80" workbookViewId="0">
      <selection activeCell="L49" sqref="L49"/>
    </sheetView>
  </sheetViews>
  <sheetFormatPr baseColWidth="10" defaultRowHeight="15"/>
  <cols>
    <col min="1" max="3" width="2.7109375" customWidth="1"/>
    <col min="4" max="4" width="4.85546875" bestFit="1" customWidth="1"/>
    <col min="5" max="5" width="2.7109375" customWidth="1"/>
    <col min="6" max="6" width="90.7109375" customWidth="1"/>
    <col min="7" max="11" width="11.42578125" style="1"/>
    <col min="12" max="12" width="12.5703125" customWidth="1"/>
    <col min="14" max="17" width="11.42578125" style="1"/>
    <col min="18" max="18" width="16.5703125" style="1" customWidth="1"/>
    <col min="24" max="24" width="16.28515625" style="1" customWidth="1"/>
    <col min="25" max="25" width="11.42578125" style="1"/>
    <col min="26" max="26" width="15.42578125" customWidth="1"/>
    <col min="27" max="27" width="15.85546875" customWidth="1"/>
    <col min="28" max="29" width="19.140625" customWidth="1"/>
    <col min="30" max="30" width="17.85546875" customWidth="1"/>
    <col min="31" max="31" width="19" customWidth="1"/>
  </cols>
  <sheetData>
    <row r="1" spans="1:32" ht="105" customHeight="1">
      <c r="A1" t="s">
        <v>15</v>
      </c>
    </row>
    <row r="2" spans="1:32">
      <c r="G2" s="70" t="s">
        <v>101</v>
      </c>
      <c r="H2" s="71"/>
    </row>
    <row r="3" spans="1:32" ht="225">
      <c r="A3" s="7" t="s">
        <v>92</v>
      </c>
      <c r="B3" s="2"/>
      <c r="C3" s="3"/>
      <c r="D3" s="3"/>
      <c r="E3" s="4"/>
      <c r="F3" s="4" t="s">
        <v>0</v>
      </c>
      <c r="G3" s="27" t="s">
        <v>1</v>
      </c>
      <c r="H3" s="27" t="s">
        <v>20</v>
      </c>
      <c r="I3" s="27" t="s">
        <v>2</v>
      </c>
      <c r="J3" s="27" t="s">
        <v>17</v>
      </c>
      <c r="K3" s="27" t="s">
        <v>3</v>
      </c>
      <c r="L3" s="27" t="s">
        <v>4</v>
      </c>
      <c r="M3" s="27" t="s">
        <v>5</v>
      </c>
      <c r="N3" s="27" t="s">
        <v>44</v>
      </c>
      <c r="O3" s="27" t="s">
        <v>45</v>
      </c>
      <c r="P3" s="27" t="s">
        <v>46</v>
      </c>
      <c r="Q3" s="27" t="s">
        <v>47</v>
      </c>
      <c r="R3" s="27" t="s">
        <v>48</v>
      </c>
      <c r="S3" s="27" t="s">
        <v>6</v>
      </c>
      <c r="T3" s="27" t="s">
        <v>7</v>
      </c>
      <c r="U3" s="27" t="s">
        <v>8</v>
      </c>
      <c r="V3" s="27" t="s">
        <v>9</v>
      </c>
      <c r="W3" s="27" t="s">
        <v>10</v>
      </c>
      <c r="X3" s="66" t="s">
        <v>102</v>
      </c>
      <c r="Y3" s="66" t="s">
        <v>104</v>
      </c>
      <c r="Z3" s="27" t="s">
        <v>18</v>
      </c>
      <c r="AA3" s="27" t="s">
        <v>19</v>
      </c>
      <c r="AB3" s="27" t="s">
        <v>11</v>
      </c>
      <c r="AC3" s="27" t="s">
        <v>12</v>
      </c>
      <c r="AD3" s="27" t="s">
        <v>13</v>
      </c>
      <c r="AE3" s="27" t="s">
        <v>14</v>
      </c>
      <c r="AF3" s="5"/>
    </row>
    <row r="4" spans="1:32" ht="72" hidden="1" customHeight="1">
      <c r="A4" s="18" t="s">
        <v>93</v>
      </c>
      <c r="B4" s="8"/>
      <c r="C4" s="9"/>
      <c r="D4" s="31" t="s">
        <v>95</v>
      </c>
      <c r="E4" s="19" t="s">
        <v>94</v>
      </c>
      <c r="F4" s="17"/>
      <c r="G4" s="10" t="s">
        <v>50</v>
      </c>
      <c r="H4" s="10" t="s">
        <v>51</v>
      </c>
      <c r="I4" s="10" t="s">
        <v>52</v>
      </c>
      <c r="J4" s="10" t="s">
        <v>53</v>
      </c>
      <c r="K4" s="10" t="s">
        <v>54</v>
      </c>
      <c r="L4" s="10" t="s">
        <v>55</v>
      </c>
      <c r="M4" s="31" t="s">
        <v>56</v>
      </c>
      <c r="N4" s="31" t="s">
        <v>57</v>
      </c>
      <c r="O4" s="31" t="s">
        <v>58</v>
      </c>
      <c r="P4" s="31" t="s">
        <v>59</v>
      </c>
      <c r="Q4" s="31" t="s">
        <v>60</v>
      </c>
      <c r="R4" s="31" t="s">
        <v>49</v>
      </c>
      <c r="S4" s="31" t="s">
        <v>85</v>
      </c>
      <c r="T4" s="31" t="s">
        <v>62</v>
      </c>
      <c r="U4" s="31" t="s">
        <v>63</v>
      </c>
      <c r="V4" s="31" t="s">
        <v>64</v>
      </c>
      <c r="W4" s="31" t="s">
        <v>65</v>
      </c>
      <c r="X4" s="65" t="s">
        <v>103</v>
      </c>
      <c r="Y4" s="65" t="s">
        <v>61</v>
      </c>
      <c r="Z4" s="31" t="s">
        <v>86</v>
      </c>
      <c r="AA4" s="10" t="s">
        <v>66</v>
      </c>
      <c r="AB4" s="10" t="s">
        <v>87</v>
      </c>
      <c r="AC4" s="10" t="s">
        <v>67</v>
      </c>
      <c r="AD4" s="10" t="s">
        <v>68</v>
      </c>
      <c r="AE4" s="10" t="s">
        <v>69</v>
      </c>
      <c r="AF4" s="26"/>
    </row>
    <row r="5" spans="1:32">
      <c r="A5" s="6"/>
      <c r="B5" s="11"/>
      <c r="C5" s="12"/>
      <c r="D5" s="13" t="s">
        <v>15</v>
      </c>
      <c r="E5" s="14" t="s">
        <v>15</v>
      </c>
      <c r="F5" s="15"/>
      <c r="G5" s="16"/>
      <c r="H5" s="16"/>
      <c r="I5" s="16"/>
      <c r="J5" s="16"/>
      <c r="K5" s="16"/>
      <c r="L5" s="16"/>
      <c r="M5" s="16"/>
      <c r="N5" s="38"/>
      <c r="O5" s="38"/>
      <c r="P5" s="38"/>
      <c r="Q5" s="38"/>
      <c r="R5" s="38"/>
      <c r="S5" s="16"/>
      <c r="T5" s="16"/>
      <c r="U5" s="16"/>
      <c r="V5" s="16"/>
      <c r="W5" s="16"/>
      <c r="X5" s="38"/>
      <c r="Y5" s="38"/>
      <c r="Z5" s="16"/>
      <c r="AA5" s="16"/>
      <c r="AB5" s="16"/>
      <c r="AC5" s="16"/>
      <c r="AD5" s="16"/>
      <c r="AE5" s="16"/>
      <c r="AF5" s="25"/>
    </row>
    <row r="6" spans="1:32" s="1" customFormat="1">
      <c r="A6" s="28"/>
      <c r="B6" s="33"/>
      <c r="C6" s="50"/>
      <c r="D6" s="35"/>
      <c r="E6" s="36"/>
      <c r="F6" s="64" t="s">
        <v>99</v>
      </c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48"/>
    </row>
    <row r="7" spans="1:32" s="1" customFormat="1">
      <c r="A7" s="28"/>
      <c r="B7" s="33"/>
      <c r="C7" s="50"/>
      <c r="D7" s="35"/>
      <c r="E7" s="36"/>
      <c r="F7" s="37" t="s">
        <v>98</v>
      </c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48"/>
    </row>
    <row r="8" spans="1:32">
      <c r="A8" s="6" t="s">
        <v>16</v>
      </c>
      <c r="B8" s="20" t="s">
        <v>105</v>
      </c>
      <c r="C8" s="21" t="s">
        <v>88</v>
      </c>
      <c r="D8" s="22" t="s">
        <v>21</v>
      </c>
      <c r="E8" s="23" t="s">
        <v>15</v>
      </c>
      <c r="F8" s="63" t="s">
        <v>24</v>
      </c>
      <c r="G8" s="53">
        <v>336925246000</v>
      </c>
      <c r="H8" s="53">
        <v>200964000</v>
      </c>
      <c r="I8" s="53">
        <v>-3736839000</v>
      </c>
      <c r="J8" s="53"/>
      <c r="K8" s="53"/>
      <c r="L8" s="53">
        <v>-9954983000</v>
      </c>
      <c r="M8" s="53"/>
      <c r="N8" s="53"/>
      <c r="O8" s="53"/>
      <c r="P8" s="53"/>
      <c r="Q8" s="53"/>
      <c r="R8" s="53">
        <v>-2061904000</v>
      </c>
      <c r="S8" s="53"/>
      <c r="T8" s="53"/>
      <c r="U8" s="53"/>
      <c r="V8" s="53"/>
      <c r="W8" s="53">
        <v>14750880000</v>
      </c>
      <c r="X8" s="52">
        <f>SUM(K8:W8)</f>
        <v>2733993000</v>
      </c>
      <c r="Y8" s="53"/>
      <c r="Z8" s="53">
        <v>7066017000</v>
      </c>
      <c r="AA8" s="52">
        <f>SUM(X8:Z8)</f>
        <v>9800010000</v>
      </c>
      <c r="AB8" s="53">
        <v>309444765000</v>
      </c>
      <c r="AC8" s="52">
        <f>G8+H8+I8+J8+AA8+AB8</f>
        <v>652634146000</v>
      </c>
      <c r="AD8" s="53">
        <v>142243819000</v>
      </c>
      <c r="AE8" s="52">
        <f>AC8+AD8</f>
        <v>794877965000</v>
      </c>
      <c r="AF8" s="25"/>
    </row>
    <row r="9" spans="1:32">
      <c r="A9" s="6" t="s">
        <v>16</v>
      </c>
      <c r="B9" s="20" t="s">
        <v>105</v>
      </c>
      <c r="C9" s="21" t="s">
        <v>89</v>
      </c>
      <c r="D9" s="45" t="s">
        <v>21</v>
      </c>
      <c r="E9" s="23" t="s">
        <v>15</v>
      </c>
      <c r="F9" s="63" t="s">
        <v>25</v>
      </c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2">
        <f t="shared" ref="X9:X10" si="0">SUM(K9:W9)</f>
        <v>0</v>
      </c>
      <c r="Y9" s="53"/>
      <c r="Z9" s="53"/>
      <c r="AA9" s="52">
        <f t="shared" ref="AA9:AA10" si="1">SUM(X9:Z9)</f>
        <v>0</v>
      </c>
      <c r="AB9" s="53"/>
      <c r="AC9" s="52">
        <f>G9+H9+I9+J9+AA9+AB9</f>
        <v>0</v>
      </c>
      <c r="AD9" s="53"/>
      <c r="AE9" s="52">
        <f t="shared" ref="AE9:AE11" si="2">AC9+AD9</f>
        <v>0</v>
      </c>
      <c r="AF9" s="25"/>
    </row>
    <row r="10" spans="1:32">
      <c r="A10" s="6" t="s">
        <v>16</v>
      </c>
      <c r="B10" s="20" t="s">
        <v>105</v>
      </c>
      <c r="C10" s="21" t="s">
        <v>90</v>
      </c>
      <c r="D10" s="45" t="s">
        <v>21</v>
      </c>
      <c r="E10" s="21" t="s">
        <v>15</v>
      </c>
      <c r="F10" s="63" t="s">
        <v>26</v>
      </c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2">
        <f t="shared" si="0"/>
        <v>0</v>
      </c>
      <c r="Y10" s="53"/>
      <c r="Z10" s="53"/>
      <c r="AA10" s="52">
        <f t="shared" si="1"/>
        <v>0</v>
      </c>
      <c r="AB10" s="53"/>
      <c r="AC10" s="52">
        <f>G10+H10+I10+J10+AA10+AB10</f>
        <v>0</v>
      </c>
      <c r="AD10" s="53"/>
      <c r="AE10" s="52">
        <f t="shared" si="2"/>
        <v>0</v>
      </c>
      <c r="AF10" s="25"/>
    </row>
    <row r="11" spans="1:32">
      <c r="A11" s="6" t="s">
        <v>16</v>
      </c>
      <c r="B11" s="43" t="s">
        <v>105</v>
      </c>
      <c r="C11" s="44" t="s">
        <v>96</v>
      </c>
      <c r="D11" s="45" t="s">
        <v>21</v>
      </c>
      <c r="E11" s="21" t="s">
        <v>15</v>
      </c>
      <c r="F11" s="37" t="s">
        <v>97</v>
      </c>
      <c r="G11" s="52">
        <f t="shared" ref="G11" si="3">+G8+G9+G10</f>
        <v>336925246000</v>
      </c>
      <c r="H11" s="52">
        <f t="shared" ref="H11" si="4">+H8+H9+H10</f>
        <v>200964000</v>
      </c>
      <c r="I11" s="52">
        <f t="shared" ref="I11" si="5">+I8+I9+I10</f>
        <v>-3736839000</v>
      </c>
      <c r="J11" s="52">
        <f t="shared" ref="J11" si="6">+J8+J9+J10</f>
        <v>0</v>
      </c>
      <c r="K11" s="52">
        <f t="shared" ref="K11" si="7">+K8+K9+K10</f>
        <v>0</v>
      </c>
      <c r="L11" s="52">
        <f t="shared" ref="L11" si="8">+L8+L9+L10</f>
        <v>-9954983000</v>
      </c>
      <c r="M11" s="52">
        <f t="shared" ref="M11" si="9">+M8+M9+M10</f>
        <v>0</v>
      </c>
      <c r="N11" s="52">
        <f t="shared" ref="N11:S11" si="10">+N8+N9+N10</f>
        <v>0</v>
      </c>
      <c r="O11" s="52">
        <f t="shared" ref="O11:Q11" si="11">+O8+O9+O10</f>
        <v>0</v>
      </c>
      <c r="P11" s="52">
        <f t="shared" ref="P11" si="12">+P8+P9+P10</f>
        <v>0</v>
      </c>
      <c r="Q11" s="52">
        <f t="shared" si="11"/>
        <v>0</v>
      </c>
      <c r="R11" s="52">
        <f t="shared" ref="R11" si="13">+R8+R9+R10</f>
        <v>-2061904000</v>
      </c>
      <c r="S11" s="52">
        <f t="shared" si="10"/>
        <v>0</v>
      </c>
      <c r="T11" s="52">
        <f t="shared" ref="T11" si="14">+T8+T9+T10</f>
        <v>0</v>
      </c>
      <c r="U11" s="52">
        <f t="shared" ref="U11" si="15">+U8+U9+U10</f>
        <v>0</v>
      </c>
      <c r="V11" s="52">
        <f t="shared" ref="V11" si="16">+V8+V9+V10</f>
        <v>0</v>
      </c>
      <c r="W11" s="52">
        <f t="shared" ref="W11:X11" si="17">+W8+W9+W10</f>
        <v>14750880000</v>
      </c>
      <c r="X11" s="52">
        <f t="shared" si="17"/>
        <v>2733993000</v>
      </c>
      <c r="Y11" s="52">
        <f>+Y8+Y9+Y10</f>
        <v>0</v>
      </c>
      <c r="Z11" s="52">
        <f>+Z8+Z9+Z10</f>
        <v>7066017000</v>
      </c>
      <c r="AA11" s="52">
        <f t="shared" ref="AA11" si="18">+AA8+AA9+AA10</f>
        <v>9800010000</v>
      </c>
      <c r="AB11" s="52">
        <f t="shared" ref="AB11" si="19">+AB8+AB9+AB10</f>
        <v>309444765000</v>
      </c>
      <c r="AC11" s="52">
        <f>G11+H11+I11+J11+AA11+AB11</f>
        <v>652634146000</v>
      </c>
      <c r="AD11" s="52">
        <f t="shared" ref="AD11" si="20">+AD8+AD9+AD10</f>
        <v>142243819000</v>
      </c>
      <c r="AE11" s="62">
        <f t="shared" si="2"/>
        <v>794877965000</v>
      </c>
      <c r="AF11" s="25"/>
    </row>
    <row r="12" spans="1:32">
      <c r="A12" s="6"/>
      <c r="B12" s="20"/>
      <c r="C12" s="21"/>
      <c r="D12" s="22"/>
      <c r="E12" s="21"/>
      <c r="F12" s="24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25"/>
    </row>
    <row r="13" spans="1:32">
      <c r="A13" s="6"/>
      <c r="B13" s="20"/>
      <c r="C13" s="21"/>
      <c r="D13" s="22"/>
      <c r="E13" s="21"/>
      <c r="F13" s="55" t="s">
        <v>27</v>
      </c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25"/>
    </row>
    <row r="14" spans="1:32">
      <c r="A14" s="6"/>
      <c r="B14" s="20"/>
      <c r="C14" s="21"/>
      <c r="D14" s="45"/>
      <c r="E14" s="21" t="s">
        <v>15</v>
      </c>
      <c r="F14" s="59" t="s">
        <v>28</v>
      </c>
      <c r="G14" s="50" t="s">
        <v>15</v>
      </c>
      <c r="H14" s="50" t="s">
        <v>15</v>
      </c>
      <c r="I14" s="50" t="s">
        <v>15</v>
      </c>
      <c r="J14" s="50" t="s">
        <v>15</v>
      </c>
      <c r="K14" s="50" t="s">
        <v>15</v>
      </c>
      <c r="L14" s="50" t="s">
        <v>15</v>
      </c>
      <c r="M14" s="50" t="s">
        <v>15</v>
      </c>
      <c r="N14" s="50" t="s">
        <v>15</v>
      </c>
      <c r="O14" s="50" t="s">
        <v>15</v>
      </c>
      <c r="P14" s="50" t="s">
        <v>15</v>
      </c>
      <c r="Q14" s="50" t="s">
        <v>15</v>
      </c>
      <c r="R14" s="50" t="s">
        <v>15</v>
      </c>
      <c r="S14" s="50" t="s">
        <v>15</v>
      </c>
      <c r="T14" s="50" t="s">
        <v>15</v>
      </c>
      <c r="U14" s="50" t="s">
        <v>15</v>
      </c>
      <c r="V14" s="50" t="s">
        <v>15</v>
      </c>
      <c r="W14" s="50" t="s">
        <v>15</v>
      </c>
      <c r="X14" s="50"/>
      <c r="Y14" s="50"/>
      <c r="Z14" s="50"/>
      <c r="AA14" s="50" t="s">
        <v>15</v>
      </c>
      <c r="AB14" s="50" t="s">
        <v>15</v>
      </c>
      <c r="AC14" s="50" t="s">
        <v>15</v>
      </c>
      <c r="AD14" s="50" t="s">
        <v>15</v>
      </c>
      <c r="AE14" s="50" t="s">
        <v>15</v>
      </c>
      <c r="AF14" s="25"/>
    </row>
    <row r="15" spans="1:32">
      <c r="A15" s="6"/>
      <c r="B15" s="20" t="s">
        <v>105</v>
      </c>
      <c r="C15" s="21" t="s">
        <v>71</v>
      </c>
      <c r="D15" s="45" t="s">
        <v>21</v>
      </c>
      <c r="E15" s="21" t="s">
        <v>15</v>
      </c>
      <c r="F15" s="60" t="s">
        <v>29</v>
      </c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2">
        <f t="shared" ref="X15:X16" si="21">SUM(K15:W15)</f>
        <v>0</v>
      </c>
      <c r="Y15" s="53"/>
      <c r="Z15" s="53"/>
      <c r="AA15" s="52">
        <f t="shared" ref="AA15:AA17" si="22">SUM(X15:Z15)</f>
        <v>0</v>
      </c>
      <c r="AB15" s="67">
        <v>60087742000</v>
      </c>
      <c r="AC15" s="52">
        <f t="shared" ref="AC15:AC28" si="23">G15+H15+I15+J15+AA15+AB15</f>
        <v>60087742000</v>
      </c>
      <c r="AD15" s="67">
        <v>11662845000</v>
      </c>
      <c r="AE15" s="61">
        <f t="shared" ref="AE15" si="24">AC15+AD15</f>
        <v>71750587000</v>
      </c>
      <c r="AF15" s="25"/>
    </row>
    <row r="16" spans="1:32">
      <c r="A16" s="6"/>
      <c r="B16" s="20" t="s">
        <v>105</v>
      </c>
      <c r="C16" s="21" t="s">
        <v>72</v>
      </c>
      <c r="D16" s="45" t="s">
        <v>21</v>
      </c>
      <c r="E16" s="21" t="s">
        <v>15</v>
      </c>
      <c r="F16" s="60" t="s">
        <v>30</v>
      </c>
      <c r="G16" s="53"/>
      <c r="H16" s="53"/>
      <c r="I16" s="53"/>
      <c r="J16" s="53"/>
      <c r="K16" s="53"/>
      <c r="L16" s="53">
        <v>846858000</v>
      </c>
      <c r="M16" s="53"/>
      <c r="N16" s="53"/>
      <c r="O16" s="53"/>
      <c r="P16" s="53"/>
      <c r="Q16" s="53"/>
      <c r="R16" s="53">
        <v>899287000</v>
      </c>
      <c r="S16" s="53"/>
      <c r="T16" s="53"/>
      <c r="U16" s="53"/>
      <c r="V16" s="53"/>
      <c r="W16" s="53"/>
      <c r="X16" s="52">
        <f t="shared" si="21"/>
        <v>1746145000</v>
      </c>
      <c r="Y16" s="53"/>
      <c r="Z16" s="53"/>
      <c r="AA16" s="52">
        <f t="shared" si="22"/>
        <v>1746145000</v>
      </c>
      <c r="AB16" s="67"/>
      <c r="AC16" s="52">
        <f t="shared" si="23"/>
        <v>1746145000</v>
      </c>
      <c r="AD16" s="67"/>
      <c r="AE16" s="61">
        <f t="shared" ref="AE16:AE28" si="25">AC16+AD16</f>
        <v>1746145000</v>
      </c>
      <c r="AF16" s="25"/>
    </row>
    <row r="17" spans="1:32">
      <c r="A17" s="6"/>
      <c r="B17" s="20" t="s">
        <v>105</v>
      </c>
      <c r="C17" s="21" t="s">
        <v>73</v>
      </c>
      <c r="D17" s="45" t="s">
        <v>21</v>
      </c>
      <c r="E17" s="21" t="s">
        <v>15</v>
      </c>
      <c r="F17" s="59" t="s">
        <v>31</v>
      </c>
      <c r="G17" s="52">
        <f t="shared" ref="G17" si="26">+G15+G16</f>
        <v>0</v>
      </c>
      <c r="H17" s="52">
        <f t="shared" ref="H17" si="27">+H15+H16</f>
        <v>0</v>
      </c>
      <c r="I17" s="52">
        <f t="shared" ref="I17" si="28">+I15+I16</f>
        <v>0</v>
      </c>
      <c r="J17" s="52">
        <f t="shared" ref="J17" si="29">+J15+J16</f>
        <v>0</v>
      </c>
      <c r="K17" s="52">
        <f t="shared" ref="K17" si="30">+K15+K16</f>
        <v>0</v>
      </c>
      <c r="L17" s="52">
        <f t="shared" ref="L17" si="31">+L15+L16</f>
        <v>846858000</v>
      </c>
      <c r="M17" s="52">
        <f t="shared" ref="M17" si="32">+M15+M16</f>
        <v>0</v>
      </c>
      <c r="N17" s="52">
        <f t="shared" ref="N17:S17" si="33">+N15+N16</f>
        <v>0</v>
      </c>
      <c r="O17" s="52">
        <f t="shared" ref="O17:Q17" si="34">+O15+O16</f>
        <v>0</v>
      </c>
      <c r="P17" s="52">
        <f t="shared" ref="P17" si="35">+P15+P16</f>
        <v>0</v>
      </c>
      <c r="Q17" s="52">
        <f t="shared" si="34"/>
        <v>0</v>
      </c>
      <c r="R17" s="52">
        <f t="shared" ref="R17" si="36">+R15+R16</f>
        <v>899287000</v>
      </c>
      <c r="S17" s="52">
        <f t="shared" si="33"/>
        <v>0</v>
      </c>
      <c r="T17" s="52">
        <f t="shared" ref="T17" si="37">+T15+T16</f>
        <v>0</v>
      </c>
      <c r="U17" s="52">
        <f t="shared" ref="U17" si="38">+U15+U16</f>
        <v>0</v>
      </c>
      <c r="V17" s="52">
        <f t="shared" ref="V17" si="39">+V15+V16</f>
        <v>0</v>
      </c>
      <c r="W17" s="52">
        <f t="shared" ref="W17:Y17" si="40">+W15+W16</f>
        <v>0</v>
      </c>
      <c r="X17" s="52">
        <f t="shared" si="40"/>
        <v>1746145000</v>
      </c>
      <c r="Y17" s="52">
        <f t="shared" si="40"/>
        <v>0</v>
      </c>
      <c r="Z17" s="52">
        <f>+Z15+Z16</f>
        <v>0</v>
      </c>
      <c r="AA17" s="52">
        <f t="shared" si="22"/>
        <v>1746145000</v>
      </c>
      <c r="AB17" s="68">
        <f>+AB15+AB16</f>
        <v>60087742000</v>
      </c>
      <c r="AC17" s="52">
        <f t="shared" si="23"/>
        <v>61833887000</v>
      </c>
      <c r="AD17" s="68">
        <f t="shared" ref="AD17" si="41">+AD15+AD16</f>
        <v>11662845000</v>
      </c>
      <c r="AE17" s="61">
        <f t="shared" si="25"/>
        <v>73496732000</v>
      </c>
      <c r="AF17" s="25"/>
    </row>
    <row r="18" spans="1:32">
      <c r="A18" s="6"/>
      <c r="B18" s="20" t="s">
        <v>105</v>
      </c>
      <c r="C18" s="21" t="s">
        <v>74</v>
      </c>
      <c r="D18" s="45" t="s">
        <v>21</v>
      </c>
      <c r="E18" s="21" t="s">
        <v>15</v>
      </c>
      <c r="F18" s="57" t="s">
        <v>32</v>
      </c>
      <c r="G18" s="67"/>
      <c r="H18" s="67"/>
      <c r="I18" s="67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2">
        <f t="shared" ref="X18:X28" si="42">SUM(K18:W18)</f>
        <v>0</v>
      </c>
      <c r="Y18" s="53"/>
      <c r="Z18" s="53"/>
      <c r="AA18" s="52">
        <f t="shared" ref="AA18:AA28" si="43">SUM(X18:Z18)</f>
        <v>0</v>
      </c>
      <c r="AB18" s="67"/>
      <c r="AC18" s="52">
        <f t="shared" si="23"/>
        <v>0</v>
      </c>
      <c r="AD18" s="67"/>
      <c r="AE18" s="52">
        <f t="shared" si="25"/>
        <v>0</v>
      </c>
      <c r="AF18" s="25"/>
    </row>
    <row r="19" spans="1:32">
      <c r="A19" s="6"/>
      <c r="B19" s="20" t="s">
        <v>105</v>
      </c>
      <c r="C19" s="21" t="s">
        <v>91</v>
      </c>
      <c r="D19" s="45" t="s">
        <v>21</v>
      </c>
      <c r="E19" s="21" t="s">
        <v>15</v>
      </c>
      <c r="F19" s="57" t="s">
        <v>33</v>
      </c>
      <c r="G19" s="67"/>
      <c r="H19" s="67"/>
      <c r="I19" s="67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2">
        <f t="shared" si="42"/>
        <v>0</v>
      </c>
      <c r="Y19" s="53"/>
      <c r="Z19" s="53"/>
      <c r="AA19" s="52">
        <f t="shared" si="43"/>
        <v>0</v>
      </c>
      <c r="AB19" s="67">
        <v>21340204000</v>
      </c>
      <c r="AC19" s="52">
        <f t="shared" si="23"/>
        <v>21340204000</v>
      </c>
      <c r="AD19" s="67"/>
      <c r="AE19" s="52">
        <f t="shared" si="25"/>
        <v>21340204000</v>
      </c>
      <c r="AF19" s="25"/>
    </row>
    <row r="20" spans="1:32">
      <c r="A20" s="6"/>
      <c r="B20" s="20" t="s">
        <v>105</v>
      </c>
      <c r="C20" s="21" t="s">
        <v>75</v>
      </c>
      <c r="D20" s="45" t="s">
        <v>21</v>
      </c>
      <c r="E20" s="23" t="s">
        <v>15</v>
      </c>
      <c r="F20" s="57" t="s">
        <v>34</v>
      </c>
      <c r="G20" s="67">
        <v>5384947000</v>
      </c>
      <c r="H20" s="67"/>
      <c r="I20" s="67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2">
        <f t="shared" si="42"/>
        <v>0</v>
      </c>
      <c r="Y20" s="53"/>
      <c r="Z20" s="53"/>
      <c r="AA20" s="52">
        <f t="shared" si="43"/>
        <v>0</v>
      </c>
      <c r="AB20" s="67"/>
      <c r="AC20" s="52">
        <f t="shared" si="23"/>
        <v>5384947000</v>
      </c>
      <c r="AD20" s="67"/>
      <c r="AE20" s="52">
        <f t="shared" si="25"/>
        <v>5384947000</v>
      </c>
      <c r="AF20" s="25"/>
    </row>
    <row r="21" spans="1:32">
      <c r="A21" s="6"/>
      <c r="B21" s="20" t="s">
        <v>105</v>
      </c>
      <c r="C21" s="21" t="s">
        <v>76</v>
      </c>
      <c r="D21" s="45" t="s">
        <v>21</v>
      </c>
      <c r="E21" s="21" t="s">
        <v>15</v>
      </c>
      <c r="F21" s="57" t="s">
        <v>35</v>
      </c>
      <c r="G21" s="67"/>
      <c r="H21" s="67"/>
      <c r="I21" s="67"/>
      <c r="J21" s="53"/>
      <c r="K21" s="53"/>
      <c r="L21" s="53">
        <v>6000</v>
      </c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2">
        <f t="shared" si="42"/>
        <v>6000</v>
      </c>
      <c r="Y21" s="53"/>
      <c r="Z21" s="53"/>
      <c r="AA21" s="52">
        <f t="shared" si="43"/>
        <v>6000</v>
      </c>
      <c r="AB21" s="67"/>
      <c r="AC21" s="52">
        <f t="shared" si="23"/>
        <v>6000</v>
      </c>
      <c r="AD21" s="67"/>
      <c r="AE21" s="52">
        <f t="shared" si="25"/>
        <v>6000</v>
      </c>
      <c r="AF21" s="25"/>
    </row>
    <row r="22" spans="1:32">
      <c r="A22" s="6"/>
      <c r="B22" s="20" t="s">
        <v>105</v>
      </c>
      <c r="C22" s="21" t="s">
        <v>77</v>
      </c>
      <c r="D22" s="45" t="s">
        <v>21</v>
      </c>
      <c r="E22" s="21" t="s">
        <v>15</v>
      </c>
      <c r="F22" s="57" t="s">
        <v>36</v>
      </c>
      <c r="G22" s="67">
        <v>-3736839000</v>
      </c>
      <c r="H22" s="67"/>
      <c r="I22" s="67">
        <v>3736839000</v>
      </c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>
        <v>3410030000</v>
      </c>
      <c r="X22" s="52">
        <f t="shared" si="42"/>
        <v>3410030000</v>
      </c>
      <c r="Y22" s="53"/>
      <c r="Z22" s="53">
        <v>-878656000</v>
      </c>
      <c r="AA22" s="52">
        <f t="shared" si="43"/>
        <v>2531374000</v>
      </c>
      <c r="AB22" s="67">
        <v>-26512182000</v>
      </c>
      <c r="AC22" s="52">
        <f t="shared" si="23"/>
        <v>-23980808000</v>
      </c>
      <c r="AD22" s="67">
        <v>-33874311000</v>
      </c>
      <c r="AE22" s="52">
        <f t="shared" si="25"/>
        <v>-57855119000</v>
      </c>
      <c r="AF22" s="25"/>
    </row>
    <row r="23" spans="1:32">
      <c r="A23" s="6"/>
      <c r="B23" s="20" t="s">
        <v>105</v>
      </c>
      <c r="C23" s="21" t="s">
        <v>78</v>
      </c>
      <c r="D23" s="45" t="s">
        <v>21</v>
      </c>
      <c r="E23" s="21" t="s">
        <v>15</v>
      </c>
      <c r="F23" s="57" t="s">
        <v>37</v>
      </c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2">
        <f t="shared" si="42"/>
        <v>0</v>
      </c>
      <c r="Y23" s="69">
        <v>1000</v>
      </c>
      <c r="Z23" s="53"/>
      <c r="AA23" s="52">
        <f t="shared" si="43"/>
        <v>1000</v>
      </c>
      <c r="AB23" s="53">
        <v>-1000</v>
      </c>
      <c r="AC23" s="52">
        <f t="shared" si="23"/>
        <v>0</v>
      </c>
      <c r="AD23" s="53"/>
      <c r="AE23" s="52">
        <f t="shared" si="25"/>
        <v>0</v>
      </c>
      <c r="AF23" s="25"/>
    </row>
    <row r="24" spans="1:32" ht="22.5">
      <c r="A24" s="6"/>
      <c r="B24" s="20" t="s">
        <v>105</v>
      </c>
      <c r="C24" s="21" t="s">
        <v>79</v>
      </c>
      <c r="D24" s="45" t="s">
        <v>21</v>
      </c>
      <c r="E24" s="21" t="s">
        <v>15</v>
      </c>
      <c r="F24" s="58" t="s">
        <v>38</v>
      </c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2">
        <f t="shared" si="42"/>
        <v>0</v>
      </c>
      <c r="Y24" s="53"/>
      <c r="Z24" s="53"/>
      <c r="AA24" s="52">
        <f t="shared" si="43"/>
        <v>0</v>
      </c>
      <c r="AB24" s="53"/>
      <c r="AC24" s="52">
        <f t="shared" si="23"/>
        <v>0</v>
      </c>
      <c r="AD24" s="53"/>
      <c r="AE24" s="52">
        <f t="shared" si="25"/>
        <v>0</v>
      </c>
      <c r="AF24" s="25"/>
    </row>
    <row r="25" spans="1:32" s="1" customFormat="1" ht="33.75">
      <c r="A25" s="28"/>
      <c r="B25" s="43" t="s">
        <v>105</v>
      </c>
      <c r="C25" s="44" t="s">
        <v>80</v>
      </c>
      <c r="D25" s="45" t="s">
        <v>21</v>
      </c>
      <c r="E25" s="44" t="s">
        <v>15</v>
      </c>
      <c r="F25" s="58" t="s">
        <v>40</v>
      </c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2">
        <f t="shared" si="42"/>
        <v>0</v>
      </c>
      <c r="Y25" s="53"/>
      <c r="Z25" s="53"/>
      <c r="AA25" s="52">
        <f t="shared" si="43"/>
        <v>0</v>
      </c>
      <c r="AB25" s="53"/>
      <c r="AC25" s="52">
        <f t="shared" si="23"/>
        <v>0</v>
      </c>
      <c r="AD25" s="53"/>
      <c r="AE25" s="52">
        <f t="shared" si="25"/>
        <v>0</v>
      </c>
      <c r="AF25" s="48"/>
    </row>
    <row r="26" spans="1:32" s="1" customFormat="1" ht="45">
      <c r="A26" s="28"/>
      <c r="B26" s="43" t="s">
        <v>105</v>
      </c>
      <c r="C26" s="44" t="s">
        <v>81</v>
      </c>
      <c r="D26" s="45" t="s">
        <v>21</v>
      </c>
      <c r="E26" s="44" t="s">
        <v>15</v>
      </c>
      <c r="F26" s="58" t="s">
        <v>41</v>
      </c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2">
        <f t="shared" si="42"/>
        <v>0</v>
      </c>
      <c r="Y26" s="53"/>
      <c r="Z26" s="53"/>
      <c r="AA26" s="52">
        <f t="shared" si="43"/>
        <v>0</v>
      </c>
      <c r="AB26" s="53"/>
      <c r="AC26" s="52">
        <f t="shared" si="23"/>
        <v>0</v>
      </c>
      <c r="AD26" s="53"/>
      <c r="AE26" s="52">
        <f t="shared" si="25"/>
        <v>0</v>
      </c>
      <c r="AF26" s="48"/>
    </row>
    <row r="27" spans="1:32" s="1" customFormat="1" ht="45">
      <c r="A27" s="28"/>
      <c r="B27" s="43" t="s">
        <v>105</v>
      </c>
      <c r="C27" s="44" t="s">
        <v>82</v>
      </c>
      <c r="D27" s="45" t="s">
        <v>21</v>
      </c>
      <c r="E27" s="44" t="s">
        <v>15</v>
      </c>
      <c r="F27" s="58" t="s">
        <v>42</v>
      </c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2">
        <f t="shared" si="42"/>
        <v>0</v>
      </c>
      <c r="Y27" s="53"/>
      <c r="Z27" s="53"/>
      <c r="AA27" s="52">
        <f t="shared" si="43"/>
        <v>0</v>
      </c>
      <c r="AB27" s="53"/>
      <c r="AC27" s="52">
        <f t="shared" si="23"/>
        <v>0</v>
      </c>
      <c r="AD27" s="53"/>
      <c r="AE27" s="52">
        <f t="shared" si="25"/>
        <v>0</v>
      </c>
      <c r="AF27" s="48"/>
    </row>
    <row r="28" spans="1:32" s="1" customFormat="1" ht="45">
      <c r="A28" s="28"/>
      <c r="B28" s="43" t="s">
        <v>105</v>
      </c>
      <c r="C28" s="44" t="s">
        <v>83</v>
      </c>
      <c r="D28" s="45" t="s">
        <v>21</v>
      </c>
      <c r="E28" s="44" t="s">
        <v>15</v>
      </c>
      <c r="F28" s="58" t="s">
        <v>43</v>
      </c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2">
        <f t="shared" si="42"/>
        <v>0</v>
      </c>
      <c r="Y28" s="53"/>
      <c r="Z28" s="53"/>
      <c r="AA28" s="52">
        <f t="shared" si="43"/>
        <v>0</v>
      </c>
      <c r="AB28" s="53"/>
      <c r="AC28" s="52">
        <f t="shared" si="23"/>
        <v>0</v>
      </c>
      <c r="AD28" s="53"/>
      <c r="AE28" s="52">
        <f t="shared" si="25"/>
        <v>0</v>
      </c>
      <c r="AF28" s="48"/>
    </row>
    <row r="29" spans="1:32">
      <c r="A29" s="6"/>
      <c r="B29" s="20" t="s">
        <v>105</v>
      </c>
      <c r="C29" s="21" t="s">
        <v>84</v>
      </c>
      <c r="D29" s="45" t="s">
        <v>21</v>
      </c>
      <c r="E29" s="21" t="s">
        <v>15</v>
      </c>
      <c r="F29" s="56" t="s">
        <v>39</v>
      </c>
      <c r="G29" s="52">
        <f>G17+G18-G19+G20-G21+G22+G23+G24-G25-G26-G27-G28</f>
        <v>1648108000</v>
      </c>
      <c r="H29" s="52">
        <f t="shared" ref="H29:Z29" si="44">H17+H18-H19+H20-H21+H22+H23+H24-H25-H26-H27-H28</f>
        <v>0</v>
      </c>
      <c r="I29" s="52">
        <f t="shared" si="44"/>
        <v>3736839000</v>
      </c>
      <c r="J29" s="52">
        <f t="shared" si="44"/>
        <v>0</v>
      </c>
      <c r="K29" s="52">
        <f t="shared" si="44"/>
        <v>0</v>
      </c>
      <c r="L29" s="52">
        <f t="shared" si="44"/>
        <v>846852000</v>
      </c>
      <c r="M29" s="52">
        <f t="shared" si="44"/>
        <v>0</v>
      </c>
      <c r="N29" s="52">
        <f t="shared" si="44"/>
        <v>0</v>
      </c>
      <c r="O29" s="52">
        <f t="shared" si="44"/>
        <v>0</v>
      </c>
      <c r="P29" s="52">
        <f t="shared" si="44"/>
        <v>0</v>
      </c>
      <c r="Q29" s="52">
        <f t="shared" si="44"/>
        <v>0</v>
      </c>
      <c r="R29" s="52">
        <f t="shared" ref="R29" si="45">R17+R18-R19+R20-R21+R22+R23+R24-R25-R26-R27-R28</f>
        <v>899287000</v>
      </c>
      <c r="S29" s="52">
        <f t="shared" si="44"/>
        <v>0</v>
      </c>
      <c r="T29" s="52">
        <f t="shared" si="44"/>
        <v>0</v>
      </c>
      <c r="U29" s="52">
        <f t="shared" si="44"/>
        <v>0</v>
      </c>
      <c r="V29" s="52">
        <f t="shared" si="44"/>
        <v>0</v>
      </c>
      <c r="W29" s="52">
        <f t="shared" si="44"/>
        <v>3410030000</v>
      </c>
      <c r="X29" s="52">
        <f t="shared" ref="X29:Y29" si="46">X17+X18-X19+X20-X21+X22+X23+X24-X25-X26-X27-X28</f>
        <v>5156169000</v>
      </c>
      <c r="Y29" s="52">
        <f t="shared" si="46"/>
        <v>1000</v>
      </c>
      <c r="Z29" s="52">
        <f t="shared" si="44"/>
        <v>-878656000</v>
      </c>
      <c r="AA29" s="52">
        <f>AA17+AA18-AA19+AA20-AA21+AA22+AA23+AA24-AA25-AA26-AA27-AA28</f>
        <v>4277514000</v>
      </c>
      <c r="AB29" s="52">
        <f>AB17+AB18-AB19+AB20-AB21+AB22+AB23+AB24-AB25-AB26-AB27-AB28</f>
        <v>12235355000</v>
      </c>
      <c r="AC29" s="52">
        <f>AC17+AC18-AC19+AC20-AC21+AC22+AC23+AC24-AC25-AC26-AC27-AC28</f>
        <v>21897816000</v>
      </c>
      <c r="AD29" s="52">
        <f>AD17+AD18-AD19+AD20-AD21+AD22+AD23+AD24-AD25-AD26-AD27-AD28</f>
        <v>-22211466000</v>
      </c>
      <c r="AE29" s="52">
        <f>AE17+AE18-AE19+AE20-AE21+AE22+AE23+AE24-AE25-AE26-AE27-AE28</f>
        <v>-313650000</v>
      </c>
      <c r="AF29" s="25"/>
    </row>
    <row r="30" spans="1:32">
      <c r="A30" s="6"/>
      <c r="B30" s="20" t="s">
        <v>105</v>
      </c>
      <c r="C30" s="21" t="s">
        <v>70</v>
      </c>
      <c r="D30" s="45" t="s">
        <v>21</v>
      </c>
      <c r="E30" s="21" t="s">
        <v>15</v>
      </c>
      <c r="F30" s="24" t="s">
        <v>23</v>
      </c>
      <c r="G30" s="52">
        <f>G11+G29</f>
        <v>338573354000</v>
      </c>
      <c r="H30" s="52">
        <f t="shared" ref="H30" si="47">H11+H29</f>
        <v>200964000</v>
      </c>
      <c r="I30" s="52">
        <f t="shared" ref="I30" si="48">I11+I29</f>
        <v>0</v>
      </c>
      <c r="J30" s="52">
        <f t="shared" ref="J30" si="49">J11+J29</f>
        <v>0</v>
      </c>
      <c r="K30" s="52">
        <f t="shared" ref="K30" si="50">K11+K29</f>
        <v>0</v>
      </c>
      <c r="L30" s="52">
        <f t="shared" ref="L30" si="51">L11+L29</f>
        <v>-9108131000</v>
      </c>
      <c r="M30" s="52">
        <f t="shared" ref="M30" si="52">M11+M29</f>
        <v>0</v>
      </c>
      <c r="N30" s="52">
        <f t="shared" ref="N30:S30" si="53">N11+N29</f>
        <v>0</v>
      </c>
      <c r="O30" s="52">
        <f t="shared" ref="O30:Q30" si="54">O11+O29</f>
        <v>0</v>
      </c>
      <c r="P30" s="52">
        <f t="shared" ref="P30" si="55">P11+P29</f>
        <v>0</v>
      </c>
      <c r="Q30" s="52">
        <f t="shared" si="54"/>
        <v>0</v>
      </c>
      <c r="R30" s="52">
        <f t="shared" ref="R30" si="56">R11+R29</f>
        <v>-1162617000</v>
      </c>
      <c r="S30" s="52">
        <f t="shared" si="53"/>
        <v>0</v>
      </c>
      <c r="T30" s="52">
        <f t="shared" ref="T30" si="57">T11+T29</f>
        <v>0</v>
      </c>
      <c r="U30" s="52">
        <f t="shared" ref="U30" si="58">U11+U29</f>
        <v>0</v>
      </c>
      <c r="V30" s="52">
        <f t="shared" ref="V30" si="59">V11+V29</f>
        <v>0</v>
      </c>
      <c r="W30" s="52">
        <f t="shared" ref="W30:X30" si="60">W11+W29</f>
        <v>18160910000</v>
      </c>
      <c r="X30" s="52">
        <f t="shared" si="60"/>
        <v>7890162000</v>
      </c>
      <c r="Y30" s="52">
        <f t="shared" ref="Y30" si="61">Y11+Y29</f>
        <v>1000</v>
      </c>
      <c r="Z30" s="52">
        <f t="shared" ref="Z30" si="62">Z11+Z29</f>
        <v>6187361000</v>
      </c>
      <c r="AA30" s="52">
        <f t="shared" ref="AA30" si="63">AA11+AA29</f>
        <v>14077524000</v>
      </c>
      <c r="AB30" s="52">
        <f>AB11+AB29</f>
        <v>321680120000</v>
      </c>
      <c r="AC30" s="52">
        <f>G30+H30+I30+J30+AA30+AB30</f>
        <v>674531962000</v>
      </c>
      <c r="AD30" s="52">
        <f t="shared" ref="AD30" si="64">AD11+AD29</f>
        <v>120032353000</v>
      </c>
      <c r="AE30" s="62">
        <f t="shared" ref="AE30" si="65">AE11+AE29</f>
        <v>794564315000</v>
      </c>
      <c r="AF30" s="25"/>
    </row>
    <row r="31" spans="1:32">
      <c r="A31" s="28"/>
      <c r="B31" s="29"/>
      <c r="C31" s="30"/>
      <c r="D31" s="31"/>
      <c r="E31" s="32"/>
      <c r="F31" s="42"/>
      <c r="G31" s="31" t="s">
        <v>15</v>
      </c>
      <c r="H31" s="31" t="s">
        <v>15</v>
      </c>
      <c r="I31" s="31" t="s">
        <v>15</v>
      </c>
      <c r="J31" s="31" t="s">
        <v>15</v>
      </c>
      <c r="K31" s="31" t="s">
        <v>15</v>
      </c>
      <c r="L31" s="31" t="s">
        <v>15</v>
      </c>
      <c r="M31" s="31" t="s">
        <v>15</v>
      </c>
      <c r="N31" s="31" t="s">
        <v>15</v>
      </c>
      <c r="O31" s="31" t="s">
        <v>15</v>
      </c>
      <c r="P31" s="31" t="s">
        <v>15</v>
      </c>
      <c r="Q31" s="31" t="s">
        <v>15</v>
      </c>
      <c r="R31" s="31"/>
      <c r="S31" s="31" t="s">
        <v>15</v>
      </c>
      <c r="T31" s="31" t="s">
        <v>15</v>
      </c>
      <c r="U31" s="31" t="s">
        <v>15</v>
      </c>
      <c r="V31" s="31" t="s">
        <v>15</v>
      </c>
      <c r="W31" s="31" t="s">
        <v>15</v>
      </c>
      <c r="X31" s="31"/>
      <c r="Y31" s="31"/>
      <c r="Z31" s="31" t="s">
        <v>15</v>
      </c>
      <c r="AA31" s="31" t="s">
        <v>15</v>
      </c>
      <c r="AB31" s="31" t="s">
        <v>15</v>
      </c>
      <c r="AC31" s="31" t="s">
        <v>15</v>
      </c>
      <c r="AD31" s="31" t="s">
        <v>15</v>
      </c>
      <c r="AE31" s="31" t="s">
        <v>15</v>
      </c>
      <c r="AF31" s="48"/>
    </row>
    <row r="32" spans="1:32">
      <c r="A32" s="28"/>
      <c r="B32" s="33"/>
      <c r="C32" s="34"/>
      <c r="D32" s="35" t="s">
        <v>15</v>
      </c>
      <c r="E32" s="36" t="s">
        <v>15</v>
      </c>
      <c r="F32" s="37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1" t="s">
        <v>15</v>
      </c>
      <c r="AB32" s="31" t="s">
        <v>15</v>
      </c>
      <c r="AC32" s="31" t="s">
        <v>15</v>
      </c>
      <c r="AD32" s="31" t="s">
        <v>15</v>
      </c>
      <c r="AE32" s="31" t="s">
        <v>15</v>
      </c>
      <c r="AF32" s="48"/>
    </row>
    <row r="33" spans="1:32" s="1" customFormat="1">
      <c r="A33" s="28"/>
      <c r="B33" s="33"/>
      <c r="C33" s="50"/>
      <c r="D33" s="35"/>
      <c r="E33" s="36"/>
      <c r="F33" s="64" t="s">
        <v>100</v>
      </c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48"/>
    </row>
    <row r="34" spans="1:32" s="1" customFormat="1">
      <c r="A34" s="28"/>
      <c r="B34" s="33"/>
      <c r="C34" s="50"/>
      <c r="D34" s="35"/>
      <c r="E34" s="36"/>
      <c r="F34" s="37" t="s">
        <v>98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48"/>
    </row>
    <row r="35" spans="1:32">
      <c r="A35" s="28" t="s">
        <v>16</v>
      </c>
      <c r="B35" s="43" t="s">
        <v>105</v>
      </c>
      <c r="C35" s="44" t="s">
        <v>88</v>
      </c>
      <c r="D35" s="41" t="s">
        <v>22</v>
      </c>
      <c r="E35" s="35" t="s">
        <v>15</v>
      </c>
      <c r="F35" s="54" t="s">
        <v>24</v>
      </c>
      <c r="G35" s="53">
        <v>233643412000</v>
      </c>
      <c r="H35" s="53"/>
      <c r="I35" s="53">
        <v>-3736839000</v>
      </c>
      <c r="J35" s="53"/>
      <c r="K35" s="53"/>
      <c r="L35" s="53">
        <v>-15550284000</v>
      </c>
      <c r="M35" s="53"/>
      <c r="N35" s="53"/>
      <c r="O35" s="53"/>
      <c r="P35" s="53"/>
      <c r="Q35" s="53"/>
      <c r="R35" s="53">
        <v>110483000</v>
      </c>
      <c r="S35" s="53"/>
      <c r="T35" s="53"/>
      <c r="U35" s="53"/>
      <c r="V35" s="53"/>
      <c r="W35" s="53"/>
      <c r="X35" s="52">
        <f>SUM(K35:W35)</f>
        <v>-15439801000</v>
      </c>
      <c r="Y35" s="53"/>
      <c r="Z35" s="53">
        <v>5327072000</v>
      </c>
      <c r="AA35" s="52">
        <f>SUM(X35:Z35)</f>
        <v>-10112729000</v>
      </c>
      <c r="AB35" s="53">
        <v>290550081000</v>
      </c>
      <c r="AC35" s="52">
        <f>G35+H35+I35+J35+AA35+AB35</f>
        <v>510343925000</v>
      </c>
      <c r="AD35" s="53">
        <v>124963063000</v>
      </c>
      <c r="AE35" s="52">
        <f>AC35+AD35</f>
        <v>635306988000</v>
      </c>
      <c r="AF35" s="48"/>
    </row>
    <row r="36" spans="1:32">
      <c r="A36" s="28" t="s">
        <v>16</v>
      </c>
      <c r="B36" s="43" t="s">
        <v>105</v>
      </c>
      <c r="C36" s="44" t="s">
        <v>89</v>
      </c>
      <c r="D36" s="41" t="s">
        <v>22</v>
      </c>
      <c r="E36" s="46" t="s">
        <v>15</v>
      </c>
      <c r="F36" s="54" t="s">
        <v>25</v>
      </c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2">
        <f t="shared" ref="X36:X37" si="66">SUM(K36:W36)</f>
        <v>0</v>
      </c>
      <c r="Y36" s="53"/>
      <c r="Z36" s="53"/>
      <c r="AA36" s="52">
        <f t="shared" ref="AA36:AA37" si="67">SUM(X36:Z36)</f>
        <v>0</v>
      </c>
      <c r="AB36" s="53"/>
      <c r="AC36" s="52">
        <f>G36+H36+I36+J36+AA36+AB36</f>
        <v>0</v>
      </c>
      <c r="AD36" s="53"/>
      <c r="AE36" s="52">
        <f t="shared" ref="AE36:AE38" si="68">AC36+AD36</f>
        <v>0</v>
      </c>
      <c r="AF36" s="48"/>
    </row>
    <row r="37" spans="1:32">
      <c r="A37" s="28" t="s">
        <v>16</v>
      </c>
      <c r="B37" s="43" t="s">
        <v>105</v>
      </c>
      <c r="C37" s="44" t="s">
        <v>90</v>
      </c>
      <c r="D37" s="41" t="s">
        <v>22</v>
      </c>
      <c r="E37" s="44" t="s">
        <v>15</v>
      </c>
      <c r="F37" s="54" t="s">
        <v>26</v>
      </c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2">
        <f t="shared" si="66"/>
        <v>0</v>
      </c>
      <c r="Y37" s="53"/>
      <c r="Z37" s="53"/>
      <c r="AA37" s="52">
        <f t="shared" si="67"/>
        <v>0</v>
      </c>
      <c r="AB37" s="53"/>
      <c r="AC37" s="52">
        <f>G37+H37+I37+J37+AA37+AB37</f>
        <v>0</v>
      </c>
      <c r="AD37" s="53"/>
      <c r="AE37" s="52">
        <f t="shared" si="68"/>
        <v>0</v>
      </c>
      <c r="AF37" s="48"/>
    </row>
    <row r="38" spans="1:32">
      <c r="A38" s="28" t="s">
        <v>16</v>
      </c>
      <c r="B38" s="43" t="s">
        <v>105</v>
      </c>
      <c r="C38" s="44" t="s">
        <v>96</v>
      </c>
      <c r="D38" s="41" t="s">
        <v>22</v>
      </c>
      <c r="E38" s="44" t="s">
        <v>15</v>
      </c>
      <c r="F38" s="37" t="s">
        <v>97</v>
      </c>
      <c r="G38" s="52">
        <f t="shared" ref="G38:X38" si="69">+G35+G36+G37</f>
        <v>233643412000</v>
      </c>
      <c r="H38" s="52">
        <f t="shared" si="69"/>
        <v>0</v>
      </c>
      <c r="I38" s="52">
        <f t="shared" si="69"/>
        <v>-3736839000</v>
      </c>
      <c r="J38" s="52">
        <f t="shared" si="69"/>
        <v>0</v>
      </c>
      <c r="K38" s="52">
        <f t="shared" si="69"/>
        <v>0</v>
      </c>
      <c r="L38" s="52">
        <f t="shared" si="69"/>
        <v>-15550284000</v>
      </c>
      <c r="M38" s="52">
        <f t="shared" si="69"/>
        <v>0</v>
      </c>
      <c r="N38" s="52">
        <f t="shared" si="69"/>
        <v>0</v>
      </c>
      <c r="O38" s="52">
        <f t="shared" si="69"/>
        <v>0</v>
      </c>
      <c r="P38" s="52">
        <f t="shared" si="69"/>
        <v>0</v>
      </c>
      <c r="Q38" s="52">
        <f t="shared" si="69"/>
        <v>0</v>
      </c>
      <c r="R38" s="52">
        <f t="shared" si="69"/>
        <v>110483000</v>
      </c>
      <c r="S38" s="52">
        <f t="shared" si="69"/>
        <v>0</v>
      </c>
      <c r="T38" s="52">
        <f t="shared" si="69"/>
        <v>0</v>
      </c>
      <c r="U38" s="52">
        <f t="shared" si="69"/>
        <v>0</v>
      </c>
      <c r="V38" s="52">
        <f t="shared" si="69"/>
        <v>0</v>
      </c>
      <c r="W38" s="52">
        <f t="shared" si="69"/>
        <v>0</v>
      </c>
      <c r="X38" s="52">
        <f t="shared" si="69"/>
        <v>-15439801000</v>
      </c>
      <c r="Y38" s="52">
        <f>+Y35+Y36+Y37</f>
        <v>0</v>
      </c>
      <c r="Z38" s="52">
        <f>+Z35+Z36+Z37</f>
        <v>5327072000</v>
      </c>
      <c r="AA38" s="52">
        <f t="shared" ref="AA38:AB38" si="70">+AA35+AA36+AA37</f>
        <v>-10112729000</v>
      </c>
      <c r="AB38" s="52">
        <f t="shared" si="70"/>
        <v>290550081000</v>
      </c>
      <c r="AC38" s="52">
        <f>G38+H38+I38+J38+AA38+AB38</f>
        <v>510343925000</v>
      </c>
      <c r="AD38" s="52">
        <f t="shared" ref="AD38" si="71">+AD35+AD36+AD37</f>
        <v>124963063000</v>
      </c>
      <c r="AE38" s="62">
        <f t="shared" si="68"/>
        <v>635306988000</v>
      </c>
      <c r="AF38" s="48"/>
    </row>
    <row r="39" spans="1:32">
      <c r="A39" s="28"/>
      <c r="B39" s="43"/>
      <c r="C39" s="44"/>
      <c r="D39" s="45" t="s">
        <v>15</v>
      </c>
      <c r="E39" s="44" t="s">
        <v>15</v>
      </c>
      <c r="F39" s="47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48"/>
    </row>
    <row r="40" spans="1:32">
      <c r="A40" s="28"/>
      <c r="B40" s="43"/>
      <c r="C40" s="44"/>
      <c r="D40" s="45"/>
      <c r="E40" s="44"/>
      <c r="F40" s="55" t="s">
        <v>27</v>
      </c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48"/>
    </row>
    <row r="41" spans="1:32">
      <c r="A41" s="28"/>
      <c r="B41" s="43"/>
      <c r="C41" s="44"/>
      <c r="D41" s="41"/>
      <c r="E41" s="44" t="s">
        <v>15</v>
      </c>
      <c r="F41" s="59" t="s">
        <v>28</v>
      </c>
      <c r="G41" s="50" t="s">
        <v>15</v>
      </c>
      <c r="H41" s="50" t="s">
        <v>15</v>
      </c>
      <c r="I41" s="50" t="s">
        <v>15</v>
      </c>
      <c r="J41" s="50" t="s">
        <v>15</v>
      </c>
      <c r="K41" s="50" t="s">
        <v>15</v>
      </c>
      <c r="L41" s="50" t="s">
        <v>15</v>
      </c>
      <c r="M41" s="50" t="s">
        <v>15</v>
      </c>
      <c r="N41" s="50" t="s">
        <v>15</v>
      </c>
      <c r="O41" s="50" t="s">
        <v>15</v>
      </c>
      <c r="P41" s="50" t="s">
        <v>15</v>
      </c>
      <c r="Q41" s="50" t="s">
        <v>15</v>
      </c>
      <c r="R41" s="50" t="s">
        <v>15</v>
      </c>
      <c r="S41" s="50" t="s">
        <v>15</v>
      </c>
      <c r="T41" s="50" t="s">
        <v>15</v>
      </c>
      <c r="U41" s="50" t="s">
        <v>15</v>
      </c>
      <c r="V41" s="50" t="s">
        <v>15</v>
      </c>
      <c r="W41" s="50" t="s">
        <v>15</v>
      </c>
      <c r="X41" s="50"/>
      <c r="Y41" s="50"/>
      <c r="Z41" s="50"/>
      <c r="AA41" s="50" t="s">
        <v>15</v>
      </c>
      <c r="AB41" s="50" t="s">
        <v>15</v>
      </c>
      <c r="AC41" s="50" t="s">
        <v>15</v>
      </c>
      <c r="AD41" s="50" t="s">
        <v>15</v>
      </c>
      <c r="AE41" s="50" t="s">
        <v>15</v>
      </c>
      <c r="AF41" s="48"/>
    </row>
    <row r="42" spans="1:32">
      <c r="A42" s="28"/>
      <c r="B42" s="43" t="s">
        <v>105</v>
      </c>
      <c r="C42" s="44" t="s">
        <v>71</v>
      </c>
      <c r="D42" s="41" t="s">
        <v>22</v>
      </c>
      <c r="E42" s="44" t="s">
        <v>15</v>
      </c>
      <c r="F42" s="60" t="s">
        <v>29</v>
      </c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2">
        <f t="shared" ref="X42:X43" si="72">SUM(K42:W42)</f>
        <v>0</v>
      </c>
      <c r="Y42" s="53"/>
      <c r="Z42" s="53"/>
      <c r="AA42" s="52">
        <f t="shared" ref="AA42:AA44" si="73">SUM(X42:Z42)</f>
        <v>0</v>
      </c>
      <c r="AB42" s="53">
        <v>57749400000</v>
      </c>
      <c r="AC42" s="52">
        <f t="shared" ref="AC42:AC55" si="74">G42+H42+I42+J42+AA42+AB42</f>
        <v>57749400000</v>
      </c>
      <c r="AD42" s="53">
        <v>3043370000</v>
      </c>
      <c r="AE42" s="61">
        <f t="shared" ref="AE42:AE55" si="75">AC42+AD42</f>
        <v>60792770000</v>
      </c>
      <c r="AF42" s="48"/>
    </row>
    <row r="43" spans="1:32">
      <c r="A43" s="28"/>
      <c r="B43" s="43" t="s">
        <v>105</v>
      </c>
      <c r="C43" s="44" t="s">
        <v>72</v>
      </c>
      <c r="D43" s="41" t="s">
        <v>22</v>
      </c>
      <c r="E43" s="44" t="s">
        <v>15</v>
      </c>
      <c r="F43" s="60" t="s">
        <v>30</v>
      </c>
      <c r="G43" s="53"/>
      <c r="H43" s="53"/>
      <c r="I43" s="53"/>
      <c r="J43" s="53"/>
      <c r="K43" s="53"/>
      <c r="L43" s="53">
        <v>5595301000</v>
      </c>
      <c r="M43" s="53"/>
      <c r="N43" s="53"/>
      <c r="O43" s="53"/>
      <c r="P43" s="53"/>
      <c r="Q43" s="53"/>
      <c r="R43" s="53">
        <v>-2172379000</v>
      </c>
      <c r="S43" s="53"/>
      <c r="T43" s="53"/>
      <c r="U43" s="53"/>
      <c r="V43" s="53"/>
      <c r="W43" s="53"/>
      <c r="X43" s="52">
        <f t="shared" si="72"/>
        <v>3422922000</v>
      </c>
      <c r="Y43" s="53"/>
      <c r="Z43" s="53"/>
      <c r="AA43" s="52">
        <f t="shared" si="73"/>
        <v>3422922000</v>
      </c>
      <c r="AB43" s="53"/>
      <c r="AC43" s="52">
        <f t="shared" si="74"/>
        <v>3422922000</v>
      </c>
      <c r="AD43" s="53"/>
      <c r="AE43" s="61">
        <f t="shared" si="75"/>
        <v>3422922000</v>
      </c>
      <c r="AF43" s="48"/>
    </row>
    <row r="44" spans="1:32">
      <c r="A44" s="28"/>
      <c r="B44" s="43" t="s">
        <v>105</v>
      </c>
      <c r="C44" s="44" t="s">
        <v>73</v>
      </c>
      <c r="D44" s="41" t="s">
        <v>22</v>
      </c>
      <c r="E44" s="44" t="s">
        <v>15</v>
      </c>
      <c r="F44" s="59" t="s">
        <v>31</v>
      </c>
      <c r="G44" s="52">
        <f t="shared" ref="G44:Y44" si="76">+G42+G43</f>
        <v>0</v>
      </c>
      <c r="H44" s="52">
        <f t="shared" si="76"/>
        <v>0</v>
      </c>
      <c r="I44" s="52">
        <f t="shared" si="76"/>
        <v>0</v>
      </c>
      <c r="J44" s="52">
        <f t="shared" si="76"/>
        <v>0</v>
      </c>
      <c r="K44" s="52">
        <f t="shared" si="76"/>
        <v>0</v>
      </c>
      <c r="L44" s="52">
        <f t="shared" si="76"/>
        <v>5595301000</v>
      </c>
      <c r="M44" s="52">
        <f t="shared" si="76"/>
        <v>0</v>
      </c>
      <c r="N44" s="52">
        <f t="shared" si="76"/>
        <v>0</v>
      </c>
      <c r="O44" s="52">
        <f t="shared" si="76"/>
        <v>0</v>
      </c>
      <c r="P44" s="52">
        <f t="shared" si="76"/>
        <v>0</v>
      </c>
      <c r="Q44" s="52">
        <f t="shared" si="76"/>
        <v>0</v>
      </c>
      <c r="R44" s="52">
        <f t="shared" si="76"/>
        <v>-2172379000</v>
      </c>
      <c r="S44" s="52">
        <f t="shared" si="76"/>
        <v>0</v>
      </c>
      <c r="T44" s="52">
        <f t="shared" si="76"/>
        <v>0</v>
      </c>
      <c r="U44" s="52">
        <f t="shared" si="76"/>
        <v>0</v>
      </c>
      <c r="V44" s="52">
        <f t="shared" si="76"/>
        <v>0</v>
      </c>
      <c r="W44" s="52">
        <f t="shared" si="76"/>
        <v>0</v>
      </c>
      <c r="X44" s="52">
        <f t="shared" si="76"/>
        <v>3422922000</v>
      </c>
      <c r="Y44" s="52">
        <f t="shared" si="76"/>
        <v>0</v>
      </c>
      <c r="Z44" s="52">
        <f>+Z42+Z43</f>
        <v>0</v>
      </c>
      <c r="AA44" s="52">
        <f t="shared" si="73"/>
        <v>3422922000</v>
      </c>
      <c r="AB44" s="52">
        <f>+AB42+AB43</f>
        <v>57749400000</v>
      </c>
      <c r="AC44" s="52">
        <f t="shared" si="74"/>
        <v>61172322000</v>
      </c>
      <c r="AD44" s="52">
        <f t="shared" ref="AD44" si="77">+AD42+AD43</f>
        <v>3043370000</v>
      </c>
      <c r="AE44" s="61">
        <f t="shared" si="75"/>
        <v>64215692000</v>
      </c>
      <c r="AF44" s="48"/>
    </row>
    <row r="45" spans="1:32">
      <c r="A45" s="28"/>
      <c r="B45" s="43" t="s">
        <v>105</v>
      </c>
      <c r="C45" s="44" t="s">
        <v>74</v>
      </c>
      <c r="D45" s="41" t="s">
        <v>22</v>
      </c>
      <c r="E45" s="44" t="s">
        <v>15</v>
      </c>
      <c r="F45" s="57" t="s">
        <v>32</v>
      </c>
      <c r="G45" s="53">
        <v>103500000000</v>
      </c>
      <c r="H45" s="53">
        <v>200964000</v>
      </c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2">
        <f t="shared" ref="X45:X55" si="78">SUM(K45:W45)</f>
        <v>0</v>
      </c>
      <c r="Y45" s="53"/>
      <c r="Z45" s="53"/>
      <c r="AA45" s="52">
        <f t="shared" ref="AA45:AA55" si="79">SUM(X45:Z45)</f>
        <v>0</v>
      </c>
      <c r="AB45" s="53"/>
      <c r="AC45" s="52">
        <f t="shared" si="74"/>
        <v>103700964000</v>
      </c>
      <c r="AD45" s="53"/>
      <c r="AE45" s="52">
        <f t="shared" si="75"/>
        <v>103700964000</v>
      </c>
      <c r="AF45" s="48"/>
    </row>
    <row r="46" spans="1:32">
      <c r="A46" s="28"/>
      <c r="B46" s="43" t="s">
        <v>105</v>
      </c>
      <c r="C46" s="44" t="s">
        <v>91</v>
      </c>
      <c r="D46" s="41" t="s">
        <v>22</v>
      </c>
      <c r="E46" s="44" t="s">
        <v>15</v>
      </c>
      <c r="F46" s="57" t="s">
        <v>33</v>
      </c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2">
        <f t="shared" si="78"/>
        <v>0</v>
      </c>
      <c r="Y46" s="53"/>
      <c r="Z46" s="53"/>
      <c r="AA46" s="52">
        <f t="shared" si="79"/>
        <v>0</v>
      </c>
      <c r="AB46" s="53">
        <v>22906872000</v>
      </c>
      <c r="AC46" s="52">
        <f t="shared" si="74"/>
        <v>22906872000</v>
      </c>
      <c r="AD46" s="53"/>
      <c r="AE46" s="52">
        <f t="shared" si="75"/>
        <v>22906872000</v>
      </c>
      <c r="AF46" s="48"/>
    </row>
    <row r="47" spans="1:32">
      <c r="A47" s="28"/>
      <c r="B47" s="43" t="s">
        <v>105</v>
      </c>
      <c r="C47" s="44" t="s">
        <v>75</v>
      </c>
      <c r="D47" s="41" t="s">
        <v>22</v>
      </c>
      <c r="E47" s="46" t="s">
        <v>15</v>
      </c>
      <c r="F47" s="57" t="s">
        <v>34</v>
      </c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2">
        <f t="shared" si="78"/>
        <v>0</v>
      </c>
      <c r="Y47" s="53"/>
      <c r="Z47" s="53"/>
      <c r="AA47" s="52">
        <f t="shared" si="79"/>
        <v>0</v>
      </c>
      <c r="AB47" s="53"/>
      <c r="AC47" s="52">
        <f t="shared" si="74"/>
        <v>0</v>
      </c>
      <c r="AD47" s="53"/>
      <c r="AE47" s="52">
        <f t="shared" si="75"/>
        <v>0</v>
      </c>
      <c r="AF47" s="48"/>
    </row>
    <row r="48" spans="1:32">
      <c r="A48" s="28"/>
      <c r="B48" s="43" t="s">
        <v>105</v>
      </c>
      <c r="C48" s="44" t="s">
        <v>76</v>
      </c>
      <c r="D48" s="41" t="s">
        <v>22</v>
      </c>
      <c r="E48" s="44" t="s">
        <v>15</v>
      </c>
      <c r="F48" s="57" t="s">
        <v>35</v>
      </c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2">
        <f t="shared" si="78"/>
        <v>0</v>
      </c>
      <c r="Y48" s="53"/>
      <c r="Z48" s="53"/>
      <c r="AA48" s="52">
        <f t="shared" si="79"/>
        <v>0</v>
      </c>
      <c r="AB48" s="53"/>
      <c r="AC48" s="52">
        <f t="shared" si="74"/>
        <v>0</v>
      </c>
      <c r="AD48" s="53"/>
      <c r="AE48" s="52">
        <f t="shared" si="75"/>
        <v>0</v>
      </c>
      <c r="AF48" s="48"/>
    </row>
    <row r="49" spans="1:32">
      <c r="A49" s="28"/>
      <c r="B49" s="43" t="s">
        <v>105</v>
      </c>
      <c r="C49" s="44" t="s">
        <v>77</v>
      </c>
      <c r="D49" s="41" t="s">
        <v>22</v>
      </c>
      <c r="E49" s="44" t="s">
        <v>15</v>
      </c>
      <c r="F49" s="57" t="s">
        <v>36</v>
      </c>
      <c r="G49" s="53">
        <v>-218166000</v>
      </c>
      <c r="H49" s="53"/>
      <c r="I49" s="53"/>
      <c r="J49" s="53"/>
      <c r="K49" s="53"/>
      <c r="L49" s="53">
        <v>-8000</v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2">
        <f t="shared" si="78"/>
        <v>-8000</v>
      </c>
      <c r="Y49" s="53">
        <v>1000</v>
      </c>
      <c r="Z49" s="53">
        <v>1738945000</v>
      </c>
      <c r="AA49" s="52">
        <f t="shared" si="79"/>
        <v>1738938000</v>
      </c>
      <c r="AB49" s="53">
        <v>-15947844000</v>
      </c>
      <c r="AC49" s="52">
        <f t="shared" si="74"/>
        <v>-14427072000</v>
      </c>
      <c r="AD49" s="53">
        <v>14237386000</v>
      </c>
      <c r="AE49" s="52">
        <f t="shared" si="75"/>
        <v>-189686000</v>
      </c>
      <c r="AF49" s="48"/>
    </row>
    <row r="50" spans="1:32">
      <c r="A50" s="28"/>
      <c r="B50" s="43" t="s">
        <v>105</v>
      </c>
      <c r="C50" s="44" t="s">
        <v>78</v>
      </c>
      <c r="D50" s="41" t="s">
        <v>22</v>
      </c>
      <c r="E50" s="44" t="s">
        <v>15</v>
      </c>
      <c r="F50" s="57" t="s">
        <v>37</v>
      </c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2">
        <f t="shared" si="78"/>
        <v>0</v>
      </c>
      <c r="Y50" s="53"/>
      <c r="Z50" s="53"/>
      <c r="AA50" s="52">
        <f t="shared" si="79"/>
        <v>0</v>
      </c>
      <c r="AB50" s="53"/>
      <c r="AC50" s="52">
        <f t="shared" si="74"/>
        <v>0</v>
      </c>
      <c r="AD50" s="53"/>
      <c r="AE50" s="52">
        <f t="shared" si="75"/>
        <v>0</v>
      </c>
      <c r="AF50" s="48"/>
    </row>
    <row r="51" spans="1:32" ht="22.5">
      <c r="A51" s="28"/>
      <c r="B51" s="43" t="s">
        <v>105</v>
      </c>
      <c r="C51" s="44" t="s">
        <v>79</v>
      </c>
      <c r="D51" s="41" t="s">
        <v>22</v>
      </c>
      <c r="E51" s="44" t="s">
        <v>15</v>
      </c>
      <c r="F51" s="58" t="s">
        <v>38</v>
      </c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2">
        <f t="shared" si="78"/>
        <v>0</v>
      </c>
      <c r="Y51" s="53"/>
      <c r="Z51" s="53"/>
      <c r="AA51" s="52">
        <f t="shared" si="79"/>
        <v>0</v>
      </c>
      <c r="AB51" s="53"/>
      <c r="AC51" s="52">
        <f t="shared" si="74"/>
        <v>0</v>
      </c>
      <c r="AD51" s="53"/>
      <c r="AE51" s="52">
        <f t="shared" si="75"/>
        <v>0</v>
      </c>
      <c r="AF51" s="48"/>
    </row>
    <row r="52" spans="1:32" s="1" customFormat="1" ht="33.75">
      <c r="A52" s="28"/>
      <c r="B52" s="43" t="s">
        <v>105</v>
      </c>
      <c r="C52" s="44" t="s">
        <v>80</v>
      </c>
      <c r="D52" s="41" t="s">
        <v>22</v>
      </c>
      <c r="E52" s="44" t="s">
        <v>15</v>
      </c>
      <c r="F52" s="58" t="s">
        <v>40</v>
      </c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2">
        <f t="shared" si="78"/>
        <v>0</v>
      </c>
      <c r="Y52" s="53"/>
      <c r="Z52" s="53"/>
      <c r="AA52" s="52">
        <f t="shared" si="79"/>
        <v>0</v>
      </c>
      <c r="AB52" s="53"/>
      <c r="AC52" s="52">
        <f t="shared" si="74"/>
        <v>0</v>
      </c>
      <c r="AD52" s="53"/>
      <c r="AE52" s="52">
        <f t="shared" si="75"/>
        <v>0</v>
      </c>
      <c r="AF52" s="48"/>
    </row>
    <row r="53" spans="1:32" s="1" customFormat="1" ht="45">
      <c r="A53" s="28"/>
      <c r="B53" s="43" t="s">
        <v>105</v>
      </c>
      <c r="C53" s="44" t="s">
        <v>81</v>
      </c>
      <c r="D53" s="41" t="s">
        <v>22</v>
      </c>
      <c r="E53" s="44" t="s">
        <v>15</v>
      </c>
      <c r="F53" s="58" t="s">
        <v>41</v>
      </c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2">
        <f t="shared" si="78"/>
        <v>0</v>
      </c>
      <c r="Y53" s="53"/>
      <c r="Z53" s="53"/>
      <c r="AA53" s="52">
        <f t="shared" si="79"/>
        <v>0</v>
      </c>
      <c r="AB53" s="53"/>
      <c r="AC53" s="52">
        <f t="shared" si="74"/>
        <v>0</v>
      </c>
      <c r="AD53" s="53"/>
      <c r="AE53" s="52">
        <f t="shared" si="75"/>
        <v>0</v>
      </c>
      <c r="AF53" s="48"/>
    </row>
    <row r="54" spans="1:32" s="1" customFormat="1" ht="45">
      <c r="A54" s="28"/>
      <c r="B54" s="43" t="s">
        <v>105</v>
      </c>
      <c r="C54" s="44" t="s">
        <v>82</v>
      </c>
      <c r="D54" s="41" t="s">
        <v>22</v>
      </c>
      <c r="E54" s="44" t="s">
        <v>15</v>
      </c>
      <c r="F54" s="58" t="s">
        <v>42</v>
      </c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2">
        <f t="shared" si="78"/>
        <v>0</v>
      </c>
      <c r="Y54" s="53"/>
      <c r="Z54" s="53"/>
      <c r="AA54" s="52">
        <f t="shared" si="79"/>
        <v>0</v>
      </c>
      <c r="AB54" s="53"/>
      <c r="AC54" s="52">
        <f t="shared" si="74"/>
        <v>0</v>
      </c>
      <c r="AD54" s="53"/>
      <c r="AE54" s="52">
        <f t="shared" si="75"/>
        <v>0</v>
      </c>
      <c r="AF54" s="48"/>
    </row>
    <row r="55" spans="1:32" s="1" customFormat="1" ht="45">
      <c r="A55" s="28"/>
      <c r="B55" s="43" t="s">
        <v>105</v>
      </c>
      <c r="C55" s="44" t="s">
        <v>83</v>
      </c>
      <c r="D55" s="41" t="s">
        <v>22</v>
      </c>
      <c r="E55" s="44" t="s">
        <v>15</v>
      </c>
      <c r="F55" s="58" t="s">
        <v>43</v>
      </c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2">
        <f t="shared" si="78"/>
        <v>0</v>
      </c>
      <c r="Y55" s="53"/>
      <c r="Z55" s="53"/>
      <c r="AA55" s="52">
        <f t="shared" si="79"/>
        <v>0</v>
      </c>
      <c r="AB55" s="53"/>
      <c r="AC55" s="52">
        <f t="shared" si="74"/>
        <v>0</v>
      </c>
      <c r="AD55" s="53"/>
      <c r="AE55" s="52">
        <f t="shared" si="75"/>
        <v>0</v>
      </c>
      <c r="AF55" s="48"/>
    </row>
    <row r="56" spans="1:32">
      <c r="A56" s="28"/>
      <c r="B56" s="43" t="s">
        <v>105</v>
      </c>
      <c r="C56" s="44" t="s">
        <v>84</v>
      </c>
      <c r="D56" s="41" t="s">
        <v>22</v>
      </c>
      <c r="E56" s="44" t="s">
        <v>15</v>
      </c>
      <c r="F56" s="56" t="s">
        <v>39</v>
      </c>
      <c r="G56" s="52">
        <f>G44+G45-G46+G47-G48+G49+G50+G51-G52-G53-G54-G55</f>
        <v>103281834000</v>
      </c>
      <c r="H56" s="52">
        <f t="shared" ref="H56:Z56" si="80">H44+H45-H46+H47-H48+H49+H50+H51-H52-H53-H54-H55</f>
        <v>200964000</v>
      </c>
      <c r="I56" s="52">
        <f t="shared" si="80"/>
        <v>0</v>
      </c>
      <c r="J56" s="52">
        <f t="shared" si="80"/>
        <v>0</v>
      </c>
      <c r="K56" s="52">
        <f t="shared" si="80"/>
        <v>0</v>
      </c>
      <c r="L56" s="52">
        <f t="shared" si="80"/>
        <v>5595293000</v>
      </c>
      <c r="M56" s="52">
        <f t="shared" si="80"/>
        <v>0</v>
      </c>
      <c r="N56" s="52">
        <f t="shared" si="80"/>
        <v>0</v>
      </c>
      <c r="O56" s="52">
        <f t="shared" si="80"/>
        <v>0</v>
      </c>
      <c r="P56" s="52">
        <f t="shared" si="80"/>
        <v>0</v>
      </c>
      <c r="Q56" s="52">
        <f t="shared" si="80"/>
        <v>0</v>
      </c>
      <c r="R56" s="52">
        <f t="shared" si="80"/>
        <v>-2172379000</v>
      </c>
      <c r="S56" s="52">
        <f t="shared" si="80"/>
        <v>0</v>
      </c>
      <c r="T56" s="52">
        <f t="shared" si="80"/>
        <v>0</v>
      </c>
      <c r="U56" s="52">
        <f t="shared" si="80"/>
        <v>0</v>
      </c>
      <c r="V56" s="52">
        <f t="shared" si="80"/>
        <v>0</v>
      </c>
      <c r="W56" s="52">
        <f t="shared" si="80"/>
        <v>0</v>
      </c>
      <c r="X56" s="52">
        <f t="shared" si="80"/>
        <v>3422914000</v>
      </c>
      <c r="Y56" s="52">
        <f t="shared" si="80"/>
        <v>1000</v>
      </c>
      <c r="Z56" s="52">
        <f t="shared" si="80"/>
        <v>1738945000</v>
      </c>
      <c r="AA56" s="52">
        <f>AA44+AA45-AA46+AA47-AA48+AA49+AA50+AA51-AA52-AA53-AA54-AA55</f>
        <v>5161860000</v>
      </c>
      <c r="AB56" s="52">
        <f>AB44+AB45-AB46+AB47-AB48+AB49+AB50+AB51-AB52-AB53-AB54-AB55</f>
        <v>18894684000</v>
      </c>
      <c r="AC56" s="52">
        <f>AC44+AC45-AC46+AC47-AC48+AC49+AC50+AC51-AC52-AC53-AC54-AC55</f>
        <v>127539342000</v>
      </c>
      <c r="AD56" s="52">
        <f>AD44+AD45-AD46+AD47-AD48+AD49+AD50+AD51-AD52-AD53-AD54-AD55</f>
        <v>17280756000</v>
      </c>
      <c r="AE56" s="52">
        <f>AE44+AE45-AE46+AE47-AE48+AE49+AE50+AE51-AE52-AE53-AE54-AE55</f>
        <v>144820098000</v>
      </c>
      <c r="AF56" s="48"/>
    </row>
    <row r="57" spans="1:32">
      <c r="A57" s="28"/>
      <c r="B57" s="43" t="s">
        <v>105</v>
      </c>
      <c r="C57" s="44" t="s">
        <v>70</v>
      </c>
      <c r="D57" s="41" t="s">
        <v>22</v>
      </c>
      <c r="E57" s="44" t="s">
        <v>15</v>
      </c>
      <c r="F57" s="47" t="s">
        <v>23</v>
      </c>
      <c r="G57" s="52">
        <f>G38+G56</f>
        <v>336925246000</v>
      </c>
      <c r="H57" s="52">
        <f t="shared" ref="H57:AA57" si="81">H38+H56</f>
        <v>200964000</v>
      </c>
      <c r="I57" s="52">
        <f t="shared" si="81"/>
        <v>-3736839000</v>
      </c>
      <c r="J57" s="52">
        <f t="shared" si="81"/>
        <v>0</v>
      </c>
      <c r="K57" s="52">
        <f t="shared" si="81"/>
        <v>0</v>
      </c>
      <c r="L57" s="52">
        <f t="shared" si="81"/>
        <v>-9954991000</v>
      </c>
      <c r="M57" s="52">
        <f t="shared" si="81"/>
        <v>0</v>
      </c>
      <c r="N57" s="52">
        <f t="shared" si="81"/>
        <v>0</v>
      </c>
      <c r="O57" s="52">
        <f t="shared" si="81"/>
        <v>0</v>
      </c>
      <c r="P57" s="52">
        <f t="shared" si="81"/>
        <v>0</v>
      </c>
      <c r="Q57" s="52">
        <f t="shared" si="81"/>
        <v>0</v>
      </c>
      <c r="R57" s="52">
        <f t="shared" si="81"/>
        <v>-2061896000</v>
      </c>
      <c r="S57" s="52">
        <f t="shared" si="81"/>
        <v>0</v>
      </c>
      <c r="T57" s="52">
        <f t="shared" si="81"/>
        <v>0</v>
      </c>
      <c r="U57" s="52">
        <f t="shared" si="81"/>
        <v>0</v>
      </c>
      <c r="V57" s="52">
        <f t="shared" si="81"/>
        <v>0</v>
      </c>
      <c r="W57" s="52">
        <f t="shared" si="81"/>
        <v>0</v>
      </c>
      <c r="X57" s="52">
        <f t="shared" si="81"/>
        <v>-12016887000</v>
      </c>
      <c r="Y57" s="52">
        <f t="shared" si="81"/>
        <v>1000</v>
      </c>
      <c r="Z57" s="52">
        <f t="shared" si="81"/>
        <v>7066017000</v>
      </c>
      <c r="AA57" s="52">
        <f t="shared" si="81"/>
        <v>-4950869000</v>
      </c>
      <c r="AB57" s="52">
        <f>AB38+AB56</f>
        <v>309444765000</v>
      </c>
      <c r="AC57" s="52">
        <f>G57+H57+I57+J57+AA57+AB57</f>
        <v>637883267000</v>
      </c>
      <c r="AD57" s="52">
        <f t="shared" ref="AD57:AE57" si="82">AD38+AD56</f>
        <v>142243819000</v>
      </c>
      <c r="AE57" s="62">
        <f t="shared" si="82"/>
        <v>780127086000</v>
      </c>
      <c r="AF57" s="48"/>
    </row>
    <row r="58" spans="1:32">
      <c r="A58" s="28"/>
      <c r="B58" s="39"/>
      <c r="C58" s="40"/>
      <c r="D58" s="40"/>
      <c r="E58" s="40" t="s">
        <v>15</v>
      </c>
      <c r="F58" s="40" t="s">
        <v>15</v>
      </c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9"/>
    </row>
  </sheetData>
  <mergeCells count="1">
    <mergeCell ref="G2:H2"/>
  </mergeCells>
  <conditionalFormatting sqref="AE16:AE17">
    <cfRule type="expression" dxfId="5" priority="40">
      <formula>OR(IF(NOT(ISERR(FIND("ERR",#REF!)))=TRUE,TRUE,FALSE),)</formula>
    </cfRule>
  </conditionalFormatting>
  <conditionalFormatting sqref="AE30 AE11">
    <cfRule type="expression" dxfId="4" priority="44">
      <formula>IF(OR(NOT(ISERROR(FIND("ERR",#REF!)&gt;1)),NOT(ISERROR(FIND("ERR",#REF!)&gt;1))),TRUE,FALSE)</formula>
    </cfRule>
  </conditionalFormatting>
  <conditionalFormatting sqref="AE15">
    <cfRule type="expression" dxfId="3" priority="46">
      <formula>OR(IF(NOT(ISERR(FIND("ERR",AF15)))=TRUE,TRUE,FALSE),IF(NOT(ISERR(FIND("ERR",#REF!)))=TRUE,TRUE,FALSE),IF(NOT(ISERR(FIND("ERR",#REF!)))=TRUE,TRUE,FALSE),IF(NOT(ISERR(FIND("ERR",#REF!)))=TRUE,TRUE,FALSE),)</formula>
    </cfRule>
  </conditionalFormatting>
  <conditionalFormatting sqref="AE43:AE44">
    <cfRule type="expression" dxfId="2" priority="1">
      <formula>OR(IF(NOT(ISERR(FIND("ERR",#REF!)))=TRUE,TRUE,FALSE),)</formula>
    </cfRule>
  </conditionalFormatting>
  <conditionalFormatting sqref="AE57 AE38">
    <cfRule type="expression" dxfId="1" priority="2">
      <formula>IF(OR(NOT(ISERROR(FIND("ERR",#REF!)&gt;1)),NOT(ISERROR(FIND("ERR",#REF!)&gt;1))),TRUE,FALSE)</formula>
    </cfRule>
  </conditionalFormatting>
  <conditionalFormatting sqref="AE42">
    <cfRule type="expression" dxfId="0" priority="3">
      <formula>OR(IF(NOT(ISERR(FIND("ERR",AF42)))=TRUE,TRUE,FALSE),IF(NOT(ISERR(FIND("ERR",#REF!)))=TRUE,TRUE,FALSE),IF(NOT(ISERR(FIND("ERR",#REF!)))=TRUE,TRUE,FALSE),IF(NOT(ISERR(FIND("ERR",#REF!)))=TRUE,TRUE,FALSE),)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IAS-1_610000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2013-03-20T13:43:45Z</dcterms:created>
  <dcterms:modified xsi:type="dcterms:W3CDTF">2022-02-16T23:32:20Z</dcterms:modified>
</cp:coreProperties>
</file>