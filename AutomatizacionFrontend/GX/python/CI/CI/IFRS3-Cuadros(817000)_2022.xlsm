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x\Archivo pruebas gx 2024 (1)\Archivo pruebas gx 2024\svs-cl-ci-2024-01-02 - copia\xls\"/>
    </mc:Choice>
  </mc:AlternateContent>
  <bookViews>
    <workbookView xWindow="-120" yWindow="-120" windowWidth="20736" windowHeight="11160" activeTab="5"/>
  </bookViews>
  <sheets>
    <sheet name="IFRS3-Cuadros" sheetId="1" r:id="rId1"/>
    <sheet name="IFRS3-DetaCombNego" sheetId="2" r:id="rId2"/>
    <sheet name="IFRS3-TranActvPasi" sheetId="11" r:id="rId3"/>
    <sheet name="IFRS3-CuenCobrAdqu" sheetId="12" r:id="rId4"/>
    <sheet name="IFRS3-PasiContCoNe" sheetId="13" r:id="rId5"/>
    <sheet name="IFRS3-ConcCambPlus" sheetId="8" r:id="rId6"/>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N101" i="13" l="1"/>
  <c r="M101" i="13"/>
  <c r="L101" i="13"/>
  <c r="K101" i="13"/>
  <c r="J101" i="13"/>
  <c r="I101" i="13"/>
  <c r="H101" i="13"/>
  <c r="G101" i="13"/>
  <c r="N99" i="13"/>
  <c r="M99" i="13"/>
  <c r="L99" i="13"/>
  <c r="K99" i="13"/>
  <c r="J99" i="13"/>
  <c r="I99" i="13"/>
  <c r="H99" i="13"/>
  <c r="G99" i="13"/>
  <c r="N98" i="13"/>
  <c r="M98" i="13"/>
  <c r="L98" i="13"/>
  <c r="K98" i="13"/>
  <c r="J98" i="13"/>
  <c r="I98" i="13"/>
  <c r="H98" i="13"/>
  <c r="G98" i="13"/>
  <c r="N74" i="13"/>
  <c r="M74" i="13"/>
  <c r="L74" i="13"/>
  <c r="K74" i="13"/>
  <c r="J74" i="13"/>
  <c r="I74" i="13"/>
  <c r="H74" i="13"/>
  <c r="G74" i="13"/>
  <c r="N72" i="13"/>
  <c r="M72" i="13"/>
  <c r="L72" i="13"/>
  <c r="K72" i="13"/>
  <c r="J72" i="13"/>
  <c r="I72" i="13"/>
  <c r="H72" i="13"/>
  <c r="G72" i="13"/>
  <c r="N71" i="13"/>
  <c r="M71" i="13"/>
  <c r="L71" i="13"/>
  <c r="K71" i="13"/>
  <c r="J71" i="13"/>
  <c r="I71" i="13"/>
  <c r="H71" i="13"/>
  <c r="G71" i="13"/>
  <c r="N53" i="13"/>
  <c r="M53" i="13"/>
  <c r="L53" i="13"/>
  <c r="K53" i="13"/>
  <c r="J53" i="13"/>
  <c r="I53" i="13"/>
  <c r="H53" i="13"/>
  <c r="G53" i="13"/>
  <c r="N26" i="13"/>
  <c r="M26" i="13"/>
  <c r="L26" i="13"/>
  <c r="K26" i="13"/>
  <c r="J26" i="13"/>
  <c r="I26" i="13"/>
  <c r="H26" i="13"/>
  <c r="G26" i="13"/>
  <c r="G129" i="2"/>
  <c r="G116" i="2"/>
  <c r="G99" i="2"/>
  <c r="H129" i="2"/>
  <c r="H116" i="2"/>
  <c r="H99" i="2"/>
  <c r="H82" i="2"/>
  <c r="H52" i="2"/>
  <c r="H39" i="2"/>
  <c r="H22" i="2"/>
  <c r="H5" i="2"/>
  <c r="K52" i="2" l="1"/>
  <c r="I52" i="2"/>
  <c r="G52" i="2"/>
  <c r="J52" i="2" s="1"/>
  <c r="K129" i="2"/>
  <c r="I129" i="2"/>
  <c r="J51" i="2" l="1"/>
  <c r="J50" i="2"/>
  <c r="J129" i="2"/>
  <c r="J128" i="2"/>
  <c r="J127" i="2"/>
  <c r="J101" i="2" l="1"/>
  <c r="J100" i="2"/>
  <c r="J24" i="2"/>
  <c r="M114" i="13" l="1"/>
  <c r="I114" i="13"/>
  <c r="M113" i="13"/>
  <c r="I113" i="13"/>
  <c r="M112" i="13"/>
  <c r="I112" i="13"/>
  <c r="M111" i="13"/>
  <c r="I111" i="13"/>
  <c r="M109" i="13"/>
  <c r="K109" i="13"/>
  <c r="H109" i="13"/>
  <c r="M108" i="13"/>
  <c r="K108" i="13"/>
  <c r="H108" i="13"/>
  <c r="H75" i="8"/>
  <c r="G75" i="8"/>
  <c r="H74" i="8"/>
  <c r="G74" i="8"/>
  <c r="H73" i="8"/>
  <c r="G73" i="8"/>
  <c r="H72" i="8"/>
  <c r="G72" i="8"/>
  <c r="H71" i="8"/>
  <c r="G71" i="8"/>
  <c r="H70" i="8"/>
  <c r="H76" i="8" s="1"/>
  <c r="G70" i="8"/>
  <c r="H69" i="8"/>
  <c r="G69" i="8"/>
  <c r="H67" i="8"/>
  <c r="G67" i="8"/>
  <c r="H58" i="8"/>
  <c r="G58" i="8"/>
  <c r="H57" i="8"/>
  <c r="G57" i="8"/>
  <c r="H56" i="8"/>
  <c r="G56" i="8"/>
  <c r="H55" i="8"/>
  <c r="G55" i="8"/>
  <c r="H54" i="8"/>
  <c r="G54" i="8"/>
  <c r="H53" i="8"/>
  <c r="G53" i="8"/>
  <c r="H52" i="8"/>
  <c r="G52" i="8"/>
  <c r="H50" i="8"/>
  <c r="G50" i="8"/>
  <c r="N114" i="13"/>
  <c r="L114" i="13"/>
  <c r="K114" i="13"/>
  <c r="J114" i="13"/>
  <c r="H114" i="13"/>
  <c r="G114" i="13"/>
  <c r="N113" i="13"/>
  <c r="L113" i="13"/>
  <c r="K113" i="13"/>
  <c r="J113" i="13"/>
  <c r="H113" i="13"/>
  <c r="G113" i="13"/>
  <c r="N112" i="13"/>
  <c r="L112" i="13"/>
  <c r="K112" i="13"/>
  <c r="J112" i="13"/>
  <c r="H112" i="13"/>
  <c r="G112" i="13"/>
  <c r="N111" i="13"/>
  <c r="L111" i="13"/>
  <c r="K111" i="13"/>
  <c r="J111" i="13"/>
  <c r="H111" i="13"/>
  <c r="G111" i="13"/>
  <c r="N109" i="13"/>
  <c r="L109" i="13"/>
  <c r="J109" i="13"/>
  <c r="I109" i="13"/>
  <c r="G109" i="13"/>
  <c r="N108" i="13"/>
  <c r="L108" i="13"/>
  <c r="J108" i="13"/>
  <c r="I108" i="13"/>
  <c r="G108" i="13"/>
  <c r="N105" i="13"/>
  <c r="M105" i="13"/>
  <c r="L105" i="13"/>
  <c r="K105" i="13"/>
  <c r="J105" i="13"/>
  <c r="I105" i="13"/>
  <c r="H105" i="13"/>
  <c r="G105" i="13"/>
  <c r="N87" i="13"/>
  <c r="M87" i="13"/>
  <c r="L87" i="13"/>
  <c r="K87" i="13"/>
  <c r="J87" i="13"/>
  <c r="I87" i="13"/>
  <c r="H87" i="13"/>
  <c r="G87" i="13"/>
  <c r="N86" i="13"/>
  <c r="M86" i="13"/>
  <c r="L86" i="13"/>
  <c r="K86" i="13"/>
  <c r="J86" i="13"/>
  <c r="I86" i="13"/>
  <c r="H86" i="13"/>
  <c r="G86" i="13"/>
  <c r="N85" i="13"/>
  <c r="M85" i="13"/>
  <c r="L85" i="13"/>
  <c r="K85" i="13"/>
  <c r="J85" i="13"/>
  <c r="I85" i="13"/>
  <c r="H85" i="13"/>
  <c r="G85" i="13"/>
  <c r="N84" i="13"/>
  <c r="M84" i="13"/>
  <c r="L84" i="13"/>
  <c r="K84" i="13"/>
  <c r="J84" i="13"/>
  <c r="I84" i="13"/>
  <c r="H84" i="13"/>
  <c r="G84" i="13"/>
  <c r="N82" i="13"/>
  <c r="M82" i="13"/>
  <c r="L82" i="13"/>
  <c r="K82" i="13"/>
  <c r="J82" i="13"/>
  <c r="I82" i="13"/>
  <c r="H82" i="13"/>
  <c r="G82" i="13"/>
  <c r="N81" i="13"/>
  <c r="M81" i="13"/>
  <c r="L81" i="13"/>
  <c r="K81" i="13"/>
  <c r="J81" i="13"/>
  <c r="I81" i="13"/>
  <c r="H81" i="13"/>
  <c r="G81" i="13"/>
  <c r="N78" i="13"/>
  <c r="M78" i="13"/>
  <c r="L78" i="13"/>
  <c r="K78" i="13"/>
  <c r="J78" i="13"/>
  <c r="I78" i="13"/>
  <c r="H78" i="13"/>
  <c r="G78" i="13"/>
  <c r="H38" i="12"/>
  <c r="G38" i="12"/>
  <c r="H37" i="12"/>
  <c r="G37" i="12"/>
  <c r="H36" i="12"/>
  <c r="G36" i="12"/>
  <c r="H31" i="12"/>
  <c r="G31" i="12"/>
  <c r="H30" i="12"/>
  <c r="G30" i="12"/>
  <c r="H29" i="12"/>
  <c r="G29" i="12"/>
  <c r="J131" i="2" l="1"/>
  <c r="J54" i="2"/>
  <c r="I73" i="8" l="1"/>
  <c r="I71" i="8"/>
  <c r="I69" i="8"/>
  <c r="I67" i="8"/>
  <c r="I70" i="8"/>
  <c r="I72" i="8"/>
  <c r="J155" i="2"/>
  <c r="J78" i="2"/>
  <c r="J151" i="2"/>
  <c r="J74" i="2"/>
  <c r="G76" i="8" l="1"/>
  <c r="G77" i="8" s="1"/>
  <c r="I74" i="8"/>
  <c r="I76" i="8" s="1"/>
  <c r="I75" i="8"/>
  <c r="H77" i="8"/>
  <c r="I25" i="11"/>
  <c r="J130" i="2"/>
  <c r="I77" i="8" l="1"/>
  <c r="I26" i="11"/>
  <c r="J113" i="2"/>
  <c r="J112" i="2"/>
  <c r="J36" i="2"/>
  <c r="J35" i="2"/>
  <c r="I27" i="11" l="1"/>
  <c r="H112" i="8"/>
  <c r="G112" i="8"/>
  <c r="H111" i="8"/>
  <c r="G111" i="8"/>
  <c r="H110" i="8"/>
  <c r="G110" i="8"/>
  <c r="H109" i="8"/>
  <c r="G109" i="8"/>
  <c r="H108" i="8"/>
  <c r="G108" i="8"/>
  <c r="H107" i="8"/>
  <c r="G107" i="8"/>
  <c r="H106" i="8"/>
  <c r="G106" i="8"/>
  <c r="H104" i="8"/>
  <c r="G104" i="8"/>
  <c r="H95" i="8"/>
  <c r="G95" i="8"/>
  <c r="H94" i="8"/>
  <c r="G94" i="8"/>
  <c r="H93" i="8"/>
  <c r="G93" i="8"/>
  <c r="H92" i="8"/>
  <c r="G92" i="8"/>
  <c r="H91" i="8"/>
  <c r="G91" i="8"/>
  <c r="H90" i="8"/>
  <c r="G90" i="8"/>
  <c r="H89" i="8"/>
  <c r="G89" i="8"/>
  <c r="H87" i="8"/>
  <c r="G87" i="8"/>
  <c r="I28" i="11" l="1"/>
  <c r="O6" i="13"/>
  <c r="N6" i="13"/>
  <c r="M6" i="13"/>
  <c r="L6" i="13"/>
  <c r="K6" i="13"/>
  <c r="J6" i="13"/>
  <c r="I6" i="13"/>
  <c r="H6" i="13"/>
  <c r="G6" i="13"/>
  <c r="I6" i="8" l="1"/>
  <c r="H6" i="8"/>
  <c r="G6" i="8"/>
  <c r="O156" i="13" l="1"/>
  <c r="O129" i="13"/>
  <c r="O99" i="13"/>
  <c r="O72" i="13"/>
  <c r="O42" i="13"/>
  <c r="I22" i="2" l="1"/>
  <c r="G22" i="2"/>
  <c r="I6" i="12" l="1"/>
  <c r="H6" i="12"/>
  <c r="G6" i="12"/>
  <c r="N167" i="13" l="1"/>
  <c r="N172" i="13" s="1"/>
  <c r="N173" i="13" s="1"/>
  <c r="M167" i="13"/>
  <c r="M172" i="13" s="1"/>
  <c r="M173" i="13" s="1"/>
  <c r="L167" i="13"/>
  <c r="L172" i="13" s="1"/>
  <c r="L173" i="13" s="1"/>
  <c r="K167" i="13"/>
  <c r="K172" i="13" s="1"/>
  <c r="K173" i="13" s="1"/>
  <c r="J167" i="13"/>
  <c r="J172" i="13" s="1"/>
  <c r="J173" i="13" s="1"/>
  <c r="I167" i="13"/>
  <c r="I172" i="13" s="1"/>
  <c r="I173" i="13" s="1"/>
  <c r="H167" i="13"/>
  <c r="H172" i="13" s="1"/>
  <c r="H173" i="13" s="1"/>
  <c r="G167" i="13"/>
  <c r="G172" i="13" s="1"/>
  <c r="G173" i="13" s="1"/>
  <c r="O171" i="13"/>
  <c r="O170" i="13"/>
  <c r="O169" i="13"/>
  <c r="O168" i="13"/>
  <c r="O166" i="13"/>
  <c r="O165" i="13"/>
  <c r="O162" i="13"/>
  <c r="O158" i="13"/>
  <c r="O155" i="13"/>
  <c r="O144" i="13"/>
  <c r="O143" i="13"/>
  <c r="O142" i="13"/>
  <c r="O141" i="13"/>
  <c r="O139" i="13"/>
  <c r="O138" i="13"/>
  <c r="O135" i="13"/>
  <c r="O131" i="13"/>
  <c r="O128" i="13"/>
  <c r="O114" i="13"/>
  <c r="O113" i="13"/>
  <c r="O112" i="13"/>
  <c r="O111" i="13"/>
  <c r="O109" i="13"/>
  <c r="O108" i="13"/>
  <c r="O105" i="13"/>
  <c r="O101" i="13"/>
  <c r="O98" i="13"/>
  <c r="N140" i="13"/>
  <c r="N145" i="13" s="1"/>
  <c r="N146" i="13" s="1"/>
  <c r="M140" i="13"/>
  <c r="M145" i="13" s="1"/>
  <c r="M146" i="13" s="1"/>
  <c r="L140" i="13"/>
  <c r="L145" i="13" s="1"/>
  <c r="L146" i="13" s="1"/>
  <c r="K140" i="13"/>
  <c r="K145" i="13" s="1"/>
  <c r="K146" i="13" s="1"/>
  <c r="J140" i="13"/>
  <c r="J145" i="13" s="1"/>
  <c r="J146" i="13" s="1"/>
  <c r="I140" i="13"/>
  <c r="I145" i="13" s="1"/>
  <c r="I146" i="13" s="1"/>
  <c r="H140" i="13"/>
  <c r="H145" i="13" s="1"/>
  <c r="H146" i="13" s="1"/>
  <c r="G140" i="13"/>
  <c r="G145" i="13" s="1"/>
  <c r="G146" i="13" s="1"/>
  <c r="N110" i="13"/>
  <c r="M110" i="13"/>
  <c r="L110" i="13"/>
  <c r="K110" i="13"/>
  <c r="J110" i="13"/>
  <c r="I110" i="13"/>
  <c r="H110" i="13"/>
  <c r="G110" i="13"/>
  <c r="I99" i="2"/>
  <c r="O110" i="13" l="1"/>
  <c r="O115" i="13" s="1"/>
  <c r="O116" i="13" s="1"/>
  <c r="O140" i="13"/>
  <c r="O145" i="13" s="1"/>
  <c r="O146" i="13" s="1"/>
  <c r="O167" i="13"/>
  <c r="O172" i="13" s="1"/>
  <c r="O173" i="13" s="1"/>
  <c r="O87" i="13" l="1"/>
  <c r="O86" i="13"/>
  <c r="O85" i="13"/>
  <c r="O84" i="13"/>
  <c r="O82" i="13"/>
  <c r="O81" i="13"/>
  <c r="O78" i="13"/>
  <c r="O74" i="13"/>
  <c r="O71" i="13"/>
  <c r="O57" i="13"/>
  <c r="O56" i="13"/>
  <c r="O55" i="13"/>
  <c r="O54" i="13"/>
  <c r="O52" i="13"/>
  <c r="O51" i="13"/>
  <c r="O48" i="13"/>
  <c r="O44" i="13"/>
  <c r="O41" i="13"/>
  <c r="O24" i="13"/>
  <c r="O21" i="13"/>
  <c r="O14" i="13"/>
  <c r="I21" i="12"/>
  <c r="I38" i="12" s="1"/>
  <c r="I20" i="12"/>
  <c r="I37" i="12" s="1"/>
  <c r="I19" i="12"/>
  <c r="I36" i="12" s="1"/>
  <c r="I12" i="12"/>
  <c r="I31" i="12" s="1"/>
  <c r="I11" i="12"/>
  <c r="I30" i="12" s="1"/>
  <c r="I10" i="12"/>
  <c r="I29" i="12" s="1"/>
  <c r="O25" i="13" l="1"/>
  <c r="O83" i="13"/>
  <c r="O88" i="13" s="1"/>
  <c r="O89" i="13" s="1"/>
  <c r="O53" i="13"/>
  <c r="O58" i="13" s="1"/>
  <c r="O59" i="13" s="1"/>
  <c r="I10" i="11"/>
  <c r="J150" i="2"/>
  <c r="J145" i="2"/>
  <c r="J144" i="2"/>
  <c r="J143" i="2"/>
  <c r="J142" i="2"/>
  <c r="J140" i="2"/>
  <c r="J139" i="2"/>
  <c r="J136" i="2"/>
  <c r="J133" i="2"/>
  <c r="J132" i="2"/>
  <c r="J125" i="2"/>
  <c r="J124" i="2"/>
  <c r="J123" i="2"/>
  <c r="J122" i="2"/>
  <c r="J121" i="2"/>
  <c r="J120" i="2"/>
  <c r="J119" i="2"/>
  <c r="J118" i="2"/>
  <c r="I116" i="2"/>
  <c r="J115" i="2"/>
  <c r="J114" i="2"/>
  <c r="J111" i="2"/>
  <c r="J110" i="2"/>
  <c r="J109" i="2"/>
  <c r="J108" i="2"/>
  <c r="J96" i="2"/>
  <c r="J95" i="2"/>
  <c r="J94" i="2"/>
  <c r="J93" i="2"/>
  <c r="J73" i="2"/>
  <c r="J59" i="2"/>
  <c r="J42" i="2"/>
  <c r="J41" i="2"/>
  <c r="J38" i="2"/>
  <c r="J37" i="2"/>
  <c r="J34" i="2"/>
  <c r="J33" i="2"/>
  <c r="J32" i="2"/>
  <c r="J31" i="2"/>
  <c r="J23" i="2"/>
  <c r="J19" i="2"/>
  <c r="J18" i="2"/>
  <c r="J17" i="2"/>
  <c r="J16" i="2"/>
  <c r="O15" i="13" l="1"/>
  <c r="I11" i="11"/>
  <c r="J62" i="2"/>
  <c r="J43" i="2"/>
  <c r="J63" i="2"/>
  <c r="J22" i="2"/>
  <c r="J116" i="2"/>
  <c r="J99" i="2"/>
  <c r="I112" i="8"/>
  <c r="I111" i="8"/>
  <c r="I110" i="8"/>
  <c r="I109" i="8"/>
  <c r="I108" i="8"/>
  <c r="I107" i="8"/>
  <c r="I106" i="8"/>
  <c r="I104" i="8"/>
  <c r="H39" i="8"/>
  <c r="H40" i="8" s="1"/>
  <c r="G39" i="8"/>
  <c r="G40" i="8" s="1"/>
  <c r="I38" i="8"/>
  <c r="I37" i="8"/>
  <c r="I36" i="8"/>
  <c r="I35" i="8"/>
  <c r="I34" i="8"/>
  <c r="I33" i="8"/>
  <c r="I32" i="8"/>
  <c r="I30" i="8"/>
  <c r="H21" i="8"/>
  <c r="H22" i="8" s="1"/>
  <c r="G21" i="8"/>
  <c r="G22" i="8" s="1"/>
  <c r="I20" i="8"/>
  <c r="I19" i="8"/>
  <c r="I18" i="8"/>
  <c r="I17" i="8"/>
  <c r="I16" i="8"/>
  <c r="I15" i="8"/>
  <c r="I14" i="8"/>
  <c r="I12" i="8"/>
  <c r="N58" i="13"/>
  <c r="N59" i="13" s="1"/>
  <c r="M58" i="13"/>
  <c r="M59" i="13" s="1"/>
  <c r="L58" i="13"/>
  <c r="L59" i="13" s="1"/>
  <c r="K58" i="13"/>
  <c r="K59" i="13" s="1"/>
  <c r="J58" i="13"/>
  <c r="J59" i="13" s="1"/>
  <c r="I58" i="13"/>
  <c r="I59" i="13" s="1"/>
  <c r="H58" i="13"/>
  <c r="H59" i="13" s="1"/>
  <c r="G58" i="13"/>
  <c r="G59" i="13" s="1"/>
  <c r="O26" i="13"/>
  <c r="G82" i="2"/>
  <c r="I82" i="2"/>
  <c r="H20" i="11"/>
  <c r="G20" i="11"/>
  <c r="H5" i="11"/>
  <c r="G5" i="11"/>
  <c r="O17" i="13" l="1"/>
  <c r="G114" i="8"/>
  <c r="G113" i="8"/>
  <c r="H114" i="8"/>
  <c r="H113" i="8"/>
  <c r="I12" i="11"/>
  <c r="J65" i="2"/>
  <c r="J44" i="2"/>
  <c r="I114" i="8"/>
  <c r="I22" i="8"/>
  <c r="I21" i="8"/>
  <c r="I113" i="8"/>
  <c r="I39" i="8"/>
  <c r="I40" i="8"/>
  <c r="I13" i="11" l="1"/>
  <c r="J66" i="2"/>
  <c r="J45" i="2"/>
  <c r="G115" i="13"/>
  <c r="G116" i="13" s="1"/>
  <c r="H115" i="13"/>
  <c r="H116" i="13" s="1"/>
  <c r="I115" i="13"/>
  <c r="I116" i="13" s="1"/>
  <c r="J115" i="13"/>
  <c r="J116" i="13" s="1"/>
  <c r="K115" i="13"/>
  <c r="K116" i="13" s="1"/>
  <c r="L115" i="13"/>
  <c r="L116" i="13" s="1"/>
  <c r="M115" i="13"/>
  <c r="M116" i="13" s="1"/>
  <c r="N115" i="13"/>
  <c r="N116" i="13" s="1"/>
  <c r="N83" i="13"/>
  <c r="N88" i="13" s="1"/>
  <c r="N89" i="13" s="1"/>
  <c r="M83" i="13"/>
  <c r="M88" i="13" s="1"/>
  <c r="M89" i="13" s="1"/>
  <c r="L83" i="13"/>
  <c r="L88" i="13" s="1"/>
  <c r="L89" i="13" s="1"/>
  <c r="K83" i="13"/>
  <c r="K88" i="13" s="1"/>
  <c r="K89" i="13" s="1"/>
  <c r="J83" i="13"/>
  <c r="J88" i="13" s="1"/>
  <c r="J89" i="13" s="1"/>
  <c r="I83" i="13"/>
  <c r="I88" i="13" s="1"/>
  <c r="I89" i="13" s="1"/>
  <c r="H83" i="13"/>
  <c r="H88" i="13" s="1"/>
  <c r="H89" i="13" s="1"/>
  <c r="G83" i="13"/>
  <c r="G88" i="13" s="1"/>
  <c r="G89" i="13" s="1"/>
  <c r="J67" i="2" l="1"/>
  <c r="J46" i="2"/>
  <c r="G35" i="13"/>
  <c r="G15" i="12"/>
  <c r="G25" i="8"/>
  <c r="I5" i="2"/>
  <c r="G5" i="2"/>
  <c r="G39" i="2"/>
  <c r="I58" i="8"/>
  <c r="I95" i="8" s="1"/>
  <c r="I57" i="8"/>
  <c r="I94" i="8" s="1"/>
  <c r="I56" i="8"/>
  <c r="I93" i="8" s="1"/>
  <c r="I55" i="8"/>
  <c r="I92" i="8" s="1"/>
  <c r="I54" i="8"/>
  <c r="I91" i="8" s="1"/>
  <c r="I53" i="8"/>
  <c r="I90" i="8" s="1"/>
  <c r="I52" i="8"/>
  <c r="I89" i="8" s="1"/>
  <c r="I50" i="8"/>
  <c r="I87" i="8" s="1"/>
  <c r="I39" i="2"/>
  <c r="J68" i="2" l="1"/>
  <c r="J47" i="2"/>
  <c r="J39" i="2"/>
  <c r="I59" i="8"/>
  <c r="I96" i="8" s="1"/>
  <c r="H59" i="8"/>
  <c r="G59" i="8"/>
  <c r="H60" i="8" l="1"/>
  <c r="H97" i="8" s="1"/>
  <c r="H96" i="8"/>
  <c r="G60" i="8"/>
  <c r="G97" i="8" s="1"/>
  <c r="G96" i="8"/>
  <c r="J48" i="2"/>
  <c r="I60" i="8" l="1"/>
  <c r="I97" i="8" s="1"/>
  <c r="J53" i="2"/>
  <c r="O27" i="13" l="1"/>
  <c r="J55" i="2"/>
  <c r="J56" i="2" l="1"/>
  <c r="O28" i="13" l="1"/>
  <c r="O29" i="13" l="1"/>
  <c r="G31" i="13" l="1"/>
  <c r="G32" i="13" s="1"/>
  <c r="H31" i="13" l="1"/>
  <c r="H32" i="13" s="1"/>
  <c r="I31" i="13" l="1"/>
  <c r="I32" i="13" s="1"/>
  <c r="J31" i="13" l="1"/>
  <c r="J32" i="13" s="1"/>
  <c r="K31" i="13" l="1"/>
  <c r="K32" i="13" s="1"/>
  <c r="L31" i="13" l="1"/>
  <c r="L32" i="13" s="1"/>
  <c r="N31" i="13" l="1"/>
  <c r="N32" i="13" s="1"/>
  <c r="M31" i="13"/>
  <c r="M32" i="13" s="1"/>
  <c r="O30" i="13"/>
  <c r="O31" i="13" s="1"/>
  <c r="O32" i="13" s="1"/>
</calcChain>
</file>

<file path=xl/comments1.xml><?xml version="1.0" encoding="utf-8"?>
<comments xmlns="http://schemas.openxmlformats.org/spreadsheetml/2006/main">
  <authors>
    <author>Mauricio Ahumada (DBNeTCorp)</author>
  </authors>
  <commentList>
    <comment ref="K4" authorId="0" shapeId="0">
      <text>
        <r>
          <rPr>
            <b/>
            <sz val="9"/>
            <color indexed="81"/>
            <rFont val="Tahoma"/>
            <family val="2"/>
          </rPr>
          <t xml:space="preserve">Según instructivo de la SVS, este bloque no es validado como la suma de los elementos anteriores.
</t>
        </r>
      </text>
    </comment>
    <comment ref="F53" authorId="0" shapeId="0">
      <text>
        <r>
          <rPr>
            <b/>
            <sz val="9"/>
            <color indexed="81"/>
            <rFont val="Tahoma"/>
            <family val="2"/>
          </rPr>
          <t>Mauricio Ahumada (DBNeTCorp):</t>
        </r>
        <r>
          <rPr>
            <sz val="9"/>
            <color indexed="81"/>
            <rFont val="Tahoma"/>
            <family val="2"/>
          </rPr>
          <t xml:space="preserve">
La CMF corrigió la descipción del concepto, anteriormente estaba definido como  "Ingresos diferidos reconocidos en la fecha de la adquisición"</t>
        </r>
      </text>
    </comment>
    <comment ref="F130" authorId="0" shapeId="0">
      <text>
        <r>
          <rPr>
            <b/>
            <sz val="9"/>
            <color indexed="81"/>
            <rFont val="Tahoma"/>
            <family val="2"/>
          </rPr>
          <t>Mauricio Ahumada (DBNeTCorp):</t>
        </r>
        <r>
          <rPr>
            <sz val="9"/>
            <color indexed="81"/>
            <rFont val="Tahoma"/>
            <family val="2"/>
          </rPr>
          <t xml:space="preserve">
La CMF corrigió la descipción del concepto, anteriormente estaba definido como  "Ingresos diferidos reconocidos en la fecha de la adquisición"</t>
        </r>
      </text>
    </comment>
  </commentList>
</comments>
</file>

<file path=xl/comments2.xml><?xml version="1.0" encoding="utf-8"?>
<comments xmlns="http://schemas.openxmlformats.org/spreadsheetml/2006/main">
  <authors>
    <author>Mauricio Ahumada (DBNeTCorp)</author>
  </authors>
  <commentList>
    <comment ref="J4" authorId="0" shapeId="0">
      <text>
        <r>
          <rPr>
            <b/>
            <sz val="9"/>
            <color indexed="81"/>
            <rFont val="Tahoma"/>
            <family val="2"/>
          </rPr>
          <t xml:space="preserve">Según instructivo de la SVS, este bloque no es validado como la suma de los elementos anteriores.
</t>
        </r>
      </text>
    </comment>
  </commentList>
</comments>
</file>

<file path=xl/sharedStrings.xml><?xml version="1.0" encoding="utf-8"?>
<sst xmlns="http://schemas.openxmlformats.org/spreadsheetml/2006/main" count="2551" uniqueCount="377">
  <si>
    <t xml:space="preserve"> </t>
  </si>
  <si>
    <t>Agregar columna opcional</t>
  </si>
  <si>
    <r>
      <t xml:space="preserve">INSTRUCCIONES DE LLENADO
</t>
    </r>
    <r>
      <rPr>
        <sz val="10"/>
        <rFont val="Calibri"/>
        <family val="2"/>
      </rPr>
      <t xml:space="preserve">Esta dimensión puede ser extendida agregando columnas (miembros) adicionales a las definidas por taxonomía.
-Las columnas marcadas con línea punteada roja y con fondo verde indican las posiciones donde es posible agregar elementos.                                                                                                                                                                                                                                                                                             </t>
    </r>
    <r>
      <rPr>
        <sz val="10"/>
        <color indexed="10"/>
        <rFont val="Calibri"/>
        <family val="2"/>
      </rPr>
      <t xml:space="preserve">-Si se presiona el botón </t>
    </r>
    <r>
      <rPr>
        <b/>
        <sz val="10"/>
        <color indexed="10"/>
        <rFont val="Calibri"/>
        <family val="2"/>
      </rPr>
      <t>'Copiar Columna'</t>
    </r>
    <r>
      <rPr>
        <sz val="10"/>
        <color indexed="10"/>
        <rFont val="Calibri"/>
        <family val="2"/>
      </rPr>
      <t xml:space="preserve"> se copiará una columna  a la derecha de la columna actualmente seleccionada. </t>
    </r>
    <r>
      <rPr>
        <sz val="10"/>
        <rFont val="Calibri"/>
        <family val="2"/>
      </rPr>
      <t xml:space="preserve">
-Edite las columnas</t>
    </r>
    <r>
      <rPr>
        <b/>
        <sz val="10"/>
        <rFont val="Calibri"/>
        <family val="2"/>
      </rPr>
      <t xml:space="preserve"> coloreadas verde </t>
    </r>
    <r>
      <rPr>
        <sz val="10"/>
        <rFont val="Calibri"/>
        <family val="2"/>
      </rPr>
      <t xml:space="preserve">de acuerdo a sus necesidades.
-Las columnas verdes pueden ser editadas, eliminadas o duplicadas, así puede agregar mas detalle donde corresponda. Asegúrese de copiar la columna completa si desea duplicar un elemento (Se recomienda utilizar el botón 'Copiar Columna').
-Las columnas marcadas en plomo </t>
    </r>
    <r>
      <rPr>
        <b/>
        <sz val="10"/>
        <rFont val="Calibri"/>
        <family val="2"/>
      </rPr>
      <t>no deben ser editadas, eliminadas ni movidas.</t>
    </r>
  </si>
  <si>
    <t>Elimine la(s) columnas en verde que no apliquen para usted</t>
  </si>
  <si>
    <t>ACT</t>
  </si>
  <si>
    <t>ANT</t>
  </si>
  <si>
    <t xml:space="preserve">    Información a revelar sobre combinaciones de negocios [bloque de texto]  </t>
  </si>
  <si>
    <t xml:space="preserve">      Información a revelar detallada sobre combinaciones de negocios [bloque de texto]  </t>
  </si>
  <si>
    <t xml:space="preserve">        Información a revelar detallada sobre combinaciones de negocios [resumen]  </t>
  </si>
  <si>
    <t xml:space="preserve">Información a revelar detallada sobre combinaciones de negocios [resumen]  </t>
  </si>
  <si>
    <t xml:space="preserve">Combinaciones de negocios [miembro]  </t>
  </si>
  <si>
    <t xml:space="preserve">Total de la entidad por combinaciones de negocios [miembro]  </t>
  </si>
  <si>
    <t xml:space="preserve">            Valor razonable en la fecha de adquisición de la contraprestación total transferida [resumen]  </t>
  </si>
  <si>
    <t xml:space="preserve">            Importes reconocidos a partir de la fecha de la adquisición para cada clase principal de activos adquiridos y pasivos asumidos [resumen]  </t>
  </si>
  <si>
    <t xml:space="preserve">            Información a revelar adicional por importes reconocidos en la fecha de la adquisición para cada clase principal de activos adquiridos y pasivos asumidos [resumen]  </t>
  </si>
  <si>
    <t xml:space="preserve">        Información a revelar sobre conciliaciones o cambios en la plusvalía [resumen]  </t>
  </si>
  <si>
    <t xml:space="preserve">                Importe en libros en términos brutos [miembro]  </t>
  </si>
  <si>
    <t>INI</t>
  </si>
  <si>
    <t xml:space="preserve">Combinaciones de negocios [miembro]    </t>
  </si>
  <si>
    <t xml:space="preserve">Información a revelar sobre conciliaciones o cambios en la plusvalía [resumen]  </t>
  </si>
  <si>
    <t xml:space="preserve">        Información a revelar sobre las transacciones reconocidas por separado por la adquisición de activos y asunción de pasivos en combinaciones de negocios [resumen]  </t>
  </si>
  <si>
    <t xml:space="preserve"> Información a revelar sobre las transacciones reconocidas por separado por la adquisición de activos y asunción de pasivos en combinaciones de negocios [resumen]</t>
  </si>
  <si>
    <t xml:space="preserve">          Información a revelar sobre las transacciones reconocidas por separado por la adquisición de activos y asunción de pasivos en combinaciones de negocios [partidas]  </t>
  </si>
  <si>
    <t xml:space="preserve">        Información a revelar sobre cuentas por cobrar adquiridas [resumen]  </t>
  </si>
  <si>
    <t xml:space="preserve">Información a revelar sobre cuentas por cobrar adquiridas [resumen] </t>
  </si>
  <si>
    <t xml:space="preserve">                Préstamos adquiridos en combinaciones de negocios [miembro]  </t>
  </si>
  <si>
    <t xml:space="preserve">                Arrendamientos financieros directos adquiridos en combinaciones de negocios [miembro]  </t>
  </si>
  <si>
    <t xml:space="preserve">              Clases de cuentas por cobrar adquiridas [miembro]  </t>
  </si>
  <si>
    <t xml:space="preserve">            Valor razonable de las cuentas por cobrar adquiridas  [Número]</t>
  </si>
  <si>
    <t xml:space="preserve">            Importes contractuales brutos por cobrar por derechos por cobrar adquiridos  [Número]</t>
  </si>
  <si>
    <t xml:space="preserve">            Mejor estimación en la fecha de adquisición de los flujos de efectivo contractuales que no se espera recaudar por las cuentas por cobrar de la adquirida  [Número]</t>
  </si>
  <si>
    <t xml:space="preserve">                Pasivo contingente derivado de garantía [miembro]  </t>
  </si>
  <si>
    <t xml:space="preserve">                Pasivo contingente por reestructuración [miembro]  </t>
  </si>
  <si>
    <t xml:space="preserve">                Pasivos contingentes por procesos legales [miembro]  </t>
  </si>
  <si>
    <t xml:space="preserve">                Pasivos contingentes por contratos onerosos [miembro]  </t>
  </si>
  <si>
    <t xml:space="preserve">                Pasivos contingentes por costos de retiro del servicio, restauración y rehabilitación [miembro]  </t>
  </si>
  <si>
    <t xml:space="preserve">                Pasivos contingentes relacionados con negocios conjuntos [miembro]  </t>
  </si>
  <si>
    <t xml:space="preserve">                Participación en pasivos contingentes de asociadas [miembro]  </t>
  </si>
  <si>
    <t xml:space="preserve">                Otros pasivos contingentes [miembro]  </t>
  </si>
  <si>
    <t xml:space="preserve">              Pasivos contingentes [miembro]  </t>
  </si>
  <si>
    <t xml:space="preserve">        Información a revelar sobre pasivos contingentes en combinaciones de negocios [resumen]  </t>
  </si>
  <si>
    <t xml:space="preserve">Información a revelar sobre pasivos contingentes en combinaciones de negocios [resumen]  </t>
  </si>
  <si>
    <t xml:space="preserve">            Conciliación de cambios en pasivos contingentes reconocidos en combinaciones de negocios [resumen]  </t>
  </si>
  <si>
    <t xml:space="preserve">              Cambios en pasivos contingentes reconocidos en combinaciones de negocios [resumen]  </t>
  </si>
  <si>
    <t xml:space="preserve">                Pasivos adicionales, pasivos contingentes reconocidos en combinaciones de negocios [resumen]  </t>
  </si>
  <si>
    <t>INGRESAR DESCRIPCIÓN DE COLUMNA OPCIONAL</t>
  </si>
  <si>
    <t>Información a revelar sobre conciliación de los cambios en plusvalía [sinopsis] [817000]</t>
  </si>
  <si>
    <t xml:space="preserve"> Importe en libros bruto  [miembro]</t>
  </si>
  <si>
    <t>Importe en libros  [miembro]</t>
  </si>
  <si>
    <t>Información a revelar sobre conciliación de los cambios en plusvalía [sinopsis]  [817000]</t>
  </si>
  <si>
    <t>Información a revelar sobre cuentas por cobrar adquiridas [sinopsis] [817000]</t>
  </si>
  <si>
    <t xml:space="preserve"> Préstamos adquiridos en combinación de negocios [miembro]</t>
  </si>
  <si>
    <t>Arrendamientos financieros directos adquiridos en combinación de negocios [miembro]</t>
  </si>
  <si>
    <t>Clases de cuentas por cobrar adquiridas [miembro]</t>
  </si>
  <si>
    <t>Información a revelar sobre pasivos contingentes en combinación de negocios [sinopsis] [817000]</t>
  </si>
  <si>
    <t>Pasivo contingente por garantías [miembro]</t>
  </si>
  <si>
    <t>Pasivo contingente por reestructuración [miembro]</t>
  </si>
  <si>
    <t>Pasivos contingentes por procesos legales [miembro]</t>
  </si>
  <si>
    <t>Pasivos contingentes por contratos onerosos [miembro]</t>
  </si>
  <si>
    <t>Pasivos contingentes por costos de retiro del servicio, restauración y rehabilitación [miembro]</t>
  </si>
  <si>
    <t>Pasivos contingentes de negocios conjuntos [miembro]</t>
  </si>
  <si>
    <t>Participación en pasivos contingentes de asociadas [miembro]</t>
  </si>
  <si>
    <t>Otros pasivos contingentes [miembro]</t>
  </si>
  <si>
    <t>Pasivos contingentes [miembro]</t>
  </si>
  <si>
    <r>
      <t xml:space="preserve">INSTRUCCIONES DE LLENADO
</t>
    </r>
    <r>
      <rPr>
        <sz val="10"/>
        <rFont val="Calibri"/>
        <family val="2"/>
      </rPr>
      <t xml:space="preserve">Esta dimensión puede ser extendida agregando columnas (miembros) adicionales a las definidas por taxonomía.
-Las tabla  marcada con línea punteada roja y con fondo verde indican las posiciones donde es posible agregar elementos. Esta tabla puede ser copiada  debajo de este cuadro si se desean agregar mas columnas.
-Para cada columna creada (verde) debe escribirse una descripción (en rojo).
-Las tablas marcadas en plomo </t>
    </r>
    <r>
      <rPr>
        <b/>
        <sz val="10"/>
        <rFont val="Calibri"/>
        <family val="2"/>
      </rPr>
      <t>no deben ser editadas, eliminadas ni movidas.</t>
    </r>
  </si>
  <si>
    <t>AAN</t>
  </si>
  <si>
    <t xml:space="preserve">      Descripción de la naturaleza y efectos financieros de combinaciones de negocios durante el periodo [Texto]</t>
  </si>
  <si>
    <t xml:space="preserve">      Descripción de la naturaleza y efectos financieros de combinaciones de negocios después del periodo sobre el que se informa antes de la autorización de los estados para su emisión [Texto]</t>
  </si>
  <si>
    <t xml:space="preserve">      Explicación del efecto financiero de ajustes relativos a combinaciones de negocios [Texto]</t>
  </si>
  <si>
    <t xml:space="preserve">      Información adicional sobre la naturaleza y efecto financiero de combinaciones de negocios [Texto]</t>
  </si>
  <si>
    <t xml:space="preserve">      Explicación de qué información a revelar no podría publicarse y las razones por las que no pueden hacerlo si la contabilidad inicial de la combinación de negocios está incompleta en el momento en que se autoriza la publicación de los estados financieros [Texto]</t>
  </si>
  <si>
    <t xml:space="preserve">            Nombre de la adquirida [Texto]</t>
  </si>
  <si>
    <t xml:space="preserve">            Descripción de la adquirida [Texto]</t>
  </si>
  <si>
    <t xml:space="preserve">            Porcentaje de participaciones en el patrimonio con derecho a voto adquiridas [Porcentaje]</t>
  </si>
  <si>
    <t xml:space="preserve">            Descripción de las razones principales para la combinación de negocios [Texto]</t>
  </si>
  <si>
    <t xml:space="preserve">            Descripción de cómo la adquirente obtuvo el control de la adquirida [Texto]</t>
  </si>
  <si>
    <t xml:space="preserve">            Descripción de los factores que constituyen la plusvalía reconocida [Texto]</t>
  </si>
  <si>
    <t xml:space="preserve">              Efectivo transferido [Número]</t>
  </si>
  <si>
    <t xml:space="preserve">              Otros activos tangibles o intangibles transferidos [Número]</t>
  </si>
  <si>
    <t xml:space="preserve">              Pasivos incurridos [Número]</t>
  </si>
  <si>
    <t xml:space="preserve">              Participaciones en el patrimonio de la adquirente [Número]</t>
  </si>
  <si>
    <t xml:space="preserve">                Número de instrumentos o participaciones emitidas o emitibles [Decimal]</t>
  </si>
  <si>
    <t xml:space="preserve">                Descripción del método de medir el valor razonable de instrumentos o participaciones [Texto]</t>
  </si>
  <si>
    <t xml:space="preserve">              Contraprestación transferida, valor razonable en la fecha de adquisición [Número]</t>
  </si>
  <si>
    <t xml:space="preserve">            Descripción de los acuerdos por contraprestaciones contingentes y los activos de indemnización [Texto]</t>
  </si>
  <si>
    <t xml:space="preserve">            Descripción de los criterios para determinar el importe de pagos por acuerdos de contraprestaciones contingentes y los activos de indemnización [Texto]</t>
  </si>
  <si>
    <t xml:space="preserve">            Descripción de las estimaciones del rango de acontecimientos no descontados procedentes de acuerdos de contraprestación contingente y activos de indemnización [Texto]</t>
  </si>
  <si>
    <t xml:space="preserve">            Descripción de la explicación de hechos y razones por las que no puede estimarse el rango de resultados procedentes de acuerdos de contraprestaciones contingentes y los activos de indemnización [Texto]</t>
  </si>
  <si>
    <t xml:space="preserve">            Explicación del hecho de que el importe máximo de pagos por acuerdos de contraprestaciones contingentes y los activos de indemnización es ilimitado [Texto]</t>
  </si>
  <si>
    <t xml:space="preserve">              Activos financieros reconocidos en la fecha de la adquisición [Número]</t>
  </si>
  <si>
    <t xml:space="preserve">              Inventario reconocido en la fecha de adquisición [Número]</t>
  </si>
  <si>
    <t xml:space="preserve">              Propiedades, planta y equipo reconocidos en la fecha de adquisición [Número]</t>
  </si>
  <si>
    <t xml:space="preserve">              Activos intangibles identificables reconocidos en la fecha de la adquisición [Número]</t>
  </si>
  <si>
    <t xml:space="preserve">              Pasivos financieros reconocidos en la fecha de la adquisición [Número]</t>
  </si>
  <si>
    <t xml:space="preserve">              Pasivos contingentes reconocidos en la fecha de la adquisición [Número]</t>
  </si>
  <si>
    <t xml:space="preserve">              Activos identificables adquiridos (pasivos asumidos) [Número]</t>
  </si>
  <si>
    <t xml:space="preserve">              Activos no corrientes reconocidos en la fecha de la adquisición [Número]</t>
  </si>
  <si>
    <t xml:space="preserve">              Activos corrientes reconocidos en la fecha de la adquisición [Número]</t>
  </si>
  <si>
    <t xml:space="preserve">              Pasivos no corrientes reconocidos en la fecha de la adquisición [Número]</t>
  </si>
  <si>
    <t xml:space="preserve">              Pasivos corrientes reconocidos en la fecha de la adquisición [Número]</t>
  </si>
  <si>
    <t xml:space="preserve">              Cuentas por pagar comerciales y otras cuentas por pagar reconocidas en la fecha de adquisición [Número]</t>
  </si>
  <si>
    <t xml:space="preserve">              Activos por impuestos diferidos reconocidos en la fecha de la adquisición [Número]</t>
  </si>
  <si>
    <t xml:space="preserve">              Pasivos por impuestos diferidos reconocidos en la fecha de la adquisición [Número]</t>
  </si>
  <si>
    <t xml:space="preserve">              Préstamos reconocidos en la fecha de la adquisición [Número]</t>
  </si>
  <si>
    <t xml:space="preserve">            Plusvalía que se espera que sea deducible a efectos fiscales [Número]</t>
  </si>
  <si>
    <t xml:space="preserve">            Ganancias reconocidas en transacciones de adquisición en condiciones muy ventajosas [Número]</t>
  </si>
  <si>
    <t xml:space="preserve">            Descripción de la partida en el estado del resultado integral en la que se reconocen las ganancias por transacciones en condiciones muy ventajosas [Texto]</t>
  </si>
  <si>
    <t xml:space="preserve">            Descripción de las razones por las que una transacción en condiciones muy ventajosas dio lugar a una ganancia [Texto]</t>
  </si>
  <si>
    <t xml:space="preserve">            Participaciones no controladoras en la adquirida reconocidas en la fecha de adquisición [Número]</t>
  </si>
  <si>
    <t xml:space="preserve">            Descripción de los criterios de medición de participaciones no controladoras en la adquirida reconocidas en la fecha de adquisición [Texto]</t>
  </si>
  <si>
    <t xml:space="preserve">            Descripción de las técnicas de valoración y datos de entrada significativos utilizados para medir la participación no controladora en adquiridas medida al valor razonable [Texto]</t>
  </si>
  <si>
    <t xml:space="preserve">            Valor razonable en la fecha de adquisición de las participaciones en el patrimonio de la adquirida mantenidas por la adquirente inmediatamente antes de la fecha de la adquisición [Número]</t>
  </si>
  <si>
    <t xml:space="preserve">            Ganancias (pérdidas) reconocidas como resultado de la nueva medición a valor razonable de participaciones en el patrimonio de adquiridas mantenidas por la adquirente antes de la combinación de negocios [Número]</t>
  </si>
  <si>
    <t xml:space="preserve">            Descripción de la partida en el estado del resultado integral en la que se reconoce la ganancia o pérdida como resultado de la nueva medición a valor razonable de la participación en el patrimonio [Texto]</t>
  </si>
  <si>
    <t xml:space="preserve">            Ingresos de actividades ordinarias de entidades adquiridas desde la fecha de adquisición [Número]</t>
  </si>
  <si>
    <t xml:space="preserve">            Ganancia (pérdida) por entidades adquiridas desde la fecha de adquisición [Número]</t>
  </si>
  <si>
    <t xml:space="preserve">            Ingresos de actividades ordinarias por entidades combinadas como si la combinación hubiera tenido lugar al comienzo del periodo [Número]</t>
  </si>
  <si>
    <t xml:space="preserve">            Ganancia (pérdida) de entidades combinadas como si la combinación hubiera tenido lugar al comienzo del periodo [Número]</t>
  </si>
  <si>
    <t xml:space="preserve">            Explicación del hecho y del por qué es impracticable revelar información sobre ingresos de actividades ordinarias y sobre el resultado del periodo [Texto]</t>
  </si>
  <si>
    <t xml:space="preserve">            Descripción de las razones por las que la contabilización inicial de la combinación de negocios está incompleta [Texto]</t>
  </si>
  <si>
    <t xml:space="preserve">            Descripción de los activos, pasivos, participaciones en el patrimonio o partidas de contraprestación cuya contabilización inicial es incompleta [Texto]</t>
  </si>
  <si>
    <t xml:space="preserve">            Descripción de la naturaleza de cualesquiera ajustes del periodo de medición reconocidos para activos, pasivos, participaciones no controladoras o partidas de contraprestación particulares [Texto]</t>
  </si>
  <si>
    <t xml:space="preserve">            Ajustes del periodo de medición reconocidos para activos, pasivos, participaciones no controladoras o partidas de contraprestación particulares [Número]</t>
  </si>
  <si>
    <t xml:space="preserve">            Aumento (disminución) en activos (pasivos) de contraprestación contingente [Número]</t>
  </si>
  <si>
    <t xml:space="preserve">            Explicación de los cambios en importes reconocidos de contraprestaciones contingentes [Texto]</t>
  </si>
  <si>
    <t xml:space="preserve">            Explicación de los cambios en el rango de resultados (no descontados) y las razones de esos cambios por contraprestaciones contingentes [Texto]</t>
  </si>
  <si>
    <t xml:space="preserve">            Descripción de las técnicas de valoración y las variables del modelo claves utilizadas para medir la contraprestación contingente [Texto]</t>
  </si>
  <si>
    <t xml:space="preserve">            Ganancias (pérdidas) relacionadas con activos identificables adquiridos o pasivos asumidos en combinaciones de negocios y que es de tal tamaño, naturaleza o incidencia que revelar esta información es relevante para la comprensión de los estados financieros combinados de la entidad [Número]</t>
  </si>
  <si>
    <t xml:space="preserve">            Explicación de la ganancia o pérdida que relaciona activos identificables adquiridos o pasivos asumidos en combinaciones de negocios y que es del tal tamaño, naturaleza o incidencia que revelar esta información es relevante para la comprensión de los estados financieros combinados de la entidad [Texto]</t>
  </si>
  <si>
    <t xml:space="preserve">            Descripción de transacciones reconocidas por separado de la adquisición de activos y asunción de pasivos en combinaciones de negocios [Texto]</t>
  </si>
  <si>
    <t xml:space="preserve">            Descripción de la contabilización de transacciones reconocidas por separado de la adquisición de activos y asunción de pasivos en combinación de negocios [Texto]</t>
  </si>
  <si>
    <t xml:space="preserve">            Importes reconocidos para transacciones reconocidas de forma separada de la adquisición de activos y asunción de pasivos en combinaciones de negocios [Número]</t>
  </si>
  <si>
    <t xml:space="preserve">              Costos de adquisición relacionados para transacciones reconocidas de forma separada de la adquisición de activos y asunción de pasivos en combinaciones de negocios [Número]</t>
  </si>
  <si>
    <t xml:space="preserve">                Costos de adquisición relacionados reconocidos como gasto para transacciones reconocidas de forma separada de la adquisición de activos y asunción de pasivos en combinaciones de negocios [Número]</t>
  </si>
  <si>
    <t xml:space="preserve">                Costos de emisión no reconocidos como gasto para transacciones reconocidas de forma separada por la adquisición de activos y asunción de pasivos en combinaciones de negocios [Número]</t>
  </si>
  <si>
    <t xml:space="preserve">            Descripción de partidas en los estados financieros de importes reconocidos por transacciones registradas por separado procedentes de la adquisición de activos y asunción de pasivos en combinaciones de negocios [Texto]</t>
  </si>
  <si>
    <t xml:space="preserve">            Descripción de partidas en el estado del resultado integral de importes de costos relacionados con la adquisición reconocidos como gasto por transacciones registradas por separado procedentes de la adquisición de activos y asunción de pasivos en combinaciones de negocios [Texto]</t>
  </si>
  <si>
    <t xml:space="preserve">            Método utilizado para determinar el importe de liquidación de relaciones existentes con anterioridad para transacciones reconocidas por separado por la adquisición de activos y asunción de pasivos en combinaciones de negocios [Texto]</t>
  </si>
  <si>
    <t xml:space="preserve">            Descripción de la forma en que se reconocieron los costos de emisión no reconocidos como gasto para transacciones registradas de forma separada de la adquisición de activos y asunción de pasivos en combinaciones de negocios [Texto]</t>
  </si>
  <si>
    <t xml:space="preserve">            Valor razonable de las cuentas por cobrar adquiridas [Número]</t>
  </si>
  <si>
    <t xml:space="preserve">            Importes contractuales brutos por cobrar por derechos por cobrar adquiridos [Número]</t>
  </si>
  <si>
    <t xml:space="preserve">            Mejor estimación en la fecha de adquisición de los flujos de efectivo contractuales que no se espera recaudar por las cuentas por cobrar de la adquirida [Número]</t>
  </si>
  <si>
    <t xml:space="preserve">            Descripción de la naturaleza de la obligación, pasivos contingentes en combinaciones de negocios [Texto]</t>
  </si>
  <si>
    <t xml:space="preserve">            Descripción del calendario esperado de salidas de efectivo, pasivos contingentes en combinaciones de negocios [Texto]</t>
  </si>
  <si>
    <t xml:space="preserve">            Indicación de incertidumbres del importe o calendario de salidas de recursos, pasivos contingentes en combinaciones de negocios [Texto]</t>
  </si>
  <si>
    <t xml:space="preserve">            Descripción de suposiciones importantes realizadas sobre sucesos futuros, pasivos contingentes en combinaciones de negocios [Texto]</t>
  </si>
  <si>
    <t xml:space="preserve">            Reembolso esperado, pasivos contingentes en combinaciones de negocios [Número]</t>
  </si>
  <si>
    <t xml:space="preserve">            Activo reconocido como reembolso esperado, pasivos contingentes en combinaciones de negocios [Número]</t>
  </si>
  <si>
    <t xml:space="preserve">            Explicación del efecto financiero estimado, pasivos contingentes en combinaciones de negocios [Texto]</t>
  </si>
  <si>
    <t xml:space="preserve">            Efecto financiero estimado, pasivos contingentes en combinaciones de negocios [Número]</t>
  </si>
  <si>
    <t xml:space="preserve">            Explicación de la posibilidad de reembolso, pasivos contingentes en combinaciones de negocios [Texto]</t>
  </si>
  <si>
    <t xml:space="preserve">            Descripción de las razones por las que el pasivo no puede medirse con fiabilidad [Texto]</t>
  </si>
  <si>
    <t xml:space="preserve">              Pasivos contingentes reconocidos en combinaciones de negocios [Número]</t>
  </si>
  <si>
    <t xml:space="preserve">                  Pasivos nuevos, pasivos contingentes reconocidos en combinaciones de negocios [Número]</t>
  </si>
  <si>
    <t xml:space="preserve">                  Aumento de pasivos existentes y pasivos contingentes reconocidos en una combinación de negocios [Número]</t>
  </si>
  <si>
    <t xml:space="preserve">                  Pasivos adicionales, pasivos contingentes reconocidos en combinaciones de negocios [Número]</t>
  </si>
  <si>
    <t xml:space="preserve">                Pasivos liquidados, pasivos contingentes reconocidos en combinaciones de negocios [Número]</t>
  </si>
  <si>
    <t xml:space="preserve">                Pasivos no liquidados revertidos, pasivos contingentes reconocidos en combinaciones de negocios [Número]</t>
  </si>
  <si>
    <t xml:space="preserve">                Incremento por ajustes que surgen por el paso del tiempo, pasivos contingentes reconocidos en combinaciones de negocios [Número]</t>
  </si>
  <si>
    <t xml:space="preserve">                Incremento (disminución) por cambios en la tasa de descuento, pasivos contingentes reconocidos en combinaciones de negocios [Número]</t>
  </si>
  <si>
    <t xml:space="preserve">                Incremento (disminución) de pasivos contingentes reconocidos en combinaciones de negocios [Número]</t>
  </si>
  <si>
    <t xml:space="preserve">            Nombre sociedad combinación [Texto]</t>
  </si>
  <si>
    <t xml:space="preserve">            Rut sociedad combinación [Texto]</t>
  </si>
  <si>
    <t xml:space="preserve">            Plusvalía [Número]</t>
  </si>
  <si>
    <t xml:space="preserve">            Cambios en la plusvalía [sinopsis]  </t>
  </si>
  <si>
    <t xml:space="preserve">              Reconocimiento adicional, plusvalía [Número]</t>
  </si>
  <si>
    <t xml:space="preserve">              Reconocimiento posterior de activos por impuestos diferidos, plusvalía [Número]</t>
  </si>
  <si>
    <t xml:space="preserve">              Disminuciones por clasificar como mantenidos para la venta, plusvalía [Número]</t>
  </si>
  <si>
    <t xml:space="preserve">              Plusvalía dada de baja sin haber sido previamente incluida en grupos de activos para su disposición clasificados como mantenidos para la venta [Número]</t>
  </si>
  <si>
    <t xml:space="preserve">              Pérdidas por deterioro de valor reconocidas en el resultado del periodo, plusvalía [Número]</t>
  </si>
  <si>
    <t xml:space="preserve">              Incremento (disminución) por diferencias de cambio netas, plusvalía [Número]</t>
  </si>
  <si>
    <t xml:space="preserve">              Incremento (disminución) por otros cambios, plusvalía [Número]</t>
  </si>
  <si>
    <t xml:space="preserve">              Incremento (disminución) en la plusvalía [Número]</t>
  </si>
  <si>
    <t>Deterioro de valor acumulado [miembro]</t>
  </si>
  <si>
    <t>full_ifrs-cor_2015-03-11.xsd#ifrs-full_DisclosureOfBusinessCombinationsExplanatory</t>
  </si>
  <si>
    <t>full_ifrs-cor_2015-03-11.xsd#ifrs-full_DescriptionOfNatureAndFinancialEffectOfBusinessCombinationsDuringPeriod</t>
  </si>
  <si>
    <t>full_ifrs-cor_2015-03-11.xsd#ifrs-full_DescriptionOfNatureAndFinancialEffectOfBusinessCombinationsAfterReportingPeriodBeforeStatementsAuthorisedForIssue</t>
  </si>
  <si>
    <t>full_ifrs-cor_2015-03-11.xsd#ifrs-full_ExplanationOfFinancialEffectOfAdjustmentsRelatedToBusinessCombinations</t>
  </si>
  <si>
    <t>full_ifrs-cor_2015-03-11.xsd#ifrs-full_AdditionalInformationAboutNatureAndFinancialEffectOfBusinessCombination</t>
  </si>
  <si>
    <t>full_ifrs-cor_2015-03-11.xsd#ifrs-full_DisclosureOfDetailedInformationAboutBusinessCombinationsExplanatory</t>
  </si>
  <si>
    <t>full_ifrs-cor_2015-03-11.xsd#ifrs-full_ExplanationWhichDisclosuresCouldNotBeMadeAndReasonsWhyTheyCannotBeMadeIfInitialAccountingForBusinessCombinationIsIncomplete</t>
  </si>
  <si>
    <t>full_ifrs-cor_2015-03-11.xsd#ifrs-full_BusinessCombinationsMember</t>
  </si>
  <si>
    <t>full_ifrs-cor_2015-03-11.xsd#ifrs-full_EntitysTotalForBusinessCombinationsMember</t>
  </si>
  <si>
    <t>full_ifrs-cor_2015-03-11.xsd#ifrs-full_NameOfAcquiree</t>
  </si>
  <si>
    <t>full_ifrs-cor_2015-03-11.xsd#ifrs-full_DescriptionOfAcquiree</t>
  </si>
  <si>
    <t>full_ifrs-cor_2015-03-11.xsd#ifrs-full_PercentageOfVotingEquityInterestsAcquired</t>
  </si>
  <si>
    <t>full_ifrs-cor_2015-03-11.xsd#ifrs-full_DescriptionOfPrimaryReasonsForBusinessCombination</t>
  </si>
  <si>
    <t>full_ifrs-cor_2015-03-11.xsd#ifrs-full_DescriptionOfHowAcquirerObtainedControlOfAcquiree</t>
  </si>
  <si>
    <t>full_ifrs-cor_2015-03-11.xsd#ifrs-full_DescriptionOfFactorsThatMakeUpGoodwillRecognised</t>
  </si>
  <si>
    <t>full_ifrs-cor_2015-03-11.xsd#ifrs-full_CashTransferred</t>
  </si>
  <si>
    <t>full_ifrs-cor_2015-03-11.xsd#ifrs-full_OtherTangibleOrIntangibleAssetsTransferred</t>
  </si>
  <si>
    <t>full_ifrs-cor_2015-03-11.xsd#ifrs-full_LiabilitiesIncurred</t>
  </si>
  <si>
    <t>full_ifrs-cor_2015-03-11.xsd#ifrs-full_EquityInterestsOfAcquirer</t>
  </si>
  <si>
    <t>full_ifrs-cor_2015-03-11.xsd#ifrs-full_NumberOfInstrumentsOrInterestsIssuedOrIssuable</t>
  </si>
  <si>
    <t>full_ifrs-cor_2015-03-11.xsd#ifrs-full_MethodOfDeterminingFairValueOfInstrumentsOrInterests</t>
  </si>
  <si>
    <t>full_ifrs-cor_2015-03-11.xsd#ifrs-full_AcquisitiondateFairValueOfTotalConsiderationTransferred</t>
  </si>
  <si>
    <t>full_ifrs-cor_2015-03-11.xsd#ifrs-full_DescriptionOfArrangementForContingentConsiderationArrangementsAndIndemnificationAssets</t>
  </si>
  <si>
    <t>full_ifrs-cor_2015-03-11.xsd#ifrs-full_DescriptionOfBasisForDeterminingAmountOfPaymentForContingentConsiderationArrangementsAndIndemnificationAssets</t>
  </si>
  <si>
    <t>full_ifrs-cor_2015-03-11.xsd#ifrs-full_DescriptionOfEstimateOfRangeOfOutcomesFromContingentConsiderationArrangementsAndIndemnificationAssets</t>
  </si>
  <si>
    <t>full_ifrs-cor_2015-03-11.xsd#ifrs-full_DescriptionOfExplanationOfFactAndReasonsWhyRangeOfOutcomesFromContingentConsiderationArrangementsAndIndemnificationAssetsCannotBeEstimated</t>
  </si>
  <si>
    <t>full_ifrs-cor_2015-03-11.xsd#ifrs-full_ExplanationOfFactThatMaximumAmountOfPaymentForContingentConsiderationArrangementsAndIndemnificationAssetsIsUnlimited</t>
  </si>
  <si>
    <t>full_ifrs-cor_2015-03-11.xsd#ifrs-full_FinancialAssetsRecognisedAsOfAcquisitionDate</t>
  </si>
  <si>
    <t>full_ifrs-cor_2015-03-11.xsd#ifrs-full_InventoryRecognisedAsOfAcquisitionDate</t>
  </si>
  <si>
    <t>full_ifrs-cor_2015-03-11.xsd#ifrs-full_PropertyPlantAndEquipmentRecognisedAsOfAcquisitionDate</t>
  </si>
  <si>
    <t>full_ifrs-cor_2015-03-11.xsd#ifrs-full_IdentifiableIntangibleAssetsRecognisedAsOfAcquisitionDate</t>
  </si>
  <si>
    <t>full_ifrs-cor_2015-03-11.xsd#ifrs-full_FinancialLiabilitiesRecognisedAsOfAcquisitionDate</t>
  </si>
  <si>
    <t>full_ifrs-cor_2015-03-11.xsd#ifrs-full_ContingentLiabilitiesRecognisedAsOfAcquisitionDate</t>
  </si>
  <si>
    <t>full_ifrs-cor_2015-03-11.xsd#ifrs-full_IdentifiableAssetsAcquiredLiabilitiesAssumed</t>
  </si>
  <si>
    <t>full_ifrs-cor_2015-03-11.xsd#ifrs-full_NoncurrentAssetsRecognisedAsOfAcquisitionDate</t>
  </si>
  <si>
    <t>full_ifrs-cor_2015-03-11.xsd#ifrs-full_CurrentAssetsRecognisedAsOfAcquisitionDate</t>
  </si>
  <si>
    <t>full_ifrs-cor_2015-03-11.xsd#ifrs-full_NoncurrentLiabilitiesRecognisedAsOfAcquisitionDate</t>
  </si>
  <si>
    <t>full_ifrs-cor_2015-03-11.xsd#ifrs-full_CurrentLiabilitiesRecognisedAsOfAcquisitionDate</t>
  </si>
  <si>
    <t>full_ifrs-cor_2015-03-11.xsd#ifrs-full_TradeAndOtherPayablesRecognisedAsOfAcquisitionDate</t>
  </si>
  <si>
    <t>full_ifrs-cor_2015-03-11.xsd#ifrs-full_DeferredTaxAssetsRecognisedAsOfAcquisitionDate</t>
  </si>
  <si>
    <t>full_ifrs-cor_2015-03-11.xsd#ifrs-full_DeferredTaxLiabilitiesRecognisedAsOfAcquisitionDate</t>
  </si>
  <si>
    <t>full_ifrs-cor_2015-03-11.xsd#ifrs-full_BorrowingsRecognisedAsOfAcquisitionDate</t>
  </si>
  <si>
    <t>full_ifrs-cor_2015-03-11.xsd#ifrs-full_GoodwillExpectedDeductibleForTaxPurposes</t>
  </si>
  <si>
    <t>full_ifrs-cor_2015-03-11.xsd#ifrs-full_GainRecognisedInBargainPurchaseTransaction</t>
  </si>
  <si>
    <t>full_ifrs-cor_2015-03-11.xsd#ifrs-full_ExplanationOfAmountOfAnyGainRecognisedAndLineItemInStatementOfComprehensiveIncomeInWhichGainIsRecognisedInBargainPurchase</t>
  </si>
  <si>
    <t>full_ifrs-cor_2015-03-11.xsd#ifrs-full_DescriptionOfReasonsWhyTransactionResultedInGainInBargainPurchase</t>
  </si>
  <si>
    <t>full_ifrs-cor_2015-03-11.xsd#ifrs-full_NoncontrollingInterestInAcquireeRecognisedAtAcquisitionDate</t>
  </si>
  <si>
    <t>full_ifrs-cor_2015-03-11.xsd#ifrs-full_DescriptionOfMeasurementBasisForNoncontrollingInterestInAcquireeRecognisedAtAcquisitionDate</t>
  </si>
  <si>
    <t>full_ifrs-cor_2015-03-11.xsd#ifrs-full_DescriptionOfValuationTechniquesAndKeyModelInputsUsedForDeterminingNoncontrollingInterestInAnAcquireeMeasuredAtFairValue</t>
  </si>
  <si>
    <t>full_ifrs-cor_2015-03-11.xsd#ifrs-full_AcquisitiondateFairValueOfEquityInterestInAcquireeHeldByAcquirerImmediatelyBeforeAcquisitionDate</t>
  </si>
  <si>
    <t>full_ifrs-cor_2015-03-11.xsd#ifrs-full_GainLossRecognisedAsResultOfRemeasuringToFairValueEquityInterestInAcquireeHeldByAcquirerBeforeBusinessCombination</t>
  </si>
  <si>
    <t>full_ifrs-cor_2015-03-11.xsd#ifrs-full_DescriptionOfLineItemInStatementOfComprehensiveIncomeInWhichGainOrLossAsResultOfRemeasuringToFairValueEquityInterestIsRecognised</t>
  </si>
  <si>
    <t>full_ifrs-cor_2015-03-11.xsd#ifrs-full_RevenueOfAcquiree</t>
  </si>
  <si>
    <t>full_ifrs-cor_2015-03-11.xsd#ifrs-full_ProfitLossOfAcquiree</t>
  </si>
  <si>
    <t>full_ifrs-cor_2015-03-11.xsd#ifrs-full_RevenueOfCombinedEntity</t>
  </si>
  <si>
    <t>full_ifrs-cor_2015-03-11.xsd#ifrs-full_ProfitLossOfCombinedEntity</t>
  </si>
  <si>
    <t>full_ifrs-cor_2015-03-11.xsd#ifrs-full_DisclosureOfFactAndExplanationWhyDisclosureOfInformationForEachBusinessCombinationIsImpracticable</t>
  </si>
  <si>
    <t>full_ifrs-cor_2015-03-11.xsd#ifrs-full_DescriptionOfReasonsWhyInitialAccountingForBusinessCombinationIsIncomplete</t>
  </si>
  <si>
    <t>full_ifrs-cor_2015-03-11.xsd#ifrs-full_DescriptionOfAmountsOfAssetsLiabilitiesEquityInterestsOrItemsOfConsiderationForWhichInitialAccountingIsIncomplete</t>
  </si>
  <si>
    <t>full_ifrs-cor_2015-03-11.xsd#ifrs-full_DescriptionOfNatureAndAmountOfAnyMeasurementPeriodAdjustmentsRecognisedForParticularAssetsLiabilitiesNoncontrollingInterestsOrItemsOfConsideration</t>
  </si>
  <si>
    <t>full_ifrs-cor_2015-03-11.xsd#ifrs-full_MeasurementPeriodAdjustmentsRecognisedForParticularAssetsLiabilitiesNoncontrollingInterestsOrItemsOfConsideration</t>
  </si>
  <si>
    <t>full_ifrs-cor_2015-03-11.xsd#ifrs-full_IncreaseDecreaseInContingentConsiderationAssetLiability</t>
  </si>
  <si>
    <t>full_ifrs-cor_2015-03-11.xsd#ifrs-full_ExplanationOfAnyChangesInRecognisedAmountsOfContingentConsideration</t>
  </si>
  <si>
    <t>full_ifrs-cor_2015-03-11.xsd#ifrs-full_ExplanationOfAnyChangesInRangeOfOutcomesUndiscountedAndReasonsForThoseChangesForContingentConsideration</t>
  </si>
  <si>
    <t>full_ifrs-cor_2015-03-11.xsd#ifrs-full_DescriptionOfValuationTechniquesAndKeyModelInputsUsedToMeasureContingentConsideration</t>
  </si>
  <si>
    <t>full_ifrs-cor_2015-03-11.xsd#ifrs-full_GainLossThatRelatesToIdentifiableAssetsAcquiredOrLiabilitiesAssumedInBusinessCombination</t>
  </si>
  <si>
    <t>full_ifrs-cor_2015-03-11.xsd#ifrs-full_ExplanationOfGainOrLossThatRelatesToIdentifiableAssetsAcquiredOrLiabilitiesAssumedInBusinessCombination</t>
  </si>
  <si>
    <t>full_ifrs-cor_2015-03-11.xsd#ifrs-full_ExplanationOfTransactionsRecognisedSeparatelyFromAcquisitionOfAssetsAndAssumptionOfLiabilitiesInBusinessCombination</t>
  </si>
  <si>
    <t>full_ifrs-cor_2015-03-11.xsd#ifrs-full_DescriptionOfAccountingForTransactionRecognisedSeparatelyFromAcquisitionOfAssetsAndAssumptionOfLiabilitiesInBusinessCombination</t>
  </si>
  <si>
    <t>full_ifrs-cor_2015-03-11.xsd#ifrs-full_AmountsRecognisedForTransactionRecognisedSeparatelyFromAcquisitionOfAssetsAndAssumptionOfLiabilitiesInBusinessCombination</t>
  </si>
  <si>
    <t>full_ifrs-cor_2015-03-11.xsd#ifrs-full_AcquisitionrelatedCostsForTransactionRecognisedSeparatelyFromAcquisitionOfAssetsAndAssumptionOfLiabilitiesInBusinessCombination</t>
  </si>
  <si>
    <t>full_ifrs-cor_2015-03-11.xsd#ifrs-full_AcquisitionrelatedCostsRecognisedAsExpenseForTransactionRecognisedSeparatelyFromAcquisitionOfAssetsAndAssumptionOfLiabilitiesInBusinessCombination</t>
  </si>
  <si>
    <t>full_ifrs-cor_2015-03-11.xsd#ifrs-full_IssueCostsNotRecognisedAsExpenseForTransactionRecognisedSeparatelyFromAcquisitionOfAssetsAndAssumptionOfLiabilitiesInBusinessCombination</t>
  </si>
  <si>
    <t>full_ifrs-cor_2015-03-11.xsd#ifrs-full_DescriptionOfLineItemsInFinancialStatementsForAmountsRecognisedForTransactionRecognisedSeparatelyFromAcquisitionOfAssetsAndAssumptionOfLiabilitiesInBusinessCombination</t>
  </si>
  <si>
    <t>full_ifrs-cor_2015-03-11.xsd#ifrs-full_DescriptionOfLineItemsForAcquisitionRelatedCostsRecognisedAsExpenseForTransactionRecognisedSeparatelyFromAcquisitionOfAssetsAndAssumptionOfLiabilitiesInBusinessCombination</t>
  </si>
  <si>
    <t>full_ifrs-cor_2015-03-11.xsd#ifrs-full_MethodUsedToDetermineSettlementAmountForPreexistingRelationshipForTransactionRecognisedSeparatelyFromAcquisitionOfAssetsAndAssumptionOfLiabilitiesInBusinessCombination</t>
  </si>
  <si>
    <t>full_ifrs-cor_2015-03-11.xsd#ifrs-full_DescriptionOfHowIssueCostsNotRecognisedAsExpenseWereRecognisedForTransactionRecognisedSeparatelyFromAcquisitionOfAssetsAndAssumptionOfLiabilitiesInBusinessCombination</t>
  </si>
  <si>
    <t>full_ifrs-cor_2015-03-11.xsd#ifrs-full_DisclosureOfAcquiredReceivablesTable</t>
  </si>
  <si>
    <t>full_ifrs-cor_2015-03-11.xsd#ifrs-full_FairValueOfAcquiredReceivables</t>
  </si>
  <si>
    <t>full_ifrs-cor_2015-03-11.xsd#ifrs-full_GrossContractualAmountsReceivableForAcquiredReceivables</t>
  </si>
  <si>
    <t>full_ifrs-cor_2015-03-11.xsd#ifrs-full_BestEstimateAtAcquisitionDateOfContractualCashFlowsNotExpectedToBeCollectedForAcquiredReceivables</t>
  </si>
  <si>
    <t>full_ifrs-cor_2015-03-11.xsd#ifrs-full_DisclosureOfContingentLiabilitiesInBusinessCombinationTable</t>
  </si>
  <si>
    <t>full_ifrs-cor_2015-03-11.xsd#ifrs-full_DescriptionOfNatureOfObligationContingentLiabilitiesInBusinessCombination</t>
  </si>
  <si>
    <t>full_ifrs-cor_2015-03-11.xsd#ifrs-full_DescriptionOfExpectedTimingOfOutflowsContingentLiabilitiesInBusinessCombination</t>
  </si>
  <si>
    <t>full_ifrs-cor_2015-03-11.xsd#ifrs-full_IndicationOfUncertaintiesOfAmountOrTimingOfOutflowsContingentLiabilitiesInBusinessCombination</t>
  </si>
  <si>
    <t>full_ifrs-cor_2015-03-11.xsd#ifrs-full_DescriptionOfMajorAssumptionsMadeConcerningFutureEventsContingentLiabilitiesInBusinessCombination</t>
  </si>
  <si>
    <t>full_ifrs-cor_2015-03-11.xsd#ifrs-full_ExpectedReimbursementContingentLiabilitiesInBusinessCombination</t>
  </si>
  <si>
    <t>full_ifrs-cor_2015-03-11.xsd#ifrs-full_AssetRecognisedForExpectedReimbursementContingentLiabilitiesInBusinessCombination</t>
  </si>
  <si>
    <t>full_ifrs-cor_2015-03-11.xsd#ifrs-full_ExplanationOfEstimatedFinancialEffectContingentLiabilitiesInBusinessCombination</t>
  </si>
  <si>
    <t>full_ifrs-cor_2015-03-11.xsd#ifrs-full_EstimatedFinancialEffectContingentLiabilitiesInBusinessCombination</t>
  </si>
  <si>
    <t>full_ifrs-cor_2015-03-11.xsd#ifrs-full_ExplanationOfPossibilityOfReimbursementContingentLiabilitiesInBusinessCombination</t>
  </si>
  <si>
    <t>full_ifrs-cor_2015-03-11.xsd#ifrs-full_DescriptionOfReasonsWhyLiabilityCannotBeMeasuredReliably</t>
  </si>
  <si>
    <t>full_ifrs-cor_2015-03-11.xsd#ifrs-full_ContingentLiabilitiesRecognisedInBusinessCombination</t>
  </si>
  <si>
    <t>full_ifrs-cor_2015-03-11.xsd#ifrs-full_NewLiabilitiesContingentLiabilitiesRecognisedInBusinessCombination</t>
  </si>
  <si>
    <t>full_ifrs-cor_2015-03-11.xsd#ifrs-full_IncreaseDecreaseInExistingLiabilitiesContingentLiabilitiesRecognisedInBusinessCombination</t>
  </si>
  <si>
    <t>full_ifrs-cor_2015-03-11.xsd#ifrs-full_AdditionalLiabilitiesContingentLiabilitiesRecognisedInBusinessCombination</t>
  </si>
  <si>
    <t>full_ifrs-cor_2015-03-11.xsd#ifrs-full_SettledLiabilitiesContingentLiabilitiesRecognisedInBusinessCombination</t>
  </si>
  <si>
    <t>full_ifrs-cor_2015-03-11.xsd#ifrs-full_ReversedUnsettledLiabilitiesContingentLiabilitiesRecognisedInBusinessCombination</t>
  </si>
  <si>
    <t>full_ifrs-cor_2015-03-11.xsd#ifrs-full_IncreaseThroughAdjustmentsArisingFromPassageOfTimeContingentLiabilitiesRecognisedInBusinessCombination</t>
  </si>
  <si>
    <t>full_ifrs-cor_2015-03-11.xsd#ifrs-full_IncreaseDecreaseThroughChangeInDiscountRateContingentLiabilitiesRecognisedInBusinessCombination</t>
  </si>
  <si>
    <t>full_ifrs-cor_2015-03-11.xsd#ifrs-full_IncreaseDecreaseInContingentLiabilitiesRecognisedInBusinessCombination</t>
  </si>
  <si>
    <t>full_ifrs-cor_2015-03-11.xsd#ifrs-full_DisclosureOfReconciliationOfChangesInGoodwillTable</t>
  </si>
  <si>
    <t>pre_cl-ci_ifrs-3_2015-03-11_role-817100</t>
  </si>
  <si>
    <t>full_ifrs-cor_2015-03-11.xsd#ifrs-full_Goodwill</t>
  </si>
  <si>
    <t>full_ifrs-cor_2015-03-11.xsd#ifrs-full_AdditionalRecognitionGoodwill</t>
  </si>
  <si>
    <t>full_ifrs-cor_2015-03-11.xsd#ifrs-full_SubsequentRecognitionOfDeferredTaxAssetsGoodwill</t>
  </si>
  <si>
    <t>full_ifrs-cor_2015-03-11.xsd#ifrs-full_DecreaseThroughClassifiedAsHeldForSaleGoodwill</t>
  </si>
  <si>
    <t>full_ifrs-cor_2015-03-11.xsd#ifrs-full_GoodwillDerecognisedWithoutHavingPreviouslyBeenIncludedInDisposalGroupClassifiedAsHeldForSale</t>
  </si>
  <si>
    <t>full_ifrs-cor_2015-03-11.xsd#ifrs-full_ImpairmentLossRecognisedInProfitOrLossGoodwill</t>
  </si>
  <si>
    <t>full_ifrs-cor_2015-03-11.xsd#ifrs-full_IncreaseDecreaseThroughNetExchangeDifferencesGoodwill</t>
  </si>
  <si>
    <t>full_ifrs-cor_2015-03-11.xsd#ifrs-full_IncreaseDecreaseThroughTransfersAndOtherChangesGoodwill</t>
  </si>
  <si>
    <t>full_ifrs-cor_2015-03-11.xsd#ifrs-full_ChangesInGoodwill</t>
  </si>
  <si>
    <t>cl-ci_cor_2016-01-11.xsd#cl-ci_DateOfAcquisition</t>
  </si>
  <si>
    <t>cl-ci_cor_2016-01-11.xsd#cl-ci_NombreSociedadCombinacion</t>
  </si>
  <si>
    <t>cl-ci_cor_2016-01-11.xsd#cl-ci_RutSociedadCombinacion</t>
  </si>
  <si>
    <t>DIMEAVA</t>
  </si>
  <si>
    <t>DIMENUE</t>
  </si>
  <si>
    <t>full_ifrs-cor_2015-03-11.xsd#ifrs-full_BusinessCombinationsAxis</t>
  </si>
  <si>
    <t>full_ifrs-cor_2015-03-11.xsd#ifrs-full_DisclosureOfBusinessCombinationsTable</t>
  </si>
  <si>
    <t>full_ifrs-cor_2015-03-11.xsd#ifrs-full_DisclosureOfTransactionsRecognisedSeparatelyFromAcquisitionOfAssetsAndAssumptionOfLiabilitiesInBusinessCombinationTable</t>
  </si>
  <si>
    <t>full_ifrs-cor_2015-03-11.xsd#ifrs-full_ClassesOfAcquiredReceivablesAxis</t>
  </si>
  <si>
    <t>full_ifrs-cor_2015-03-11.xsd#ifrs-full_LoansAcquiredInBusinessCombinationMember</t>
  </si>
  <si>
    <t>full_ifrs-cor_2015-03-11.xsd#ifrs-full_DirectFinanceLeasesAcquiredInBusinessCombinationMember</t>
  </si>
  <si>
    <t>full_ifrs-cor_2015-03-11.xsd#ifrs-full_ClassesOfAcquiredReceivablesMember</t>
  </si>
  <si>
    <t xml:space="preserve">Préstamos adquiridos en combinaciones de negocios [miembro]  </t>
  </si>
  <si>
    <t xml:space="preserve">Arrendamientos financieros directos adquiridos en combinaciones de negocios [miembro]  </t>
  </si>
  <si>
    <t xml:space="preserve">Clases de cuentas por cobrar adquiridas [miembro]  </t>
  </si>
  <si>
    <t>full_ifrs-cor_2015-03-11.xsd#ifrs-full_ClassesOfContingentLiabilitiesAxis</t>
  </si>
  <si>
    <t>full_ifrs-cor_2015-03-11.xsd#ifrs-full_WarrantyContingentLiabilityMember</t>
  </si>
  <si>
    <t>full_ifrs-cor_2015-03-11.xsd#ifrs-full_RestructuringContingentLiabilityMember</t>
  </si>
  <si>
    <t>full_ifrs-cor_2015-03-11.xsd#ifrs-full_LegalProceedingsContingentLiabilityMember</t>
  </si>
  <si>
    <t>full_ifrs-cor_2015-03-11.xsd#ifrs-full_OnerousContractsContingentLiabilityMember</t>
  </si>
  <si>
    <t>full_ifrs-cor_2015-03-11.xsd#ifrs-full_ContingentLiabilityForDecommissioningRestorationAndRehabilitationCostsMember</t>
  </si>
  <si>
    <t>full_ifrs-cor_2015-03-11.xsd#ifrs-full_ContingentLiabilitiesOfJointVentureMember</t>
  </si>
  <si>
    <t>full_ifrs-cor_2015-03-11.xsd#ifrs-full_ShareOfContingentLiabilitiesOfAssociatesMember</t>
  </si>
  <si>
    <t>full_ifrs-cor_2015-03-11.xsd#ifrs-full_OtherContingentLiabilitiesMember</t>
  </si>
  <si>
    <t>full_ifrs-cor_2015-03-11.xsd#ifrs-full_ContingentLiabilitiesMember</t>
  </si>
  <si>
    <t>full_ifrs-cor_2015-03-11.xsd#ifrs-full_CarryingAmountAccumulatedDepreciationAmortisationAndImpairmentAndGrossCarryingAmountAxis</t>
  </si>
  <si>
    <t>full_ifrs-cor_2015-03-11.xsd#ifrs-full_GrossCarryingAmountMember</t>
  </si>
  <si>
    <t>full_ifrs-cor_2015-03-11.xsd#ifrs-full_AccumulatedImpairmentMember</t>
  </si>
  <si>
    <t>full_ifrs-cor_2015-03-11.xsd#ifrs-full_CarryingAmountMember</t>
  </si>
  <si>
    <t xml:space="preserve">Importe en libros [miembro]  </t>
  </si>
  <si>
    <t xml:space="preserve">Importe en libros en términos brutos [miembro]  </t>
  </si>
  <si>
    <t>full_ifrs-cor_2016-03-31.xsd#ifrs-full_CustomerrelatedIntangibleAssetsRecognisedAsOfAcquisitionDate</t>
  </si>
  <si>
    <t>full_ifrs-cor_2016-03-31.xsd#ifrs-full_TechnologybasedIntangibleAssetsRecognisedAsOfAcquisitionDate</t>
  </si>
  <si>
    <t xml:space="preserve">              Activos intangibles relacionados con clientes reconocidos en la fecha de adquisición [Número]</t>
  </si>
  <si>
    <t xml:space="preserve">             Activos intangibles basados en tecnología reconocidos en la fecha de adquisición [Número]</t>
  </si>
  <si>
    <t xml:space="preserve">             Efectivo y equivalente al efectivo reconocidos en la fecha de la adquisición [Número]</t>
  </si>
  <si>
    <t xml:space="preserve">               Activos intangibles relacionados con clientes reconocidos en la fecha de adquisición [Número]</t>
  </si>
  <si>
    <t>full_ifrs-cor_2018-03-16.xsd#ifrs-full_GoodwillRecognisedAsOfAcquisitionDate</t>
  </si>
  <si>
    <t xml:space="preserve">            Plusvalía reconocida en la fecha de la adquisición [Número]</t>
  </si>
  <si>
    <t>full_ifrs-cor_2019-03-27.xsd#ifrs-full_ContingentConsiderationRecognisedAsOfAcquisitionDate</t>
  </si>
  <si>
    <t>full_ifrs-cor_2019-03-27.xsd#ifrs-full_IndemnificationAssetsRecognisedAsOfAcquisitionDate</t>
  </si>
  <si>
    <t>Contraprestación contingente reconocida en la fecha de la adquisición [Número]</t>
  </si>
  <si>
    <t>Activos de indemnización reconocidos en la fecha de adquisición [Número]</t>
  </si>
  <si>
    <t xml:space="preserve">            Fecha de adquisición  [yyy-mm-dd]</t>
  </si>
  <si>
    <t xml:space="preserve">              Pasivos contingentes reconocidos en combinaciones de negocios al 31/12/2019 [Número]</t>
  </si>
  <si>
    <t xml:space="preserve">              Pasivos contingentes reconocidos en combinaciones de negocios al 31/12/2018 [Número]</t>
  </si>
  <si>
    <t xml:space="preserve">            Plusvalía (31/12/2019) [Número]</t>
  </si>
  <si>
    <t xml:space="preserve">            Plusvalía (31/12/2018) [Número]</t>
  </si>
  <si>
    <t>12.0</t>
  </si>
  <si>
    <t>pre_cl-ci_ifrs-3_2021-03-24_role-817000</t>
  </si>
  <si>
    <t>full_ifrs-cor_2021-03-24.xsd#ifrs-full_ContractLiabilitiesRecognisedAsOfAcquisitionDate</t>
  </si>
  <si>
    <t>full_ifrs-cor_2021-03-24.xsd#ifrs-full_DeferredIncomeOtherThanContractLiabilitiesRecognisedAsOfAcquisitionDate</t>
  </si>
  <si>
    <t>full_ifrs-cor_2021-03-24.xsd#ifrs-full_DeferredIncomeIncludingContractLiabilitiesRecognisedAsOfAcquisitionDate</t>
  </si>
  <si>
    <t>full_ifrs-cor_2021-03-24.xsd#ifrs-full_CashAndCashEquivalentsRecognisedAsOfAcquisitionDate</t>
  </si>
  <si>
    <t xml:space="preserve">              Ingresos diferidos distintos a los pasivos contractuales reconocidos a la fecha de adquisición [Número]</t>
  </si>
  <si>
    <t xml:space="preserve">              Pasivos contractuales reconocidos a la fecha de adquisición [Número]</t>
  </si>
  <si>
    <r>
      <t xml:space="preserve">           </t>
    </r>
    <r>
      <rPr>
        <b/>
        <sz val="9"/>
        <rFont val="Verdana"/>
        <family val="2"/>
      </rPr>
      <t xml:space="preserve">   Ingresos diferidos, incluidos pasivos contractuales reconocidos a la fecha de adquisición [resumen]</t>
    </r>
  </si>
  <si>
    <t xml:space="preserve">         Ingresos diferidos, incluidos pasivos contractuales reconocidos a la fecha de adquisición [Número]</t>
  </si>
  <si>
    <t>Con fecha 27 de enero de 2015 Inmuebles Comerciales del Perú S.A.C., filial de Parque Arauco S.A., suscribió contrato de compraventa por el 100% de las acciones de Ekimed S.A.C., propietaria de los Centros Comerciales El Quinde e Inmobiliaria el Quinde ubicados en Perú en las ciudades de Cajamarca e Ica respectivamente.</t>
  </si>
  <si>
    <t>En dicha operación la Sociedad adquiriente pagó un precio que ascendió a M$ 39.833.976. Esta operación ha sido reconocida conforme al método de adquisición, determinando a la fecha de compra una plusvalía de M$ 348.494.</t>
  </si>
  <si>
    <t>Al cierre de los Estados Financieros, la Sociedad ha reconocido, en función de un estudio, la apertura del precio pagado, identificando los valores justos de los activos adquiridos. Los cuales se encuentran identificados en las notas respectivas bajo el concepto de Combinación de Negocios.</t>
  </si>
  <si>
    <t>test1</t>
  </si>
  <si>
    <t>test2</t>
  </si>
  <si>
    <t>test3</t>
  </si>
  <si>
    <t>test4</t>
  </si>
  <si>
    <t>A</t>
  </si>
  <si>
    <t>B</t>
  </si>
  <si>
    <t>C</t>
  </si>
  <si>
    <t>D</t>
  </si>
  <si>
    <t>E</t>
  </si>
  <si>
    <t>F</t>
  </si>
  <si>
    <t>L</t>
  </si>
  <si>
    <t>M</t>
  </si>
  <si>
    <t>N</t>
  </si>
  <si>
    <t>O</t>
  </si>
  <si>
    <t>P</t>
  </si>
  <si>
    <t>Q</t>
  </si>
  <si>
    <t>R</t>
  </si>
  <si>
    <t>S</t>
  </si>
  <si>
    <t>T</t>
  </si>
  <si>
    <t>U</t>
  </si>
  <si>
    <t>V</t>
  </si>
  <si>
    <t>W</t>
  </si>
  <si>
    <t>G</t>
  </si>
  <si>
    <t>H</t>
  </si>
  <si>
    <t>I</t>
  </si>
  <si>
    <t>J</t>
  </si>
  <si>
    <t>K</t>
  </si>
  <si>
    <t>X</t>
  </si>
  <si>
    <t>Y</t>
  </si>
  <si>
    <t>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</si>
</sst>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yyyy\-mm\-dd"/>
    <numFmt numFmtId="165" formatCode="0.0000"/>
    <numFmt numFmtId="166" formatCode="#,##0.0000"/>
  </numFmts>
  <fonts count="34">
    <font>
      <sz val="11"/>
      <color theme="1"/>
      <name val="Calibri"/>
      <family val="2"/>
      <scheme val="minor"/>
    </font>
    <font>
      <sz val="8"/>
      <name val="ＭＳ Ｐゴシック"/>
      <family val="3"/>
      <charset val="128"/>
    </font>
    <font>
      <sz val="9"/>
      <name val="Verdana"/>
      <family val="2"/>
    </font>
    <font>
      <b/>
      <sz val="9"/>
      <name val="Verdana"/>
      <family val="2"/>
    </font>
    <font>
      <sz val="11"/>
      <color indexed="9"/>
      <name val="Czcionka tekstu podstawowego"/>
      <family val="2"/>
      <charset val="238"/>
    </font>
    <font>
      <sz val="9"/>
      <color rgb="FFFF0000"/>
      <name val="Verdana"/>
      <family val="2"/>
    </font>
    <font>
      <sz val="9"/>
      <color indexed="9"/>
      <name val="Verdana"/>
      <family val="2"/>
    </font>
    <font>
      <b/>
      <sz val="9"/>
      <color indexed="9"/>
      <name val="Verdana"/>
      <family val="2"/>
    </font>
    <font>
      <b/>
      <sz val="9"/>
      <color rgb="FFFF0000"/>
      <name val="Verdana"/>
      <family val="2"/>
    </font>
    <font>
      <sz val="11"/>
      <name val="Calibri"/>
      <family val="2"/>
      <scheme val="minor"/>
    </font>
    <font>
      <sz val="9"/>
      <color theme="1"/>
      <name val="Verdana"/>
      <family val="2"/>
    </font>
    <font>
      <b/>
      <sz val="18"/>
      <name val="Calibri"/>
      <family val="2"/>
      <scheme val="minor"/>
    </font>
    <font>
      <sz val="10"/>
      <name val="Calibri"/>
      <family val="2"/>
    </font>
    <font>
      <sz val="10"/>
      <color indexed="10"/>
      <name val="Calibri"/>
      <family val="2"/>
    </font>
    <font>
      <b/>
      <sz val="10"/>
      <color indexed="10"/>
      <name val="Calibri"/>
      <family val="2"/>
    </font>
    <font>
      <b/>
      <sz val="10"/>
      <name val="Calibri"/>
      <family val="2"/>
    </font>
    <font>
      <b/>
      <sz val="12"/>
      <name val="Calibri"/>
      <family val="2"/>
      <scheme val="minor"/>
    </font>
    <font>
      <u/>
      <sz val="9.9"/>
      <color theme="10"/>
      <name val="Calibri"/>
      <family val="2"/>
    </font>
    <font>
      <sz val="11"/>
      <color indexed="10"/>
      <name val="Calibri"/>
      <family val="2"/>
    </font>
    <font>
      <sz val="9"/>
      <color indexed="10"/>
      <name val="Verdana"/>
      <family val="2"/>
    </font>
    <font>
      <sz val="8"/>
      <color indexed="8"/>
      <name val="Calibri"/>
      <family val="2"/>
    </font>
    <font>
      <sz val="8"/>
      <name val="Verdana"/>
      <family val="2"/>
    </font>
    <font>
      <b/>
      <sz val="8"/>
      <name val="Verdana"/>
      <family val="2"/>
    </font>
    <font>
      <sz val="11"/>
      <color theme="1"/>
      <name val="Calibri"/>
      <family val="2"/>
    </font>
    <font>
      <b/>
      <sz val="9"/>
      <color theme="0"/>
      <name val="Verdana"/>
      <family val="2"/>
    </font>
    <font>
      <sz val="9"/>
      <color theme="0"/>
      <name val="Verdana"/>
      <family val="2"/>
    </font>
    <font>
      <b/>
      <sz val="9"/>
      <color indexed="10"/>
      <name val="Verdana"/>
      <family val="2"/>
    </font>
    <font>
      <sz val="9"/>
      <color indexed="8"/>
      <name val="Verdana"/>
      <family val="2"/>
    </font>
    <font>
      <b/>
      <sz val="11"/>
      <color indexed="10"/>
      <name val="Calibri"/>
      <family val="2"/>
    </font>
    <font>
      <sz val="8"/>
      <color indexed="8"/>
      <name val="Verdana"/>
      <family val="2"/>
    </font>
    <font>
      <b/>
      <sz val="18"/>
      <name val="Calibri"/>
      <family val="2"/>
    </font>
    <font>
      <b/>
      <sz val="9"/>
      <color indexed="81"/>
      <name val="Tahoma"/>
      <family val="2"/>
    </font>
    <font>
      <b/>
      <sz val="9"/>
      <name val="Calibri"/>
      <family val="2"/>
      <scheme val="minor"/>
    </font>
    <font>
      <sz val="9"/>
      <color indexed="81"/>
      <name val="Tahoma"/>
      <family val="2"/>
    </font>
  </fonts>
  <fills count="22">
    <fill>
      <patternFill patternType="none"/>
    </fill>
    <fill>
      <patternFill patternType="gray125"/>
    </fill>
    <fill>
      <patternFill patternType="solid">
        <fgColor theme="4" tint="0.59999389629810485"/>
        <bgColor indexed="64"/>
      </patternFill>
    </fill>
    <fill>
      <patternFill patternType="solid">
        <fgColor theme="0"/>
        <bgColor indexed="64"/>
      </patternFill>
    </fill>
    <fill>
      <patternFill patternType="solid">
        <fgColor indexed="30"/>
      </patternFill>
    </fill>
    <fill>
      <patternFill patternType="solid">
        <fgColor theme="0" tint="-0.499984740745262"/>
        <bgColor indexed="64"/>
      </patternFill>
    </fill>
    <fill>
      <patternFill patternType="solid">
        <fgColor theme="6" tint="0.59999389629810485"/>
        <bgColor indexed="64"/>
      </patternFill>
    </fill>
    <fill>
      <patternFill patternType="solid">
        <fgColor theme="4" tint="0.59996337778862885"/>
        <bgColor indexed="64"/>
      </patternFill>
    </fill>
    <fill>
      <patternFill patternType="solid">
        <fgColor rgb="FFFFFFCC"/>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rgb="FFFF99FF"/>
        <bgColor indexed="64"/>
      </patternFill>
    </fill>
    <fill>
      <patternFill patternType="solid">
        <fgColor indexed="23"/>
        <bgColor indexed="64"/>
      </patternFill>
    </fill>
    <fill>
      <patternFill patternType="solid">
        <fgColor indexed="44"/>
        <bgColor indexed="64"/>
      </patternFill>
    </fill>
    <fill>
      <patternFill patternType="solid">
        <fgColor indexed="9"/>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indexed="26"/>
        <bgColor indexed="64"/>
      </patternFill>
    </fill>
    <fill>
      <patternFill patternType="solid">
        <fgColor theme="9" tint="0.59999389629810485"/>
        <bgColor indexed="64"/>
      </patternFill>
    </fill>
    <fill>
      <patternFill patternType="solid">
        <fgColor theme="3" tint="0.79998168889431442"/>
        <bgColor indexed="64"/>
      </patternFill>
    </fill>
  </fills>
  <borders count="7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Dashed">
        <color rgb="FFFF0000"/>
      </left>
      <right style="mediumDashed">
        <color rgb="FFFF0000"/>
      </right>
      <top style="mediumDashed">
        <color rgb="FFFF0000"/>
      </top>
      <bottom style="thin">
        <color indexed="64"/>
      </bottom>
      <diagonal/>
    </border>
    <border>
      <left style="mediumDashed">
        <color rgb="FFFF0000"/>
      </left>
      <right style="mediumDashed">
        <color rgb="FFFF0000"/>
      </right>
      <top style="thin">
        <color indexed="64"/>
      </top>
      <bottom style="thin">
        <color indexed="64"/>
      </bottom>
      <diagonal/>
    </border>
    <border>
      <left style="mediumDashed">
        <color rgb="FFFF0000"/>
      </left>
      <right style="mediumDashed">
        <color rgb="FFFF0000"/>
      </right>
      <top/>
      <bottom style="thin">
        <color indexed="64"/>
      </bottom>
      <diagonal/>
    </border>
    <border>
      <left style="mediumDashed">
        <color rgb="FFFF0000"/>
      </left>
      <right style="mediumDashed">
        <color rgb="FFFF0000"/>
      </right>
      <top style="thin">
        <color indexed="64"/>
      </top>
      <bottom/>
      <diagonal/>
    </border>
    <border>
      <left style="medium">
        <color indexed="64"/>
      </left>
      <right style="medium">
        <color indexed="64"/>
      </right>
      <top style="medium">
        <color indexed="64"/>
      </top>
      <bottom style="medium">
        <color indexed="64"/>
      </bottom>
      <diagonal/>
    </border>
    <border>
      <left/>
      <right style="mediumDashed">
        <color rgb="FFFF0000"/>
      </right>
      <top style="thin">
        <color indexed="64"/>
      </top>
      <bottom/>
      <diagonal/>
    </border>
    <border>
      <left/>
      <right style="mediumDashed">
        <color rgb="FFFF0000"/>
      </right>
      <top/>
      <bottom/>
      <diagonal/>
    </border>
    <border>
      <left/>
      <right style="mediumDashed">
        <color rgb="FFFF0000"/>
      </right>
      <top/>
      <bottom style="thin">
        <color indexed="64"/>
      </bottom>
      <diagonal/>
    </border>
    <border>
      <left style="mediumDashed">
        <color rgb="FFFF0000"/>
      </left>
      <right style="mediumDashed">
        <color rgb="FFFF0000"/>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Dashed">
        <color indexed="10"/>
      </top>
      <bottom/>
      <diagonal/>
    </border>
    <border>
      <left/>
      <right/>
      <top style="mediumDashed">
        <color indexed="10"/>
      </top>
      <bottom style="thin">
        <color indexed="64"/>
      </bottom>
      <diagonal/>
    </border>
    <border>
      <left/>
      <right style="mediumDashed">
        <color indexed="10"/>
      </right>
      <top style="mediumDashed">
        <color indexed="10"/>
      </top>
      <bottom style="thin">
        <color indexed="64"/>
      </bottom>
      <diagonal/>
    </border>
    <border>
      <left/>
      <right style="mediumDashed">
        <color indexed="10"/>
      </right>
      <top style="thin">
        <color indexed="64"/>
      </top>
      <bottom style="thin">
        <color indexed="64"/>
      </bottom>
      <diagonal/>
    </border>
    <border>
      <left style="mediumDashed">
        <color indexed="10"/>
      </left>
      <right/>
      <top/>
      <bottom/>
      <diagonal/>
    </border>
    <border>
      <left/>
      <right style="mediumDashed">
        <color indexed="10"/>
      </right>
      <top/>
      <bottom/>
      <diagonal/>
    </border>
    <border>
      <left style="thin">
        <color indexed="64"/>
      </left>
      <right style="mediumDashed">
        <color indexed="10"/>
      </right>
      <top style="thin">
        <color indexed="64"/>
      </top>
      <bottom style="thin">
        <color indexed="64"/>
      </bottom>
      <diagonal/>
    </border>
    <border>
      <left style="mediumDashed">
        <color indexed="10"/>
      </left>
      <right/>
      <top/>
      <bottom style="mediumDashed">
        <color indexed="10"/>
      </bottom>
      <diagonal/>
    </border>
    <border>
      <left style="thin">
        <color indexed="64"/>
      </left>
      <right/>
      <top/>
      <bottom style="mediumDashed">
        <color indexed="10"/>
      </bottom>
      <diagonal/>
    </border>
    <border>
      <left/>
      <right/>
      <top/>
      <bottom style="mediumDashed">
        <color indexed="10"/>
      </bottom>
      <diagonal/>
    </border>
    <border>
      <left/>
      <right style="mediumDashed">
        <color indexed="10"/>
      </right>
      <top/>
      <bottom style="mediumDashed">
        <color indexed="10"/>
      </bottom>
      <diagonal/>
    </border>
    <border>
      <left/>
      <right style="mediumDashed">
        <color rgb="FFFF0000"/>
      </right>
      <top style="thin">
        <color indexed="64"/>
      </top>
      <bottom style="thin">
        <color indexed="64"/>
      </bottom>
      <diagonal/>
    </border>
    <border>
      <left style="mediumDashed">
        <color indexed="10"/>
      </left>
      <right style="medium">
        <color indexed="64"/>
      </right>
      <top style="mediumDashed">
        <color indexed="10"/>
      </top>
      <bottom/>
      <diagonal/>
    </border>
    <border>
      <left/>
      <right style="thin">
        <color indexed="64"/>
      </right>
      <top style="mediumDashed">
        <color indexed="10"/>
      </top>
      <bottom style="thin">
        <color indexed="64"/>
      </bottom>
      <diagonal/>
    </border>
    <border>
      <left style="thin">
        <color indexed="64"/>
      </left>
      <right/>
      <top style="mediumDashed">
        <color indexed="10"/>
      </top>
      <bottom style="thin">
        <color indexed="64"/>
      </bottom>
      <diagonal/>
    </border>
    <border>
      <left style="mediumDashed">
        <color indexed="10"/>
      </left>
      <right style="medium">
        <color indexed="64"/>
      </right>
      <top/>
      <bottom/>
      <diagonal/>
    </border>
    <border>
      <left style="medium">
        <color indexed="64"/>
      </left>
      <right/>
      <top/>
      <bottom style="mediumDashed">
        <color indexed="10"/>
      </bottom>
      <diagonal/>
    </border>
    <border>
      <left style="mediumDashed">
        <color indexed="10"/>
      </left>
      <right/>
      <top style="mediumDashed">
        <color indexed="10"/>
      </top>
      <bottom/>
      <diagonal/>
    </border>
    <border>
      <left style="thin">
        <color indexed="64"/>
      </left>
      <right/>
      <top style="mediumDashed">
        <color indexed="10"/>
      </top>
      <bottom/>
      <diagonal/>
    </border>
    <border>
      <left/>
      <right style="thin">
        <color indexed="64"/>
      </right>
      <top style="mediumDashed">
        <color indexed="10"/>
      </top>
      <bottom/>
      <diagonal/>
    </border>
    <border>
      <left/>
      <right style="thin">
        <color indexed="64"/>
      </right>
      <top/>
      <bottom style="thin">
        <color indexed="18"/>
      </bottom>
      <diagonal/>
    </border>
    <border>
      <left style="thin">
        <color indexed="64"/>
      </left>
      <right style="mediumDashed">
        <color rgb="FFFF0000"/>
      </right>
      <top style="thin">
        <color indexed="64"/>
      </top>
      <bottom style="mediumDashed">
        <color indexed="10"/>
      </bottom>
      <diagonal/>
    </border>
    <border>
      <left/>
      <right style="thin">
        <color indexed="64"/>
      </right>
      <top/>
      <bottom style="mediumDashed">
        <color indexed="10"/>
      </bottom>
      <diagonal/>
    </border>
    <border>
      <left style="mediumDashed">
        <color rgb="FFFF0000"/>
      </left>
      <right style="thin">
        <color indexed="64"/>
      </right>
      <top style="mediumDashed">
        <color rgb="FFFF0000"/>
      </top>
      <bottom/>
      <diagonal/>
    </border>
    <border>
      <left/>
      <right/>
      <top style="mediumDashed">
        <color rgb="FFFF0000"/>
      </top>
      <bottom/>
      <diagonal/>
    </border>
    <border>
      <left/>
      <right/>
      <top style="mediumDashed">
        <color rgb="FFFF0000"/>
      </top>
      <bottom style="thin">
        <color indexed="64"/>
      </bottom>
      <diagonal/>
    </border>
    <border>
      <left/>
      <right style="mediumDashed">
        <color rgb="FFFF0000"/>
      </right>
      <top style="mediumDashed">
        <color rgb="FFFF0000"/>
      </top>
      <bottom style="thin">
        <color indexed="64"/>
      </bottom>
      <diagonal/>
    </border>
    <border>
      <left style="mediumDashed">
        <color rgb="FFFF0000"/>
      </left>
      <right style="thin">
        <color indexed="64"/>
      </right>
      <top/>
      <bottom/>
      <diagonal/>
    </border>
    <border>
      <left style="mediumDashed">
        <color rgb="FFFF0000"/>
      </left>
      <right/>
      <top/>
      <bottom/>
      <diagonal/>
    </border>
    <border>
      <left style="mediumDashed">
        <color rgb="FFFF0000"/>
      </left>
      <right/>
      <top/>
      <bottom style="mediumDashed">
        <color rgb="FFFF0000"/>
      </bottom>
      <diagonal/>
    </border>
    <border>
      <left style="thin">
        <color indexed="64"/>
      </left>
      <right/>
      <top/>
      <bottom style="mediumDashed">
        <color rgb="FFFF0000"/>
      </bottom>
      <diagonal/>
    </border>
    <border>
      <left/>
      <right/>
      <top/>
      <bottom style="mediumDashed">
        <color rgb="FFFF0000"/>
      </bottom>
      <diagonal/>
    </border>
    <border>
      <left/>
      <right style="mediumDashed">
        <color rgb="FFFF0000"/>
      </right>
      <top/>
      <bottom style="mediumDashed">
        <color rgb="FFFF0000"/>
      </bottom>
      <diagonal/>
    </border>
    <border>
      <left/>
      <right style="thin">
        <color indexed="64"/>
      </right>
      <top style="thin">
        <color indexed="64"/>
      </top>
      <bottom style="medium">
        <color indexed="64"/>
      </bottom>
      <diagonal/>
    </border>
    <border>
      <left/>
      <right style="mediumDashed">
        <color indexed="10"/>
      </right>
      <top/>
      <bottom style="thin">
        <color indexed="64"/>
      </bottom>
      <diagonal/>
    </border>
    <border>
      <left/>
      <right style="medium">
        <color indexed="64"/>
      </right>
      <top/>
      <bottom style="thin">
        <color indexed="64"/>
      </bottom>
      <diagonal/>
    </border>
    <border>
      <left style="thin">
        <color indexed="64"/>
      </left>
      <right style="mediumDashed">
        <color rgb="FFFF0000"/>
      </right>
      <top style="thin">
        <color indexed="64"/>
      </top>
      <bottom style="thin">
        <color indexed="64"/>
      </bottom>
      <diagonal/>
    </border>
  </borders>
  <cellStyleXfs count="5">
    <xf numFmtId="0" fontId="0" fillId="0" borderId="0"/>
    <xf numFmtId="0" fontId="1" fillId="0" borderId="0" applyNumberFormat="0" applyFill="0" applyBorder="0">
      <alignment vertical="center"/>
    </xf>
    <xf numFmtId="0" fontId="4" fillId="4" borderId="0" applyNumberFormat="0" applyBorder="0" applyAlignment="0" applyProtection="0"/>
    <xf numFmtId="0" fontId="1" fillId="0" borderId="0" applyNumberFormat="0" applyFill="0" applyBorder="0">
      <alignment vertical="center"/>
    </xf>
    <xf numFmtId="0" fontId="17" fillId="0" borderId="0" applyNumberFormat="0" applyFill="0" applyBorder="0" applyAlignment="0" applyProtection="0">
      <alignment vertical="top"/>
      <protection locked="0"/>
    </xf>
  </cellStyleXfs>
  <cellXfs count="293">
    <xf numFmtId="0" fontId="0" fillId="0" borderId="0" xfId="0"/>
    <xf numFmtId="0" fontId="2" fillId="2" borderId="0" xfId="0" applyFont="1" applyFill="1" applyBorder="1" applyAlignment="1">
      <alignment horizontal="left" vertical="center" indent="3"/>
    </xf>
    <xf numFmtId="0" fontId="2" fillId="2" borderId="0" xfId="0" applyFont="1" applyFill="1" applyBorder="1" applyAlignment="1">
      <alignment horizontal="left" vertical="center" wrapText="1" indent="3"/>
    </xf>
    <xf numFmtId="0" fontId="2" fillId="3" borderId="1" xfId="0" applyFont="1" applyFill="1" applyBorder="1" applyAlignment="1">
      <alignment horizontal="left" vertical="center" indent="3"/>
    </xf>
    <xf numFmtId="0" fontId="3" fillId="2" borderId="0" xfId="0" applyFont="1" applyFill="1" applyBorder="1" applyAlignment="1">
      <alignment horizontal="left" vertical="center" indent="3"/>
    </xf>
    <xf numFmtId="0" fontId="3" fillId="2" borderId="0" xfId="0" applyFont="1" applyFill="1" applyBorder="1" applyAlignment="1">
      <alignment horizontal="left" vertical="center" wrapText="1" indent="3"/>
    </xf>
    <xf numFmtId="0" fontId="2" fillId="2" borderId="8" xfId="0" applyFont="1" applyFill="1" applyBorder="1" applyAlignment="1">
      <alignment horizontal="left" vertical="center" indent="3"/>
    </xf>
    <xf numFmtId="0" fontId="5" fillId="0" borderId="0" xfId="0" applyNumberFormat="1" applyFont="1" applyBorder="1" applyAlignment="1">
      <alignment horizontal="center" vertical="center"/>
    </xf>
    <xf numFmtId="0" fontId="5" fillId="5" borderId="10" xfId="2" applyNumberFormat="1" applyFont="1" applyFill="1" applyBorder="1" applyAlignment="1">
      <alignment horizontal="center" vertical="center" wrapText="1"/>
    </xf>
    <xf numFmtId="0" fontId="5" fillId="5" borderId="12" xfId="2" applyNumberFormat="1" applyFont="1" applyFill="1" applyBorder="1" applyAlignment="1">
      <alignment horizontal="center" vertical="center" wrapText="1"/>
    </xf>
    <xf numFmtId="0" fontId="6" fillId="5" borderId="12" xfId="2" applyNumberFormat="1" applyFont="1" applyFill="1" applyBorder="1" applyAlignment="1">
      <alignment horizontal="center" vertical="center" wrapText="1"/>
    </xf>
    <xf numFmtId="0" fontId="7" fillId="5" borderId="12" xfId="2" applyNumberFormat="1" applyFont="1" applyFill="1" applyBorder="1" applyAlignment="1">
      <alignment horizontal="center" vertical="center" wrapText="1"/>
    </xf>
    <xf numFmtId="0" fontId="8" fillId="6" borderId="13" xfId="2" applyNumberFormat="1" applyFont="1" applyFill="1" applyBorder="1" applyAlignment="1">
      <alignment horizontal="center" vertical="center" wrapText="1"/>
    </xf>
    <xf numFmtId="0" fontId="6" fillId="5" borderId="11" xfId="2" applyNumberFormat="1" applyFont="1" applyFill="1" applyBorder="1" applyAlignment="1">
      <alignment horizontal="center" vertical="center" wrapText="1"/>
    </xf>
    <xf numFmtId="0" fontId="2" fillId="0" borderId="0" xfId="0" applyFont="1" applyAlignment="1">
      <alignment horizontal="center" vertical="center" wrapText="1"/>
    </xf>
    <xf numFmtId="0" fontId="2" fillId="7" borderId="5" xfId="3" applyFont="1" applyFill="1" applyBorder="1">
      <alignment vertical="center"/>
    </xf>
    <xf numFmtId="0" fontId="3" fillId="7" borderId="0" xfId="3" applyFont="1" applyFill="1" applyBorder="1" applyAlignment="1">
      <alignment vertical="center"/>
    </xf>
    <xf numFmtId="0" fontId="2" fillId="7" borderId="0" xfId="3" applyFont="1" applyFill="1" applyBorder="1">
      <alignment vertical="center"/>
    </xf>
    <xf numFmtId="0" fontId="2" fillId="7" borderId="3" xfId="3" applyFont="1" applyFill="1" applyBorder="1" applyAlignment="1">
      <alignment horizontal="center" vertical="center" wrapText="1"/>
    </xf>
    <xf numFmtId="0" fontId="0" fillId="2" borderId="0" xfId="0" applyFill="1"/>
    <xf numFmtId="0" fontId="2" fillId="7" borderId="4" xfId="3" applyFont="1" applyFill="1" applyBorder="1" applyAlignment="1">
      <alignment vertical="center" wrapText="1"/>
    </xf>
    <xf numFmtId="0" fontId="2" fillId="0" borderId="0" xfId="0" applyFont="1" applyAlignment="1"/>
    <xf numFmtId="0" fontId="2" fillId="2" borderId="5" xfId="0" applyFont="1" applyFill="1" applyBorder="1" applyAlignment="1">
      <alignment horizontal="left" vertical="center"/>
    </xf>
    <xf numFmtId="0" fontId="2" fillId="2" borderId="0" xfId="0" applyFont="1" applyFill="1" applyBorder="1" applyAlignment="1">
      <alignment horizontal="left" vertical="center"/>
    </xf>
    <xf numFmtId="0" fontId="2" fillId="2" borderId="0" xfId="2" applyNumberFormat="1" applyFont="1" applyFill="1" applyBorder="1" applyAlignment="1">
      <alignment horizontal="left" vertical="center"/>
    </xf>
    <xf numFmtId="0" fontId="10" fillId="2" borderId="0" xfId="0" applyFont="1" applyFill="1" applyBorder="1" applyAlignment="1">
      <alignment horizontal="left" vertical="center"/>
    </xf>
    <xf numFmtId="3" fontId="2" fillId="3" borderId="11" xfId="0" applyNumberFormat="1" applyFont="1" applyFill="1" applyBorder="1" applyAlignment="1" applyProtection="1"/>
    <xf numFmtId="0" fontId="9" fillId="6" borderId="16" xfId="3" applyFont="1" applyFill="1" applyBorder="1" applyAlignment="1">
      <alignment horizontal="center" vertical="center" wrapText="1"/>
    </xf>
    <xf numFmtId="0" fontId="2" fillId="2" borderId="2" xfId="0" applyFont="1" applyFill="1" applyBorder="1" applyAlignment="1"/>
    <xf numFmtId="0" fontId="2" fillId="2" borderId="3" xfId="0" applyFont="1" applyFill="1" applyBorder="1" applyAlignment="1"/>
    <xf numFmtId="0" fontId="10" fillId="2" borderId="3" xfId="0" applyFont="1" applyFill="1" applyBorder="1" applyAlignment="1"/>
    <xf numFmtId="0" fontId="2" fillId="7" borderId="3" xfId="3" applyFont="1" applyFill="1" applyBorder="1" applyAlignment="1">
      <alignment vertical="center"/>
    </xf>
    <xf numFmtId="0" fontId="2" fillId="2" borderId="7" xfId="0" applyFont="1" applyFill="1" applyBorder="1" applyAlignment="1">
      <alignment horizontal="left" vertical="center"/>
    </xf>
    <xf numFmtId="0" fontId="2" fillId="2" borderId="8" xfId="0" applyFont="1" applyFill="1" applyBorder="1" applyAlignment="1">
      <alignment horizontal="left" vertical="center"/>
    </xf>
    <xf numFmtId="0" fontId="2" fillId="7" borderId="12" xfId="3" applyFont="1" applyFill="1" applyBorder="1" applyAlignment="1">
      <alignment vertical="center"/>
    </xf>
    <xf numFmtId="0" fontId="11" fillId="8" borderId="17" xfId="0" applyFont="1" applyFill="1" applyBorder="1" applyAlignment="1">
      <alignment horizontal="center" vertical="center" wrapText="1"/>
    </xf>
    <xf numFmtId="0" fontId="16" fillId="8" borderId="17" xfId="0" applyFont="1" applyFill="1" applyBorder="1" applyAlignment="1">
      <alignment horizontal="center" vertical="center" wrapText="1"/>
    </xf>
    <xf numFmtId="0" fontId="3" fillId="7" borderId="18" xfId="3" applyFont="1" applyFill="1" applyBorder="1" applyAlignment="1">
      <alignment vertical="center" wrapText="1"/>
    </xf>
    <xf numFmtId="0" fontId="3" fillId="2" borderId="19" xfId="0" applyFont="1" applyFill="1" applyBorder="1" applyAlignment="1">
      <alignment horizontal="left" vertical="center"/>
    </xf>
    <xf numFmtId="0" fontId="2" fillId="2" borderId="20" xfId="0" applyFont="1" applyFill="1" applyBorder="1" applyAlignment="1">
      <alignment horizontal="left" vertical="center"/>
    </xf>
    <xf numFmtId="0" fontId="2" fillId="7" borderId="16" xfId="3" applyFont="1" applyFill="1" applyBorder="1" applyAlignment="1">
      <alignment vertical="center"/>
    </xf>
    <xf numFmtId="0" fontId="2" fillId="2" borderId="21" xfId="0" applyFont="1" applyFill="1" applyBorder="1" applyAlignment="1">
      <alignment horizontal="left" vertical="center"/>
    </xf>
    <xf numFmtId="0" fontId="2" fillId="2" borderId="15" xfId="0" applyFont="1" applyFill="1" applyBorder="1" applyAlignment="1">
      <alignment horizontal="left" vertical="center"/>
    </xf>
    <xf numFmtId="3" fontId="2" fillId="3" borderId="14" xfId="0" applyNumberFormat="1" applyFont="1" applyFill="1" applyBorder="1" applyAlignment="1" applyProtection="1">
      <protection locked="0"/>
    </xf>
    <xf numFmtId="0" fontId="8" fillId="5" borderId="13" xfId="2" applyNumberFormat="1" applyFont="1" applyFill="1" applyBorder="1" applyAlignment="1">
      <alignment horizontal="center" vertical="center" wrapText="1"/>
    </xf>
    <xf numFmtId="0" fontId="18" fillId="0" borderId="0" xfId="0" applyFont="1"/>
    <xf numFmtId="0" fontId="6" fillId="12" borderId="22" xfId="2" applyNumberFormat="1" applyFont="1" applyFill="1" applyBorder="1" applyAlignment="1">
      <alignment vertical="center" wrapText="1"/>
    </xf>
    <xf numFmtId="0" fontId="6" fillId="12" borderId="23" xfId="2" applyNumberFormat="1" applyFont="1" applyFill="1" applyBorder="1" applyAlignment="1">
      <alignment vertical="center" wrapText="1"/>
    </xf>
    <xf numFmtId="0" fontId="18" fillId="0" borderId="0" xfId="0" applyNumberFormat="1" applyFont="1" applyBorder="1" applyAlignment="1">
      <alignment horizontal="center" vertical="center"/>
    </xf>
    <xf numFmtId="0" fontId="19" fillId="12" borderId="26" xfId="2" applyNumberFormat="1" applyFont="1" applyFill="1" applyBorder="1" applyAlignment="1">
      <alignment horizontal="center" vertical="center" wrapText="1"/>
    </xf>
    <xf numFmtId="0" fontId="19" fillId="12" borderId="12" xfId="2" applyNumberFormat="1" applyFont="1" applyFill="1" applyBorder="1" applyAlignment="1">
      <alignment horizontal="center" vertical="center" wrapText="1"/>
    </xf>
    <xf numFmtId="0" fontId="6" fillId="12" borderId="12" xfId="2" applyNumberFormat="1" applyFont="1" applyFill="1" applyBorder="1" applyAlignment="1">
      <alignment horizontal="center" vertical="center" wrapText="1"/>
    </xf>
    <xf numFmtId="0" fontId="6" fillId="12" borderId="1" xfId="2" applyNumberFormat="1" applyFont="1" applyFill="1" applyBorder="1" applyAlignment="1">
      <alignment horizontal="center" vertical="center" wrapText="1"/>
    </xf>
    <xf numFmtId="0" fontId="6" fillId="12" borderId="27" xfId="2" applyNumberFormat="1" applyFont="1" applyFill="1" applyBorder="1" applyAlignment="1">
      <alignment horizontal="center" vertical="center" wrapText="1"/>
    </xf>
    <xf numFmtId="0" fontId="20" fillId="0" borderId="28" xfId="0" applyFont="1" applyBorder="1" applyAlignment="1">
      <alignment wrapText="1"/>
    </xf>
    <xf numFmtId="0" fontId="21" fillId="13" borderId="28" xfId="3" applyFont="1" applyFill="1" applyBorder="1">
      <alignment vertical="center"/>
    </xf>
    <xf numFmtId="0" fontId="22" fillId="13" borderId="0" xfId="3" applyFont="1" applyFill="1" applyBorder="1" applyAlignment="1">
      <alignment vertical="center"/>
    </xf>
    <xf numFmtId="0" fontId="21" fillId="13" borderId="0" xfId="3" applyFont="1" applyFill="1" applyBorder="1" applyAlignment="1">
      <alignment vertical="center" wrapText="1"/>
    </xf>
    <xf numFmtId="0" fontId="21" fillId="13" borderId="3" xfId="3" applyFont="1" applyFill="1" applyBorder="1" applyAlignment="1">
      <alignment vertical="center" wrapText="1"/>
    </xf>
    <xf numFmtId="0" fontId="0" fillId="13" borderId="0" xfId="0" applyFill="1" applyBorder="1"/>
    <xf numFmtId="0" fontId="21" fillId="2" borderId="28" xfId="3" applyFont="1" applyFill="1" applyBorder="1">
      <alignment vertical="center"/>
    </xf>
    <xf numFmtId="0" fontId="22" fillId="2" borderId="0" xfId="3" applyFont="1" applyFill="1" applyBorder="1" applyAlignment="1">
      <alignment vertical="center"/>
    </xf>
    <xf numFmtId="0" fontId="21" fillId="2" borderId="0" xfId="3" applyFont="1" applyFill="1" applyBorder="1">
      <alignment vertical="center"/>
    </xf>
    <xf numFmtId="0" fontId="22" fillId="2" borderId="0" xfId="3" applyFont="1" applyFill="1" applyBorder="1">
      <alignment vertical="center"/>
    </xf>
    <xf numFmtId="0" fontId="21" fillId="2" borderId="29" xfId="3" applyFont="1" applyFill="1" applyBorder="1">
      <alignment vertical="center"/>
    </xf>
    <xf numFmtId="0" fontId="2" fillId="2" borderId="28" xfId="3" applyFont="1" applyFill="1" applyBorder="1">
      <alignment vertical="center"/>
    </xf>
    <xf numFmtId="0" fontId="2" fillId="2" borderId="0" xfId="3" applyFont="1" applyFill="1" applyBorder="1" applyAlignment="1">
      <alignment vertical="center"/>
    </xf>
    <xf numFmtId="0" fontId="2" fillId="2" borderId="0" xfId="3" applyFont="1" applyFill="1" applyBorder="1" applyAlignment="1">
      <alignment horizontal="left" vertical="center" wrapText="1" indent="3"/>
    </xf>
    <xf numFmtId="3" fontId="21" fillId="14" borderId="1" xfId="3" applyNumberFormat="1" applyFont="1" applyFill="1" applyBorder="1" applyAlignment="1" applyProtection="1">
      <alignment vertical="center"/>
      <protection locked="0"/>
    </xf>
    <xf numFmtId="0" fontId="2" fillId="2" borderId="30" xfId="3" applyFont="1" applyFill="1" applyBorder="1" applyAlignment="1">
      <alignment horizontal="left" vertical="center" wrapText="1" indent="1"/>
    </xf>
    <xf numFmtId="0" fontId="2" fillId="2" borderId="8" xfId="3" applyFont="1" applyFill="1" applyBorder="1" applyAlignment="1">
      <alignment horizontal="left" vertical="center" wrapText="1" indent="1"/>
    </xf>
    <xf numFmtId="0" fontId="2" fillId="2" borderId="0" xfId="3" applyFont="1" applyFill="1" applyBorder="1" applyAlignment="1">
      <alignment horizontal="left" vertical="center" wrapText="1" indent="1"/>
    </xf>
    <xf numFmtId="0" fontId="2" fillId="2" borderId="29" xfId="3" applyFont="1" applyFill="1" applyBorder="1" applyAlignment="1">
      <alignment horizontal="left" vertical="center" wrapText="1" indent="1"/>
    </xf>
    <xf numFmtId="0" fontId="0" fillId="0" borderId="0" xfId="0" applyAlignment="1">
      <alignment wrapText="1"/>
    </xf>
    <xf numFmtId="0" fontId="6" fillId="12" borderId="30" xfId="2" applyNumberFormat="1" applyFont="1" applyFill="1" applyBorder="1" applyAlignment="1">
      <alignment vertical="center" wrapText="1"/>
    </xf>
    <xf numFmtId="0" fontId="6" fillId="12" borderId="8" xfId="2" applyNumberFormat="1" applyFont="1" applyFill="1" applyBorder="1" applyAlignment="1">
      <alignment vertical="center" wrapText="1"/>
    </xf>
    <xf numFmtId="0" fontId="2" fillId="2" borderId="31" xfId="3" applyFont="1" applyFill="1" applyBorder="1">
      <alignment vertical="center"/>
    </xf>
    <xf numFmtId="0" fontId="2" fillId="2" borderId="32" xfId="3" applyFont="1" applyFill="1" applyBorder="1" applyAlignment="1">
      <alignment vertical="center"/>
    </xf>
    <xf numFmtId="0" fontId="2" fillId="2" borderId="32" xfId="3" applyFont="1" applyFill="1" applyBorder="1" applyAlignment="1">
      <alignment horizontal="left" vertical="center" wrapText="1" indent="1"/>
    </xf>
    <xf numFmtId="0" fontId="2" fillId="2" borderId="33" xfId="3" applyFont="1" applyFill="1" applyBorder="1" applyAlignment="1">
      <alignment vertical="center"/>
    </xf>
    <xf numFmtId="3" fontId="2" fillId="2" borderId="2" xfId="1" applyNumberFormat="1" applyFont="1" applyFill="1" applyBorder="1">
      <alignment vertical="center"/>
    </xf>
    <xf numFmtId="3" fontId="2" fillId="2" borderId="3" xfId="1" applyNumberFormat="1" applyFont="1" applyFill="1" applyBorder="1">
      <alignment vertical="center"/>
    </xf>
    <xf numFmtId="3" fontId="2" fillId="2" borderId="4" xfId="1" applyNumberFormat="1" applyFont="1" applyFill="1" applyBorder="1">
      <alignment vertical="center"/>
    </xf>
    <xf numFmtId="3" fontId="2" fillId="2" borderId="5" xfId="1" applyNumberFormat="1" applyFont="1" applyFill="1" applyBorder="1">
      <alignment vertical="center"/>
    </xf>
    <xf numFmtId="3" fontId="2" fillId="2" borderId="0" xfId="1" applyNumberFormat="1" applyFont="1" applyFill="1" applyBorder="1">
      <alignment vertical="center"/>
    </xf>
    <xf numFmtId="3" fontId="2" fillId="2" borderId="6" xfId="1" applyNumberFormat="1" applyFont="1" applyFill="1" applyBorder="1">
      <alignment vertical="center"/>
    </xf>
    <xf numFmtId="3" fontId="2" fillId="2" borderId="7" xfId="1" applyNumberFormat="1" applyFont="1" applyFill="1" applyBorder="1">
      <alignment vertical="center"/>
    </xf>
    <xf numFmtId="3" fontId="2" fillId="2" borderId="8" xfId="1" applyNumberFormat="1" applyFont="1" applyFill="1" applyBorder="1">
      <alignment vertical="center"/>
    </xf>
    <xf numFmtId="3" fontId="2" fillId="2" borderId="9" xfId="1" applyNumberFormat="1" applyFont="1" applyFill="1" applyBorder="1">
      <alignment vertical="center"/>
    </xf>
    <xf numFmtId="3" fontId="17" fillId="9" borderId="0" xfId="4" applyNumberFormat="1" applyFill="1" applyBorder="1" applyAlignment="1" applyProtection="1">
      <alignment vertical="center"/>
    </xf>
    <xf numFmtId="0" fontId="3" fillId="2" borderId="0" xfId="3" applyFont="1" applyFill="1" applyBorder="1" applyAlignment="1">
      <alignment horizontal="left" vertical="center" wrapText="1" indent="3"/>
    </xf>
    <xf numFmtId="0" fontId="17" fillId="15" borderId="0" xfId="4" applyFill="1" applyAlignment="1" applyProtection="1"/>
    <xf numFmtId="3" fontId="17" fillId="10" borderId="0" xfId="4" applyNumberFormat="1" applyFill="1" applyBorder="1" applyAlignment="1" applyProtection="1">
      <alignment horizontal="left" vertical="center" wrapText="1"/>
    </xf>
    <xf numFmtId="0" fontId="7" fillId="5" borderId="12" xfId="2" applyNumberFormat="1" applyFont="1" applyFill="1" applyBorder="1" applyAlignment="1">
      <alignment horizontal="left" vertical="center" wrapText="1"/>
    </xf>
    <xf numFmtId="3" fontId="17" fillId="11" borderId="0" xfId="4" applyNumberFormat="1" applyFill="1" applyBorder="1" applyAlignment="1" applyProtection="1">
      <alignment vertical="center"/>
    </xf>
    <xf numFmtId="3" fontId="2" fillId="16" borderId="0" xfId="1" applyNumberFormat="1" applyFont="1" applyFill="1" applyBorder="1">
      <alignment vertical="center"/>
    </xf>
    <xf numFmtId="3" fontId="2" fillId="2" borderId="0" xfId="1" applyNumberFormat="1" applyFont="1" applyFill="1" applyBorder="1" applyAlignment="1">
      <alignment horizontal="left" vertical="center" wrapText="1"/>
    </xf>
    <xf numFmtId="0" fontId="23" fillId="0" borderId="0" xfId="0" applyNumberFormat="1" applyFont="1" applyBorder="1" applyAlignment="1">
      <alignment horizontal="center" vertical="center"/>
    </xf>
    <xf numFmtId="0" fontId="2" fillId="2" borderId="11" xfId="3" applyFont="1" applyFill="1" applyBorder="1" applyAlignment="1">
      <alignment vertical="center"/>
    </xf>
    <xf numFmtId="0" fontId="2" fillId="7" borderId="4" xfId="3" applyFont="1" applyFill="1" applyBorder="1" applyAlignment="1">
      <alignment vertical="center"/>
    </xf>
    <xf numFmtId="0" fontId="2" fillId="2" borderId="9" xfId="0" applyFont="1" applyFill="1" applyBorder="1" applyAlignment="1">
      <alignment horizontal="left" vertical="center"/>
    </xf>
    <xf numFmtId="0" fontId="2" fillId="7" borderId="11" xfId="3" applyFont="1" applyFill="1" applyBorder="1" applyAlignment="1">
      <alignment vertical="center"/>
    </xf>
    <xf numFmtId="0" fontId="2" fillId="2" borderId="8" xfId="2" applyNumberFormat="1" applyFont="1" applyFill="1" applyBorder="1" applyAlignment="1">
      <alignment horizontal="left" vertical="center"/>
    </xf>
    <xf numFmtId="0" fontId="2" fillId="2" borderId="7" xfId="2" applyNumberFormat="1" applyFont="1" applyFill="1" applyBorder="1" applyAlignment="1">
      <alignment horizontal="left" vertical="center"/>
    </xf>
    <xf numFmtId="0" fontId="2" fillId="2" borderId="6" xfId="3" applyFont="1" applyFill="1" applyBorder="1" applyAlignment="1">
      <alignment vertical="center"/>
    </xf>
    <xf numFmtId="0" fontId="2" fillId="2" borderId="0" xfId="3" applyFont="1" applyFill="1" applyBorder="1" applyAlignment="1">
      <alignment horizontal="left" vertical="center" wrapText="1"/>
    </xf>
    <xf numFmtId="0" fontId="3" fillId="2" borderId="0" xfId="3" applyFont="1" applyFill="1" applyBorder="1" applyAlignment="1">
      <alignment horizontal="left" vertical="center" wrapText="1"/>
    </xf>
    <xf numFmtId="0" fontId="24" fillId="5" borderId="13" xfId="2" applyNumberFormat="1" applyFont="1" applyFill="1" applyBorder="1" applyAlignment="1">
      <alignment horizontal="center" vertical="center" wrapText="1"/>
    </xf>
    <xf numFmtId="3" fontId="2" fillId="18" borderId="11" xfId="0" applyNumberFormat="1" applyFont="1" applyFill="1" applyBorder="1" applyAlignment="1" applyProtection="1"/>
    <xf numFmtId="0" fontId="2" fillId="6" borderId="34" xfId="2" applyNumberFormat="1" applyFont="1" applyFill="1" applyBorder="1" applyAlignment="1">
      <alignment horizontal="center" vertical="center" wrapText="1"/>
    </xf>
    <xf numFmtId="0" fontId="2" fillId="6" borderId="12" xfId="2" applyNumberFormat="1" applyFont="1" applyFill="1" applyBorder="1" applyAlignment="1">
      <alignment horizontal="center" vertical="center" wrapText="1"/>
    </xf>
    <xf numFmtId="0" fontId="25" fillId="5" borderId="1" xfId="2" applyNumberFormat="1" applyFont="1" applyFill="1" applyBorder="1" applyAlignment="1">
      <alignment horizontal="center" vertical="center" wrapText="1"/>
    </xf>
    <xf numFmtId="0" fontId="25" fillId="5" borderId="11" xfId="2" applyNumberFormat="1" applyFont="1" applyFill="1" applyBorder="1" applyAlignment="1">
      <alignment horizontal="center" vertical="center" wrapText="1"/>
    </xf>
    <xf numFmtId="0" fontId="20" fillId="0" borderId="38" xfId="0" applyFont="1" applyBorder="1" applyAlignment="1">
      <alignment wrapText="1"/>
    </xf>
    <xf numFmtId="0" fontId="21" fillId="2" borderId="2" xfId="3" applyFont="1" applyFill="1" applyBorder="1">
      <alignment vertical="center"/>
    </xf>
    <xf numFmtId="0" fontId="22" fillId="2" borderId="3" xfId="3" applyFont="1" applyFill="1" applyBorder="1" applyAlignment="1">
      <alignment vertical="center"/>
    </xf>
    <xf numFmtId="0" fontId="21" fillId="2" borderId="0" xfId="3" applyFont="1" applyFill="1" applyBorder="1" applyAlignment="1">
      <alignment vertical="center" wrapText="1"/>
    </xf>
    <xf numFmtId="0" fontId="0" fillId="2" borderId="0" xfId="0" applyFill="1" applyBorder="1"/>
    <xf numFmtId="0" fontId="0" fillId="0" borderId="38" xfId="0" applyBorder="1"/>
    <xf numFmtId="0" fontId="21" fillId="2" borderId="5" xfId="3" applyFont="1" applyFill="1" applyBorder="1">
      <alignment vertical="center"/>
    </xf>
    <xf numFmtId="0" fontId="2" fillId="2" borderId="5" xfId="3" applyFont="1" applyFill="1" applyBorder="1">
      <alignment vertical="center"/>
    </xf>
    <xf numFmtId="0" fontId="2" fillId="2" borderId="7" xfId="3" applyFont="1" applyFill="1" applyBorder="1" applyAlignment="1">
      <alignment horizontal="left" vertical="center" wrapText="1" indent="1"/>
    </xf>
    <xf numFmtId="0" fontId="25" fillId="5" borderId="8" xfId="2" applyNumberFormat="1" applyFont="1" applyFill="1" applyBorder="1" applyAlignment="1">
      <alignment horizontal="center" vertical="center" wrapText="1"/>
    </xf>
    <xf numFmtId="0" fontId="25" fillId="5" borderId="0" xfId="2" applyNumberFormat="1" applyFont="1" applyFill="1" applyBorder="1" applyAlignment="1">
      <alignment horizontal="center" vertical="center" wrapText="1"/>
    </xf>
    <xf numFmtId="0" fontId="21" fillId="2" borderId="3" xfId="3" applyFont="1" applyFill="1" applyBorder="1">
      <alignment vertical="center"/>
    </xf>
    <xf numFmtId="0" fontId="0" fillId="0" borderId="41" xfId="0" applyBorder="1"/>
    <xf numFmtId="0" fontId="19" fillId="0" borderId="46" xfId="0" applyFont="1" applyBorder="1" applyAlignment="1"/>
    <xf numFmtId="0" fontId="2" fillId="6" borderId="47" xfId="2" applyNumberFormat="1" applyFont="1" applyFill="1" applyBorder="1" applyAlignment="1">
      <alignment horizontal="center" vertical="center" wrapText="1"/>
    </xf>
    <xf numFmtId="0" fontId="19" fillId="0" borderId="49" xfId="0" applyNumberFormat="1" applyFont="1" applyBorder="1" applyAlignment="1">
      <alignment horizontal="center" vertical="center"/>
    </xf>
    <xf numFmtId="0" fontId="2" fillId="6" borderId="30" xfId="2" applyNumberFormat="1" applyFont="1" applyFill="1" applyBorder="1" applyAlignment="1">
      <alignment horizontal="center" vertical="center" wrapText="1"/>
    </xf>
    <xf numFmtId="0" fontId="2" fillId="6" borderId="8" xfId="2" applyNumberFormat="1" applyFont="1" applyFill="1" applyBorder="1" applyAlignment="1">
      <alignment horizontal="center" vertical="center" wrapText="1"/>
    </xf>
    <xf numFmtId="0" fontId="2" fillId="6" borderId="9" xfId="2" applyNumberFormat="1" applyFont="1" applyFill="1" applyBorder="1" applyAlignment="1">
      <alignment horizontal="center" vertical="center" wrapText="1"/>
    </xf>
    <xf numFmtId="0" fontId="25" fillId="5" borderId="40" xfId="2" applyNumberFormat="1" applyFont="1" applyFill="1" applyBorder="1" applyAlignment="1">
      <alignment horizontal="center" vertical="center" wrapText="1"/>
    </xf>
    <xf numFmtId="0" fontId="3" fillId="2" borderId="0" xfId="3" applyFont="1" applyFill="1" applyBorder="1" applyAlignment="1">
      <alignment vertical="center"/>
    </xf>
    <xf numFmtId="0" fontId="2" fillId="2" borderId="0" xfId="3" applyFont="1" applyFill="1" applyBorder="1" applyAlignment="1">
      <alignment vertical="center" wrapText="1"/>
    </xf>
    <xf numFmtId="0" fontId="0" fillId="2" borderId="3" xfId="0" applyFill="1" applyBorder="1"/>
    <xf numFmtId="0" fontId="2" fillId="0" borderId="38" xfId="0" applyFont="1" applyBorder="1" applyAlignment="1"/>
    <xf numFmtId="0" fontId="2" fillId="2" borderId="28" xfId="0" applyFont="1" applyFill="1" applyBorder="1" applyAlignment="1"/>
    <xf numFmtId="0" fontId="2" fillId="2" borderId="0" xfId="0" applyFont="1" applyFill="1" applyBorder="1" applyAlignment="1"/>
    <xf numFmtId="0" fontId="27" fillId="2" borderId="0" xfId="0" applyFont="1" applyFill="1" applyBorder="1" applyAlignment="1"/>
    <xf numFmtId="0" fontId="3" fillId="2" borderId="0" xfId="3" applyFont="1" applyFill="1" applyBorder="1" applyAlignment="1">
      <alignment vertical="center" wrapText="1"/>
    </xf>
    <xf numFmtId="0" fontId="2" fillId="2" borderId="39" xfId="0" applyFont="1" applyFill="1" applyBorder="1" applyAlignment="1"/>
    <xf numFmtId="0" fontId="0" fillId="0" borderId="49" xfId="0" applyBorder="1"/>
    <xf numFmtId="0" fontId="25" fillId="5" borderId="30" xfId="2" applyNumberFormat="1" applyFont="1" applyFill="1" applyBorder="1" applyAlignment="1">
      <alignment horizontal="center" vertical="center" wrapText="1"/>
    </xf>
    <xf numFmtId="0" fontId="25" fillId="5" borderId="9" xfId="2" applyNumberFormat="1" applyFont="1" applyFill="1" applyBorder="1" applyAlignment="1">
      <alignment horizontal="center" vertical="center" wrapText="1"/>
    </xf>
    <xf numFmtId="0" fontId="2" fillId="2" borderId="0" xfId="3" applyFont="1" applyFill="1" applyBorder="1">
      <alignment vertical="center"/>
    </xf>
    <xf numFmtId="0" fontId="2" fillId="0" borderId="41" xfId="0" applyFont="1" applyBorder="1" applyAlignment="1"/>
    <xf numFmtId="0" fontId="2" fillId="2" borderId="50" xfId="0" applyFont="1" applyFill="1" applyBorder="1" applyAlignment="1"/>
    <xf numFmtId="0" fontId="2" fillId="2" borderId="43" xfId="0" applyFont="1" applyFill="1" applyBorder="1" applyAlignment="1"/>
    <xf numFmtId="0" fontId="2" fillId="2" borderId="44" xfId="0" applyFont="1" applyFill="1" applyBorder="1" applyAlignment="1"/>
    <xf numFmtId="3" fontId="3" fillId="18" borderId="1" xfId="0" applyNumberFormat="1" applyFont="1" applyFill="1" applyBorder="1" applyAlignment="1" applyProtection="1">
      <protection locked="0"/>
    </xf>
    <xf numFmtId="3" fontId="3" fillId="18" borderId="27" xfId="0" applyNumberFormat="1" applyFont="1" applyFill="1" applyBorder="1" applyAlignment="1" applyProtection="1">
      <protection locked="0"/>
    </xf>
    <xf numFmtId="0" fontId="20" fillId="0" borderId="51" xfId="0" applyFont="1" applyBorder="1" applyAlignment="1">
      <alignment wrapText="1"/>
    </xf>
    <xf numFmtId="0" fontId="2" fillId="6" borderId="52" xfId="2" applyNumberFormat="1" applyFont="1" applyFill="1" applyBorder="1" applyAlignment="1">
      <alignment horizontal="center" vertical="center" wrapText="1"/>
    </xf>
    <xf numFmtId="0" fontId="2" fillId="6" borderId="53" xfId="2" applyNumberFormat="1" applyFont="1" applyFill="1" applyBorder="1" applyAlignment="1">
      <alignment horizontal="center" vertical="center" wrapText="1"/>
    </xf>
    <xf numFmtId="0" fontId="2" fillId="0" borderId="0" xfId="0" applyNumberFormat="1" applyFont="1" applyAlignment="1">
      <alignment horizontal="center" vertical="center"/>
    </xf>
    <xf numFmtId="0" fontId="0" fillId="0" borderId="38" xfId="0" applyBorder="1" applyAlignment="1">
      <alignment wrapText="1"/>
    </xf>
    <xf numFmtId="0" fontId="2" fillId="6" borderId="7" xfId="2" applyNumberFormat="1" applyFont="1" applyFill="1" applyBorder="1" applyAlignment="1">
      <alignment horizontal="center" vertical="center" wrapText="1"/>
    </xf>
    <xf numFmtId="0" fontId="2" fillId="6" borderId="54" xfId="2" applyNumberFormat="1" applyFont="1" applyFill="1" applyBorder="1" applyAlignment="1">
      <alignment horizontal="center" vertical="center" wrapText="1"/>
    </xf>
    <xf numFmtId="0" fontId="27" fillId="2" borderId="5" xfId="0" applyFont="1" applyFill="1" applyBorder="1" applyAlignment="1"/>
    <xf numFmtId="0" fontId="27" fillId="2" borderId="0" xfId="0" applyFont="1" applyFill="1" applyBorder="1" applyAlignment="1">
      <alignment wrapText="1"/>
    </xf>
    <xf numFmtId="0" fontId="2" fillId="2" borderId="0" xfId="0" applyFont="1" applyFill="1" applyBorder="1" applyAlignment="1">
      <alignment wrapText="1"/>
    </xf>
    <xf numFmtId="0" fontId="2" fillId="2" borderId="0" xfId="0" applyFont="1" applyFill="1" applyBorder="1" applyAlignment="1">
      <alignment vertical="center" wrapText="1"/>
    </xf>
    <xf numFmtId="0" fontId="2" fillId="2" borderId="29" xfId="0" applyFont="1" applyFill="1" applyBorder="1" applyAlignment="1">
      <alignment vertical="center" wrapText="1"/>
    </xf>
    <xf numFmtId="0" fontId="29" fillId="2" borderId="0" xfId="0" applyFont="1" applyFill="1" applyBorder="1" applyAlignment="1"/>
    <xf numFmtId="0" fontId="29" fillId="2" borderId="5" xfId="0" applyFont="1" applyFill="1" applyBorder="1" applyAlignment="1"/>
    <xf numFmtId="0" fontId="27" fillId="13" borderId="5" xfId="0" applyFont="1" applyFill="1" applyBorder="1" applyAlignment="1"/>
    <xf numFmtId="0" fontId="27" fillId="13" borderId="0" xfId="0" applyFont="1" applyFill="1" applyBorder="1" applyAlignment="1"/>
    <xf numFmtId="0" fontId="2" fillId="13" borderId="5" xfId="0" applyFont="1" applyFill="1" applyBorder="1" applyAlignment="1"/>
    <xf numFmtId="0" fontId="2" fillId="13" borderId="0" xfId="0" applyFont="1" applyFill="1" applyBorder="1" applyAlignment="1"/>
    <xf numFmtId="0" fontId="2" fillId="13" borderId="39" xfId="0" applyFont="1" applyFill="1" applyBorder="1" applyAlignment="1"/>
    <xf numFmtId="0" fontId="2" fillId="2" borderId="42" xfId="0" applyFont="1" applyFill="1" applyBorder="1" applyAlignment="1">
      <alignment vertical="top"/>
    </xf>
    <xf numFmtId="0" fontId="2" fillId="2" borderId="43" xfId="0" applyFont="1" applyFill="1" applyBorder="1" applyAlignment="1">
      <alignment vertical="top"/>
    </xf>
    <xf numFmtId="0" fontId="2" fillId="2" borderId="43" xfId="2" applyNumberFormat="1" applyFont="1" applyFill="1" applyBorder="1" applyAlignment="1">
      <alignment horizontal="center" vertical="top"/>
    </xf>
    <xf numFmtId="0" fontId="27" fillId="2" borderId="43" xfId="0" applyFont="1" applyFill="1" applyBorder="1" applyAlignment="1"/>
    <xf numFmtId="0" fontId="3" fillId="2" borderId="42" xfId="0" applyFont="1" applyFill="1" applyBorder="1" applyAlignment="1">
      <alignment horizontal="left" vertical="top"/>
    </xf>
    <xf numFmtId="0" fontId="2" fillId="2" borderId="19" xfId="3" applyFont="1" applyFill="1" applyBorder="1" applyAlignment="1">
      <alignment vertical="center"/>
    </xf>
    <xf numFmtId="0" fontId="3" fillId="2" borderId="55" xfId="0" applyFont="1" applyFill="1" applyBorder="1" applyAlignment="1">
      <alignment horizontal="left" vertical="top"/>
    </xf>
    <xf numFmtId="0" fontId="3" fillId="2" borderId="56" xfId="0" applyFont="1" applyFill="1" applyBorder="1" applyAlignment="1">
      <alignment horizontal="left" vertical="top"/>
    </xf>
    <xf numFmtId="0" fontId="21" fillId="2" borderId="0" xfId="0" applyFont="1" applyFill="1" applyBorder="1" applyAlignment="1"/>
    <xf numFmtId="0" fontId="30" fillId="19" borderId="17" xfId="0" applyFont="1" applyFill="1" applyBorder="1" applyAlignment="1">
      <alignment horizontal="center" vertical="center" wrapText="1"/>
    </xf>
    <xf numFmtId="0" fontId="25" fillId="5" borderId="12" xfId="2" applyNumberFormat="1" applyFont="1" applyFill="1" applyBorder="1" applyAlignment="1">
      <alignment horizontal="center" vertical="center" wrapText="1"/>
    </xf>
    <xf numFmtId="0" fontId="25" fillId="5" borderId="8" xfId="2" applyNumberFormat="1" applyFont="1" applyFill="1" applyBorder="1" applyAlignment="1">
      <alignment horizontal="center" vertical="center" wrapText="1"/>
    </xf>
    <xf numFmtId="3" fontId="2" fillId="18" borderId="14" xfId="0" applyNumberFormat="1" applyFont="1" applyFill="1" applyBorder="1" applyAlignment="1" applyProtection="1">
      <protection locked="0"/>
    </xf>
    <xf numFmtId="0" fontId="18" fillId="0" borderId="57" xfId="0" applyFont="1" applyBorder="1"/>
    <xf numFmtId="0" fontId="2" fillId="6" borderId="58" xfId="2" applyNumberFormat="1" applyFont="1" applyFill="1" applyBorder="1" applyAlignment="1">
      <alignment horizontal="center" vertical="center" wrapText="1"/>
    </xf>
    <xf numFmtId="0" fontId="18" fillId="0" borderId="61" xfId="0" applyNumberFormat="1" applyFont="1" applyBorder="1" applyAlignment="1">
      <alignment horizontal="center" vertical="center"/>
    </xf>
    <xf numFmtId="0" fontId="25" fillId="5" borderId="45" xfId="2" applyNumberFormat="1" applyFont="1" applyFill="1" applyBorder="1" applyAlignment="1">
      <alignment horizontal="center" vertical="center" wrapText="1"/>
    </xf>
    <xf numFmtId="0" fontId="20" fillId="0" borderId="62" xfId="0" applyFont="1" applyBorder="1" applyAlignment="1">
      <alignment wrapText="1"/>
    </xf>
    <xf numFmtId="0" fontId="21" fillId="2" borderId="19" xfId="3" applyFont="1" applyFill="1" applyBorder="1" applyAlignment="1">
      <alignment vertical="center" wrapText="1"/>
    </xf>
    <xf numFmtId="0" fontId="0" fillId="0" borderId="62" xfId="0" applyBorder="1"/>
    <xf numFmtId="0" fontId="21" fillId="2" borderId="19" xfId="3" applyFont="1" applyFill="1" applyBorder="1">
      <alignment vertical="center"/>
    </xf>
    <xf numFmtId="0" fontId="18" fillId="0" borderId="62" xfId="0" applyNumberFormat="1" applyFont="1" applyBorder="1" applyAlignment="1">
      <alignment horizontal="center" vertical="center"/>
    </xf>
    <xf numFmtId="0" fontId="2" fillId="2" borderId="19" xfId="3" applyFont="1" applyFill="1" applyBorder="1" applyAlignment="1">
      <alignment horizontal="left" vertical="center" wrapText="1" indent="1"/>
    </xf>
    <xf numFmtId="0" fontId="0" fillId="0" borderId="61" xfId="0" applyBorder="1"/>
    <xf numFmtId="0" fontId="0" fillId="0" borderId="63" xfId="0" applyBorder="1"/>
    <xf numFmtId="0" fontId="2" fillId="2" borderId="64" xfId="3" applyFont="1" applyFill="1" applyBorder="1">
      <alignment vertical="center"/>
    </xf>
    <xf numFmtId="0" fontId="2" fillId="2" borderId="65" xfId="3" applyFont="1" applyFill="1" applyBorder="1" applyAlignment="1">
      <alignment vertical="center"/>
    </xf>
    <xf numFmtId="0" fontId="2" fillId="2" borderId="65" xfId="3" applyFont="1" applyFill="1" applyBorder="1" applyAlignment="1">
      <alignment horizontal="left" vertical="center" wrapText="1" indent="1"/>
    </xf>
    <xf numFmtId="0" fontId="2" fillId="2" borderId="66" xfId="3" applyFont="1" applyFill="1" applyBorder="1" applyAlignment="1">
      <alignment vertical="center"/>
    </xf>
    <xf numFmtId="0" fontId="3" fillId="7" borderId="3" xfId="3" applyFont="1" applyFill="1" applyBorder="1" applyAlignment="1">
      <alignment vertical="center" wrapText="1"/>
    </xf>
    <xf numFmtId="0" fontId="3" fillId="2" borderId="0" xfId="0" applyFont="1" applyFill="1" applyBorder="1" applyAlignment="1">
      <alignment horizontal="left" vertical="center" wrapText="1"/>
    </xf>
    <xf numFmtId="0" fontId="2" fillId="2" borderId="6" xfId="0" applyFont="1" applyFill="1" applyBorder="1" applyAlignment="1">
      <alignment horizontal="left" vertical="center" wrapText="1"/>
    </xf>
    <xf numFmtId="0" fontId="2" fillId="2" borderId="6" xfId="0" applyNumberFormat="1" applyFont="1" applyFill="1" applyBorder="1" applyAlignment="1">
      <alignment horizontal="left" vertical="center" wrapText="1"/>
    </xf>
    <xf numFmtId="0" fontId="3" fillId="2" borderId="0" xfId="0" applyFont="1" applyFill="1" applyBorder="1" applyAlignment="1">
      <alignment horizontal="left" vertical="center"/>
    </xf>
    <xf numFmtId="0" fontId="2" fillId="2" borderId="6" xfId="0" applyFont="1" applyFill="1" applyBorder="1" applyAlignment="1">
      <alignment horizontal="left" vertical="center"/>
    </xf>
    <xf numFmtId="0" fontId="3" fillId="2" borderId="6" xfId="0" applyFont="1" applyFill="1" applyBorder="1" applyAlignment="1">
      <alignment horizontal="left" vertical="center"/>
    </xf>
    <xf numFmtId="3" fontId="2" fillId="3" borderId="1" xfId="0" applyNumberFormat="1" applyFont="1" applyFill="1" applyBorder="1" applyAlignment="1" applyProtection="1">
      <protection locked="0"/>
    </xf>
    <xf numFmtId="0" fontId="2" fillId="3" borderId="11" xfId="0" applyNumberFormat="1" applyFont="1" applyFill="1" applyBorder="1" applyAlignment="1" applyProtection="1"/>
    <xf numFmtId="0" fontId="2" fillId="3" borderId="14" xfId="0" applyNumberFormat="1" applyFont="1" applyFill="1" applyBorder="1" applyAlignment="1" applyProtection="1">
      <protection locked="0"/>
    </xf>
    <xf numFmtId="164" fontId="2" fillId="3" borderId="11" xfId="0" applyNumberFormat="1" applyFont="1" applyFill="1" applyBorder="1" applyAlignment="1" applyProtection="1"/>
    <xf numFmtId="164" fontId="2" fillId="3" borderId="14" xfId="0" applyNumberFormat="1" applyFont="1" applyFill="1" applyBorder="1" applyAlignment="1" applyProtection="1">
      <protection locked="0"/>
    </xf>
    <xf numFmtId="165" fontId="2" fillId="3" borderId="11" xfId="0" applyNumberFormat="1" applyFont="1" applyFill="1" applyBorder="1" applyAlignment="1" applyProtection="1"/>
    <xf numFmtId="165" fontId="2" fillId="3" borderId="14" xfId="0" applyNumberFormat="1" applyFont="1" applyFill="1" applyBorder="1" applyAlignment="1" applyProtection="1">
      <protection locked="0"/>
    </xf>
    <xf numFmtId="166" fontId="2" fillId="3" borderId="11" xfId="0" applyNumberFormat="1" applyFont="1" applyFill="1" applyBorder="1" applyAlignment="1" applyProtection="1"/>
    <xf numFmtId="166" fontId="2" fillId="3" borderId="14" xfId="0" applyNumberFormat="1" applyFont="1" applyFill="1" applyBorder="1" applyAlignment="1" applyProtection="1">
      <protection locked="0"/>
    </xf>
    <xf numFmtId="0" fontId="0" fillId="0" borderId="0" xfId="0" applyNumberFormat="1"/>
    <xf numFmtId="0" fontId="21" fillId="14" borderId="1" xfId="3" applyNumberFormat="1" applyFont="1" applyFill="1" applyBorder="1" applyAlignment="1" applyProtection="1">
      <alignment vertical="center"/>
      <protection locked="0"/>
    </xf>
    <xf numFmtId="0" fontId="2" fillId="2" borderId="5" xfId="3" applyFont="1" applyFill="1" applyBorder="1" applyAlignment="1">
      <alignment vertical="center"/>
    </xf>
    <xf numFmtId="3" fontId="22" fillId="14" borderId="1" xfId="3" applyNumberFormat="1" applyFont="1" applyFill="1" applyBorder="1" applyAlignment="1" applyProtection="1">
      <alignment vertical="center"/>
      <protection locked="0"/>
    </xf>
    <xf numFmtId="0" fontId="3" fillId="2" borderId="11" xfId="3" applyFont="1" applyFill="1" applyBorder="1" applyAlignment="1">
      <alignment vertical="center"/>
    </xf>
    <xf numFmtId="0" fontId="2" fillId="2" borderId="67" xfId="3" applyFont="1" applyFill="1" applyBorder="1" applyAlignment="1">
      <alignment vertical="center"/>
    </xf>
    <xf numFmtId="0" fontId="0" fillId="0" borderId="0" xfId="0" applyFill="1"/>
    <xf numFmtId="0" fontId="17" fillId="0" borderId="0" xfId="4" applyFill="1" applyAlignment="1" applyProtection="1"/>
    <xf numFmtId="0" fontId="0" fillId="0" borderId="0" xfId="0" applyFill="1" applyAlignment="1">
      <alignment wrapText="1"/>
    </xf>
    <xf numFmtId="0" fontId="19" fillId="0" borderId="49" xfId="0" applyFont="1" applyBorder="1" applyAlignment="1"/>
    <xf numFmtId="0" fontId="2" fillId="6" borderId="0" xfId="2" applyNumberFormat="1" applyFont="1" applyFill="1" applyBorder="1" applyAlignment="1">
      <alignment horizontal="center" vertical="center" wrapText="1"/>
    </xf>
    <xf numFmtId="0" fontId="2" fillId="2" borderId="18" xfId="0" applyFont="1" applyFill="1" applyBorder="1" applyAlignment="1">
      <alignment horizontal="left" wrapText="1"/>
    </xf>
    <xf numFmtId="0" fontId="6" fillId="12" borderId="7" xfId="2" applyNumberFormat="1" applyFont="1" applyFill="1" applyBorder="1" applyAlignment="1">
      <alignment horizontal="center" vertical="center" wrapText="1"/>
    </xf>
    <xf numFmtId="0" fontId="6" fillId="12" borderId="8" xfId="2" applyNumberFormat="1" applyFont="1" applyFill="1" applyBorder="1" applyAlignment="1">
      <alignment horizontal="center" vertical="center" wrapText="1"/>
    </xf>
    <xf numFmtId="0" fontId="6" fillId="12" borderId="69" xfId="2" applyNumberFormat="1" applyFont="1" applyFill="1" applyBorder="1" applyAlignment="1">
      <alignment horizontal="center" vertical="center" wrapText="1"/>
    </xf>
    <xf numFmtId="0" fontId="2" fillId="6" borderId="5" xfId="2" applyNumberFormat="1" applyFont="1" applyFill="1" applyBorder="1" applyAlignment="1">
      <alignment horizontal="center" vertical="center" wrapText="1"/>
    </xf>
    <xf numFmtId="0" fontId="2" fillId="6" borderId="6" xfId="2" applyNumberFormat="1" applyFont="1" applyFill="1" applyBorder="1" applyAlignment="1">
      <alignment horizontal="center" vertical="center" wrapText="1"/>
    </xf>
    <xf numFmtId="0" fontId="26" fillId="6" borderId="8" xfId="2" applyNumberFormat="1" applyFont="1" applyFill="1" applyBorder="1" applyAlignment="1">
      <alignment horizontal="center" vertical="center" wrapText="1"/>
    </xf>
    <xf numFmtId="0" fontId="26" fillId="6" borderId="8" xfId="2" applyNumberFormat="1" applyFont="1" applyFill="1" applyBorder="1" applyAlignment="1">
      <alignment horizontal="left" vertical="center" wrapText="1"/>
    </xf>
    <xf numFmtId="0" fontId="26" fillId="6" borderId="8" xfId="0" applyFont="1" applyFill="1" applyBorder="1" applyAlignment="1">
      <alignment horizontal="center" vertical="center" wrapText="1"/>
    </xf>
    <xf numFmtId="0" fontId="26" fillId="6" borderId="68" xfId="0" applyFont="1" applyFill="1" applyBorder="1" applyAlignment="1">
      <alignment horizontal="center" vertical="center" wrapText="1"/>
    </xf>
    <xf numFmtId="0" fontId="26" fillId="6" borderId="7" xfId="2" applyNumberFormat="1" applyFont="1" applyFill="1" applyBorder="1" applyAlignment="1">
      <alignment horizontal="left" vertical="center" wrapText="1"/>
    </xf>
    <xf numFmtId="0" fontId="26" fillId="6" borderId="68" xfId="2" applyNumberFormat="1" applyFont="1" applyFill="1" applyBorder="1" applyAlignment="1">
      <alignment horizontal="left" vertical="center" wrapText="1"/>
    </xf>
    <xf numFmtId="0" fontId="18" fillId="0" borderId="61" xfId="0" applyFont="1" applyBorder="1"/>
    <xf numFmtId="0" fontId="8" fillId="6" borderId="8" xfId="2" applyNumberFormat="1" applyFont="1" applyFill="1" applyBorder="1" applyAlignment="1">
      <alignment horizontal="center" vertical="center" wrapText="1"/>
    </xf>
    <xf numFmtId="0" fontId="8" fillId="6" borderId="20" xfId="2" applyNumberFormat="1" applyFont="1" applyFill="1" applyBorder="1" applyAlignment="1">
      <alignment horizontal="center" vertical="center" wrapText="1"/>
    </xf>
    <xf numFmtId="0" fontId="17" fillId="0" borderId="0" xfId="4" applyAlignment="1" applyProtection="1"/>
    <xf numFmtId="3" fontId="21" fillId="0" borderId="1" xfId="3" applyNumberFormat="1" applyFont="1" applyFill="1" applyBorder="1" applyAlignment="1" applyProtection="1">
      <alignment vertical="center"/>
      <protection locked="0"/>
    </xf>
    <xf numFmtId="0" fontId="2" fillId="0" borderId="0" xfId="0" applyFont="1" applyFill="1" applyAlignment="1"/>
    <xf numFmtId="3" fontId="2" fillId="0" borderId="14" xfId="0" applyNumberFormat="1" applyFont="1" applyFill="1" applyBorder="1" applyAlignment="1" applyProtection="1">
      <protection locked="0"/>
    </xf>
    <xf numFmtId="3" fontId="2" fillId="0" borderId="11" xfId="0" applyNumberFormat="1" applyFont="1" applyFill="1" applyBorder="1" applyAlignment="1" applyProtection="1"/>
    <xf numFmtId="3" fontId="3" fillId="18" borderId="11" xfId="0" applyNumberFormat="1" applyFont="1" applyFill="1" applyBorder="1" applyAlignment="1" applyProtection="1"/>
    <xf numFmtId="3" fontId="3" fillId="17" borderId="14" xfId="0" applyNumberFormat="1" applyFont="1" applyFill="1" applyBorder="1" applyAlignment="1" applyProtection="1">
      <protection locked="0"/>
    </xf>
    <xf numFmtId="3" fontId="3" fillId="18" borderId="14" xfId="0" applyNumberFormat="1" applyFont="1" applyFill="1" applyBorder="1" applyAlignment="1" applyProtection="1">
      <protection locked="0"/>
    </xf>
    <xf numFmtId="3" fontId="3" fillId="18" borderId="70" xfId="0" applyNumberFormat="1" applyFont="1" applyFill="1" applyBorder="1" applyAlignment="1" applyProtection="1">
      <protection locked="0"/>
    </xf>
    <xf numFmtId="0" fontId="21" fillId="14" borderId="70" xfId="3" applyNumberFormat="1" applyFont="1" applyFill="1" applyBorder="1" applyAlignment="1" applyProtection="1">
      <alignment vertical="center"/>
      <protection locked="0"/>
    </xf>
    <xf numFmtId="3" fontId="22" fillId="18" borderId="70" xfId="3" applyNumberFormat="1" applyFont="1" applyFill="1" applyBorder="1" applyAlignment="1" applyProtection="1">
      <alignment vertical="center"/>
      <protection locked="0"/>
    </xf>
    <xf numFmtId="3" fontId="22" fillId="18" borderId="1" xfId="3" applyNumberFormat="1" applyFont="1" applyFill="1" applyBorder="1" applyAlignment="1" applyProtection="1">
      <alignment vertical="center"/>
      <protection locked="0"/>
    </xf>
    <xf numFmtId="3" fontId="21" fillId="18" borderId="1" xfId="3" applyNumberFormat="1" applyFont="1" applyFill="1" applyBorder="1" applyAlignment="1" applyProtection="1">
      <alignment vertical="center"/>
      <protection locked="0"/>
    </xf>
    <xf numFmtId="0" fontId="0" fillId="20" borderId="10" xfId="0" applyFill="1" applyBorder="1"/>
    <xf numFmtId="0" fontId="32" fillId="20" borderId="11" xfId="0" applyFont="1" applyFill="1" applyBorder="1"/>
    <xf numFmtId="0" fontId="2" fillId="20" borderId="5" xfId="0" applyFont="1" applyFill="1" applyBorder="1" applyAlignment="1">
      <alignment horizontal="left" vertical="center"/>
    </xf>
    <xf numFmtId="0" fontId="2" fillId="20" borderId="0" xfId="0" applyFont="1" applyFill="1" applyBorder="1" applyAlignment="1">
      <alignment horizontal="left" vertical="center"/>
    </xf>
    <xf numFmtId="0" fontId="2" fillId="20" borderId="0" xfId="2" applyNumberFormat="1" applyFont="1" applyFill="1" applyBorder="1" applyAlignment="1">
      <alignment horizontal="left" vertical="center"/>
    </xf>
    <xf numFmtId="0" fontId="2" fillId="20" borderId="6" xfId="0" applyFont="1" applyFill="1" applyBorder="1" applyAlignment="1">
      <alignment horizontal="left" vertical="center"/>
    </xf>
    <xf numFmtId="3" fontId="2" fillId="21" borderId="14" xfId="0" applyNumberFormat="1" applyFont="1" applyFill="1" applyBorder="1" applyAlignment="1" applyProtection="1">
      <protection locked="0"/>
    </xf>
    <xf numFmtId="3" fontId="3" fillId="21" borderId="11" xfId="0" applyNumberFormat="1" applyFont="1" applyFill="1" applyBorder="1" applyAlignment="1" applyProtection="1"/>
    <xf numFmtId="3" fontId="2" fillId="21" borderId="11" xfId="0" applyNumberFormat="1" applyFont="1" applyFill="1" applyBorder="1" applyAlignment="1" applyProtection="1"/>
    <xf numFmtId="0" fontId="3" fillId="20" borderId="6" xfId="0" applyFont="1" applyFill="1" applyBorder="1" applyAlignment="1">
      <alignment horizontal="left" vertical="center"/>
    </xf>
    <xf numFmtId="0" fontId="2" fillId="20" borderId="6" xfId="0" applyFont="1" applyFill="1" applyBorder="1" applyAlignment="1">
      <alignment horizontal="left" vertical="center" indent="1"/>
    </xf>
    <xf numFmtId="0" fontId="2" fillId="2" borderId="6" xfId="0" applyFont="1" applyFill="1" applyBorder="1" applyAlignment="1">
      <alignment horizontal="left" vertical="center" wrapText="1" indent="4"/>
    </xf>
    <xf numFmtId="0" fontId="21" fillId="14" borderId="1" xfId="3" applyNumberFormat="1" applyFont="1" applyFill="1" applyBorder="1" applyProtection="1">
      <alignment vertical="center"/>
      <protection locked="0"/>
    </xf>
    <xf numFmtId="3" fontId="21" fillId="14" borderId="1" xfId="3" applyNumberFormat="1" applyFont="1" applyFill="1" applyBorder="1" applyProtection="1">
      <alignment vertical="center"/>
      <protection locked="0"/>
    </xf>
    <xf numFmtId="3" fontId="22" fillId="18" borderId="1" xfId="3" applyNumberFormat="1" applyFont="1" applyFill="1" applyBorder="1" applyProtection="1">
      <alignment vertical="center"/>
      <protection locked="0"/>
    </xf>
    <xf numFmtId="3" fontId="21" fillId="18" borderId="1" xfId="3" applyNumberFormat="1" applyFont="1" applyFill="1" applyBorder="1" applyProtection="1">
      <alignment vertical="center"/>
      <protection locked="0"/>
    </xf>
    <xf numFmtId="0" fontId="26" fillId="6" borderId="48" xfId="2" applyNumberFormat="1" applyFont="1" applyFill="1" applyBorder="1" applyAlignment="1">
      <alignment horizontal="center" vertical="center"/>
    </xf>
    <xf numFmtId="0" fontId="26" fillId="6" borderId="35" xfId="2" applyNumberFormat="1" applyFont="1" applyFill="1" applyBorder="1" applyAlignment="1">
      <alignment horizontal="center" vertical="center"/>
    </xf>
    <xf numFmtId="0" fontId="26" fillId="6" borderId="36" xfId="2" applyNumberFormat="1" applyFont="1" applyFill="1" applyBorder="1" applyAlignment="1">
      <alignment horizontal="center" vertical="center"/>
    </xf>
    <xf numFmtId="0" fontId="25" fillId="5" borderId="10" xfId="2" applyNumberFormat="1" applyFont="1" applyFill="1" applyBorder="1" applyAlignment="1">
      <alignment horizontal="center" vertical="center"/>
    </xf>
    <xf numFmtId="0" fontId="25" fillId="5" borderId="12" xfId="2" applyNumberFormat="1" applyFont="1" applyFill="1" applyBorder="1" applyAlignment="1">
      <alignment horizontal="center" vertical="center"/>
    </xf>
    <xf numFmtId="0" fontId="25" fillId="5" borderId="37" xfId="2" applyNumberFormat="1" applyFont="1" applyFill="1" applyBorder="1" applyAlignment="1">
      <alignment horizontal="center" vertical="center"/>
    </xf>
    <xf numFmtId="0" fontId="6" fillId="12" borderId="24" xfId="2" applyNumberFormat="1" applyFont="1" applyFill="1" applyBorder="1" applyAlignment="1">
      <alignment horizontal="center" vertical="center" wrapText="1"/>
    </xf>
    <xf numFmtId="0" fontId="6" fillId="12" borderId="23" xfId="2" applyNumberFormat="1" applyFont="1" applyFill="1" applyBorder="1" applyAlignment="1">
      <alignment horizontal="center" vertical="center" wrapText="1"/>
    </xf>
    <xf numFmtId="0" fontId="6" fillId="12" borderId="25" xfId="2" applyNumberFormat="1" applyFont="1" applyFill="1" applyBorder="1" applyAlignment="1">
      <alignment horizontal="center" vertical="center" wrapText="1"/>
    </xf>
    <xf numFmtId="0" fontId="26" fillId="6" borderId="48" xfId="2" applyNumberFormat="1" applyFont="1" applyFill="1" applyBorder="1" applyAlignment="1">
      <alignment horizontal="center" vertical="center" wrapText="1"/>
    </xf>
    <xf numFmtId="0" fontId="28" fillId="6" borderId="35" xfId="0" applyFont="1" applyFill="1" applyBorder="1" applyAlignment="1">
      <alignment wrapText="1"/>
    </xf>
    <xf numFmtId="0" fontId="28" fillId="6" borderId="36" xfId="0" applyFont="1" applyFill="1" applyBorder="1" applyAlignment="1">
      <alignment wrapText="1"/>
    </xf>
    <xf numFmtId="0" fontId="25" fillId="5" borderId="2" xfId="2" applyNumberFormat="1" applyFont="1" applyFill="1" applyBorder="1" applyAlignment="1">
      <alignment horizontal="center" vertical="center" wrapText="1"/>
    </xf>
    <xf numFmtId="0" fontId="25" fillId="5" borderId="3" xfId="2" applyNumberFormat="1" applyFont="1" applyFill="1" applyBorder="1" applyAlignment="1">
      <alignment horizontal="center" vertical="center" wrapText="1"/>
    </xf>
    <xf numFmtId="0" fontId="25" fillId="5" borderId="7" xfId="2" applyNumberFormat="1" applyFont="1" applyFill="1" applyBorder="1" applyAlignment="1">
      <alignment horizontal="center" vertical="center" wrapText="1"/>
    </xf>
    <xf numFmtId="0" fontId="25" fillId="5" borderId="8" xfId="2" applyNumberFormat="1" applyFont="1" applyFill="1" applyBorder="1" applyAlignment="1">
      <alignment horizontal="center" vertical="center" wrapText="1"/>
    </xf>
    <xf numFmtId="0" fontId="25" fillId="5" borderId="10" xfId="2" applyNumberFormat="1" applyFont="1" applyFill="1" applyBorder="1" applyAlignment="1">
      <alignment horizontal="center" vertical="center" wrapText="1"/>
    </xf>
    <xf numFmtId="0" fontId="25" fillId="5" borderId="12" xfId="2" applyNumberFormat="1" applyFont="1" applyFill="1" applyBorder="1" applyAlignment="1">
      <alignment horizontal="center" vertical="center" wrapText="1"/>
    </xf>
    <xf numFmtId="0" fontId="25" fillId="5" borderId="37" xfId="2" applyNumberFormat="1" applyFont="1" applyFill="1" applyBorder="1" applyAlignment="1">
      <alignment horizontal="center" vertical="center" wrapText="1"/>
    </xf>
    <xf numFmtId="0" fontId="8" fillId="6" borderId="59" xfId="2" applyNumberFormat="1" applyFont="1" applyFill="1" applyBorder="1" applyAlignment="1">
      <alignment horizontal="center" vertical="center" wrapText="1"/>
    </xf>
    <xf numFmtId="0" fontId="8" fillId="6" borderId="60" xfId="2" applyNumberFormat="1" applyFont="1" applyFill="1" applyBorder="1" applyAlignment="1">
      <alignment horizontal="center" vertical="center" wrapText="1"/>
    </xf>
    <xf numFmtId="0" fontId="25" fillId="5" borderId="45" xfId="2" applyNumberFormat="1" applyFont="1" applyFill="1" applyBorder="1" applyAlignment="1">
      <alignment horizontal="center" vertical="center" wrapText="1"/>
    </xf>
  </cellXfs>
  <cellStyles count="5">
    <cellStyle name="60% - akcent 1" xfId="2"/>
    <cellStyle name="Hipervínculo" xfId="4" builtinId="8"/>
    <cellStyle name="Normal" xfId="0" builtinId="0"/>
    <cellStyle name="Normal 10" xfId="1"/>
    <cellStyle name="Normal 12" xfId="3"/>
  </cellStyles>
  <dxfs count="9">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dxf>
    <dxf>
      <font>
        <color rgb="FFFF0000"/>
      </font>
      <fill>
        <patternFill>
          <bgColor rgb="FFFFFF00"/>
        </patternFill>
      </fill>
    </dxf>
    <dxf>
      <font>
        <color rgb="FFFF0000"/>
      </font>
      <fill>
        <patternFill>
          <bgColor rgb="FFFFFF00"/>
        </patternFill>
      </fill>
      <border>
        <left style="hair">
          <color auto="1"/>
        </left>
        <right style="hair">
          <color auto="1"/>
        </right>
        <top style="hair">
          <color auto="1"/>
        </top>
        <bottom style="hair">
          <color auto="1"/>
        </bottom>
        <vertical/>
        <horizontal/>
      </border>
    </dxf>
    <dxf>
      <font>
        <color rgb="FFFF0000"/>
      </font>
      <fill>
        <patternFill>
          <bgColor rgb="FFFFFF00"/>
        </patternFill>
      </fill>
      <border>
        <left style="hair">
          <color auto="1"/>
        </left>
        <right style="hair">
          <color auto="1"/>
        </right>
        <top style="hair">
          <color auto="1"/>
        </top>
        <bottom style="hair">
          <color auto="1"/>
        </bottom>
        <vertical/>
        <horizontal/>
      </border>
    </dxf>
    <dxf>
      <font>
        <color rgb="FFFF0000"/>
      </font>
      <fill>
        <patternFill>
          <bgColor rgb="FFFFFF00"/>
        </patternFill>
      </fill>
      <border>
        <left style="hair">
          <color auto="1"/>
        </left>
        <right style="hair">
          <color auto="1"/>
        </right>
        <top style="hair">
          <color auto="1"/>
        </top>
        <bottom style="hair">
          <color auto="1"/>
        </bottom>
        <vertical/>
        <horizontal/>
      </border>
    </dxf>
    <dxf>
      <font>
        <color rgb="FFFF0000"/>
      </font>
      <fill>
        <patternFill>
          <bgColor rgb="FFFFFF00"/>
        </patternFill>
      </fill>
      <border>
        <left style="hair">
          <color auto="1"/>
        </left>
        <right style="hair">
          <color auto="1"/>
        </right>
        <top style="hair">
          <color auto="1"/>
        </top>
        <bottom style="hair">
          <color auto="1"/>
        </bottom>
        <vertical/>
        <horizontal/>
      </border>
    </dxf>
    <dxf>
      <font>
        <color rgb="FFFF0000"/>
      </font>
      <fill>
        <patternFill>
          <bgColor rgb="FFFFFF00"/>
        </patternFill>
      </fill>
    </dxf>
    <dxf>
      <font>
        <color rgb="FFFF0000"/>
      </font>
      <fill>
        <patternFill>
          <bgColor rgb="FFFFFF00"/>
        </patternFill>
      </fill>
    </dxf>
  </dxfs>
  <tableStyles count="0" defaultTableStyle="TableStyleMedium2" defaultPivotStyle="PivotStyleLight16"/>
  <colors>
    <mruColors>
      <color rgb="FFCC0000"/>
      <color rgb="FFFF99FF"/>
      <color rgb="FF2F81E5"/>
      <color rgb="FFAB7811"/>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1966383</xdr:colOff>
      <xdr:row>0</xdr:row>
      <xdr:rowOff>809625</xdr:rowOff>
    </xdr:to>
    <xdr:pic>
      <xdr:nvPicPr>
        <xdr:cNvPr id="6" name="4 Imagen">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871258"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2328333</xdr:colOff>
      <xdr:row>0</xdr:row>
      <xdr:rowOff>83608</xdr:rowOff>
    </xdr:from>
    <xdr:to>
      <xdr:col>5</xdr:col>
      <xdr:colOff>5936737</xdr:colOff>
      <xdr:row>1</xdr:row>
      <xdr:rowOff>10108</xdr:rowOff>
    </xdr:to>
    <xdr:sp macro="" textlink="">
      <xdr:nvSpPr>
        <xdr:cNvPr id="7" name="6 CuadroTexto">
          <a:extLst>
            <a:ext uri="{FF2B5EF4-FFF2-40B4-BE49-F238E27FC236}">
              <a16:creationId xmlns:a16="http://schemas.microsoft.com/office/drawing/2014/main" id="{00000000-0008-0000-0000-000007000000}"/>
            </a:ext>
          </a:extLst>
        </xdr:cNvPr>
        <xdr:cNvSpPr txBox="1"/>
      </xdr:nvSpPr>
      <xdr:spPr>
        <a:xfrm>
          <a:off x="3233208" y="83608"/>
          <a:ext cx="3608404" cy="1260000"/>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s-CL" sz="1100" b="1" i="0">
              <a:solidFill>
                <a:schemeClr val="tx1"/>
              </a:solidFill>
              <a:effectLst/>
              <a:latin typeface="+mn-lt"/>
              <a:ea typeface="+mn-ea"/>
              <a:cs typeface="+mn-cs"/>
            </a:rPr>
            <a:t>IMPORTANTE</a:t>
          </a:r>
          <a:r>
            <a:rPr lang="es-CL" sz="1100" b="0" i="0">
              <a:solidFill>
                <a:schemeClr val="tx1"/>
              </a:solidFill>
              <a:effectLst/>
              <a:latin typeface="+mn-lt"/>
              <a:ea typeface="+mn-ea"/>
              <a:cs typeface="+mn-cs"/>
            </a:rPr>
            <a:t>: El presente documento esta protegido por el registro de </a:t>
          </a:r>
          <a:r>
            <a:rPr lang="es-CL" sz="1100" b="0" i="0" u="none">
              <a:solidFill>
                <a:schemeClr val="tx1"/>
              </a:solidFill>
              <a:effectLst/>
              <a:latin typeface="+mn-lt"/>
              <a:ea typeface="+mn-ea"/>
              <a:cs typeface="+mn-cs"/>
            </a:rPr>
            <a:t>propiedad</a:t>
          </a:r>
          <a:r>
            <a:rPr lang="es-CL" sz="1100" b="0" i="0" u="none" baseline="0">
              <a:solidFill>
                <a:schemeClr val="tx1"/>
              </a:solidFill>
              <a:effectLst/>
              <a:latin typeface="+mn-lt"/>
              <a:ea typeface="+mn-ea"/>
              <a:cs typeface="+mn-cs"/>
            </a:rPr>
            <a:t> </a:t>
          </a:r>
          <a:r>
            <a:rPr lang="es-CL" sz="1100" b="0" i="0" u="none">
              <a:solidFill>
                <a:schemeClr val="tx1"/>
              </a:solidFill>
              <a:effectLst/>
              <a:latin typeface="+mn-lt"/>
              <a:ea typeface="+mn-ea"/>
              <a:cs typeface="+mn-cs"/>
            </a:rPr>
            <a:t>intelectual </a:t>
          </a:r>
          <a:r>
            <a:rPr lang="es-CL" sz="1100" b="0" i="0">
              <a:solidFill>
                <a:schemeClr val="tx1"/>
              </a:solidFill>
              <a:effectLst/>
              <a:latin typeface="+mn-lt"/>
              <a:ea typeface="+mn-ea"/>
              <a:cs typeface="+mn-cs"/>
            </a:rPr>
            <a:t> No. 132.246, del Departamento de Derechos Intelectuales de Chile.  Este documento no puede ser utilizado por personas no autorizadas ni distribuido sin autorización expresa y por escrito de DBNeT S.A.</a:t>
          </a:r>
          <a:endParaRPr lang="es-CL" sz="1100">
            <a:solidFill>
              <a:schemeClr val="tx1"/>
            </a:solidFill>
          </a:endParaRPr>
        </a:p>
      </xdr:txBody>
    </xdr:sp>
    <xdr:clientData/>
  </xdr:twoCellAnchor>
  <xdr:twoCellAnchor>
    <xdr:from>
      <xdr:col>1</xdr:col>
      <xdr:colOff>122767</xdr:colOff>
      <xdr:row>0</xdr:row>
      <xdr:rowOff>1000124</xdr:rowOff>
    </xdr:from>
    <xdr:to>
      <xdr:col>5</xdr:col>
      <xdr:colOff>474633</xdr:colOff>
      <xdr:row>1</xdr:row>
      <xdr:rowOff>98624</xdr:rowOff>
    </xdr:to>
    <xdr:sp macro="[0]!Guarda_Hojas_CSV" textlink="">
      <xdr:nvSpPr>
        <xdr:cNvPr id="8" name="7 Rectángulo redondeado">
          <a:extLst>
            <a:ext uri="{FF2B5EF4-FFF2-40B4-BE49-F238E27FC236}">
              <a16:creationId xmlns:a16="http://schemas.microsoft.com/office/drawing/2014/main" id="{00000000-0008-0000-0000-000008000000}"/>
            </a:ext>
          </a:extLst>
        </xdr:cNvPr>
        <xdr:cNvSpPr/>
      </xdr:nvSpPr>
      <xdr:spPr>
        <a:xfrm>
          <a:off x="303742" y="1000124"/>
          <a:ext cx="1075766" cy="432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indent="0" algn="ctr"/>
          <a:r>
            <a:rPr lang="es-ES" sz="1100">
              <a:solidFill>
                <a:schemeClr val="lt1">
                  <a:lumMod val="100000"/>
                </a:schemeClr>
              </a:solidFill>
              <a:latin typeface="+mn-lt"/>
              <a:ea typeface="+mn-ea"/>
              <a:cs typeface="+mn-cs"/>
            </a:rPr>
            <a:t>Crear CSV</a:t>
          </a:r>
        </a:p>
      </xdr:txBody>
    </xdr:sp>
    <xdr:clientData/>
  </xdr:twoCellAnchor>
  <xdr:twoCellAnchor>
    <xdr:from>
      <xdr:col>5</xdr:col>
      <xdr:colOff>642408</xdr:colOff>
      <xdr:row>0</xdr:row>
      <xdr:rowOff>1000124</xdr:rowOff>
    </xdr:from>
    <xdr:to>
      <xdr:col>5</xdr:col>
      <xdr:colOff>1722408</xdr:colOff>
      <xdr:row>1</xdr:row>
      <xdr:rowOff>98624</xdr:rowOff>
    </xdr:to>
    <xdr:sp macro="[0]!Guarda_Hojas_ZIP" textlink="">
      <xdr:nvSpPr>
        <xdr:cNvPr id="9" name="8 Rectángulo redondeado">
          <a:extLst>
            <a:ext uri="{FF2B5EF4-FFF2-40B4-BE49-F238E27FC236}">
              <a16:creationId xmlns:a16="http://schemas.microsoft.com/office/drawing/2014/main" id="{00000000-0008-0000-0000-000009000000}"/>
            </a:ext>
          </a:extLst>
        </xdr:cNvPr>
        <xdr:cNvSpPr/>
      </xdr:nvSpPr>
      <xdr:spPr>
        <a:xfrm>
          <a:off x="1547283" y="1000124"/>
          <a:ext cx="1080000" cy="432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indent="0" algn="ctr"/>
          <a:r>
            <a:rPr lang="es-ES" sz="900">
              <a:solidFill>
                <a:schemeClr val="lt1">
                  <a:lumMod val="100000"/>
                </a:schemeClr>
              </a:solidFill>
              <a:latin typeface="+mn-lt"/>
              <a:ea typeface="+mn-ea"/>
              <a:cs typeface="+mn-cs"/>
            </a:rPr>
            <a:t>Crear/Comprimir</a:t>
          </a:r>
          <a:r>
            <a:rPr lang="es-ES" sz="900" baseline="0">
              <a:solidFill>
                <a:schemeClr val="lt1">
                  <a:lumMod val="100000"/>
                </a:schemeClr>
              </a:solidFill>
              <a:latin typeface="+mn-lt"/>
              <a:ea typeface="+mn-ea"/>
              <a:cs typeface="+mn-cs"/>
            </a:rPr>
            <a:t> CSV</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180975</xdr:colOff>
      <xdr:row>0</xdr:row>
      <xdr:rowOff>142876</xdr:rowOff>
    </xdr:from>
    <xdr:to>
      <xdr:col>5</xdr:col>
      <xdr:colOff>661193</xdr:colOff>
      <xdr:row>0</xdr:row>
      <xdr:rowOff>523876</xdr:rowOff>
    </xdr:to>
    <xdr:sp macro="[0]!Guarda_Hojas_CSV" textlink="">
      <xdr:nvSpPr>
        <xdr:cNvPr id="2" name="1 Rectángulo redondeado">
          <a:extLst>
            <a:ext uri="{FF2B5EF4-FFF2-40B4-BE49-F238E27FC236}">
              <a16:creationId xmlns:a16="http://schemas.microsoft.com/office/drawing/2014/main" id="{00000000-0008-0000-0100-000002000000}"/>
            </a:ext>
          </a:extLst>
        </xdr:cNvPr>
        <xdr:cNvSpPr/>
      </xdr:nvSpPr>
      <xdr:spPr>
        <a:xfrm>
          <a:off x="762000" y="142876"/>
          <a:ext cx="1023143" cy="3810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Crear CSV</a:t>
          </a:r>
        </a:p>
      </xdr:txBody>
    </xdr:sp>
    <xdr:clientData/>
  </xdr:twoCellAnchor>
  <xdr:twoCellAnchor editAs="absolute">
    <xdr:from>
      <xdr:col>5</xdr:col>
      <xdr:colOff>4691063</xdr:colOff>
      <xdr:row>0</xdr:row>
      <xdr:rowOff>154782</xdr:rowOff>
    </xdr:from>
    <xdr:to>
      <xdr:col>5</xdr:col>
      <xdr:colOff>6346032</xdr:colOff>
      <xdr:row>0</xdr:row>
      <xdr:rowOff>547688</xdr:rowOff>
    </xdr:to>
    <xdr:sp macro="[0]!Copiar_columna" textlink="">
      <xdr:nvSpPr>
        <xdr:cNvPr id="3" name="2 Rectángulo redondeado">
          <a:extLst>
            <a:ext uri="{FF2B5EF4-FFF2-40B4-BE49-F238E27FC236}">
              <a16:creationId xmlns:a16="http://schemas.microsoft.com/office/drawing/2014/main" id="{00000000-0008-0000-0100-000003000000}"/>
            </a:ext>
          </a:extLst>
        </xdr:cNvPr>
        <xdr:cNvSpPr>
          <a:spLocks/>
        </xdr:cNvSpPr>
      </xdr:nvSpPr>
      <xdr:spPr>
        <a:xfrm>
          <a:off x="5815013" y="154782"/>
          <a:ext cx="1654969" cy="392906"/>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Copiar Columna</a:t>
          </a:r>
        </a:p>
      </xdr:txBody>
    </xdr:sp>
    <xdr:clientData/>
  </xdr:twoCellAnchor>
  <xdr:twoCellAnchor>
    <xdr:from>
      <xdr:col>5</xdr:col>
      <xdr:colOff>826294</xdr:colOff>
      <xdr:row>0</xdr:row>
      <xdr:rowOff>142875</xdr:rowOff>
    </xdr:from>
    <xdr:to>
      <xdr:col>5</xdr:col>
      <xdr:colOff>1846527</xdr:colOff>
      <xdr:row>0</xdr:row>
      <xdr:rowOff>535781</xdr:rowOff>
    </xdr:to>
    <xdr:sp macro="[0]!Guarda_Hojas_ZIP" textlink="">
      <xdr:nvSpPr>
        <xdr:cNvPr id="4" name="3 Rectángulo redondeado">
          <a:extLst>
            <a:ext uri="{FF2B5EF4-FFF2-40B4-BE49-F238E27FC236}">
              <a16:creationId xmlns:a16="http://schemas.microsoft.com/office/drawing/2014/main" id="{00000000-0008-0000-0100-000004000000}"/>
            </a:ext>
          </a:extLst>
        </xdr:cNvPr>
        <xdr:cNvSpPr/>
      </xdr:nvSpPr>
      <xdr:spPr>
        <a:xfrm>
          <a:off x="1883569" y="142875"/>
          <a:ext cx="1020233" cy="392906"/>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s-ES" sz="1100"/>
            <a:t>Crear/Comprimir CSV</a:t>
          </a:r>
        </a:p>
      </xdr:txBody>
    </xdr:sp>
    <xdr:clientData/>
  </xdr:twoCellAnchor>
  <xdr:twoCellAnchor>
    <xdr:from>
      <xdr:col>8</xdr:col>
      <xdr:colOff>180415</xdr:colOff>
      <xdr:row>1</xdr:row>
      <xdr:rowOff>1284195</xdr:rowOff>
    </xdr:from>
    <xdr:to>
      <xdr:col>8</xdr:col>
      <xdr:colOff>527798</xdr:colOff>
      <xdr:row>1</xdr:row>
      <xdr:rowOff>2203077</xdr:rowOff>
    </xdr:to>
    <xdr:sp macro="" textlink="">
      <xdr:nvSpPr>
        <xdr:cNvPr id="7" name="6 Flecha abajo">
          <a:extLst>
            <a:ext uri="{FF2B5EF4-FFF2-40B4-BE49-F238E27FC236}">
              <a16:creationId xmlns:a16="http://schemas.microsoft.com/office/drawing/2014/main" id="{00000000-0008-0000-0100-000007000000}"/>
            </a:ext>
          </a:extLst>
        </xdr:cNvPr>
        <xdr:cNvSpPr/>
      </xdr:nvSpPr>
      <xdr:spPr>
        <a:xfrm>
          <a:off x="8114740" y="1979520"/>
          <a:ext cx="347383" cy="91888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6</xdr:col>
      <xdr:colOff>438150</xdr:colOff>
      <xdr:row>1</xdr:row>
      <xdr:rowOff>533400</xdr:rowOff>
    </xdr:from>
    <xdr:to>
      <xdr:col>9</xdr:col>
      <xdr:colOff>382121</xdr:colOff>
      <xdr:row>1</xdr:row>
      <xdr:rowOff>1205753</xdr:rowOff>
    </xdr:to>
    <xdr:sp macro="" textlink="">
      <xdr:nvSpPr>
        <xdr:cNvPr id="8" name="7 Rectángulo redondeado">
          <a:extLst>
            <a:ext uri="{FF2B5EF4-FFF2-40B4-BE49-F238E27FC236}">
              <a16:creationId xmlns:a16="http://schemas.microsoft.com/office/drawing/2014/main" id="{00000000-0008-0000-0100-000008000000}"/>
            </a:ext>
          </a:extLst>
        </xdr:cNvPr>
        <xdr:cNvSpPr/>
      </xdr:nvSpPr>
      <xdr:spPr>
        <a:xfrm>
          <a:off x="7610475" y="1228725"/>
          <a:ext cx="1467971" cy="6723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Ubique</a:t>
          </a:r>
          <a:r>
            <a:rPr lang="es-CL" sz="1100" baseline="0"/>
            <a:t> el cursor en esta celda y presione "Copiar Columna"</a:t>
          </a:r>
          <a:endParaRPr lang="es-CL" sz="1100"/>
        </a:p>
      </xdr:txBody>
    </xdr:sp>
    <xdr:clientData/>
  </xdr:twoCellAnchor>
  <xdr:twoCellAnchor>
    <xdr:from>
      <xdr:col>7</xdr:col>
      <xdr:colOff>180415</xdr:colOff>
      <xdr:row>1</xdr:row>
      <xdr:rowOff>1284195</xdr:rowOff>
    </xdr:from>
    <xdr:to>
      <xdr:col>7</xdr:col>
      <xdr:colOff>527798</xdr:colOff>
      <xdr:row>1</xdr:row>
      <xdr:rowOff>2203077</xdr:rowOff>
    </xdr:to>
    <xdr:sp macro="" textlink="">
      <xdr:nvSpPr>
        <xdr:cNvPr id="9" name="6 Flecha abajo">
          <a:extLst>
            <a:ext uri="{FF2B5EF4-FFF2-40B4-BE49-F238E27FC236}">
              <a16:creationId xmlns:a16="http://schemas.microsoft.com/office/drawing/2014/main" id="{FAE12A8B-E770-4CB5-B510-00121700AD59}"/>
            </a:ext>
          </a:extLst>
        </xdr:cNvPr>
        <xdr:cNvSpPr/>
      </xdr:nvSpPr>
      <xdr:spPr>
        <a:xfrm>
          <a:off x="10074509" y="1974758"/>
          <a:ext cx="347383" cy="91888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142874</xdr:colOff>
      <xdr:row>0</xdr:row>
      <xdr:rowOff>142876</xdr:rowOff>
    </xdr:from>
    <xdr:to>
      <xdr:col>5</xdr:col>
      <xdr:colOff>661192</xdr:colOff>
      <xdr:row>0</xdr:row>
      <xdr:rowOff>523876</xdr:rowOff>
    </xdr:to>
    <xdr:sp macro="[0]!Guarda_Hojas_CSV" textlink="">
      <xdr:nvSpPr>
        <xdr:cNvPr id="2" name="1 Rectángulo redondeado">
          <a:extLst>
            <a:ext uri="{FF2B5EF4-FFF2-40B4-BE49-F238E27FC236}">
              <a16:creationId xmlns:a16="http://schemas.microsoft.com/office/drawing/2014/main" id="{00000000-0008-0000-0200-000002000000}"/>
            </a:ext>
          </a:extLst>
        </xdr:cNvPr>
        <xdr:cNvSpPr/>
      </xdr:nvSpPr>
      <xdr:spPr>
        <a:xfrm>
          <a:off x="714374" y="142876"/>
          <a:ext cx="1054099" cy="3810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Crear CSV</a:t>
          </a:r>
        </a:p>
      </xdr:txBody>
    </xdr:sp>
    <xdr:clientData/>
  </xdr:twoCellAnchor>
  <xdr:twoCellAnchor editAs="absolute">
    <xdr:from>
      <xdr:col>5</xdr:col>
      <xdr:colOff>4691063</xdr:colOff>
      <xdr:row>0</xdr:row>
      <xdr:rowOff>154782</xdr:rowOff>
    </xdr:from>
    <xdr:to>
      <xdr:col>5</xdr:col>
      <xdr:colOff>5988844</xdr:colOff>
      <xdr:row>0</xdr:row>
      <xdr:rowOff>547688</xdr:rowOff>
    </xdr:to>
    <xdr:sp macro="[0]!Copiar_columna" textlink="">
      <xdr:nvSpPr>
        <xdr:cNvPr id="3" name="2 Rectángulo redondeado">
          <a:extLst>
            <a:ext uri="{FF2B5EF4-FFF2-40B4-BE49-F238E27FC236}">
              <a16:creationId xmlns:a16="http://schemas.microsoft.com/office/drawing/2014/main" id="{00000000-0008-0000-0200-000003000000}"/>
            </a:ext>
          </a:extLst>
        </xdr:cNvPr>
        <xdr:cNvSpPr>
          <a:spLocks/>
        </xdr:cNvSpPr>
      </xdr:nvSpPr>
      <xdr:spPr>
        <a:xfrm>
          <a:off x="5798344" y="154782"/>
          <a:ext cx="1297781" cy="392906"/>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Copiar Columna</a:t>
          </a:r>
        </a:p>
      </xdr:txBody>
    </xdr:sp>
    <xdr:clientData/>
  </xdr:twoCellAnchor>
  <xdr:twoCellAnchor>
    <xdr:from>
      <xdr:col>5</xdr:col>
      <xdr:colOff>826294</xdr:colOff>
      <xdr:row>0</xdr:row>
      <xdr:rowOff>142875</xdr:rowOff>
    </xdr:from>
    <xdr:to>
      <xdr:col>5</xdr:col>
      <xdr:colOff>1846527</xdr:colOff>
      <xdr:row>0</xdr:row>
      <xdr:rowOff>535781</xdr:rowOff>
    </xdr:to>
    <xdr:sp macro="[0]!Guarda_Hojas_ZIP" textlink="">
      <xdr:nvSpPr>
        <xdr:cNvPr id="4" name="3 Rectángulo redondeado">
          <a:extLst>
            <a:ext uri="{FF2B5EF4-FFF2-40B4-BE49-F238E27FC236}">
              <a16:creationId xmlns:a16="http://schemas.microsoft.com/office/drawing/2014/main" id="{00000000-0008-0000-0200-000004000000}"/>
            </a:ext>
          </a:extLst>
        </xdr:cNvPr>
        <xdr:cNvSpPr/>
      </xdr:nvSpPr>
      <xdr:spPr>
        <a:xfrm>
          <a:off x="1950244" y="142875"/>
          <a:ext cx="1020233" cy="392906"/>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s-ES" sz="1100"/>
            <a:t>Crear/Comprimir CSV</a:t>
          </a:r>
        </a:p>
      </xdr:txBody>
    </xdr:sp>
    <xdr:clientData/>
  </xdr:twoCellAnchor>
  <xdr:twoCellAnchor>
    <xdr:from>
      <xdr:col>7</xdr:col>
      <xdr:colOff>142315</xdr:colOff>
      <xdr:row>1</xdr:row>
      <xdr:rowOff>1293720</xdr:rowOff>
    </xdr:from>
    <xdr:to>
      <xdr:col>7</xdr:col>
      <xdr:colOff>489698</xdr:colOff>
      <xdr:row>1</xdr:row>
      <xdr:rowOff>2212602</xdr:rowOff>
    </xdr:to>
    <xdr:sp macro="" textlink="">
      <xdr:nvSpPr>
        <xdr:cNvPr id="7" name="6 Flecha abajo">
          <a:extLst>
            <a:ext uri="{FF2B5EF4-FFF2-40B4-BE49-F238E27FC236}">
              <a16:creationId xmlns:a16="http://schemas.microsoft.com/office/drawing/2014/main" id="{00000000-0008-0000-0200-000007000000}"/>
            </a:ext>
          </a:extLst>
        </xdr:cNvPr>
        <xdr:cNvSpPr/>
      </xdr:nvSpPr>
      <xdr:spPr>
        <a:xfrm>
          <a:off x="8059971" y="1984283"/>
          <a:ext cx="347383" cy="91888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6</xdr:col>
      <xdr:colOff>400050</xdr:colOff>
      <xdr:row>1</xdr:row>
      <xdr:rowOff>542925</xdr:rowOff>
    </xdr:from>
    <xdr:to>
      <xdr:col>8</xdr:col>
      <xdr:colOff>344021</xdr:colOff>
      <xdr:row>1</xdr:row>
      <xdr:rowOff>1215278</xdr:rowOff>
    </xdr:to>
    <xdr:sp macro="" textlink="">
      <xdr:nvSpPr>
        <xdr:cNvPr id="8" name="7 Rectángulo redondeado">
          <a:extLst>
            <a:ext uri="{FF2B5EF4-FFF2-40B4-BE49-F238E27FC236}">
              <a16:creationId xmlns:a16="http://schemas.microsoft.com/office/drawing/2014/main" id="{00000000-0008-0000-0200-000008000000}"/>
            </a:ext>
          </a:extLst>
        </xdr:cNvPr>
        <xdr:cNvSpPr/>
      </xdr:nvSpPr>
      <xdr:spPr>
        <a:xfrm>
          <a:off x="7555706" y="1233488"/>
          <a:ext cx="1467971" cy="6723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Ubique</a:t>
          </a:r>
          <a:r>
            <a:rPr lang="es-CL" sz="1100" baseline="0"/>
            <a:t> el cursor en esta celda y presione "Copiar Columna"</a:t>
          </a:r>
          <a:endParaRPr lang="es-CL"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0</xdr:colOff>
      <xdr:row>0</xdr:row>
      <xdr:rowOff>142876</xdr:rowOff>
    </xdr:from>
    <xdr:to>
      <xdr:col>5</xdr:col>
      <xdr:colOff>661193</xdr:colOff>
      <xdr:row>0</xdr:row>
      <xdr:rowOff>523876</xdr:rowOff>
    </xdr:to>
    <xdr:sp macro="[0]!Guarda_Hojas_CSV" textlink="">
      <xdr:nvSpPr>
        <xdr:cNvPr id="2" name="1 Rectángulo redondeado">
          <a:extLst>
            <a:ext uri="{FF2B5EF4-FFF2-40B4-BE49-F238E27FC236}">
              <a16:creationId xmlns:a16="http://schemas.microsoft.com/office/drawing/2014/main" id="{00000000-0008-0000-0300-000002000000}"/>
            </a:ext>
          </a:extLst>
        </xdr:cNvPr>
        <xdr:cNvSpPr/>
      </xdr:nvSpPr>
      <xdr:spPr>
        <a:xfrm>
          <a:off x="400050" y="142876"/>
          <a:ext cx="1385093" cy="3810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Crear CSV</a:t>
          </a:r>
        </a:p>
      </xdr:txBody>
    </xdr:sp>
    <xdr:clientData/>
  </xdr:twoCellAnchor>
  <xdr:twoCellAnchor>
    <xdr:from>
      <xdr:col>5</xdr:col>
      <xdr:colOff>826294</xdr:colOff>
      <xdr:row>0</xdr:row>
      <xdr:rowOff>142875</xdr:rowOff>
    </xdr:from>
    <xdr:to>
      <xdr:col>5</xdr:col>
      <xdr:colOff>1846527</xdr:colOff>
      <xdr:row>0</xdr:row>
      <xdr:rowOff>535781</xdr:rowOff>
    </xdr:to>
    <xdr:sp macro="[0]!Guarda_Hojas_ZIP" textlink="">
      <xdr:nvSpPr>
        <xdr:cNvPr id="4" name="3 Rectángulo redondeado">
          <a:extLst>
            <a:ext uri="{FF2B5EF4-FFF2-40B4-BE49-F238E27FC236}">
              <a16:creationId xmlns:a16="http://schemas.microsoft.com/office/drawing/2014/main" id="{00000000-0008-0000-0300-000004000000}"/>
            </a:ext>
          </a:extLst>
        </xdr:cNvPr>
        <xdr:cNvSpPr/>
      </xdr:nvSpPr>
      <xdr:spPr>
        <a:xfrm>
          <a:off x="1950244" y="142875"/>
          <a:ext cx="1020233" cy="392906"/>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s-ES" sz="1100"/>
            <a:t>Crear/Comprimir CSV</a:t>
          </a:r>
        </a:p>
      </xdr:txBody>
    </xdr:sp>
    <xdr:clientData/>
  </xdr:twoCellAnchor>
  <xdr:twoCellAnchor>
    <xdr:from>
      <xdr:col>9</xdr:col>
      <xdr:colOff>222009</xdr:colOff>
      <xdr:row>29</xdr:row>
      <xdr:rowOff>142875</xdr:rowOff>
    </xdr:from>
    <xdr:to>
      <xdr:col>10</xdr:col>
      <xdr:colOff>519665</xdr:colOff>
      <xdr:row>32</xdr:row>
      <xdr:rowOff>23813</xdr:rowOff>
    </xdr:to>
    <xdr:sp macro="" textlink="">
      <xdr:nvSpPr>
        <xdr:cNvPr id="5" name="4 Flecha izquierda">
          <a:extLst>
            <a:ext uri="{FF2B5EF4-FFF2-40B4-BE49-F238E27FC236}">
              <a16:creationId xmlns:a16="http://schemas.microsoft.com/office/drawing/2014/main" id="{00000000-0008-0000-0300-000005000000}"/>
            </a:ext>
          </a:extLst>
        </xdr:cNvPr>
        <xdr:cNvSpPr/>
      </xdr:nvSpPr>
      <xdr:spPr>
        <a:xfrm>
          <a:off x="11449603" y="18669000"/>
          <a:ext cx="1059656" cy="654844"/>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8</xdr:col>
      <xdr:colOff>1250156</xdr:colOff>
      <xdr:row>33</xdr:row>
      <xdr:rowOff>686122</xdr:rowOff>
    </xdr:from>
    <xdr:to>
      <xdr:col>11</xdr:col>
      <xdr:colOff>327180</xdr:colOff>
      <xdr:row>33</xdr:row>
      <xdr:rowOff>1400497</xdr:rowOff>
    </xdr:to>
    <xdr:sp macro="" textlink="">
      <xdr:nvSpPr>
        <xdr:cNvPr id="6" name="5 Flecha izquierda">
          <a:extLst>
            <a:ext uri="{FF2B5EF4-FFF2-40B4-BE49-F238E27FC236}">
              <a16:creationId xmlns:a16="http://schemas.microsoft.com/office/drawing/2014/main" id="{00000000-0008-0000-0300-000006000000}"/>
            </a:ext>
          </a:extLst>
        </xdr:cNvPr>
        <xdr:cNvSpPr/>
      </xdr:nvSpPr>
      <xdr:spPr>
        <a:xfrm rot="19148920">
          <a:off x="11120437" y="20367153"/>
          <a:ext cx="1958337" cy="7143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10</xdr:col>
      <xdr:colOff>614916</xdr:colOff>
      <xdr:row>29</xdr:row>
      <xdr:rowOff>166690</xdr:rowOff>
    </xdr:from>
    <xdr:to>
      <xdr:col>13</xdr:col>
      <xdr:colOff>750094</xdr:colOff>
      <xdr:row>33</xdr:row>
      <xdr:rowOff>178594</xdr:rowOff>
    </xdr:to>
    <xdr:sp macro="" textlink="">
      <xdr:nvSpPr>
        <xdr:cNvPr id="7" name="6 Rectángulo redondeado">
          <a:extLst>
            <a:ext uri="{FF2B5EF4-FFF2-40B4-BE49-F238E27FC236}">
              <a16:creationId xmlns:a16="http://schemas.microsoft.com/office/drawing/2014/main" id="{00000000-0008-0000-0300-000007000000}"/>
            </a:ext>
          </a:extLst>
        </xdr:cNvPr>
        <xdr:cNvSpPr/>
      </xdr:nvSpPr>
      <xdr:spPr>
        <a:xfrm>
          <a:off x="12604510" y="18692815"/>
          <a:ext cx="2421178" cy="116681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Todos los valores  corresponden</a:t>
          </a:r>
          <a:r>
            <a:rPr lang="es-CL" sz="1100" baseline="0"/>
            <a:t> a la suma de las combinaciones de negocios que se hayan agregado mas las </a:t>
          </a:r>
          <a:r>
            <a:rPr lang="es-CL" sz="1100" b="1" baseline="0"/>
            <a:t>combinaciones de  negocios individualmnente no significativas.</a:t>
          </a:r>
          <a:endParaRPr lang="es-CL" sz="1100" b="1"/>
        </a:p>
      </xdr:txBody>
    </xdr:sp>
    <xdr:clientData/>
  </xdr:twoCellAnchor>
  <xdr:twoCellAnchor>
    <xdr:from>
      <xdr:col>9</xdr:col>
      <xdr:colOff>571506</xdr:colOff>
      <xdr:row>46</xdr:row>
      <xdr:rowOff>154781</xdr:rowOff>
    </xdr:from>
    <xdr:to>
      <xdr:col>12</xdr:col>
      <xdr:colOff>706684</xdr:colOff>
      <xdr:row>49</xdr:row>
      <xdr:rowOff>571501</xdr:rowOff>
    </xdr:to>
    <xdr:sp macro="" textlink="">
      <xdr:nvSpPr>
        <xdr:cNvPr id="8" name="7 Rectángulo redondeado">
          <a:extLst>
            <a:ext uri="{FF2B5EF4-FFF2-40B4-BE49-F238E27FC236}">
              <a16:creationId xmlns:a16="http://schemas.microsoft.com/office/drawing/2014/main" id="{00000000-0008-0000-0300-000008000000}"/>
            </a:ext>
          </a:extLst>
        </xdr:cNvPr>
        <xdr:cNvSpPr/>
      </xdr:nvSpPr>
      <xdr:spPr>
        <a:xfrm>
          <a:off x="11799100" y="25491281"/>
          <a:ext cx="2421178" cy="11906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400" b="0"/>
            <a:t>Según</a:t>
          </a:r>
          <a:r>
            <a:rPr lang="es-CL" sz="1400" b="0" baseline="0"/>
            <a:t> instructivo de la SVS, este bloque </a:t>
          </a:r>
          <a:r>
            <a:rPr lang="es-CL" sz="1400" b="1" baseline="0">
              <a:solidFill>
                <a:srgbClr val="CC0000"/>
              </a:solidFill>
            </a:rPr>
            <a:t>no es validado </a:t>
          </a:r>
          <a:r>
            <a:rPr lang="es-CL" sz="1400" b="0" baseline="0"/>
            <a:t>como la suma de los elementos anteriores.</a:t>
          </a:r>
          <a:endParaRPr lang="es-CL" sz="1400" b="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0</xdr:colOff>
      <xdr:row>0</xdr:row>
      <xdr:rowOff>142876</xdr:rowOff>
    </xdr:from>
    <xdr:to>
      <xdr:col>5</xdr:col>
      <xdr:colOff>661193</xdr:colOff>
      <xdr:row>0</xdr:row>
      <xdr:rowOff>523876</xdr:rowOff>
    </xdr:to>
    <xdr:sp macro="[0]!Guarda_Hojas_CSV" textlink="">
      <xdr:nvSpPr>
        <xdr:cNvPr id="2" name="1 Rectángulo redondeado">
          <a:extLst>
            <a:ext uri="{FF2B5EF4-FFF2-40B4-BE49-F238E27FC236}">
              <a16:creationId xmlns:a16="http://schemas.microsoft.com/office/drawing/2014/main" id="{00000000-0008-0000-0400-000002000000}"/>
            </a:ext>
          </a:extLst>
        </xdr:cNvPr>
        <xdr:cNvSpPr/>
      </xdr:nvSpPr>
      <xdr:spPr>
        <a:xfrm>
          <a:off x="400050" y="142876"/>
          <a:ext cx="1385093" cy="3810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Crear CSV</a:t>
          </a:r>
        </a:p>
      </xdr:txBody>
    </xdr:sp>
    <xdr:clientData/>
  </xdr:twoCellAnchor>
  <xdr:twoCellAnchor>
    <xdr:from>
      <xdr:col>5</xdr:col>
      <xdr:colOff>826294</xdr:colOff>
      <xdr:row>0</xdr:row>
      <xdr:rowOff>142875</xdr:rowOff>
    </xdr:from>
    <xdr:to>
      <xdr:col>5</xdr:col>
      <xdr:colOff>1846527</xdr:colOff>
      <xdr:row>0</xdr:row>
      <xdr:rowOff>535781</xdr:rowOff>
    </xdr:to>
    <xdr:sp macro="[0]!Guarda_Hojas_ZIP" textlink="">
      <xdr:nvSpPr>
        <xdr:cNvPr id="4" name="3 Rectángulo redondeado">
          <a:extLst>
            <a:ext uri="{FF2B5EF4-FFF2-40B4-BE49-F238E27FC236}">
              <a16:creationId xmlns:a16="http://schemas.microsoft.com/office/drawing/2014/main" id="{00000000-0008-0000-0400-000004000000}"/>
            </a:ext>
          </a:extLst>
        </xdr:cNvPr>
        <xdr:cNvSpPr/>
      </xdr:nvSpPr>
      <xdr:spPr>
        <a:xfrm>
          <a:off x="1950244" y="142875"/>
          <a:ext cx="1020233" cy="392906"/>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s-ES" sz="1100"/>
            <a:t>Crear/Comprimir CSV</a:t>
          </a:r>
        </a:p>
      </xdr:txBody>
    </xdr:sp>
    <xdr:clientData/>
  </xdr:twoCellAnchor>
  <xdr:twoCellAnchor>
    <xdr:from>
      <xdr:col>15</xdr:col>
      <xdr:colOff>365125</xdr:colOff>
      <xdr:row>87</xdr:row>
      <xdr:rowOff>0</xdr:rowOff>
    </xdr:from>
    <xdr:to>
      <xdr:col>17</xdr:col>
      <xdr:colOff>366042</xdr:colOff>
      <xdr:row>89</xdr:row>
      <xdr:rowOff>178594</xdr:rowOff>
    </xdr:to>
    <xdr:sp macro="" textlink="">
      <xdr:nvSpPr>
        <xdr:cNvPr id="5" name="4 Flecha izquierda">
          <a:extLst>
            <a:ext uri="{FF2B5EF4-FFF2-40B4-BE49-F238E27FC236}">
              <a16:creationId xmlns:a16="http://schemas.microsoft.com/office/drawing/2014/main" id="{00000000-0008-0000-0400-000005000000}"/>
            </a:ext>
          </a:extLst>
        </xdr:cNvPr>
        <xdr:cNvSpPr/>
      </xdr:nvSpPr>
      <xdr:spPr>
        <a:xfrm rot="1393571">
          <a:off x="15287625" y="48371125"/>
          <a:ext cx="1524917" cy="654844"/>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16</xdr:col>
      <xdr:colOff>371078</xdr:colOff>
      <xdr:row>91</xdr:row>
      <xdr:rowOff>243481</xdr:rowOff>
    </xdr:from>
    <xdr:to>
      <xdr:col>17</xdr:col>
      <xdr:colOff>323453</xdr:colOff>
      <xdr:row>103</xdr:row>
      <xdr:rowOff>215837</xdr:rowOff>
    </xdr:to>
    <xdr:sp macro="" textlink="">
      <xdr:nvSpPr>
        <xdr:cNvPr id="6" name="5 Flecha izquierda">
          <a:extLst>
            <a:ext uri="{FF2B5EF4-FFF2-40B4-BE49-F238E27FC236}">
              <a16:creationId xmlns:a16="http://schemas.microsoft.com/office/drawing/2014/main" id="{00000000-0008-0000-0400-000006000000}"/>
            </a:ext>
          </a:extLst>
        </xdr:cNvPr>
        <xdr:cNvSpPr/>
      </xdr:nvSpPr>
      <xdr:spPr>
        <a:xfrm rot="17741993">
          <a:off x="14148525" y="51585284"/>
          <a:ext cx="4528481" cy="7143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15</xdr:col>
      <xdr:colOff>345281</xdr:colOff>
      <xdr:row>144</xdr:row>
      <xdr:rowOff>107156</xdr:rowOff>
    </xdr:from>
    <xdr:to>
      <xdr:col>18</xdr:col>
      <xdr:colOff>480459</xdr:colOff>
      <xdr:row>148</xdr:row>
      <xdr:rowOff>23813</xdr:rowOff>
    </xdr:to>
    <xdr:sp macro="" textlink="">
      <xdr:nvSpPr>
        <xdr:cNvPr id="8" name="7 Rectángulo redondeado">
          <a:extLst>
            <a:ext uri="{FF2B5EF4-FFF2-40B4-BE49-F238E27FC236}">
              <a16:creationId xmlns:a16="http://schemas.microsoft.com/office/drawing/2014/main" id="{00000000-0008-0000-0400-000008000000}"/>
            </a:ext>
          </a:extLst>
        </xdr:cNvPr>
        <xdr:cNvSpPr/>
      </xdr:nvSpPr>
      <xdr:spPr>
        <a:xfrm>
          <a:off x="15275719" y="65877281"/>
          <a:ext cx="2421178" cy="11906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400" b="0"/>
            <a:t>Según</a:t>
          </a:r>
          <a:r>
            <a:rPr lang="es-CL" sz="1400" b="0" baseline="0"/>
            <a:t> instructivo de la SVS, este bloque </a:t>
          </a:r>
          <a:r>
            <a:rPr lang="es-CL" sz="1400" b="1" baseline="0">
              <a:solidFill>
                <a:srgbClr val="CC0000"/>
              </a:solidFill>
            </a:rPr>
            <a:t>no es validado </a:t>
          </a:r>
          <a:r>
            <a:rPr lang="es-CL" sz="1400" b="0" baseline="0"/>
            <a:t>como la suma de los elementos anteriores.</a:t>
          </a:r>
          <a:endParaRPr lang="es-CL" sz="1400" b="0"/>
        </a:p>
      </xdr:txBody>
    </xdr:sp>
    <xdr:clientData/>
  </xdr:twoCellAnchor>
  <xdr:twoCellAnchor>
    <xdr:from>
      <xdr:col>17</xdr:col>
      <xdr:colOff>619125</xdr:colOff>
      <xdr:row>87</xdr:row>
      <xdr:rowOff>20410</xdr:rowOff>
    </xdr:from>
    <xdr:to>
      <xdr:col>20</xdr:col>
      <xdr:colOff>754303</xdr:colOff>
      <xdr:row>91</xdr:row>
      <xdr:rowOff>125863</xdr:rowOff>
    </xdr:to>
    <xdr:sp macro="" textlink="">
      <xdr:nvSpPr>
        <xdr:cNvPr id="10" name="9 Rectángulo redondeado">
          <a:extLst>
            <a:ext uri="{FF2B5EF4-FFF2-40B4-BE49-F238E27FC236}">
              <a16:creationId xmlns:a16="http://schemas.microsoft.com/office/drawing/2014/main" id="{00000000-0008-0000-0400-00000A000000}"/>
            </a:ext>
          </a:extLst>
        </xdr:cNvPr>
        <xdr:cNvSpPr/>
      </xdr:nvSpPr>
      <xdr:spPr>
        <a:xfrm>
          <a:off x="17083768" y="47958374"/>
          <a:ext cx="2421178" cy="116681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Todos los valores  corresponden</a:t>
          </a:r>
          <a:r>
            <a:rPr lang="es-CL" sz="1100" baseline="0"/>
            <a:t> a la suma de las combinaciones de negocios que se hayan agregado mas las </a:t>
          </a:r>
          <a:r>
            <a:rPr lang="es-CL" sz="1100" b="1" baseline="0"/>
            <a:t>combinaciones de  negocios individualmnente no significativas.</a:t>
          </a:r>
          <a:endParaRPr lang="es-CL" sz="1100" b="1"/>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142876</xdr:rowOff>
    </xdr:from>
    <xdr:to>
      <xdr:col>5</xdr:col>
      <xdr:colOff>661193</xdr:colOff>
      <xdr:row>0</xdr:row>
      <xdr:rowOff>523876</xdr:rowOff>
    </xdr:to>
    <xdr:sp macro="[0]!Guarda_Hojas_CSV" textlink="">
      <xdr:nvSpPr>
        <xdr:cNvPr id="2" name="1 Rectángulo redondeado">
          <a:extLst>
            <a:ext uri="{FF2B5EF4-FFF2-40B4-BE49-F238E27FC236}">
              <a16:creationId xmlns:a16="http://schemas.microsoft.com/office/drawing/2014/main" id="{00000000-0008-0000-0500-000002000000}"/>
            </a:ext>
          </a:extLst>
        </xdr:cNvPr>
        <xdr:cNvSpPr/>
      </xdr:nvSpPr>
      <xdr:spPr>
        <a:xfrm>
          <a:off x="400050" y="142876"/>
          <a:ext cx="1385093" cy="3810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Crear CSV</a:t>
          </a:r>
        </a:p>
      </xdr:txBody>
    </xdr:sp>
    <xdr:clientData/>
  </xdr:twoCellAnchor>
  <xdr:twoCellAnchor>
    <xdr:from>
      <xdr:col>5</xdr:col>
      <xdr:colOff>826294</xdr:colOff>
      <xdr:row>0</xdr:row>
      <xdr:rowOff>142875</xdr:rowOff>
    </xdr:from>
    <xdr:to>
      <xdr:col>5</xdr:col>
      <xdr:colOff>1846527</xdr:colOff>
      <xdr:row>0</xdr:row>
      <xdr:rowOff>535781</xdr:rowOff>
    </xdr:to>
    <xdr:sp macro="[0]!Guarda_Hojas_ZIP" textlink="">
      <xdr:nvSpPr>
        <xdr:cNvPr id="4" name="3 Rectángulo redondeado">
          <a:extLst>
            <a:ext uri="{FF2B5EF4-FFF2-40B4-BE49-F238E27FC236}">
              <a16:creationId xmlns:a16="http://schemas.microsoft.com/office/drawing/2014/main" id="{00000000-0008-0000-0500-000004000000}"/>
            </a:ext>
          </a:extLst>
        </xdr:cNvPr>
        <xdr:cNvSpPr/>
      </xdr:nvSpPr>
      <xdr:spPr>
        <a:xfrm>
          <a:off x="1950244" y="142875"/>
          <a:ext cx="1020233" cy="392906"/>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s-ES" sz="1100"/>
            <a:t>Crear/Comprimir CSV</a:t>
          </a:r>
        </a:p>
      </xdr:txBody>
    </xdr:sp>
    <xdr:clientData/>
  </xdr:twoCellAnchor>
  <xdr:twoCellAnchor>
    <xdr:from>
      <xdr:col>9</xdr:col>
      <xdr:colOff>495853</xdr:colOff>
      <xdr:row>56</xdr:row>
      <xdr:rowOff>119063</xdr:rowOff>
    </xdr:from>
    <xdr:to>
      <xdr:col>11</xdr:col>
      <xdr:colOff>31509</xdr:colOff>
      <xdr:row>60</xdr:row>
      <xdr:rowOff>11907</xdr:rowOff>
    </xdr:to>
    <xdr:sp macro="" textlink="">
      <xdr:nvSpPr>
        <xdr:cNvPr id="5" name="4 Flecha izquierda">
          <a:extLst>
            <a:ext uri="{FF2B5EF4-FFF2-40B4-BE49-F238E27FC236}">
              <a16:creationId xmlns:a16="http://schemas.microsoft.com/office/drawing/2014/main" id="{00000000-0008-0000-0500-000005000000}"/>
            </a:ext>
          </a:extLst>
        </xdr:cNvPr>
        <xdr:cNvSpPr/>
      </xdr:nvSpPr>
      <xdr:spPr>
        <a:xfrm>
          <a:off x="9985134" y="24312563"/>
          <a:ext cx="1059656" cy="654844"/>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9</xdr:col>
      <xdr:colOff>166687</xdr:colOff>
      <xdr:row>62</xdr:row>
      <xdr:rowOff>471810</xdr:rowOff>
    </xdr:from>
    <xdr:to>
      <xdr:col>11</xdr:col>
      <xdr:colOff>601024</xdr:colOff>
      <xdr:row>63</xdr:row>
      <xdr:rowOff>19372</xdr:rowOff>
    </xdr:to>
    <xdr:sp macro="" textlink="">
      <xdr:nvSpPr>
        <xdr:cNvPr id="6" name="5 Flecha izquierda">
          <a:extLst>
            <a:ext uri="{FF2B5EF4-FFF2-40B4-BE49-F238E27FC236}">
              <a16:creationId xmlns:a16="http://schemas.microsoft.com/office/drawing/2014/main" id="{00000000-0008-0000-0500-000006000000}"/>
            </a:ext>
          </a:extLst>
        </xdr:cNvPr>
        <xdr:cNvSpPr/>
      </xdr:nvSpPr>
      <xdr:spPr>
        <a:xfrm rot="19148920">
          <a:off x="9655968" y="26010716"/>
          <a:ext cx="1958337" cy="7143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11</xdr:col>
      <xdr:colOff>231322</xdr:colOff>
      <xdr:row>56</xdr:row>
      <xdr:rowOff>95250</xdr:rowOff>
    </xdr:from>
    <xdr:to>
      <xdr:col>14</xdr:col>
      <xdr:colOff>366500</xdr:colOff>
      <xdr:row>61</xdr:row>
      <xdr:rowOff>295952</xdr:rowOff>
    </xdr:to>
    <xdr:sp macro="" textlink="">
      <xdr:nvSpPr>
        <xdr:cNvPr id="9" name="8 Rectángulo redondeado">
          <a:extLst>
            <a:ext uri="{FF2B5EF4-FFF2-40B4-BE49-F238E27FC236}">
              <a16:creationId xmlns:a16="http://schemas.microsoft.com/office/drawing/2014/main" id="{00000000-0008-0000-0500-000009000000}"/>
            </a:ext>
          </a:extLst>
        </xdr:cNvPr>
        <xdr:cNvSpPr/>
      </xdr:nvSpPr>
      <xdr:spPr>
        <a:xfrm>
          <a:off x="11266715" y="24329571"/>
          <a:ext cx="2421178" cy="116681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Todos los valores  corresponden</a:t>
          </a:r>
          <a:r>
            <a:rPr lang="es-CL" sz="1100" baseline="0"/>
            <a:t> a la suma de las combinaciones de negocios que se hayan agregado mas las </a:t>
          </a:r>
          <a:r>
            <a:rPr lang="es-CL" sz="1100" b="1" baseline="0"/>
            <a:t>combinaciones de  negocios individualmnente no significativas.</a:t>
          </a:r>
          <a:endParaRPr lang="es-CL" sz="1100" b="1"/>
        </a:p>
      </xdr:txBody>
    </xdr:sp>
    <xdr:clientData/>
  </xdr:twoCellAnchor>
  <xdr:twoCellAnchor>
    <xdr:from>
      <xdr:col>9</xdr:col>
      <xdr:colOff>254533</xdr:colOff>
      <xdr:row>81</xdr:row>
      <xdr:rowOff>134470</xdr:rowOff>
    </xdr:from>
    <xdr:to>
      <xdr:col>12</xdr:col>
      <xdr:colOff>389711</xdr:colOff>
      <xdr:row>81</xdr:row>
      <xdr:rowOff>1322695</xdr:rowOff>
    </xdr:to>
    <xdr:sp macro="" textlink="">
      <xdr:nvSpPr>
        <xdr:cNvPr id="10" name="9 Rectángulo redondeado">
          <a:extLst>
            <a:ext uri="{FF2B5EF4-FFF2-40B4-BE49-F238E27FC236}">
              <a16:creationId xmlns:a16="http://schemas.microsoft.com/office/drawing/2014/main" id="{00000000-0008-0000-0500-00000A000000}"/>
            </a:ext>
          </a:extLst>
        </xdr:cNvPr>
        <xdr:cNvSpPr/>
      </xdr:nvSpPr>
      <xdr:spPr>
        <a:xfrm>
          <a:off x="9757121" y="22131617"/>
          <a:ext cx="2421178" cy="1188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400" b="0"/>
            <a:t>Según</a:t>
          </a:r>
          <a:r>
            <a:rPr lang="es-CL" sz="1400" b="0" baseline="0"/>
            <a:t> instructivo de la SVS, este bloque </a:t>
          </a:r>
          <a:r>
            <a:rPr lang="es-CL" sz="1400" b="1" baseline="0">
              <a:solidFill>
                <a:srgbClr val="CC0000"/>
              </a:solidFill>
            </a:rPr>
            <a:t>no es validado </a:t>
          </a:r>
          <a:r>
            <a:rPr lang="es-CL" sz="1400" b="0" baseline="0"/>
            <a:t>como la suma de los elementos anteriores.</a:t>
          </a:r>
          <a:endParaRPr lang="es-CL" sz="1400" b="0"/>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J35"/>
  <sheetViews>
    <sheetView zoomScale="90" zoomScaleNormal="90" workbookViewId="0">
      <selection activeCell="F33" sqref="F33"/>
    </sheetView>
  </sheetViews>
  <sheetFormatPr baseColWidth="10" defaultRowHeight="14.4"/>
  <cols>
    <col min="1" max="5" width="2.6640625" customWidth="1"/>
    <col min="6" max="6" width="102.6640625" customWidth="1"/>
    <col min="7" max="7" width="2.6640625" customWidth="1"/>
    <col min="8" max="9" width="16.6640625" customWidth="1"/>
  </cols>
  <sheetData>
    <row r="1" spans="1:10" ht="105" customHeight="1">
      <c r="A1" t="s">
        <v>0</v>
      </c>
    </row>
    <row r="2" spans="1:10">
      <c r="G2" s="255" t="s">
        <v>0</v>
      </c>
      <c r="H2" s="256" t="s">
        <v>334</v>
      </c>
    </row>
    <row r="3" spans="1:10">
      <c r="B3" s="80"/>
      <c r="C3" s="81"/>
      <c r="D3" s="81"/>
      <c r="E3" s="81"/>
      <c r="F3" s="81"/>
      <c r="G3" s="81"/>
      <c r="H3" s="81"/>
      <c r="I3" s="81"/>
      <c r="J3" s="82"/>
    </row>
    <row r="4" spans="1:10">
      <c r="B4" s="83"/>
      <c r="C4" s="84"/>
      <c r="D4" s="84" t="s">
        <v>0</v>
      </c>
      <c r="E4" s="84" t="s">
        <v>0</v>
      </c>
      <c r="F4" s="1" t="s">
        <v>6</v>
      </c>
      <c r="G4" s="84" t="s">
        <v>0</v>
      </c>
      <c r="H4" s="84"/>
      <c r="I4" s="84"/>
      <c r="J4" s="85"/>
    </row>
    <row r="5" spans="1:10">
      <c r="B5" s="83" t="s">
        <v>335</v>
      </c>
      <c r="C5" s="84" t="s">
        <v>174</v>
      </c>
      <c r="D5" s="84" t="s">
        <v>0</v>
      </c>
      <c r="E5" s="84" t="s">
        <v>0</v>
      </c>
      <c r="F5" s="3" t="s">
        <v>344</v>
      </c>
      <c r="G5" s="84" t="s">
        <v>0</v>
      </c>
      <c r="H5" s="84"/>
      <c r="I5" s="84"/>
      <c r="J5" s="85"/>
    </row>
    <row r="6" spans="1:10">
      <c r="B6" s="83" t="s">
        <v>0</v>
      </c>
      <c r="C6" s="84" t="s">
        <v>0</v>
      </c>
      <c r="D6" s="84" t="s">
        <v>0</v>
      </c>
      <c r="E6" s="84" t="s">
        <v>0</v>
      </c>
      <c r="F6" s="4"/>
      <c r="G6" s="84" t="s">
        <v>0</v>
      </c>
      <c r="H6" s="84"/>
      <c r="I6" s="84"/>
      <c r="J6" s="85"/>
    </row>
    <row r="7" spans="1:10" ht="23.25" customHeight="1">
      <c r="B7" s="83"/>
      <c r="C7" s="84"/>
      <c r="D7" s="84" t="s">
        <v>0</v>
      </c>
      <c r="E7" s="84" t="s">
        <v>0</v>
      </c>
      <c r="F7" s="2" t="s">
        <v>66</v>
      </c>
      <c r="G7" s="84" t="s">
        <v>0</v>
      </c>
      <c r="H7" s="84"/>
      <c r="I7" s="84"/>
      <c r="J7" s="85"/>
    </row>
    <row r="8" spans="1:10" ht="17.25" customHeight="1">
      <c r="B8" s="83" t="s">
        <v>335</v>
      </c>
      <c r="C8" s="84" t="s">
        <v>175</v>
      </c>
      <c r="D8" s="84" t="s">
        <v>0</v>
      </c>
      <c r="E8" s="84" t="s">
        <v>0</v>
      </c>
      <c r="F8" s="3" t="s">
        <v>345</v>
      </c>
      <c r="G8" s="84" t="s">
        <v>0</v>
      </c>
      <c r="H8" s="84"/>
      <c r="I8" s="5"/>
      <c r="J8" s="85"/>
    </row>
    <row r="9" spans="1:10">
      <c r="B9" s="83" t="s">
        <v>0</v>
      </c>
      <c r="C9" s="84" t="s">
        <v>0</v>
      </c>
      <c r="D9" s="84" t="s">
        <v>0</v>
      </c>
      <c r="E9" s="84" t="s">
        <v>0</v>
      </c>
      <c r="F9" s="2"/>
      <c r="G9" s="5" t="s">
        <v>0</v>
      </c>
      <c r="H9" s="84"/>
      <c r="I9" s="5"/>
      <c r="J9" s="85"/>
    </row>
    <row r="10" spans="1:10" ht="31.5" customHeight="1">
      <c r="B10" s="83"/>
      <c r="C10" s="84"/>
      <c r="D10" s="84" t="s">
        <v>0</v>
      </c>
      <c r="E10" s="84" t="s">
        <v>0</v>
      </c>
      <c r="F10" s="2" t="s">
        <v>67</v>
      </c>
      <c r="G10" s="5" t="s">
        <v>0</v>
      </c>
      <c r="H10" s="84"/>
      <c r="I10" s="5"/>
      <c r="J10" s="85"/>
    </row>
    <row r="11" spans="1:10" ht="17.25" customHeight="1">
      <c r="B11" s="83" t="s">
        <v>335</v>
      </c>
      <c r="C11" s="84" t="s">
        <v>176</v>
      </c>
      <c r="D11" s="84" t="s">
        <v>0</v>
      </c>
      <c r="E11" s="84" t="s">
        <v>0</v>
      </c>
      <c r="F11" s="3" t="s">
        <v>346</v>
      </c>
      <c r="G11" s="84" t="s">
        <v>0</v>
      </c>
      <c r="H11" s="84"/>
      <c r="I11" s="5"/>
      <c r="J11" s="85"/>
    </row>
    <row r="12" spans="1:10" ht="17.25" customHeight="1">
      <c r="B12" s="83" t="s">
        <v>0</v>
      </c>
      <c r="C12" s="84" t="s">
        <v>0</v>
      </c>
      <c r="D12" s="84" t="s">
        <v>0</v>
      </c>
      <c r="E12" s="84" t="s">
        <v>0</v>
      </c>
      <c r="F12" s="84"/>
      <c r="G12" s="84" t="s">
        <v>0</v>
      </c>
      <c r="H12" s="84"/>
      <c r="I12" s="5"/>
      <c r="J12" s="85"/>
    </row>
    <row r="13" spans="1:10">
      <c r="B13" s="83"/>
      <c r="C13" s="84"/>
      <c r="D13" s="84" t="s">
        <v>0</v>
      </c>
      <c r="E13" s="84" t="s">
        <v>0</v>
      </c>
      <c r="F13" s="84" t="s">
        <v>68</v>
      </c>
      <c r="G13" s="84" t="s">
        <v>0</v>
      </c>
      <c r="H13" s="84"/>
      <c r="I13" s="5"/>
      <c r="J13" s="85"/>
    </row>
    <row r="14" spans="1:10" ht="15.75" customHeight="1">
      <c r="B14" s="83" t="s">
        <v>335</v>
      </c>
      <c r="C14" s="84" t="s">
        <v>177</v>
      </c>
      <c r="D14" s="84" t="s">
        <v>0</v>
      </c>
      <c r="E14" s="84" t="s">
        <v>0</v>
      </c>
      <c r="F14" s="3" t="s">
        <v>347</v>
      </c>
      <c r="G14" s="84" t="s">
        <v>0</v>
      </c>
      <c r="H14" s="84"/>
      <c r="I14" s="5"/>
      <c r="J14" s="85"/>
    </row>
    <row r="15" spans="1:10">
      <c r="B15" s="83" t="s">
        <v>0</v>
      </c>
      <c r="C15" s="84" t="s">
        <v>0</v>
      </c>
      <c r="D15" s="84" t="s">
        <v>0</v>
      </c>
      <c r="E15" s="84" t="s">
        <v>0</v>
      </c>
      <c r="F15" s="84"/>
      <c r="G15" s="84" t="s">
        <v>0</v>
      </c>
      <c r="H15" s="84"/>
      <c r="I15" s="5"/>
      <c r="J15" s="85"/>
    </row>
    <row r="16" spans="1:10">
      <c r="B16" s="83"/>
      <c r="C16" s="84"/>
      <c r="D16" s="84" t="s">
        <v>0</v>
      </c>
      <c r="E16" s="84" t="s">
        <v>0</v>
      </c>
      <c r="F16" s="84" t="s">
        <v>69</v>
      </c>
      <c r="G16" s="84" t="s">
        <v>0</v>
      </c>
      <c r="H16" s="84"/>
      <c r="I16" s="5"/>
      <c r="J16" s="85"/>
    </row>
    <row r="17" spans="2:10" ht="17.25" customHeight="1">
      <c r="B17" s="83" t="s">
        <v>335</v>
      </c>
      <c r="C17" s="84" t="s">
        <v>178</v>
      </c>
      <c r="D17" s="84" t="s">
        <v>0</v>
      </c>
      <c r="E17" s="84" t="s">
        <v>0</v>
      </c>
      <c r="F17" s="3" t="s">
        <v>348</v>
      </c>
      <c r="G17" s="84" t="s">
        <v>0</v>
      </c>
      <c r="H17" s="84"/>
      <c r="I17" s="5"/>
      <c r="J17" s="85"/>
    </row>
    <row r="18" spans="2:10" ht="17.25" customHeight="1">
      <c r="B18" s="83" t="s">
        <v>0</v>
      </c>
      <c r="C18" s="84" t="s">
        <v>0</v>
      </c>
      <c r="D18" s="84" t="s">
        <v>0</v>
      </c>
      <c r="E18" s="84" t="s">
        <v>0</v>
      </c>
      <c r="F18" s="84"/>
      <c r="G18" s="84" t="s">
        <v>0</v>
      </c>
      <c r="H18" s="84"/>
      <c r="I18" s="5"/>
      <c r="J18" s="85"/>
    </row>
    <row r="19" spans="2:10" ht="17.25" customHeight="1">
      <c r="B19" s="83"/>
      <c r="C19" s="84"/>
      <c r="D19" s="84" t="s">
        <v>0</v>
      </c>
      <c r="E19" s="84" t="s">
        <v>0</v>
      </c>
      <c r="F19" s="84" t="s">
        <v>7</v>
      </c>
      <c r="G19" s="84" t="s">
        <v>0</v>
      </c>
      <c r="H19" s="84"/>
      <c r="I19" s="5"/>
      <c r="J19" s="85"/>
    </row>
    <row r="20" spans="2:10" ht="17.25" customHeight="1">
      <c r="B20" s="83" t="s">
        <v>335</v>
      </c>
      <c r="C20" s="84" t="s">
        <v>179</v>
      </c>
      <c r="D20" s="84" t="s">
        <v>0</v>
      </c>
      <c r="E20" s="84" t="s">
        <v>0</v>
      </c>
      <c r="F20" s="3" t="s">
        <v>349</v>
      </c>
      <c r="G20" s="84" t="s">
        <v>0</v>
      </c>
      <c r="H20" s="84"/>
      <c r="I20" s="5"/>
      <c r="J20" s="85"/>
    </row>
    <row r="21" spans="2:10" ht="17.25" customHeight="1">
      <c r="B21" s="83"/>
      <c r="C21" s="84"/>
      <c r="D21" s="84"/>
      <c r="E21" s="84"/>
      <c r="F21" s="84"/>
      <c r="G21" s="84"/>
      <c r="H21" s="84"/>
      <c r="I21" s="5"/>
      <c r="J21" s="85"/>
    </row>
    <row r="22" spans="2:10" ht="17.25" customHeight="1">
      <c r="B22" s="83"/>
      <c r="C22" s="84"/>
      <c r="D22" s="84"/>
      <c r="E22" s="84"/>
      <c r="F22" s="89" t="s">
        <v>9</v>
      </c>
      <c r="G22" s="84"/>
      <c r="H22" s="84"/>
      <c r="I22" s="5"/>
      <c r="J22" s="85"/>
    </row>
    <row r="23" spans="2:10" ht="17.25" customHeight="1">
      <c r="B23" s="83"/>
      <c r="C23" s="84"/>
      <c r="D23" s="84"/>
      <c r="E23" s="84"/>
      <c r="F23" s="84"/>
      <c r="G23" s="84"/>
      <c r="H23" s="84"/>
      <c r="I23" s="5"/>
      <c r="J23" s="85"/>
    </row>
    <row r="24" spans="2:10" ht="17.25" customHeight="1">
      <c r="B24" s="83"/>
      <c r="C24" s="84"/>
      <c r="D24" s="84"/>
      <c r="E24" s="84"/>
      <c r="F24" s="91" t="s">
        <v>19</v>
      </c>
      <c r="G24" s="84"/>
      <c r="H24" s="84"/>
      <c r="I24" s="5"/>
      <c r="J24" s="85"/>
    </row>
    <row r="25" spans="2:10" ht="17.25" customHeight="1">
      <c r="B25" s="83"/>
      <c r="C25" s="84"/>
      <c r="D25" s="84"/>
      <c r="E25" s="84"/>
      <c r="F25" s="84"/>
      <c r="G25" s="84"/>
      <c r="H25" s="84"/>
      <c r="I25" s="5"/>
      <c r="J25" s="85"/>
    </row>
    <row r="26" spans="2:10" ht="33" customHeight="1">
      <c r="B26" s="83"/>
      <c r="C26" s="84"/>
      <c r="D26" s="84"/>
      <c r="E26" s="84"/>
      <c r="F26" s="92" t="s">
        <v>21</v>
      </c>
      <c r="G26" s="84"/>
      <c r="H26" s="84"/>
      <c r="I26" s="5"/>
      <c r="J26" s="85"/>
    </row>
    <row r="27" spans="2:10" ht="17.25" customHeight="1">
      <c r="B27" s="83"/>
      <c r="C27" s="84"/>
      <c r="D27" s="84"/>
      <c r="E27" s="84"/>
      <c r="F27" s="84"/>
      <c r="G27" s="84"/>
      <c r="H27" s="84"/>
      <c r="I27" s="5"/>
      <c r="J27" s="85"/>
    </row>
    <row r="28" spans="2:10" ht="17.25" customHeight="1">
      <c r="B28" s="83"/>
      <c r="C28" s="84"/>
      <c r="D28" s="84"/>
      <c r="E28" s="84"/>
      <c r="F28" s="94" t="s">
        <v>24</v>
      </c>
      <c r="G28" s="84"/>
      <c r="H28" s="84"/>
      <c r="I28" s="5"/>
      <c r="J28" s="85"/>
    </row>
    <row r="29" spans="2:10" ht="17.25" customHeight="1">
      <c r="B29" s="83"/>
      <c r="C29" s="84"/>
      <c r="D29" s="84"/>
      <c r="E29" s="84"/>
      <c r="F29" s="84"/>
      <c r="G29" s="84"/>
      <c r="H29" s="84"/>
      <c r="I29" s="5"/>
      <c r="J29" s="85"/>
    </row>
    <row r="30" spans="2:10" ht="17.25" customHeight="1">
      <c r="B30" s="83"/>
      <c r="C30" s="84"/>
      <c r="D30" s="84"/>
      <c r="E30" s="84"/>
      <c r="F30" s="95" t="s">
        <v>41</v>
      </c>
      <c r="G30" s="84"/>
      <c r="H30" s="84"/>
      <c r="I30" s="5"/>
      <c r="J30" s="85"/>
    </row>
    <row r="31" spans="2:10" ht="17.25" customHeight="1">
      <c r="B31" s="83"/>
      <c r="C31" s="84"/>
      <c r="D31" s="84"/>
      <c r="E31" s="84"/>
      <c r="F31" s="84"/>
      <c r="G31" s="84"/>
      <c r="H31" s="84"/>
      <c r="I31" s="5"/>
      <c r="J31" s="85"/>
    </row>
    <row r="32" spans="2:10" ht="40.5" customHeight="1">
      <c r="B32" s="83"/>
      <c r="C32" s="84"/>
      <c r="D32" s="84" t="s">
        <v>0</v>
      </c>
      <c r="E32" s="84" t="s">
        <v>0</v>
      </c>
      <c r="F32" s="96" t="s">
        <v>70</v>
      </c>
      <c r="G32" s="84"/>
      <c r="H32" s="84"/>
      <c r="I32" s="5"/>
      <c r="J32" s="85"/>
    </row>
    <row r="33" spans="2:10" ht="17.25" customHeight="1">
      <c r="B33" s="83" t="s">
        <v>335</v>
      </c>
      <c r="C33" s="84" t="s">
        <v>180</v>
      </c>
      <c r="D33" s="84" t="s">
        <v>0</v>
      </c>
      <c r="E33" s="84" t="s">
        <v>0</v>
      </c>
      <c r="F33" s="3" t="s">
        <v>350</v>
      </c>
      <c r="G33" s="84"/>
      <c r="H33" s="84"/>
      <c r="I33" s="5"/>
      <c r="J33" s="85"/>
    </row>
    <row r="34" spans="2:10" ht="17.25" customHeight="1">
      <c r="B34" s="83"/>
      <c r="C34" s="84"/>
      <c r="D34" s="84"/>
      <c r="E34" s="84"/>
      <c r="F34" s="84"/>
      <c r="G34" s="84"/>
      <c r="H34" s="84"/>
      <c r="I34" s="5"/>
      <c r="J34" s="85"/>
    </row>
    <row r="35" spans="2:10">
      <c r="B35" s="86"/>
      <c r="C35" s="87"/>
      <c r="D35" s="87"/>
      <c r="E35" s="87"/>
      <c r="F35" s="6"/>
      <c r="G35" s="87"/>
      <c r="H35" s="87"/>
      <c r="I35" s="87"/>
      <c r="J35" s="88"/>
    </row>
  </sheetData>
  <hyperlinks>
    <hyperlink ref="F22" location="'IFRS3-DetaCombNego'!A1" display="Información a revelar detallada sobre combinaciones de negocios [resumen]  "/>
    <hyperlink ref="F24" location="'IFRS3-ConcCambPlus'!A1" display="Información a revelar sobre conciliaciones o cambios en la plusvalía [resumen]  "/>
    <hyperlink ref="F26" location="'IFRS3-TranActvPasi'!A1" display=" Información a revelar sobre las transacciones reconocidas por separado por la adquisición de activos y asunción de pasivos en combinaciones de negocios [resumen]"/>
    <hyperlink ref="F28" location="'IFRS3-CuenCobrAdqu'!A1" display="Información a revelar sobre cuentas por cobrar adquiridas [resumen] "/>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9" tint="0.39997558519241921"/>
  </sheetPr>
  <dimension ref="A1:M157"/>
  <sheetViews>
    <sheetView topLeftCell="A145" zoomScale="80" zoomScaleNormal="80" workbookViewId="0">
      <selection activeCell="J90" sqref="J90"/>
    </sheetView>
  </sheetViews>
  <sheetFormatPr baseColWidth="10" defaultRowHeight="14.4"/>
  <cols>
    <col min="1" max="1" width="2.6640625" customWidth="1"/>
    <col min="2" max="2" width="3.33203125" customWidth="1"/>
    <col min="3" max="3" width="2.6640625" customWidth="1"/>
    <col min="4" max="4" width="5.44140625" customWidth="1"/>
    <col min="5" max="5" width="2.6640625" customWidth="1"/>
    <col min="6" max="6" width="109" customWidth="1"/>
    <col min="7" max="9" width="14" bestFit="1" customWidth="1"/>
    <col min="10" max="10" width="14.33203125" customWidth="1"/>
    <col min="11" max="11" width="14.109375" customWidth="1"/>
  </cols>
  <sheetData>
    <row r="1" spans="1:11" ht="54.9" customHeight="1" thickBot="1"/>
    <row r="2" spans="1:11" ht="177" customHeight="1" thickBot="1">
      <c r="F2" s="35" t="s">
        <v>2</v>
      </c>
    </row>
    <row r="3" spans="1:11" ht="16.2" thickBot="1">
      <c r="F3" s="36" t="s">
        <v>3</v>
      </c>
    </row>
    <row r="4" spans="1:11" ht="121.5" customHeight="1">
      <c r="A4" s="7" t="s">
        <v>290</v>
      </c>
      <c r="B4" s="8"/>
      <c r="C4" s="9"/>
      <c r="D4" s="9"/>
      <c r="E4" s="10"/>
      <c r="F4" s="11" t="s">
        <v>8</v>
      </c>
      <c r="G4" s="12" t="s">
        <v>1</v>
      </c>
      <c r="H4" s="12" t="s">
        <v>1</v>
      </c>
      <c r="I4" s="12" t="s">
        <v>1</v>
      </c>
      <c r="J4" s="13" t="s">
        <v>10</v>
      </c>
      <c r="K4" s="13" t="s">
        <v>11</v>
      </c>
    </row>
    <row r="5" spans="1:11" ht="121.5" hidden="1" customHeight="1">
      <c r="A5" s="14" t="s">
        <v>289</v>
      </c>
      <c r="B5" s="15"/>
      <c r="C5" s="16"/>
      <c r="D5" s="17" t="s">
        <v>292</v>
      </c>
      <c r="E5" s="18" t="s">
        <v>291</v>
      </c>
      <c r="F5" s="19"/>
      <c r="G5" s="27" t="str">
        <f>SUBSTITUTE(CONCATENATE("IFRS3-DetaCombNego_",TRIM(G4),"_",COLUMN(G5),"|",G4)," ","")</f>
        <v>IFRS3-DetaCombNego_Agregarcolumnaopcional_7|Agregarcolumnaopcional</v>
      </c>
      <c r="H5" s="27" t="str">
        <f>SUBSTITUTE(CONCATENATE("IFRS3-DetaCombNego_",TRIM(H4),"_",COLUMN(H5),"|",H4)," ","")</f>
        <v>IFRS3-DetaCombNego_Agregarcolumnaopcional_8|Agregarcolumnaopcional</v>
      </c>
      <c r="I5" s="27" t="str">
        <f>SUBSTITUTE(CONCATENATE("IFRS3-DetaCombNego_",TRIM(I4),"_",COLUMN(I5),"|",I4)," ","")</f>
        <v>IFRS3-DetaCombNego_Agregarcolumnaopcional_9|Agregarcolumnaopcional</v>
      </c>
      <c r="J5" s="20" t="s">
        <v>181</v>
      </c>
      <c r="K5" s="20" t="s">
        <v>182</v>
      </c>
    </row>
    <row r="6" spans="1:11">
      <c r="A6" s="21"/>
      <c r="B6" s="28"/>
      <c r="C6" s="29"/>
      <c r="D6" s="30"/>
      <c r="E6" s="31"/>
      <c r="F6" s="200"/>
      <c r="G6" s="40"/>
      <c r="H6" s="40"/>
      <c r="I6" s="40"/>
      <c r="J6" s="31"/>
      <c r="K6" s="99"/>
    </row>
    <row r="7" spans="1:11">
      <c r="A7" s="21"/>
      <c r="B7" s="22"/>
      <c r="C7" s="23"/>
      <c r="D7" s="24"/>
      <c r="E7" s="25"/>
      <c r="F7" s="204"/>
      <c r="G7" s="41"/>
      <c r="H7" s="41"/>
      <c r="I7" s="41"/>
      <c r="J7" s="23"/>
      <c r="K7" s="100"/>
    </row>
    <row r="8" spans="1:11" ht="12.75" customHeight="1">
      <c r="A8" s="21"/>
      <c r="B8" s="22" t="s">
        <v>335</v>
      </c>
      <c r="C8" s="23" t="s">
        <v>183</v>
      </c>
      <c r="D8" s="24" t="s">
        <v>4</v>
      </c>
      <c r="E8" s="23" t="s">
        <v>0</v>
      </c>
      <c r="F8" s="205" t="s">
        <v>71</v>
      </c>
      <c r="G8" s="209" t="s">
        <v>351</v>
      </c>
      <c r="H8" s="209"/>
      <c r="I8" s="209"/>
      <c r="J8" s="208"/>
      <c r="K8" s="208"/>
    </row>
    <row r="9" spans="1:11">
      <c r="A9" s="21"/>
      <c r="B9" s="22" t="s">
        <v>335</v>
      </c>
      <c r="C9" s="23" t="s">
        <v>184</v>
      </c>
      <c r="D9" s="24" t="s">
        <v>4</v>
      </c>
      <c r="E9" s="23" t="s">
        <v>0</v>
      </c>
      <c r="F9" s="205" t="s">
        <v>72</v>
      </c>
      <c r="G9" s="209" t="s">
        <v>352</v>
      </c>
      <c r="H9" s="209"/>
      <c r="I9" s="209"/>
      <c r="J9" s="208"/>
      <c r="K9" s="208"/>
    </row>
    <row r="10" spans="1:11">
      <c r="A10" s="21"/>
      <c r="B10" s="22" t="s">
        <v>335</v>
      </c>
      <c r="C10" s="23" t="s">
        <v>286</v>
      </c>
      <c r="D10" s="24" t="s">
        <v>4</v>
      </c>
      <c r="E10" s="23" t="s">
        <v>0</v>
      </c>
      <c r="F10" s="205" t="s">
        <v>329</v>
      </c>
      <c r="G10" s="211">
        <v>43516</v>
      </c>
      <c r="H10" s="211"/>
      <c r="I10" s="211"/>
      <c r="J10" s="210"/>
      <c r="K10" s="210"/>
    </row>
    <row r="11" spans="1:11">
      <c r="A11" s="21"/>
      <c r="B11" s="22" t="s">
        <v>335</v>
      </c>
      <c r="C11" s="23" t="s">
        <v>185</v>
      </c>
      <c r="D11" s="24" t="s">
        <v>4</v>
      </c>
      <c r="E11" s="23" t="s">
        <v>0</v>
      </c>
      <c r="F11" s="202" t="s">
        <v>73</v>
      </c>
      <c r="G11" s="213">
        <v>0.7</v>
      </c>
      <c r="H11" s="213"/>
      <c r="I11" s="213"/>
      <c r="J11" s="212"/>
      <c r="K11" s="212"/>
    </row>
    <row r="12" spans="1:11">
      <c r="A12" s="21"/>
      <c r="B12" s="22" t="s">
        <v>335</v>
      </c>
      <c r="C12" s="23" t="s">
        <v>186</v>
      </c>
      <c r="D12" s="24" t="s">
        <v>4</v>
      </c>
      <c r="E12" s="23" t="s">
        <v>0</v>
      </c>
      <c r="F12" s="205" t="s">
        <v>74</v>
      </c>
      <c r="G12" s="209" t="s">
        <v>353</v>
      </c>
      <c r="H12" s="209"/>
      <c r="I12" s="209"/>
      <c r="J12" s="208"/>
      <c r="K12" s="208"/>
    </row>
    <row r="13" spans="1:11">
      <c r="A13" s="21"/>
      <c r="B13" s="22" t="s">
        <v>335</v>
      </c>
      <c r="C13" s="23" t="s">
        <v>187</v>
      </c>
      <c r="D13" s="24" t="s">
        <v>4</v>
      </c>
      <c r="E13" s="23" t="s">
        <v>0</v>
      </c>
      <c r="F13" s="205" t="s">
        <v>75</v>
      </c>
      <c r="G13" s="209" t="s">
        <v>354</v>
      </c>
      <c r="H13" s="209"/>
      <c r="I13" s="209"/>
      <c r="J13" s="208"/>
      <c r="K13" s="208"/>
    </row>
    <row r="14" spans="1:11">
      <c r="A14" s="21"/>
      <c r="B14" s="22" t="s">
        <v>335</v>
      </c>
      <c r="C14" s="23" t="s">
        <v>188</v>
      </c>
      <c r="D14" s="24" t="s">
        <v>4</v>
      </c>
      <c r="E14" s="23" t="s">
        <v>0</v>
      </c>
      <c r="F14" s="205" t="s">
        <v>76</v>
      </c>
      <c r="G14" s="209" t="s">
        <v>355</v>
      </c>
      <c r="H14" s="209"/>
      <c r="I14" s="209"/>
      <c r="J14" s="208"/>
      <c r="K14" s="208"/>
    </row>
    <row r="15" spans="1:11">
      <c r="A15" s="21"/>
      <c r="B15" s="22"/>
      <c r="C15" s="23"/>
      <c r="D15" s="24"/>
      <c r="E15" s="23" t="s">
        <v>0</v>
      </c>
      <c r="F15" s="201" t="s">
        <v>12</v>
      </c>
      <c r="G15" s="41"/>
      <c r="H15" s="41"/>
      <c r="I15" s="41"/>
      <c r="J15" s="66" t="s">
        <v>0</v>
      </c>
      <c r="K15" s="98"/>
    </row>
    <row r="16" spans="1:11">
      <c r="A16" s="21"/>
      <c r="B16" s="22" t="s">
        <v>335</v>
      </c>
      <c r="C16" s="23" t="s">
        <v>189</v>
      </c>
      <c r="D16" s="24" t="s">
        <v>4</v>
      </c>
      <c r="E16" s="23" t="s">
        <v>0</v>
      </c>
      <c r="F16" s="205" t="s">
        <v>77</v>
      </c>
      <c r="G16" s="43">
        <v>1000</v>
      </c>
      <c r="H16" s="43"/>
      <c r="I16" s="43"/>
      <c r="J16" s="247">
        <f>SUM(G16:I16)</f>
        <v>1000</v>
      </c>
      <c r="K16" s="26"/>
    </row>
    <row r="17" spans="1:11">
      <c r="A17" s="21"/>
      <c r="B17" s="22" t="s">
        <v>335</v>
      </c>
      <c r="C17" s="23" t="s">
        <v>190</v>
      </c>
      <c r="D17" s="24" t="s">
        <v>4</v>
      </c>
      <c r="E17" s="23" t="s">
        <v>0</v>
      </c>
      <c r="F17" s="205" t="s">
        <v>78</v>
      </c>
      <c r="G17" s="43">
        <v>2000</v>
      </c>
      <c r="H17" s="43"/>
      <c r="I17" s="43"/>
      <c r="J17" s="247">
        <f t="shared" ref="J17:J23" si="0">SUM(G17:I17)</f>
        <v>2000</v>
      </c>
      <c r="K17" s="26"/>
    </row>
    <row r="18" spans="1:11">
      <c r="A18" s="21"/>
      <c r="B18" s="22" t="s">
        <v>335</v>
      </c>
      <c r="C18" s="23" t="s">
        <v>191</v>
      </c>
      <c r="D18" s="24" t="s">
        <v>4</v>
      </c>
      <c r="E18" s="23" t="s">
        <v>0</v>
      </c>
      <c r="F18" s="205" t="s">
        <v>79</v>
      </c>
      <c r="G18" s="43">
        <v>3000</v>
      </c>
      <c r="H18" s="43"/>
      <c r="I18" s="43"/>
      <c r="J18" s="247">
        <f t="shared" si="0"/>
        <v>3000</v>
      </c>
      <c r="K18" s="26"/>
    </row>
    <row r="19" spans="1:11">
      <c r="A19" s="21"/>
      <c r="B19" s="22" t="s">
        <v>335</v>
      </c>
      <c r="C19" s="23" t="s">
        <v>192</v>
      </c>
      <c r="D19" s="24" t="s">
        <v>4</v>
      </c>
      <c r="E19" s="23" t="s">
        <v>0</v>
      </c>
      <c r="F19" s="205" t="s">
        <v>80</v>
      </c>
      <c r="G19" s="43">
        <v>4000</v>
      </c>
      <c r="H19" s="43"/>
      <c r="I19" s="43"/>
      <c r="J19" s="247">
        <f t="shared" si="0"/>
        <v>4000</v>
      </c>
      <c r="K19" s="26"/>
    </row>
    <row r="20" spans="1:11">
      <c r="A20" s="21"/>
      <c r="B20" s="22" t="s">
        <v>335</v>
      </c>
      <c r="C20" s="23" t="s">
        <v>193</v>
      </c>
      <c r="D20" s="24" t="s">
        <v>4</v>
      </c>
      <c r="E20" s="23" t="s">
        <v>0</v>
      </c>
      <c r="F20" s="205" t="s">
        <v>81</v>
      </c>
      <c r="G20" s="215">
        <v>40</v>
      </c>
      <c r="H20" s="215"/>
      <c r="I20" s="215"/>
      <c r="J20" s="214"/>
      <c r="K20" s="214"/>
    </row>
    <row r="21" spans="1:11">
      <c r="A21" s="21"/>
      <c r="B21" s="22" t="s">
        <v>335</v>
      </c>
      <c r="C21" s="23" t="s">
        <v>194</v>
      </c>
      <c r="D21" s="24" t="s">
        <v>4</v>
      </c>
      <c r="E21" s="23" t="s">
        <v>0</v>
      </c>
      <c r="F21" s="202" t="s">
        <v>82</v>
      </c>
      <c r="G21" s="209" t="s">
        <v>356</v>
      </c>
      <c r="H21" s="209"/>
      <c r="I21" s="209"/>
      <c r="J21" s="208"/>
      <c r="K21" s="208"/>
    </row>
    <row r="22" spans="1:11">
      <c r="A22" s="21"/>
      <c r="B22" s="22" t="s">
        <v>335</v>
      </c>
      <c r="C22" s="23" t="s">
        <v>195</v>
      </c>
      <c r="D22" s="24" t="s">
        <v>4</v>
      </c>
      <c r="E22" s="23" t="s">
        <v>0</v>
      </c>
      <c r="F22" s="206" t="s">
        <v>83</v>
      </c>
      <c r="G22" s="249">
        <f>SUM(G16:G19)</f>
        <v>10000</v>
      </c>
      <c r="H22" s="249">
        <f t="shared" ref="H22" si="1">SUM(H16:H19)</f>
        <v>0</v>
      </c>
      <c r="I22" s="249">
        <f t="shared" ref="I22:J22" si="2">SUM(I16:I19)</f>
        <v>0</v>
      </c>
      <c r="J22" s="247">
        <f t="shared" si="2"/>
        <v>10000</v>
      </c>
      <c r="K22" s="247"/>
    </row>
    <row r="23" spans="1:11">
      <c r="A23" s="21"/>
      <c r="B23" s="22" t="s">
        <v>335</v>
      </c>
      <c r="C23" s="23" t="s">
        <v>325</v>
      </c>
      <c r="D23" s="24" t="s">
        <v>4</v>
      </c>
      <c r="E23" s="23" t="s">
        <v>0</v>
      </c>
      <c r="F23" s="266" t="s">
        <v>327</v>
      </c>
      <c r="G23" s="43">
        <v>1000</v>
      </c>
      <c r="H23" s="43"/>
      <c r="I23" s="43"/>
      <c r="J23" s="247">
        <f t="shared" si="0"/>
        <v>1000</v>
      </c>
      <c r="K23" s="26"/>
    </row>
    <row r="24" spans="1:11">
      <c r="A24" s="21"/>
      <c r="B24" s="22" t="s">
        <v>335</v>
      </c>
      <c r="C24" s="23" t="s">
        <v>326</v>
      </c>
      <c r="D24" s="24" t="s">
        <v>4</v>
      </c>
      <c r="E24" s="23" t="s">
        <v>0</v>
      </c>
      <c r="F24" s="266" t="s">
        <v>328</v>
      </c>
      <c r="G24" s="43">
        <v>2000</v>
      </c>
      <c r="H24" s="43"/>
      <c r="I24" s="43"/>
      <c r="J24" s="247">
        <f t="shared" ref="J24" si="3">SUM(G24:I24)</f>
        <v>2000</v>
      </c>
      <c r="K24" s="26"/>
    </row>
    <row r="25" spans="1:11">
      <c r="A25" s="21"/>
      <c r="B25" s="22" t="s">
        <v>335</v>
      </c>
      <c r="C25" s="23" t="s">
        <v>196</v>
      </c>
      <c r="D25" s="24" t="s">
        <v>4</v>
      </c>
      <c r="E25" s="23" t="s">
        <v>0</v>
      </c>
      <c r="F25" s="202" t="s">
        <v>84</v>
      </c>
      <c r="G25" s="209" t="s">
        <v>351</v>
      </c>
      <c r="H25" s="209"/>
      <c r="I25" s="209"/>
      <c r="J25" s="208"/>
      <c r="K25" s="208"/>
    </row>
    <row r="26" spans="1:11" ht="24.75" customHeight="1">
      <c r="A26" s="21"/>
      <c r="B26" s="22" t="s">
        <v>335</v>
      </c>
      <c r="C26" s="23" t="s">
        <v>197</v>
      </c>
      <c r="D26" s="24" t="s">
        <v>4</v>
      </c>
      <c r="E26" s="23" t="s">
        <v>0</v>
      </c>
      <c r="F26" s="202" t="s">
        <v>85</v>
      </c>
      <c r="G26" s="209" t="s">
        <v>352</v>
      </c>
      <c r="H26" s="209"/>
      <c r="I26" s="209"/>
      <c r="J26" s="208"/>
      <c r="K26" s="208"/>
    </row>
    <row r="27" spans="1:11" ht="22.8">
      <c r="A27" s="21"/>
      <c r="B27" s="22" t="s">
        <v>335</v>
      </c>
      <c r="C27" s="23" t="s">
        <v>198</v>
      </c>
      <c r="D27" s="24" t="s">
        <v>4</v>
      </c>
      <c r="E27" s="23" t="s">
        <v>0</v>
      </c>
      <c r="F27" s="202" t="s">
        <v>86</v>
      </c>
      <c r="G27" s="209" t="s">
        <v>353</v>
      </c>
      <c r="H27" s="209"/>
      <c r="I27" s="209"/>
      <c r="J27" s="208"/>
      <c r="K27" s="208"/>
    </row>
    <row r="28" spans="1:11" ht="22.8">
      <c r="A28" s="21"/>
      <c r="B28" s="22" t="s">
        <v>335</v>
      </c>
      <c r="C28" s="23" t="s">
        <v>199</v>
      </c>
      <c r="D28" s="24" t="s">
        <v>4</v>
      </c>
      <c r="E28" s="23" t="s">
        <v>0</v>
      </c>
      <c r="F28" s="202" t="s">
        <v>87</v>
      </c>
      <c r="G28" s="209" t="s">
        <v>354</v>
      </c>
      <c r="H28" s="209"/>
      <c r="I28" s="209"/>
      <c r="J28" s="208"/>
      <c r="K28" s="208"/>
    </row>
    <row r="29" spans="1:11" ht="22.8">
      <c r="A29" s="21"/>
      <c r="B29" s="22" t="s">
        <v>335</v>
      </c>
      <c r="C29" s="23" t="s">
        <v>200</v>
      </c>
      <c r="D29" s="24" t="s">
        <v>4</v>
      </c>
      <c r="E29" s="23" t="s">
        <v>0</v>
      </c>
      <c r="F29" s="202" t="s">
        <v>88</v>
      </c>
      <c r="G29" s="209" t="s">
        <v>355</v>
      </c>
      <c r="H29" s="209"/>
      <c r="I29" s="209"/>
      <c r="J29" s="208"/>
      <c r="K29" s="208"/>
    </row>
    <row r="30" spans="1:11" ht="22.8">
      <c r="A30" s="21"/>
      <c r="B30" s="22"/>
      <c r="C30" s="23"/>
      <c r="D30" s="24"/>
      <c r="E30" s="23" t="s">
        <v>0</v>
      </c>
      <c r="F30" s="201" t="s">
        <v>13</v>
      </c>
      <c r="G30" s="41"/>
      <c r="H30" s="41"/>
      <c r="I30" s="41"/>
      <c r="J30" s="66" t="s">
        <v>0</v>
      </c>
      <c r="K30" s="98"/>
    </row>
    <row r="31" spans="1:11">
      <c r="A31" s="21"/>
      <c r="B31" s="22" t="s">
        <v>335</v>
      </c>
      <c r="C31" s="23" t="s">
        <v>201</v>
      </c>
      <c r="D31" s="24" t="s">
        <v>4</v>
      </c>
      <c r="E31" s="23" t="s">
        <v>0</v>
      </c>
      <c r="F31" s="205" t="s">
        <v>89</v>
      </c>
      <c r="G31" s="43">
        <v>2000</v>
      </c>
      <c r="H31" s="43"/>
      <c r="I31" s="43"/>
      <c r="J31" s="247">
        <f t="shared" ref="J31:J39" si="4">SUM(G31:I31)</f>
        <v>2000</v>
      </c>
      <c r="K31" s="26"/>
    </row>
    <row r="32" spans="1:11">
      <c r="A32" s="21"/>
      <c r="B32" s="22" t="s">
        <v>335</v>
      </c>
      <c r="C32" s="23" t="s">
        <v>202</v>
      </c>
      <c r="D32" s="24" t="s">
        <v>4</v>
      </c>
      <c r="E32" s="23" t="s">
        <v>0</v>
      </c>
      <c r="F32" s="205" t="s">
        <v>90</v>
      </c>
      <c r="G32" s="43">
        <v>3000</v>
      </c>
      <c r="H32" s="43"/>
      <c r="I32" s="43"/>
      <c r="J32" s="247">
        <f t="shared" si="4"/>
        <v>3000</v>
      </c>
      <c r="K32" s="26"/>
    </row>
    <row r="33" spans="1:11">
      <c r="A33" s="21"/>
      <c r="B33" s="22" t="s">
        <v>335</v>
      </c>
      <c r="C33" s="23" t="s">
        <v>203</v>
      </c>
      <c r="D33" s="24" t="s">
        <v>4</v>
      </c>
      <c r="E33" s="23" t="s">
        <v>0</v>
      </c>
      <c r="F33" s="205" t="s">
        <v>91</v>
      </c>
      <c r="G33" s="43">
        <v>4000</v>
      </c>
      <c r="H33" s="43"/>
      <c r="I33" s="43"/>
      <c r="J33" s="247">
        <f t="shared" si="4"/>
        <v>4000</v>
      </c>
      <c r="K33" s="26"/>
    </row>
    <row r="34" spans="1:11">
      <c r="A34" s="21"/>
      <c r="B34" s="22" t="s">
        <v>335</v>
      </c>
      <c r="C34" s="23" t="s">
        <v>204</v>
      </c>
      <c r="D34" s="24" t="s">
        <v>4</v>
      </c>
      <c r="E34" s="23" t="s">
        <v>0</v>
      </c>
      <c r="F34" s="205" t="s">
        <v>92</v>
      </c>
      <c r="G34" s="43">
        <v>5000</v>
      </c>
      <c r="H34" s="43"/>
      <c r="I34" s="43"/>
      <c r="J34" s="247">
        <f t="shared" si="4"/>
        <v>5000</v>
      </c>
      <c r="K34" s="26"/>
    </row>
    <row r="35" spans="1:11" s="222" customFormat="1">
      <c r="A35" s="244"/>
      <c r="B35" s="22" t="s">
        <v>335</v>
      </c>
      <c r="C35" s="23" t="s">
        <v>317</v>
      </c>
      <c r="D35" s="24" t="s">
        <v>4</v>
      </c>
      <c r="E35" s="23"/>
      <c r="F35" s="205" t="s">
        <v>322</v>
      </c>
      <c r="G35" s="245">
        <v>150000000</v>
      </c>
      <c r="H35" s="245">
        <v>130000000</v>
      </c>
      <c r="I35" s="245">
        <v>130000000</v>
      </c>
      <c r="J35" s="247">
        <f t="shared" si="4"/>
        <v>410000000</v>
      </c>
      <c r="K35" s="246"/>
    </row>
    <row r="36" spans="1:11" s="222" customFormat="1">
      <c r="A36" s="244"/>
      <c r="B36" s="22" t="s">
        <v>335</v>
      </c>
      <c r="C36" s="23" t="s">
        <v>318</v>
      </c>
      <c r="D36" s="24" t="s">
        <v>4</v>
      </c>
      <c r="E36" s="23"/>
      <c r="F36" s="205" t="s">
        <v>320</v>
      </c>
      <c r="G36" s="245">
        <v>120000000</v>
      </c>
      <c r="H36" s="245">
        <v>140000000</v>
      </c>
      <c r="I36" s="245">
        <v>140000000</v>
      </c>
      <c r="J36" s="247">
        <f t="shared" si="4"/>
        <v>400000000</v>
      </c>
      <c r="K36" s="246"/>
    </row>
    <row r="37" spans="1:11">
      <c r="A37" s="21"/>
      <c r="B37" s="22" t="s">
        <v>335</v>
      </c>
      <c r="C37" s="23" t="s">
        <v>205</v>
      </c>
      <c r="D37" s="24" t="s">
        <v>4</v>
      </c>
      <c r="E37" s="23" t="s">
        <v>0</v>
      </c>
      <c r="F37" s="205" t="s">
        <v>93</v>
      </c>
      <c r="G37" s="43">
        <v>6000</v>
      </c>
      <c r="H37" s="43"/>
      <c r="I37" s="43"/>
      <c r="J37" s="247">
        <f t="shared" si="4"/>
        <v>6000</v>
      </c>
      <c r="K37" s="26"/>
    </row>
    <row r="38" spans="1:11">
      <c r="A38" s="21"/>
      <c r="B38" s="22" t="s">
        <v>335</v>
      </c>
      <c r="C38" s="23" t="s">
        <v>206</v>
      </c>
      <c r="D38" s="24" t="s">
        <v>4</v>
      </c>
      <c r="E38" s="23" t="s">
        <v>0</v>
      </c>
      <c r="F38" s="205" t="s">
        <v>94</v>
      </c>
      <c r="G38" s="43">
        <v>7000</v>
      </c>
      <c r="H38" s="43"/>
      <c r="I38" s="43"/>
      <c r="J38" s="247">
        <f t="shared" si="4"/>
        <v>7000</v>
      </c>
      <c r="K38" s="26"/>
    </row>
    <row r="39" spans="1:11">
      <c r="A39" s="21"/>
      <c r="B39" s="22" t="s">
        <v>335</v>
      </c>
      <c r="C39" s="23" t="s">
        <v>207</v>
      </c>
      <c r="D39" s="24" t="s">
        <v>4</v>
      </c>
      <c r="E39" s="23" t="s">
        <v>0</v>
      </c>
      <c r="F39" s="206" t="s">
        <v>95</v>
      </c>
      <c r="G39" s="248">
        <f>G31+G32+G33+G34-G37-G38</f>
        <v>1000</v>
      </c>
      <c r="H39" s="248">
        <f>H31+H32+H33+H34-H37-H38</f>
        <v>0</v>
      </c>
      <c r="I39" s="248">
        <f>I31+I32+I33+I34-I37-I38</f>
        <v>0</v>
      </c>
      <c r="J39" s="247">
        <f t="shared" si="4"/>
        <v>1000</v>
      </c>
      <c r="K39" s="207"/>
    </row>
    <row r="40" spans="1:11" ht="22.8">
      <c r="A40" s="21"/>
      <c r="B40" s="22"/>
      <c r="C40" s="23"/>
      <c r="D40" s="24"/>
      <c r="E40" s="23" t="s">
        <v>0</v>
      </c>
      <c r="F40" s="201" t="s">
        <v>14</v>
      </c>
      <c r="G40" s="41"/>
      <c r="H40" s="41"/>
      <c r="I40" s="41"/>
      <c r="J40" s="66"/>
      <c r="K40" s="98"/>
    </row>
    <row r="41" spans="1:11">
      <c r="A41" s="21"/>
      <c r="B41" s="22" t="s">
        <v>335</v>
      </c>
      <c r="C41" s="23" t="s">
        <v>208</v>
      </c>
      <c r="D41" s="24" t="s">
        <v>4</v>
      </c>
      <c r="E41" s="23" t="s">
        <v>0</v>
      </c>
      <c r="F41" s="205" t="s">
        <v>96</v>
      </c>
      <c r="G41" s="43">
        <v>1000</v>
      </c>
      <c r="H41" s="43"/>
      <c r="I41" s="43"/>
      <c r="J41" s="247">
        <f t="shared" ref="J41:J56" si="5">SUM(G41:I41)</f>
        <v>1000</v>
      </c>
      <c r="K41" s="26"/>
    </row>
    <row r="42" spans="1:11">
      <c r="A42" s="21"/>
      <c r="B42" s="22" t="s">
        <v>335</v>
      </c>
      <c r="C42" s="23" t="s">
        <v>209</v>
      </c>
      <c r="D42" s="24" t="s">
        <v>4</v>
      </c>
      <c r="E42" s="23" t="s">
        <v>0</v>
      </c>
      <c r="F42" s="205" t="s">
        <v>97</v>
      </c>
      <c r="G42" s="43">
        <v>2000</v>
      </c>
      <c r="H42" s="43"/>
      <c r="I42" s="43"/>
      <c r="J42" s="247">
        <f t="shared" si="5"/>
        <v>2000</v>
      </c>
      <c r="K42" s="26"/>
    </row>
    <row r="43" spans="1:11">
      <c r="A43" s="21"/>
      <c r="B43" s="22" t="s">
        <v>335</v>
      </c>
      <c r="C43" s="23" t="s">
        <v>210</v>
      </c>
      <c r="D43" s="24" t="s">
        <v>4</v>
      </c>
      <c r="E43" s="23" t="s">
        <v>0</v>
      </c>
      <c r="F43" s="205" t="s">
        <v>98</v>
      </c>
      <c r="G43" s="43">
        <v>3000</v>
      </c>
      <c r="H43" s="43"/>
      <c r="I43" s="43"/>
      <c r="J43" s="247">
        <f t="shared" si="5"/>
        <v>3000</v>
      </c>
      <c r="K43" s="26"/>
    </row>
    <row r="44" spans="1:11">
      <c r="A44" s="21"/>
      <c r="B44" s="22" t="s">
        <v>335</v>
      </c>
      <c r="C44" s="23" t="s">
        <v>211</v>
      </c>
      <c r="D44" s="24" t="s">
        <v>4</v>
      </c>
      <c r="E44" s="23" t="s">
        <v>0</v>
      </c>
      <c r="F44" s="205" t="s">
        <v>99</v>
      </c>
      <c r="G44" s="43">
        <v>4000</v>
      </c>
      <c r="H44" s="43"/>
      <c r="I44" s="43"/>
      <c r="J44" s="247">
        <f t="shared" si="5"/>
        <v>4000</v>
      </c>
      <c r="K44" s="26"/>
    </row>
    <row r="45" spans="1:11">
      <c r="A45" s="21"/>
      <c r="B45" s="22" t="s">
        <v>335</v>
      </c>
      <c r="C45" s="23" t="s">
        <v>212</v>
      </c>
      <c r="D45" s="24" t="s">
        <v>4</v>
      </c>
      <c r="E45" s="23" t="s">
        <v>0</v>
      </c>
      <c r="F45" s="202" t="s">
        <v>100</v>
      </c>
      <c r="G45" s="43">
        <v>5000</v>
      </c>
      <c r="H45" s="43"/>
      <c r="I45" s="43"/>
      <c r="J45" s="247">
        <f t="shared" si="5"/>
        <v>5000</v>
      </c>
      <c r="K45" s="26"/>
    </row>
    <row r="46" spans="1:11">
      <c r="A46" s="21"/>
      <c r="B46" s="22" t="s">
        <v>335</v>
      </c>
      <c r="C46" s="23" t="s">
        <v>213</v>
      </c>
      <c r="D46" s="24" t="s">
        <v>4</v>
      </c>
      <c r="E46" s="23" t="s">
        <v>0</v>
      </c>
      <c r="F46" s="205" t="s">
        <v>101</v>
      </c>
      <c r="G46" s="43">
        <v>6000</v>
      </c>
      <c r="H46" s="43"/>
      <c r="I46" s="43"/>
      <c r="J46" s="247">
        <f t="shared" si="5"/>
        <v>6000</v>
      </c>
      <c r="K46" s="26"/>
    </row>
    <row r="47" spans="1:11">
      <c r="A47" s="21"/>
      <c r="B47" s="22" t="s">
        <v>335</v>
      </c>
      <c r="C47" s="23" t="s">
        <v>214</v>
      </c>
      <c r="D47" s="24" t="s">
        <v>4</v>
      </c>
      <c r="E47" s="23" t="s">
        <v>0</v>
      </c>
      <c r="F47" s="205" t="s">
        <v>102</v>
      </c>
      <c r="G47" s="43">
        <v>7000</v>
      </c>
      <c r="H47" s="43"/>
      <c r="I47" s="43"/>
      <c r="J47" s="247">
        <f t="shared" si="5"/>
        <v>7000</v>
      </c>
      <c r="K47" s="26"/>
    </row>
    <row r="48" spans="1:11">
      <c r="A48" s="21"/>
      <c r="B48" s="22" t="s">
        <v>335</v>
      </c>
      <c r="C48" s="23" t="s">
        <v>215</v>
      </c>
      <c r="D48" s="24" t="s">
        <v>4</v>
      </c>
      <c r="E48" s="23" t="s">
        <v>0</v>
      </c>
      <c r="F48" s="205" t="s">
        <v>103</v>
      </c>
      <c r="G48" s="43">
        <v>8000</v>
      </c>
      <c r="H48" s="43"/>
      <c r="I48" s="43"/>
      <c r="J48" s="247">
        <f t="shared" si="5"/>
        <v>8000</v>
      </c>
      <c r="K48" s="26"/>
    </row>
    <row r="49" spans="1:13">
      <c r="A49" s="21"/>
      <c r="B49" s="257"/>
      <c r="C49" s="258"/>
      <c r="D49" s="259"/>
      <c r="E49" s="258"/>
      <c r="F49" s="260" t="s">
        <v>342</v>
      </c>
      <c r="G49" s="261"/>
      <c r="H49" s="261"/>
      <c r="I49" s="261"/>
      <c r="J49" s="262"/>
      <c r="K49" s="263"/>
    </row>
    <row r="50" spans="1:13">
      <c r="A50" s="21"/>
      <c r="B50" s="257" t="s">
        <v>335</v>
      </c>
      <c r="C50" s="258" t="s">
        <v>336</v>
      </c>
      <c r="D50" s="259" t="s">
        <v>4</v>
      </c>
      <c r="E50" s="258"/>
      <c r="F50" s="265" t="s">
        <v>341</v>
      </c>
      <c r="G50" s="43">
        <v>9000</v>
      </c>
      <c r="H50" s="43"/>
      <c r="I50" s="43"/>
      <c r="J50" s="247">
        <f t="shared" ref="J50:J52" si="6">SUM(G50:I50)</f>
        <v>9000</v>
      </c>
      <c r="K50" s="26"/>
    </row>
    <row r="51" spans="1:13">
      <c r="A51" s="21"/>
      <c r="B51" s="257" t="s">
        <v>335</v>
      </c>
      <c r="C51" s="258" t="s">
        <v>337</v>
      </c>
      <c r="D51" s="259" t="s">
        <v>4</v>
      </c>
      <c r="E51" s="258"/>
      <c r="F51" s="265" t="s">
        <v>340</v>
      </c>
      <c r="G51" s="43">
        <v>1000</v>
      </c>
      <c r="H51" s="43"/>
      <c r="I51" s="43"/>
      <c r="J51" s="247">
        <f t="shared" si="6"/>
        <v>1000</v>
      </c>
      <c r="K51" s="26"/>
    </row>
    <row r="52" spans="1:13">
      <c r="A52" s="21"/>
      <c r="B52" s="257" t="s">
        <v>335</v>
      </c>
      <c r="C52" s="258" t="s">
        <v>338</v>
      </c>
      <c r="D52" s="259" t="s">
        <v>4</v>
      </c>
      <c r="E52" s="258"/>
      <c r="F52" s="264" t="s">
        <v>343</v>
      </c>
      <c r="G52" s="249">
        <f>G50+G51</f>
        <v>10000</v>
      </c>
      <c r="H52" s="249">
        <f>H50+H51</f>
        <v>0</v>
      </c>
      <c r="I52" s="249">
        <f>I50+I51</f>
        <v>0</v>
      </c>
      <c r="J52" s="247">
        <f t="shared" si="6"/>
        <v>10000</v>
      </c>
      <c r="K52" s="247">
        <f>K50+K51</f>
        <v>0</v>
      </c>
    </row>
    <row r="53" spans="1:13" s="222" customFormat="1">
      <c r="A53" s="244"/>
      <c r="B53" s="22" t="s">
        <v>335</v>
      </c>
      <c r="C53" s="23" t="s">
        <v>339</v>
      </c>
      <c r="D53" s="24" t="s">
        <v>4</v>
      </c>
      <c r="E53" s="23"/>
      <c r="F53" s="260" t="s">
        <v>321</v>
      </c>
      <c r="G53" s="245">
        <v>1000</v>
      </c>
      <c r="H53" s="245"/>
      <c r="I53" s="245"/>
      <c r="J53" s="247">
        <f t="shared" si="5"/>
        <v>1000</v>
      </c>
      <c r="K53" s="246"/>
      <c r="L53"/>
    </row>
    <row r="54" spans="1:13" s="222" customFormat="1">
      <c r="A54" s="244"/>
      <c r="B54" s="22" t="s">
        <v>335</v>
      </c>
      <c r="C54" s="23" t="s">
        <v>323</v>
      </c>
      <c r="D54" s="24" t="s">
        <v>4</v>
      </c>
      <c r="E54" s="23"/>
      <c r="F54" s="205" t="s">
        <v>324</v>
      </c>
      <c r="G54" s="245">
        <v>2000</v>
      </c>
      <c r="H54" s="245"/>
      <c r="I54" s="245"/>
      <c r="J54" s="247">
        <f t="shared" si="5"/>
        <v>2000</v>
      </c>
      <c r="K54" s="246"/>
      <c r="L54"/>
    </row>
    <row r="55" spans="1:13">
      <c r="A55" s="21"/>
      <c r="B55" s="22" t="s">
        <v>335</v>
      </c>
      <c r="C55" s="23" t="s">
        <v>216</v>
      </c>
      <c r="D55" s="24" t="s">
        <v>4</v>
      </c>
      <c r="E55" s="23" t="s">
        <v>0</v>
      </c>
      <c r="F55" s="205" t="s">
        <v>104</v>
      </c>
      <c r="G55" s="43">
        <v>3000</v>
      </c>
      <c r="H55" s="43"/>
      <c r="I55" s="43"/>
      <c r="J55" s="247">
        <f t="shared" si="5"/>
        <v>3000</v>
      </c>
      <c r="K55" s="26"/>
    </row>
    <row r="56" spans="1:13">
      <c r="A56" s="21"/>
      <c r="B56" s="22" t="s">
        <v>335</v>
      </c>
      <c r="C56" s="23" t="s">
        <v>217</v>
      </c>
      <c r="D56" s="24" t="s">
        <v>4</v>
      </c>
      <c r="E56" s="23" t="s">
        <v>0</v>
      </c>
      <c r="F56" s="202" t="s">
        <v>105</v>
      </c>
      <c r="G56" s="43">
        <v>4000</v>
      </c>
      <c r="H56" s="43"/>
      <c r="I56" s="43"/>
      <c r="J56" s="247">
        <f t="shared" si="5"/>
        <v>4000</v>
      </c>
      <c r="K56" s="26"/>
    </row>
    <row r="57" spans="1:13" ht="22.8">
      <c r="A57" s="21"/>
      <c r="B57" s="22" t="s">
        <v>335</v>
      </c>
      <c r="C57" s="23" t="s">
        <v>218</v>
      </c>
      <c r="D57" s="24" t="s">
        <v>4</v>
      </c>
      <c r="E57" s="23" t="s">
        <v>0</v>
      </c>
      <c r="F57" s="202" t="s">
        <v>106</v>
      </c>
      <c r="G57" s="209" t="s">
        <v>357</v>
      </c>
      <c r="H57" s="209"/>
      <c r="I57" s="209"/>
      <c r="J57" s="208"/>
      <c r="K57" s="208"/>
    </row>
    <row r="58" spans="1:13">
      <c r="A58" s="21"/>
      <c r="B58" s="22" t="s">
        <v>335</v>
      </c>
      <c r="C58" s="23" t="s">
        <v>219</v>
      </c>
      <c r="D58" s="24" t="s">
        <v>4</v>
      </c>
      <c r="E58" s="23" t="s">
        <v>0</v>
      </c>
      <c r="F58" s="202" t="s">
        <v>107</v>
      </c>
      <c r="G58" s="209" t="s">
        <v>358</v>
      </c>
      <c r="H58" s="209"/>
      <c r="I58" s="209"/>
      <c r="J58" s="208"/>
      <c r="K58" s="208"/>
    </row>
    <row r="59" spans="1:13">
      <c r="A59" s="21"/>
      <c r="B59" s="22" t="s">
        <v>335</v>
      </c>
      <c r="C59" s="23" t="s">
        <v>220</v>
      </c>
      <c r="D59" s="24" t="s">
        <v>4</v>
      </c>
      <c r="E59" s="23" t="s">
        <v>0</v>
      </c>
      <c r="F59" s="202" t="s">
        <v>108</v>
      </c>
      <c r="G59" s="43">
        <v>50000</v>
      </c>
      <c r="H59" s="43"/>
      <c r="I59" s="43"/>
      <c r="J59" s="247">
        <f t="shared" ref="J59" si="7">SUM(G59:I59)</f>
        <v>50000</v>
      </c>
      <c r="K59" s="26"/>
    </row>
    <row r="60" spans="1:13" ht="22.8">
      <c r="A60" s="21"/>
      <c r="B60" s="22" t="s">
        <v>335</v>
      </c>
      <c r="C60" s="23" t="s">
        <v>221</v>
      </c>
      <c r="D60" s="24" t="s">
        <v>4</v>
      </c>
      <c r="E60" s="23" t="s">
        <v>0</v>
      </c>
      <c r="F60" s="202" t="s">
        <v>109</v>
      </c>
      <c r="G60" s="209" t="s">
        <v>359</v>
      </c>
      <c r="H60" s="209"/>
      <c r="I60" s="209"/>
      <c r="J60" s="208"/>
      <c r="K60" s="208"/>
      <c r="L60" s="216"/>
      <c r="M60" s="216"/>
    </row>
    <row r="61" spans="1:13" ht="22.8">
      <c r="A61" s="21"/>
      <c r="B61" s="22" t="s">
        <v>335</v>
      </c>
      <c r="C61" s="23" t="s">
        <v>222</v>
      </c>
      <c r="D61" s="24" t="s">
        <v>4</v>
      </c>
      <c r="E61" s="23" t="s">
        <v>0</v>
      </c>
      <c r="F61" s="202" t="s">
        <v>110</v>
      </c>
      <c r="G61" s="209" t="s">
        <v>360</v>
      </c>
      <c r="H61" s="209"/>
      <c r="I61" s="209"/>
      <c r="J61" s="208"/>
      <c r="K61" s="208"/>
      <c r="L61" s="216"/>
      <c r="M61" s="216"/>
    </row>
    <row r="62" spans="1:13" ht="22.8">
      <c r="A62" s="21"/>
      <c r="B62" s="22" t="s">
        <v>335</v>
      </c>
      <c r="C62" s="23" t="s">
        <v>223</v>
      </c>
      <c r="D62" s="24" t="s">
        <v>4</v>
      </c>
      <c r="E62" s="23" t="s">
        <v>0</v>
      </c>
      <c r="F62" s="202" t="s">
        <v>111</v>
      </c>
      <c r="G62" s="43">
        <v>6000</v>
      </c>
      <c r="H62" s="43"/>
      <c r="I62" s="43"/>
      <c r="J62" s="247">
        <f t="shared" ref="J62:J63" si="8">SUM(G62:I62)</f>
        <v>6000</v>
      </c>
      <c r="K62" s="26"/>
    </row>
    <row r="63" spans="1:13" ht="22.8">
      <c r="A63" s="21"/>
      <c r="B63" s="22" t="s">
        <v>335</v>
      </c>
      <c r="C63" s="23" t="s">
        <v>224</v>
      </c>
      <c r="D63" s="24" t="s">
        <v>4</v>
      </c>
      <c r="E63" s="23" t="s">
        <v>0</v>
      </c>
      <c r="F63" s="202" t="s">
        <v>112</v>
      </c>
      <c r="G63" s="43">
        <v>7000</v>
      </c>
      <c r="H63" s="43"/>
      <c r="I63" s="43"/>
      <c r="J63" s="247">
        <f t="shared" si="8"/>
        <v>7000</v>
      </c>
      <c r="K63" s="26"/>
    </row>
    <row r="64" spans="1:13" ht="22.8">
      <c r="A64" s="21"/>
      <c r="B64" s="22" t="s">
        <v>335</v>
      </c>
      <c r="C64" s="23" t="s">
        <v>225</v>
      </c>
      <c r="D64" s="24" t="s">
        <v>4</v>
      </c>
      <c r="E64" s="23" t="s">
        <v>0</v>
      </c>
      <c r="F64" s="202" t="s">
        <v>113</v>
      </c>
      <c r="G64" s="209" t="s">
        <v>360</v>
      </c>
      <c r="H64" s="209"/>
      <c r="I64" s="209"/>
      <c r="J64" s="208"/>
      <c r="K64" s="208"/>
    </row>
    <row r="65" spans="1:11">
      <c r="A65" s="21"/>
      <c r="B65" s="22" t="s">
        <v>335</v>
      </c>
      <c r="C65" s="23" t="s">
        <v>226</v>
      </c>
      <c r="D65" s="24" t="s">
        <v>4</v>
      </c>
      <c r="E65" s="23" t="s">
        <v>0</v>
      </c>
      <c r="F65" s="202" t="s">
        <v>114</v>
      </c>
      <c r="G65" s="43">
        <v>8000</v>
      </c>
      <c r="H65" s="43"/>
      <c r="I65" s="43"/>
      <c r="J65" s="247">
        <f t="shared" ref="J65:J68" si="9">SUM(G65:I65)</f>
        <v>8000</v>
      </c>
      <c r="K65" s="26"/>
    </row>
    <row r="66" spans="1:11">
      <c r="A66" s="21"/>
      <c r="B66" s="22" t="s">
        <v>335</v>
      </c>
      <c r="C66" s="23" t="s">
        <v>227</v>
      </c>
      <c r="D66" s="24" t="s">
        <v>4</v>
      </c>
      <c r="E66" s="23" t="s">
        <v>0</v>
      </c>
      <c r="F66" s="205" t="s">
        <v>115</v>
      </c>
      <c r="G66" s="43">
        <v>9000</v>
      </c>
      <c r="H66" s="43"/>
      <c r="I66" s="43"/>
      <c r="J66" s="247">
        <f t="shared" si="9"/>
        <v>9000</v>
      </c>
      <c r="K66" s="26"/>
    </row>
    <row r="67" spans="1:11" ht="22.8">
      <c r="A67" s="21"/>
      <c r="B67" s="22" t="s">
        <v>335</v>
      </c>
      <c r="C67" s="23" t="s">
        <v>228</v>
      </c>
      <c r="D67" s="24" t="s">
        <v>4</v>
      </c>
      <c r="E67" s="23" t="s">
        <v>0</v>
      </c>
      <c r="F67" s="202" t="s">
        <v>116</v>
      </c>
      <c r="G67" s="43">
        <v>1000</v>
      </c>
      <c r="H67" s="43"/>
      <c r="I67" s="43"/>
      <c r="J67" s="247">
        <f t="shared" si="9"/>
        <v>1000</v>
      </c>
      <c r="K67" s="26"/>
    </row>
    <row r="68" spans="1:11" ht="22.8">
      <c r="A68" s="21"/>
      <c r="B68" s="22" t="s">
        <v>335</v>
      </c>
      <c r="C68" s="23" t="s">
        <v>229</v>
      </c>
      <c r="D68" s="24" t="s">
        <v>4</v>
      </c>
      <c r="E68" s="23" t="s">
        <v>0</v>
      </c>
      <c r="F68" s="202" t="s">
        <v>117</v>
      </c>
      <c r="G68" s="43">
        <v>2000</v>
      </c>
      <c r="H68" s="43"/>
      <c r="I68" s="43"/>
      <c r="J68" s="247">
        <f t="shared" si="9"/>
        <v>2000</v>
      </c>
      <c r="K68" s="26"/>
    </row>
    <row r="69" spans="1:11" ht="22.8">
      <c r="A69" s="21"/>
      <c r="B69" s="22" t="s">
        <v>335</v>
      </c>
      <c r="C69" s="23" t="s">
        <v>230</v>
      </c>
      <c r="D69" s="24" t="s">
        <v>4</v>
      </c>
      <c r="E69" s="23" t="s">
        <v>0</v>
      </c>
      <c r="F69" s="202" t="s">
        <v>118</v>
      </c>
      <c r="G69" s="43" t="s">
        <v>361</v>
      </c>
      <c r="H69" s="43"/>
      <c r="I69" s="43"/>
      <c r="J69" s="26"/>
      <c r="K69" s="26"/>
    </row>
    <row r="70" spans="1:11">
      <c r="A70" s="21"/>
      <c r="B70" s="22" t="s">
        <v>335</v>
      </c>
      <c r="C70" s="23" t="s">
        <v>231</v>
      </c>
      <c r="D70" s="24" t="s">
        <v>4</v>
      </c>
      <c r="E70" s="23" t="s">
        <v>0</v>
      </c>
      <c r="F70" s="202" t="s">
        <v>119</v>
      </c>
      <c r="G70" s="43" t="s">
        <v>362</v>
      </c>
      <c r="H70" s="43"/>
      <c r="I70" s="43"/>
      <c r="J70" s="26"/>
      <c r="K70" s="26"/>
    </row>
    <row r="71" spans="1:11" ht="22.8">
      <c r="A71" s="21"/>
      <c r="B71" s="22" t="s">
        <v>335</v>
      </c>
      <c r="C71" s="23" t="s">
        <v>232</v>
      </c>
      <c r="D71" s="24" t="s">
        <v>4</v>
      </c>
      <c r="E71" s="23" t="s">
        <v>0</v>
      </c>
      <c r="F71" s="202" t="s">
        <v>120</v>
      </c>
      <c r="G71" s="43" t="s">
        <v>363</v>
      </c>
      <c r="H71" s="43"/>
      <c r="I71" s="43"/>
      <c r="J71" s="26"/>
      <c r="K71" s="26"/>
    </row>
    <row r="72" spans="1:11" ht="22.8">
      <c r="A72" s="21"/>
      <c r="B72" s="22" t="s">
        <v>335</v>
      </c>
      <c r="C72" s="23" t="s">
        <v>233</v>
      </c>
      <c r="D72" s="24" t="s">
        <v>4</v>
      </c>
      <c r="E72" s="23" t="s">
        <v>0</v>
      </c>
      <c r="F72" s="202" t="s">
        <v>121</v>
      </c>
      <c r="G72" s="43" t="s">
        <v>364</v>
      </c>
      <c r="H72" s="43"/>
      <c r="I72" s="43"/>
      <c r="J72" s="26"/>
      <c r="K72" s="26"/>
    </row>
    <row r="73" spans="1:11" ht="22.8">
      <c r="A73" s="21"/>
      <c r="B73" s="22" t="s">
        <v>335</v>
      </c>
      <c r="C73" s="23" t="s">
        <v>234</v>
      </c>
      <c r="D73" s="24" t="s">
        <v>4</v>
      </c>
      <c r="E73" s="23" t="s">
        <v>0</v>
      </c>
      <c r="F73" s="202" t="s">
        <v>122</v>
      </c>
      <c r="G73" s="43">
        <v>3000</v>
      </c>
      <c r="H73" s="43"/>
      <c r="I73" s="43"/>
      <c r="J73" s="247">
        <f t="shared" ref="J73:J74" si="10">SUM(G73:I73)</f>
        <v>3000</v>
      </c>
      <c r="K73" s="26"/>
    </row>
    <row r="74" spans="1:11">
      <c r="A74" s="21"/>
      <c r="B74" s="22" t="s">
        <v>335</v>
      </c>
      <c r="C74" s="23" t="s">
        <v>235</v>
      </c>
      <c r="D74" s="24" t="s">
        <v>4</v>
      </c>
      <c r="E74" s="23" t="s">
        <v>0</v>
      </c>
      <c r="F74" s="202" t="s">
        <v>123</v>
      </c>
      <c r="G74" s="209">
        <v>4000</v>
      </c>
      <c r="H74" s="209"/>
      <c r="I74" s="209"/>
      <c r="J74" s="247">
        <f t="shared" si="10"/>
        <v>4000</v>
      </c>
      <c r="K74" s="208"/>
    </row>
    <row r="75" spans="1:11">
      <c r="A75" s="21"/>
      <c r="B75" s="22" t="s">
        <v>335</v>
      </c>
      <c r="C75" s="23" t="s">
        <v>236</v>
      </c>
      <c r="D75" s="24" t="s">
        <v>4</v>
      </c>
      <c r="E75" s="23" t="s">
        <v>0</v>
      </c>
      <c r="F75" s="202" t="s">
        <v>124</v>
      </c>
      <c r="G75" s="209" t="s">
        <v>365</v>
      </c>
      <c r="H75" s="209"/>
      <c r="I75" s="209"/>
      <c r="J75" s="208"/>
      <c r="K75" s="208"/>
    </row>
    <row r="76" spans="1:11" ht="22.8">
      <c r="A76" s="21"/>
      <c r="B76" s="22" t="s">
        <v>335</v>
      </c>
      <c r="C76" s="23" t="s">
        <v>237</v>
      </c>
      <c r="D76" s="24" t="s">
        <v>4</v>
      </c>
      <c r="E76" s="23" t="s">
        <v>0</v>
      </c>
      <c r="F76" s="202" t="s">
        <v>125</v>
      </c>
      <c r="G76" s="209" t="s">
        <v>366</v>
      </c>
      <c r="H76" s="209"/>
      <c r="I76" s="209"/>
      <c r="J76" s="208"/>
      <c r="K76" s="208"/>
    </row>
    <row r="77" spans="1:11" ht="22.8">
      <c r="A77" s="21"/>
      <c r="B77" s="22" t="s">
        <v>335</v>
      </c>
      <c r="C77" s="23" t="s">
        <v>238</v>
      </c>
      <c r="D77" s="24" t="s">
        <v>4</v>
      </c>
      <c r="E77" s="23" t="s">
        <v>0</v>
      </c>
      <c r="F77" s="203" t="s">
        <v>126</v>
      </c>
      <c r="G77" s="43" t="s">
        <v>367</v>
      </c>
      <c r="H77" s="43"/>
      <c r="I77" s="43"/>
      <c r="J77" s="26"/>
      <c r="K77" s="26"/>
    </row>
    <row r="78" spans="1:11" ht="34.200000000000003">
      <c r="A78" s="21"/>
      <c r="B78" s="22" t="s">
        <v>335</v>
      </c>
      <c r="C78" s="23" t="s">
        <v>239</v>
      </c>
      <c r="D78" s="24" t="s">
        <v>4</v>
      </c>
      <c r="E78" s="23" t="s">
        <v>0</v>
      </c>
      <c r="F78" s="203" t="s">
        <v>127</v>
      </c>
      <c r="G78" s="43">
        <v>5000</v>
      </c>
      <c r="H78" s="43"/>
      <c r="I78" s="43"/>
      <c r="J78" s="247">
        <f t="shared" ref="J78" si="11">SUM(G78:I78)</f>
        <v>5000</v>
      </c>
      <c r="K78" s="26"/>
    </row>
    <row r="79" spans="1:11" ht="34.200000000000003">
      <c r="A79" s="21"/>
      <c r="B79" s="22" t="s">
        <v>335</v>
      </c>
      <c r="C79" s="23" t="s">
        <v>240</v>
      </c>
      <c r="D79" s="24" t="s">
        <v>4</v>
      </c>
      <c r="E79" s="23" t="s">
        <v>0</v>
      </c>
      <c r="F79" s="203" t="s">
        <v>128</v>
      </c>
      <c r="G79" s="209" t="s">
        <v>368</v>
      </c>
      <c r="H79" s="209"/>
      <c r="I79" s="209"/>
      <c r="J79" s="208"/>
      <c r="K79" s="208"/>
    </row>
    <row r="80" spans="1:11">
      <c r="B80" s="32"/>
      <c r="C80" s="23"/>
      <c r="D80" s="33"/>
      <c r="E80" s="33"/>
      <c r="F80" s="33"/>
      <c r="G80" s="42"/>
      <c r="H80" s="42"/>
      <c r="I80" s="42"/>
      <c r="J80" s="34"/>
      <c r="K80" s="101"/>
    </row>
    <row r="81" spans="1:11" ht="15" thickBot="1"/>
    <row r="82" spans="1:11" ht="103.5" customHeight="1">
      <c r="A82" s="7"/>
      <c r="B82" s="8"/>
      <c r="C82" s="9"/>
      <c r="D82" s="9"/>
      <c r="E82" s="10"/>
      <c r="F82" s="11" t="s">
        <v>8</v>
      </c>
      <c r="G82" s="44" t="str">
        <f>IF(G4="Agregar columna opcional","",G4)</f>
        <v/>
      </c>
      <c r="H82" s="44" t="str">
        <f>IF(H4="Agregar columna opcional","",H4)</f>
        <v/>
      </c>
      <c r="I82" s="44" t="str">
        <f>IF(I4="Agregar columna opcional","",I4)</f>
        <v/>
      </c>
      <c r="J82" s="13" t="s">
        <v>10</v>
      </c>
      <c r="K82" s="13" t="s">
        <v>11</v>
      </c>
    </row>
    <row r="83" spans="1:11">
      <c r="A83" s="21"/>
      <c r="B83" s="28"/>
      <c r="C83" s="29"/>
      <c r="D83" s="30"/>
      <c r="E83" s="31"/>
      <c r="F83" s="37"/>
      <c r="G83" s="40"/>
      <c r="H83" s="40"/>
      <c r="I83" s="40"/>
      <c r="J83" s="31"/>
      <c r="K83" s="31"/>
    </row>
    <row r="84" spans="1:11">
      <c r="A84" s="21"/>
      <c r="B84" s="22"/>
      <c r="C84" s="23"/>
      <c r="D84" s="24"/>
      <c r="E84" s="25"/>
      <c r="F84" s="38"/>
      <c r="G84" s="41"/>
      <c r="H84" s="41"/>
      <c r="I84" s="41"/>
      <c r="J84" s="23"/>
      <c r="K84" s="23"/>
    </row>
    <row r="85" spans="1:11" ht="12.75" customHeight="1">
      <c r="A85" s="21"/>
      <c r="B85" s="22" t="s">
        <v>335</v>
      </c>
      <c r="C85" s="23" t="s">
        <v>183</v>
      </c>
      <c r="D85" s="24" t="s">
        <v>65</v>
      </c>
      <c r="E85" s="23"/>
      <c r="F85" s="205" t="s">
        <v>71</v>
      </c>
      <c r="G85" s="209" t="s">
        <v>351</v>
      </c>
      <c r="H85" s="209"/>
      <c r="I85" s="209"/>
      <c r="J85" s="208"/>
      <c r="K85" s="208"/>
    </row>
    <row r="86" spans="1:11">
      <c r="A86" s="21"/>
      <c r="B86" s="22" t="s">
        <v>335</v>
      </c>
      <c r="C86" s="23" t="s">
        <v>184</v>
      </c>
      <c r="D86" s="24" t="s">
        <v>65</v>
      </c>
      <c r="E86" s="23"/>
      <c r="F86" s="205" t="s">
        <v>72</v>
      </c>
      <c r="G86" s="209" t="s">
        <v>352</v>
      </c>
      <c r="H86" s="209"/>
      <c r="I86" s="209"/>
      <c r="J86" s="208"/>
      <c r="K86" s="208"/>
    </row>
    <row r="87" spans="1:11">
      <c r="A87" s="21" t="s">
        <v>17</v>
      </c>
      <c r="B87" s="22" t="s">
        <v>335</v>
      </c>
      <c r="C87" s="23" t="s">
        <v>286</v>
      </c>
      <c r="D87" s="24" t="s">
        <v>4</v>
      </c>
      <c r="E87" s="23"/>
      <c r="F87" s="205" t="s">
        <v>329</v>
      </c>
      <c r="G87" s="211">
        <v>43151</v>
      </c>
      <c r="H87" s="211"/>
      <c r="I87" s="211"/>
      <c r="J87" s="210"/>
      <c r="K87" s="210"/>
    </row>
    <row r="88" spans="1:11">
      <c r="A88" s="21" t="s">
        <v>17</v>
      </c>
      <c r="B88" s="22" t="s">
        <v>335</v>
      </c>
      <c r="C88" s="23" t="s">
        <v>185</v>
      </c>
      <c r="D88" s="24" t="s">
        <v>4</v>
      </c>
      <c r="E88" s="23"/>
      <c r="F88" s="202" t="s">
        <v>73</v>
      </c>
      <c r="G88" s="213">
        <v>0.7</v>
      </c>
      <c r="H88" s="213"/>
      <c r="I88" s="213"/>
      <c r="J88" s="212"/>
      <c r="K88" s="212"/>
    </row>
    <row r="89" spans="1:11">
      <c r="A89" s="21"/>
      <c r="B89" s="22" t="s">
        <v>335</v>
      </c>
      <c r="C89" s="23" t="s">
        <v>186</v>
      </c>
      <c r="D89" s="24" t="s">
        <v>65</v>
      </c>
      <c r="E89" s="23"/>
      <c r="F89" s="205" t="s">
        <v>74</v>
      </c>
      <c r="G89" s="209" t="s">
        <v>353</v>
      </c>
      <c r="H89" s="209"/>
      <c r="I89" s="209"/>
      <c r="J89" s="208"/>
      <c r="K89" s="208"/>
    </row>
    <row r="90" spans="1:11">
      <c r="A90" s="21"/>
      <c r="B90" s="22" t="s">
        <v>335</v>
      </c>
      <c r="C90" s="23" t="s">
        <v>187</v>
      </c>
      <c r="D90" s="24" t="s">
        <v>65</v>
      </c>
      <c r="E90" s="23"/>
      <c r="F90" s="205" t="s">
        <v>75</v>
      </c>
      <c r="G90" s="209" t="s">
        <v>354</v>
      </c>
      <c r="H90" s="209"/>
      <c r="I90" s="209"/>
      <c r="J90" s="208"/>
      <c r="K90" s="208"/>
    </row>
    <row r="91" spans="1:11">
      <c r="A91" s="21"/>
      <c r="B91" s="22" t="s">
        <v>335</v>
      </c>
      <c r="C91" s="23" t="s">
        <v>188</v>
      </c>
      <c r="D91" s="24" t="s">
        <v>65</v>
      </c>
      <c r="E91" s="23"/>
      <c r="F91" s="205" t="s">
        <v>76</v>
      </c>
      <c r="G91" s="209" t="s">
        <v>355</v>
      </c>
      <c r="H91" s="209"/>
      <c r="I91" s="209"/>
      <c r="J91" s="208"/>
      <c r="K91" s="208"/>
    </row>
    <row r="92" spans="1:11">
      <c r="A92" s="21"/>
      <c r="B92" s="22"/>
      <c r="C92" s="23"/>
      <c r="D92" s="24"/>
      <c r="E92" s="23"/>
      <c r="F92" s="201" t="s">
        <v>12</v>
      </c>
      <c r="G92" s="41"/>
      <c r="H92" s="41"/>
      <c r="I92" s="41"/>
      <c r="J92" s="66" t="s">
        <v>0</v>
      </c>
      <c r="K92" s="98"/>
    </row>
    <row r="93" spans="1:11">
      <c r="A93" s="21" t="s">
        <v>17</v>
      </c>
      <c r="B93" s="22" t="s">
        <v>335</v>
      </c>
      <c r="C93" s="23" t="s">
        <v>189</v>
      </c>
      <c r="D93" s="24" t="s">
        <v>4</v>
      </c>
      <c r="E93" s="23"/>
      <c r="F93" s="205" t="s">
        <v>77</v>
      </c>
      <c r="G93" s="43">
        <v>1000</v>
      </c>
      <c r="H93" s="43"/>
      <c r="I93" s="43"/>
      <c r="J93" s="108">
        <f>SUM(G93:I93)</f>
        <v>1000</v>
      </c>
      <c r="K93" s="26"/>
    </row>
    <row r="94" spans="1:11">
      <c r="A94" s="21" t="s">
        <v>17</v>
      </c>
      <c r="B94" s="22" t="s">
        <v>335</v>
      </c>
      <c r="C94" s="23" t="s">
        <v>190</v>
      </c>
      <c r="D94" s="24" t="s">
        <v>4</v>
      </c>
      <c r="E94" s="23"/>
      <c r="F94" s="205" t="s">
        <v>78</v>
      </c>
      <c r="G94" s="43">
        <v>2000</v>
      </c>
      <c r="H94" s="43"/>
      <c r="I94" s="43"/>
      <c r="J94" s="108">
        <f t="shared" ref="J94:J96" si="12">SUM(G94:I94)</f>
        <v>2000</v>
      </c>
      <c r="K94" s="26"/>
    </row>
    <row r="95" spans="1:11">
      <c r="A95" s="21" t="s">
        <v>17</v>
      </c>
      <c r="B95" s="22" t="s">
        <v>335</v>
      </c>
      <c r="C95" s="23" t="s">
        <v>191</v>
      </c>
      <c r="D95" s="24" t="s">
        <v>4</v>
      </c>
      <c r="E95" s="23"/>
      <c r="F95" s="205" t="s">
        <v>79</v>
      </c>
      <c r="G95" s="43">
        <v>3000</v>
      </c>
      <c r="H95" s="43"/>
      <c r="I95" s="43"/>
      <c r="J95" s="108">
        <f t="shared" si="12"/>
        <v>3000</v>
      </c>
      <c r="K95" s="26"/>
    </row>
    <row r="96" spans="1:11">
      <c r="A96" s="21" t="s">
        <v>17</v>
      </c>
      <c r="B96" s="22" t="s">
        <v>335</v>
      </c>
      <c r="C96" s="23" t="s">
        <v>192</v>
      </c>
      <c r="D96" s="24" t="s">
        <v>4</v>
      </c>
      <c r="E96" s="23"/>
      <c r="F96" s="205" t="s">
        <v>80</v>
      </c>
      <c r="G96" s="43">
        <v>4000</v>
      </c>
      <c r="H96" s="43"/>
      <c r="I96" s="43"/>
      <c r="J96" s="108">
        <f t="shared" si="12"/>
        <v>4000</v>
      </c>
      <c r="K96" s="26"/>
    </row>
    <row r="97" spans="1:11">
      <c r="A97" s="21" t="s">
        <v>17</v>
      </c>
      <c r="B97" s="22" t="s">
        <v>335</v>
      </c>
      <c r="C97" s="23" t="s">
        <v>193</v>
      </c>
      <c r="D97" s="24" t="s">
        <v>4</v>
      </c>
      <c r="E97" s="23"/>
      <c r="F97" s="205" t="s">
        <v>81</v>
      </c>
      <c r="G97" s="215">
        <v>40</v>
      </c>
      <c r="H97" s="215"/>
      <c r="I97" s="215"/>
      <c r="J97" s="214"/>
      <c r="K97" s="214"/>
    </row>
    <row r="98" spans="1:11">
      <c r="A98" s="21"/>
      <c r="B98" s="22" t="s">
        <v>335</v>
      </c>
      <c r="C98" s="23" t="s">
        <v>194</v>
      </c>
      <c r="D98" s="24" t="s">
        <v>65</v>
      </c>
      <c r="E98" s="23"/>
      <c r="F98" s="202" t="s">
        <v>82</v>
      </c>
      <c r="G98" s="209" t="s">
        <v>356</v>
      </c>
      <c r="H98" s="209"/>
      <c r="I98" s="209"/>
      <c r="J98" s="208"/>
      <c r="K98" s="208"/>
    </row>
    <row r="99" spans="1:11">
      <c r="A99" s="21" t="s">
        <v>17</v>
      </c>
      <c r="B99" s="22" t="s">
        <v>335</v>
      </c>
      <c r="C99" s="23" t="s">
        <v>195</v>
      </c>
      <c r="D99" s="24" t="s">
        <v>4</v>
      </c>
      <c r="E99" s="23"/>
      <c r="F99" s="206" t="s">
        <v>83</v>
      </c>
      <c r="G99" s="249">
        <f>SUM(G93:G96)</f>
        <v>10000</v>
      </c>
      <c r="H99" s="183">
        <f>SUM(H93:H96)</f>
        <v>0</v>
      </c>
      <c r="I99" s="183">
        <f>SUM(I93:I96)</f>
        <v>0</v>
      </c>
      <c r="J99" s="108">
        <f t="shared" ref="J99" si="13">SUM(G99:I99)</f>
        <v>10000</v>
      </c>
      <c r="K99" s="26"/>
    </row>
    <row r="100" spans="1:11">
      <c r="A100" s="21" t="s">
        <v>17</v>
      </c>
      <c r="B100" s="22" t="s">
        <v>335</v>
      </c>
      <c r="C100" s="23" t="s">
        <v>325</v>
      </c>
      <c r="D100" s="24" t="s">
        <v>4</v>
      </c>
      <c r="E100" s="23" t="s">
        <v>0</v>
      </c>
      <c r="F100" s="266" t="s">
        <v>327</v>
      </c>
      <c r="G100" s="43">
        <v>1000</v>
      </c>
      <c r="H100" s="43"/>
      <c r="I100" s="43"/>
      <c r="J100" s="247">
        <f t="shared" ref="J100:J101" si="14">SUM(G100:I100)</f>
        <v>1000</v>
      </c>
      <c r="K100" s="26"/>
    </row>
    <row r="101" spans="1:11">
      <c r="A101" s="21" t="s">
        <v>17</v>
      </c>
      <c r="B101" s="22" t="s">
        <v>335</v>
      </c>
      <c r="C101" s="23" t="s">
        <v>326</v>
      </c>
      <c r="D101" s="24" t="s">
        <v>4</v>
      </c>
      <c r="E101" s="23" t="s">
        <v>0</v>
      </c>
      <c r="F101" s="266" t="s">
        <v>328</v>
      </c>
      <c r="G101" s="43">
        <v>2000</v>
      </c>
      <c r="H101" s="43"/>
      <c r="I101" s="43"/>
      <c r="J101" s="247">
        <f t="shared" si="14"/>
        <v>2000</v>
      </c>
      <c r="K101" s="26"/>
    </row>
    <row r="102" spans="1:11">
      <c r="A102" s="21"/>
      <c r="B102" s="22" t="s">
        <v>335</v>
      </c>
      <c r="C102" s="23" t="s">
        <v>196</v>
      </c>
      <c r="D102" s="24" t="s">
        <v>65</v>
      </c>
      <c r="E102" s="23"/>
      <c r="F102" s="202" t="s">
        <v>84</v>
      </c>
      <c r="G102" s="209" t="s">
        <v>351</v>
      </c>
      <c r="H102" s="209"/>
      <c r="I102" s="209"/>
      <c r="J102" s="208"/>
      <c r="K102" s="208"/>
    </row>
    <row r="103" spans="1:11" ht="24.75" customHeight="1">
      <c r="A103" s="21"/>
      <c r="B103" s="22" t="s">
        <v>335</v>
      </c>
      <c r="C103" s="23" t="s">
        <v>197</v>
      </c>
      <c r="D103" s="24" t="s">
        <v>65</v>
      </c>
      <c r="E103" s="23"/>
      <c r="F103" s="202" t="s">
        <v>85</v>
      </c>
      <c r="G103" s="209" t="s">
        <v>352</v>
      </c>
      <c r="H103" s="209"/>
      <c r="I103" s="209"/>
      <c r="J103" s="208"/>
      <c r="K103" s="208"/>
    </row>
    <row r="104" spans="1:11" ht="22.8">
      <c r="A104" s="21"/>
      <c r="B104" s="22" t="s">
        <v>335</v>
      </c>
      <c r="C104" s="23" t="s">
        <v>198</v>
      </c>
      <c r="D104" s="24" t="s">
        <v>65</v>
      </c>
      <c r="E104" s="23"/>
      <c r="F104" s="202" t="s">
        <v>86</v>
      </c>
      <c r="G104" s="209" t="s">
        <v>353</v>
      </c>
      <c r="H104" s="209"/>
      <c r="I104" s="209"/>
      <c r="J104" s="208"/>
      <c r="K104" s="208"/>
    </row>
    <row r="105" spans="1:11" ht="22.8">
      <c r="A105" s="21"/>
      <c r="B105" s="22" t="s">
        <v>335</v>
      </c>
      <c r="C105" s="23" t="s">
        <v>199</v>
      </c>
      <c r="D105" s="24" t="s">
        <v>65</v>
      </c>
      <c r="E105" s="23"/>
      <c r="F105" s="202" t="s">
        <v>87</v>
      </c>
      <c r="G105" s="209" t="s">
        <v>354</v>
      </c>
      <c r="H105" s="209"/>
      <c r="I105" s="209"/>
      <c r="J105" s="208"/>
      <c r="K105" s="208"/>
    </row>
    <row r="106" spans="1:11" ht="22.8">
      <c r="A106" s="21"/>
      <c r="B106" s="22" t="s">
        <v>335</v>
      </c>
      <c r="C106" s="23" t="s">
        <v>200</v>
      </c>
      <c r="D106" s="24" t="s">
        <v>65</v>
      </c>
      <c r="E106" s="23"/>
      <c r="F106" s="202" t="s">
        <v>88</v>
      </c>
      <c r="G106" s="209" t="s">
        <v>355</v>
      </c>
      <c r="H106" s="209"/>
      <c r="I106" s="209"/>
      <c r="J106" s="208"/>
      <c r="K106" s="208"/>
    </row>
    <row r="107" spans="1:11" ht="22.8">
      <c r="A107" s="21"/>
      <c r="B107" s="22"/>
      <c r="C107" s="23"/>
      <c r="D107" s="24"/>
      <c r="E107" s="23"/>
      <c r="F107" s="201" t="s">
        <v>13</v>
      </c>
      <c r="G107" s="41"/>
      <c r="H107" s="41"/>
      <c r="I107" s="41"/>
      <c r="J107" s="66" t="s">
        <v>0</v>
      </c>
      <c r="K107" s="98"/>
    </row>
    <row r="108" spans="1:11">
      <c r="A108" s="21" t="s">
        <v>17</v>
      </c>
      <c r="B108" s="22" t="s">
        <v>335</v>
      </c>
      <c r="C108" s="23" t="s">
        <v>201</v>
      </c>
      <c r="D108" s="24" t="s">
        <v>4</v>
      </c>
      <c r="E108" s="23"/>
      <c r="F108" s="205" t="s">
        <v>89</v>
      </c>
      <c r="G108" s="43">
        <v>2000</v>
      </c>
      <c r="H108" s="43"/>
      <c r="I108" s="43"/>
      <c r="J108" s="247">
        <f t="shared" ref="J108:J116" si="15">SUM(G108:I108)</f>
        <v>2000</v>
      </c>
      <c r="K108" s="26"/>
    </row>
    <row r="109" spans="1:11">
      <c r="A109" s="21" t="s">
        <v>17</v>
      </c>
      <c r="B109" s="22" t="s">
        <v>335</v>
      </c>
      <c r="C109" s="23" t="s">
        <v>202</v>
      </c>
      <c r="D109" s="24" t="s">
        <v>4</v>
      </c>
      <c r="E109" s="23"/>
      <c r="F109" s="205" t="s">
        <v>90</v>
      </c>
      <c r="G109" s="43">
        <v>3000</v>
      </c>
      <c r="H109" s="43"/>
      <c r="I109" s="43"/>
      <c r="J109" s="247">
        <f t="shared" si="15"/>
        <v>3000</v>
      </c>
      <c r="K109" s="26"/>
    </row>
    <row r="110" spans="1:11">
      <c r="A110" s="21" t="s">
        <v>17</v>
      </c>
      <c r="B110" s="22" t="s">
        <v>335</v>
      </c>
      <c r="C110" s="23" t="s">
        <v>203</v>
      </c>
      <c r="D110" s="24" t="s">
        <v>4</v>
      </c>
      <c r="E110" s="23"/>
      <c r="F110" s="205" t="s">
        <v>91</v>
      </c>
      <c r="G110" s="43">
        <v>4000</v>
      </c>
      <c r="H110" s="43"/>
      <c r="I110" s="43"/>
      <c r="J110" s="247">
        <f t="shared" si="15"/>
        <v>4000</v>
      </c>
      <c r="K110" s="26"/>
    </row>
    <row r="111" spans="1:11">
      <c r="A111" s="21" t="s">
        <v>17</v>
      </c>
      <c r="B111" s="22" t="s">
        <v>335</v>
      </c>
      <c r="C111" s="23" t="s">
        <v>204</v>
      </c>
      <c r="D111" s="24" t="s">
        <v>4</v>
      </c>
      <c r="E111" s="23"/>
      <c r="F111" s="205" t="s">
        <v>92</v>
      </c>
      <c r="G111" s="43">
        <v>5000</v>
      </c>
      <c r="H111" s="43"/>
      <c r="I111" s="43"/>
      <c r="J111" s="247">
        <f t="shared" si="15"/>
        <v>5000</v>
      </c>
      <c r="K111" s="26"/>
    </row>
    <row r="112" spans="1:11" s="222" customFormat="1">
      <c r="A112" s="244" t="s">
        <v>17</v>
      </c>
      <c r="B112" s="22" t="s">
        <v>335</v>
      </c>
      <c r="C112" s="23" t="s">
        <v>317</v>
      </c>
      <c r="D112" s="24" t="s">
        <v>4</v>
      </c>
      <c r="E112" s="23"/>
      <c r="F112" s="205" t="s">
        <v>319</v>
      </c>
      <c r="G112" s="245">
        <v>150000000</v>
      </c>
      <c r="H112" s="245"/>
      <c r="I112" s="245"/>
      <c r="J112" s="247">
        <f t="shared" ref="J112:J113" si="16">SUM(G112:I112)</f>
        <v>150000000</v>
      </c>
      <c r="K112" s="246"/>
    </row>
    <row r="113" spans="1:11" s="222" customFormat="1">
      <c r="A113" s="244" t="s">
        <v>17</v>
      </c>
      <c r="B113" s="22" t="s">
        <v>335</v>
      </c>
      <c r="C113" s="23" t="s">
        <v>318</v>
      </c>
      <c r="D113" s="24" t="s">
        <v>4</v>
      </c>
      <c r="E113" s="23"/>
      <c r="F113" s="205" t="s">
        <v>320</v>
      </c>
      <c r="G113" s="245">
        <v>120000000</v>
      </c>
      <c r="H113" s="245"/>
      <c r="I113" s="245"/>
      <c r="J113" s="247">
        <f t="shared" si="16"/>
        <v>120000000</v>
      </c>
      <c r="K113" s="246"/>
    </row>
    <row r="114" spans="1:11">
      <c r="A114" s="21" t="s">
        <v>17</v>
      </c>
      <c r="B114" s="22" t="s">
        <v>335</v>
      </c>
      <c r="C114" s="23" t="s">
        <v>205</v>
      </c>
      <c r="D114" s="24" t="s">
        <v>4</v>
      </c>
      <c r="E114" s="23"/>
      <c r="F114" s="205" t="s">
        <v>93</v>
      </c>
      <c r="G114" s="43">
        <v>6000</v>
      </c>
      <c r="H114" s="43"/>
      <c r="I114" s="43"/>
      <c r="J114" s="247">
        <f t="shared" si="15"/>
        <v>6000</v>
      </c>
      <c r="K114" s="26"/>
    </row>
    <row r="115" spans="1:11">
      <c r="A115" s="21" t="s">
        <v>17</v>
      </c>
      <c r="B115" s="22" t="s">
        <v>335</v>
      </c>
      <c r="C115" s="23" t="s">
        <v>206</v>
      </c>
      <c r="D115" s="24" t="s">
        <v>4</v>
      </c>
      <c r="E115" s="23"/>
      <c r="F115" s="205" t="s">
        <v>94</v>
      </c>
      <c r="G115" s="43">
        <v>7000</v>
      </c>
      <c r="H115" s="43"/>
      <c r="I115" s="43"/>
      <c r="J115" s="247">
        <f t="shared" si="15"/>
        <v>7000</v>
      </c>
      <c r="K115" s="26"/>
    </row>
    <row r="116" spans="1:11">
      <c r="A116" s="21" t="s">
        <v>17</v>
      </c>
      <c r="B116" s="22" t="s">
        <v>335</v>
      </c>
      <c r="C116" s="23" t="s">
        <v>207</v>
      </c>
      <c r="D116" s="24" t="s">
        <v>4</v>
      </c>
      <c r="E116" s="23"/>
      <c r="F116" s="206" t="s">
        <v>95</v>
      </c>
      <c r="G116" s="248">
        <f>G108+G109+G110+G111-G114-G115</f>
        <v>1000</v>
      </c>
      <c r="H116" s="249">
        <f>H108+H109+H110+H111-H114-H115</f>
        <v>0</v>
      </c>
      <c r="I116" s="249">
        <f>I108+I109+I110+I111-I114-I115</f>
        <v>0</v>
      </c>
      <c r="J116" s="247">
        <f t="shared" si="15"/>
        <v>1000</v>
      </c>
      <c r="K116" s="207"/>
    </row>
    <row r="117" spans="1:11" ht="22.8">
      <c r="A117" s="21"/>
      <c r="B117" s="22"/>
      <c r="C117" s="23"/>
      <c r="D117" s="24"/>
      <c r="E117" s="23"/>
      <c r="F117" s="201" t="s">
        <v>14</v>
      </c>
      <c r="G117" s="41"/>
      <c r="H117" s="41"/>
      <c r="I117" s="41"/>
      <c r="J117" s="133" t="s">
        <v>0</v>
      </c>
      <c r="K117" s="98"/>
    </row>
    <row r="118" spans="1:11">
      <c r="A118" s="21" t="s">
        <v>17</v>
      </c>
      <c r="B118" s="22" t="s">
        <v>335</v>
      </c>
      <c r="C118" s="23" t="s">
        <v>208</v>
      </c>
      <c r="D118" s="24" t="s">
        <v>4</v>
      </c>
      <c r="E118" s="23"/>
      <c r="F118" s="205" t="s">
        <v>96</v>
      </c>
      <c r="G118" s="43">
        <v>1000</v>
      </c>
      <c r="H118" s="43"/>
      <c r="I118" s="43"/>
      <c r="J118" s="247">
        <f t="shared" ref="J118:J133" si="17">SUM(G118:I118)</f>
        <v>1000</v>
      </c>
      <c r="K118" s="26"/>
    </row>
    <row r="119" spans="1:11">
      <c r="A119" s="21" t="s">
        <v>17</v>
      </c>
      <c r="B119" s="22" t="s">
        <v>335</v>
      </c>
      <c r="C119" s="23" t="s">
        <v>209</v>
      </c>
      <c r="D119" s="24" t="s">
        <v>4</v>
      </c>
      <c r="E119" s="23"/>
      <c r="F119" s="205" t="s">
        <v>97</v>
      </c>
      <c r="G119" s="43">
        <v>2000</v>
      </c>
      <c r="H119" s="43"/>
      <c r="I119" s="43"/>
      <c r="J119" s="247">
        <f t="shared" si="17"/>
        <v>2000</v>
      </c>
      <c r="K119" s="26"/>
    </row>
    <row r="120" spans="1:11">
      <c r="A120" s="21" t="s">
        <v>17</v>
      </c>
      <c r="B120" s="22" t="s">
        <v>335</v>
      </c>
      <c r="C120" s="23" t="s">
        <v>210</v>
      </c>
      <c r="D120" s="24" t="s">
        <v>4</v>
      </c>
      <c r="E120" s="23"/>
      <c r="F120" s="205" t="s">
        <v>98</v>
      </c>
      <c r="G120" s="43">
        <v>3000</v>
      </c>
      <c r="H120" s="43"/>
      <c r="I120" s="43"/>
      <c r="J120" s="247">
        <f t="shared" si="17"/>
        <v>3000</v>
      </c>
      <c r="K120" s="26"/>
    </row>
    <row r="121" spans="1:11">
      <c r="A121" s="21" t="s">
        <v>17</v>
      </c>
      <c r="B121" s="22" t="s">
        <v>335</v>
      </c>
      <c r="C121" s="23" t="s">
        <v>211</v>
      </c>
      <c r="D121" s="24" t="s">
        <v>4</v>
      </c>
      <c r="E121" s="23"/>
      <c r="F121" s="205" t="s">
        <v>99</v>
      </c>
      <c r="G121" s="43">
        <v>4000</v>
      </c>
      <c r="H121" s="43"/>
      <c r="I121" s="43"/>
      <c r="J121" s="247">
        <f t="shared" si="17"/>
        <v>4000</v>
      </c>
      <c r="K121" s="26"/>
    </row>
    <row r="122" spans="1:11">
      <c r="A122" s="21" t="s">
        <v>17</v>
      </c>
      <c r="B122" s="22" t="s">
        <v>335</v>
      </c>
      <c r="C122" s="23" t="s">
        <v>212</v>
      </c>
      <c r="D122" s="24" t="s">
        <v>4</v>
      </c>
      <c r="E122" s="23"/>
      <c r="F122" s="202" t="s">
        <v>100</v>
      </c>
      <c r="G122" s="43">
        <v>5000</v>
      </c>
      <c r="H122" s="43"/>
      <c r="I122" s="43"/>
      <c r="J122" s="247">
        <f t="shared" si="17"/>
        <v>5000</v>
      </c>
      <c r="K122" s="26"/>
    </row>
    <row r="123" spans="1:11">
      <c r="A123" s="21" t="s">
        <v>17</v>
      </c>
      <c r="B123" s="22" t="s">
        <v>335</v>
      </c>
      <c r="C123" s="23" t="s">
        <v>213</v>
      </c>
      <c r="D123" s="24" t="s">
        <v>4</v>
      </c>
      <c r="E123" s="23"/>
      <c r="F123" s="205" t="s">
        <v>101</v>
      </c>
      <c r="G123" s="43">
        <v>6000</v>
      </c>
      <c r="H123" s="43"/>
      <c r="I123" s="43"/>
      <c r="J123" s="247">
        <f t="shared" si="17"/>
        <v>6000</v>
      </c>
      <c r="K123" s="26"/>
    </row>
    <row r="124" spans="1:11">
      <c r="A124" s="21" t="s">
        <v>17</v>
      </c>
      <c r="B124" s="22" t="s">
        <v>335</v>
      </c>
      <c r="C124" s="23" t="s">
        <v>214</v>
      </c>
      <c r="D124" s="24" t="s">
        <v>4</v>
      </c>
      <c r="E124" s="23"/>
      <c r="F124" s="205" t="s">
        <v>102</v>
      </c>
      <c r="G124" s="43">
        <v>7000</v>
      </c>
      <c r="H124" s="43"/>
      <c r="I124" s="43"/>
      <c r="J124" s="247">
        <f t="shared" si="17"/>
        <v>7000</v>
      </c>
      <c r="K124" s="26"/>
    </row>
    <row r="125" spans="1:11">
      <c r="A125" s="21" t="s">
        <v>17</v>
      </c>
      <c r="B125" s="22" t="s">
        <v>335</v>
      </c>
      <c r="C125" s="23" t="s">
        <v>215</v>
      </c>
      <c r="D125" s="24" t="s">
        <v>4</v>
      </c>
      <c r="E125" s="23"/>
      <c r="F125" s="205" t="s">
        <v>103</v>
      </c>
      <c r="G125" s="43">
        <v>8000</v>
      </c>
      <c r="H125" s="43"/>
      <c r="I125" s="43"/>
      <c r="J125" s="247">
        <f t="shared" si="17"/>
        <v>8000</v>
      </c>
      <c r="K125" s="26"/>
    </row>
    <row r="126" spans="1:11">
      <c r="A126" s="21"/>
      <c r="B126" s="257"/>
      <c r="C126" s="258"/>
      <c r="D126" s="259"/>
      <c r="E126" s="258"/>
      <c r="F126" s="260" t="s">
        <v>342</v>
      </c>
      <c r="G126" s="261"/>
      <c r="H126" s="261"/>
      <c r="I126" s="261"/>
      <c r="J126" s="262"/>
      <c r="K126" s="263"/>
    </row>
    <row r="127" spans="1:11">
      <c r="A127" s="21" t="s">
        <v>17</v>
      </c>
      <c r="B127" s="257" t="s">
        <v>335</v>
      </c>
      <c r="C127" s="258" t="s">
        <v>336</v>
      </c>
      <c r="D127" s="259" t="s">
        <v>4</v>
      </c>
      <c r="E127" s="258"/>
      <c r="F127" s="265" t="s">
        <v>341</v>
      </c>
      <c r="G127" s="43">
        <v>9000</v>
      </c>
      <c r="H127" s="43"/>
      <c r="I127" s="43"/>
      <c r="J127" s="247">
        <f t="shared" ref="J127:J129" si="18">SUM(G127:I127)</f>
        <v>9000</v>
      </c>
      <c r="K127" s="26"/>
    </row>
    <row r="128" spans="1:11">
      <c r="A128" s="21" t="s">
        <v>17</v>
      </c>
      <c r="B128" s="257" t="s">
        <v>335</v>
      </c>
      <c r="C128" s="258" t="s">
        <v>337</v>
      </c>
      <c r="D128" s="259" t="s">
        <v>4</v>
      </c>
      <c r="E128" s="258"/>
      <c r="F128" s="265" t="s">
        <v>340</v>
      </c>
      <c r="G128" s="43">
        <v>1000</v>
      </c>
      <c r="H128" s="43"/>
      <c r="I128" s="43"/>
      <c r="J128" s="247">
        <f t="shared" si="18"/>
        <v>1000</v>
      </c>
      <c r="K128" s="26"/>
    </row>
    <row r="129" spans="1:11">
      <c r="A129" s="21" t="s">
        <v>17</v>
      </c>
      <c r="B129" s="257" t="s">
        <v>335</v>
      </c>
      <c r="C129" s="258" t="s">
        <v>338</v>
      </c>
      <c r="D129" s="259" t="s">
        <v>4</v>
      </c>
      <c r="E129" s="258"/>
      <c r="F129" s="264" t="s">
        <v>343</v>
      </c>
      <c r="G129" s="249">
        <f>G127+G128</f>
        <v>10000</v>
      </c>
      <c r="H129" s="249">
        <f>H127+H128</f>
        <v>0</v>
      </c>
      <c r="I129" s="249">
        <f>I127+I128</f>
        <v>0</v>
      </c>
      <c r="J129" s="247">
        <f t="shared" si="18"/>
        <v>10000</v>
      </c>
      <c r="K129" s="247">
        <f>K127+K128</f>
        <v>0</v>
      </c>
    </row>
    <row r="130" spans="1:11" s="222" customFormat="1">
      <c r="A130" s="244" t="s">
        <v>17</v>
      </c>
      <c r="B130" s="22" t="s">
        <v>335</v>
      </c>
      <c r="C130" s="23" t="s">
        <v>339</v>
      </c>
      <c r="D130" s="24" t="s">
        <v>4</v>
      </c>
      <c r="E130" s="23"/>
      <c r="F130" s="260" t="s">
        <v>321</v>
      </c>
      <c r="G130" s="245">
        <v>1000</v>
      </c>
      <c r="H130" s="245"/>
      <c r="I130" s="245"/>
      <c r="J130" s="247">
        <f t="shared" si="17"/>
        <v>1000</v>
      </c>
      <c r="K130" s="246"/>
    </row>
    <row r="131" spans="1:11" s="222" customFormat="1">
      <c r="A131" s="244" t="s">
        <v>17</v>
      </c>
      <c r="B131" s="22" t="s">
        <v>335</v>
      </c>
      <c r="C131" s="23" t="s">
        <v>323</v>
      </c>
      <c r="D131" s="24" t="s">
        <v>4</v>
      </c>
      <c r="E131" s="23"/>
      <c r="F131" s="205" t="s">
        <v>324</v>
      </c>
      <c r="G131" s="245">
        <v>2000</v>
      </c>
      <c r="H131" s="245"/>
      <c r="I131" s="245"/>
      <c r="J131" s="247">
        <f t="shared" ref="J131" si="19">SUM(G131:I131)</f>
        <v>2000</v>
      </c>
      <c r="K131" s="246"/>
    </row>
    <row r="132" spans="1:11">
      <c r="A132" s="21" t="s">
        <v>17</v>
      </c>
      <c r="B132" s="22" t="s">
        <v>335</v>
      </c>
      <c r="C132" s="23" t="s">
        <v>216</v>
      </c>
      <c r="D132" s="24" t="s">
        <v>4</v>
      </c>
      <c r="E132" s="23"/>
      <c r="F132" s="205" t="s">
        <v>104</v>
      </c>
      <c r="G132" s="43">
        <v>3000</v>
      </c>
      <c r="H132" s="43"/>
      <c r="I132" s="43"/>
      <c r="J132" s="247">
        <f t="shared" si="17"/>
        <v>3000</v>
      </c>
      <c r="K132" s="26"/>
    </row>
    <row r="133" spans="1:11">
      <c r="A133" s="21"/>
      <c r="B133" s="22" t="s">
        <v>335</v>
      </c>
      <c r="C133" s="23" t="s">
        <v>217</v>
      </c>
      <c r="D133" s="24" t="s">
        <v>65</v>
      </c>
      <c r="E133" s="23"/>
      <c r="F133" s="202" t="s">
        <v>105</v>
      </c>
      <c r="G133" s="43">
        <v>4000</v>
      </c>
      <c r="H133" s="43"/>
      <c r="I133" s="43"/>
      <c r="J133" s="247">
        <f t="shared" si="17"/>
        <v>4000</v>
      </c>
      <c r="K133" s="26"/>
    </row>
    <row r="134" spans="1:11" ht="22.8">
      <c r="A134" s="21"/>
      <c r="B134" s="22" t="s">
        <v>335</v>
      </c>
      <c r="C134" s="23" t="s">
        <v>218</v>
      </c>
      <c r="D134" s="24" t="s">
        <v>65</v>
      </c>
      <c r="E134" s="23"/>
      <c r="F134" s="202" t="s">
        <v>106</v>
      </c>
      <c r="G134" s="209" t="s">
        <v>357</v>
      </c>
      <c r="H134" s="209"/>
      <c r="I134" s="209"/>
      <c r="J134" s="208"/>
      <c r="K134" s="208"/>
    </row>
    <row r="135" spans="1:11">
      <c r="A135" s="21"/>
      <c r="B135" s="22" t="s">
        <v>335</v>
      </c>
      <c r="C135" s="23" t="s">
        <v>219</v>
      </c>
      <c r="D135" s="24" t="s">
        <v>65</v>
      </c>
      <c r="E135" s="23"/>
      <c r="F135" s="202" t="s">
        <v>107</v>
      </c>
      <c r="G135" s="209" t="s">
        <v>358</v>
      </c>
      <c r="H135" s="209"/>
      <c r="I135" s="209"/>
      <c r="J135" s="208"/>
      <c r="K135" s="208"/>
    </row>
    <row r="136" spans="1:11">
      <c r="A136" s="21" t="s">
        <v>17</v>
      </c>
      <c r="B136" s="22" t="s">
        <v>335</v>
      </c>
      <c r="C136" s="23" t="s">
        <v>220</v>
      </c>
      <c r="D136" s="24" t="s">
        <v>4</v>
      </c>
      <c r="E136" s="23"/>
      <c r="F136" s="202" t="s">
        <v>108</v>
      </c>
      <c r="G136" s="43">
        <v>50000</v>
      </c>
      <c r="H136" s="43"/>
      <c r="I136" s="43"/>
      <c r="J136" s="247">
        <f t="shared" ref="J136" si="20">SUM(G136:I136)</f>
        <v>50000</v>
      </c>
      <c r="K136" s="26"/>
    </row>
    <row r="137" spans="1:11" ht="22.8">
      <c r="A137" s="21"/>
      <c r="B137" s="22" t="s">
        <v>335</v>
      </c>
      <c r="C137" s="23" t="s">
        <v>221</v>
      </c>
      <c r="D137" s="24" t="s">
        <v>65</v>
      </c>
      <c r="E137" s="23"/>
      <c r="F137" s="202" t="s">
        <v>109</v>
      </c>
      <c r="G137" s="209" t="s">
        <v>359</v>
      </c>
      <c r="H137" s="209"/>
      <c r="I137" s="209"/>
      <c r="J137" s="208"/>
      <c r="K137" s="208"/>
    </row>
    <row r="138" spans="1:11" ht="22.8">
      <c r="A138" s="21"/>
      <c r="B138" s="22" t="s">
        <v>335</v>
      </c>
      <c r="C138" s="23" t="s">
        <v>222</v>
      </c>
      <c r="D138" s="24" t="s">
        <v>65</v>
      </c>
      <c r="E138" s="23"/>
      <c r="F138" s="202" t="s">
        <v>110</v>
      </c>
      <c r="G138" s="209" t="s">
        <v>360</v>
      </c>
      <c r="H138" s="209"/>
      <c r="I138" s="209"/>
      <c r="J138" s="208"/>
      <c r="K138" s="208"/>
    </row>
    <row r="139" spans="1:11" ht="22.8">
      <c r="A139" s="21" t="s">
        <v>17</v>
      </c>
      <c r="B139" s="22" t="s">
        <v>335</v>
      </c>
      <c r="C139" s="23" t="s">
        <v>223</v>
      </c>
      <c r="D139" s="24" t="s">
        <v>4</v>
      </c>
      <c r="E139" s="23"/>
      <c r="F139" s="202" t="s">
        <v>111</v>
      </c>
      <c r="G139" s="43">
        <v>6000</v>
      </c>
      <c r="H139" s="43"/>
      <c r="I139" s="43"/>
      <c r="J139" s="247">
        <f t="shared" ref="J139:J140" si="21">SUM(G139:I139)</f>
        <v>6000</v>
      </c>
      <c r="K139" s="26"/>
    </row>
    <row r="140" spans="1:11" ht="22.8">
      <c r="A140" s="21"/>
      <c r="B140" s="22" t="s">
        <v>335</v>
      </c>
      <c r="C140" s="23" t="s">
        <v>224</v>
      </c>
      <c r="D140" s="24" t="s">
        <v>65</v>
      </c>
      <c r="E140" s="23"/>
      <c r="F140" s="202" t="s">
        <v>112</v>
      </c>
      <c r="G140" s="43">
        <v>7000</v>
      </c>
      <c r="H140" s="43"/>
      <c r="I140" s="43"/>
      <c r="J140" s="247">
        <f t="shared" si="21"/>
        <v>7000</v>
      </c>
      <c r="K140" s="26"/>
    </row>
    <row r="141" spans="1:11" ht="22.8">
      <c r="A141" s="21"/>
      <c r="B141" s="22" t="s">
        <v>335</v>
      </c>
      <c r="C141" s="23" t="s">
        <v>225</v>
      </c>
      <c r="D141" s="24" t="s">
        <v>65</v>
      </c>
      <c r="E141" s="23"/>
      <c r="F141" s="202" t="s">
        <v>113</v>
      </c>
      <c r="G141" s="209" t="s">
        <v>360</v>
      </c>
      <c r="H141" s="209"/>
      <c r="I141" s="209"/>
      <c r="J141" s="208"/>
      <c r="K141" s="208"/>
    </row>
    <row r="142" spans="1:11">
      <c r="A142" s="21"/>
      <c r="B142" s="22" t="s">
        <v>335</v>
      </c>
      <c r="C142" s="23" t="s">
        <v>226</v>
      </c>
      <c r="D142" s="24" t="s">
        <v>65</v>
      </c>
      <c r="E142" s="23"/>
      <c r="F142" s="202" t="s">
        <v>114</v>
      </c>
      <c r="G142" s="43">
        <v>8000</v>
      </c>
      <c r="H142" s="43"/>
      <c r="I142" s="43"/>
      <c r="J142" s="247">
        <f t="shared" ref="J142:J145" si="22">SUM(G142:I142)</f>
        <v>8000</v>
      </c>
      <c r="K142" s="26"/>
    </row>
    <row r="143" spans="1:11">
      <c r="A143" s="21"/>
      <c r="B143" s="22" t="s">
        <v>335</v>
      </c>
      <c r="C143" s="23" t="s">
        <v>227</v>
      </c>
      <c r="D143" s="24" t="s">
        <v>65</v>
      </c>
      <c r="E143" s="23"/>
      <c r="F143" s="205" t="s">
        <v>115</v>
      </c>
      <c r="G143" s="43">
        <v>9000</v>
      </c>
      <c r="H143" s="43"/>
      <c r="I143" s="43"/>
      <c r="J143" s="247">
        <f t="shared" si="22"/>
        <v>9000</v>
      </c>
      <c r="K143" s="26"/>
    </row>
    <row r="144" spans="1:11" ht="22.8">
      <c r="A144" s="21"/>
      <c r="B144" s="22" t="s">
        <v>335</v>
      </c>
      <c r="C144" s="23" t="s">
        <v>228</v>
      </c>
      <c r="D144" s="24" t="s">
        <v>65</v>
      </c>
      <c r="E144" s="23"/>
      <c r="F144" s="202" t="s">
        <v>116</v>
      </c>
      <c r="G144" s="43">
        <v>1000</v>
      </c>
      <c r="H144" s="43"/>
      <c r="I144" s="43"/>
      <c r="J144" s="247">
        <f t="shared" si="22"/>
        <v>1000</v>
      </c>
      <c r="K144" s="26"/>
    </row>
    <row r="145" spans="1:11" ht="22.8">
      <c r="A145" s="21"/>
      <c r="B145" s="22" t="s">
        <v>335</v>
      </c>
      <c r="C145" s="23" t="s">
        <v>229</v>
      </c>
      <c r="D145" s="24" t="s">
        <v>65</v>
      </c>
      <c r="E145" s="23"/>
      <c r="F145" s="202" t="s">
        <v>117</v>
      </c>
      <c r="G145" s="43">
        <v>2000</v>
      </c>
      <c r="H145" s="43"/>
      <c r="I145" s="43"/>
      <c r="J145" s="247">
        <f t="shared" si="22"/>
        <v>2000</v>
      </c>
      <c r="K145" s="26"/>
    </row>
    <row r="146" spans="1:11" ht="22.8">
      <c r="A146" s="21"/>
      <c r="B146" s="22" t="s">
        <v>335</v>
      </c>
      <c r="C146" s="23" t="s">
        <v>230</v>
      </c>
      <c r="D146" s="24" t="s">
        <v>65</v>
      </c>
      <c r="E146" s="23"/>
      <c r="F146" s="202" t="s">
        <v>118</v>
      </c>
      <c r="G146" s="43" t="s">
        <v>361</v>
      </c>
      <c r="H146" s="43"/>
      <c r="I146" s="43"/>
      <c r="J146" s="26"/>
      <c r="K146" s="26"/>
    </row>
    <row r="147" spans="1:11">
      <c r="A147" s="21"/>
      <c r="B147" s="22" t="s">
        <v>335</v>
      </c>
      <c r="C147" s="23" t="s">
        <v>231</v>
      </c>
      <c r="D147" s="24" t="s">
        <v>65</v>
      </c>
      <c r="E147" s="23"/>
      <c r="F147" s="202" t="s">
        <v>119</v>
      </c>
      <c r="G147" s="43" t="s">
        <v>362</v>
      </c>
      <c r="H147" s="43"/>
      <c r="I147" s="43"/>
      <c r="J147" s="26"/>
      <c r="K147" s="26"/>
    </row>
    <row r="148" spans="1:11" ht="22.8">
      <c r="A148" s="21"/>
      <c r="B148" s="22" t="s">
        <v>335</v>
      </c>
      <c r="C148" s="23" t="s">
        <v>232</v>
      </c>
      <c r="D148" s="24" t="s">
        <v>65</v>
      </c>
      <c r="E148" s="23"/>
      <c r="F148" s="202" t="s">
        <v>120</v>
      </c>
      <c r="G148" s="43" t="s">
        <v>363</v>
      </c>
      <c r="H148" s="43"/>
      <c r="I148" s="43"/>
      <c r="J148" s="26"/>
      <c r="K148" s="26"/>
    </row>
    <row r="149" spans="1:11" ht="22.8">
      <c r="A149" s="21"/>
      <c r="B149" s="22" t="s">
        <v>335</v>
      </c>
      <c r="C149" s="23" t="s">
        <v>233</v>
      </c>
      <c r="D149" s="24" t="s">
        <v>65</v>
      </c>
      <c r="E149" s="23"/>
      <c r="F149" s="202" t="s">
        <v>121</v>
      </c>
      <c r="G149" s="43" t="s">
        <v>364</v>
      </c>
      <c r="H149" s="43"/>
      <c r="I149" s="43"/>
      <c r="J149" s="26"/>
      <c r="K149" s="26"/>
    </row>
    <row r="150" spans="1:11" ht="22.8">
      <c r="A150" s="21"/>
      <c r="B150" s="22" t="s">
        <v>335</v>
      </c>
      <c r="C150" s="23" t="s">
        <v>234</v>
      </c>
      <c r="D150" s="24" t="s">
        <v>65</v>
      </c>
      <c r="E150" s="23"/>
      <c r="F150" s="202" t="s">
        <v>122</v>
      </c>
      <c r="G150" s="43">
        <v>3000</v>
      </c>
      <c r="H150" s="43"/>
      <c r="I150" s="43"/>
      <c r="J150" s="247">
        <f t="shared" ref="J150:J151" si="23">SUM(G150:I150)</f>
        <v>3000</v>
      </c>
      <c r="K150" s="26"/>
    </row>
    <row r="151" spans="1:11">
      <c r="A151" s="21"/>
      <c r="B151" s="22" t="s">
        <v>335</v>
      </c>
      <c r="C151" s="23" t="s">
        <v>235</v>
      </c>
      <c r="D151" s="24" t="s">
        <v>65</v>
      </c>
      <c r="E151" s="23"/>
      <c r="F151" s="202" t="s">
        <v>123</v>
      </c>
      <c r="G151" s="209">
        <v>4000</v>
      </c>
      <c r="H151" s="209"/>
      <c r="I151" s="209"/>
      <c r="J151" s="247">
        <f t="shared" si="23"/>
        <v>4000</v>
      </c>
      <c r="K151" s="208"/>
    </row>
    <row r="152" spans="1:11">
      <c r="A152" s="21"/>
      <c r="B152" s="22" t="s">
        <v>335</v>
      </c>
      <c r="C152" s="23" t="s">
        <v>236</v>
      </c>
      <c r="D152" s="24" t="s">
        <v>65</v>
      </c>
      <c r="E152" s="23"/>
      <c r="F152" s="202" t="s">
        <v>124</v>
      </c>
      <c r="G152" s="209" t="s">
        <v>365</v>
      </c>
      <c r="H152" s="209"/>
      <c r="I152" s="209"/>
      <c r="J152" s="208"/>
      <c r="K152" s="208"/>
    </row>
    <row r="153" spans="1:11" ht="22.8">
      <c r="A153" s="21"/>
      <c r="B153" s="22" t="s">
        <v>335</v>
      </c>
      <c r="C153" s="23" t="s">
        <v>237</v>
      </c>
      <c r="D153" s="24" t="s">
        <v>65</v>
      </c>
      <c r="E153" s="23"/>
      <c r="F153" s="202" t="s">
        <v>125</v>
      </c>
      <c r="G153" s="209" t="s">
        <v>366</v>
      </c>
      <c r="H153" s="209"/>
      <c r="I153" s="209"/>
      <c r="J153" s="208"/>
      <c r="K153" s="208"/>
    </row>
    <row r="154" spans="1:11" ht="22.8">
      <c r="A154" s="21"/>
      <c r="B154" s="22" t="s">
        <v>335</v>
      </c>
      <c r="C154" s="23" t="s">
        <v>238</v>
      </c>
      <c r="D154" s="24" t="s">
        <v>65</v>
      </c>
      <c r="E154" s="23"/>
      <c r="F154" s="203" t="s">
        <v>126</v>
      </c>
      <c r="G154" s="43" t="s">
        <v>367</v>
      </c>
      <c r="H154" s="43"/>
      <c r="I154" s="43"/>
      <c r="J154" s="26"/>
      <c r="K154" s="26"/>
    </row>
    <row r="155" spans="1:11" ht="34.200000000000003">
      <c r="A155" s="21"/>
      <c r="B155" s="22" t="s">
        <v>335</v>
      </c>
      <c r="C155" s="23" t="s">
        <v>239</v>
      </c>
      <c r="D155" s="24" t="s">
        <v>65</v>
      </c>
      <c r="E155" s="23"/>
      <c r="F155" s="203" t="s">
        <v>127</v>
      </c>
      <c r="G155" s="43">
        <v>5000</v>
      </c>
      <c r="H155" s="43"/>
      <c r="I155" s="43"/>
      <c r="J155" s="247">
        <f t="shared" ref="J155" si="24">SUM(G155:I155)</f>
        <v>5000</v>
      </c>
      <c r="K155" s="26"/>
    </row>
    <row r="156" spans="1:11" ht="34.200000000000003">
      <c r="A156" s="21"/>
      <c r="B156" s="22" t="s">
        <v>335</v>
      </c>
      <c r="C156" s="23" t="s">
        <v>240</v>
      </c>
      <c r="D156" s="24" t="s">
        <v>65</v>
      </c>
      <c r="E156" s="23"/>
      <c r="F156" s="203" t="s">
        <v>128</v>
      </c>
      <c r="G156" s="209" t="s">
        <v>368</v>
      </c>
      <c r="H156" s="209"/>
      <c r="I156" s="209"/>
      <c r="J156" s="208"/>
      <c r="K156" s="208"/>
    </row>
    <row r="157" spans="1:11">
      <c r="B157" s="103"/>
      <c r="C157" s="33"/>
      <c r="D157" s="102"/>
      <c r="E157" s="33"/>
      <c r="F157" s="39"/>
      <c r="G157" s="42"/>
      <c r="H157" s="42"/>
      <c r="I157" s="42"/>
      <c r="J157" s="34"/>
      <c r="K157" s="101"/>
    </row>
  </sheetData>
  <pageMargins left="0.7" right="0.7" top="0.75" bottom="0.75" header="0.3" footer="0.3"/>
  <pageSetup paperSize="9" orientation="portrait" horizontalDpi="300" verticalDpi="3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tabColor theme="7" tint="0.39997558519241921"/>
  </sheetPr>
  <dimension ref="A1:J33"/>
  <sheetViews>
    <sheetView topLeftCell="A28" zoomScale="80" zoomScaleNormal="80" workbookViewId="0">
      <selection activeCell="G23" sqref="G23:G32"/>
    </sheetView>
  </sheetViews>
  <sheetFormatPr baseColWidth="10" defaultRowHeight="14.4"/>
  <cols>
    <col min="1" max="1" width="2.6640625" customWidth="1"/>
    <col min="2" max="2" width="3.33203125" customWidth="1"/>
    <col min="3" max="3" width="2.6640625" customWidth="1"/>
    <col min="4" max="4" width="5.44140625" customWidth="1"/>
    <col min="5" max="5" width="2.6640625" customWidth="1"/>
    <col min="6" max="6" width="90.6640625" customWidth="1"/>
    <col min="9" max="9" width="14.5546875" customWidth="1"/>
    <col min="10" max="10" width="14.44140625" customWidth="1"/>
  </cols>
  <sheetData>
    <row r="1" spans="1:10" ht="54.9" customHeight="1" thickBot="1"/>
    <row r="2" spans="1:10" ht="177" customHeight="1" thickBot="1">
      <c r="F2" s="35" t="s">
        <v>2</v>
      </c>
    </row>
    <row r="3" spans="1:10" ht="16.2" thickBot="1">
      <c r="F3" s="36" t="s">
        <v>3</v>
      </c>
    </row>
    <row r="4" spans="1:10" ht="121.5" customHeight="1">
      <c r="A4" s="7" t="s">
        <v>290</v>
      </c>
      <c r="B4" s="8"/>
      <c r="C4" s="9"/>
      <c r="D4" s="9"/>
      <c r="E4" s="10"/>
      <c r="F4" s="93" t="s">
        <v>20</v>
      </c>
      <c r="G4" s="12" t="s">
        <v>1</v>
      </c>
      <c r="H4" s="12" t="s">
        <v>1</v>
      </c>
      <c r="I4" s="13" t="s">
        <v>10</v>
      </c>
      <c r="J4" s="13" t="s">
        <v>11</v>
      </c>
    </row>
    <row r="5" spans="1:10" ht="121.5" hidden="1" customHeight="1">
      <c r="A5" s="14" t="s">
        <v>289</v>
      </c>
      <c r="B5" s="15"/>
      <c r="C5" s="16"/>
      <c r="D5" s="17" t="s">
        <v>293</v>
      </c>
      <c r="E5" s="18" t="s">
        <v>291</v>
      </c>
      <c r="F5" s="19"/>
      <c r="G5" s="27" t="str">
        <f>SUBSTITUTE(CONCATENATE("IFRS3-TranActvPasi_",TRIM(G4),"_",COLUMN(G5),"|",G4)," ","")</f>
        <v>IFRS3-TranActvPasi_Agregarcolumnaopcional_7|Agregarcolumnaopcional</v>
      </c>
      <c r="H5" s="27" t="str">
        <f>SUBSTITUTE(CONCATENATE("IFRS3-TranActvPasi_",TRIM(H4),"_",COLUMN(H5),"|",H4)," ","")</f>
        <v>IFRS3-TranActvPasi_Agregarcolumnaopcional_8|Agregarcolumnaopcional</v>
      </c>
      <c r="I5" s="20" t="s">
        <v>181</v>
      </c>
      <c r="J5" s="20" t="s">
        <v>182</v>
      </c>
    </row>
    <row r="6" spans="1:10">
      <c r="A6" s="21"/>
      <c r="B6" s="28"/>
      <c r="C6" s="29"/>
      <c r="D6" s="30"/>
      <c r="E6" s="31"/>
      <c r="F6" s="200"/>
      <c r="G6" s="40"/>
      <c r="H6" s="40"/>
      <c r="I6" s="31"/>
      <c r="J6" s="99"/>
    </row>
    <row r="7" spans="1:10" ht="22.8">
      <c r="A7" s="21"/>
      <c r="B7" s="22"/>
      <c r="C7" s="23"/>
      <c r="D7" s="24"/>
      <c r="E7" s="25"/>
      <c r="F7" s="201" t="s">
        <v>22</v>
      </c>
      <c r="G7" s="41"/>
      <c r="H7" s="41"/>
      <c r="I7" s="23"/>
      <c r="J7" s="100"/>
    </row>
    <row r="8" spans="1:10" ht="22.8">
      <c r="A8" s="21"/>
      <c r="B8" s="22" t="s">
        <v>335</v>
      </c>
      <c r="C8" s="23" t="s">
        <v>241</v>
      </c>
      <c r="D8" s="24" t="s">
        <v>4</v>
      </c>
      <c r="E8" s="23" t="s">
        <v>0</v>
      </c>
      <c r="F8" s="202" t="s">
        <v>129</v>
      </c>
      <c r="G8" s="209" t="s">
        <v>351</v>
      </c>
      <c r="H8" s="209"/>
      <c r="I8" s="208"/>
      <c r="J8" s="208"/>
    </row>
    <row r="9" spans="1:10" ht="22.8">
      <c r="A9" s="21"/>
      <c r="B9" s="22" t="s">
        <v>335</v>
      </c>
      <c r="C9" s="23" t="s">
        <v>242</v>
      </c>
      <c r="D9" s="24" t="s">
        <v>4</v>
      </c>
      <c r="E9" s="23" t="s">
        <v>0</v>
      </c>
      <c r="F9" s="202" t="s">
        <v>130</v>
      </c>
      <c r="G9" s="209" t="s">
        <v>352</v>
      </c>
      <c r="H9" s="209"/>
      <c r="I9" s="208"/>
      <c r="J9" s="208"/>
    </row>
    <row r="10" spans="1:10" ht="22.8">
      <c r="A10" s="21"/>
      <c r="B10" s="22" t="s">
        <v>335</v>
      </c>
      <c r="C10" s="23" t="s">
        <v>243</v>
      </c>
      <c r="D10" s="24" t="s">
        <v>4</v>
      </c>
      <c r="E10" s="23" t="s">
        <v>0</v>
      </c>
      <c r="F10" s="202" t="s">
        <v>131</v>
      </c>
      <c r="G10" s="43">
        <v>1000</v>
      </c>
      <c r="H10" s="43"/>
      <c r="I10" s="247">
        <f>SUM(G10:H10)</f>
        <v>1000</v>
      </c>
      <c r="J10" s="26"/>
    </row>
    <row r="11" spans="1:10" ht="22.8">
      <c r="A11" s="21"/>
      <c r="B11" s="22" t="s">
        <v>335</v>
      </c>
      <c r="C11" s="23" t="s">
        <v>244</v>
      </c>
      <c r="D11" s="24" t="s">
        <v>4</v>
      </c>
      <c r="E11" s="23" t="s">
        <v>0</v>
      </c>
      <c r="F11" s="202" t="s">
        <v>132</v>
      </c>
      <c r="G11" s="43">
        <v>2000</v>
      </c>
      <c r="H11" s="43"/>
      <c r="I11" s="247">
        <f t="shared" ref="I11:I13" si="0">SUM(G11:H11)</f>
        <v>2000</v>
      </c>
      <c r="J11" s="26"/>
    </row>
    <row r="12" spans="1:10" ht="34.200000000000003">
      <c r="A12" s="21"/>
      <c r="B12" s="22" t="s">
        <v>335</v>
      </c>
      <c r="C12" s="23" t="s">
        <v>245</v>
      </c>
      <c r="D12" s="24" t="s">
        <v>4</v>
      </c>
      <c r="E12" s="23" t="s">
        <v>0</v>
      </c>
      <c r="F12" s="202" t="s">
        <v>133</v>
      </c>
      <c r="G12" s="43">
        <v>3000</v>
      </c>
      <c r="H12" s="43"/>
      <c r="I12" s="247">
        <f t="shared" si="0"/>
        <v>3000</v>
      </c>
      <c r="J12" s="26"/>
    </row>
    <row r="13" spans="1:10" ht="22.8">
      <c r="A13" s="21"/>
      <c r="B13" s="22" t="s">
        <v>335</v>
      </c>
      <c r="C13" s="23" t="s">
        <v>246</v>
      </c>
      <c r="D13" s="24" t="s">
        <v>4</v>
      </c>
      <c r="E13" s="23" t="s">
        <v>0</v>
      </c>
      <c r="F13" s="202" t="s">
        <v>134</v>
      </c>
      <c r="G13" s="43">
        <v>4000</v>
      </c>
      <c r="H13" s="43"/>
      <c r="I13" s="247">
        <f t="shared" si="0"/>
        <v>4000</v>
      </c>
      <c r="J13" s="26"/>
    </row>
    <row r="14" spans="1:10" ht="34.200000000000003">
      <c r="A14" s="21"/>
      <c r="B14" s="22" t="s">
        <v>335</v>
      </c>
      <c r="C14" s="23" t="s">
        <v>247</v>
      </c>
      <c r="D14" s="24" t="s">
        <v>4</v>
      </c>
      <c r="E14" s="23" t="s">
        <v>0</v>
      </c>
      <c r="F14" s="202" t="s">
        <v>135</v>
      </c>
      <c r="G14" s="209" t="s">
        <v>353</v>
      </c>
      <c r="H14" s="209"/>
      <c r="I14" s="208"/>
      <c r="J14" s="208"/>
    </row>
    <row r="15" spans="1:10" ht="34.200000000000003">
      <c r="A15" s="21"/>
      <c r="B15" s="22" t="s">
        <v>335</v>
      </c>
      <c r="C15" s="23" t="s">
        <v>248</v>
      </c>
      <c r="D15" s="24" t="s">
        <v>4</v>
      </c>
      <c r="E15" s="23" t="s">
        <v>0</v>
      </c>
      <c r="F15" s="203" t="s">
        <v>136</v>
      </c>
      <c r="G15" s="209" t="s">
        <v>354</v>
      </c>
      <c r="H15" s="209"/>
      <c r="I15" s="208"/>
      <c r="J15" s="208"/>
    </row>
    <row r="16" spans="1:10" ht="34.200000000000003">
      <c r="A16" s="21"/>
      <c r="B16" s="22" t="s">
        <v>335</v>
      </c>
      <c r="C16" s="23" t="s">
        <v>249</v>
      </c>
      <c r="D16" s="24" t="s">
        <v>4</v>
      </c>
      <c r="E16" s="23" t="s">
        <v>0</v>
      </c>
      <c r="F16" s="202" t="s">
        <v>137</v>
      </c>
      <c r="G16" s="209" t="s">
        <v>355</v>
      </c>
      <c r="H16" s="209"/>
      <c r="I16" s="208"/>
      <c r="J16" s="208"/>
    </row>
    <row r="17" spans="1:10" ht="34.200000000000003">
      <c r="A17" s="21"/>
      <c r="B17" s="22" t="s">
        <v>335</v>
      </c>
      <c r="C17" s="23" t="s">
        <v>250</v>
      </c>
      <c r="D17" s="24" t="s">
        <v>4</v>
      </c>
      <c r="E17" s="23" t="s">
        <v>0</v>
      </c>
      <c r="F17" s="202" t="s">
        <v>138</v>
      </c>
      <c r="G17" s="209" t="s">
        <v>356</v>
      </c>
      <c r="H17" s="209"/>
      <c r="I17" s="208"/>
      <c r="J17" s="208"/>
    </row>
    <row r="18" spans="1:10">
      <c r="B18" s="32"/>
      <c r="C18" s="23"/>
      <c r="D18" s="33"/>
      <c r="E18" s="33"/>
      <c r="F18" s="33"/>
      <c r="G18" s="42"/>
      <c r="H18" s="42"/>
      <c r="I18" s="34"/>
      <c r="J18" s="101"/>
    </row>
    <row r="19" spans="1:10" ht="15" thickBot="1"/>
    <row r="20" spans="1:10" ht="103.5" customHeight="1">
      <c r="A20" s="7"/>
      <c r="B20" s="8"/>
      <c r="C20" s="9"/>
      <c r="D20" s="9"/>
      <c r="E20" s="10"/>
      <c r="F20" s="93" t="s">
        <v>20</v>
      </c>
      <c r="G20" s="107" t="str">
        <f>IF(G4="Agregar columna opcional","",G4)</f>
        <v/>
      </c>
      <c r="H20" s="107" t="str">
        <f>IF(H4="Agregar columna opcional","",H4)</f>
        <v/>
      </c>
      <c r="I20" s="13" t="s">
        <v>10</v>
      </c>
      <c r="J20" s="13" t="s">
        <v>11</v>
      </c>
    </row>
    <row r="21" spans="1:10">
      <c r="A21" s="21"/>
      <c r="B21" s="28"/>
      <c r="C21" s="29"/>
      <c r="D21" s="30"/>
      <c r="E21" s="31"/>
      <c r="F21" s="200"/>
      <c r="G21" s="40"/>
      <c r="H21" s="40"/>
      <c r="I21" s="31"/>
      <c r="J21" s="99"/>
    </row>
    <row r="22" spans="1:10" ht="22.8">
      <c r="A22" s="21"/>
      <c r="B22" s="22"/>
      <c r="C22" s="23"/>
      <c r="D22" s="24"/>
      <c r="E22" s="25"/>
      <c r="F22" s="201" t="s">
        <v>22</v>
      </c>
      <c r="G22" s="41"/>
      <c r="H22" s="41"/>
      <c r="I22" s="23"/>
      <c r="J22" s="100"/>
    </row>
    <row r="23" spans="1:10" ht="22.8">
      <c r="A23" s="21"/>
      <c r="B23" s="22" t="s">
        <v>335</v>
      </c>
      <c r="C23" s="23" t="s">
        <v>241</v>
      </c>
      <c r="D23" s="24" t="s">
        <v>5</v>
      </c>
      <c r="E23" s="23" t="s">
        <v>0</v>
      </c>
      <c r="F23" s="202" t="s">
        <v>129</v>
      </c>
      <c r="G23" s="209" t="s">
        <v>369</v>
      </c>
      <c r="H23" s="209"/>
      <c r="I23" s="208"/>
      <c r="J23" s="208"/>
    </row>
    <row r="24" spans="1:10" ht="22.8">
      <c r="A24" s="21"/>
      <c r="B24" s="22" t="s">
        <v>335</v>
      </c>
      <c r="C24" s="23" t="s">
        <v>242</v>
      </c>
      <c r="D24" s="24" t="s">
        <v>5</v>
      </c>
      <c r="E24" s="23" t="s">
        <v>0</v>
      </c>
      <c r="F24" s="202" t="s">
        <v>130</v>
      </c>
      <c r="G24" s="209" t="s">
        <v>370</v>
      </c>
      <c r="H24" s="209"/>
      <c r="I24" s="208"/>
      <c r="J24" s="208"/>
    </row>
    <row r="25" spans="1:10" ht="22.8">
      <c r="A25" s="21"/>
      <c r="B25" s="22" t="s">
        <v>335</v>
      </c>
      <c r="C25" s="23" t="s">
        <v>243</v>
      </c>
      <c r="D25" s="24" t="s">
        <v>5</v>
      </c>
      <c r="E25" s="23" t="s">
        <v>0</v>
      </c>
      <c r="F25" s="202" t="s">
        <v>131</v>
      </c>
      <c r="G25" s="43">
        <v>1000</v>
      </c>
      <c r="H25" s="43"/>
      <c r="I25" s="247">
        <f>SUM(G25:H25)</f>
        <v>1000</v>
      </c>
      <c r="J25" s="26"/>
    </row>
    <row r="26" spans="1:10" ht="22.8">
      <c r="A26" s="21"/>
      <c r="B26" s="22" t="s">
        <v>335</v>
      </c>
      <c r="C26" s="23" t="s">
        <v>244</v>
      </c>
      <c r="D26" s="24" t="s">
        <v>5</v>
      </c>
      <c r="E26" s="23" t="s">
        <v>0</v>
      </c>
      <c r="F26" s="202" t="s">
        <v>132</v>
      </c>
      <c r="G26" s="43">
        <v>2000</v>
      </c>
      <c r="H26" s="43"/>
      <c r="I26" s="247">
        <f t="shared" ref="I26:I28" si="1">SUM(G26:H26)</f>
        <v>2000</v>
      </c>
      <c r="J26" s="26"/>
    </row>
    <row r="27" spans="1:10" ht="34.200000000000003">
      <c r="A27" s="21"/>
      <c r="B27" s="22" t="s">
        <v>335</v>
      </c>
      <c r="C27" s="23" t="s">
        <v>245</v>
      </c>
      <c r="D27" s="24" t="s">
        <v>5</v>
      </c>
      <c r="E27" s="23" t="s">
        <v>0</v>
      </c>
      <c r="F27" s="202" t="s">
        <v>133</v>
      </c>
      <c r="G27" s="43">
        <v>3000</v>
      </c>
      <c r="H27" s="43"/>
      <c r="I27" s="247">
        <f t="shared" si="1"/>
        <v>3000</v>
      </c>
      <c r="J27" s="26"/>
    </row>
    <row r="28" spans="1:10" ht="22.8">
      <c r="A28" s="21"/>
      <c r="B28" s="22" t="s">
        <v>335</v>
      </c>
      <c r="C28" s="23" t="s">
        <v>246</v>
      </c>
      <c r="D28" s="24" t="s">
        <v>5</v>
      </c>
      <c r="E28" s="23" t="s">
        <v>0</v>
      </c>
      <c r="F28" s="202" t="s">
        <v>134</v>
      </c>
      <c r="G28" s="43">
        <v>4000</v>
      </c>
      <c r="H28" s="43"/>
      <c r="I28" s="247">
        <f t="shared" si="1"/>
        <v>4000</v>
      </c>
      <c r="J28" s="26"/>
    </row>
    <row r="29" spans="1:10" ht="34.200000000000003">
      <c r="A29" s="21"/>
      <c r="B29" s="22" t="s">
        <v>335</v>
      </c>
      <c r="C29" s="23" t="s">
        <v>247</v>
      </c>
      <c r="D29" s="24" t="s">
        <v>5</v>
      </c>
      <c r="E29" s="23" t="s">
        <v>0</v>
      </c>
      <c r="F29" s="202" t="s">
        <v>135</v>
      </c>
      <c r="G29" s="209" t="s">
        <v>371</v>
      </c>
      <c r="H29" s="209"/>
      <c r="I29" s="208"/>
      <c r="J29" s="208"/>
    </row>
    <row r="30" spans="1:10" ht="34.200000000000003">
      <c r="A30" s="21"/>
      <c r="B30" s="22" t="s">
        <v>335</v>
      </c>
      <c r="C30" s="23" t="s">
        <v>248</v>
      </c>
      <c r="D30" s="24" t="s">
        <v>5</v>
      </c>
      <c r="E30" s="23" t="s">
        <v>0</v>
      </c>
      <c r="F30" s="203" t="s">
        <v>136</v>
      </c>
      <c r="G30" s="209" t="s">
        <v>372</v>
      </c>
      <c r="H30" s="209"/>
      <c r="I30" s="208"/>
      <c r="J30" s="208"/>
    </row>
    <row r="31" spans="1:10" ht="34.200000000000003">
      <c r="A31" s="21"/>
      <c r="B31" s="22" t="s">
        <v>335</v>
      </c>
      <c r="C31" s="23" t="s">
        <v>249</v>
      </c>
      <c r="D31" s="24" t="s">
        <v>5</v>
      </c>
      <c r="E31" s="23" t="s">
        <v>0</v>
      </c>
      <c r="F31" s="202" t="s">
        <v>137</v>
      </c>
      <c r="G31" s="209" t="s">
        <v>373</v>
      </c>
      <c r="H31" s="209"/>
      <c r="I31" s="208"/>
      <c r="J31" s="208"/>
    </row>
    <row r="32" spans="1:10" ht="34.200000000000003">
      <c r="A32" s="21"/>
      <c r="B32" s="22" t="s">
        <v>335</v>
      </c>
      <c r="C32" s="23" t="s">
        <v>250</v>
      </c>
      <c r="D32" s="24" t="s">
        <v>5</v>
      </c>
      <c r="E32" s="23" t="s">
        <v>0</v>
      </c>
      <c r="F32" s="202" t="s">
        <v>138</v>
      </c>
      <c r="G32" s="209" t="s">
        <v>357</v>
      </c>
      <c r="H32" s="209"/>
      <c r="I32" s="208"/>
      <c r="J32" s="208"/>
    </row>
    <row r="33" spans="2:10">
      <c r="B33" s="103"/>
      <c r="C33" s="33"/>
      <c r="D33" s="102"/>
      <c r="E33" s="33"/>
      <c r="F33" s="33"/>
      <c r="G33" s="42"/>
      <c r="H33" s="42"/>
      <c r="I33" s="34"/>
      <c r="J33" s="101"/>
    </row>
  </sheetData>
  <pageMargins left="0.7" right="0.7" top="0.75" bottom="0.75" header="0.3" footer="0.3"/>
  <pageSetup paperSize="9" orientation="portrait" horizontalDpi="300" verticalDpi="300"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tabColor rgb="FFFF99FF"/>
  </sheetPr>
  <dimension ref="A1:I56"/>
  <sheetViews>
    <sheetView topLeftCell="A54" zoomScale="80" zoomScaleNormal="80" workbookViewId="0">
      <selection activeCell="G19" sqref="G19:H21"/>
    </sheetView>
  </sheetViews>
  <sheetFormatPr baseColWidth="10" defaultRowHeight="14.4"/>
  <cols>
    <col min="1" max="1" width="2.6640625" customWidth="1"/>
    <col min="2" max="2" width="3.33203125" customWidth="1"/>
    <col min="3" max="3" width="2.6640625" customWidth="1"/>
    <col min="4" max="4" width="5.44140625" customWidth="1"/>
    <col min="5" max="5" width="2.6640625" customWidth="1"/>
    <col min="6" max="6" width="90.6640625" customWidth="1"/>
    <col min="7" max="9" width="20.33203125" customWidth="1"/>
  </cols>
  <sheetData>
    <row r="1" spans="1:9" ht="54.9" customHeight="1" thickBot="1"/>
    <row r="2" spans="1:9" ht="177" customHeight="1" thickBot="1">
      <c r="F2" s="180" t="s">
        <v>64</v>
      </c>
    </row>
    <row r="4" spans="1:9" ht="15" thickBot="1"/>
    <row r="5" spans="1:9" s="21" customFormat="1" ht="25.5" customHeight="1">
      <c r="A5" s="126" t="s">
        <v>290</v>
      </c>
      <c r="B5" s="109"/>
      <c r="C5" s="109"/>
      <c r="D5" s="109"/>
      <c r="E5" s="109"/>
      <c r="F5" s="127"/>
      <c r="G5" s="271" t="s">
        <v>45</v>
      </c>
      <c r="H5" s="272"/>
      <c r="I5" s="273"/>
    </row>
    <row r="6" spans="1:9" s="21" customFormat="1" ht="158.25" hidden="1" customHeight="1">
      <c r="A6" s="225" t="s">
        <v>289</v>
      </c>
      <c r="B6" s="226"/>
      <c r="C6" s="226"/>
      <c r="D6" s="226" t="s">
        <v>251</v>
      </c>
      <c r="E6" s="226" t="s">
        <v>291</v>
      </c>
      <c r="F6" s="131"/>
      <c r="G6" s="237" t="str">
        <f>CONCATENATE("IFRS3-CuenCobrAdqu_",SUBSTITUTE($G$5," ",""),"_",ROW($G$5),"|",$G$5)</f>
        <v>IFRS3-CuenCobrAdqu_INGRESARDESCRIPCIÓNDECOLUMNAOPCIONAL_5|INGRESAR DESCRIPCIÓN DE COLUMNA OPCIONAL</v>
      </c>
      <c r="H6" s="234" t="str">
        <f t="shared" ref="H6:I6" si="0">CONCATENATE("IFRS3-CuenCobrAdqu_",SUBSTITUTE($G$5," ",""),"_",ROW($G$5),"|",$G$5)</f>
        <v>IFRS3-CuenCobrAdqu_INGRESARDESCRIPCIÓNDECOLUMNAOPCIONAL_5|INGRESAR DESCRIPCIÓN DE COLUMNA OPCIONAL</v>
      </c>
      <c r="I6" s="238" t="str">
        <f t="shared" si="0"/>
        <v>IFRS3-CuenCobrAdqu_INGRESARDESCRIPCIÓNDECOLUMNAOPCIONAL_5|INGRESAR DESCRIPCIÓN DE COLUMNA OPCIONAL</v>
      </c>
    </row>
    <row r="7" spans="1:9" s="21" customFormat="1" ht="78" customHeight="1">
      <c r="A7" s="128"/>
      <c r="B7" s="129"/>
      <c r="C7" s="130"/>
      <c r="D7" s="130"/>
      <c r="E7" s="131"/>
      <c r="F7" s="112" t="s">
        <v>50</v>
      </c>
      <c r="G7" s="111" t="s">
        <v>51</v>
      </c>
      <c r="H7" s="111" t="s">
        <v>52</v>
      </c>
      <c r="I7" s="132" t="s">
        <v>53</v>
      </c>
    </row>
    <row r="8" spans="1:9" s="21" customFormat="1" ht="57" hidden="1" customHeight="1">
      <c r="A8" s="113" t="s">
        <v>289</v>
      </c>
      <c r="B8" s="65"/>
      <c r="C8" s="133"/>
      <c r="D8" s="134"/>
      <c r="E8" s="134" t="s">
        <v>294</v>
      </c>
      <c r="F8" s="135"/>
      <c r="G8" s="105" t="s">
        <v>295</v>
      </c>
      <c r="H8" s="105" t="s">
        <v>296</v>
      </c>
      <c r="I8" s="227" t="s">
        <v>297</v>
      </c>
    </row>
    <row r="9" spans="1:9" s="21" customFormat="1" ht="15" customHeight="1">
      <c r="A9" s="136"/>
      <c r="B9" s="137"/>
      <c r="C9" s="138"/>
      <c r="D9" s="139"/>
      <c r="E9" s="66" t="s">
        <v>0</v>
      </c>
      <c r="F9" s="140"/>
      <c r="G9" s="66"/>
      <c r="H9" s="66"/>
      <c r="I9" s="141"/>
    </row>
    <row r="10" spans="1:9" s="21" customFormat="1" ht="21" customHeight="1">
      <c r="A10" s="136"/>
      <c r="B10" s="65" t="s">
        <v>335</v>
      </c>
      <c r="C10" s="66" t="s">
        <v>252</v>
      </c>
      <c r="D10" s="66" t="s">
        <v>4</v>
      </c>
      <c r="E10" s="66" t="s">
        <v>0</v>
      </c>
      <c r="F10" s="67" t="s">
        <v>139</v>
      </c>
      <c r="G10" s="68">
        <v>1000</v>
      </c>
      <c r="H10" s="68">
        <v>4000</v>
      </c>
      <c r="I10" s="250">
        <f>G10+H10</f>
        <v>5000</v>
      </c>
    </row>
    <row r="11" spans="1:9" s="21" customFormat="1" ht="21.75" customHeight="1">
      <c r="A11" s="136"/>
      <c r="B11" s="65" t="s">
        <v>335</v>
      </c>
      <c r="C11" s="66" t="s">
        <v>253</v>
      </c>
      <c r="D11" s="66" t="s">
        <v>4</v>
      </c>
      <c r="E11" s="66" t="s">
        <v>0</v>
      </c>
      <c r="F11" s="67" t="s">
        <v>140</v>
      </c>
      <c r="G11" s="68">
        <v>2000</v>
      </c>
      <c r="H11" s="68">
        <v>5000</v>
      </c>
      <c r="I11" s="250">
        <f>G11+H11</f>
        <v>7000</v>
      </c>
    </row>
    <row r="12" spans="1:9" s="21" customFormat="1" ht="25.5" customHeight="1">
      <c r="A12" s="136"/>
      <c r="B12" s="65" t="s">
        <v>335</v>
      </c>
      <c r="C12" s="66" t="s">
        <v>254</v>
      </c>
      <c r="D12" s="66" t="s">
        <v>4</v>
      </c>
      <c r="E12" s="66" t="s">
        <v>0</v>
      </c>
      <c r="F12" s="67" t="s">
        <v>141</v>
      </c>
      <c r="G12" s="68">
        <v>3000</v>
      </c>
      <c r="H12" s="68">
        <v>6000</v>
      </c>
      <c r="I12" s="250">
        <f>G12+H12</f>
        <v>9000</v>
      </c>
    </row>
    <row r="13" spans="1:9" s="21" customFormat="1" ht="15" customHeight="1">
      <c r="A13" s="136"/>
      <c r="B13" s="137"/>
      <c r="C13" s="138"/>
      <c r="D13" s="138"/>
      <c r="E13" s="138" t="s">
        <v>0</v>
      </c>
      <c r="F13" s="138" t="s">
        <v>0</v>
      </c>
      <c r="G13" s="138"/>
      <c r="H13" s="138"/>
      <c r="I13" s="141"/>
    </row>
    <row r="14" spans="1:9" s="21" customFormat="1" ht="15" customHeight="1">
      <c r="A14" s="136"/>
      <c r="B14" s="137"/>
      <c r="C14" s="138"/>
      <c r="D14" s="138"/>
      <c r="E14" s="138"/>
      <c r="F14" s="138"/>
      <c r="G14" s="138"/>
      <c r="H14" s="138"/>
      <c r="I14" s="141"/>
    </row>
    <row r="15" spans="1:9" s="21" customFormat="1" ht="22.5" customHeight="1">
      <c r="A15" s="142"/>
      <c r="B15" s="123"/>
      <c r="C15" s="123"/>
      <c r="D15" s="123"/>
      <c r="E15" s="123"/>
      <c r="F15" s="112"/>
      <c r="G15" s="274" t="str">
        <f>IF(G5="INGRESAR DESCRIPCIÓN DE COLUMNA OPCIONAL","",G5)</f>
        <v/>
      </c>
      <c r="H15" s="275"/>
      <c r="I15" s="276"/>
    </row>
    <row r="16" spans="1:9" s="21" customFormat="1" ht="78.75" customHeight="1">
      <c r="A16" s="128"/>
      <c r="B16" s="143"/>
      <c r="C16" s="122"/>
      <c r="D16" s="122"/>
      <c r="E16" s="144"/>
      <c r="F16" s="112" t="s">
        <v>50</v>
      </c>
      <c r="G16" s="111" t="s">
        <v>51</v>
      </c>
      <c r="H16" s="111" t="s">
        <v>52</v>
      </c>
      <c r="I16" s="132" t="s">
        <v>53</v>
      </c>
    </row>
    <row r="17" spans="1:9" s="21" customFormat="1" ht="15" customHeight="1">
      <c r="A17" s="136"/>
      <c r="B17" s="65"/>
      <c r="C17" s="133"/>
      <c r="D17" s="145"/>
      <c r="E17" s="145"/>
      <c r="F17" s="135"/>
      <c r="G17" s="145" t="s">
        <v>0</v>
      </c>
      <c r="H17" s="145" t="s">
        <v>0</v>
      </c>
      <c r="I17" s="141" t="s">
        <v>0</v>
      </c>
    </row>
    <row r="18" spans="1:9" s="21" customFormat="1" ht="15" customHeight="1">
      <c r="A18" s="136"/>
      <c r="B18" s="137"/>
      <c r="C18" s="138"/>
      <c r="D18" s="139"/>
      <c r="E18" s="66" t="s">
        <v>0</v>
      </c>
      <c r="F18" s="140"/>
      <c r="G18" s="66"/>
      <c r="H18" s="66"/>
      <c r="I18" s="141"/>
    </row>
    <row r="19" spans="1:9" s="21" customFormat="1" ht="15" customHeight="1">
      <c r="A19" s="136" t="s">
        <v>17</v>
      </c>
      <c r="B19" s="65" t="s">
        <v>335</v>
      </c>
      <c r="C19" s="66" t="s">
        <v>252</v>
      </c>
      <c r="D19" s="66" t="s">
        <v>4</v>
      </c>
      <c r="E19" s="66" t="s">
        <v>0</v>
      </c>
      <c r="F19" s="67" t="s">
        <v>139</v>
      </c>
      <c r="G19" s="68">
        <v>4000</v>
      </c>
      <c r="H19" s="68">
        <v>1000</v>
      </c>
      <c r="I19" s="250">
        <f>G19+H19</f>
        <v>5000</v>
      </c>
    </row>
    <row r="20" spans="1:9" s="21" customFormat="1" ht="15" customHeight="1">
      <c r="A20" s="136" t="s">
        <v>17</v>
      </c>
      <c r="B20" s="65" t="s">
        <v>335</v>
      </c>
      <c r="C20" s="66" t="s">
        <v>253</v>
      </c>
      <c r="D20" s="66" t="s">
        <v>4</v>
      </c>
      <c r="E20" s="66" t="s">
        <v>0</v>
      </c>
      <c r="F20" s="67" t="s">
        <v>140</v>
      </c>
      <c r="G20" s="68">
        <v>5000</v>
      </c>
      <c r="H20" s="68">
        <v>2000</v>
      </c>
      <c r="I20" s="250">
        <f>G20+H20</f>
        <v>7000</v>
      </c>
    </row>
    <row r="21" spans="1:9" ht="22.8">
      <c r="A21" s="136" t="s">
        <v>17</v>
      </c>
      <c r="B21" s="65" t="s">
        <v>335</v>
      </c>
      <c r="C21" s="66" t="s">
        <v>254</v>
      </c>
      <c r="D21" s="66" t="s">
        <v>4</v>
      </c>
      <c r="E21" s="66" t="s">
        <v>0</v>
      </c>
      <c r="F21" s="67" t="s">
        <v>141</v>
      </c>
      <c r="G21" s="68">
        <v>6000</v>
      </c>
      <c r="H21" s="68">
        <v>3000</v>
      </c>
      <c r="I21" s="250">
        <f>G21+H21</f>
        <v>9000</v>
      </c>
    </row>
    <row r="22" spans="1:9" ht="15" thickBot="1">
      <c r="A22" s="146"/>
      <c r="B22" s="147"/>
      <c r="C22" s="148"/>
      <c r="D22" s="148"/>
      <c r="E22" s="148" t="s">
        <v>0</v>
      </c>
      <c r="F22" s="148" t="s">
        <v>0</v>
      </c>
      <c r="G22" s="148"/>
      <c r="H22" s="148"/>
      <c r="I22" s="149"/>
    </row>
    <row r="23" spans="1:9" ht="15" thickBot="1"/>
    <row r="24" spans="1:9" ht="30" customHeight="1">
      <c r="A24" s="45" t="s">
        <v>290</v>
      </c>
      <c r="B24" s="46"/>
      <c r="C24" s="47"/>
      <c r="D24" s="47"/>
      <c r="E24" s="47"/>
      <c r="F24" s="47"/>
      <c r="G24" s="277" t="s">
        <v>18</v>
      </c>
      <c r="H24" s="278"/>
      <c r="I24" s="279"/>
    </row>
    <row r="25" spans="1:9" ht="64.5" hidden="1" customHeight="1">
      <c r="A25" s="45" t="s">
        <v>289</v>
      </c>
      <c r="B25" s="74"/>
      <c r="C25" s="75"/>
      <c r="D25" s="75" t="s">
        <v>251</v>
      </c>
      <c r="E25" s="75" t="s">
        <v>291</v>
      </c>
      <c r="F25" s="75"/>
      <c r="G25" s="228" t="s">
        <v>181</v>
      </c>
      <c r="H25" s="229" t="s">
        <v>181</v>
      </c>
      <c r="I25" s="230" t="s">
        <v>181</v>
      </c>
    </row>
    <row r="26" spans="1:9" ht="133.5" customHeight="1">
      <c r="A26" s="48"/>
      <c r="B26" s="49"/>
      <c r="C26" s="50"/>
      <c r="D26" s="50"/>
      <c r="E26" s="51"/>
      <c r="F26" s="51" t="s">
        <v>23</v>
      </c>
      <c r="G26" s="52" t="s">
        <v>298</v>
      </c>
      <c r="H26" s="52" t="s">
        <v>299</v>
      </c>
      <c r="I26" s="53" t="s">
        <v>300</v>
      </c>
    </row>
    <row r="27" spans="1:9" ht="90" hidden="1" customHeight="1">
      <c r="A27" s="54" t="s">
        <v>289</v>
      </c>
      <c r="B27" s="55"/>
      <c r="C27" s="56"/>
      <c r="D27" s="57"/>
      <c r="E27" s="58" t="s">
        <v>294</v>
      </c>
      <c r="F27" s="59"/>
      <c r="G27" s="57" t="s">
        <v>295</v>
      </c>
      <c r="H27" s="57" t="s">
        <v>296</v>
      </c>
      <c r="I27" s="57" t="s">
        <v>297</v>
      </c>
    </row>
    <row r="28" spans="1:9">
      <c r="B28" s="60"/>
      <c r="C28" s="61"/>
      <c r="D28" s="62"/>
      <c r="E28" s="62"/>
      <c r="F28" s="63"/>
      <c r="G28" s="62"/>
      <c r="H28" s="62"/>
      <c r="I28" s="64"/>
    </row>
    <row r="29" spans="1:9">
      <c r="A29" s="48"/>
      <c r="B29" s="65" t="s">
        <v>335</v>
      </c>
      <c r="C29" s="66" t="s">
        <v>252</v>
      </c>
      <c r="D29" s="66" t="s">
        <v>4</v>
      </c>
      <c r="E29" s="66" t="s">
        <v>0</v>
      </c>
      <c r="F29" s="67" t="s">
        <v>139</v>
      </c>
      <c r="G29" s="150">
        <f>G10</f>
        <v>1000</v>
      </c>
      <c r="H29" s="150">
        <f t="shared" ref="H29:I29" si="1">H10</f>
        <v>4000</v>
      </c>
      <c r="I29" s="151">
        <f t="shared" si="1"/>
        <v>5000</v>
      </c>
    </row>
    <row r="30" spans="1:9">
      <c r="A30" s="48"/>
      <c r="B30" s="65" t="s">
        <v>335</v>
      </c>
      <c r="C30" s="66" t="s">
        <v>253</v>
      </c>
      <c r="D30" s="66" t="s">
        <v>4</v>
      </c>
      <c r="E30" s="66" t="s">
        <v>0</v>
      </c>
      <c r="F30" s="67" t="s">
        <v>140</v>
      </c>
      <c r="G30" s="150">
        <f t="shared" ref="G30:I30" si="2">G11</f>
        <v>2000</v>
      </c>
      <c r="H30" s="150">
        <f t="shared" si="2"/>
        <v>5000</v>
      </c>
      <c r="I30" s="151">
        <f t="shared" si="2"/>
        <v>7000</v>
      </c>
    </row>
    <row r="31" spans="1:9" ht="22.8">
      <c r="A31" s="48"/>
      <c r="B31" s="65" t="s">
        <v>335</v>
      </c>
      <c r="C31" s="66" t="s">
        <v>254</v>
      </c>
      <c r="D31" s="66" t="s">
        <v>4</v>
      </c>
      <c r="E31" s="66" t="s">
        <v>0</v>
      </c>
      <c r="F31" s="67" t="s">
        <v>141</v>
      </c>
      <c r="G31" s="150">
        <f t="shared" ref="G31:I31" si="3">G12</f>
        <v>3000</v>
      </c>
      <c r="H31" s="150">
        <f t="shared" si="3"/>
        <v>6000</v>
      </c>
      <c r="I31" s="151">
        <f t="shared" si="3"/>
        <v>9000</v>
      </c>
    </row>
    <row r="32" spans="1:9" ht="15" thickBot="1">
      <c r="B32" s="69"/>
      <c r="C32" s="70"/>
      <c r="D32" s="70"/>
      <c r="E32" s="70"/>
      <c r="F32" s="70"/>
      <c r="G32" s="71"/>
      <c r="H32" s="71"/>
      <c r="I32" s="72"/>
    </row>
    <row r="33" spans="1:9" s="73" customFormat="1" ht="30" customHeight="1">
      <c r="B33" s="74"/>
      <c r="C33" s="75"/>
      <c r="D33" s="75"/>
      <c r="E33" s="75"/>
      <c r="F33" s="75"/>
      <c r="G33" s="277" t="s">
        <v>18</v>
      </c>
      <c r="H33" s="278"/>
      <c r="I33" s="279"/>
    </row>
    <row r="34" spans="1:9" ht="126" customHeight="1">
      <c r="A34" s="48"/>
      <c r="B34" s="49"/>
      <c r="C34" s="50"/>
      <c r="D34" s="50"/>
      <c r="E34" s="51"/>
      <c r="F34" s="51" t="s">
        <v>23</v>
      </c>
      <c r="G34" s="52" t="s">
        <v>25</v>
      </c>
      <c r="H34" s="52" t="s">
        <v>26</v>
      </c>
      <c r="I34" s="53" t="s">
        <v>27</v>
      </c>
    </row>
    <row r="35" spans="1:9">
      <c r="B35" s="60"/>
      <c r="C35" s="61"/>
      <c r="D35" s="62"/>
      <c r="E35" s="62"/>
      <c r="F35" s="63"/>
      <c r="G35" s="62"/>
      <c r="H35" s="62"/>
      <c r="I35" s="64"/>
    </row>
    <row r="36" spans="1:9">
      <c r="A36" s="136" t="s">
        <v>17</v>
      </c>
      <c r="B36" s="65" t="s">
        <v>335</v>
      </c>
      <c r="C36" s="66" t="s">
        <v>252</v>
      </c>
      <c r="D36" s="66" t="s">
        <v>4</v>
      </c>
      <c r="E36" s="66" t="s">
        <v>0</v>
      </c>
      <c r="F36" s="67" t="s">
        <v>28</v>
      </c>
      <c r="G36" s="150">
        <f>G19</f>
        <v>4000</v>
      </c>
      <c r="H36" s="150">
        <f t="shared" ref="H36:I36" si="4">H19</f>
        <v>1000</v>
      </c>
      <c r="I36" s="151">
        <f t="shared" si="4"/>
        <v>5000</v>
      </c>
    </row>
    <row r="37" spans="1:9">
      <c r="A37" s="136" t="s">
        <v>17</v>
      </c>
      <c r="B37" s="65" t="s">
        <v>335</v>
      </c>
      <c r="C37" s="66" t="s">
        <v>253</v>
      </c>
      <c r="D37" s="66" t="s">
        <v>4</v>
      </c>
      <c r="E37" s="66" t="s">
        <v>0</v>
      </c>
      <c r="F37" s="67" t="s">
        <v>29</v>
      </c>
      <c r="G37" s="150">
        <f t="shared" ref="G37:I37" si="5">G20</f>
        <v>5000</v>
      </c>
      <c r="H37" s="150">
        <f t="shared" si="5"/>
        <v>2000</v>
      </c>
      <c r="I37" s="151">
        <f t="shared" si="5"/>
        <v>7000</v>
      </c>
    </row>
    <row r="38" spans="1:9" ht="22.8">
      <c r="A38" s="136" t="s">
        <v>17</v>
      </c>
      <c r="B38" s="65" t="s">
        <v>335</v>
      </c>
      <c r="C38" s="66" t="s">
        <v>254</v>
      </c>
      <c r="D38" s="66" t="s">
        <v>4</v>
      </c>
      <c r="E38" s="66" t="s">
        <v>0</v>
      </c>
      <c r="F38" s="67" t="s">
        <v>30</v>
      </c>
      <c r="G38" s="150">
        <f t="shared" ref="G38:I38" si="6">G21</f>
        <v>6000</v>
      </c>
      <c r="H38" s="150">
        <f t="shared" si="6"/>
        <v>3000</v>
      </c>
      <c r="I38" s="151">
        <f t="shared" si="6"/>
        <v>9000</v>
      </c>
    </row>
    <row r="39" spans="1:9" ht="15" thickBot="1">
      <c r="B39" s="76"/>
      <c r="C39" s="77"/>
      <c r="D39" s="77"/>
      <c r="E39" s="77"/>
      <c r="F39" s="78"/>
      <c r="G39" s="77"/>
      <c r="H39" s="77"/>
      <c r="I39" s="79"/>
    </row>
    <row r="40" spans="1:9" ht="15" thickBot="1"/>
    <row r="41" spans="1:9" ht="47.25" customHeight="1">
      <c r="A41" s="45" t="s">
        <v>290</v>
      </c>
      <c r="B41" s="46"/>
      <c r="C41" s="47"/>
      <c r="D41" s="47"/>
      <c r="E41" s="47"/>
      <c r="F41" s="47"/>
      <c r="G41" s="277" t="s">
        <v>11</v>
      </c>
      <c r="H41" s="278"/>
      <c r="I41" s="279"/>
    </row>
    <row r="42" spans="1:9" ht="47.25" hidden="1" customHeight="1">
      <c r="A42" s="45" t="s">
        <v>289</v>
      </c>
      <c r="B42" s="74"/>
      <c r="C42" s="75"/>
      <c r="D42" s="75" t="s">
        <v>251</v>
      </c>
      <c r="E42" s="75" t="s">
        <v>291</v>
      </c>
      <c r="F42" s="75"/>
      <c r="G42" s="228" t="s">
        <v>182</v>
      </c>
      <c r="H42" s="228" t="s">
        <v>182</v>
      </c>
      <c r="I42" s="228" t="s">
        <v>182</v>
      </c>
    </row>
    <row r="43" spans="1:9" ht="135.75" customHeight="1">
      <c r="A43" s="48"/>
      <c r="B43" s="49"/>
      <c r="C43" s="50"/>
      <c r="D43" s="50"/>
      <c r="E43" s="51"/>
      <c r="F43" s="51" t="s">
        <v>23</v>
      </c>
      <c r="G43" s="52" t="s">
        <v>298</v>
      </c>
      <c r="H43" s="52" t="s">
        <v>299</v>
      </c>
      <c r="I43" s="53" t="s">
        <v>300</v>
      </c>
    </row>
    <row r="44" spans="1:9" ht="90" hidden="1" customHeight="1">
      <c r="A44" s="54" t="s">
        <v>289</v>
      </c>
      <c r="B44" s="55"/>
      <c r="C44" s="56"/>
      <c r="D44" s="57"/>
      <c r="E44" s="58" t="s">
        <v>294</v>
      </c>
      <c r="F44" s="59"/>
      <c r="G44" s="57" t="s">
        <v>295</v>
      </c>
      <c r="H44" s="57" t="s">
        <v>296</v>
      </c>
      <c r="I44" s="57" t="s">
        <v>297</v>
      </c>
    </row>
    <row r="45" spans="1:9">
      <c r="B45" s="60"/>
      <c r="C45" s="61"/>
      <c r="D45" s="62"/>
      <c r="E45" s="62"/>
      <c r="F45" s="63"/>
      <c r="G45" s="62"/>
      <c r="H45" s="62"/>
      <c r="I45" s="64"/>
    </row>
    <row r="46" spans="1:9">
      <c r="A46" s="48"/>
      <c r="B46" s="65" t="s">
        <v>335</v>
      </c>
      <c r="C46" s="66" t="s">
        <v>252</v>
      </c>
      <c r="D46" s="66" t="s">
        <v>4</v>
      </c>
      <c r="E46" s="66" t="s">
        <v>0</v>
      </c>
      <c r="F46" s="67" t="s">
        <v>28</v>
      </c>
      <c r="G46" s="150"/>
      <c r="H46" s="150"/>
      <c r="I46" s="151"/>
    </row>
    <row r="47" spans="1:9">
      <c r="A47" s="48"/>
      <c r="B47" s="65" t="s">
        <v>335</v>
      </c>
      <c r="C47" s="66" t="s">
        <v>253</v>
      </c>
      <c r="D47" s="66" t="s">
        <v>4</v>
      </c>
      <c r="E47" s="66" t="s">
        <v>0</v>
      </c>
      <c r="F47" s="67" t="s">
        <v>29</v>
      </c>
      <c r="G47" s="150"/>
      <c r="H47" s="150"/>
      <c r="I47" s="151"/>
    </row>
    <row r="48" spans="1:9" ht="22.8">
      <c r="A48" s="48"/>
      <c r="B48" s="65" t="s">
        <v>335</v>
      </c>
      <c r="C48" s="66" t="s">
        <v>254</v>
      </c>
      <c r="D48" s="66" t="s">
        <v>4</v>
      </c>
      <c r="E48" s="66" t="s">
        <v>0</v>
      </c>
      <c r="F48" s="67" t="s">
        <v>30</v>
      </c>
      <c r="G48" s="150"/>
      <c r="H48" s="150"/>
      <c r="I48" s="151"/>
    </row>
    <row r="49" spans="1:9" ht="15" thickBot="1">
      <c r="B49" s="69"/>
      <c r="C49" s="70"/>
      <c r="D49" s="70"/>
      <c r="E49" s="70"/>
      <c r="F49" s="70"/>
      <c r="G49" s="71"/>
      <c r="H49" s="71"/>
      <c r="I49" s="72"/>
    </row>
    <row r="50" spans="1:9" s="73" customFormat="1" ht="46.5" customHeight="1">
      <c r="B50" s="74"/>
      <c r="C50" s="75"/>
      <c r="D50" s="75"/>
      <c r="E50" s="75"/>
      <c r="F50" s="75"/>
      <c r="G50" s="277" t="s">
        <v>11</v>
      </c>
      <c r="H50" s="278"/>
      <c r="I50" s="279"/>
    </row>
    <row r="51" spans="1:9" ht="135.75" customHeight="1">
      <c r="A51" s="48"/>
      <c r="B51" s="49"/>
      <c r="C51" s="50"/>
      <c r="D51" s="50"/>
      <c r="E51" s="51"/>
      <c r="F51" s="51" t="s">
        <v>23</v>
      </c>
      <c r="G51" s="52" t="s">
        <v>298</v>
      </c>
      <c r="H51" s="52" t="s">
        <v>299</v>
      </c>
      <c r="I51" s="53" t="s">
        <v>300</v>
      </c>
    </row>
    <row r="52" spans="1:9">
      <c r="B52" s="60"/>
      <c r="C52" s="61"/>
      <c r="D52" s="62"/>
      <c r="E52" s="62"/>
      <c r="F52" s="63"/>
      <c r="G52" s="62"/>
      <c r="H52" s="62"/>
      <c r="I52" s="64"/>
    </row>
    <row r="53" spans="1:9">
      <c r="A53" s="136" t="s">
        <v>17</v>
      </c>
      <c r="B53" s="65" t="s">
        <v>335</v>
      </c>
      <c r="C53" s="66" t="s">
        <v>252</v>
      </c>
      <c r="D53" s="66" t="s">
        <v>4</v>
      </c>
      <c r="E53" s="66" t="s">
        <v>0</v>
      </c>
      <c r="F53" s="67" t="s">
        <v>28</v>
      </c>
      <c r="G53" s="150"/>
      <c r="H53" s="150"/>
      <c r="I53" s="151"/>
    </row>
    <row r="54" spans="1:9">
      <c r="A54" s="136" t="s">
        <v>17</v>
      </c>
      <c r="B54" s="65" t="s">
        <v>335</v>
      </c>
      <c r="C54" s="66" t="s">
        <v>253</v>
      </c>
      <c r="D54" s="66" t="s">
        <v>4</v>
      </c>
      <c r="E54" s="66" t="s">
        <v>0</v>
      </c>
      <c r="F54" s="67" t="s">
        <v>29</v>
      </c>
      <c r="G54" s="150"/>
      <c r="H54" s="150"/>
      <c r="I54" s="151"/>
    </row>
    <row r="55" spans="1:9" ht="22.8">
      <c r="A55" s="136" t="s">
        <v>17</v>
      </c>
      <c r="B55" s="65" t="s">
        <v>335</v>
      </c>
      <c r="C55" s="66" t="s">
        <v>254</v>
      </c>
      <c r="D55" s="66" t="s">
        <v>4</v>
      </c>
      <c r="E55" s="66" t="s">
        <v>0</v>
      </c>
      <c r="F55" s="67" t="s">
        <v>30</v>
      </c>
      <c r="G55" s="150"/>
      <c r="H55" s="150"/>
      <c r="I55" s="151"/>
    </row>
    <row r="56" spans="1:9" ht="15" thickBot="1">
      <c r="B56" s="76"/>
      <c r="C56" s="77"/>
      <c r="D56" s="77"/>
      <c r="E56" s="77"/>
      <c r="F56" s="78"/>
      <c r="G56" s="77"/>
      <c r="H56" s="77"/>
      <c r="I56" s="79"/>
    </row>
  </sheetData>
  <mergeCells count="6">
    <mergeCell ref="G5:I5"/>
    <mergeCell ref="G15:I15"/>
    <mergeCell ref="G50:I50"/>
    <mergeCell ref="G24:I24"/>
    <mergeCell ref="G33:I33"/>
    <mergeCell ref="G41:I41"/>
  </mergeCells>
  <pageMargins left="0.7" right="0.7" top="0.75" bottom="0.75" header="0.3" footer="0.3"/>
  <pageSetup paperSize="9"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rgb="FF92D050"/>
  </sheetPr>
  <dimension ref="A1:O174"/>
  <sheetViews>
    <sheetView topLeftCell="D172" zoomScale="80" zoomScaleNormal="80" workbookViewId="0">
      <selection activeCell="G94" sqref="G94:N103"/>
    </sheetView>
  </sheetViews>
  <sheetFormatPr baseColWidth="10" defaultRowHeight="14.4"/>
  <cols>
    <col min="1" max="1" width="2.6640625" customWidth="1"/>
    <col min="2" max="2" width="3.33203125" customWidth="1"/>
    <col min="3" max="3" width="2.6640625" customWidth="1"/>
    <col min="4" max="4" width="5.44140625" customWidth="1"/>
    <col min="5" max="5" width="2.6640625" customWidth="1"/>
    <col min="6" max="6" width="90.6640625" customWidth="1"/>
    <col min="7" max="15" width="15.44140625" customWidth="1"/>
  </cols>
  <sheetData>
    <row r="1" spans="1:15" ht="54.9" customHeight="1" thickBot="1"/>
    <row r="2" spans="1:15" ht="177" customHeight="1" thickBot="1">
      <c r="F2" s="180" t="s">
        <v>64</v>
      </c>
    </row>
    <row r="4" spans="1:15" ht="15" thickBot="1"/>
    <row r="5" spans="1:15" s="155" customFormat="1" ht="13.5" customHeight="1">
      <c r="A5" s="152" t="s">
        <v>290</v>
      </c>
      <c r="B5" s="153"/>
      <c r="C5" s="109"/>
      <c r="D5" s="109"/>
      <c r="E5" s="109"/>
      <c r="F5" s="154"/>
      <c r="G5" s="280" t="s">
        <v>45</v>
      </c>
      <c r="H5" s="281"/>
      <c r="I5" s="281"/>
      <c r="J5" s="281"/>
      <c r="K5" s="281"/>
      <c r="L5" s="281"/>
      <c r="M5" s="281"/>
      <c r="N5" s="281"/>
      <c r="O5" s="282"/>
    </row>
    <row r="6" spans="1:15" s="155" customFormat="1" ht="81.75" hidden="1" customHeight="1">
      <c r="A6" s="113" t="s">
        <v>289</v>
      </c>
      <c r="B6" s="231"/>
      <c r="C6" s="226"/>
      <c r="D6" s="226" t="s">
        <v>255</v>
      </c>
      <c r="E6" s="226" t="s">
        <v>291</v>
      </c>
      <c r="F6" s="232"/>
      <c r="G6" s="233" t="str">
        <f>CONCATENATE("IFRS3-PasiContCoNe_",SUBSTITUTE($G5," ",""),"_",ROW($G$5),"|",$G$5)</f>
        <v>IFRS3-PasiContCoNe_INGRESARDESCRIPCIÓNDECOLUMNAOPCIONAL_5|INGRESAR DESCRIPCIÓN DE COLUMNA OPCIONAL</v>
      </c>
      <c r="H6" s="235" t="str">
        <f t="shared" ref="H6:O6" si="0">CONCATENATE("IFRS3-PasiContCoNe_",SUBSTITUTE($G5," ",""),"_",ROW($G$5),"|",$G$5)</f>
        <v>IFRS3-PasiContCoNe_INGRESARDESCRIPCIÓNDECOLUMNAOPCIONAL_5|INGRESAR DESCRIPCIÓN DE COLUMNA OPCIONAL</v>
      </c>
      <c r="I6" s="235" t="str">
        <f t="shared" si="0"/>
        <v>IFRS3-PasiContCoNe_INGRESARDESCRIPCIÓNDECOLUMNAOPCIONAL_5|INGRESAR DESCRIPCIÓN DE COLUMNA OPCIONAL</v>
      </c>
      <c r="J6" s="235" t="str">
        <f t="shared" si="0"/>
        <v>IFRS3-PasiContCoNe_INGRESARDESCRIPCIÓNDECOLUMNAOPCIONAL_5|INGRESAR DESCRIPCIÓN DE COLUMNA OPCIONAL</v>
      </c>
      <c r="K6" s="235" t="str">
        <f t="shared" si="0"/>
        <v>IFRS3-PasiContCoNe_INGRESARDESCRIPCIÓNDECOLUMNAOPCIONAL_5|INGRESAR DESCRIPCIÓN DE COLUMNA OPCIONAL</v>
      </c>
      <c r="L6" s="235" t="str">
        <f t="shared" si="0"/>
        <v>IFRS3-PasiContCoNe_INGRESARDESCRIPCIÓNDECOLUMNAOPCIONAL_5|INGRESAR DESCRIPCIÓN DE COLUMNA OPCIONAL</v>
      </c>
      <c r="M6" s="235" t="str">
        <f t="shared" si="0"/>
        <v>IFRS3-PasiContCoNe_INGRESARDESCRIPCIÓNDECOLUMNAOPCIONAL_5|INGRESAR DESCRIPCIÓN DE COLUMNA OPCIONAL</v>
      </c>
      <c r="N6" s="235" t="str">
        <f t="shared" si="0"/>
        <v>IFRS3-PasiContCoNe_INGRESARDESCRIPCIÓNDECOLUMNAOPCIONAL_5|INGRESAR DESCRIPCIÓN DE COLUMNA OPCIONAL</v>
      </c>
      <c r="O6" s="236" t="str">
        <f t="shared" si="0"/>
        <v>IFRS3-PasiContCoNe_INGRESARDESCRIPCIÓNDECOLUMNAOPCIONAL_5|INGRESAR DESCRIPCIÓN DE COLUMNA OPCIONAL</v>
      </c>
    </row>
    <row r="7" spans="1:15" s="21" customFormat="1" ht="102" customHeight="1">
      <c r="A7" s="156"/>
      <c r="B7" s="157"/>
      <c r="C7" s="130"/>
      <c r="D7" s="130"/>
      <c r="E7" s="158"/>
      <c r="F7" s="111" t="s">
        <v>54</v>
      </c>
      <c r="G7" s="112" t="s">
        <v>55</v>
      </c>
      <c r="H7" s="111" t="s">
        <v>56</v>
      </c>
      <c r="I7" s="111" t="s">
        <v>57</v>
      </c>
      <c r="J7" s="111" t="s">
        <v>58</v>
      </c>
      <c r="K7" s="111" t="s">
        <v>59</v>
      </c>
      <c r="L7" s="111" t="s">
        <v>60</v>
      </c>
      <c r="M7" s="111" t="s">
        <v>61</v>
      </c>
      <c r="N7" s="111" t="s">
        <v>62</v>
      </c>
      <c r="O7" s="132" t="s">
        <v>63</v>
      </c>
    </row>
    <row r="8" spans="1:15" s="21" customFormat="1" ht="72.75" hidden="1" customHeight="1">
      <c r="A8" s="113" t="s">
        <v>289</v>
      </c>
      <c r="B8" s="159"/>
      <c r="C8" s="139"/>
      <c r="D8" s="160"/>
      <c r="E8" s="160" t="s">
        <v>301</v>
      </c>
      <c r="F8" s="139" t="s">
        <v>0</v>
      </c>
      <c r="G8" s="161" t="s">
        <v>302</v>
      </c>
      <c r="H8" s="162" t="s">
        <v>303</v>
      </c>
      <c r="I8" s="161" t="s">
        <v>304</v>
      </c>
      <c r="J8" s="162" t="s">
        <v>305</v>
      </c>
      <c r="K8" s="162" t="s">
        <v>306</v>
      </c>
      <c r="L8" s="162" t="s">
        <v>307</v>
      </c>
      <c r="M8" s="162" t="s">
        <v>308</v>
      </c>
      <c r="N8" s="162" t="s">
        <v>309</v>
      </c>
      <c r="O8" s="163" t="s">
        <v>310</v>
      </c>
    </row>
    <row r="9" spans="1:15" s="21" customFormat="1" ht="15" customHeight="1">
      <c r="A9" s="118"/>
      <c r="B9" s="159"/>
      <c r="C9" s="139"/>
      <c r="D9" s="139"/>
      <c r="E9" s="139"/>
      <c r="F9" s="133"/>
      <c r="G9" s="138"/>
      <c r="H9" s="138"/>
      <c r="I9" s="138"/>
      <c r="J9" s="138"/>
      <c r="K9" s="138"/>
      <c r="L9" s="138"/>
      <c r="M9" s="138"/>
      <c r="N9" s="138"/>
      <c r="O9" s="141"/>
    </row>
    <row r="10" spans="1:15" ht="22.8">
      <c r="A10" s="48"/>
      <c r="B10" s="65" t="s">
        <v>335</v>
      </c>
      <c r="C10" s="66" t="s">
        <v>256</v>
      </c>
      <c r="D10" s="66" t="s">
        <v>4</v>
      </c>
      <c r="E10" s="66" t="s">
        <v>0</v>
      </c>
      <c r="F10" s="67" t="s">
        <v>142</v>
      </c>
      <c r="G10" s="267" t="s">
        <v>351</v>
      </c>
      <c r="H10" s="267" t="s">
        <v>352</v>
      </c>
      <c r="I10" s="267" t="s">
        <v>353</v>
      </c>
      <c r="J10" s="267" t="s">
        <v>354</v>
      </c>
      <c r="K10" s="267" t="s">
        <v>355</v>
      </c>
      <c r="L10" s="267" t="s">
        <v>356</v>
      </c>
      <c r="M10" s="267" t="s">
        <v>369</v>
      </c>
      <c r="N10" s="267" t="s">
        <v>370</v>
      </c>
      <c r="O10" s="251"/>
    </row>
    <row r="11" spans="1:15" ht="22.8">
      <c r="A11" s="48"/>
      <c r="B11" s="65" t="s">
        <v>335</v>
      </c>
      <c r="C11" s="66" t="s">
        <v>257</v>
      </c>
      <c r="D11" s="66" t="s">
        <v>4</v>
      </c>
      <c r="E11" s="66" t="s">
        <v>0</v>
      </c>
      <c r="F11" s="67" t="s">
        <v>143</v>
      </c>
      <c r="G11" s="267" t="s">
        <v>372</v>
      </c>
      <c r="H11" s="267" t="s">
        <v>373</v>
      </c>
      <c r="I11" s="267" t="s">
        <v>357</v>
      </c>
      <c r="J11" s="267" t="s">
        <v>358</v>
      </c>
      <c r="K11" s="267" t="s">
        <v>359</v>
      </c>
      <c r="L11" s="267" t="s">
        <v>360</v>
      </c>
      <c r="M11" s="267" t="s">
        <v>361</v>
      </c>
      <c r="N11" s="267" t="s">
        <v>362</v>
      </c>
      <c r="O11" s="251"/>
    </row>
    <row r="12" spans="1:15" ht="22.8">
      <c r="A12" s="48"/>
      <c r="B12" s="65" t="s">
        <v>335</v>
      </c>
      <c r="C12" s="66" t="s">
        <v>258</v>
      </c>
      <c r="D12" s="66" t="s">
        <v>4</v>
      </c>
      <c r="E12" s="66" t="s">
        <v>0</v>
      </c>
      <c r="F12" s="67" t="s">
        <v>144</v>
      </c>
      <c r="G12" s="267" t="s">
        <v>364</v>
      </c>
      <c r="H12" s="267" t="s">
        <v>365</v>
      </c>
      <c r="I12" s="267" t="s">
        <v>366</v>
      </c>
      <c r="J12" s="267" t="s">
        <v>367</v>
      </c>
      <c r="K12" s="267" t="s">
        <v>368</v>
      </c>
      <c r="L12" s="267" t="s">
        <v>374</v>
      </c>
      <c r="M12" s="267" t="s">
        <v>375</v>
      </c>
      <c r="N12" s="267" t="s">
        <v>376</v>
      </c>
      <c r="O12" s="251"/>
    </row>
    <row r="13" spans="1:15" ht="22.8">
      <c r="A13" s="48"/>
      <c r="B13" s="65" t="s">
        <v>335</v>
      </c>
      <c r="C13" s="66" t="s">
        <v>259</v>
      </c>
      <c r="D13" s="66" t="s">
        <v>4</v>
      </c>
      <c r="E13" s="66" t="s">
        <v>0</v>
      </c>
      <c r="F13" s="67" t="s">
        <v>145</v>
      </c>
      <c r="G13" s="267" t="s">
        <v>352</v>
      </c>
      <c r="H13" s="267" t="s">
        <v>353</v>
      </c>
      <c r="I13" s="267" t="s">
        <v>354</v>
      </c>
      <c r="J13" s="267" t="s">
        <v>355</v>
      </c>
      <c r="K13" s="267" t="s">
        <v>356</v>
      </c>
      <c r="L13" s="267" t="s">
        <v>369</v>
      </c>
      <c r="M13" s="267" t="s">
        <v>370</v>
      </c>
      <c r="N13" s="267" t="s">
        <v>371</v>
      </c>
      <c r="O13" s="251"/>
    </row>
    <row r="14" spans="1:15" ht="15" customHeight="1">
      <c r="A14" s="48"/>
      <c r="B14" s="65" t="s">
        <v>335</v>
      </c>
      <c r="C14" s="66" t="s">
        <v>260</v>
      </c>
      <c r="D14" s="66" t="s">
        <v>4</v>
      </c>
      <c r="E14" s="66" t="s">
        <v>0</v>
      </c>
      <c r="F14" s="67" t="s">
        <v>146</v>
      </c>
      <c r="G14" s="268">
        <v>1000</v>
      </c>
      <c r="H14" s="268">
        <v>2000</v>
      </c>
      <c r="I14" s="268">
        <v>3000</v>
      </c>
      <c r="J14" s="268">
        <v>4000</v>
      </c>
      <c r="K14" s="268">
        <v>5000</v>
      </c>
      <c r="L14" s="268">
        <v>6000</v>
      </c>
      <c r="M14" s="268">
        <v>7000</v>
      </c>
      <c r="N14" s="268">
        <v>8000</v>
      </c>
      <c r="O14" s="252">
        <f>SUM(G14:N14)</f>
        <v>36000</v>
      </c>
    </row>
    <row r="15" spans="1:15" ht="22.8">
      <c r="A15" s="48"/>
      <c r="B15" s="65" t="s">
        <v>335</v>
      </c>
      <c r="C15" s="66" t="s">
        <v>261</v>
      </c>
      <c r="D15" s="66" t="s">
        <v>4</v>
      </c>
      <c r="E15" s="66" t="s">
        <v>0</v>
      </c>
      <c r="F15" s="67" t="s">
        <v>147</v>
      </c>
      <c r="G15" s="268">
        <v>9000</v>
      </c>
      <c r="H15" s="268">
        <v>1000</v>
      </c>
      <c r="I15" s="268">
        <v>2000</v>
      </c>
      <c r="J15" s="268">
        <v>3000</v>
      </c>
      <c r="K15" s="268">
        <v>4000</v>
      </c>
      <c r="L15" s="268">
        <v>5000</v>
      </c>
      <c r="M15" s="268">
        <v>6000</v>
      </c>
      <c r="N15" s="268">
        <v>7000</v>
      </c>
      <c r="O15" s="252">
        <f>SUM(G15:N15)</f>
        <v>37000</v>
      </c>
    </row>
    <row r="16" spans="1:15" ht="22.8">
      <c r="A16" s="48"/>
      <c r="B16" s="65" t="s">
        <v>335</v>
      </c>
      <c r="C16" s="66" t="s">
        <v>262</v>
      </c>
      <c r="D16" s="66" t="s">
        <v>4</v>
      </c>
      <c r="E16" s="66" t="s">
        <v>0</v>
      </c>
      <c r="F16" s="67" t="s">
        <v>148</v>
      </c>
      <c r="G16" s="267" t="s">
        <v>373</v>
      </c>
      <c r="H16" s="267" t="s">
        <v>357</v>
      </c>
      <c r="I16" s="267" t="s">
        <v>358</v>
      </c>
      <c r="J16" s="267" t="s">
        <v>359</v>
      </c>
      <c r="K16" s="267" t="s">
        <v>360</v>
      </c>
      <c r="L16" s="267" t="s">
        <v>361</v>
      </c>
      <c r="M16" s="267" t="s">
        <v>362</v>
      </c>
      <c r="N16" s="267" t="s">
        <v>363</v>
      </c>
      <c r="O16" s="251"/>
    </row>
    <row r="17" spans="1:15">
      <c r="A17" s="48"/>
      <c r="B17" s="65" t="s">
        <v>335</v>
      </c>
      <c r="C17" s="66" t="s">
        <v>263</v>
      </c>
      <c r="D17" s="66" t="s">
        <v>4</v>
      </c>
      <c r="E17" s="66" t="s">
        <v>0</v>
      </c>
      <c r="F17" s="67" t="s">
        <v>149</v>
      </c>
      <c r="G17" s="268">
        <v>8000</v>
      </c>
      <c r="H17" s="268">
        <v>9000</v>
      </c>
      <c r="I17" s="268">
        <v>1000</v>
      </c>
      <c r="J17" s="268">
        <v>2000</v>
      </c>
      <c r="K17" s="268">
        <v>3000</v>
      </c>
      <c r="L17" s="268">
        <v>4000</v>
      </c>
      <c r="M17" s="268">
        <v>5000</v>
      </c>
      <c r="N17" s="268">
        <v>6000</v>
      </c>
      <c r="O17" s="252">
        <f>SUM(G17:N17)</f>
        <v>38000</v>
      </c>
    </row>
    <row r="18" spans="1:15" ht="22.8">
      <c r="A18" s="48"/>
      <c r="B18" s="65" t="s">
        <v>335</v>
      </c>
      <c r="C18" s="66" t="s">
        <v>264</v>
      </c>
      <c r="D18" s="66" t="s">
        <v>4</v>
      </c>
      <c r="E18" s="66" t="s">
        <v>0</v>
      </c>
      <c r="F18" s="67" t="s">
        <v>150</v>
      </c>
      <c r="G18" s="267" t="s">
        <v>365</v>
      </c>
      <c r="H18" s="267" t="s">
        <v>366</v>
      </c>
      <c r="I18" s="267" t="s">
        <v>367</v>
      </c>
      <c r="J18" s="267" t="s">
        <v>368</v>
      </c>
      <c r="K18" s="267" t="s">
        <v>374</v>
      </c>
      <c r="L18" s="267" t="s">
        <v>375</v>
      </c>
      <c r="M18" s="267" t="s">
        <v>376</v>
      </c>
      <c r="N18" s="267" t="s">
        <v>351</v>
      </c>
      <c r="O18" s="251"/>
    </row>
    <row r="19" spans="1:15">
      <c r="A19" s="48"/>
      <c r="B19" s="65" t="s">
        <v>335</v>
      </c>
      <c r="C19" s="66" t="s">
        <v>265</v>
      </c>
      <c r="D19" s="66" t="s">
        <v>4</v>
      </c>
      <c r="E19" s="66" t="s">
        <v>0</v>
      </c>
      <c r="F19" s="67" t="s">
        <v>151</v>
      </c>
      <c r="G19" s="267" t="s">
        <v>353</v>
      </c>
      <c r="H19" s="267" t="s">
        <v>354</v>
      </c>
      <c r="I19" s="267" t="s">
        <v>355</v>
      </c>
      <c r="J19" s="267" t="s">
        <v>356</v>
      </c>
      <c r="K19" s="267" t="s">
        <v>369</v>
      </c>
      <c r="L19" s="267" t="s">
        <v>370</v>
      </c>
      <c r="M19" s="267" t="s">
        <v>371</v>
      </c>
      <c r="N19" s="267" t="s">
        <v>372</v>
      </c>
      <c r="O19" s="251"/>
    </row>
    <row r="20" spans="1:15" ht="22.8">
      <c r="A20" s="48"/>
      <c r="B20" s="65"/>
      <c r="C20" s="66"/>
      <c r="D20" s="66"/>
      <c r="E20" s="66" t="s">
        <v>0</v>
      </c>
      <c r="F20" s="90" t="s">
        <v>42</v>
      </c>
      <c r="G20" s="145"/>
      <c r="H20" s="145"/>
      <c r="I20" s="145"/>
      <c r="J20" s="145"/>
      <c r="K20" s="145"/>
      <c r="L20" s="145"/>
      <c r="M20" s="145"/>
      <c r="N20" s="145"/>
      <c r="O20" s="176"/>
    </row>
    <row r="21" spans="1:15" ht="22.8">
      <c r="A21" s="97" t="s">
        <v>17</v>
      </c>
      <c r="B21" s="65" t="s">
        <v>335</v>
      </c>
      <c r="C21" s="66" t="s">
        <v>266</v>
      </c>
      <c r="D21" s="66" t="s">
        <v>4</v>
      </c>
      <c r="E21" s="66" t="s">
        <v>0</v>
      </c>
      <c r="F21" s="90" t="s">
        <v>330</v>
      </c>
      <c r="G21" s="268">
        <v>1000</v>
      </c>
      <c r="H21" s="268">
        <v>2000</v>
      </c>
      <c r="I21" s="268">
        <v>3000</v>
      </c>
      <c r="J21" s="268">
        <v>4000</v>
      </c>
      <c r="K21" s="268">
        <v>5000</v>
      </c>
      <c r="L21" s="268">
        <v>6000</v>
      </c>
      <c r="M21" s="268">
        <v>7000</v>
      </c>
      <c r="N21" s="268">
        <v>8000</v>
      </c>
      <c r="O21" s="252">
        <f>SUM(G21:N21)</f>
        <v>36000</v>
      </c>
    </row>
    <row r="22" spans="1:15" ht="22.8">
      <c r="A22" s="48"/>
      <c r="B22" s="65"/>
      <c r="C22" s="66"/>
      <c r="D22" s="66"/>
      <c r="E22" s="66" t="s">
        <v>0</v>
      </c>
      <c r="F22" s="90" t="s">
        <v>43</v>
      </c>
      <c r="G22" s="145"/>
      <c r="H22" s="145"/>
      <c r="I22" s="145"/>
      <c r="J22" s="145"/>
      <c r="K22" s="145"/>
      <c r="L22" s="145"/>
      <c r="M22" s="145"/>
      <c r="N22" s="145"/>
      <c r="O22" s="176"/>
    </row>
    <row r="23" spans="1:15" ht="22.8">
      <c r="A23" s="48"/>
      <c r="B23" s="65"/>
      <c r="C23" s="66"/>
      <c r="D23" s="66"/>
      <c r="E23" s="66" t="s">
        <v>0</v>
      </c>
      <c r="F23" s="90" t="s">
        <v>44</v>
      </c>
      <c r="G23" s="145"/>
      <c r="H23" s="145"/>
      <c r="I23" s="145"/>
      <c r="J23" s="145"/>
      <c r="K23" s="145"/>
      <c r="L23" s="145"/>
      <c r="M23" s="145"/>
      <c r="N23" s="145"/>
      <c r="O23" s="176"/>
    </row>
    <row r="24" spans="1:15" ht="22.8">
      <c r="A24" s="48"/>
      <c r="B24" s="65" t="s">
        <v>335</v>
      </c>
      <c r="C24" s="66" t="s">
        <v>267</v>
      </c>
      <c r="D24" s="66" t="s">
        <v>4</v>
      </c>
      <c r="E24" s="66" t="s">
        <v>0</v>
      </c>
      <c r="F24" s="67" t="s">
        <v>153</v>
      </c>
      <c r="G24" s="268">
        <v>1000</v>
      </c>
      <c r="H24" s="268">
        <v>2000</v>
      </c>
      <c r="I24" s="268">
        <v>3000</v>
      </c>
      <c r="J24" s="268">
        <v>4000</v>
      </c>
      <c r="K24" s="268">
        <v>5000</v>
      </c>
      <c r="L24" s="268">
        <v>6000</v>
      </c>
      <c r="M24" s="268">
        <v>7000</v>
      </c>
      <c r="N24" s="268">
        <v>8000</v>
      </c>
      <c r="O24" s="252">
        <f t="shared" ref="O24:O25" si="1">SUM(G24:N24)</f>
        <v>36000</v>
      </c>
    </row>
    <row r="25" spans="1:15" ht="22.8">
      <c r="A25" s="48"/>
      <c r="B25" s="65" t="s">
        <v>335</v>
      </c>
      <c r="C25" s="66" t="s">
        <v>268</v>
      </c>
      <c r="D25" s="66" t="s">
        <v>4</v>
      </c>
      <c r="E25" s="66" t="s">
        <v>0</v>
      </c>
      <c r="F25" s="67" t="s">
        <v>154</v>
      </c>
      <c r="G25" s="268">
        <v>9000</v>
      </c>
      <c r="H25" s="268">
        <v>8000</v>
      </c>
      <c r="I25" s="268">
        <v>7000</v>
      </c>
      <c r="J25" s="268">
        <v>6000</v>
      </c>
      <c r="K25" s="268">
        <v>4000</v>
      </c>
      <c r="L25" s="268">
        <v>5000</v>
      </c>
      <c r="M25" s="268">
        <v>3000</v>
      </c>
      <c r="N25" s="268">
        <v>2000</v>
      </c>
      <c r="O25" s="252">
        <f t="shared" si="1"/>
        <v>44000</v>
      </c>
    </row>
    <row r="26" spans="1:15" ht="22.8">
      <c r="A26" s="48"/>
      <c r="B26" s="65" t="s">
        <v>335</v>
      </c>
      <c r="C26" s="66" t="s">
        <v>269</v>
      </c>
      <c r="D26" s="66" t="s">
        <v>4</v>
      </c>
      <c r="E26" s="66" t="s">
        <v>0</v>
      </c>
      <c r="F26" s="90" t="s">
        <v>155</v>
      </c>
      <c r="G26" s="269">
        <f>G24+G25</f>
        <v>10000</v>
      </c>
      <c r="H26" s="269">
        <f t="shared" ref="H26:N26" si="2">H24+H25</f>
        <v>10000</v>
      </c>
      <c r="I26" s="269">
        <f t="shared" si="2"/>
        <v>10000</v>
      </c>
      <c r="J26" s="269">
        <f t="shared" si="2"/>
        <v>10000</v>
      </c>
      <c r="K26" s="269">
        <f t="shared" si="2"/>
        <v>9000</v>
      </c>
      <c r="L26" s="269">
        <f t="shared" si="2"/>
        <v>11000</v>
      </c>
      <c r="M26" s="269">
        <f t="shared" si="2"/>
        <v>10000</v>
      </c>
      <c r="N26" s="269">
        <f t="shared" si="2"/>
        <v>10000</v>
      </c>
      <c r="O26" s="252">
        <f t="shared" ref="O26" si="3">O24+O25</f>
        <v>80000</v>
      </c>
    </row>
    <row r="27" spans="1:15" ht="22.8">
      <c r="A27" s="48"/>
      <c r="B27" s="65" t="s">
        <v>335</v>
      </c>
      <c r="C27" s="66" t="s">
        <v>270</v>
      </c>
      <c r="D27" s="66" t="s">
        <v>4</v>
      </c>
      <c r="E27" s="66" t="s">
        <v>0</v>
      </c>
      <c r="F27" s="67" t="s">
        <v>156</v>
      </c>
      <c r="G27" s="268">
        <v>1000</v>
      </c>
      <c r="H27" s="268">
        <v>1000</v>
      </c>
      <c r="I27" s="268">
        <v>1000</v>
      </c>
      <c r="J27" s="268">
        <v>1000</v>
      </c>
      <c r="K27" s="268">
        <v>1000</v>
      </c>
      <c r="L27" s="268">
        <v>1000</v>
      </c>
      <c r="M27" s="268">
        <v>1000</v>
      </c>
      <c r="N27" s="268">
        <v>1000</v>
      </c>
      <c r="O27" s="252">
        <f t="shared" ref="O27:O30" si="4">SUM(G27:N27)</f>
        <v>8000</v>
      </c>
    </row>
    <row r="28" spans="1:15" ht="22.8">
      <c r="A28" s="48"/>
      <c r="B28" s="65" t="s">
        <v>335</v>
      </c>
      <c r="C28" s="66" t="s">
        <v>271</v>
      </c>
      <c r="D28" s="66" t="s">
        <v>4</v>
      </c>
      <c r="E28" s="66" t="s">
        <v>0</v>
      </c>
      <c r="F28" s="67" t="s">
        <v>157</v>
      </c>
      <c r="G28" s="268">
        <v>2000</v>
      </c>
      <c r="H28" s="268">
        <v>2000</v>
      </c>
      <c r="I28" s="268">
        <v>2000</v>
      </c>
      <c r="J28" s="268">
        <v>2000</v>
      </c>
      <c r="K28" s="268">
        <v>2000</v>
      </c>
      <c r="L28" s="268">
        <v>2000</v>
      </c>
      <c r="M28" s="268">
        <v>2000</v>
      </c>
      <c r="N28" s="268">
        <v>2000</v>
      </c>
      <c r="O28" s="252">
        <f t="shared" si="4"/>
        <v>16000</v>
      </c>
    </row>
    <row r="29" spans="1:15" ht="22.8">
      <c r="A29" s="48"/>
      <c r="B29" s="65" t="s">
        <v>335</v>
      </c>
      <c r="C29" s="66" t="s">
        <v>272</v>
      </c>
      <c r="D29" s="66" t="s">
        <v>4</v>
      </c>
      <c r="E29" s="66" t="s">
        <v>0</v>
      </c>
      <c r="F29" s="67" t="s">
        <v>158</v>
      </c>
      <c r="G29" s="268">
        <v>3000</v>
      </c>
      <c r="H29" s="268">
        <v>3000</v>
      </c>
      <c r="I29" s="268">
        <v>3000</v>
      </c>
      <c r="J29" s="268">
        <v>3000</v>
      </c>
      <c r="K29" s="268">
        <v>3000</v>
      </c>
      <c r="L29" s="268">
        <v>3000</v>
      </c>
      <c r="M29" s="268">
        <v>3000</v>
      </c>
      <c r="N29" s="268">
        <v>3000</v>
      </c>
      <c r="O29" s="252">
        <f t="shared" si="4"/>
        <v>24000</v>
      </c>
    </row>
    <row r="30" spans="1:15" ht="22.8">
      <c r="A30" s="48"/>
      <c r="B30" s="65" t="s">
        <v>335</v>
      </c>
      <c r="C30" s="66" t="s">
        <v>273</v>
      </c>
      <c r="D30" s="66" t="s">
        <v>4</v>
      </c>
      <c r="E30" s="66" t="s">
        <v>0</v>
      </c>
      <c r="F30" s="67" t="s">
        <v>159</v>
      </c>
      <c r="G30" s="268">
        <v>4000</v>
      </c>
      <c r="H30" s="268">
        <v>4000</v>
      </c>
      <c r="I30" s="268">
        <v>4000</v>
      </c>
      <c r="J30" s="268">
        <v>4000</v>
      </c>
      <c r="K30" s="268">
        <v>4000</v>
      </c>
      <c r="L30" s="268">
        <v>4000</v>
      </c>
      <c r="M30" s="268">
        <v>4000</v>
      </c>
      <c r="N30" s="268">
        <v>4000</v>
      </c>
      <c r="O30" s="252">
        <f t="shared" si="4"/>
        <v>32000</v>
      </c>
    </row>
    <row r="31" spans="1:15" ht="22.8">
      <c r="A31" s="48"/>
      <c r="B31" s="65" t="s">
        <v>335</v>
      </c>
      <c r="C31" s="66" t="s">
        <v>274</v>
      </c>
      <c r="D31" s="66" t="s">
        <v>4</v>
      </c>
      <c r="E31" s="66" t="s">
        <v>0</v>
      </c>
      <c r="F31" s="90" t="s">
        <v>160</v>
      </c>
      <c r="G31" s="253">
        <f>G26-G27-G28+G29+G30</f>
        <v>14000</v>
      </c>
      <c r="H31" s="253">
        <f t="shared" ref="H31:O31" si="5">H26-H27-H28+H29+H30</f>
        <v>14000</v>
      </c>
      <c r="I31" s="253">
        <f t="shared" si="5"/>
        <v>14000</v>
      </c>
      <c r="J31" s="253">
        <f t="shared" si="5"/>
        <v>14000</v>
      </c>
      <c r="K31" s="253">
        <f t="shared" si="5"/>
        <v>13000</v>
      </c>
      <c r="L31" s="253">
        <f t="shared" si="5"/>
        <v>15000</v>
      </c>
      <c r="M31" s="253">
        <f t="shared" si="5"/>
        <v>14000</v>
      </c>
      <c r="N31" s="253">
        <f t="shared" si="5"/>
        <v>14000</v>
      </c>
      <c r="O31" s="252">
        <f t="shared" si="5"/>
        <v>112000</v>
      </c>
    </row>
    <row r="32" spans="1:15" ht="17.25" customHeight="1">
      <c r="A32" s="48"/>
      <c r="B32" s="65" t="s">
        <v>335</v>
      </c>
      <c r="C32" s="66" t="s">
        <v>266</v>
      </c>
      <c r="D32" s="66" t="s">
        <v>4</v>
      </c>
      <c r="E32" s="66" t="s">
        <v>0</v>
      </c>
      <c r="F32" s="90" t="s">
        <v>152</v>
      </c>
      <c r="G32" s="253">
        <f t="shared" ref="G32:O32" si="6">+G21+G31</f>
        <v>15000</v>
      </c>
      <c r="H32" s="253">
        <f t="shared" si="6"/>
        <v>16000</v>
      </c>
      <c r="I32" s="253">
        <f t="shared" si="6"/>
        <v>17000</v>
      </c>
      <c r="J32" s="253">
        <f t="shared" si="6"/>
        <v>18000</v>
      </c>
      <c r="K32" s="253">
        <f t="shared" si="6"/>
        <v>18000</v>
      </c>
      <c r="L32" s="253">
        <f t="shared" si="6"/>
        <v>21000</v>
      </c>
      <c r="M32" s="253">
        <f t="shared" si="6"/>
        <v>21000</v>
      </c>
      <c r="N32" s="253">
        <f t="shared" si="6"/>
        <v>22000</v>
      </c>
      <c r="O32" s="252">
        <f t="shared" si="6"/>
        <v>148000</v>
      </c>
    </row>
    <row r="33" spans="1:15" ht="13.5" customHeight="1">
      <c r="A33" s="118"/>
      <c r="B33" s="165"/>
      <c r="C33" s="164"/>
      <c r="D33" s="164"/>
      <c r="E33" s="164"/>
      <c r="F33" s="179"/>
      <c r="G33" s="138"/>
      <c r="H33" s="138"/>
      <c r="I33" s="138"/>
      <c r="J33" s="138"/>
      <c r="K33" s="138"/>
      <c r="L33" s="138"/>
      <c r="M33" s="138"/>
      <c r="N33" s="138"/>
      <c r="O33" s="141"/>
    </row>
    <row r="34" spans="1:15" s="155" customFormat="1" ht="216.75" hidden="1" customHeight="1">
      <c r="A34" s="118"/>
      <c r="B34" s="166"/>
      <c r="C34" s="167"/>
      <c r="D34" s="167"/>
      <c r="E34" s="167"/>
      <c r="F34" s="168"/>
      <c r="G34" s="169"/>
      <c r="H34" s="169"/>
      <c r="I34" s="169"/>
      <c r="J34" s="169"/>
      <c r="K34" s="169"/>
      <c r="L34" s="169"/>
      <c r="M34" s="169"/>
      <c r="N34" s="169"/>
      <c r="O34" s="170"/>
    </row>
    <row r="35" spans="1:15" s="21" customFormat="1">
      <c r="A35" s="156"/>
      <c r="B35" s="283"/>
      <c r="C35" s="284"/>
      <c r="D35" s="284"/>
      <c r="E35" s="284"/>
      <c r="F35" s="112"/>
      <c r="G35" s="287" t="str">
        <f>IF(G5="INGRESAR DESCRIPCIÓN DE COLUMNA OPCIONAL","",G5)</f>
        <v/>
      </c>
      <c r="H35" s="288"/>
      <c r="I35" s="288"/>
      <c r="J35" s="288"/>
      <c r="K35" s="288"/>
      <c r="L35" s="288"/>
      <c r="M35" s="288"/>
      <c r="N35" s="288"/>
      <c r="O35" s="289"/>
    </row>
    <row r="36" spans="1:15" s="21" customFormat="1" ht="104.25" customHeight="1">
      <c r="A36" s="156"/>
      <c r="B36" s="285"/>
      <c r="C36" s="286"/>
      <c r="D36" s="286"/>
      <c r="E36" s="286"/>
      <c r="F36" s="111" t="s">
        <v>54</v>
      </c>
      <c r="G36" s="112" t="s">
        <v>55</v>
      </c>
      <c r="H36" s="111" t="s">
        <v>56</v>
      </c>
      <c r="I36" s="111" t="s">
        <v>57</v>
      </c>
      <c r="J36" s="111" t="s">
        <v>58</v>
      </c>
      <c r="K36" s="111" t="s">
        <v>59</v>
      </c>
      <c r="L36" s="111" t="s">
        <v>60</v>
      </c>
      <c r="M36" s="111" t="s">
        <v>61</v>
      </c>
      <c r="N36" s="111" t="s">
        <v>62</v>
      </c>
      <c r="O36" s="132" t="s">
        <v>63</v>
      </c>
    </row>
    <row r="37" spans="1:15" ht="22.8">
      <c r="A37" s="48"/>
      <c r="B37" s="65" t="s">
        <v>335</v>
      </c>
      <c r="C37" s="66" t="s">
        <v>256</v>
      </c>
      <c r="D37" s="66" t="s">
        <v>5</v>
      </c>
      <c r="E37" s="66" t="s">
        <v>0</v>
      </c>
      <c r="F37" s="67" t="s">
        <v>142</v>
      </c>
      <c r="G37" s="267" t="s">
        <v>351</v>
      </c>
      <c r="H37" s="267" t="s">
        <v>352</v>
      </c>
      <c r="I37" s="267" t="s">
        <v>353</v>
      </c>
      <c r="J37" s="267" t="s">
        <v>354</v>
      </c>
      <c r="K37" s="267" t="s">
        <v>355</v>
      </c>
      <c r="L37" s="267" t="s">
        <v>356</v>
      </c>
      <c r="M37" s="267" t="s">
        <v>369</v>
      </c>
      <c r="N37" s="267" t="s">
        <v>370</v>
      </c>
      <c r="O37" s="251"/>
    </row>
    <row r="38" spans="1:15" ht="22.8">
      <c r="A38" s="48"/>
      <c r="B38" s="65" t="s">
        <v>335</v>
      </c>
      <c r="C38" s="66" t="s">
        <v>257</v>
      </c>
      <c r="D38" s="66" t="s">
        <v>5</v>
      </c>
      <c r="E38" s="66" t="s">
        <v>0</v>
      </c>
      <c r="F38" s="67" t="s">
        <v>143</v>
      </c>
      <c r="G38" s="267" t="s">
        <v>372</v>
      </c>
      <c r="H38" s="267" t="s">
        <v>373</v>
      </c>
      <c r="I38" s="267" t="s">
        <v>357</v>
      </c>
      <c r="J38" s="267" t="s">
        <v>358</v>
      </c>
      <c r="K38" s="267" t="s">
        <v>359</v>
      </c>
      <c r="L38" s="267" t="s">
        <v>360</v>
      </c>
      <c r="M38" s="267" t="s">
        <v>361</v>
      </c>
      <c r="N38" s="267" t="s">
        <v>362</v>
      </c>
      <c r="O38" s="251"/>
    </row>
    <row r="39" spans="1:15" ht="22.8">
      <c r="A39" s="48"/>
      <c r="B39" s="65" t="s">
        <v>335</v>
      </c>
      <c r="C39" s="66" t="s">
        <v>258</v>
      </c>
      <c r="D39" s="66" t="s">
        <v>5</v>
      </c>
      <c r="E39" s="66" t="s">
        <v>0</v>
      </c>
      <c r="F39" s="67" t="s">
        <v>144</v>
      </c>
      <c r="G39" s="267" t="s">
        <v>364</v>
      </c>
      <c r="H39" s="267" t="s">
        <v>365</v>
      </c>
      <c r="I39" s="267" t="s">
        <v>366</v>
      </c>
      <c r="J39" s="267" t="s">
        <v>367</v>
      </c>
      <c r="K39" s="267" t="s">
        <v>368</v>
      </c>
      <c r="L39" s="267" t="s">
        <v>374</v>
      </c>
      <c r="M39" s="267" t="s">
        <v>375</v>
      </c>
      <c r="N39" s="267" t="s">
        <v>376</v>
      </c>
      <c r="O39" s="251"/>
    </row>
    <row r="40" spans="1:15" ht="22.8">
      <c r="A40" s="48"/>
      <c r="B40" s="65" t="s">
        <v>335</v>
      </c>
      <c r="C40" s="66" t="s">
        <v>259</v>
      </c>
      <c r="D40" s="66" t="s">
        <v>5</v>
      </c>
      <c r="E40" s="66" t="s">
        <v>0</v>
      </c>
      <c r="F40" s="67" t="s">
        <v>145</v>
      </c>
      <c r="G40" s="267" t="s">
        <v>352</v>
      </c>
      <c r="H40" s="267" t="s">
        <v>353</v>
      </c>
      <c r="I40" s="267" t="s">
        <v>354</v>
      </c>
      <c r="J40" s="267" t="s">
        <v>355</v>
      </c>
      <c r="K40" s="267" t="s">
        <v>356</v>
      </c>
      <c r="L40" s="267" t="s">
        <v>369</v>
      </c>
      <c r="M40" s="267" t="s">
        <v>370</v>
      </c>
      <c r="N40" s="267" t="s">
        <v>371</v>
      </c>
      <c r="O40" s="251"/>
    </row>
    <row r="41" spans="1:15">
      <c r="A41" s="48"/>
      <c r="B41" s="65" t="s">
        <v>335</v>
      </c>
      <c r="C41" s="66" t="s">
        <v>260</v>
      </c>
      <c r="D41" s="66" t="s">
        <v>5</v>
      </c>
      <c r="E41" s="66" t="s">
        <v>0</v>
      </c>
      <c r="F41" s="67" t="s">
        <v>146</v>
      </c>
      <c r="G41" s="268">
        <v>1000</v>
      </c>
      <c r="H41" s="268">
        <v>2000</v>
      </c>
      <c r="I41" s="268">
        <v>3000</v>
      </c>
      <c r="J41" s="268">
        <v>4000</v>
      </c>
      <c r="K41" s="268">
        <v>5000</v>
      </c>
      <c r="L41" s="268">
        <v>6000</v>
      </c>
      <c r="M41" s="268">
        <v>7000</v>
      </c>
      <c r="N41" s="268">
        <v>8000</v>
      </c>
      <c r="O41" s="252">
        <f>SUM(G41:N41)</f>
        <v>36000</v>
      </c>
    </row>
    <row r="42" spans="1:15" ht="22.8">
      <c r="A42" s="48"/>
      <c r="B42" s="65" t="s">
        <v>335</v>
      </c>
      <c r="C42" s="66" t="s">
        <v>261</v>
      </c>
      <c r="D42" s="66" t="s">
        <v>5</v>
      </c>
      <c r="E42" s="66" t="s">
        <v>0</v>
      </c>
      <c r="F42" s="67" t="s">
        <v>147</v>
      </c>
      <c r="G42" s="268">
        <v>9000</v>
      </c>
      <c r="H42" s="268">
        <v>1000</v>
      </c>
      <c r="I42" s="268">
        <v>2000</v>
      </c>
      <c r="J42" s="268">
        <v>3000</v>
      </c>
      <c r="K42" s="268">
        <v>4000</v>
      </c>
      <c r="L42" s="268">
        <v>5000</v>
      </c>
      <c r="M42" s="268">
        <v>6000</v>
      </c>
      <c r="N42" s="268">
        <v>7000</v>
      </c>
      <c r="O42" s="252">
        <f>SUM(G42:N42)</f>
        <v>37000</v>
      </c>
    </row>
    <row r="43" spans="1:15" ht="22.8">
      <c r="A43" s="48"/>
      <c r="B43" s="65" t="s">
        <v>335</v>
      </c>
      <c r="C43" s="66" t="s">
        <v>262</v>
      </c>
      <c r="D43" s="66" t="s">
        <v>5</v>
      </c>
      <c r="E43" s="66" t="s">
        <v>0</v>
      </c>
      <c r="F43" s="67" t="s">
        <v>148</v>
      </c>
      <c r="G43" s="267" t="s">
        <v>373</v>
      </c>
      <c r="H43" s="267" t="s">
        <v>357</v>
      </c>
      <c r="I43" s="267" t="s">
        <v>358</v>
      </c>
      <c r="J43" s="267" t="s">
        <v>359</v>
      </c>
      <c r="K43" s="267" t="s">
        <v>360</v>
      </c>
      <c r="L43" s="267" t="s">
        <v>361</v>
      </c>
      <c r="M43" s="267" t="s">
        <v>362</v>
      </c>
      <c r="N43" s="267" t="s">
        <v>363</v>
      </c>
      <c r="O43" s="251"/>
    </row>
    <row r="44" spans="1:15">
      <c r="A44" s="48"/>
      <c r="B44" s="65" t="s">
        <v>335</v>
      </c>
      <c r="C44" s="66" t="s">
        <v>263</v>
      </c>
      <c r="D44" s="66" t="s">
        <v>5</v>
      </c>
      <c r="E44" s="66" t="s">
        <v>0</v>
      </c>
      <c r="F44" s="67" t="s">
        <v>149</v>
      </c>
      <c r="G44" s="268">
        <v>8000</v>
      </c>
      <c r="H44" s="268">
        <v>9000</v>
      </c>
      <c r="I44" s="268">
        <v>1000</v>
      </c>
      <c r="J44" s="268">
        <v>2000</v>
      </c>
      <c r="K44" s="268">
        <v>3000</v>
      </c>
      <c r="L44" s="268">
        <v>4000</v>
      </c>
      <c r="M44" s="268">
        <v>5000</v>
      </c>
      <c r="N44" s="268">
        <v>6000</v>
      </c>
      <c r="O44" s="252">
        <f>SUM(G44:N44)</f>
        <v>38000</v>
      </c>
    </row>
    <row r="45" spans="1:15" ht="22.8">
      <c r="A45" s="48"/>
      <c r="B45" s="65" t="s">
        <v>335</v>
      </c>
      <c r="C45" s="66" t="s">
        <v>264</v>
      </c>
      <c r="D45" s="66" t="s">
        <v>5</v>
      </c>
      <c r="E45" s="66" t="s">
        <v>0</v>
      </c>
      <c r="F45" s="67" t="s">
        <v>150</v>
      </c>
      <c r="G45" s="267" t="s">
        <v>365</v>
      </c>
      <c r="H45" s="267" t="s">
        <v>366</v>
      </c>
      <c r="I45" s="267" t="s">
        <v>367</v>
      </c>
      <c r="J45" s="267" t="s">
        <v>368</v>
      </c>
      <c r="K45" s="267" t="s">
        <v>374</v>
      </c>
      <c r="L45" s="267" t="s">
        <v>375</v>
      </c>
      <c r="M45" s="267" t="s">
        <v>376</v>
      </c>
      <c r="N45" s="267" t="s">
        <v>351</v>
      </c>
      <c r="O45" s="251"/>
    </row>
    <row r="46" spans="1:15">
      <c r="A46" s="48"/>
      <c r="B46" s="65" t="s">
        <v>335</v>
      </c>
      <c r="C46" s="66" t="s">
        <v>265</v>
      </c>
      <c r="D46" s="66" t="s">
        <v>5</v>
      </c>
      <c r="E46" s="66" t="s">
        <v>0</v>
      </c>
      <c r="F46" s="67" t="s">
        <v>151</v>
      </c>
      <c r="G46" s="267" t="s">
        <v>353</v>
      </c>
      <c r="H46" s="267" t="s">
        <v>354</v>
      </c>
      <c r="I46" s="267" t="s">
        <v>355</v>
      </c>
      <c r="J46" s="267" t="s">
        <v>356</v>
      </c>
      <c r="K46" s="267" t="s">
        <v>369</v>
      </c>
      <c r="L46" s="267" t="s">
        <v>370</v>
      </c>
      <c r="M46" s="267" t="s">
        <v>371</v>
      </c>
      <c r="N46" s="267" t="s">
        <v>372</v>
      </c>
      <c r="O46" s="251"/>
    </row>
    <row r="47" spans="1:15" ht="22.8">
      <c r="A47" s="48"/>
      <c r="B47" s="65"/>
      <c r="C47" s="66"/>
      <c r="D47" s="66"/>
      <c r="E47" s="66" t="s">
        <v>0</v>
      </c>
      <c r="F47" s="90" t="s">
        <v>42</v>
      </c>
      <c r="G47" s="145"/>
      <c r="H47" s="145"/>
      <c r="I47" s="145"/>
      <c r="J47" s="145"/>
      <c r="K47" s="145"/>
      <c r="L47" s="145"/>
      <c r="M47" s="145"/>
      <c r="N47" s="145"/>
      <c r="O47" s="176"/>
    </row>
    <row r="48" spans="1:15" ht="22.8">
      <c r="A48" s="97" t="s">
        <v>17</v>
      </c>
      <c r="B48" s="65" t="s">
        <v>335</v>
      </c>
      <c r="C48" s="66" t="s">
        <v>266</v>
      </c>
      <c r="D48" s="66" t="s">
        <v>5</v>
      </c>
      <c r="E48" s="66" t="s">
        <v>0</v>
      </c>
      <c r="F48" s="90" t="s">
        <v>331</v>
      </c>
      <c r="G48" s="268">
        <v>1000</v>
      </c>
      <c r="H48" s="268">
        <v>2000</v>
      </c>
      <c r="I48" s="268">
        <v>3000</v>
      </c>
      <c r="J48" s="268">
        <v>4000</v>
      </c>
      <c r="K48" s="268">
        <v>5000</v>
      </c>
      <c r="L48" s="268">
        <v>6000</v>
      </c>
      <c r="M48" s="268">
        <v>7000</v>
      </c>
      <c r="N48" s="268">
        <v>8000</v>
      </c>
      <c r="O48" s="252">
        <f>SUM(G48:N48)</f>
        <v>36000</v>
      </c>
    </row>
    <row r="49" spans="1:15" ht="22.8">
      <c r="A49" s="48"/>
      <c r="B49" s="65"/>
      <c r="C49" s="66"/>
      <c r="D49" s="66"/>
      <c r="E49" s="66" t="s">
        <v>0</v>
      </c>
      <c r="F49" s="90" t="s">
        <v>43</v>
      </c>
      <c r="G49" s="145"/>
      <c r="H49" s="145"/>
      <c r="I49" s="145"/>
      <c r="J49" s="145"/>
      <c r="K49" s="145"/>
      <c r="L49" s="145"/>
      <c r="M49" s="145"/>
      <c r="N49" s="145"/>
      <c r="O49" s="176"/>
    </row>
    <row r="50" spans="1:15" ht="22.8">
      <c r="A50" s="48"/>
      <c r="B50" s="65"/>
      <c r="C50" s="66"/>
      <c r="D50" s="66"/>
      <c r="E50" s="66" t="s">
        <v>0</v>
      </c>
      <c r="F50" s="90" t="s">
        <v>44</v>
      </c>
      <c r="G50" s="145"/>
      <c r="H50" s="145"/>
      <c r="I50" s="145"/>
      <c r="J50" s="145"/>
      <c r="K50" s="145"/>
      <c r="L50" s="145"/>
      <c r="M50" s="145"/>
      <c r="N50" s="145"/>
      <c r="O50" s="176"/>
    </row>
    <row r="51" spans="1:15" ht="22.8">
      <c r="A51" s="48"/>
      <c r="B51" s="65" t="s">
        <v>335</v>
      </c>
      <c r="C51" s="66" t="s">
        <v>267</v>
      </c>
      <c r="D51" s="66" t="s">
        <v>5</v>
      </c>
      <c r="E51" s="66" t="s">
        <v>0</v>
      </c>
      <c r="F51" s="67" t="s">
        <v>153</v>
      </c>
      <c r="G51" s="268">
        <v>1000</v>
      </c>
      <c r="H51" s="268">
        <v>2000</v>
      </c>
      <c r="I51" s="268">
        <v>3000</v>
      </c>
      <c r="J51" s="268">
        <v>4000</v>
      </c>
      <c r="K51" s="268">
        <v>5000</v>
      </c>
      <c r="L51" s="268">
        <v>6000</v>
      </c>
      <c r="M51" s="268">
        <v>7000</v>
      </c>
      <c r="N51" s="268">
        <v>8000</v>
      </c>
      <c r="O51" s="252">
        <f t="shared" ref="O51:O52" si="7">SUM(G51:N51)</f>
        <v>36000</v>
      </c>
    </row>
    <row r="52" spans="1:15" ht="22.8">
      <c r="A52" s="48"/>
      <c r="B52" s="65" t="s">
        <v>335</v>
      </c>
      <c r="C52" s="66" t="s">
        <v>268</v>
      </c>
      <c r="D52" s="66" t="s">
        <v>5</v>
      </c>
      <c r="E52" s="66" t="s">
        <v>0</v>
      </c>
      <c r="F52" s="67" t="s">
        <v>154</v>
      </c>
      <c r="G52" s="268">
        <v>9000</v>
      </c>
      <c r="H52" s="268">
        <v>8000</v>
      </c>
      <c r="I52" s="268">
        <v>7000</v>
      </c>
      <c r="J52" s="268">
        <v>6000</v>
      </c>
      <c r="K52" s="268">
        <v>4000</v>
      </c>
      <c r="L52" s="268">
        <v>5000</v>
      </c>
      <c r="M52" s="268">
        <v>3000</v>
      </c>
      <c r="N52" s="268">
        <v>2000</v>
      </c>
      <c r="O52" s="252">
        <f t="shared" si="7"/>
        <v>44000</v>
      </c>
    </row>
    <row r="53" spans="1:15" ht="22.8">
      <c r="A53" s="48"/>
      <c r="B53" s="65" t="s">
        <v>335</v>
      </c>
      <c r="C53" s="66" t="s">
        <v>269</v>
      </c>
      <c r="D53" s="66" t="s">
        <v>5</v>
      </c>
      <c r="E53" s="66" t="s">
        <v>0</v>
      </c>
      <c r="F53" s="90" t="s">
        <v>155</v>
      </c>
      <c r="G53" s="269">
        <f>G51+G52</f>
        <v>10000</v>
      </c>
      <c r="H53" s="269">
        <f t="shared" ref="H53:N53" si="8">H51+H52</f>
        <v>10000</v>
      </c>
      <c r="I53" s="269">
        <f t="shared" si="8"/>
        <v>10000</v>
      </c>
      <c r="J53" s="269">
        <f t="shared" si="8"/>
        <v>10000</v>
      </c>
      <c r="K53" s="269">
        <f t="shared" si="8"/>
        <v>9000</v>
      </c>
      <c r="L53" s="269">
        <f t="shared" si="8"/>
        <v>11000</v>
      </c>
      <c r="M53" s="269">
        <f t="shared" si="8"/>
        <v>10000</v>
      </c>
      <c r="N53" s="269">
        <f t="shared" si="8"/>
        <v>10000</v>
      </c>
      <c r="O53" s="252">
        <f t="shared" ref="O53" si="9">O51+O52</f>
        <v>80000</v>
      </c>
    </row>
    <row r="54" spans="1:15" ht="22.8">
      <c r="A54" s="48"/>
      <c r="B54" s="65" t="s">
        <v>335</v>
      </c>
      <c r="C54" s="66" t="s">
        <v>270</v>
      </c>
      <c r="D54" s="66" t="s">
        <v>5</v>
      </c>
      <c r="E54" s="66" t="s">
        <v>0</v>
      </c>
      <c r="F54" s="67" t="s">
        <v>156</v>
      </c>
      <c r="G54" s="268">
        <v>1000</v>
      </c>
      <c r="H54" s="268">
        <v>1000</v>
      </c>
      <c r="I54" s="268">
        <v>1000</v>
      </c>
      <c r="J54" s="268">
        <v>1000</v>
      </c>
      <c r="K54" s="268">
        <v>1000</v>
      </c>
      <c r="L54" s="268">
        <v>1000</v>
      </c>
      <c r="M54" s="268">
        <v>1000</v>
      </c>
      <c r="N54" s="268">
        <v>1000</v>
      </c>
      <c r="O54" s="252">
        <f t="shared" ref="O54:O57" si="10">SUM(G54:N54)</f>
        <v>8000</v>
      </c>
    </row>
    <row r="55" spans="1:15" ht="22.8">
      <c r="A55" s="48"/>
      <c r="B55" s="65" t="s">
        <v>335</v>
      </c>
      <c r="C55" s="66" t="s">
        <v>271</v>
      </c>
      <c r="D55" s="66" t="s">
        <v>5</v>
      </c>
      <c r="E55" s="66" t="s">
        <v>0</v>
      </c>
      <c r="F55" s="67" t="s">
        <v>157</v>
      </c>
      <c r="G55" s="268">
        <v>2000</v>
      </c>
      <c r="H55" s="268">
        <v>2000</v>
      </c>
      <c r="I55" s="268">
        <v>2000</v>
      </c>
      <c r="J55" s="268">
        <v>2000</v>
      </c>
      <c r="K55" s="268">
        <v>2000</v>
      </c>
      <c r="L55" s="268">
        <v>2000</v>
      </c>
      <c r="M55" s="268">
        <v>2000</v>
      </c>
      <c r="N55" s="268">
        <v>2000</v>
      </c>
      <c r="O55" s="252">
        <f t="shared" si="10"/>
        <v>16000</v>
      </c>
    </row>
    <row r="56" spans="1:15" ht="22.8">
      <c r="A56" s="48"/>
      <c r="B56" s="65" t="s">
        <v>335</v>
      </c>
      <c r="C56" s="66" t="s">
        <v>272</v>
      </c>
      <c r="D56" s="66" t="s">
        <v>5</v>
      </c>
      <c r="E56" s="66" t="s">
        <v>0</v>
      </c>
      <c r="F56" s="67" t="s">
        <v>158</v>
      </c>
      <c r="G56" s="268">
        <v>-3000</v>
      </c>
      <c r="H56" s="268">
        <v>-3000</v>
      </c>
      <c r="I56" s="268">
        <v>-3000</v>
      </c>
      <c r="J56" s="268">
        <v>-3000</v>
      </c>
      <c r="K56" s="268">
        <v>-3000</v>
      </c>
      <c r="L56" s="268">
        <v>-3000</v>
      </c>
      <c r="M56" s="268">
        <v>-3000</v>
      </c>
      <c r="N56" s="268">
        <v>-3000</v>
      </c>
      <c r="O56" s="252">
        <f t="shared" si="10"/>
        <v>-24000</v>
      </c>
    </row>
    <row r="57" spans="1:15" ht="22.8">
      <c r="A57" s="48"/>
      <c r="B57" s="65" t="s">
        <v>335</v>
      </c>
      <c r="C57" s="66" t="s">
        <v>273</v>
      </c>
      <c r="D57" s="66" t="s">
        <v>5</v>
      </c>
      <c r="E57" s="66" t="s">
        <v>0</v>
      </c>
      <c r="F57" s="67" t="s">
        <v>159</v>
      </c>
      <c r="G57" s="268">
        <v>-4000</v>
      </c>
      <c r="H57" s="268">
        <v>-4000</v>
      </c>
      <c r="I57" s="268">
        <v>-4000</v>
      </c>
      <c r="J57" s="268">
        <v>-4000</v>
      </c>
      <c r="K57" s="268">
        <v>-4000</v>
      </c>
      <c r="L57" s="268">
        <v>-4000</v>
      </c>
      <c r="M57" s="268">
        <v>-4000</v>
      </c>
      <c r="N57" s="268">
        <v>-4000</v>
      </c>
      <c r="O57" s="252">
        <f t="shared" si="10"/>
        <v>-32000</v>
      </c>
    </row>
    <row r="58" spans="1:15" ht="22.8">
      <c r="A58" s="48"/>
      <c r="B58" s="65" t="s">
        <v>335</v>
      </c>
      <c r="C58" s="66" t="s">
        <v>274</v>
      </c>
      <c r="D58" s="66" t="s">
        <v>5</v>
      </c>
      <c r="E58" s="66" t="s">
        <v>0</v>
      </c>
      <c r="F58" s="90" t="s">
        <v>160</v>
      </c>
      <c r="G58" s="253">
        <f>G53-G54-G55+G56+G57</f>
        <v>0</v>
      </c>
      <c r="H58" s="253">
        <f t="shared" ref="H58:O58" si="11">H53-H54-H55+H56+H57</f>
        <v>0</v>
      </c>
      <c r="I58" s="253">
        <f t="shared" si="11"/>
        <v>0</v>
      </c>
      <c r="J58" s="253">
        <f t="shared" si="11"/>
        <v>0</v>
      </c>
      <c r="K58" s="253">
        <f t="shared" si="11"/>
        <v>-1000</v>
      </c>
      <c r="L58" s="253">
        <f t="shared" si="11"/>
        <v>1000</v>
      </c>
      <c r="M58" s="253">
        <f t="shared" si="11"/>
        <v>0</v>
      </c>
      <c r="N58" s="253">
        <f t="shared" si="11"/>
        <v>0</v>
      </c>
      <c r="O58" s="252">
        <f t="shared" si="11"/>
        <v>0</v>
      </c>
    </row>
    <row r="59" spans="1:15" ht="27.75" customHeight="1">
      <c r="A59" s="48"/>
      <c r="B59" s="65" t="s">
        <v>335</v>
      </c>
      <c r="C59" s="66" t="s">
        <v>266</v>
      </c>
      <c r="D59" s="66" t="s">
        <v>5</v>
      </c>
      <c r="E59" s="66" t="s">
        <v>0</v>
      </c>
      <c r="F59" s="90" t="s">
        <v>330</v>
      </c>
      <c r="G59" s="253">
        <f t="shared" ref="G59:O59" si="12">+G48+G58</f>
        <v>1000</v>
      </c>
      <c r="H59" s="253">
        <f t="shared" si="12"/>
        <v>2000</v>
      </c>
      <c r="I59" s="253">
        <f t="shared" si="12"/>
        <v>3000</v>
      </c>
      <c r="J59" s="253">
        <f t="shared" si="12"/>
        <v>4000</v>
      </c>
      <c r="K59" s="253">
        <f t="shared" si="12"/>
        <v>4000</v>
      </c>
      <c r="L59" s="253">
        <f t="shared" si="12"/>
        <v>7000</v>
      </c>
      <c r="M59" s="253">
        <f t="shared" si="12"/>
        <v>7000</v>
      </c>
      <c r="N59" s="253">
        <f t="shared" si="12"/>
        <v>8000</v>
      </c>
      <c r="O59" s="252">
        <f t="shared" si="12"/>
        <v>36000</v>
      </c>
    </row>
    <row r="60" spans="1:15" ht="15" thickBot="1">
      <c r="A60" s="125"/>
      <c r="B60" s="171"/>
      <c r="C60" s="172"/>
      <c r="D60" s="173"/>
      <c r="E60" s="174"/>
      <c r="F60" s="178"/>
      <c r="G60" s="175"/>
      <c r="H60" s="175"/>
      <c r="I60" s="175"/>
      <c r="J60" s="175"/>
      <c r="K60" s="175"/>
      <c r="L60" s="175"/>
      <c r="M60" s="175"/>
      <c r="N60" s="175"/>
      <c r="O60" s="177"/>
    </row>
    <row r="61" spans="1:15" ht="15" thickBot="1"/>
    <row r="62" spans="1:15" ht="30" customHeight="1">
      <c r="A62" s="45" t="s">
        <v>290</v>
      </c>
      <c r="B62" s="46"/>
      <c r="C62" s="47"/>
      <c r="D62" s="47"/>
      <c r="E62" s="47"/>
      <c r="F62" s="47"/>
      <c r="G62" s="277" t="s">
        <v>18</v>
      </c>
      <c r="H62" s="278"/>
      <c r="I62" s="278"/>
      <c r="J62" s="278"/>
      <c r="K62" s="278"/>
      <c r="L62" s="278"/>
      <c r="M62" s="278"/>
      <c r="N62" s="278"/>
      <c r="O62" s="279"/>
    </row>
    <row r="63" spans="1:15" ht="84.75" hidden="1" customHeight="1">
      <c r="A63" s="45" t="s">
        <v>289</v>
      </c>
      <c r="B63" s="74"/>
      <c r="C63" s="75"/>
      <c r="D63" s="75" t="s">
        <v>255</v>
      </c>
      <c r="E63" s="75" t="s">
        <v>291</v>
      </c>
      <c r="F63" s="75"/>
      <c r="G63" s="228" t="s">
        <v>181</v>
      </c>
      <c r="H63" s="229" t="s">
        <v>181</v>
      </c>
      <c r="I63" s="229" t="s">
        <v>181</v>
      </c>
      <c r="J63" s="229" t="s">
        <v>181</v>
      </c>
      <c r="K63" s="229" t="s">
        <v>181</v>
      </c>
      <c r="L63" s="229" t="s">
        <v>181</v>
      </c>
      <c r="M63" s="229" t="s">
        <v>181</v>
      </c>
      <c r="N63" s="229" t="s">
        <v>181</v>
      </c>
      <c r="O63" s="230" t="s">
        <v>181</v>
      </c>
    </row>
    <row r="64" spans="1:15" ht="133.5" customHeight="1">
      <c r="A64" s="48"/>
      <c r="B64" s="49"/>
      <c r="C64" s="50"/>
      <c r="D64" s="50"/>
      <c r="E64" s="51"/>
      <c r="F64" s="51" t="s">
        <v>40</v>
      </c>
      <c r="G64" s="52" t="s">
        <v>31</v>
      </c>
      <c r="H64" s="52" t="s">
        <v>32</v>
      </c>
      <c r="I64" s="52" t="s">
        <v>33</v>
      </c>
      <c r="J64" s="52" t="s">
        <v>34</v>
      </c>
      <c r="K64" s="52" t="s">
        <v>35</v>
      </c>
      <c r="L64" s="52" t="s">
        <v>36</v>
      </c>
      <c r="M64" s="52" t="s">
        <v>37</v>
      </c>
      <c r="N64" s="52" t="s">
        <v>38</v>
      </c>
      <c r="O64" s="53" t="s">
        <v>39</v>
      </c>
    </row>
    <row r="65" spans="1:15" ht="90" hidden="1" customHeight="1">
      <c r="A65" s="54" t="s">
        <v>289</v>
      </c>
      <c r="B65" s="55"/>
      <c r="C65" s="56"/>
      <c r="D65" s="57"/>
      <c r="E65" s="58" t="s">
        <v>301</v>
      </c>
      <c r="F65" s="59" t="s">
        <v>0</v>
      </c>
      <c r="G65" s="57" t="s">
        <v>302</v>
      </c>
      <c r="H65" s="57" t="s">
        <v>303</v>
      </c>
      <c r="I65" s="57" t="s">
        <v>304</v>
      </c>
      <c r="J65" s="57" t="s">
        <v>305</v>
      </c>
      <c r="K65" s="57" t="s">
        <v>306</v>
      </c>
      <c r="L65" s="57" t="s">
        <v>307</v>
      </c>
      <c r="M65" s="57" t="s">
        <v>308</v>
      </c>
      <c r="N65" s="57" t="s">
        <v>309</v>
      </c>
      <c r="O65" s="57" t="s">
        <v>310</v>
      </c>
    </row>
    <row r="66" spans="1:15">
      <c r="B66" s="60"/>
      <c r="C66" s="61"/>
      <c r="D66" s="62"/>
      <c r="E66" s="62"/>
      <c r="F66" s="63"/>
      <c r="G66" s="62"/>
      <c r="H66" s="62"/>
      <c r="I66" s="62"/>
      <c r="J66" s="62"/>
      <c r="K66" s="62"/>
      <c r="L66" s="62"/>
      <c r="M66" s="62"/>
      <c r="N66" s="62"/>
      <c r="O66" s="64"/>
    </row>
    <row r="67" spans="1:15" ht="22.8">
      <c r="A67" s="48"/>
      <c r="B67" s="65" t="s">
        <v>335</v>
      </c>
      <c r="C67" s="66" t="s">
        <v>256</v>
      </c>
      <c r="D67" s="66" t="s">
        <v>4</v>
      </c>
      <c r="E67" s="66" t="s">
        <v>0</v>
      </c>
      <c r="F67" s="67" t="s">
        <v>142</v>
      </c>
      <c r="G67" s="267" t="s">
        <v>351</v>
      </c>
      <c r="H67" s="267" t="s">
        <v>352</v>
      </c>
      <c r="I67" s="267" t="s">
        <v>353</v>
      </c>
      <c r="J67" s="267" t="s">
        <v>354</v>
      </c>
      <c r="K67" s="267" t="s">
        <v>355</v>
      </c>
      <c r="L67" s="267" t="s">
        <v>356</v>
      </c>
      <c r="M67" s="267" t="s">
        <v>369</v>
      </c>
      <c r="N67" s="267" t="s">
        <v>370</v>
      </c>
      <c r="O67" s="217"/>
    </row>
    <row r="68" spans="1:15" ht="22.8">
      <c r="A68" s="48"/>
      <c r="B68" s="65" t="s">
        <v>335</v>
      </c>
      <c r="C68" s="66" t="s">
        <v>257</v>
      </c>
      <c r="D68" s="66" t="s">
        <v>4</v>
      </c>
      <c r="E68" s="66" t="s">
        <v>0</v>
      </c>
      <c r="F68" s="67" t="s">
        <v>143</v>
      </c>
      <c r="G68" s="267" t="s">
        <v>372</v>
      </c>
      <c r="H68" s="267" t="s">
        <v>373</v>
      </c>
      <c r="I68" s="267" t="s">
        <v>357</v>
      </c>
      <c r="J68" s="267" t="s">
        <v>358</v>
      </c>
      <c r="K68" s="267" t="s">
        <v>359</v>
      </c>
      <c r="L68" s="267" t="s">
        <v>360</v>
      </c>
      <c r="M68" s="267" t="s">
        <v>361</v>
      </c>
      <c r="N68" s="267" t="s">
        <v>362</v>
      </c>
      <c r="O68" s="217"/>
    </row>
    <row r="69" spans="1:15" ht="22.8">
      <c r="A69" s="48"/>
      <c r="B69" s="65" t="s">
        <v>335</v>
      </c>
      <c r="C69" s="66" t="s">
        <v>258</v>
      </c>
      <c r="D69" s="66" t="s">
        <v>4</v>
      </c>
      <c r="E69" s="66" t="s">
        <v>0</v>
      </c>
      <c r="F69" s="67" t="s">
        <v>144</v>
      </c>
      <c r="G69" s="267" t="s">
        <v>364</v>
      </c>
      <c r="H69" s="267" t="s">
        <v>365</v>
      </c>
      <c r="I69" s="267" t="s">
        <v>366</v>
      </c>
      <c r="J69" s="267" t="s">
        <v>367</v>
      </c>
      <c r="K69" s="267" t="s">
        <v>368</v>
      </c>
      <c r="L69" s="267" t="s">
        <v>374</v>
      </c>
      <c r="M69" s="267" t="s">
        <v>375</v>
      </c>
      <c r="N69" s="267" t="s">
        <v>376</v>
      </c>
      <c r="O69" s="217"/>
    </row>
    <row r="70" spans="1:15" ht="22.8">
      <c r="A70" s="48"/>
      <c r="B70" s="65" t="s">
        <v>335</v>
      </c>
      <c r="C70" s="66" t="s">
        <v>259</v>
      </c>
      <c r="D70" s="66" t="s">
        <v>4</v>
      </c>
      <c r="E70" s="66" t="s">
        <v>0</v>
      </c>
      <c r="F70" s="67" t="s">
        <v>145</v>
      </c>
      <c r="G70" s="267" t="s">
        <v>352</v>
      </c>
      <c r="H70" s="267" t="s">
        <v>353</v>
      </c>
      <c r="I70" s="267" t="s">
        <v>354</v>
      </c>
      <c r="J70" s="267" t="s">
        <v>355</v>
      </c>
      <c r="K70" s="267" t="s">
        <v>356</v>
      </c>
      <c r="L70" s="267" t="s">
        <v>369</v>
      </c>
      <c r="M70" s="267" t="s">
        <v>370</v>
      </c>
      <c r="N70" s="267" t="s">
        <v>371</v>
      </c>
      <c r="O70" s="217"/>
    </row>
    <row r="71" spans="1:15">
      <c r="A71" s="48"/>
      <c r="B71" s="65" t="s">
        <v>335</v>
      </c>
      <c r="C71" s="66" t="s">
        <v>260</v>
      </c>
      <c r="D71" s="66" t="s">
        <v>4</v>
      </c>
      <c r="E71" s="66" t="s">
        <v>0</v>
      </c>
      <c r="F71" s="67" t="s">
        <v>146</v>
      </c>
      <c r="G71" s="269">
        <f>G14</f>
        <v>1000</v>
      </c>
      <c r="H71" s="269">
        <f t="shared" ref="H71:N71" si="13">H14</f>
        <v>2000</v>
      </c>
      <c r="I71" s="269">
        <f t="shared" si="13"/>
        <v>3000</v>
      </c>
      <c r="J71" s="269">
        <f t="shared" si="13"/>
        <v>4000</v>
      </c>
      <c r="K71" s="269">
        <f t="shared" si="13"/>
        <v>5000</v>
      </c>
      <c r="L71" s="269">
        <f t="shared" si="13"/>
        <v>6000</v>
      </c>
      <c r="M71" s="269">
        <f t="shared" si="13"/>
        <v>7000</v>
      </c>
      <c r="N71" s="269">
        <f t="shared" si="13"/>
        <v>8000</v>
      </c>
      <c r="O71" s="253">
        <f>SUM(G71:N71)</f>
        <v>36000</v>
      </c>
    </row>
    <row r="72" spans="1:15" ht="22.8">
      <c r="A72" s="48"/>
      <c r="B72" s="65" t="s">
        <v>335</v>
      </c>
      <c r="C72" s="66" t="s">
        <v>261</v>
      </c>
      <c r="D72" s="66" t="s">
        <v>4</v>
      </c>
      <c r="E72" s="66" t="s">
        <v>0</v>
      </c>
      <c r="F72" s="67" t="s">
        <v>147</v>
      </c>
      <c r="G72" s="269">
        <f t="shared" ref="G72:N72" si="14">G15</f>
        <v>9000</v>
      </c>
      <c r="H72" s="269">
        <f t="shared" si="14"/>
        <v>1000</v>
      </c>
      <c r="I72" s="269">
        <f t="shared" si="14"/>
        <v>2000</v>
      </c>
      <c r="J72" s="269">
        <f t="shared" si="14"/>
        <v>3000</v>
      </c>
      <c r="K72" s="269">
        <f t="shared" si="14"/>
        <v>4000</v>
      </c>
      <c r="L72" s="269">
        <f t="shared" si="14"/>
        <v>5000</v>
      </c>
      <c r="M72" s="269">
        <f t="shared" si="14"/>
        <v>6000</v>
      </c>
      <c r="N72" s="269">
        <f t="shared" si="14"/>
        <v>7000</v>
      </c>
      <c r="O72" s="253">
        <f>SUM(G72:N72)</f>
        <v>37000</v>
      </c>
    </row>
    <row r="73" spans="1:15" ht="22.8">
      <c r="A73" s="48"/>
      <c r="B73" s="65" t="s">
        <v>335</v>
      </c>
      <c r="C73" s="66" t="s">
        <v>262</v>
      </c>
      <c r="D73" s="66" t="s">
        <v>4</v>
      </c>
      <c r="E73" s="66" t="s">
        <v>0</v>
      </c>
      <c r="F73" s="67" t="s">
        <v>148</v>
      </c>
      <c r="G73" s="267" t="s">
        <v>353</v>
      </c>
      <c r="H73" s="267" t="s">
        <v>354</v>
      </c>
      <c r="I73" s="267" t="s">
        <v>355</v>
      </c>
      <c r="J73" s="267" t="s">
        <v>356</v>
      </c>
      <c r="K73" s="267" t="s">
        <v>369</v>
      </c>
      <c r="L73" s="267" t="s">
        <v>370</v>
      </c>
      <c r="M73" s="267" t="s">
        <v>371</v>
      </c>
      <c r="N73" s="267" t="s">
        <v>372</v>
      </c>
      <c r="O73" s="217"/>
    </row>
    <row r="74" spans="1:15">
      <c r="A74" s="48"/>
      <c r="B74" s="65" t="s">
        <v>335</v>
      </c>
      <c r="C74" s="66" t="s">
        <v>263</v>
      </c>
      <c r="D74" s="66" t="s">
        <v>4</v>
      </c>
      <c r="E74" s="66" t="s">
        <v>0</v>
      </c>
      <c r="F74" s="67" t="s">
        <v>149</v>
      </c>
      <c r="G74" s="269">
        <f t="shared" ref="G74:N74" si="15">G17</f>
        <v>8000</v>
      </c>
      <c r="H74" s="269">
        <f t="shared" si="15"/>
        <v>9000</v>
      </c>
      <c r="I74" s="269">
        <f t="shared" si="15"/>
        <v>1000</v>
      </c>
      <c r="J74" s="269">
        <f t="shared" si="15"/>
        <v>2000</v>
      </c>
      <c r="K74" s="269">
        <f t="shared" si="15"/>
        <v>3000</v>
      </c>
      <c r="L74" s="269">
        <f t="shared" si="15"/>
        <v>4000</v>
      </c>
      <c r="M74" s="269">
        <f t="shared" si="15"/>
        <v>5000</v>
      </c>
      <c r="N74" s="269">
        <f t="shared" si="15"/>
        <v>6000</v>
      </c>
      <c r="O74" s="253">
        <f>SUM(G74:N74)</f>
        <v>38000</v>
      </c>
    </row>
    <row r="75" spans="1:15" ht="22.8">
      <c r="A75" s="48"/>
      <c r="B75" s="65" t="s">
        <v>335</v>
      </c>
      <c r="C75" s="66" t="s">
        <v>264</v>
      </c>
      <c r="D75" s="66" t="s">
        <v>4</v>
      </c>
      <c r="E75" s="66" t="s">
        <v>0</v>
      </c>
      <c r="F75" s="67" t="s">
        <v>150</v>
      </c>
      <c r="G75" s="267" t="s">
        <v>353</v>
      </c>
      <c r="H75" s="267" t="s">
        <v>354</v>
      </c>
      <c r="I75" s="267" t="s">
        <v>355</v>
      </c>
      <c r="J75" s="267" t="s">
        <v>356</v>
      </c>
      <c r="K75" s="267" t="s">
        <v>369</v>
      </c>
      <c r="L75" s="267" t="s">
        <v>370</v>
      </c>
      <c r="M75" s="267" t="s">
        <v>371</v>
      </c>
      <c r="N75" s="267" t="s">
        <v>372</v>
      </c>
      <c r="O75" s="217"/>
    </row>
    <row r="76" spans="1:15">
      <c r="A76" s="48"/>
      <c r="B76" s="65" t="s">
        <v>335</v>
      </c>
      <c r="C76" s="66" t="s">
        <v>265</v>
      </c>
      <c r="D76" s="66" t="s">
        <v>4</v>
      </c>
      <c r="E76" s="66" t="s">
        <v>0</v>
      </c>
      <c r="F76" s="67" t="s">
        <v>151</v>
      </c>
      <c r="G76" s="267" t="s">
        <v>353</v>
      </c>
      <c r="H76" s="267" t="s">
        <v>354</v>
      </c>
      <c r="I76" s="267" t="s">
        <v>355</v>
      </c>
      <c r="J76" s="267" t="s">
        <v>356</v>
      </c>
      <c r="K76" s="267" t="s">
        <v>369</v>
      </c>
      <c r="L76" s="267" t="s">
        <v>370</v>
      </c>
      <c r="M76" s="267" t="s">
        <v>371</v>
      </c>
      <c r="N76" s="267" t="s">
        <v>372</v>
      </c>
      <c r="O76" s="217"/>
    </row>
    <row r="77" spans="1:15" ht="22.8">
      <c r="A77" s="48"/>
      <c r="B77" s="65"/>
      <c r="C77" s="66"/>
      <c r="D77" s="66"/>
      <c r="E77" s="66" t="s">
        <v>0</v>
      </c>
      <c r="F77" s="90" t="s">
        <v>42</v>
      </c>
      <c r="G77" s="66"/>
      <c r="H77" s="66"/>
      <c r="I77" s="66"/>
      <c r="J77" s="66"/>
      <c r="K77" s="66"/>
      <c r="L77" s="66"/>
      <c r="M77" s="66"/>
      <c r="N77" s="66"/>
      <c r="O77" s="104"/>
    </row>
    <row r="78" spans="1:15" ht="22.8">
      <c r="A78" s="97" t="s">
        <v>17</v>
      </c>
      <c r="B78" s="65" t="s">
        <v>335</v>
      </c>
      <c r="C78" s="66" t="s">
        <v>266</v>
      </c>
      <c r="D78" s="66" t="s">
        <v>4</v>
      </c>
      <c r="E78" s="66" t="s">
        <v>0</v>
      </c>
      <c r="F78" s="90" t="s">
        <v>330</v>
      </c>
      <c r="G78" s="253">
        <f t="shared" ref="G78:N78" si="16">G21</f>
        <v>1000</v>
      </c>
      <c r="H78" s="253">
        <f t="shared" si="16"/>
        <v>2000</v>
      </c>
      <c r="I78" s="253">
        <f t="shared" si="16"/>
        <v>3000</v>
      </c>
      <c r="J78" s="253">
        <f t="shared" si="16"/>
        <v>4000</v>
      </c>
      <c r="K78" s="253">
        <f t="shared" si="16"/>
        <v>5000</v>
      </c>
      <c r="L78" s="253">
        <f t="shared" si="16"/>
        <v>6000</v>
      </c>
      <c r="M78" s="253">
        <f t="shared" si="16"/>
        <v>7000</v>
      </c>
      <c r="N78" s="253">
        <f t="shared" si="16"/>
        <v>8000</v>
      </c>
      <c r="O78" s="253">
        <f>SUM(G78:N78)</f>
        <v>36000</v>
      </c>
    </row>
    <row r="79" spans="1:15" ht="22.8">
      <c r="A79" s="48"/>
      <c r="B79" s="65"/>
      <c r="C79" s="66"/>
      <c r="D79" s="66"/>
      <c r="E79" s="66" t="s">
        <v>0</v>
      </c>
      <c r="F79" s="90" t="s">
        <v>43</v>
      </c>
      <c r="G79" s="66"/>
      <c r="H79" s="66"/>
      <c r="I79" s="66"/>
      <c r="J79" s="66"/>
      <c r="K79" s="66"/>
      <c r="L79" s="66"/>
      <c r="M79" s="66"/>
      <c r="N79" s="66"/>
      <c r="O79" s="104"/>
    </row>
    <row r="80" spans="1:15" ht="22.8">
      <c r="A80" s="48"/>
      <c r="B80" s="65"/>
      <c r="C80" s="66"/>
      <c r="D80" s="66"/>
      <c r="E80" s="66" t="s">
        <v>0</v>
      </c>
      <c r="F80" s="90" t="s">
        <v>44</v>
      </c>
      <c r="G80" s="66"/>
      <c r="H80" s="66"/>
      <c r="I80" s="66"/>
      <c r="J80" s="66"/>
      <c r="K80" s="66"/>
      <c r="L80" s="66"/>
      <c r="M80" s="66"/>
      <c r="N80" s="66"/>
      <c r="O80" s="104"/>
    </row>
    <row r="81" spans="1:15" ht="22.8">
      <c r="A81" s="48"/>
      <c r="B81" s="65" t="s">
        <v>335</v>
      </c>
      <c r="C81" s="66" t="s">
        <v>267</v>
      </c>
      <c r="D81" s="66" t="s">
        <v>4</v>
      </c>
      <c r="E81" s="66" t="s">
        <v>0</v>
      </c>
      <c r="F81" s="67" t="s">
        <v>153</v>
      </c>
      <c r="G81" s="253">
        <f t="shared" ref="G81:N82" si="17">G24</f>
        <v>1000</v>
      </c>
      <c r="H81" s="253">
        <f t="shared" si="17"/>
        <v>2000</v>
      </c>
      <c r="I81" s="253">
        <f t="shared" si="17"/>
        <v>3000</v>
      </c>
      <c r="J81" s="253">
        <f t="shared" si="17"/>
        <v>4000</v>
      </c>
      <c r="K81" s="253">
        <f t="shared" si="17"/>
        <v>5000</v>
      </c>
      <c r="L81" s="253">
        <f t="shared" si="17"/>
        <v>6000</v>
      </c>
      <c r="M81" s="253">
        <f t="shared" si="17"/>
        <v>7000</v>
      </c>
      <c r="N81" s="253">
        <f t="shared" si="17"/>
        <v>8000</v>
      </c>
      <c r="O81" s="253">
        <f t="shared" ref="O81:O82" si="18">SUM(G81:N81)</f>
        <v>36000</v>
      </c>
    </row>
    <row r="82" spans="1:15" ht="22.8">
      <c r="A82" s="48"/>
      <c r="B82" s="65" t="s">
        <v>335</v>
      </c>
      <c r="C82" s="66" t="s">
        <v>268</v>
      </c>
      <c r="D82" s="66" t="s">
        <v>4</v>
      </c>
      <c r="E82" s="66" t="s">
        <v>0</v>
      </c>
      <c r="F82" s="67" t="s">
        <v>154</v>
      </c>
      <c r="G82" s="253">
        <f t="shared" si="17"/>
        <v>9000</v>
      </c>
      <c r="H82" s="253">
        <f t="shared" si="17"/>
        <v>8000</v>
      </c>
      <c r="I82" s="253">
        <f t="shared" si="17"/>
        <v>7000</v>
      </c>
      <c r="J82" s="253">
        <f t="shared" si="17"/>
        <v>6000</v>
      </c>
      <c r="K82" s="253">
        <f t="shared" si="17"/>
        <v>4000</v>
      </c>
      <c r="L82" s="253">
        <f t="shared" si="17"/>
        <v>5000</v>
      </c>
      <c r="M82" s="253">
        <f t="shared" si="17"/>
        <v>3000</v>
      </c>
      <c r="N82" s="253">
        <f t="shared" si="17"/>
        <v>2000</v>
      </c>
      <c r="O82" s="253">
        <f t="shared" si="18"/>
        <v>44000</v>
      </c>
    </row>
    <row r="83" spans="1:15" ht="22.8">
      <c r="A83" s="48"/>
      <c r="B83" s="65" t="s">
        <v>335</v>
      </c>
      <c r="C83" s="66" t="s">
        <v>269</v>
      </c>
      <c r="D83" s="66" t="s">
        <v>4</v>
      </c>
      <c r="E83" s="66" t="s">
        <v>0</v>
      </c>
      <c r="F83" s="90" t="s">
        <v>155</v>
      </c>
      <c r="G83" s="253">
        <f>G81+G82</f>
        <v>10000</v>
      </c>
      <c r="H83" s="253">
        <f t="shared" ref="H83:O83" si="19">H81+H82</f>
        <v>10000</v>
      </c>
      <c r="I83" s="253">
        <f t="shared" si="19"/>
        <v>10000</v>
      </c>
      <c r="J83" s="253">
        <f t="shared" si="19"/>
        <v>10000</v>
      </c>
      <c r="K83" s="253">
        <f t="shared" si="19"/>
        <v>9000</v>
      </c>
      <c r="L83" s="253">
        <f t="shared" si="19"/>
        <v>11000</v>
      </c>
      <c r="M83" s="253">
        <f t="shared" si="19"/>
        <v>10000</v>
      </c>
      <c r="N83" s="253">
        <f t="shared" si="19"/>
        <v>10000</v>
      </c>
      <c r="O83" s="253">
        <f t="shared" si="19"/>
        <v>80000</v>
      </c>
    </row>
    <row r="84" spans="1:15" ht="22.8">
      <c r="A84" s="48"/>
      <c r="B84" s="65" t="s">
        <v>335</v>
      </c>
      <c r="C84" s="66" t="s">
        <v>270</v>
      </c>
      <c r="D84" s="66" t="s">
        <v>4</v>
      </c>
      <c r="E84" s="66" t="s">
        <v>0</v>
      </c>
      <c r="F84" s="67" t="s">
        <v>156</v>
      </c>
      <c r="G84" s="253">
        <f t="shared" ref="G84:N87" si="20">G27</f>
        <v>1000</v>
      </c>
      <c r="H84" s="253">
        <f t="shared" si="20"/>
        <v>1000</v>
      </c>
      <c r="I84" s="253">
        <f t="shared" si="20"/>
        <v>1000</v>
      </c>
      <c r="J84" s="253">
        <f t="shared" si="20"/>
        <v>1000</v>
      </c>
      <c r="K84" s="253">
        <f t="shared" si="20"/>
        <v>1000</v>
      </c>
      <c r="L84" s="253">
        <f t="shared" si="20"/>
        <v>1000</v>
      </c>
      <c r="M84" s="253">
        <f t="shared" si="20"/>
        <v>1000</v>
      </c>
      <c r="N84" s="253">
        <f t="shared" si="20"/>
        <v>1000</v>
      </c>
      <c r="O84" s="253">
        <f t="shared" ref="O84:O87" si="21">SUM(G84:N84)</f>
        <v>8000</v>
      </c>
    </row>
    <row r="85" spans="1:15" ht="22.8">
      <c r="A85" s="48"/>
      <c r="B85" s="65" t="s">
        <v>335</v>
      </c>
      <c r="C85" s="66" t="s">
        <v>271</v>
      </c>
      <c r="D85" s="66" t="s">
        <v>4</v>
      </c>
      <c r="E85" s="66" t="s">
        <v>0</v>
      </c>
      <c r="F85" s="67" t="s">
        <v>157</v>
      </c>
      <c r="G85" s="253">
        <f t="shared" si="20"/>
        <v>2000</v>
      </c>
      <c r="H85" s="253">
        <f t="shared" si="20"/>
        <v>2000</v>
      </c>
      <c r="I85" s="253">
        <f t="shared" si="20"/>
        <v>2000</v>
      </c>
      <c r="J85" s="253">
        <f t="shared" si="20"/>
        <v>2000</v>
      </c>
      <c r="K85" s="253">
        <f t="shared" si="20"/>
        <v>2000</v>
      </c>
      <c r="L85" s="253">
        <f t="shared" si="20"/>
        <v>2000</v>
      </c>
      <c r="M85" s="253">
        <f t="shared" si="20"/>
        <v>2000</v>
      </c>
      <c r="N85" s="253">
        <f t="shared" si="20"/>
        <v>2000</v>
      </c>
      <c r="O85" s="253">
        <f t="shared" si="21"/>
        <v>16000</v>
      </c>
    </row>
    <row r="86" spans="1:15" ht="22.8">
      <c r="A86" s="48"/>
      <c r="B86" s="65" t="s">
        <v>335</v>
      </c>
      <c r="C86" s="66" t="s">
        <v>272</v>
      </c>
      <c r="D86" s="66" t="s">
        <v>4</v>
      </c>
      <c r="E86" s="66" t="s">
        <v>0</v>
      </c>
      <c r="F86" s="67" t="s">
        <v>158</v>
      </c>
      <c r="G86" s="253">
        <f t="shared" si="20"/>
        <v>3000</v>
      </c>
      <c r="H86" s="253">
        <f t="shared" si="20"/>
        <v>3000</v>
      </c>
      <c r="I86" s="253">
        <f t="shared" si="20"/>
        <v>3000</v>
      </c>
      <c r="J86" s="253">
        <f t="shared" si="20"/>
        <v>3000</v>
      </c>
      <c r="K86" s="253">
        <f t="shared" si="20"/>
        <v>3000</v>
      </c>
      <c r="L86" s="253">
        <f t="shared" si="20"/>
        <v>3000</v>
      </c>
      <c r="M86" s="253">
        <f t="shared" si="20"/>
        <v>3000</v>
      </c>
      <c r="N86" s="253">
        <f t="shared" si="20"/>
        <v>3000</v>
      </c>
      <c r="O86" s="253">
        <f t="shared" si="21"/>
        <v>24000</v>
      </c>
    </row>
    <row r="87" spans="1:15" ht="22.8">
      <c r="A87" s="48"/>
      <c r="B87" s="65" t="s">
        <v>335</v>
      </c>
      <c r="C87" s="66" t="s">
        <v>273</v>
      </c>
      <c r="D87" s="66" t="s">
        <v>4</v>
      </c>
      <c r="E87" s="66" t="s">
        <v>0</v>
      </c>
      <c r="F87" s="67" t="s">
        <v>159</v>
      </c>
      <c r="G87" s="253">
        <f t="shared" si="20"/>
        <v>4000</v>
      </c>
      <c r="H87" s="253">
        <f t="shared" si="20"/>
        <v>4000</v>
      </c>
      <c r="I87" s="253">
        <f t="shared" si="20"/>
        <v>4000</v>
      </c>
      <c r="J87" s="253">
        <f t="shared" si="20"/>
        <v>4000</v>
      </c>
      <c r="K87" s="253">
        <f t="shared" si="20"/>
        <v>4000</v>
      </c>
      <c r="L87" s="253">
        <f t="shared" si="20"/>
        <v>4000</v>
      </c>
      <c r="M87" s="253">
        <f t="shared" si="20"/>
        <v>4000</v>
      </c>
      <c r="N87" s="253">
        <f t="shared" si="20"/>
        <v>4000</v>
      </c>
      <c r="O87" s="253">
        <f t="shared" si="21"/>
        <v>32000</v>
      </c>
    </row>
    <row r="88" spans="1:15" ht="22.8">
      <c r="A88" s="48"/>
      <c r="B88" s="65" t="s">
        <v>335</v>
      </c>
      <c r="C88" s="66" t="s">
        <v>274</v>
      </c>
      <c r="D88" s="66" t="s">
        <v>4</v>
      </c>
      <c r="E88" s="66" t="s">
        <v>0</v>
      </c>
      <c r="F88" s="90" t="s">
        <v>160</v>
      </c>
      <c r="G88" s="253">
        <f>G83-G84-G85+G86+G87</f>
        <v>14000</v>
      </c>
      <c r="H88" s="253">
        <f t="shared" ref="H88:O88" si="22">H83-H84-H85+H86+H87</f>
        <v>14000</v>
      </c>
      <c r="I88" s="253">
        <f t="shared" si="22"/>
        <v>14000</v>
      </c>
      <c r="J88" s="253">
        <f t="shared" si="22"/>
        <v>14000</v>
      </c>
      <c r="K88" s="253">
        <f t="shared" si="22"/>
        <v>13000</v>
      </c>
      <c r="L88" s="253">
        <f t="shared" si="22"/>
        <v>15000</v>
      </c>
      <c r="M88" s="253">
        <f t="shared" si="22"/>
        <v>14000</v>
      </c>
      <c r="N88" s="253">
        <f t="shared" si="22"/>
        <v>14000</v>
      </c>
      <c r="O88" s="253">
        <f t="shared" si="22"/>
        <v>112000</v>
      </c>
    </row>
    <row r="89" spans="1:15">
      <c r="A89" s="48"/>
      <c r="B89" s="65" t="s">
        <v>335</v>
      </c>
      <c r="C89" s="66" t="s">
        <v>266</v>
      </c>
      <c r="D89" s="66" t="s">
        <v>4</v>
      </c>
      <c r="E89" s="66" t="s">
        <v>0</v>
      </c>
      <c r="F89" s="90" t="s">
        <v>152</v>
      </c>
      <c r="G89" s="253">
        <f t="shared" ref="G89:O89" si="23">+G78+G88</f>
        <v>15000</v>
      </c>
      <c r="H89" s="253">
        <f t="shared" si="23"/>
        <v>16000</v>
      </c>
      <c r="I89" s="253">
        <f t="shared" si="23"/>
        <v>17000</v>
      </c>
      <c r="J89" s="253">
        <f t="shared" si="23"/>
        <v>18000</v>
      </c>
      <c r="K89" s="253">
        <f t="shared" si="23"/>
        <v>18000</v>
      </c>
      <c r="L89" s="253">
        <f t="shared" si="23"/>
        <v>21000</v>
      </c>
      <c r="M89" s="253">
        <f t="shared" si="23"/>
        <v>21000</v>
      </c>
      <c r="N89" s="253">
        <f t="shared" si="23"/>
        <v>22000</v>
      </c>
      <c r="O89" s="253">
        <f t="shared" si="23"/>
        <v>148000</v>
      </c>
    </row>
    <row r="90" spans="1:15" ht="15" thickBot="1">
      <c r="B90" s="69"/>
      <c r="C90" s="70"/>
      <c r="D90" s="70"/>
      <c r="E90" s="70"/>
      <c r="F90" s="70"/>
      <c r="G90" s="71"/>
      <c r="H90" s="71"/>
      <c r="I90" s="71"/>
      <c r="J90" s="71"/>
      <c r="K90" s="71"/>
      <c r="L90" s="71"/>
      <c r="M90" s="71"/>
      <c r="N90" s="71"/>
      <c r="O90" s="72"/>
    </row>
    <row r="91" spans="1:15" s="73" customFormat="1" ht="30" customHeight="1">
      <c r="B91" s="74"/>
      <c r="C91" s="75"/>
      <c r="D91" s="75"/>
      <c r="E91" s="75"/>
      <c r="F91" s="75"/>
      <c r="G91" s="277" t="s">
        <v>18</v>
      </c>
      <c r="H91" s="278"/>
      <c r="I91" s="278"/>
      <c r="J91" s="278"/>
      <c r="K91" s="278"/>
      <c r="L91" s="278"/>
      <c r="M91" s="278"/>
      <c r="N91" s="278"/>
      <c r="O91" s="279"/>
    </row>
    <row r="92" spans="1:15" ht="126" customHeight="1">
      <c r="A92" s="48"/>
      <c r="B92" s="49"/>
      <c r="C92" s="50"/>
      <c r="D92" s="50"/>
      <c r="E92" s="51"/>
      <c r="F92" s="51" t="s">
        <v>40</v>
      </c>
      <c r="G92" s="52" t="s">
        <v>31</v>
      </c>
      <c r="H92" s="52" t="s">
        <v>32</v>
      </c>
      <c r="I92" s="52" t="s">
        <v>33</v>
      </c>
      <c r="J92" s="52" t="s">
        <v>34</v>
      </c>
      <c r="K92" s="52" t="s">
        <v>35</v>
      </c>
      <c r="L92" s="52" t="s">
        <v>36</v>
      </c>
      <c r="M92" s="52" t="s">
        <v>37</v>
      </c>
      <c r="N92" s="52" t="s">
        <v>38</v>
      </c>
      <c r="O92" s="53" t="s">
        <v>39</v>
      </c>
    </row>
    <row r="93" spans="1:15">
      <c r="B93" s="60"/>
      <c r="C93" s="61"/>
      <c r="D93" s="62"/>
      <c r="E93" s="62"/>
      <c r="F93" s="63"/>
      <c r="G93" s="62"/>
      <c r="H93" s="62"/>
      <c r="I93" s="62"/>
      <c r="J93" s="62"/>
      <c r="K93" s="62"/>
      <c r="L93" s="62"/>
      <c r="M93" s="62"/>
      <c r="N93" s="62"/>
      <c r="O93" s="64"/>
    </row>
    <row r="94" spans="1:15" ht="22.8">
      <c r="A94" s="48"/>
      <c r="B94" s="65" t="s">
        <v>335</v>
      </c>
      <c r="C94" s="66" t="s">
        <v>256</v>
      </c>
      <c r="D94" s="66" t="s">
        <v>5</v>
      </c>
      <c r="E94" s="66" t="s">
        <v>0</v>
      </c>
      <c r="F94" s="67" t="s">
        <v>142</v>
      </c>
      <c r="G94" s="267" t="s">
        <v>351</v>
      </c>
      <c r="H94" s="267" t="s">
        <v>352</v>
      </c>
      <c r="I94" s="267" t="s">
        <v>353</v>
      </c>
      <c r="J94" s="267" t="s">
        <v>354</v>
      </c>
      <c r="K94" s="267" t="s">
        <v>355</v>
      </c>
      <c r="L94" s="267" t="s">
        <v>356</v>
      </c>
      <c r="M94" s="267" t="s">
        <v>369</v>
      </c>
      <c r="N94" s="267" t="s">
        <v>370</v>
      </c>
      <c r="O94" s="217"/>
    </row>
    <row r="95" spans="1:15" ht="22.8">
      <c r="A95" s="48"/>
      <c r="B95" s="65" t="s">
        <v>335</v>
      </c>
      <c r="C95" s="66" t="s">
        <v>257</v>
      </c>
      <c r="D95" s="66" t="s">
        <v>5</v>
      </c>
      <c r="E95" s="66" t="s">
        <v>0</v>
      </c>
      <c r="F95" s="67" t="s">
        <v>143</v>
      </c>
      <c r="G95" s="267" t="s">
        <v>372</v>
      </c>
      <c r="H95" s="267" t="s">
        <v>373</v>
      </c>
      <c r="I95" s="267" t="s">
        <v>357</v>
      </c>
      <c r="J95" s="267" t="s">
        <v>358</v>
      </c>
      <c r="K95" s="267" t="s">
        <v>359</v>
      </c>
      <c r="L95" s="267" t="s">
        <v>360</v>
      </c>
      <c r="M95" s="267" t="s">
        <v>361</v>
      </c>
      <c r="N95" s="267" t="s">
        <v>362</v>
      </c>
      <c r="O95" s="217"/>
    </row>
    <row r="96" spans="1:15" ht="22.8">
      <c r="A96" s="48"/>
      <c r="B96" s="65" t="s">
        <v>335</v>
      </c>
      <c r="C96" s="66" t="s">
        <v>258</v>
      </c>
      <c r="D96" s="66" t="s">
        <v>5</v>
      </c>
      <c r="E96" s="66" t="s">
        <v>0</v>
      </c>
      <c r="F96" s="67" t="s">
        <v>144</v>
      </c>
      <c r="G96" s="267" t="s">
        <v>364</v>
      </c>
      <c r="H96" s="267" t="s">
        <v>365</v>
      </c>
      <c r="I96" s="267" t="s">
        <v>366</v>
      </c>
      <c r="J96" s="267" t="s">
        <v>367</v>
      </c>
      <c r="K96" s="267" t="s">
        <v>368</v>
      </c>
      <c r="L96" s="267" t="s">
        <v>374</v>
      </c>
      <c r="M96" s="267" t="s">
        <v>375</v>
      </c>
      <c r="N96" s="267" t="s">
        <v>376</v>
      </c>
      <c r="O96" s="217"/>
    </row>
    <row r="97" spans="1:15" ht="22.8">
      <c r="A97" s="48"/>
      <c r="B97" s="65" t="s">
        <v>335</v>
      </c>
      <c r="C97" s="66" t="s">
        <v>259</v>
      </c>
      <c r="D97" s="66" t="s">
        <v>5</v>
      </c>
      <c r="E97" s="66" t="s">
        <v>0</v>
      </c>
      <c r="F97" s="67" t="s">
        <v>145</v>
      </c>
      <c r="G97" s="267" t="s">
        <v>352</v>
      </c>
      <c r="H97" s="267" t="s">
        <v>353</v>
      </c>
      <c r="I97" s="267" t="s">
        <v>354</v>
      </c>
      <c r="J97" s="267" t="s">
        <v>355</v>
      </c>
      <c r="K97" s="267" t="s">
        <v>356</v>
      </c>
      <c r="L97" s="267" t="s">
        <v>369</v>
      </c>
      <c r="M97" s="267" t="s">
        <v>370</v>
      </c>
      <c r="N97" s="267" t="s">
        <v>371</v>
      </c>
      <c r="O97" s="217"/>
    </row>
    <row r="98" spans="1:15">
      <c r="A98" s="48"/>
      <c r="B98" s="65" t="s">
        <v>335</v>
      </c>
      <c r="C98" s="66" t="s">
        <v>260</v>
      </c>
      <c r="D98" s="66" t="s">
        <v>5</v>
      </c>
      <c r="E98" s="66" t="s">
        <v>0</v>
      </c>
      <c r="F98" s="67" t="s">
        <v>146</v>
      </c>
      <c r="G98" s="269">
        <f>G41</f>
        <v>1000</v>
      </c>
      <c r="H98" s="269">
        <f t="shared" ref="H98:N98" si="24">H41</f>
        <v>2000</v>
      </c>
      <c r="I98" s="269">
        <f t="shared" si="24"/>
        <v>3000</v>
      </c>
      <c r="J98" s="269">
        <f t="shared" si="24"/>
        <v>4000</v>
      </c>
      <c r="K98" s="269">
        <f t="shared" si="24"/>
        <v>5000</v>
      </c>
      <c r="L98" s="269">
        <f t="shared" si="24"/>
        <v>6000</v>
      </c>
      <c r="M98" s="269">
        <f t="shared" si="24"/>
        <v>7000</v>
      </c>
      <c r="N98" s="269">
        <f t="shared" si="24"/>
        <v>8000</v>
      </c>
      <c r="O98" s="253">
        <f>SUM(G98:N98)</f>
        <v>36000</v>
      </c>
    </row>
    <row r="99" spans="1:15" ht="22.8">
      <c r="A99" s="48"/>
      <c r="B99" s="65" t="s">
        <v>335</v>
      </c>
      <c r="C99" s="66" t="s">
        <v>261</v>
      </c>
      <c r="D99" s="66" t="s">
        <v>5</v>
      </c>
      <c r="E99" s="66" t="s">
        <v>0</v>
      </c>
      <c r="F99" s="67" t="s">
        <v>147</v>
      </c>
      <c r="G99" s="269">
        <f t="shared" ref="G99:N99" si="25">G42</f>
        <v>9000</v>
      </c>
      <c r="H99" s="269">
        <f t="shared" si="25"/>
        <v>1000</v>
      </c>
      <c r="I99" s="269">
        <f t="shared" si="25"/>
        <v>2000</v>
      </c>
      <c r="J99" s="269">
        <f t="shared" si="25"/>
        <v>3000</v>
      </c>
      <c r="K99" s="269">
        <f t="shared" si="25"/>
        <v>4000</v>
      </c>
      <c r="L99" s="269">
        <f t="shared" si="25"/>
        <v>5000</v>
      </c>
      <c r="M99" s="269">
        <f t="shared" si="25"/>
        <v>6000</v>
      </c>
      <c r="N99" s="269">
        <f t="shared" si="25"/>
        <v>7000</v>
      </c>
      <c r="O99" s="253">
        <f>SUM(G99:N99)</f>
        <v>37000</v>
      </c>
    </row>
    <row r="100" spans="1:15" ht="22.8">
      <c r="A100" s="48"/>
      <c r="B100" s="65" t="s">
        <v>335</v>
      </c>
      <c r="C100" s="66" t="s">
        <v>262</v>
      </c>
      <c r="D100" s="66" t="s">
        <v>5</v>
      </c>
      <c r="E100" s="66" t="s">
        <v>0</v>
      </c>
      <c r="F100" s="67" t="s">
        <v>148</v>
      </c>
      <c r="G100" s="267" t="s">
        <v>353</v>
      </c>
      <c r="H100" s="267" t="s">
        <v>354</v>
      </c>
      <c r="I100" s="267" t="s">
        <v>355</v>
      </c>
      <c r="J100" s="267" t="s">
        <v>356</v>
      </c>
      <c r="K100" s="267" t="s">
        <v>369</v>
      </c>
      <c r="L100" s="267" t="s">
        <v>370</v>
      </c>
      <c r="M100" s="267" t="s">
        <v>371</v>
      </c>
      <c r="N100" s="267" t="s">
        <v>372</v>
      </c>
      <c r="O100" s="217"/>
    </row>
    <row r="101" spans="1:15">
      <c r="A101" s="48"/>
      <c r="B101" s="65" t="s">
        <v>335</v>
      </c>
      <c r="C101" s="66" t="s">
        <v>263</v>
      </c>
      <c r="D101" s="66" t="s">
        <v>5</v>
      </c>
      <c r="E101" s="66" t="s">
        <v>0</v>
      </c>
      <c r="F101" s="67" t="s">
        <v>149</v>
      </c>
      <c r="G101" s="270">
        <f t="shared" ref="G101:N101" si="26">G44</f>
        <v>8000</v>
      </c>
      <c r="H101" s="270">
        <f t="shared" si="26"/>
        <v>9000</v>
      </c>
      <c r="I101" s="270">
        <f t="shared" si="26"/>
        <v>1000</v>
      </c>
      <c r="J101" s="270">
        <f t="shared" si="26"/>
        <v>2000</v>
      </c>
      <c r="K101" s="270">
        <f t="shared" si="26"/>
        <v>3000</v>
      </c>
      <c r="L101" s="270">
        <f t="shared" si="26"/>
        <v>4000</v>
      </c>
      <c r="M101" s="270">
        <f t="shared" si="26"/>
        <v>5000</v>
      </c>
      <c r="N101" s="270">
        <f t="shared" si="26"/>
        <v>6000</v>
      </c>
      <c r="O101" s="254">
        <f>SUM(G101:N101)</f>
        <v>38000</v>
      </c>
    </row>
    <row r="102" spans="1:15" ht="22.8">
      <c r="A102" s="48"/>
      <c r="B102" s="65" t="s">
        <v>335</v>
      </c>
      <c r="C102" s="66" t="s">
        <v>264</v>
      </c>
      <c r="D102" s="66" t="s">
        <v>5</v>
      </c>
      <c r="E102" s="66" t="s">
        <v>0</v>
      </c>
      <c r="F102" s="67" t="s">
        <v>150</v>
      </c>
      <c r="G102" s="267" t="s">
        <v>353</v>
      </c>
      <c r="H102" s="267" t="s">
        <v>354</v>
      </c>
      <c r="I102" s="267" t="s">
        <v>355</v>
      </c>
      <c r="J102" s="267" t="s">
        <v>356</v>
      </c>
      <c r="K102" s="267" t="s">
        <v>369</v>
      </c>
      <c r="L102" s="267" t="s">
        <v>370</v>
      </c>
      <c r="M102" s="267" t="s">
        <v>371</v>
      </c>
      <c r="N102" s="267" t="s">
        <v>372</v>
      </c>
      <c r="O102" s="217"/>
    </row>
    <row r="103" spans="1:15">
      <c r="A103" s="48"/>
      <c r="B103" s="65" t="s">
        <v>335</v>
      </c>
      <c r="C103" s="66" t="s">
        <v>265</v>
      </c>
      <c r="D103" s="66" t="s">
        <v>5</v>
      </c>
      <c r="E103" s="66" t="s">
        <v>0</v>
      </c>
      <c r="F103" s="67" t="s">
        <v>151</v>
      </c>
      <c r="G103" s="267" t="s">
        <v>353</v>
      </c>
      <c r="H103" s="267" t="s">
        <v>354</v>
      </c>
      <c r="I103" s="267" t="s">
        <v>355</v>
      </c>
      <c r="J103" s="267" t="s">
        <v>356</v>
      </c>
      <c r="K103" s="267" t="s">
        <v>369</v>
      </c>
      <c r="L103" s="267" t="s">
        <v>370</v>
      </c>
      <c r="M103" s="267" t="s">
        <v>371</v>
      </c>
      <c r="N103" s="267" t="s">
        <v>372</v>
      </c>
      <c r="O103" s="217"/>
    </row>
    <row r="104" spans="1:15" ht="22.8">
      <c r="A104" s="48"/>
      <c r="B104" s="65"/>
      <c r="C104" s="66"/>
      <c r="D104" s="66"/>
      <c r="E104" s="66" t="s">
        <v>0</v>
      </c>
      <c r="F104" s="90" t="s">
        <v>42</v>
      </c>
      <c r="G104" s="66"/>
      <c r="H104" s="66"/>
      <c r="I104" s="66"/>
      <c r="J104" s="66"/>
      <c r="K104" s="66"/>
      <c r="L104" s="66"/>
      <c r="M104" s="66"/>
      <c r="N104" s="66"/>
      <c r="O104" s="104"/>
    </row>
    <row r="105" spans="1:15" ht="22.8">
      <c r="A105" s="97" t="s">
        <v>17</v>
      </c>
      <c r="B105" s="65" t="s">
        <v>335</v>
      </c>
      <c r="C105" s="66" t="s">
        <v>266</v>
      </c>
      <c r="D105" s="66" t="s">
        <v>5</v>
      </c>
      <c r="E105" s="66" t="s">
        <v>0</v>
      </c>
      <c r="F105" s="90" t="s">
        <v>331</v>
      </c>
      <c r="G105" s="253">
        <f t="shared" ref="G105:N105" si="27">G48</f>
        <v>1000</v>
      </c>
      <c r="H105" s="253">
        <f t="shared" si="27"/>
        <v>2000</v>
      </c>
      <c r="I105" s="253">
        <f t="shared" si="27"/>
        <v>3000</v>
      </c>
      <c r="J105" s="253">
        <f t="shared" si="27"/>
        <v>4000</v>
      </c>
      <c r="K105" s="253">
        <f t="shared" si="27"/>
        <v>5000</v>
      </c>
      <c r="L105" s="253">
        <f t="shared" si="27"/>
        <v>6000</v>
      </c>
      <c r="M105" s="253">
        <f t="shared" si="27"/>
        <v>7000</v>
      </c>
      <c r="N105" s="253">
        <f t="shared" si="27"/>
        <v>8000</v>
      </c>
      <c r="O105" s="253">
        <f>SUM(G105:N105)</f>
        <v>36000</v>
      </c>
    </row>
    <row r="106" spans="1:15" ht="22.8">
      <c r="A106" s="48"/>
      <c r="B106" s="65"/>
      <c r="C106" s="66"/>
      <c r="D106" s="66"/>
      <c r="E106" s="66" t="s">
        <v>0</v>
      </c>
      <c r="F106" s="90" t="s">
        <v>43</v>
      </c>
      <c r="G106" s="66"/>
      <c r="H106" s="66"/>
      <c r="I106" s="66"/>
      <c r="J106" s="66"/>
      <c r="K106" s="66"/>
      <c r="L106" s="66"/>
      <c r="M106" s="66"/>
      <c r="N106" s="66"/>
      <c r="O106" s="104"/>
    </row>
    <row r="107" spans="1:15" ht="22.8">
      <c r="A107" s="48"/>
      <c r="B107" s="65"/>
      <c r="C107" s="66"/>
      <c r="D107" s="66"/>
      <c r="E107" s="66" t="s">
        <v>0</v>
      </c>
      <c r="F107" s="90" t="s">
        <v>44</v>
      </c>
      <c r="G107" s="66"/>
      <c r="H107" s="66"/>
      <c r="I107" s="66"/>
      <c r="J107" s="66"/>
      <c r="K107" s="66"/>
      <c r="L107" s="66"/>
      <c r="M107" s="66"/>
      <c r="N107" s="66"/>
      <c r="O107" s="104"/>
    </row>
    <row r="108" spans="1:15" ht="22.8">
      <c r="A108" s="48"/>
      <c r="B108" s="65" t="s">
        <v>335</v>
      </c>
      <c r="C108" s="66" t="s">
        <v>267</v>
      </c>
      <c r="D108" s="66" t="s">
        <v>5</v>
      </c>
      <c r="E108" s="66" t="s">
        <v>0</v>
      </c>
      <c r="F108" s="67" t="s">
        <v>153</v>
      </c>
      <c r="G108" s="253">
        <f t="shared" ref="G108:N109" si="28">G51</f>
        <v>1000</v>
      </c>
      <c r="H108" s="253">
        <f t="shared" si="28"/>
        <v>2000</v>
      </c>
      <c r="I108" s="253">
        <f t="shared" si="28"/>
        <v>3000</v>
      </c>
      <c r="J108" s="253">
        <f t="shared" si="28"/>
        <v>4000</v>
      </c>
      <c r="K108" s="253">
        <f t="shared" si="28"/>
        <v>5000</v>
      </c>
      <c r="L108" s="253">
        <f t="shared" si="28"/>
        <v>6000</v>
      </c>
      <c r="M108" s="253">
        <f t="shared" si="28"/>
        <v>7000</v>
      </c>
      <c r="N108" s="253">
        <f t="shared" si="28"/>
        <v>8000</v>
      </c>
      <c r="O108" s="253">
        <f t="shared" ref="O108:O109" si="29">SUM(G108:N108)</f>
        <v>36000</v>
      </c>
    </row>
    <row r="109" spans="1:15" ht="22.8">
      <c r="A109" s="48"/>
      <c r="B109" s="65" t="s">
        <v>335</v>
      </c>
      <c r="C109" s="66" t="s">
        <v>268</v>
      </c>
      <c r="D109" s="66" t="s">
        <v>5</v>
      </c>
      <c r="E109" s="66" t="s">
        <v>0</v>
      </c>
      <c r="F109" s="67" t="s">
        <v>154</v>
      </c>
      <c r="G109" s="253">
        <f t="shared" si="28"/>
        <v>9000</v>
      </c>
      <c r="H109" s="253">
        <f t="shared" si="28"/>
        <v>8000</v>
      </c>
      <c r="I109" s="253">
        <f t="shared" si="28"/>
        <v>7000</v>
      </c>
      <c r="J109" s="253">
        <f t="shared" si="28"/>
        <v>6000</v>
      </c>
      <c r="K109" s="253">
        <f t="shared" si="28"/>
        <v>4000</v>
      </c>
      <c r="L109" s="253">
        <f t="shared" si="28"/>
        <v>5000</v>
      </c>
      <c r="M109" s="253">
        <f t="shared" si="28"/>
        <v>3000</v>
      </c>
      <c r="N109" s="253">
        <f t="shared" si="28"/>
        <v>2000</v>
      </c>
      <c r="O109" s="253">
        <f t="shared" si="29"/>
        <v>44000</v>
      </c>
    </row>
    <row r="110" spans="1:15" ht="22.8">
      <c r="A110" s="48"/>
      <c r="B110" s="65" t="s">
        <v>335</v>
      </c>
      <c r="C110" s="66" t="s">
        <v>269</v>
      </c>
      <c r="D110" s="66" t="s">
        <v>5</v>
      </c>
      <c r="E110" s="66" t="s">
        <v>0</v>
      </c>
      <c r="F110" s="90" t="s">
        <v>155</v>
      </c>
      <c r="G110" s="253">
        <f>G108+G109</f>
        <v>10000</v>
      </c>
      <c r="H110" s="253">
        <f t="shared" ref="H110:O110" si="30">H108+H109</f>
        <v>10000</v>
      </c>
      <c r="I110" s="253">
        <f t="shared" si="30"/>
        <v>10000</v>
      </c>
      <c r="J110" s="253">
        <f t="shared" si="30"/>
        <v>10000</v>
      </c>
      <c r="K110" s="253">
        <f t="shared" si="30"/>
        <v>9000</v>
      </c>
      <c r="L110" s="253">
        <f t="shared" si="30"/>
        <v>11000</v>
      </c>
      <c r="M110" s="253">
        <f t="shared" si="30"/>
        <v>10000</v>
      </c>
      <c r="N110" s="253">
        <f t="shared" si="30"/>
        <v>10000</v>
      </c>
      <c r="O110" s="253">
        <f t="shared" si="30"/>
        <v>80000</v>
      </c>
    </row>
    <row r="111" spans="1:15" ht="22.8">
      <c r="A111" s="48"/>
      <c r="B111" s="65" t="s">
        <v>335</v>
      </c>
      <c r="C111" s="66" t="s">
        <v>270</v>
      </c>
      <c r="D111" s="66" t="s">
        <v>5</v>
      </c>
      <c r="E111" s="66" t="s">
        <v>0</v>
      </c>
      <c r="F111" s="67" t="s">
        <v>156</v>
      </c>
      <c r="G111" s="253">
        <f t="shared" ref="G111:N114" si="31">G54</f>
        <v>1000</v>
      </c>
      <c r="H111" s="253">
        <f t="shared" si="31"/>
        <v>1000</v>
      </c>
      <c r="I111" s="253">
        <f t="shared" si="31"/>
        <v>1000</v>
      </c>
      <c r="J111" s="253">
        <f t="shared" si="31"/>
        <v>1000</v>
      </c>
      <c r="K111" s="253">
        <f t="shared" si="31"/>
        <v>1000</v>
      </c>
      <c r="L111" s="253">
        <f t="shared" si="31"/>
        <v>1000</v>
      </c>
      <c r="M111" s="253">
        <f t="shared" si="31"/>
        <v>1000</v>
      </c>
      <c r="N111" s="253">
        <f t="shared" si="31"/>
        <v>1000</v>
      </c>
      <c r="O111" s="253">
        <f t="shared" ref="O111:O114" si="32">SUM(G111:N111)</f>
        <v>8000</v>
      </c>
    </row>
    <row r="112" spans="1:15" ht="22.8">
      <c r="A112" s="48"/>
      <c r="B112" s="65" t="s">
        <v>335</v>
      </c>
      <c r="C112" s="66" t="s">
        <v>271</v>
      </c>
      <c r="D112" s="66" t="s">
        <v>5</v>
      </c>
      <c r="E112" s="66" t="s">
        <v>0</v>
      </c>
      <c r="F112" s="67" t="s">
        <v>157</v>
      </c>
      <c r="G112" s="253">
        <f t="shared" si="31"/>
        <v>2000</v>
      </c>
      <c r="H112" s="253">
        <f t="shared" si="31"/>
        <v>2000</v>
      </c>
      <c r="I112" s="253">
        <f t="shared" si="31"/>
        <v>2000</v>
      </c>
      <c r="J112" s="253">
        <f t="shared" si="31"/>
        <v>2000</v>
      </c>
      <c r="K112" s="253">
        <f t="shared" si="31"/>
        <v>2000</v>
      </c>
      <c r="L112" s="253">
        <f t="shared" si="31"/>
        <v>2000</v>
      </c>
      <c r="M112" s="253">
        <f t="shared" si="31"/>
        <v>2000</v>
      </c>
      <c r="N112" s="253">
        <f t="shared" si="31"/>
        <v>2000</v>
      </c>
      <c r="O112" s="253">
        <f t="shared" si="32"/>
        <v>16000</v>
      </c>
    </row>
    <row r="113" spans="1:15" ht="22.8">
      <c r="A113" s="48"/>
      <c r="B113" s="65" t="s">
        <v>335</v>
      </c>
      <c r="C113" s="66" t="s">
        <v>272</v>
      </c>
      <c r="D113" s="66" t="s">
        <v>5</v>
      </c>
      <c r="E113" s="66" t="s">
        <v>0</v>
      </c>
      <c r="F113" s="67" t="s">
        <v>158</v>
      </c>
      <c r="G113" s="253">
        <f t="shared" si="31"/>
        <v>-3000</v>
      </c>
      <c r="H113" s="253">
        <f t="shared" si="31"/>
        <v>-3000</v>
      </c>
      <c r="I113" s="253">
        <f t="shared" si="31"/>
        <v>-3000</v>
      </c>
      <c r="J113" s="253">
        <f t="shared" si="31"/>
        <v>-3000</v>
      </c>
      <c r="K113" s="253">
        <f t="shared" si="31"/>
        <v>-3000</v>
      </c>
      <c r="L113" s="253">
        <f t="shared" si="31"/>
        <v>-3000</v>
      </c>
      <c r="M113" s="253">
        <f t="shared" si="31"/>
        <v>-3000</v>
      </c>
      <c r="N113" s="253">
        <f t="shared" si="31"/>
        <v>-3000</v>
      </c>
      <c r="O113" s="253">
        <f t="shared" si="32"/>
        <v>-24000</v>
      </c>
    </row>
    <row r="114" spans="1:15" ht="22.8">
      <c r="A114" s="48"/>
      <c r="B114" s="65" t="s">
        <v>335</v>
      </c>
      <c r="C114" s="66" t="s">
        <v>273</v>
      </c>
      <c r="D114" s="66" t="s">
        <v>5</v>
      </c>
      <c r="E114" s="66" t="s">
        <v>0</v>
      </c>
      <c r="F114" s="67" t="s">
        <v>159</v>
      </c>
      <c r="G114" s="253">
        <f t="shared" si="31"/>
        <v>-4000</v>
      </c>
      <c r="H114" s="253">
        <f t="shared" si="31"/>
        <v>-4000</v>
      </c>
      <c r="I114" s="253">
        <f t="shared" si="31"/>
        <v>-4000</v>
      </c>
      <c r="J114" s="253">
        <f t="shared" si="31"/>
        <v>-4000</v>
      </c>
      <c r="K114" s="253">
        <f t="shared" si="31"/>
        <v>-4000</v>
      </c>
      <c r="L114" s="253">
        <f t="shared" si="31"/>
        <v>-4000</v>
      </c>
      <c r="M114" s="253">
        <f t="shared" si="31"/>
        <v>-4000</v>
      </c>
      <c r="N114" s="253">
        <f t="shared" si="31"/>
        <v>-4000</v>
      </c>
      <c r="O114" s="253">
        <f t="shared" si="32"/>
        <v>-32000</v>
      </c>
    </row>
    <row r="115" spans="1:15" ht="22.8">
      <c r="A115" s="48"/>
      <c r="B115" s="65" t="s">
        <v>335</v>
      </c>
      <c r="C115" s="66" t="s">
        <v>274</v>
      </c>
      <c r="D115" s="66" t="s">
        <v>5</v>
      </c>
      <c r="E115" s="66" t="s">
        <v>0</v>
      </c>
      <c r="F115" s="90" t="s">
        <v>160</v>
      </c>
      <c r="G115" s="253">
        <f>G110-G111-G112+G113+G114</f>
        <v>0</v>
      </c>
      <c r="H115" s="253">
        <f t="shared" ref="H115" si="33">H110-H111-H112+H113+H114</f>
        <v>0</v>
      </c>
      <c r="I115" s="253">
        <f t="shared" ref="I115" si="34">I110-I111-I112+I113+I114</f>
        <v>0</v>
      </c>
      <c r="J115" s="253">
        <f t="shared" ref="J115" si="35">J110-J111-J112+J113+J114</f>
        <v>0</v>
      </c>
      <c r="K115" s="253">
        <f t="shared" ref="K115" si="36">K110-K111-K112+K113+K114</f>
        <v>-1000</v>
      </c>
      <c r="L115" s="253">
        <f t="shared" ref="L115" si="37">L110-L111-L112+L113+L114</f>
        <v>1000</v>
      </c>
      <c r="M115" s="253">
        <f t="shared" ref="M115" si="38">M110-M111-M112+M113+M114</f>
        <v>0</v>
      </c>
      <c r="N115" s="253">
        <f t="shared" ref="N115:O115" si="39">N110-N111-N112+N113+N114</f>
        <v>0</v>
      </c>
      <c r="O115" s="253">
        <f t="shared" si="39"/>
        <v>0</v>
      </c>
    </row>
    <row r="116" spans="1:15" ht="22.8">
      <c r="A116" s="48"/>
      <c r="B116" s="65" t="s">
        <v>335</v>
      </c>
      <c r="C116" s="66" t="s">
        <v>266</v>
      </c>
      <c r="D116" s="66" t="s">
        <v>5</v>
      </c>
      <c r="E116" s="66" t="s">
        <v>0</v>
      </c>
      <c r="F116" s="90" t="s">
        <v>330</v>
      </c>
      <c r="G116" s="253">
        <f t="shared" ref="G116:O116" si="40">+G105+G115</f>
        <v>1000</v>
      </c>
      <c r="H116" s="253">
        <f t="shared" si="40"/>
        <v>2000</v>
      </c>
      <c r="I116" s="253">
        <f t="shared" si="40"/>
        <v>3000</v>
      </c>
      <c r="J116" s="253">
        <f t="shared" si="40"/>
        <v>4000</v>
      </c>
      <c r="K116" s="253">
        <f t="shared" si="40"/>
        <v>4000</v>
      </c>
      <c r="L116" s="253">
        <f t="shared" si="40"/>
        <v>7000</v>
      </c>
      <c r="M116" s="253">
        <f t="shared" si="40"/>
        <v>7000</v>
      </c>
      <c r="N116" s="253">
        <f t="shared" si="40"/>
        <v>8000</v>
      </c>
      <c r="O116" s="253">
        <f t="shared" si="40"/>
        <v>36000</v>
      </c>
    </row>
    <row r="117" spans="1:15" ht="15" thickBot="1">
      <c r="B117" s="76"/>
      <c r="C117" s="77"/>
      <c r="D117" s="77"/>
      <c r="E117" s="77"/>
      <c r="F117" s="78"/>
      <c r="G117" s="77"/>
      <c r="H117" s="77"/>
      <c r="I117" s="77"/>
      <c r="J117" s="77"/>
      <c r="K117" s="77"/>
      <c r="L117" s="77"/>
      <c r="M117" s="77"/>
      <c r="N117" s="77"/>
      <c r="O117" s="79"/>
    </row>
    <row r="118" spans="1:15" ht="15" thickBot="1"/>
    <row r="119" spans="1:15" ht="47.25" customHeight="1">
      <c r="A119" s="45" t="s">
        <v>290</v>
      </c>
      <c r="B119" s="46"/>
      <c r="C119" s="47"/>
      <c r="D119" s="47"/>
      <c r="E119" s="47"/>
      <c r="F119" s="47"/>
      <c r="G119" s="277" t="s">
        <v>11</v>
      </c>
      <c r="H119" s="278"/>
      <c r="I119" s="278"/>
      <c r="J119" s="278"/>
      <c r="K119" s="278"/>
      <c r="L119" s="278"/>
      <c r="M119" s="278"/>
      <c r="N119" s="278"/>
      <c r="O119" s="279"/>
    </row>
    <row r="120" spans="1:15" ht="47.25" hidden="1" customHeight="1">
      <c r="A120" s="45" t="s">
        <v>289</v>
      </c>
      <c r="B120" s="74"/>
      <c r="C120" s="75"/>
      <c r="D120" s="75" t="s">
        <v>255</v>
      </c>
      <c r="E120" s="75" t="s">
        <v>291</v>
      </c>
      <c r="F120" s="75"/>
      <c r="G120" s="228" t="s">
        <v>182</v>
      </c>
      <c r="H120" s="229" t="s">
        <v>182</v>
      </c>
      <c r="I120" s="229" t="s">
        <v>182</v>
      </c>
      <c r="J120" s="229" t="s">
        <v>182</v>
      </c>
      <c r="K120" s="229" t="s">
        <v>182</v>
      </c>
      <c r="L120" s="229" t="s">
        <v>182</v>
      </c>
      <c r="M120" s="229" t="s">
        <v>182</v>
      </c>
      <c r="N120" s="229" t="s">
        <v>182</v>
      </c>
      <c r="O120" s="230" t="s">
        <v>182</v>
      </c>
    </row>
    <row r="121" spans="1:15" ht="135.75" customHeight="1">
      <c r="A121" s="48"/>
      <c r="B121" s="49"/>
      <c r="C121" s="50"/>
      <c r="D121" s="50"/>
      <c r="E121" s="51"/>
      <c r="F121" s="51" t="s">
        <v>40</v>
      </c>
      <c r="G121" s="52" t="s">
        <v>31</v>
      </c>
      <c r="H121" s="52" t="s">
        <v>32</v>
      </c>
      <c r="I121" s="52" t="s">
        <v>33</v>
      </c>
      <c r="J121" s="52" t="s">
        <v>34</v>
      </c>
      <c r="K121" s="52" t="s">
        <v>35</v>
      </c>
      <c r="L121" s="52" t="s">
        <v>36</v>
      </c>
      <c r="M121" s="52" t="s">
        <v>37</v>
      </c>
      <c r="N121" s="52" t="s">
        <v>38</v>
      </c>
      <c r="O121" s="53" t="s">
        <v>39</v>
      </c>
    </row>
    <row r="122" spans="1:15" ht="90" hidden="1" customHeight="1">
      <c r="A122" s="54" t="s">
        <v>289</v>
      </c>
      <c r="B122" s="55"/>
      <c r="C122" s="56"/>
      <c r="D122" s="57"/>
      <c r="E122" s="58" t="s">
        <v>301</v>
      </c>
      <c r="F122" s="59" t="s">
        <v>0</v>
      </c>
      <c r="G122" s="57" t="s">
        <v>302</v>
      </c>
      <c r="H122" s="57" t="s">
        <v>303</v>
      </c>
      <c r="I122" s="57" t="s">
        <v>304</v>
      </c>
      <c r="J122" s="57" t="s">
        <v>305</v>
      </c>
      <c r="K122" s="57" t="s">
        <v>306</v>
      </c>
      <c r="L122" s="57" t="s">
        <v>307</v>
      </c>
      <c r="M122" s="57" t="s">
        <v>308</v>
      </c>
      <c r="N122" s="57" t="s">
        <v>309</v>
      </c>
      <c r="O122" s="57" t="s">
        <v>310</v>
      </c>
    </row>
    <row r="123" spans="1:15">
      <c r="B123" s="60"/>
      <c r="C123" s="61"/>
      <c r="D123" s="62"/>
      <c r="E123" s="62"/>
      <c r="F123" s="63"/>
      <c r="G123" s="62"/>
      <c r="H123" s="62"/>
      <c r="I123" s="62"/>
      <c r="J123" s="62"/>
      <c r="K123" s="62"/>
      <c r="L123" s="62"/>
      <c r="M123" s="62"/>
      <c r="N123" s="62"/>
      <c r="O123" s="64"/>
    </row>
    <row r="124" spans="1:15" ht="22.8">
      <c r="A124" s="48"/>
      <c r="B124" s="65" t="s">
        <v>335</v>
      </c>
      <c r="C124" s="66" t="s">
        <v>256</v>
      </c>
      <c r="D124" s="66" t="s">
        <v>4</v>
      </c>
      <c r="E124" s="66" t="s">
        <v>0</v>
      </c>
      <c r="F124" s="67" t="s">
        <v>142</v>
      </c>
      <c r="G124" s="243"/>
      <c r="H124" s="243"/>
      <c r="I124" s="243"/>
      <c r="J124" s="243"/>
      <c r="K124" s="243"/>
      <c r="L124" s="243"/>
      <c r="M124" s="243"/>
      <c r="N124" s="243"/>
      <c r="O124" s="217"/>
    </row>
    <row r="125" spans="1:15" ht="22.8">
      <c r="A125" s="48"/>
      <c r="B125" s="65" t="s">
        <v>335</v>
      </c>
      <c r="C125" s="66" t="s">
        <v>257</v>
      </c>
      <c r="D125" s="66" t="s">
        <v>4</v>
      </c>
      <c r="E125" s="66" t="s">
        <v>0</v>
      </c>
      <c r="F125" s="67" t="s">
        <v>143</v>
      </c>
      <c r="G125" s="243"/>
      <c r="H125" s="243"/>
      <c r="I125" s="243"/>
      <c r="J125" s="243"/>
      <c r="K125" s="243"/>
      <c r="L125" s="243"/>
      <c r="M125" s="243"/>
      <c r="N125" s="243"/>
      <c r="O125" s="217"/>
    </row>
    <row r="126" spans="1:15" ht="22.8">
      <c r="A126" s="48"/>
      <c r="B126" s="65" t="s">
        <v>335</v>
      </c>
      <c r="C126" s="66" t="s">
        <v>258</v>
      </c>
      <c r="D126" s="66" t="s">
        <v>4</v>
      </c>
      <c r="E126" s="66" t="s">
        <v>0</v>
      </c>
      <c r="F126" s="67" t="s">
        <v>144</v>
      </c>
      <c r="G126" s="243"/>
      <c r="H126" s="243"/>
      <c r="I126" s="243"/>
      <c r="J126" s="243"/>
      <c r="K126" s="243"/>
      <c r="L126" s="243"/>
      <c r="M126" s="243"/>
      <c r="N126" s="243"/>
      <c r="O126" s="217"/>
    </row>
    <row r="127" spans="1:15" ht="22.8">
      <c r="A127" s="48"/>
      <c r="B127" s="65" t="s">
        <v>335</v>
      </c>
      <c r="C127" s="66" t="s">
        <v>259</v>
      </c>
      <c r="D127" s="66" t="s">
        <v>4</v>
      </c>
      <c r="E127" s="66" t="s">
        <v>0</v>
      </c>
      <c r="F127" s="67" t="s">
        <v>145</v>
      </c>
      <c r="G127" s="243"/>
      <c r="H127" s="243"/>
      <c r="I127" s="243"/>
      <c r="J127" s="243"/>
      <c r="K127" s="243"/>
      <c r="L127" s="243"/>
      <c r="M127" s="243"/>
      <c r="N127" s="243"/>
      <c r="O127" s="217"/>
    </row>
    <row r="128" spans="1:15">
      <c r="A128" s="48"/>
      <c r="B128" s="65" t="s">
        <v>335</v>
      </c>
      <c r="C128" s="66" t="s">
        <v>260</v>
      </c>
      <c r="D128" s="66" t="s">
        <v>4</v>
      </c>
      <c r="E128" s="66" t="s">
        <v>0</v>
      </c>
      <c r="F128" s="67" t="s">
        <v>146</v>
      </c>
      <c r="G128" s="243"/>
      <c r="H128" s="243"/>
      <c r="I128" s="243"/>
      <c r="J128" s="243"/>
      <c r="K128" s="243"/>
      <c r="L128" s="243"/>
      <c r="M128" s="243"/>
      <c r="N128" s="243"/>
      <c r="O128" s="253">
        <f>SUM(G128:N128)</f>
        <v>0</v>
      </c>
    </row>
    <row r="129" spans="1:15" ht="22.8">
      <c r="A129" s="48"/>
      <c r="B129" s="65" t="s">
        <v>335</v>
      </c>
      <c r="C129" s="66" t="s">
        <v>261</v>
      </c>
      <c r="D129" s="66" t="s">
        <v>4</v>
      </c>
      <c r="E129" s="66" t="s">
        <v>0</v>
      </c>
      <c r="F129" s="67" t="s">
        <v>147</v>
      </c>
      <c r="G129" s="243"/>
      <c r="H129" s="243"/>
      <c r="I129" s="243"/>
      <c r="J129" s="243"/>
      <c r="K129" s="243"/>
      <c r="L129" s="243"/>
      <c r="M129" s="243"/>
      <c r="N129" s="243"/>
      <c r="O129" s="253">
        <f>SUM(G129:N129)</f>
        <v>0</v>
      </c>
    </row>
    <row r="130" spans="1:15" ht="22.8">
      <c r="A130" s="48"/>
      <c r="B130" s="65" t="s">
        <v>335</v>
      </c>
      <c r="C130" s="66" t="s">
        <v>262</v>
      </c>
      <c r="D130" s="66" t="s">
        <v>4</v>
      </c>
      <c r="E130" s="66" t="s">
        <v>0</v>
      </c>
      <c r="F130" s="67" t="s">
        <v>148</v>
      </c>
      <c r="G130" s="243"/>
      <c r="H130" s="243"/>
      <c r="I130" s="243"/>
      <c r="J130" s="243"/>
      <c r="K130" s="243"/>
      <c r="L130" s="243"/>
      <c r="M130" s="243"/>
      <c r="N130" s="243"/>
      <c r="O130" s="217"/>
    </row>
    <row r="131" spans="1:15">
      <c r="A131" s="48"/>
      <c r="B131" s="65" t="s">
        <v>335</v>
      </c>
      <c r="C131" s="66" t="s">
        <v>263</v>
      </c>
      <c r="D131" s="66" t="s">
        <v>4</v>
      </c>
      <c r="E131" s="66" t="s">
        <v>0</v>
      </c>
      <c r="F131" s="67" t="s">
        <v>149</v>
      </c>
      <c r="G131" s="243"/>
      <c r="H131" s="243"/>
      <c r="I131" s="243"/>
      <c r="J131" s="243"/>
      <c r="K131" s="243"/>
      <c r="L131" s="243"/>
      <c r="M131" s="243"/>
      <c r="N131" s="243"/>
      <c r="O131" s="253">
        <f>SUM(G131:N131)</f>
        <v>0</v>
      </c>
    </row>
    <row r="132" spans="1:15" ht="22.8">
      <c r="A132" s="48"/>
      <c r="B132" s="65" t="s">
        <v>335</v>
      </c>
      <c r="C132" s="66" t="s">
        <v>264</v>
      </c>
      <c r="D132" s="66" t="s">
        <v>4</v>
      </c>
      <c r="E132" s="66" t="s">
        <v>0</v>
      </c>
      <c r="F132" s="67" t="s">
        <v>150</v>
      </c>
      <c r="G132" s="243"/>
      <c r="H132" s="243"/>
      <c r="I132" s="243"/>
      <c r="J132" s="243"/>
      <c r="K132" s="243"/>
      <c r="L132" s="243"/>
      <c r="M132" s="243"/>
      <c r="N132" s="243"/>
      <c r="O132" s="217"/>
    </row>
    <row r="133" spans="1:15">
      <c r="A133" s="48"/>
      <c r="B133" s="65" t="s">
        <v>335</v>
      </c>
      <c r="C133" s="66" t="s">
        <v>265</v>
      </c>
      <c r="D133" s="66" t="s">
        <v>4</v>
      </c>
      <c r="E133" s="66" t="s">
        <v>0</v>
      </c>
      <c r="F133" s="67" t="s">
        <v>151</v>
      </c>
      <c r="G133" s="243"/>
      <c r="H133" s="243"/>
      <c r="I133" s="243"/>
      <c r="J133" s="243"/>
      <c r="K133" s="243"/>
      <c r="L133" s="243"/>
      <c r="M133" s="243"/>
      <c r="N133" s="243"/>
      <c r="O133" s="217"/>
    </row>
    <row r="134" spans="1:15" ht="22.8">
      <c r="A134" s="48"/>
      <c r="B134" s="65"/>
      <c r="C134" s="66"/>
      <c r="D134" s="66"/>
      <c r="E134" s="66" t="s">
        <v>0</v>
      </c>
      <c r="F134" s="90" t="s">
        <v>42</v>
      </c>
      <c r="G134" s="66"/>
      <c r="H134" s="66"/>
      <c r="I134" s="66"/>
      <c r="J134" s="66"/>
      <c r="K134" s="66"/>
      <c r="L134" s="66"/>
      <c r="M134" s="66"/>
      <c r="N134" s="66"/>
      <c r="O134" s="104"/>
    </row>
    <row r="135" spans="1:15" ht="22.8">
      <c r="A135" s="97" t="s">
        <v>17</v>
      </c>
      <c r="B135" s="65" t="s">
        <v>335</v>
      </c>
      <c r="C135" s="66" t="s">
        <v>266</v>
      </c>
      <c r="D135" s="66" t="s">
        <v>4</v>
      </c>
      <c r="E135" s="66" t="s">
        <v>0</v>
      </c>
      <c r="F135" s="90" t="s">
        <v>330</v>
      </c>
      <c r="G135" s="243"/>
      <c r="H135" s="243"/>
      <c r="I135" s="243"/>
      <c r="J135" s="243"/>
      <c r="K135" s="243"/>
      <c r="L135" s="243"/>
      <c r="M135" s="243"/>
      <c r="N135" s="243"/>
      <c r="O135" s="253">
        <f>SUM(G135:N135)</f>
        <v>0</v>
      </c>
    </row>
    <row r="136" spans="1:15" ht="22.8">
      <c r="A136" s="48"/>
      <c r="B136" s="65"/>
      <c r="C136" s="66"/>
      <c r="D136" s="66"/>
      <c r="E136" s="66" t="s">
        <v>0</v>
      </c>
      <c r="F136" s="90" t="s">
        <v>43</v>
      </c>
      <c r="G136" s="66"/>
      <c r="H136" s="66"/>
      <c r="I136" s="66"/>
      <c r="J136" s="66"/>
      <c r="K136" s="66"/>
      <c r="L136" s="66"/>
      <c r="M136" s="66"/>
      <c r="N136" s="66"/>
      <c r="O136" s="104"/>
    </row>
    <row r="137" spans="1:15" ht="22.8">
      <c r="A137" s="48"/>
      <c r="B137" s="65"/>
      <c r="C137" s="66"/>
      <c r="D137" s="66"/>
      <c r="E137" s="66" t="s">
        <v>0</v>
      </c>
      <c r="F137" s="90" t="s">
        <v>44</v>
      </c>
      <c r="G137" s="66"/>
      <c r="H137" s="66"/>
      <c r="I137" s="66"/>
      <c r="J137" s="66"/>
      <c r="K137" s="66"/>
      <c r="L137" s="66"/>
      <c r="M137" s="66"/>
      <c r="N137" s="66"/>
      <c r="O137" s="104"/>
    </row>
    <row r="138" spans="1:15" ht="22.8">
      <c r="A138" s="48"/>
      <c r="B138" s="65" t="s">
        <v>335</v>
      </c>
      <c r="C138" s="66" t="s">
        <v>267</v>
      </c>
      <c r="D138" s="66" t="s">
        <v>4</v>
      </c>
      <c r="E138" s="66" t="s">
        <v>0</v>
      </c>
      <c r="F138" s="67" t="s">
        <v>153</v>
      </c>
      <c r="G138" s="243"/>
      <c r="H138" s="243"/>
      <c r="I138" s="243"/>
      <c r="J138" s="243"/>
      <c r="K138" s="243"/>
      <c r="L138" s="243"/>
      <c r="M138" s="243"/>
      <c r="N138" s="243"/>
      <c r="O138" s="253">
        <f t="shared" ref="O138:O139" si="41">SUM(G138:N138)</f>
        <v>0</v>
      </c>
    </row>
    <row r="139" spans="1:15" ht="22.8">
      <c r="A139" s="48"/>
      <c r="B139" s="65" t="s">
        <v>335</v>
      </c>
      <c r="C139" s="66" t="s">
        <v>268</v>
      </c>
      <c r="D139" s="66" t="s">
        <v>4</v>
      </c>
      <c r="E139" s="66" t="s">
        <v>0</v>
      </c>
      <c r="F139" s="67" t="s">
        <v>154</v>
      </c>
      <c r="G139" s="243"/>
      <c r="H139" s="243"/>
      <c r="I139" s="243"/>
      <c r="J139" s="243"/>
      <c r="K139" s="243"/>
      <c r="L139" s="243"/>
      <c r="M139" s="243"/>
      <c r="N139" s="243"/>
      <c r="O139" s="253">
        <f t="shared" si="41"/>
        <v>0</v>
      </c>
    </row>
    <row r="140" spans="1:15" ht="22.8">
      <c r="A140" s="48"/>
      <c r="B140" s="65" t="s">
        <v>335</v>
      </c>
      <c r="C140" s="66" t="s">
        <v>269</v>
      </c>
      <c r="D140" s="66" t="s">
        <v>4</v>
      </c>
      <c r="E140" s="66" t="s">
        <v>0</v>
      </c>
      <c r="F140" s="90" t="s">
        <v>155</v>
      </c>
      <c r="G140" s="253">
        <f>G138+G139</f>
        <v>0</v>
      </c>
      <c r="H140" s="253">
        <f t="shared" ref="H140:O140" si="42">H138+H139</f>
        <v>0</v>
      </c>
      <c r="I140" s="253">
        <f t="shared" si="42"/>
        <v>0</v>
      </c>
      <c r="J140" s="253">
        <f t="shared" si="42"/>
        <v>0</v>
      </c>
      <c r="K140" s="253">
        <f t="shared" si="42"/>
        <v>0</v>
      </c>
      <c r="L140" s="253">
        <f t="shared" si="42"/>
        <v>0</v>
      </c>
      <c r="M140" s="253">
        <f t="shared" si="42"/>
        <v>0</v>
      </c>
      <c r="N140" s="253">
        <f t="shared" si="42"/>
        <v>0</v>
      </c>
      <c r="O140" s="253">
        <f t="shared" si="42"/>
        <v>0</v>
      </c>
    </row>
    <row r="141" spans="1:15" ht="22.8">
      <c r="A141" s="48"/>
      <c r="B141" s="65" t="s">
        <v>335</v>
      </c>
      <c r="C141" s="66" t="s">
        <v>270</v>
      </c>
      <c r="D141" s="66" t="s">
        <v>4</v>
      </c>
      <c r="E141" s="66" t="s">
        <v>0</v>
      </c>
      <c r="F141" s="67" t="s">
        <v>156</v>
      </c>
      <c r="G141" s="243"/>
      <c r="H141" s="243"/>
      <c r="I141" s="243"/>
      <c r="J141" s="243"/>
      <c r="K141" s="243"/>
      <c r="L141" s="243"/>
      <c r="M141" s="243"/>
      <c r="N141" s="243"/>
      <c r="O141" s="253">
        <f t="shared" ref="O141:O144" si="43">SUM(G141:N141)</f>
        <v>0</v>
      </c>
    </row>
    <row r="142" spans="1:15" ht="22.8">
      <c r="A142" s="48"/>
      <c r="B142" s="65" t="s">
        <v>335</v>
      </c>
      <c r="C142" s="66" t="s">
        <v>271</v>
      </c>
      <c r="D142" s="66" t="s">
        <v>4</v>
      </c>
      <c r="E142" s="66" t="s">
        <v>0</v>
      </c>
      <c r="F142" s="67" t="s">
        <v>157</v>
      </c>
      <c r="G142" s="243"/>
      <c r="H142" s="243"/>
      <c r="I142" s="243"/>
      <c r="J142" s="243"/>
      <c r="K142" s="243"/>
      <c r="L142" s="243"/>
      <c r="M142" s="243"/>
      <c r="N142" s="243"/>
      <c r="O142" s="253">
        <f t="shared" si="43"/>
        <v>0</v>
      </c>
    </row>
    <row r="143" spans="1:15" ht="22.8">
      <c r="A143" s="48"/>
      <c r="B143" s="65" t="s">
        <v>335</v>
      </c>
      <c r="C143" s="66" t="s">
        <v>272</v>
      </c>
      <c r="D143" s="66" t="s">
        <v>4</v>
      </c>
      <c r="E143" s="66" t="s">
        <v>0</v>
      </c>
      <c r="F143" s="67" t="s">
        <v>158</v>
      </c>
      <c r="G143" s="243"/>
      <c r="H143" s="243"/>
      <c r="I143" s="243"/>
      <c r="J143" s="243"/>
      <c r="K143" s="243"/>
      <c r="L143" s="243"/>
      <c r="M143" s="243"/>
      <c r="N143" s="243"/>
      <c r="O143" s="253">
        <f t="shared" si="43"/>
        <v>0</v>
      </c>
    </row>
    <row r="144" spans="1:15" ht="22.8">
      <c r="A144" s="48"/>
      <c r="B144" s="65" t="s">
        <v>335</v>
      </c>
      <c r="C144" s="66" t="s">
        <v>273</v>
      </c>
      <c r="D144" s="66" t="s">
        <v>4</v>
      </c>
      <c r="E144" s="66" t="s">
        <v>0</v>
      </c>
      <c r="F144" s="67" t="s">
        <v>159</v>
      </c>
      <c r="G144" s="243"/>
      <c r="H144" s="243"/>
      <c r="I144" s="243"/>
      <c r="J144" s="243"/>
      <c r="K144" s="243"/>
      <c r="L144" s="243"/>
      <c r="M144" s="243"/>
      <c r="N144" s="243"/>
      <c r="O144" s="253">
        <f t="shared" si="43"/>
        <v>0</v>
      </c>
    </row>
    <row r="145" spans="1:15" ht="22.8">
      <c r="A145" s="48"/>
      <c r="B145" s="65" t="s">
        <v>335</v>
      </c>
      <c r="C145" s="66" t="s">
        <v>274</v>
      </c>
      <c r="D145" s="66" t="s">
        <v>4</v>
      </c>
      <c r="E145" s="66" t="s">
        <v>0</v>
      </c>
      <c r="F145" s="90" t="s">
        <v>160</v>
      </c>
      <c r="G145" s="253">
        <f>G140-G141-G142+G143+G144</f>
        <v>0</v>
      </c>
      <c r="H145" s="253">
        <f t="shared" ref="H145:O145" si="44">H140-H141-H142+H143+H144</f>
        <v>0</v>
      </c>
      <c r="I145" s="253">
        <f t="shared" si="44"/>
        <v>0</v>
      </c>
      <c r="J145" s="253">
        <f t="shared" si="44"/>
        <v>0</v>
      </c>
      <c r="K145" s="253">
        <f t="shared" si="44"/>
        <v>0</v>
      </c>
      <c r="L145" s="253">
        <f t="shared" si="44"/>
        <v>0</v>
      </c>
      <c r="M145" s="253">
        <f t="shared" si="44"/>
        <v>0</v>
      </c>
      <c r="N145" s="253">
        <f t="shared" si="44"/>
        <v>0</v>
      </c>
      <c r="O145" s="253">
        <f t="shared" si="44"/>
        <v>0</v>
      </c>
    </row>
    <row r="146" spans="1:15">
      <c r="A146" s="48"/>
      <c r="B146" s="65" t="s">
        <v>335</v>
      </c>
      <c r="C146" s="66" t="s">
        <v>266</v>
      </c>
      <c r="D146" s="66" t="s">
        <v>4</v>
      </c>
      <c r="E146" s="66" t="s">
        <v>0</v>
      </c>
      <c r="F146" s="90" t="s">
        <v>152</v>
      </c>
      <c r="G146" s="253">
        <f t="shared" ref="G146:O146" si="45">+G135+G145</f>
        <v>0</v>
      </c>
      <c r="H146" s="253">
        <f t="shared" si="45"/>
        <v>0</v>
      </c>
      <c r="I146" s="253">
        <f t="shared" si="45"/>
        <v>0</v>
      </c>
      <c r="J146" s="253">
        <f t="shared" si="45"/>
        <v>0</v>
      </c>
      <c r="K146" s="253">
        <f t="shared" si="45"/>
        <v>0</v>
      </c>
      <c r="L146" s="253">
        <f t="shared" si="45"/>
        <v>0</v>
      </c>
      <c r="M146" s="253">
        <f t="shared" si="45"/>
        <v>0</v>
      </c>
      <c r="N146" s="253">
        <f t="shared" si="45"/>
        <v>0</v>
      </c>
      <c r="O146" s="253">
        <f t="shared" si="45"/>
        <v>0</v>
      </c>
    </row>
    <row r="147" spans="1:15" ht="15" thickBot="1">
      <c r="B147" s="69"/>
      <c r="C147" s="70"/>
      <c r="D147" s="70"/>
      <c r="E147" s="70"/>
      <c r="F147" s="70"/>
      <c r="G147" s="71"/>
      <c r="H147" s="71"/>
      <c r="I147" s="71"/>
      <c r="J147" s="71"/>
      <c r="K147" s="71"/>
      <c r="L147" s="71"/>
      <c r="M147" s="71"/>
      <c r="N147" s="71"/>
      <c r="O147" s="72"/>
    </row>
    <row r="148" spans="1:15" s="73" customFormat="1" ht="46.5" customHeight="1">
      <c r="B148" s="74"/>
      <c r="C148" s="75"/>
      <c r="D148" s="75"/>
      <c r="E148" s="75"/>
      <c r="F148" s="75"/>
      <c r="G148" s="277" t="s">
        <v>11</v>
      </c>
      <c r="H148" s="278"/>
      <c r="I148" s="278"/>
      <c r="J148" s="278"/>
      <c r="K148" s="278"/>
      <c r="L148" s="278"/>
      <c r="M148" s="278"/>
      <c r="N148" s="278"/>
      <c r="O148" s="279"/>
    </row>
    <row r="149" spans="1:15" ht="135.75" customHeight="1">
      <c r="A149" s="48"/>
      <c r="B149" s="49"/>
      <c r="C149" s="50"/>
      <c r="D149" s="50"/>
      <c r="E149" s="51"/>
      <c r="F149" s="51" t="s">
        <v>40</v>
      </c>
      <c r="G149" s="52" t="s">
        <v>31</v>
      </c>
      <c r="H149" s="52" t="s">
        <v>32</v>
      </c>
      <c r="I149" s="52" t="s">
        <v>33</v>
      </c>
      <c r="J149" s="52" t="s">
        <v>34</v>
      </c>
      <c r="K149" s="52" t="s">
        <v>35</v>
      </c>
      <c r="L149" s="52" t="s">
        <v>36</v>
      </c>
      <c r="M149" s="52" t="s">
        <v>37</v>
      </c>
      <c r="N149" s="52" t="s">
        <v>38</v>
      </c>
      <c r="O149" s="53" t="s">
        <v>39</v>
      </c>
    </row>
    <row r="150" spans="1:15">
      <c r="B150" s="60"/>
      <c r="C150" s="61"/>
      <c r="D150" s="62"/>
      <c r="E150" s="62"/>
      <c r="F150" s="63"/>
      <c r="G150" s="62"/>
      <c r="H150" s="62"/>
      <c r="I150" s="62"/>
      <c r="J150" s="62"/>
      <c r="K150" s="62"/>
      <c r="L150" s="62"/>
      <c r="M150" s="62"/>
      <c r="N150" s="62"/>
      <c r="O150" s="64"/>
    </row>
    <row r="151" spans="1:15" ht="22.8">
      <c r="A151" s="48"/>
      <c r="B151" s="65" t="s">
        <v>335</v>
      </c>
      <c r="C151" s="66" t="s">
        <v>256</v>
      </c>
      <c r="D151" s="66" t="s">
        <v>5</v>
      </c>
      <c r="E151" s="66" t="s">
        <v>0</v>
      </c>
      <c r="F151" s="67" t="s">
        <v>142</v>
      </c>
      <c r="G151" s="243"/>
      <c r="H151" s="243"/>
      <c r="I151" s="243"/>
      <c r="J151" s="243"/>
      <c r="K151" s="243"/>
      <c r="L151" s="243"/>
      <c r="M151" s="243"/>
      <c r="N151" s="243"/>
      <c r="O151" s="217"/>
    </row>
    <row r="152" spans="1:15" ht="22.8">
      <c r="A152" s="48"/>
      <c r="B152" s="65" t="s">
        <v>335</v>
      </c>
      <c r="C152" s="66" t="s">
        <v>257</v>
      </c>
      <c r="D152" s="66" t="s">
        <v>5</v>
      </c>
      <c r="E152" s="66" t="s">
        <v>0</v>
      </c>
      <c r="F152" s="67" t="s">
        <v>143</v>
      </c>
      <c r="G152" s="243"/>
      <c r="H152" s="243"/>
      <c r="I152" s="243"/>
      <c r="J152" s="243"/>
      <c r="K152" s="243"/>
      <c r="L152" s="243"/>
      <c r="M152" s="243"/>
      <c r="N152" s="243"/>
      <c r="O152" s="217"/>
    </row>
    <row r="153" spans="1:15" ht="22.8">
      <c r="A153" s="48"/>
      <c r="B153" s="65" t="s">
        <v>335</v>
      </c>
      <c r="C153" s="66" t="s">
        <v>258</v>
      </c>
      <c r="D153" s="66" t="s">
        <v>5</v>
      </c>
      <c r="E153" s="66" t="s">
        <v>0</v>
      </c>
      <c r="F153" s="67" t="s">
        <v>144</v>
      </c>
      <c r="G153" s="243"/>
      <c r="H153" s="243"/>
      <c r="I153" s="243"/>
      <c r="J153" s="243"/>
      <c r="K153" s="243"/>
      <c r="L153" s="243"/>
      <c r="M153" s="243"/>
      <c r="N153" s="243"/>
      <c r="O153" s="217"/>
    </row>
    <row r="154" spans="1:15" ht="22.8">
      <c r="A154" s="48"/>
      <c r="B154" s="65" t="s">
        <v>335</v>
      </c>
      <c r="C154" s="66" t="s">
        <v>259</v>
      </c>
      <c r="D154" s="66" t="s">
        <v>5</v>
      </c>
      <c r="E154" s="66" t="s">
        <v>0</v>
      </c>
      <c r="F154" s="67" t="s">
        <v>145</v>
      </c>
      <c r="G154" s="243"/>
      <c r="H154" s="243"/>
      <c r="I154" s="243"/>
      <c r="J154" s="243"/>
      <c r="K154" s="243"/>
      <c r="L154" s="243"/>
      <c r="M154" s="243"/>
      <c r="N154" s="243"/>
      <c r="O154" s="217"/>
    </row>
    <row r="155" spans="1:15">
      <c r="A155" s="48"/>
      <c r="B155" s="65" t="s">
        <v>335</v>
      </c>
      <c r="C155" s="66" t="s">
        <v>260</v>
      </c>
      <c r="D155" s="66" t="s">
        <v>5</v>
      </c>
      <c r="E155" s="66" t="s">
        <v>0</v>
      </c>
      <c r="F155" s="67" t="s">
        <v>146</v>
      </c>
      <c r="G155" s="243"/>
      <c r="H155" s="243"/>
      <c r="I155" s="243"/>
      <c r="J155" s="243"/>
      <c r="K155" s="243"/>
      <c r="L155" s="243"/>
      <c r="M155" s="243"/>
      <c r="N155" s="243"/>
      <c r="O155" s="253">
        <f>SUM(G155:N155)</f>
        <v>0</v>
      </c>
    </row>
    <row r="156" spans="1:15" ht="22.8">
      <c r="A156" s="48"/>
      <c r="B156" s="65" t="s">
        <v>335</v>
      </c>
      <c r="C156" s="66" t="s">
        <v>261</v>
      </c>
      <c r="D156" s="66" t="s">
        <v>5</v>
      </c>
      <c r="E156" s="66" t="s">
        <v>0</v>
      </c>
      <c r="F156" s="67" t="s">
        <v>147</v>
      </c>
      <c r="G156" s="243"/>
      <c r="H156" s="243"/>
      <c r="I156" s="243"/>
      <c r="J156" s="243"/>
      <c r="K156" s="243"/>
      <c r="L156" s="243"/>
      <c r="M156" s="243"/>
      <c r="N156" s="243"/>
      <c r="O156" s="253">
        <f>SUM(G156:N156)</f>
        <v>0</v>
      </c>
    </row>
    <row r="157" spans="1:15" ht="22.8">
      <c r="A157" s="48"/>
      <c r="B157" s="65" t="s">
        <v>335</v>
      </c>
      <c r="C157" s="66" t="s">
        <v>262</v>
      </c>
      <c r="D157" s="66" t="s">
        <v>5</v>
      </c>
      <c r="E157" s="66" t="s">
        <v>0</v>
      </c>
      <c r="F157" s="67" t="s">
        <v>148</v>
      </c>
      <c r="G157" s="243"/>
      <c r="H157" s="243"/>
      <c r="I157" s="243"/>
      <c r="J157" s="243"/>
      <c r="K157" s="243"/>
      <c r="L157" s="243"/>
      <c r="M157" s="243"/>
      <c r="N157" s="243"/>
      <c r="O157" s="217"/>
    </row>
    <row r="158" spans="1:15">
      <c r="A158" s="48"/>
      <c r="B158" s="65" t="s">
        <v>335</v>
      </c>
      <c r="C158" s="66" t="s">
        <v>263</v>
      </c>
      <c r="D158" s="66" t="s">
        <v>5</v>
      </c>
      <c r="E158" s="66" t="s">
        <v>0</v>
      </c>
      <c r="F158" s="67" t="s">
        <v>149</v>
      </c>
      <c r="G158" s="243"/>
      <c r="H158" s="243"/>
      <c r="I158" s="243"/>
      <c r="J158" s="243"/>
      <c r="K158" s="243"/>
      <c r="L158" s="243"/>
      <c r="M158" s="243"/>
      <c r="N158" s="243"/>
      <c r="O158" s="253">
        <f>SUM(G158:N158)</f>
        <v>0</v>
      </c>
    </row>
    <row r="159" spans="1:15" ht="22.8">
      <c r="A159" s="48"/>
      <c r="B159" s="65" t="s">
        <v>335</v>
      </c>
      <c r="C159" s="66" t="s">
        <v>264</v>
      </c>
      <c r="D159" s="66" t="s">
        <v>5</v>
      </c>
      <c r="E159" s="66" t="s">
        <v>0</v>
      </c>
      <c r="F159" s="67" t="s">
        <v>150</v>
      </c>
      <c r="G159" s="243"/>
      <c r="H159" s="243"/>
      <c r="I159" s="243"/>
      <c r="J159" s="243"/>
      <c r="K159" s="243"/>
      <c r="L159" s="243"/>
      <c r="M159" s="243"/>
      <c r="N159" s="243"/>
      <c r="O159" s="217"/>
    </row>
    <row r="160" spans="1:15">
      <c r="A160" s="48"/>
      <c r="B160" s="65" t="s">
        <v>335</v>
      </c>
      <c r="C160" s="66" t="s">
        <v>265</v>
      </c>
      <c r="D160" s="66" t="s">
        <v>5</v>
      </c>
      <c r="E160" s="66" t="s">
        <v>0</v>
      </c>
      <c r="F160" s="67" t="s">
        <v>151</v>
      </c>
      <c r="G160" s="243"/>
      <c r="H160" s="243"/>
      <c r="I160" s="243"/>
      <c r="J160" s="243"/>
      <c r="K160" s="243"/>
      <c r="L160" s="243"/>
      <c r="M160" s="243"/>
      <c r="N160" s="243"/>
      <c r="O160" s="217"/>
    </row>
    <row r="161" spans="1:15" ht="22.8">
      <c r="A161" s="48"/>
      <c r="B161" s="65"/>
      <c r="C161" s="66"/>
      <c r="D161" s="66"/>
      <c r="E161" s="66" t="s">
        <v>0</v>
      </c>
      <c r="F161" s="90" t="s">
        <v>42</v>
      </c>
      <c r="G161" s="66"/>
      <c r="H161" s="66"/>
      <c r="I161" s="66"/>
      <c r="J161" s="66"/>
      <c r="K161" s="66"/>
      <c r="L161" s="66"/>
      <c r="M161" s="66"/>
      <c r="N161" s="66"/>
      <c r="O161" s="104"/>
    </row>
    <row r="162" spans="1:15" ht="22.8">
      <c r="A162" s="97" t="s">
        <v>17</v>
      </c>
      <c r="B162" s="65" t="s">
        <v>335</v>
      </c>
      <c r="C162" s="66" t="s">
        <v>266</v>
      </c>
      <c r="D162" s="66" t="s">
        <v>5</v>
      </c>
      <c r="E162" s="66" t="s">
        <v>0</v>
      </c>
      <c r="F162" s="90" t="s">
        <v>331</v>
      </c>
      <c r="G162" s="243"/>
      <c r="H162" s="243"/>
      <c r="I162" s="243"/>
      <c r="J162" s="243"/>
      <c r="K162" s="243"/>
      <c r="L162" s="243"/>
      <c r="M162" s="243"/>
      <c r="N162" s="243"/>
      <c r="O162" s="253">
        <f>SUM(G162:N162)</f>
        <v>0</v>
      </c>
    </row>
    <row r="163" spans="1:15" ht="22.8">
      <c r="A163" s="48"/>
      <c r="B163" s="65"/>
      <c r="C163" s="66"/>
      <c r="D163" s="66"/>
      <c r="E163" s="66" t="s">
        <v>0</v>
      </c>
      <c r="F163" s="90" t="s">
        <v>43</v>
      </c>
      <c r="G163" s="66"/>
      <c r="H163" s="66"/>
      <c r="I163" s="66"/>
      <c r="J163" s="66"/>
      <c r="K163" s="66"/>
      <c r="L163" s="66"/>
      <c r="M163" s="66"/>
      <c r="N163" s="66"/>
      <c r="O163" s="104"/>
    </row>
    <row r="164" spans="1:15" ht="22.8">
      <c r="A164" s="48"/>
      <c r="B164" s="65"/>
      <c r="C164" s="66"/>
      <c r="D164" s="66"/>
      <c r="E164" s="66" t="s">
        <v>0</v>
      </c>
      <c r="F164" s="90" t="s">
        <v>44</v>
      </c>
      <c r="G164" s="66"/>
      <c r="H164" s="66"/>
      <c r="I164" s="66"/>
      <c r="J164" s="66"/>
      <c r="K164" s="66"/>
      <c r="L164" s="66"/>
      <c r="M164" s="66"/>
      <c r="N164" s="66"/>
      <c r="O164" s="104"/>
    </row>
    <row r="165" spans="1:15" ht="22.8">
      <c r="A165" s="48"/>
      <c r="B165" s="65" t="s">
        <v>335</v>
      </c>
      <c r="C165" s="66" t="s">
        <v>267</v>
      </c>
      <c r="D165" s="66" t="s">
        <v>5</v>
      </c>
      <c r="E165" s="66" t="s">
        <v>0</v>
      </c>
      <c r="F165" s="67" t="s">
        <v>153</v>
      </c>
      <c r="G165" s="243"/>
      <c r="H165" s="243"/>
      <c r="I165" s="243"/>
      <c r="J165" s="243"/>
      <c r="K165" s="243"/>
      <c r="L165" s="243"/>
      <c r="M165" s="243"/>
      <c r="N165" s="243"/>
      <c r="O165" s="253">
        <f t="shared" ref="O165:O166" si="46">SUM(G165:N165)</f>
        <v>0</v>
      </c>
    </row>
    <row r="166" spans="1:15" ht="22.8">
      <c r="A166" s="48"/>
      <c r="B166" s="65" t="s">
        <v>335</v>
      </c>
      <c r="C166" s="66" t="s">
        <v>268</v>
      </c>
      <c r="D166" s="66" t="s">
        <v>5</v>
      </c>
      <c r="E166" s="66" t="s">
        <v>0</v>
      </c>
      <c r="F166" s="67" t="s">
        <v>154</v>
      </c>
      <c r="G166" s="243"/>
      <c r="H166" s="243"/>
      <c r="I166" s="243"/>
      <c r="J166" s="243"/>
      <c r="K166" s="243"/>
      <c r="L166" s="243"/>
      <c r="M166" s="243"/>
      <c r="N166" s="243"/>
      <c r="O166" s="253">
        <f t="shared" si="46"/>
        <v>0</v>
      </c>
    </row>
    <row r="167" spans="1:15" ht="22.8">
      <c r="A167" s="48"/>
      <c r="B167" s="65" t="s">
        <v>335</v>
      </c>
      <c r="C167" s="66" t="s">
        <v>269</v>
      </c>
      <c r="D167" s="66" t="s">
        <v>5</v>
      </c>
      <c r="E167" s="66" t="s">
        <v>0</v>
      </c>
      <c r="F167" s="90" t="s">
        <v>155</v>
      </c>
      <c r="G167" s="253">
        <f>G165+G166</f>
        <v>0</v>
      </c>
      <c r="H167" s="253">
        <f t="shared" ref="H167:N167" si="47">H165+H166</f>
        <v>0</v>
      </c>
      <c r="I167" s="253">
        <f t="shared" si="47"/>
        <v>0</v>
      </c>
      <c r="J167" s="253">
        <f t="shared" si="47"/>
        <v>0</v>
      </c>
      <c r="K167" s="253">
        <f t="shared" si="47"/>
        <v>0</v>
      </c>
      <c r="L167" s="253">
        <f t="shared" si="47"/>
        <v>0</v>
      </c>
      <c r="M167" s="253">
        <f t="shared" si="47"/>
        <v>0</v>
      </c>
      <c r="N167" s="253">
        <f t="shared" si="47"/>
        <v>0</v>
      </c>
      <c r="O167" s="253">
        <f t="shared" ref="O167" si="48">O165+O166</f>
        <v>0</v>
      </c>
    </row>
    <row r="168" spans="1:15" ht="22.8">
      <c r="A168" s="48"/>
      <c r="B168" s="65" t="s">
        <v>335</v>
      </c>
      <c r="C168" s="66" t="s">
        <v>270</v>
      </c>
      <c r="D168" s="66" t="s">
        <v>5</v>
      </c>
      <c r="E168" s="66" t="s">
        <v>0</v>
      </c>
      <c r="F168" s="67" t="s">
        <v>156</v>
      </c>
      <c r="G168" s="243"/>
      <c r="H168" s="243"/>
      <c r="I168" s="243"/>
      <c r="J168" s="243"/>
      <c r="K168" s="243"/>
      <c r="L168" s="243"/>
      <c r="M168" s="243"/>
      <c r="N168" s="243"/>
      <c r="O168" s="253">
        <f t="shared" ref="O168:O171" si="49">SUM(G168:N168)</f>
        <v>0</v>
      </c>
    </row>
    <row r="169" spans="1:15" ht="22.8">
      <c r="A169" s="48"/>
      <c r="B169" s="65" t="s">
        <v>335</v>
      </c>
      <c r="C169" s="66" t="s">
        <v>271</v>
      </c>
      <c r="D169" s="66" t="s">
        <v>5</v>
      </c>
      <c r="E169" s="66" t="s">
        <v>0</v>
      </c>
      <c r="F169" s="67" t="s">
        <v>157</v>
      </c>
      <c r="G169" s="243"/>
      <c r="H169" s="243"/>
      <c r="I169" s="243"/>
      <c r="J169" s="243"/>
      <c r="K169" s="243"/>
      <c r="L169" s="243"/>
      <c r="M169" s="243"/>
      <c r="N169" s="243"/>
      <c r="O169" s="253">
        <f t="shared" si="49"/>
        <v>0</v>
      </c>
    </row>
    <row r="170" spans="1:15" ht="22.8">
      <c r="A170" s="48"/>
      <c r="B170" s="65" t="s">
        <v>335</v>
      </c>
      <c r="C170" s="66" t="s">
        <v>272</v>
      </c>
      <c r="D170" s="66" t="s">
        <v>5</v>
      </c>
      <c r="E170" s="66" t="s">
        <v>0</v>
      </c>
      <c r="F170" s="67" t="s">
        <v>158</v>
      </c>
      <c r="G170" s="243"/>
      <c r="H170" s="243"/>
      <c r="I170" s="243"/>
      <c r="J170" s="243"/>
      <c r="K170" s="243"/>
      <c r="L170" s="243"/>
      <c r="M170" s="243"/>
      <c r="N170" s="243"/>
      <c r="O170" s="253">
        <f t="shared" si="49"/>
        <v>0</v>
      </c>
    </row>
    <row r="171" spans="1:15" ht="22.8">
      <c r="A171" s="48"/>
      <c r="B171" s="65" t="s">
        <v>335</v>
      </c>
      <c r="C171" s="66" t="s">
        <v>273</v>
      </c>
      <c r="D171" s="66" t="s">
        <v>5</v>
      </c>
      <c r="E171" s="66" t="s">
        <v>0</v>
      </c>
      <c r="F171" s="67" t="s">
        <v>159</v>
      </c>
      <c r="G171" s="243"/>
      <c r="H171" s="243"/>
      <c r="I171" s="243"/>
      <c r="J171" s="243"/>
      <c r="K171" s="243"/>
      <c r="L171" s="243"/>
      <c r="M171" s="243"/>
      <c r="N171" s="243"/>
      <c r="O171" s="253">
        <f t="shared" si="49"/>
        <v>0</v>
      </c>
    </row>
    <row r="172" spans="1:15" ht="22.8">
      <c r="A172" s="48"/>
      <c r="B172" s="65" t="s">
        <v>335</v>
      </c>
      <c r="C172" s="66" t="s">
        <v>274</v>
      </c>
      <c r="D172" s="66" t="s">
        <v>5</v>
      </c>
      <c r="E172" s="66" t="s">
        <v>0</v>
      </c>
      <c r="F172" s="90" t="s">
        <v>160</v>
      </c>
      <c r="G172" s="253">
        <f>G167-G168-G169+G170+G171</f>
        <v>0</v>
      </c>
      <c r="H172" s="253">
        <f t="shared" ref="H172:O172" si="50">H167-H168-H169+H170+H171</f>
        <v>0</v>
      </c>
      <c r="I172" s="253">
        <f t="shared" si="50"/>
        <v>0</v>
      </c>
      <c r="J172" s="253">
        <f t="shared" si="50"/>
        <v>0</v>
      </c>
      <c r="K172" s="253">
        <f t="shared" si="50"/>
        <v>0</v>
      </c>
      <c r="L172" s="253">
        <f t="shared" si="50"/>
        <v>0</v>
      </c>
      <c r="M172" s="253">
        <f t="shared" si="50"/>
        <v>0</v>
      </c>
      <c r="N172" s="253">
        <f t="shared" si="50"/>
        <v>0</v>
      </c>
      <c r="O172" s="253">
        <f t="shared" si="50"/>
        <v>0</v>
      </c>
    </row>
    <row r="173" spans="1:15" ht="22.8">
      <c r="A173" s="48"/>
      <c r="B173" s="65" t="s">
        <v>335</v>
      </c>
      <c r="C173" s="66" t="s">
        <v>266</v>
      </c>
      <c r="D173" s="66" t="s">
        <v>5</v>
      </c>
      <c r="E173" s="66" t="s">
        <v>0</v>
      </c>
      <c r="F173" s="90" t="s">
        <v>330</v>
      </c>
      <c r="G173" s="253">
        <f>+G162+G172</f>
        <v>0</v>
      </c>
      <c r="H173" s="253">
        <f t="shared" ref="H173:O173" si="51">+H162+H172</f>
        <v>0</v>
      </c>
      <c r="I173" s="253">
        <f t="shared" si="51"/>
        <v>0</v>
      </c>
      <c r="J173" s="253">
        <f t="shared" si="51"/>
        <v>0</v>
      </c>
      <c r="K173" s="253">
        <f t="shared" si="51"/>
        <v>0</v>
      </c>
      <c r="L173" s="253">
        <f t="shared" si="51"/>
        <v>0</v>
      </c>
      <c r="M173" s="253">
        <f t="shared" si="51"/>
        <v>0</v>
      </c>
      <c r="N173" s="253">
        <f t="shared" si="51"/>
        <v>0</v>
      </c>
      <c r="O173" s="253">
        <f t="shared" si="51"/>
        <v>0</v>
      </c>
    </row>
    <row r="174" spans="1:15" ht="15" thickBot="1">
      <c r="B174" s="76"/>
      <c r="C174" s="77"/>
      <c r="D174" s="77"/>
      <c r="E174" s="77"/>
      <c r="F174" s="78"/>
      <c r="G174" s="77"/>
      <c r="H174" s="77"/>
      <c r="I174" s="77"/>
      <c r="J174" s="77"/>
      <c r="K174" s="77"/>
      <c r="L174" s="77"/>
      <c r="M174" s="77"/>
      <c r="N174" s="77"/>
      <c r="O174" s="79"/>
    </row>
  </sheetData>
  <mergeCells count="7">
    <mergeCell ref="G5:O5"/>
    <mergeCell ref="B35:E36"/>
    <mergeCell ref="G35:O35"/>
    <mergeCell ref="G148:O148"/>
    <mergeCell ref="G62:O62"/>
    <mergeCell ref="G91:O91"/>
    <mergeCell ref="G119:O119"/>
  </mergeCells>
  <pageMargins left="0.7" right="0.7" top="0.75" bottom="0.75" header="0.3" footer="0.3"/>
  <pageSetup paperSize="9" orientation="portrait" horizontalDpi="300"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FFFF66"/>
  </sheetPr>
  <dimension ref="A1:N115"/>
  <sheetViews>
    <sheetView tabSelected="1" topLeftCell="A4" zoomScale="85" zoomScaleNormal="85" workbookViewId="0">
      <selection activeCell="J26" sqref="J26"/>
    </sheetView>
  </sheetViews>
  <sheetFormatPr baseColWidth="10" defaultRowHeight="14.4"/>
  <cols>
    <col min="1" max="1" width="2.6640625" customWidth="1"/>
    <col min="2" max="2" width="3.33203125" customWidth="1"/>
    <col min="3" max="3" width="2.6640625" customWidth="1"/>
    <col min="4" max="4" width="5.44140625" customWidth="1"/>
    <col min="5" max="5" width="2.6640625" customWidth="1"/>
    <col min="6" max="6" width="90.6640625" customWidth="1"/>
    <col min="7" max="7" width="13.6640625" customWidth="1"/>
    <col min="8" max="8" width="12.109375" customWidth="1"/>
    <col min="9" max="9" width="17.6640625" customWidth="1"/>
  </cols>
  <sheetData>
    <row r="1" spans="1:9" ht="54.9" customHeight="1" thickBot="1"/>
    <row r="2" spans="1:9" ht="177" customHeight="1" thickBot="1">
      <c r="F2" s="180" t="s">
        <v>64</v>
      </c>
    </row>
    <row r="3" spans="1:9" ht="15" customHeight="1">
      <c r="A3" s="45"/>
    </row>
    <row r="4" spans="1:9" ht="15" thickBot="1"/>
    <row r="5" spans="1:9" ht="21.75" customHeight="1">
      <c r="A5" s="184" t="s">
        <v>290</v>
      </c>
      <c r="B5" s="185"/>
      <c r="C5" s="185"/>
      <c r="D5" s="185"/>
      <c r="E5" s="185"/>
      <c r="F5" s="185"/>
      <c r="G5" s="290" t="s">
        <v>45</v>
      </c>
      <c r="H5" s="290"/>
      <c r="I5" s="291"/>
    </row>
    <row r="6" spans="1:9" ht="21.75" hidden="1" customHeight="1">
      <c r="A6" s="239" t="s">
        <v>289</v>
      </c>
      <c r="B6" s="226"/>
      <c r="C6" s="226"/>
      <c r="D6" s="226" t="s">
        <v>275</v>
      </c>
      <c r="E6" s="226" t="s">
        <v>291</v>
      </c>
      <c r="F6" s="226"/>
      <c r="G6" s="240" t="str">
        <f>CONCATENATE("IFRS3-ConcCambPlus_",SUBSTITUTE($G5," ",""),"_",ROW($G$5),"|",$G$5)</f>
        <v>IFRS3-ConcCambPlus_INGRESARDESCRIPCIÓNDECOLUMNAOPCIONAL_5|INGRESAR DESCRIPCIÓN DE COLUMNA OPCIONAL</v>
      </c>
      <c r="H6" s="240" t="str">
        <f>CONCATENATE("IFRS3-ConcCambPlus_",SUBSTITUTE($G5," ",""),"_",ROW($G$5),"|",$G$5)</f>
        <v>IFRS3-ConcCambPlus_INGRESARDESCRIPCIÓNDECOLUMNAOPCIONAL_5|INGRESAR DESCRIPCIÓN DE COLUMNA OPCIONAL</v>
      </c>
      <c r="I6" s="241" t="str">
        <f>CONCATENATE("IFRS3-ConcCambPlus_",SUBSTITUTE($G5," ",""),"_",ROW($G$5),"|",$G$5)</f>
        <v>IFRS3-ConcCambPlus_INGRESARDESCRIPCIÓNDECOLUMNAOPCIONAL_5|INGRESAR DESCRIPCIÓN DE COLUMNA OPCIONAL</v>
      </c>
    </row>
    <row r="7" spans="1:9" ht="63" customHeight="1">
      <c r="A7" s="186"/>
      <c r="B7" s="110"/>
      <c r="C7" s="110"/>
      <c r="D7" s="110"/>
      <c r="E7" s="110"/>
      <c r="F7" s="181" t="s">
        <v>46</v>
      </c>
      <c r="G7" s="111" t="s">
        <v>47</v>
      </c>
      <c r="H7" s="112" t="s">
        <v>173</v>
      </c>
      <c r="I7" s="187" t="s">
        <v>48</v>
      </c>
    </row>
    <row r="8" spans="1:9" ht="23.25" hidden="1" customHeight="1">
      <c r="A8" s="188" t="s">
        <v>289</v>
      </c>
      <c r="B8" s="114"/>
      <c r="C8" s="115"/>
      <c r="D8" s="116"/>
      <c r="E8" s="116" t="s">
        <v>311</v>
      </c>
      <c r="F8" s="117"/>
      <c r="G8" s="116" t="s">
        <v>312</v>
      </c>
      <c r="H8" s="116" t="s">
        <v>313</v>
      </c>
      <c r="I8" s="189" t="s">
        <v>314</v>
      </c>
    </row>
    <row r="9" spans="1:9">
      <c r="A9" s="190"/>
      <c r="B9" s="119"/>
      <c r="C9" s="61"/>
      <c r="D9" s="62"/>
      <c r="E9" s="62"/>
      <c r="F9" s="62"/>
      <c r="G9" s="62"/>
      <c r="H9" s="62"/>
      <c r="I9" s="191"/>
    </row>
    <row r="10" spans="1:9">
      <c r="A10" s="190"/>
      <c r="B10" s="218" t="s">
        <v>276</v>
      </c>
      <c r="C10" s="66" t="s">
        <v>287</v>
      </c>
      <c r="D10" s="62" t="s">
        <v>4</v>
      </c>
      <c r="E10" s="62" t="s">
        <v>0</v>
      </c>
      <c r="F10" s="105" t="s">
        <v>161</v>
      </c>
      <c r="G10" s="68"/>
      <c r="H10" s="68"/>
      <c r="I10" s="68"/>
    </row>
    <row r="11" spans="1:9">
      <c r="A11" s="190"/>
      <c r="B11" s="218" t="s">
        <v>276</v>
      </c>
      <c r="C11" s="66" t="s">
        <v>288</v>
      </c>
      <c r="D11" s="62" t="s">
        <v>4</v>
      </c>
      <c r="E11" s="62" t="s">
        <v>0</v>
      </c>
      <c r="F11" s="105" t="s">
        <v>162</v>
      </c>
      <c r="G11" s="68"/>
      <c r="H11" s="68"/>
      <c r="I11" s="68"/>
    </row>
    <row r="12" spans="1:9">
      <c r="A12" s="190" t="s">
        <v>17</v>
      </c>
      <c r="B12" s="65" t="s">
        <v>276</v>
      </c>
      <c r="C12" s="66" t="s">
        <v>277</v>
      </c>
      <c r="D12" s="62" t="s">
        <v>4</v>
      </c>
      <c r="E12" s="66" t="s">
        <v>0</v>
      </c>
      <c r="F12" s="106" t="s">
        <v>332</v>
      </c>
      <c r="G12" s="68">
        <v>16383094000</v>
      </c>
      <c r="H12" s="68"/>
      <c r="I12" s="253">
        <f>+G12-H12</f>
        <v>16383094000</v>
      </c>
    </row>
    <row r="13" spans="1:9">
      <c r="A13" s="192"/>
      <c r="B13" s="65"/>
      <c r="C13" s="66"/>
      <c r="D13" s="66" t="s">
        <v>0</v>
      </c>
      <c r="E13" s="66" t="s">
        <v>0</v>
      </c>
      <c r="F13" s="106" t="s">
        <v>164</v>
      </c>
      <c r="G13" s="66"/>
      <c r="H13" s="66" t="s">
        <v>0</v>
      </c>
      <c r="I13" s="98"/>
    </row>
    <row r="14" spans="1:9">
      <c r="A14" s="192"/>
      <c r="B14" s="65" t="s">
        <v>276</v>
      </c>
      <c r="C14" s="66" t="s">
        <v>278</v>
      </c>
      <c r="D14" s="62" t="s">
        <v>4</v>
      </c>
      <c r="E14" s="66" t="s">
        <v>0</v>
      </c>
      <c r="F14" s="105" t="s">
        <v>165</v>
      </c>
      <c r="G14" s="68"/>
      <c r="H14" s="68"/>
      <c r="I14" s="253">
        <f>+G14-H14</f>
        <v>0</v>
      </c>
    </row>
    <row r="15" spans="1:9">
      <c r="A15" s="192"/>
      <c r="B15" s="65" t="s">
        <v>276</v>
      </c>
      <c r="C15" s="66" t="s">
        <v>279</v>
      </c>
      <c r="D15" s="62" t="s">
        <v>4</v>
      </c>
      <c r="E15" s="66" t="s">
        <v>0</v>
      </c>
      <c r="F15" s="105" t="s">
        <v>166</v>
      </c>
      <c r="G15" s="68"/>
      <c r="H15" s="68"/>
      <c r="I15" s="253">
        <f t="shared" ref="I15:I20" si="0">+G15-H15</f>
        <v>0</v>
      </c>
    </row>
    <row r="16" spans="1:9">
      <c r="A16" s="192"/>
      <c r="B16" s="65" t="s">
        <v>276</v>
      </c>
      <c r="C16" s="66" t="s">
        <v>280</v>
      </c>
      <c r="D16" s="62" t="s">
        <v>4</v>
      </c>
      <c r="E16" s="66" t="s">
        <v>0</v>
      </c>
      <c r="F16" s="105" t="s">
        <v>167</v>
      </c>
      <c r="G16" s="68"/>
      <c r="H16" s="68"/>
      <c r="I16" s="253">
        <f t="shared" si="0"/>
        <v>0</v>
      </c>
    </row>
    <row r="17" spans="1:9" ht="26.25" customHeight="1">
      <c r="A17" s="192"/>
      <c r="B17" s="65" t="s">
        <v>276</v>
      </c>
      <c r="C17" s="66" t="s">
        <v>281</v>
      </c>
      <c r="D17" s="62" t="s">
        <v>4</v>
      </c>
      <c r="E17" s="66" t="s">
        <v>0</v>
      </c>
      <c r="F17" s="105" t="s">
        <v>168</v>
      </c>
      <c r="G17" s="68"/>
      <c r="H17" s="68"/>
      <c r="I17" s="253">
        <f t="shared" si="0"/>
        <v>0</v>
      </c>
    </row>
    <row r="18" spans="1:9">
      <c r="A18" s="192"/>
      <c r="B18" s="65" t="s">
        <v>276</v>
      </c>
      <c r="C18" s="66" t="s">
        <v>282</v>
      </c>
      <c r="D18" s="62" t="s">
        <v>4</v>
      </c>
      <c r="E18" s="66" t="s">
        <v>0</v>
      </c>
      <c r="F18" s="105" t="s">
        <v>169</v>
      </c>
      <c r="G18" s="68"/>
      <c r="H18" s="68"/>
      <c r="I18" s="253">
        <f t="shared" si="0"/>
        <v>0</v>
      </c>
    </row>
    <row r="19" spans="1:9">
      <c r="A19" s="192"/>
      <c r="B19" s="65" t="s">
        <v>276</v>
      </c>
      <c r="C19" s="66" t="s">
        <v>283</v>
      </c>
      <c r="D19" s="62" t="s">
        <v>4</v>
      </c>
      <c r="E19" s="66" t="s">
        <v>0</v>
      </c>
      <c r="F19" s="105" t="s">
        <v>170</v>
      </c>
      <c r="G19" s="68"/>
      <c r="H19" s="68"/>
      <c r="I19" s="253">
        <f t="shared" si="0"/>
        <v>0</v>
      </c>
    </row>
    <row r="20" spans="1:9">
      <c r="A20" s="192"/>
      <c r="B20" s="65" t="s">
        <v>276</v>
      </c>
      <c r="C20" s="66" t="s">
        <v>284</v>
      </c>
      <c r="D20" s="62" t="s">
        <v>4</v>
      </c>
      <c r="E20" s="66" t="s">
        <v>0</v>
      </c>
      <c r="F20" s="105" t="s">
        <v>171</v>
      </c>
      <c r="G20" s="68">
        <v>-3293978000</v>
      </c>
      <c r="H20" s="68"/>
      <c r="I20" s="253">
        <f t="shared" si="0"/>
        <v>-3293978000</v>
      </c>
    </row>
    <row r="21" spans="1:9">
      <c r="A21" s="192"/>
      <c r="B21" s="65" t="s">
        <v>276</v>
      </c>
      <c r="C21" s="66" t="s">
        <v>285</v>
      </c>
      <c r="D21" s="62" t="s">
        <v>4</v>
      </c>
      <c r="E21" s="66" t="s">
        <v>0</v>
      </c>
      <c r="F21" s="106" t="s">
        <v>172</v>
      </c>
      <c r="G21" s="253">
        <f>G14-G15-G16-G17-G18+G19+G20</f>
        <v>-3293978000</v>
      </c>
      <c r="H21" s="253">
        <f t="shared" ref="H21:I21" si="1">H14-H15-H16-H17-H18+H19+H20</f>
        <v>0</v>
      </c>
      <c r="I21" s="253">
        <f t="shared" si="1"/>
        <v>-3293978000</v>
      </c>
    </row>
    <row r="22" spans="1:9">
      <c r="A22" s="192"/>
      <c r="B22" s="65" t="s">
        <v>276</v>
      </c>
      <c r="C22" s="66" t="s">
        <v>277</v>
      </c>
      <c r="D22" s="62" t="s">
        <v>4</v>
      </c>
      <c r="E22" s="66" t="s">
        <v>0</v>
      </c>
      <c r="F22" s="106" t="s">
        <v>163</v>
      </c>
      <c r="G22" s="253">
        <f>+G12+G21</f>
        <v>13089116000</v>
      </c>
      <c r="H22" s="253">
        <f>+H12+H21</f>
        <v>0</v>
      </c>
      <c r="I22" s="253">
        <f>+G22-H22</f>
        <v>13089116000</v>
      </c>
    </row>
    <row r="23" spans="1:9">
      <c r="A23" s="190"/>
      <c r="B23" s="120"/>
      <c r="C23" s="66"/>
      <c r="D23" s="66"/>
      <c r="E23" s="66"/>
      <c r="F23" s="71"/>
      <c r="G23" s="66"/>
      <c r="H23" s="66"/>
      <c r="I23" s="176"/>
    </row>
    <row r="24" spans="1:9">
      <c r="A24" s="190"/>
      <c r="B24" s="121"/>
      <c r="C24" s="70"/>
      <c r="D24" s="70"/>
      <c r="E24" s="70"/>
      <c r="F24" s="70"/>
      <c r="G24" s="71"/>
      <c r="H24" s="71"/>
      <c r="I24" s="193"/>
    </row>
    <row r="25" spans="1:9" ht="15" customHeight="1">
      <c r="A25" s="194"/>
      <c r="B25" s="182"/>
      <c r="C25" s="182"/>
      <c r="D25" s="123"/>
      <c r="E25" s="123"/>
      <c r="F25" s="123"/>
      <c r="G25" s="288" t="str">
        <f>IF(G5="INGRESAR DESCRIPCIÓN DE COLUMNA OPCIONAL","",G5)</f>
        <v/>
      </c>
      <c r="H25" s="288"/>
      <c r="I25" s="292"/>
    </row>
    <row r="26" spans="1:9" ht="45.6">
      <c r="A26" s="186"/>
      <c r="B26" s="181"/>
      <c r="C26" s="181"/>
      <c r="D26" s="181"/>
      <c r="E26" s="181"/>
      <c r="F26" s="181" t="s">
        <v>49</v>
      </c>
      <c r="G26" s="111" t="s">
        <v>47</v>
      </c>
      <c r="H26" s="112" t="s">
        <v>173</v>
      </c>
      <c r="I26" s="187" t="s">
        <v>48</v>
      </c>
    </row>
    <row r="27" spans="1:9" ht="15" customHeight="1">
      <c r="A27" s="190"/>
      <c r="B27" s="119"/>
      <c r="C27" s="61"/>
      <c r="D27" s="62"/>
      <c r="E27" s="124"/>
      <c r="F27" s="117"/>
      <c r="G27" s="62"/>
      <c r="H27" s="62"/>
      <c r="I27" s="191"/>
    </row>
    <row r="28" spans="1:9" ht="15" customHeight="1">
      <c r="A28" s="190"/>
      <c r="B28" s="218" t="s">
        <v>276</v>
      </c>
      <c r="C28" s="66" t="s">
        <v>287</v>
      </c>
      <c r="D28" s="66" t="s">
        <v>65</v>
      </c>
      <c r="E28" s="62"/>
      <c r="F28" s="105" t="s">
        <v>161</v>
      </c>
      <c r="G28" s="68"/>
      <c r="H28" s="68"/>
      <c r="I28" s="68"/>
    </row>
    <row r="29" spans="1:9" ht="15" customHeight="1">
      <c r="A29" s="190"/>
      <c r="B29" s="218" t="s">
        <v>276</v>
      </c>
      <c r="C29" s="66" t="s">
        <v>288</v>
      </c>
      <c r="D29" s="66" t="s">
        <v>65</v>
      </c>
      <c r="E29" s="62"/>
      <c r="F29" s="105" t="s">
        <v>162</v>
      </c>
      <c r="G29" s="68"/>
      <c r="H29" s="68"/>
      <c r="I29" s="68"/>
    </row>
    <row r="30" spans="1:9">
      <c r="A30" s="190" t="s">
        <v>17</v>
      </c>
      <c r="B30" s="65" t="s">
        <v>276</v>
      </c>
      <c r="C30" s="66" t="s">
        <v>277</v>
      </c>
      <c r="D30" s="66" t="s">
        <v>5</v>
      </c>
      <c r="E30" s="66"/>
      <c r="F30" s="106" t="s">
        <v>333</v>
      </c>
      <c r="G30" s="68">
        <v>16383094000</v>
      </c>
      <c r="H30" s="68"/>
      <c r="I30" s="253">
        <f>+G30-H30</f>
        <v>16383094000</v>
      </c>
    </row>
    <row r="31" spans="1:9">
      <c r="A31" s="192"/>
      <c r="B31" s="65"/>
      <c r="C31" s="66"/>
      <c r="D31" s="66"/>
      <c r="E31" s="66"/>
      <c r="F31" s="106" t="s">
        <v>164</v>
      </c>
      <c r="G31" s="66"/>
      <c r="H31" s="66" t="s">
        <v>0</v>
      </c>
      <c r="I31" s="98"/>
    </row>
    <row r="32" spans="1:9">
      <c r="A32" s="192"/>
      <c r="B32" s="65" t="s">
        <v>276</v>
      </c>
      <c r="C32" s="66" t="s">
        <v>278</v>
      </c>
      <c r="D32" s="66" t="s">
        <v>65</v>
      </c>
      <c r="E32" s="66"/>
      <c r="F32" s="105" t="s">
        <v>165</v>
      </c>
      <c r="G32" s="68"/>
      <c r="H32" s="68"/>
      <c r="I32" s="253">
        <f>+G32-H32</f>
        <v>0</v>
      </c>
    </row>
    <row r="33" spans="1:9">
      <c r="A33" s="192"/>
      <c r="B33" s="65" t="s">
        <v>276</v>
      </c>
      <c r="C33" s="66" t="s">
        <v>279</v>
      </c>
      <c r="D33" s="66" t="s">
        <v>65</v>
      </c>
      <c r="E33" s="66"/>
      <c r="F33" s="105" t="s">
        <v>166</v>
      </c>
      <c r="G33" s="68"/>
      <c r="H33" s="68"/>
      <c r="I33" s="253">
        <f t="shared" ref="I33:I38" si="2">+G33-H33</f>
        <v>0</v>
      </c>
    </row>
    <row r="34" spans="1:9">
      <c r="A34" s="192"/>
      <c r="B34" s="65" t="s">
        <v>276</v>
      </c>
      <c r="C34" s="66" t="s">
        <v>280</v>
      </c>
      <c r="D34" s="66" t="s">
        <v>65</v>
      </c>
      <c r="E34" s="66"/>
      <c r="F34" s="105" t="s">
        <v>167</v>
      </c>
      <c r="G34" s="68"/>
      <c r="H34" s="68"/>
      <c r="I34" s="253">
        <f t="shared" si="2"/>
        <v>0</v>
      </c>
    </row>
    <row r="35" spans="1:9" ht="22.8">
      <c r="A35" s="192"/>
      <c r="B35" s="65" t="s">
        <v>276</v>
      </c>
      <c r="C35" s="66" t="s">
        <v>281</v>
      </c>
      <c r="D35" s="66" t="s">
        <v>65</v>
      </c>
      <c r="E35" s="66"/>
      <c r="F35" s="105" t="s">
        <v>168</v>
      </c>
      <c r="G35" s="68"/>
      <c r="H35" s="68"/>
      <c r="I35" s="253">
        <f t="shared" si="2"/>
        <v>0</v>
      </c>
    </row>
    <row r="36" spans="1:9">
      <c r="A36" s="192"/>
      <c r="B36" s="65" t="s">
        <v>276</v>
      </c>
      <c r="C36" s="66" t="s">
        <v>282</v>
      </c>
      <c r="D36" s="66" t="s">
        <v>65</v>
      </c>
      <c r="E36" s="66"/>
      <c r="F36" s="105" t="s">
        <v>169</v>
      </c>
      <c r="G36" s="68"/>
      <c r="H36" s="68"/>
      <c r="I36" s="253">
        <f t="shared" si="2"/>
        <v>0</v>
      </c>
    </row>
    <row r="37" spans="1:9">
      <c r="A37" s="192"/>
      <c r="B37" s="65" t="s">
        <v>276</v>
      </c>
      <c r="C37" s="66" t="s">
        <v>283</v>
      </c>
      <c r="D37" s="66" t="s">
        <v>65</v>
      </c>
      <c r="E37" s="66"/>
      <c r="F37" s="105" t="s">
        <v>170</v>
      </c>
      <c r="G37" s="68"/>
      <c r="H37" s="68"/>
      <c r="I37" s="253">
        <f t="shared" si="2"/>
        <v>0</v>
      </c>
    </row>
    <row r="38" spans="1:9">
      <c r="A38" s="192"/>
      <c r="B38" s="65" t="s">
        <v>276</v>
      </c>
      <c r="C38" s="66" t="s">
        <v>284</v>
      </c>
      <c r="D38" s="66" t="s">
        <v>65</v>
      </c>
      <c r="E38" s="66"/>
      <c r="F38" s="105" t="s">
        <v>171</v>
      </c>
      <c r="G38" s="68"/>
      <c r="H38" s="68"/>
      <c r="I38" s="253">
        <f t="shared" si="2"/>
        <v>0</v>
      </c>
    </row>
    <row r="39" spans="1:9">
      <c r="A39" s="192"/>
      <c r="B39" s="65" t="s">
        <v>276</v>
      </c>
      <c r="C39" s="66" t="s">
        <v>285</v>
      </c>
      <c r="D39" s="66" t="s">
        <v>65</v>
      </c>
      <c r="E39" s="66"/>
      <c r="F39" s="106" t="s">
        <v>172</v>
      </c>
      <c r="G39" s="253">
        <f>G32-G33-G34-G35-G36+G37+G38</f>
        <v>0</v>
      </c>
      <c r="H39" s="253">
        <f t="shared" ref="H39:I39" si="3">H32-H33-H34-H35-H36+H37+H38</f>
        <v>0</v>
      </c>
      <c r="I39" s="253">
        <f t="shared" si="3"/>
        <v>0</v>
      </c>
    </row>
    <row r="40" spans="1:9">
      <c r="A40" s="190" t="s">
        <v>17</v>
      </c>
      <c r="B40" s="65" t="s">
        <v>276</v>
      </c>
      <c r="C40" s="66" t="s">
        <v>277</v>
      </c>
      <c r="D40" s="66" t="s">
        <v>4</v>
      </c>
      <c r="E40" s="66"/>
      <c r="F40" s="106" t="s">
        <v>332</v>
      </c>
      <c r="G40" s="253">
        <f>+G30+G39</f>
        <v>16383094000</v>
      </c>
      <c r="H40" s="253">
        <f>+H30+H39</f>
        <v>0</v>
      </c>
      <c r="I40" s="253">
        <f>+G40-H40</f>
        <v>16383094000</v>
      </c>
    </row>
    <row r="41" spans="1:9" ht="15" thickBot="1">
      <c r="A41" s="195"/>
      <c r="B41" s="196"/>
      <c r="C41" s="197"/>
      <c r="D41" s="197"/>
      <c r="E41" s="197"/>
      <c r="F41" s="198"/>
      <c r="G41" s="197"/>
      <c r="H41" s="197"/>
      <c r="I41" s="199"/>
    </row>
    <row r="42" spans="1:9" ht="15" thickBot="1"/>
    <row r="43" spans="1:9" ht="30" customHeight="1">
      <c r="A43" s="45" t="s">
        <v>290</v>
      </c>
      <c r="B43" s="46"/>
      <c r="C43" s="47"/>
      <c r="D43" s="47"/>
      <c r="E43" s="47"/>
      <c r="F43" s="47"/>
      <c r="G43" s="277" t="s">
        <v>18</v>
      </c>
      <c r="H43" s="278"/>
      <c r="I43" s="279"/>
    </row>
    <row r="44" spans="1:9" ht="30" hidden="1" customHeight="1">
      <c r="A44" s="45" t="s">
        <v>289</v>
      </c>
      <c r="B44" s="74"/>
      <c r="C44" s="75"/>
      <c r="D44" s="75" t="s">
        <v>275</v>
      </c>
      <c r="E44" s="75" t="s">
        <v>291</v>
      </c>
      <c r="F44" s="75"/>
      <c r="G44" s="228" t="s">
        <v>181</v>
      </c>
      <c r="H44" s="229" t="s">
        <v>181</v>
      </c>
      <c r="I44" s="230" t="s">
        <v>181</v>
      </c>
    </row>
    <row r="45" spans="1:9" ht="108.75" customHeight="1">
      <c r="A45" s="48"/>
      <c r="B45" s="49"/>
      <c r="C45" s="50"/>
      <c r="D45" s="50"/>
      <c r="E45" s="51"/>
      <c r="F45" s="51" t="s">
        <v>15</v>
      </c>
      <c r="G45" s="52" t="s">
        <v>16</v>
      </c>
      <c r="H45" s="52" t="s">
        <v>173</v>
      </c>
      <c r="I45" s="53" t="s">
        <v>315</v>
      </c>
    </row>
    <row r="46" spans="1:9" ht="90" hidden="1" customHeight="1">
      <c r="A46" s="54" t="s">
        <v>289</v>
      </c>
      <c r="B46" s="55"/>
      <c r="C46" s="56"/>
      <c r="D46" s="57"/>
      <c r="E46" s="116" t="s">
        <v>311</v>
      </c>
      <c r="F46" s="117"/>
      <c r="G46" s="116" t="s">
        <v>312</v>
      </c>
      <c r="H46" s="116" t="s">
        <v>313</v>
      </c>
      <c r="I46" s="189" t="s">
        <v>314</v>
      </c>
    </row>
    <row r="47" spans="1:9">
      <c r="B47" s="60"/>
      <c r="C47" s="61"/>
      <c r="D47" s="62"/>
      <c r="E47" s="62"/>
      <c r="F47" s="63"/>
      <c r="G47" s="62"/>
      <c r="H47" s="62"/>
      <c r="I47" s="64"/>
    </row>
    <row r="48" spans="1:9">
      <c r="B48" s="218" t="s">
        <v>276</v>
      </c>
      <c r="C48" s="66" t="s">
        <v>287</v>
      </c>
      <c r="D48" s="66" t="s">
        <v>4</v>
      </c>
      <c r="E48" s="62"/>
      <c r="F48" s="105" t="s">
        <v>161</v>
      </c>
      <c r="G48" s="68"/>
      <c r="H48" s="68"/>
      <c r="I48" s="68"/>
    </row>
    <row r="49" spans="1:9">
      <c r="B49" s="218" t="s">
        <v>276</v>
      </c>
      <c r="C49" s="66" t="s">
        <v>288</v>
      </c>
      <c r="D49" s="66" t="s">
        <v>4</v>
      </c>
      <c r="E49" s="62"/>
      <c r="F49" s="105" t="s">
        <v>162</v>
      </c>
      <c r="G49" s="68"/>
      <c r="H49" s="68"/>
      <c r="I49" s="68"/>
    </row>
    <row r="50" spans="1:9">
      <c r="A50" t="s">
        <v>17</v>
      </c>
      <c r="B50" s="65" t="s">
        <v>276</v>
      </c>
      <c r="C50" s="66" t="s">
        <v>277</v>
      </c>
      <c r="D50" s="66" t="s">
        <v>4</v>
      </c>
      <c r="E50" s="66" t="s">
        <v>0</v>
      </c>
      <c r="F50" s="106" t="s">
        <v>332</v>
      </c>
      <c r="G50" s="253">
        <f>G12</f>
        <v>16383094000</v>
      </c>
      <c r="H50" s="253">
        <f t="shared" ref="H50" si="4">H12</f>
        <v>0</v>
      </c>
      <c r="I50" s="253">
        <f>+G50-H50</f>
        <v>16383094000</v>
      </c>
    </row>
    <row r="51" spans="1:9">
      <c r="A51" s="48"/>
      <c r="B51" s="65"/>
      <c r="C51" s="66"/>
      <c r="D51" s="66"/>
      <c r="E51" s="66" t="s">
        <v>0</v>
      </c>
      <c r="F51" s="106" t="s">
        <v>164</v>
      </c>
      <c r="G51" s="66"/>
      <c r="H51" s="66"/>
      <c r="I51" s="98"/>
    </row>
    <row r="52" spans="1:9">
      <c r="A52" s="48"/>
      <c r="B52" s="65" t="s">
        <v>276</v>
      </c>
      <c r="C52" s="66" t="s">
        <v>278</v>
      </c>
      <c r="D52" s="66" t="s">
        <v>4</v>
      </c>
      <c r="E52" s="66" t="s">
        <v>0</v>
      </c>
      <c r="F52" s="105" t="s">
        <v>165</v>
      </c>
      <c r="G52" s="253">
        <f t="shared" ref="G52:H52" si="5">G14</f>
        <v>0</v>
      </c>
      <c r="H52" s="253">
        <f t="shared" si="5"/>
        <v>0</v>
      </c>
      <c r="I52" s="253">
        <f t="shared" ref="I52:I58" si="6">+G52-H52</f>
        <v>0</v>
      </c>
    </row>
    <row r="53" spans="1:9">
      <c r="A53" s="48"/>
      <c r="B53" s="65" t="s">
        <v>276</v>
      </c>
      <c r="C53" s="66" t="s">
        <v>279</v>
      </c>
      <c r="D53" s="66" t="s">
        <v>4</v>
      </c>
      <c r="E53" s="66" t="s">
        <v>0</v>
      </c>
      <c r="F53" s="105" t="s">
        <v>166</v>
      </c>
      <c r="G53" s="253">
        <f t="shared" ref="G53:H53" si="7">G15</f>
        <v>0</v>
      </c>
      <c r="H53" s="253">
        <f t="shared" si="7"/>
        <v>0</v>
      </c>
      <c r="I53" s="253">
        <f t="shared" si="6"/>
        <v>0</v>
      </c>
    </row>
    <row r="54" spans="1:9">
      <c r="A54" s="48"/>
      <c r="B54" s="65" t="s">
        <v>276</v>
      </c>
      <c r="C54" s="66" t="s">
        <v>280</v>
      </c>
      <c r="D54" s="66" t="s">
        <v>4</v>
      </c>
      <c r="E54" s="66" t="s">
        <v>0</v>
      </c>
      <c r="F54" s="105" t="s">
        <v>167</v>
      </c>
      <c r="G54" s="253">
        <f t="shared" ref="G54:H54" si="8">G16</f>
        <v>0</v>
      </c>
      <c r="H54" s="253">
        <f t="shared" si="8"/>
        <v>0</v>
      </c>
      <c r="I54" s="253">
        <f t="shared" si="6"/>
        <v>0</v>
      </c>
    </row>
    <row r="55" spans="1:9" ht="22.8">
      <c r="A55" s="48"/>
      <c r="B55" s="65" t="s">
        <v>276</v>
      </c>
      <c r="C55" s="66" t="s">
        <v>281</v>
      </c>
      <c r="D55" s="66" t="s">
        <v>4</v>
      </c>
      <c r="E55" s="66" t="s">
        <v>0</v>
      </c>
      <c r="F55" s="105" t="s">
        <v>168</v>
      </c>
      <c r="G55" s="253">
        <f t="shared" ref="G55:H55" si="9">G17</f>
        <v>0</v>
      </c>
      <c r="H55" s="253">
        <f t="shared" si="9"/>
        <v>0</v>
      </c>
      <c r="I55" s="253">
        <f t="shared" si="6"/>
        <v>0</v>
      </c>
    </row>
    <row r="56" spans="1:9">
      <c r="A56" s="48"/>
      <c r="B56" s="65" t="s">
        <v>276</v>
      </c>
      <c r="C56" s="66" t="s">
        <v>282</v>
      </c>
      <c r="D56" s="66" t="s">
        <v>4</v>
      </c>
      <c r="E56" s="66" t="s">
        <v>0</v>
      </c>
      <c r="F56" s="105" t="s">
        <v>169</v>
      </c>
      <c r="G56" s="253">
        <f t="shared" ref="G56:H56" si="10">G18</f>
        <v>0</v>
      </c>
      <c r="H56" s="253">
        <f t="shared" si="10"/>
        <v>0</v>
      </c>
      <c r="I56" s="253">
        <f t="shared" si="6"/>
        <v>0</v>
      </c>
    </row>
    <row r="57" spans="1:9">
      <c r="A57" s="48"/>
      <c r="B57" s="65" t="s">
        <v>276</v>
      </c>
      <c r="C57" s="66" t="s">
        <v>283</v>
      </c>
      <c r="D57" s="66" t="s">
        <v>4</v>
      </c>
      <c r="E57" s="66" t="s">
        <v>0</v>
      </c>
      <c r="F57" s="105" t="s">
        <v>170</v>
      </c>
      <c r="G57" s="253">
        <f t="shared" ref="G57:H57" si="11">G19</f>
        <v>0</v>
      </c>
      <c r="H57" s="253">
        <f t="shared" si="11"/>
        <v>0</v>
      </c>
      <c r="I57" s="253">
        <f t="shared" si="6"/>
        <v>0</v>
      </c>
    </row>
    <row r="58" spans="1:9">
      <c r="A58" s="48"/>
      <c r="B58" s="65" t="s">
        <v>276</v>
      </c>
      <c r="C58" s="66" t="s">
        <v>284</v>
      </c>
      <c r="D58" s="66" t="s">
        <v>4</v>
      </c>
      <c r="E58" s="66" t="s">
        <v>0</v>
      </c>
      <c r="F58" s="105" t="s">
        <v>171</v>
      </c>
      <c r="G58" s="253">
        <f t="shared" ref="G58:H58" si="12">G20</f>
        <v>-3293978000</v>
      </c>
      <c r="H58" s="253">
        <f t="shared" si="12"/>
        <v>0</v>
      </c>
      <c r="I58" s="253">
        <f t="shared" si="6"/>
        <v>-3293978000</v>
      </c>
    </row>
    <row r="59" spans="1:9">
      <c r="A59" s="48"/>
      <c r="B59" s="65" t="s">
        <v>276</v>
      </c>
      <c r="C59" s="66" t="s">
        <v>285</v>
      </c>
      <c r="D59" s="66" t="s">
        <v>4</v>
      </c>
      <c r="E59" s="66" t="s">
        <v>0</v>
      </c>
      <c r="F59" s="106" t="s">
        <v>172</v>
      </c>
      <c r="G59" s="253">
        <f>G52-G53-G54-G55-G56+G57+G58</f>
        <v>-3293978000</v>
      </c>
      <c r="H59" s="253">
        <f t="shared" ref="H59" si="13">H52-H53-H54-H55-H56+H57+H58</f>
        <v>0</v>
      </c>
      <c r="I59" s="253">
        <f t="shared" ref="I59" si="14">I52-I53-I54-I55-I56+I57+I58</f>
        <v>-3293978000</v>
      </c>
    </row>
    <row r="60" spans="1:9">
      <c r="A60" s="48"/>
      <c r="B60" s="65" t="s">
        <v>276</v>
      </c>
      <c r="C60" s="66" t="s">
        <v>277</v>
      </c>
      <c r="D60" s="66" t="s">
        <v>4</v>
      </c>
      <c r="E60" s="66" t="s">
        <v>0</v>
      </c>
      <c r="F60" s="106" t="s">
        <v>163</v>
      </c>
      <c r="G60" s="253">
        <f>+G50+G59</f>
        <v>13089116000</v>
      </c>
      <c r="H60" s="253">
        <f>+H50+H59</f>
        <v>0</v>
      </c>
      <c r="I60" s="253">
        <f>+G60-H60</f>
        <v>13089116000</v>
      </c>
    </row>
    <row r="61" spans="1:9" ht="15" thickBot="1">
      <c r="B61" s="69"/>
      <c r="C61" s="70"/>
      <c r="D61" s="70"/>
      <c r="E61" s="70"/>
      <c r="F61" s="70"/>
      <c r="G61" s="71"/>
      <c r="H61" s="71"/>
      <c r="I61" s="72"/>
    </row>
    <row r="62" spans="1:9" s="73" customFormat="1" ht="30" customHeight="1">
      <c r="B62" s="74"/>
      <c r="C62" s="75"/>
      <c r="D62" s="75"/>
      <c r="E62" s="75"/>
      <c r="F62" s="75"/>
      <c r="G62" s="277" t="s">
        <v>18</v>
      </c>
      <c r="H62" s="278"/>
      <c r="I62" s="279"/>
    </row>
    <row r="63" spans="1:9" ht="91.5" customHeight="1">
      <c r="A63" s="48"/>
      <c r="B63" s="49"/>
      <c r="C63" s="50"/>
      <c r="D63" s="50"/>
      <c r="E63" s="51"/>
      <c r="F63" s="51" t="s">
        <v>15</v>
      </c>
      <c r="G63" s="52" t="s">
        <v>16</v>
      </c>
      <c r="H63" s="52" t="s">
        <v>173</v>
      </c>
      <c r="I63" s="53" t="s">
        <v>315</v>
      </c>
    </row>
    <row r="64" spans="1:9">
      <c r="B64" s="60"/>
      <c r="C64" s="61"/>
      <c r="D64" s="62"/>
      <c r="E64" s="62"/>
      <c r="F64" s="63"/>
      <c r="G64" s="62"/>
      <c r="H64" s="62"/>
      <c r="I64" s="64"/>
    </row>
    <row r="65" spans="1:9">
      <c r="B65" s="218" t="s">
        <v>276</v>
      </c>
      <c r="C65" s="66" t="s">
        <v>287</v>
      </c>
      <c r="D65" s="66" t="s">
        <v>65</v>
      </c>
      <c r="E65" s="62"/>
      <c r="F65" s="105" t="s">
        <v>161</v>
      </c>
      <c r="G65" s="68"/>
      <c r="H65" s="68"/>
      <c r="I65" s="68"/>
    </row>
    <row r="66" spans="1:9">
      <c r="B66" s="218" t="s">
        <v>276</v>
      </c>
      <c r="C66" s="66" t="s">
        <v>288</v>
      </c>
      <c r="D66" s="66" t="s">
        <v>65</v>
      </c>
      <c r="E66" s="62"/>
      <c r="F66" s="105" t="s">
        <v>162</v>
      </c>
      <c r="G66" s="68"/>
      <c r="H66" s="68"/>
      <c r="I66" s="68"/>
    </row>
    <row r="67" spans="1:9">
      <c r="A67" t="s">
        <v>17</v>
      </c>
      <c r="B67" s="65" t="s">
        <v>276</v>
      </c>
      <c r="C67" s="66" t="s">
        <v>277</v>
      </c>
      <c r="D67" s="66" t="s">
        <v>5</v>
      </c>
      <c r="E67" s="66" t="s">
        <v>0</v>
      </c>
      <c r="F67" s="106" t="s">
        <v>333</v>
      </c>
      <c r="G67" s="253">
        <f>G30</f>
        <v>16383094000</v>
      </c>
      <c r="H67" s="253">
        <f t="shared" ref="H67" si="15">H30</f>
        <v>0</v>
      </c>
      <c r="I67" s="253">
        <f>+G67-H67</f>
        <v>16383094000</v>
      </c>
    </row>
    <row r="68" spans="1:9">
      <c r="A68" s="48"/>
      <c r="B68" s="65"/>
      <c r="C68" s="66"/>
      <c r="D68" s="66"/>
      <c r="E68" s="66" t="s">
        <v>0</v>
      </c>
      <c r="F68" s="106" t="s">
        <v>164</v>
      </c>
      <c r="G68" s="66"/>
      <c r="H68" s="66"/>
      <c r="I68" s="98"/>
    </row>
    <row r="69" spans="1:9">
      <c r="A69" s="48"/>
      <c r="B69" s="65" t="s">
        <v>276</v>
      </c>
      <c r="C69" s="66" t="s">
        <v>278</v>
      </c>
      <c r="D69" s="66" t="s">
        <v>65</v>
      </c>
      <c r="E69" s="66" t="s">
        <v>0</v>
      </c>
      <c r="F69" s="105" t="s">
        <v>165</v>
      </c>
      <c r="G69" s="253">
        <f t="shared" ref="G69:H69" si="16">G32</f>
        <v>0</v>
      </c>
      <c r="H69" s="253">
        <f t="shared" si="16"/>
        <v>0</v>
      </c>
      <c r="I69" s="253">
        <f t="shared" ref="I69:I75" si="17">+G69-H69</f>
        <v>0</v>
      </c>
    </row>
    <row r="70" spans="1:9">
      <c r="A70" s="48"/>
      <c r="B70" s="65" t="s">
        <v>276</v>
      </c>
      <c r="C70" s="66" t="s">
        <v>279</v>
      </c>
      <c r="D70" s="66" t="s">
        <v>65</v>
      </c>
      <c r="E70" s="66" t="s">
        <v>0</v>
      </c>
      <c r="F70" s="105" t="s">
        <v>166</v>
      </c>
      <c r="G70" s="253">
        <f t="shared" ref="G70:H70" si="18">G33</f>
        <v>0</v>
      </c>
      <c r="H70" s="253">
        <f t="shared" si="18"/>
        <v>0</v>
      </c>
      <c r="I70" s="253">
        <f t="shared" si="17"/>
        <v>0</v>
      </c>
    </row>
    <row r="71" spans="1:9">
      <c r="A71" s="48"/>
      <c r="B71" s="65" t="s">
        <v>276</v>
      </c>
      <c r="C71" s="66" t="s">
        <v>280</v>
      </c>
      <c r="D71" s="66" t="s">
        <v>65</v>
      </c>
      <c r="E71" s="66" t="s">
        <v>0</v>
      </c>
      <c r="F71" s="105" t="s">
        <v>167</v>
      </c>
      <c r="G71" s="253">
        <f t="shared" ref="G71:H71" si="19">G34</f>
        <v>0</v>
      </c>
      <c r="H71" s="253">
        <f t="shared" si="19"/>
        <v>0</v>
      </c>
      <c r="I71" s="253">
        <f t="shared" si="17"/>
        <v>0</v>
      </c>
    </row>
    <row r="72" spans="1:9" ht="22.8">
      <c r="A72" s="48"/>
      <c r="B72" s="65" t="s">
        <v>276</v>
      </c>
      <c r="C72" s="66" t="s">
        <v>281</v>
      </c>
      <c r="D72" s="66" t="s">
        <v>65</v>
      </c>
      <c r="E72" s="66" t="s">
        <v>0</v>
      </c>
      <c r="F72" s="105" t="s">
        <v>168</v>
      </c>
      <c r="G72" s="253">
        <f t="shared" ref="G72:H72" si="20">G35</f>
        <v>0</v>
      </c>
      <c r="H72" s="253">
        <f t="shared" si="20"/>
        <v>0</v>
      </c>
      <c r="I72" s="253">
        <f t="shared" si="17"/>
        <v>0</v>
      </c>
    </row>
    <row r="73" spans="1:9">
      <c r="A73" s="48"/>
      <c r="B73" s="65" t="s">
        <v>276</v>
      </c>
      <c r="C73" s="66" t="s">
        <v>282</v>
      </c>
      <c r="D73" s="66" t="s">
        <v>65</v>
      </c>
      <c r="E73" s="66" t="s">
        <v>0</v>
      </c>
      <c r="F73" s="105" t="s">
        <v>169</v>
      </c>
      <c r="G73" s="253">
        <f t="shared" ref="G73:H73" si="21">G36</f>
        <v>0</v>
      </c>
      <c r="H73" s="253">
        <f t="shared" si="21"/>
        <v>0</v>
      </c>
      <c r="I73" s="253">
        <f t="shared" si="17"/>
        <v>0</v>
      </c>
    </row>
    <row r="74" spans="1:9">
      <c r="A74" s="48"/>
      <c r="B74" s="65" t="s">
        <v>276</v>
      </c>
      <c r="C74" s="66" t="s">
        <v>283</v>
      </c>
      <c r="D74" s="66" t="s">
        <v>65</v>
      </c>
      <c r="E74" s="66" t="s">
        <v>0</v>
      </c>
      <c r="F74" s="105" t="s">
        <v>170</v>
      </c>
      <c r="G74" s="253">
        <f t="shared" ref="G74:H74" si="22">G37</f>
        <v>0</v>
      </c>
      <c r="H74" s="253">
        <f t="shared" si="22"/>
        <v>0</v>
      </c>
      <c r="I74" s="253">
        <f t="shared" si="17"/>
        <v>0</v>
      </c>
    </row>
    <row r="75" spans="1:9">
      <c r="A75" s="48"/>
      <c r="B75" s="65" t="s">
        <v>276</v>
      </c>
      <c r="C75" s="66" t="s">
        <v>284</v>
      </c>
      <c r="D75" s="66" t="s">
        <v>65</v>
      </c>
      <c r="E75" s="66" t="s">
        <v>0</v>
      </c>
      <c r="F75" s="105" t="s">
        <v>171</v>
      </c>
      <c r="G75" s="253">
        <f t="shared" ref="G75:H75" si="23">G38</f>
        <v>0</v>
      </c>
      <c r="H75" s="253">
        <f t="shared" si="23"/>
        <v>0</v>
      </c>
      <c r="I75" s="253">
        <f t="shared" si="17"/>
        <v>0</v>
      </c>
    </row>
    <row r="76" spans="1:9">
      <c r="A76" s="48"/>
      <c r="B76" s="65" t="s">
        <v>276</v>
      </c>
      <c r="C76" s="66" t="s">
        <v>285</v>
      </c>
      <c r="D76" s="66" t="s">
        <v>65</v>
      </c>
      <c r="E76" s="66" t="s">
        <v>0</v>
      </c>
      <c r="F76" s="106" t="s">
        <v>172</v>
      </c>
      <c r="G76" s="253">
        <f>G69-G70-G71-G72-G73+G74+G75</f>
        <v>0</v>
      </c>
      <c r="H76" s="253">
        <f>H69-H70-H71-H72-H73+H74+H75</f>
        <v>0</v>
      </c>
      <c r="I76" s="253">
        <f t="shared" ref="I76" si="24">I69-I70-I71-I72-I73+I74+I75</f>
        <v>0</v>
      </c>
    </row>
    <row r="77" spans="1:9">
      <c r="A77" t="s">
        <v>17</v>
      </c>
      <c r="B77" s="65" t="s">
        <v>276</v>
      </c>
      <c r="C77" s="66" t="s">
        <v>277</v>
      </c>
      <c r="D77" s="66" t="s">
        <v>4</v>
      </c>
      <c r="E77" s="66" t="s">
        <v>0</v>
      </c>
      <c r="F77" s="106" t="s">
        <v>332</v>
      </c>
      <c r="G77" s="253">
        <f>+G67+G76</f>
        <v>16383094000</v>
      </c>
      <c r="H77" s="253">
        <f>+H67+H76</f>
        <v>0</v>
      </c>
      <c r="I77" s="253">
        <f>+G77-H77</f>
        <v>16383094000</v>
      </c>
    </row>
    <row r="78" spans="1:9" ht="15" thickBot="1">
      <c r="B78" s="76"/>
      <c r="C78" s="77"/>
      <c r="D78" s="77"/>
      <c r="E78" s="77"/>
      <c r="F78" s="78"/>
      <c r="G78" s="77"/>
      <c r="H78" s="77"/>
      <c r="I78" s="79"/>
    </row>
    <row r="79" spans="1:9" ht="15" thickBot="1"/>
    <row r="80" spans="1:9" ht="47.25" customHeight="1">
      <c r="A80" s="45" t="s">
        <v>290</v>
      </c>
      <c r="B80" s="46"/>
      <c r="C80" s="47"/>
      <c r="D80" s="47"/>
      <c r="E80" s="47"/>
      <c r="F80" s="47"/>
      <c r="G80" s="277" t="s">
        <v>11</v>
      </c>
      <c r="H80" s="278"/>
      <c r="I80" s="279"/>
    </row>
    <row r="81" spans="1:14" ht="47.25" hidden="1" customHeight="1">
      <c r="A81" s="45" t="s">
        <v>289</v>
      </c>
      <c r="B81" s="74"/>
      <c r="C81" s="75"/>
      <c r="D81" s="75" t="s">
        <v>275</v>
      </c>
      <c r="E81" s="75" t="s">
        <v>291</v>
      </c>
      <c r="F81" s="75"/>
      <c r="G81" s="228" t="s">
        <v>182</v>
      </c>
      <c r="H81" s="229" t="s">
        <v>182</v>
      </c>
      <c r="I81" s="230" t="s">
        <v>182</v>
      </c>
    </row>
    <row r="82" spans="1:14" ht="108.75" customHeight="1">
      <c r="A82" s="48"/>
      <c r="B82" s="49"/>
      <c r="C82" s="50"/>
      <c r="D82" s="50"/>
      <c r="E82" s="51"/>
      <c r="F82" s="51" t="s">
        <v>15</v>
      </c>
      <c r="G82" s="52" t="s">
        <v>316</v>
      </c>
      <c r="H82" s="52" t="s">
        <v>173</v>
      </c>
      <c r="I82" s="53" t="s">
        <v>315</v>
      </c>
    </row>
    <row r="83" spans="1:14" ht="90" hidden="1" customHeight="1">
      <c r="A83" s="54" t="s">
        <v>289</v>
      </c>
      <c r="B83" s="55"/>
      <c r="C83" s="56"/>
      <c r="D83" s="57"/>
      <c r="E83" s="58" t="s">
        <v>311</v>
      </c>
      <c r="F83" s="59"/>
      <c r="G83" s="57" t="s">
        <v>312</v>
      </c>
      <c r="H83" s="57" t="s">
        <v>313</v>
      </c>
      <c r="I83" s="57" t="s">
        <v>314</v>
      </c>
    </row>
    <row r="84" spans="1:14">
      <c r="B84" s="60"/>
      <c r="C84" s="61"/>
      <c r="D84" s="62"/>
      <c r="E84" s="62"/>
      <c r="F84" s="63"/>
      <c r="G84" s="62"/>
      <c r="H84" s="62"/>
      <c r="I84" s="64"/>
    </row>
    <row r="85" spans="1:14">
      <c r="B85" s="218" t="s">
        <v>276</v>
      </c>
      <c r="C85" s="66" t="s">
        <v>287</v>
      </c>
      <c r="D85" s="66" t="s">
        <v>4</v>
      </c>
      <c r="E85" s="62"/>
      <c r="F85" s="105" t="s">
        <v>161</v>
      </c>
      <c r="G85" s="68"/>
      <c r="H85" s="68"/>
      <c r="I85" s="219"/>
    </row>
    <row r="86" spans="1:14">
      <c r="B86" s="218" t="s">
        <v>276</v>
      </c>
      <c r="C86" s="66" t="s">
        <v>288</v>
      </c>
      <c r="D86" s="66" t="s">
        <v>4</v>
      </c>
      <c r="E86" s="62"/>
      <c r="F86" s="105" t="s">
        <v>162</v>
      </c>
      <c r="G86" s="68"/>
      <c r="H86" s="68"/>
      <c r="I86" s="219"/>
      <c r="J86" s="222"/>
      <c r="K86" s="222"/>
      <c r="L86" s="222"/>
      <c r="M86" s="222"/>
      <c r="N86" s="222"/>
    </row>
    <row r="87" spans="1:14">
      <c r="A87" t="s">
        <v>17</v>
      </c>
      <c r="B87" s="65" t="s">
        <v>276</v>
      </c>
      <c r="C87" s="66" t="s">
        <v>277</v>
      </c>
      <c r="D87" s="66" t="s">
        <v>4</v>
      </c>
      <c r="E87" s="66" t="s">
        <v>0</v>
      </c>
      <c r="F87" s="106" t="s">
        <v>332</v>
      </c>
      <c r="G87" s="253">
        <f>G50</f>
        <v>16383094000</v>
      </c>
      <c r="H87" s="253">
        <f t="shared" ref="H87:I97" si="25">H50</f>
        <v>0</v>
      </c>
      <c r="I87" s="253">
        <f>I50</f>
        <v>16383094000</v>
      </c>
      <c r="J87" s="223"/>
      <c r="K87" s="223"/>
      <c r="L87" s="223"/>
      <c r="M87" s="223"/>
      <c r="N87" s="222"/>
    </row>
    <row r="88" spans="1:14">
      <c r="A88" s="48"/>
      <c r="B88" s="65"/>
      <c r="C88" s="66"/>
      <c r="D88" s="66"/>
      <c r="E88" s="66" t="s">
        <v>0</v>
      </c>
      <c r="F88" s="106" t="s">
        <v>164</v>
      </c>
      <c r="G88" s="66"/>
      <c r="H88" s="66" t="s">
        <v>0</v>
      </c>
      <c r="I88" s="220"/>
      <c r="J88" s="222"/>
      <c r="K88" s="222"/>
      <c r="L88" s="222"/>
      <c r="M88" s="222"/>
      <c r="N88" s="222"/>
    </row>
    <row r="89" spans="1:14">
      <c r="A89" s="48"/>
      <c r="B89" s="65" t="s">
        <v>276</v>
      </c>
      <c r="C89" s="66" t="s">
        <v>278</v>
      </c>
      <c r="D89" s="66" t="s">
        <v>4</v>
      </c>
      <c r="E89" s="66" t="s">
        <v>0</v>
      </c>
      <c r="F89" s="105" t="s">
        <v>165</v>
      </c>
      <c r="G89" s="253">
        <f t="shared" ref="G89:G97" si="26">G52</f>
        <v>0</v>
      </c>
      <c r="H89" s="253">
        <f t="shared" si="25"/>
        <v>0</v>
      </c>
      <c r="I89" s="253">
        <f t="shared" si="25"/>
        <v>0</v>
      </c>
      <c r="J89" s="222"/>
      <c r="K89" s="222"/>
      <c r="L89" s="222"/>
      <c r="M89" s="222"/>
      <c r="N89" s="222"/>
    </row>
    <row r="90" spans="1:14">
      <c r="A90" s="48"/>
      <c r="B90" s="65" t="s">
        <v>276</v>
      </c>
      <c r="C90" s="66" t="s">
        <v>279</v>
      </c>
      <c r="D90" s="66" t="s">
        <v>4</v>
      </c>
      <c r="E90" s="66" t="s">
        <v>0</v>
      </c>
      <c r="F90" s="105" t="s">
        <v>166</v>
      </c>
      <c r="G90" s="253">
        <f t="shared" si="26"/>
        <v>0</v>
      </c>
      <c r="H90" s="253">
        <f t="shared" si="25"/>
        <v>0</v>
      </c>
      <c r="I90" s="253">
        <f t="shared" si="25"/>
        <v>0</v>
      </c>
      <c r="J90" s="222"/>
      <c r="K90" s="222"/>
      <c r="L90" s="222"/>
      <c r="M90" s="222"/>
      <c r="N90" s="222"/>
    </row>
    <row r="91" spans="1:14">
      <c r="A91" s="48"/>
      <c r="B91" s="65" t="s">
        <v>276</v>
      </c>
      <c r="C91" s="66" t="s">
        <v>280</v>
      </c>
      <c r="D91" s="66" t="s">
        <v>4</v>
      </c>
      <c r="E91" s="66" t="s">
        <v>0</v>
      </c>
      <c r="F91" s="105" t="s">
        <v>167</v>
      </c>
      <c r="G91" s="253">
        <f t="shared" si="26"/>
        <v>0</v>
      </c>
      <c r="H91" s="253">
        <f t="shared" si="25"/>
        <v>0</v>
      </c>
      <c r="I91" s="253">
        <f t="shared" si="25"/>
        <v>0</v>
      </c>
      <c r="J91" s="222"/>
      <c r="K91" s="222"/>
      <c r="L91" s="222"/>
      <c r="M91" s="222"/>
      <c r="N91" s="222"/>
    </row>
    <row r="92" spans="1:14" ht="22.8">
      <c r="A92" s="48"/>
      <c r="B92" s="65" t="s">
        <v>276</v>
      </c>
      <c r="C92" s="66" t="s">
        <v>281</v>
      </c>
      <c r="D92" s="66" t="s">
        <v>4</v>
      </c>
      <c r="E92" s="66" t="s">
        <v>0</v>
      </c>
      <c r="F92" s="105" t="s">
        <v>168</v>
      </c>
      <c r="G92" s="253">
        <f t="shared" si="26"/>
        <v>0</v>
      </c>
      <c r="H92" s="253">
        <f t="shared" si="25"/>
        <v>0</v>
      </c>
      <c r="I92" s="253">
        <f t="shared" si="25"/>
        <v>0</v>
      </c>
      <c r="J92" s="222"/>
      <c r="K92" s="222"/>
      <c r="L92" s="222"/>
      <c r="M92" s="222"/>
      <c r="N92" s="222"/>
    </row>
    <row r="93" spans="1:14">
      <c r="A93" s="48"/>
      <c r="B93" s="65" t="s">
        <v>276</v>
      </c>
      <c r="C93" s="66" t="s">
        <v>282</v>
      </c>
      <c r="D93" s="66" t="s">
        <v>4</v>
      </c>
      <c r="E93" s="66" t="s">
        <v>0</v>
      </c>
      <c r="F93" s="105" t="s">
        <v>169</v>
      </c>
      <c r="G93" s="253">
        <f t="shared" si="26"/>
        <v>0</v>
      </c>
      <c r="H93" s="253">
        <f t="shared" si="25"/>
        <v>0</v>
      </c>
      <c r="I93" s="253">
        <f t="shared" si="25"/>
        <v>0</v>
      </c>
      <c r="J93" s="242"/>
      <c r="K93" s="222"/>
      <c r="L93" s="222"/>
      <c r="M93" s="222"/>
      <c r="N93" s="222"/>
    </row>
    <row r="94" spans="1:14">
      <c r="A94" s="48"/>
      <c r="B94" s="65" t="s">
        <v>276</v>
      </c>
      <c r="C94" s="66" t="s">
        <v>283</v>
      </c>
      <c r="D94" s="66" t="s">
        <v>4</v>
      </c>
      <c r="E94" s="66" t="s">
        <v>0</v>
      </c>
      <c r="F94" s="105" t="s">
        <v>170</v>
      </c>
      <c r="G94" s="253">
        <f t="shared" si="26"/>
        <v>0</v>
      </c>
      <c r="H94" s="253">
        <f t="shared" si="25"/>
        <v>0</v>
      </c>
      <c r="I94" s="253">
        <f t="shared" si="25"/>
        <v>0</v>
      </c>
      <c r="J94" s="222"/>
      <c r="K94" s="222"/>
      <c r="L94" s="222"/>
      <c r="M94" s="222"/>
      <c r="N94" s="222"/>
    </row>
    <row r="95" spans="1:14">
      <c r="A95" s="48"/>
      <c r="B95" s="65" t="s">
        <v>276</v>
      </c>
      <c r="C95" s="66" t="s">
        <v>284</v>
      </c>
      <c r="D95" s="66" t="s">
        <v>4</v>
      </c>
      <c r="E95" s="66" t="s">
        <v>0</v>
      </c>
      <c r="F95" s="105" t="s">
        <v>171</v>
      </c>
      <c r="G95" s="253">
        <f t="shared" si="26"/>
        <v>-3293978000</v>
      </c>
      <c r="H95" s="253">
        <f t="shared" si="25"/>
        <v>0</v>
      </c>
      <c r="I95" s="253">
        <f t="shared" si="25"/>
        <v>-3293978000</v>
      </c>
      <c r="J95" s="222"/>
      <c r="K95" s="222"/>
      <c r="L95" s="222"/>
      <c r="M95" s="222"/>
      <c r="N95" s="222"/>
    </row>
    <row r="96" spans="1:14">
      <c r="A96" s="48"/>
      <c r="B96" s="65" t="s">
        <v>276</v>
      </c>
      <c r="C96" s="66" t="s">
        <v>285</v>
      </c>
      <c r="D96" s="66" t="s">
        <v>4</v>
      </c>
      <c r="E96" s="66" t="s">
        <v>0</v>
      </c>
      <c r="F96" s="106" t="s">
        <v>172</v>
      </c>
      <c r="G96" s="253">
        <f t="shared" si="26"/>
        <v>-3293978000</v>
      </c>
      <c r="H96" s="253">
        <f t="shared" si="25"/>
        <v>0</v>
      </c>
      <c r="I96" s="253">
        <f t="shared" si="25"/>
        <v>-3293978000</v>
      </c>
      <c r="J96" s="222"/>
      <c r="K96" s="222"/>
      <c r="L96" s="222"/>
      <c r="M96" s="222"/>
      <c r="N96" s="222"/>
    </row>
    <row r="97" spans="1:14">
      <c r="A97" s="48"/>
      <c r="B97" s="65" t="s">
        <v>276</v>
      </c>
      <c r="C97" s="66" t="s">
        <v>277</v>
      </c>
      <c r="D97" s="66" t="s">
        <v>4</v>
      </c>
      <c r="E97" s="66" t="s">
        <v>0</v>
      </c>
      <c r="F97" s="106" t="s">
        <v>163</v>
      </c>
      <c r="G97" s="253">
        <f t="shared" si="26"/>
        <v>13089116000</v>
      </c>
      <c r="H97" s="253">
        <f t="shared" si="25"/>
        <v>0</v>
      </c>
      <c r="I97" s="253">
        <f t="shared" si="25"/>
        <v>13089116000</v>
      </c>
      <c r="J97" s="223"/>
      <c r="K97" s="223"/>
      <c r="L97" s="223"/>
      <c r="M97" s="223"/>
      <c r="N97" s="222"/>
    </row>
    <row r="98" spans="1:14" ht="15" thickBot="1">
      <c r="B98" s="69"/>
      <c r="C98" s="70"/>
      <c r="D98" s="70"/>
      <c r="E98" s="70"/>
      <c r="F98" s="70"/>
      <c r="G98" s="71"/>
      <c r="H98" s="71"/>
      <c r="I98" s="72"/>
      <c r="J98" s="222"/>
      <c r="K98" s="222"/>
      <c r="L98" s="222"/>
      <c r="M98" s="222"/>
      <c r="N98" s="222"/>
    </row>
    <row r="99" spans="1:14" s="73" customFormat="1" ht="46.5" customHeight="1">
      <c r="B99" s="74"/>
      <c r="C99" s="75"/>
      <c r="D99" s="75"/>
      <c r="E99" s="75"/>
      <c r="F99" s="75"/>
      <c r="G99" s="277" t="s">
        <v>11</v>
      </c>
      <c r="H99" s="278"/>
      <c r="I99" s="279"/>
      <c r="J99" s="224"/>
      <c r="K99" s="224"/>
      <c r="L99" s="224"/>
      <c r="M99" s="224"/>
      <c r="N99" s="224"/>
    </row>
    <row r="100" spans="1:14" ht="91.5" customHeight="1">
      <c r="A100" s="48"/>
      <c r="B100" s="49"/>
      <c r="C100" s="50"/>
      <c r="D100" s="50"/>
      <c r="E100" s="51"/>
      <c r="F100" s="51" t="s">
        <v>15</v>
      </c>
      <c r="G100" s="52" t="s">
        <v>316</v>
      </c>
      <c r="H100" s="52" t="s">
        <v>173</v>
      </c>
      <c r="I100" s="53" t="s">
        <v>315</v>
      </c>
    </row>
    <row r="101" spans="1:14">
      <c r="B101" s="60"/>
      <c r="C101" s="61"/>
      <c r="D101" s="62"/>
      <c r="E101" s="62"/>
      <c r="F101" s="63"/>
      <c r="G101" s="62"/>
      <c r="H101" s="62"/>
      <c r="I101" s="64"/>
    </row>
    <row r="102" spans="1:14">
      <c r="B102" s="218" t="s">
        <v>276</v>
      </c>
      <c r="C102" s="66" t="s">
        <v>287</v>
      </c>
      <c r="D102" s="66" t="s">
        <v>65</v>
      </c>
      <c r="E102" s="62"/>
      <c r="F102" s="105" t="s">
        <v>161</v>
      </c>
      <c r="G102" s="68"/>
      <c r="H102" s="68"/>
      <c r="I102" s="219"/>
    </row>
    <row r="103" spans="1:14">
      <c r="B103" s="218" t="s">
        <v>276</v>
      </c>
      <c r="C103" s="66" t="s">
        <v>288</v>
      </c>
      <c r="D103" s="66" t="s">
        <v>65</v>
      </c>
      <c r="E103" s="62"/>
      <c r="F103" s="105" t="s">
        <v>162</v>
      </c>
      <c r="G103" s="68"/>
      <c r="H103" s="68"/>
      <c r="I103" s="219"/>
    </row>
    <row r="104" spans="1:14">
      <c r="A104" t="s">
        <v>17</v>
      </c>
      <c r="B104" s="65" t="s">
        <v>276</v>
      </c>
      <c r="C104" s="66" t="s">
        <v>277</v>
      </c>
      <c r="D104" s="66" t="s">
        <v>5</v>
      </c>
      <c r="E104" s="66" t="s">
        <v>0</v>
      </c>
      <c r="F104" s="106" t="s">
        <v>333</v>
      </c>
      <c r="G104" s="253">
        <f>G67</f>
        <v>16383094000</v>
      </c>
      <c r="H104" s="253">
        <f>H67</f>
        <v>0</v>
      </c>
      <c r="I104" s="253">
        <f>I67</f>
        <v>16383094000</v>
      </c>
    </row>
    <row r="105" spans="1:14">
      <c r="A105" s="48"/>
      <c r="B105" s="65"/>
      <c r="C105" s="66"/>
      <c r="D105" s="66"/>
      <c r="E105" s="66" t="s">
        <v>0</v>
      </c>
      <c r="F105" s="106" t="s">
        <v>164</v>
      </c>
      <c r="G105" s="66"/>
      <c r="H105" s="66" t="s">
        <v>0</v>
      </c>
      <c r="I105" s="220"/>
    </row>
    <row r="106" spans="1:14">
      <c r="A106" s="48"/>
      <c r="B106" s="65" t="s">
        <v>276</v>
      </c>
      <c r="C106" s="66" t="s">
        <v>278</v>
      </c>
      <c r="D106" s="66" t="s">
        <v>65</v>
      </c>
      <c r="E106" s="66" t="s">
        <v>0</v>
      </c>
      <c r="F106" s="105" t="s">
        <v>165</v>
      </c>
      <c r="G106" s="253">
        <f t="shared" ref="G106:I114" si="27">G69</f>
        <v>0</v>
      </c>
      <c r="H106" s="253">
        <f t="shared" si="27"/>
        <v>0</v>
      </c>
      <c r="I106" s="253">
        <f t="shared" si="27"/>
        <v>0</v>
      </c>
    </row>
    <row r="107" spans="1:14">
      <c r="A107" s="48"/>
      <c r="B107" s="65" t="s">
        <v>276</v>
      </c>
      <c r="C107" s="66" t="s">
        <v>279</v>
      </c>
      <c r="D107" s="66" t="s">
        <v>65</v>
      </c>
      <c r="E107" s="66" t="s">
        <v>0</v>
      </c>
      <c r="F107" s="105" t="s">
        <v>166</v>
      </c>
      <c r="G107" s="253">
        <f t="shared" si="27"/>
        <v>0</v>
      </c>
      <c r="H107" s="253">
        <f t="shared" si="27"/>
        <v>0</v>
      </c>
      <c r="I107" s="253">
        <f t="shared" si="27"/>
        <v>0</v>
      </c>
    </row>
    <row r="108" spans="1:14">
      <c r="A108" s="48"/>
      <c r="B108" s="65" t="s">
        <v>276</v>
      </c>
      <c r="C108" s="66" t="s">
        <v>280</v>
      </c>
      <c r="D108" s="66" t="s">
        <v>65</v>
      </c>
      <c r="E108" s="66" t="s">
        <v>0</v>
      </c>
      <c r="F108" s="105" t="s">
        <v>167</v>
      </c>
      <c r="G108" s="253">
        <f t="shared" si="27"/>
        <v>0</v>
      </c>
      <c r="H108" s="253">
        <f t="shared" si="27"/>
        <v>0</v>
      </c>
      <c r="I108" s="253">
        <f t="shared" si="27"/>
        <v>0</v>
      </c>
    </row>
    <row r="109" spans="1:14" ht="22.8">
      <c r="A109" s="48"/>
      <c r="B109" s="65" t="s">
        <v>276</v>
      </c>
      <c r="C109" s="66" t="s">
        <v>281</v>
      </c>
      <c r="D109" s="66" t="s">
        <v>65</v>
      </c>
      <c r="E109" s="66" t="s">
        <v>0</v>
      </c>
      <c r="F109" s="105" t="s">
        <v>168</v>
      </c>
      <c r="G109" s="253">
        <f t="shared" si="27"/>
        <v>0</v>
      </c>
      <c r="H109" s="253">
        <f t="shared" si="27"/>
        <v>0</v>
      </c>
      <c r="I109" s="253">
        <f t="shared" si="27"/>
        <v>0</v>
      </c>
    </row>
    <row r="110" spans="1:14">
      <c r="A110" s="48"/>
      <c r="B110" s="65" t="s">
        <v>276</v>
      </c>
      <c r="C110" s="66" t="s">
        <v>282</v>
      </c>
      <c r="D110" s="66" t="s">
        <v>65</v>
      </c>
      <c r="E110" s="66" t="s">
        <v>0</v>
      </c>
      <c r="F110" s="105" t="s">
        <v>169</v>
      </c>
      <c r="G110" s="253">
        <f t="shared" si="27"/>
        <v>0</v>
      </c>
      <c r="H110" s="253">
        <f t="shared" si="27"/>
        <v>0</v>
      </c>
      <c r="I110" s="253">
        <f t="shared" si="27"/>
        <v>0</v>
      </c>
    </row>
    <row r="111" spans="1:14">
      <c r="A111" s="48"/>
      <c r="B111" s="65" t="s">
        <v>276</v>
      </c>
      <c r="C111" s="66" t="s">
        <v>283</v>
      </c>
      <c r="D111" s="66" t="s">
        <v>65</v>
      </c>
      <c r="E111" s="66" t="s">
        <v>0</v>
      </c>
      <c r="F111" s="105" t="s">
        <v>170</v>
      </c>
      <c r="G111" s="253">
        <f t="shared" si="27"/>
        <v>0</v>
      </c>
      <c r="H111" s="253">
        <f t="shared" si="27"/>
        <v>0</v>
      </c>
      <c r="I111" s="253">
        <f t="shared" si="27"/>
        <v>0</v>
      </c>
    </row>
    <row r="112" spans="1:14">
      <c r="A112" s="48"/>
      <c r="B112" s="65" t="s">
        <v>276</v>
      </c>
      <c r="C112" s="66" t="s">
        <v>284</v>
      </c>
      <c r="D112" s="66" t="s">
        <v>65</v>
      </c>
      <c r="E112" s="66" t="s">
        <v>0</v>
      </c>
      <c r="F112" s="105" t="s">
        <v>171</v>
      </c>
      <c r="G112" s="253">
        <f t="shared" si="27"/>
        <v>0</v>
      </c>
      <c r="H112" s="253">
        <f t="shared" si="27"/>
        <v>0</v>
      </c>
      <c r="I112" s="253">
        <f t="shared" si="27"/>
        <v>0</v>
      </c>
    </row>
    <row r="113" spans="1:9">
      <c r="A113" s="48"/>
      <c r="B113" s="65" t="s">
        <v>276</v>
      </c>
      <c r="C113" s="66" t="s">
        <v>285</v>
      </c>
      <c r="D113" s="66" t="s">
        <v>65</v>
      </c>
      <c r="E113" s="66" t="s">
        <v>0</v>
      </c>
      <c r="F113" s="106" t="s">
        <v>172</v>
      </c>
      <c r="G113" s="253">
        <f t="shared" si="27"/>
        <v>0</v>
      </c>
      <c r="H113" s="253">
        <f t="shared" si="27"/>
        <v>0</v>
      </c>
      <c r="I113" s="253">
        <f t="shared" si="27"/>
        <v>0</v>
      </c>
    </row>
    <row r="114" spans="1:9">
      <c r="A114" t="s">
        <v>17</v>
      </c>
      <c r="B114" s="65" t="s">
        <v>276</v>
      </c>
      <c r="C114" s="66" t="s">
        <v>277</v>
      </c>
      <c r="D114" s="66" t="s">
        <v>4</v>
      </c>
      <c r="E114" s="66" t="s">
        <v>0</v>
      </c>
      <c r="F114" s="106" t="s">
        <v>332</v>
      </c>
      <c r="G114" s="253">
        <f>G77</f>
        <v>16383094000</v>
      </c>
      <c r="H114" s="253">
        <f t="shared" si="27"/>
        <v>0</v>
      </c>
      <c r="I114" s="253">
        <f t="shared" si="27"/>
        <v>16383094000</v>
      </c>
    </row>
    <row r="115" spans="1:9" ht="15" thickBot="1">
      <c r="B115" s="76"/>
      <c r="C115" s="77"/>
      <c r="D115" s="77"/>
      <c r="E115" s="77"/>
      <c r="F115" s="78"/>
      <c r="G115" s="77"/>
      <c r="H115" s="77"/>
      <c r="I115" s="221"/>
    </row>
  </sheetData>
  <mergeCells count="6">
    <mergeCell ref="G5:I5"/>
    <mergeCell ref="G25:I25"/>
    <mergeCell ref="G99:I99"/>
    <mergeCell ref="G43:I43"/>
    <mergeCell ref="G62:I62"/>
    <mergeCell ref="G80:I80"/>
  </mergeCells>
  <conditionalFormatting sqref="J97">
    <cfRule type="expression" dxfId="8" priority="20">
      <formula>IF(FIND("ERR",J97)&gt;1,TRUE,FALSE)</formula>
    </cfRule>
  </conditionalFormatting>
  <conditionalFormatting sqref="J87">
    <cfRule type="expression" dxfId="7" priority="16">
      <formula>IF(FIND("ERR",J87)&gt;1,TRUE,FALSE)</formula>
    </cfRule>
  </conditionalFormatting>
  <conditionalFormatting sqref="L97">
    <cfRule type="expression" dxfId="6" priority="13">
      <formula>IF(FIND("ERR",L97)&gt;1,TRUE,FALSE)</formula>
    </cfRule>
  </conditionalFormatting>
  <conditionalFormatting sqref="M97">
    <cfRule type="expression" dxfId="5" priority="11">
      <formula>IF(FIND("ERR",M97)&gt;1,TRUE,FALSE)</formula>
    </cfRule>
  </conditionalFormatting>
  <conditionalFormatting sqref="L87">
    <cfRule type="expression" dxfId="4" priority="10">
      <formula>IF(FIND("ERR",L87)&gt;1,TRUE,FALSE)</formula>
    </cfRule>
  </conditionalFormatting>
  <conditionalFormatting sqref="M87">
    <cfRule type="expression" dxfId="3" priority="7">
      <formula>IF(FIND("ERR",M87)&gt;1,TRUE,FALSE)</formula>
    </cfRule>
  </conditionalFormatting>
  <conditionalFormatting sqref="K97">
    <cfRule type="expression" dxfId="2" priority="6">
      <formula>IF(FIND("ERR",K97)&gt;1,TRUE,FALSE)</formula>
    </cfRule>
  </conditionalFormatting>
  <conditionalFormatting sqref="K87">
    <cfRule type="expression" dxfId="1" priority="4">
      <formula>IF(FIND("ERR",K87)&gt;1,TRUE,FALSE)</formula>
    </cfRule>
  </conditionalFormatting>
  <conditionalFormatting sqref="J93">
    <cfRule type="expression" dxfId="0" priority="2">
      <formula>IF(FIND("ERR",J93)&gt;1,TRUE,FALSE)</formula>
    </cfRule>
  </conditionalFormatting>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IFRS3-Cuadros</vt:lpstr>
      <vt:lpstr>IFRS3-DetaCombNego</vt:lpstr>
      <vt:lpstr>IFRS3-TranActvPasi</vt:lpstr>
      <vt:lpstr>IFRS3-CuenCobrAdqu</vt:lpstr>
      <vt:lpstr>IFRS3-PasiContCoNe</vt:lpstr>
      <vt:lpstr>IFRS3-ConcCambPlus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San Martin (DBNeTCorp)</dc:creator>
  <cp:lastModifiedBy>Waldo Byron Gonzalez Serrano</cp:lastModifiedBy>
  <dcterms:created xsi:type="dcterms:W3CDTF">2013-03-21T17:58:38Z</dcterms:created>
  <dcterms:modified xsi:type="dcterms:W3CDTF">2024-06-12T19:31:13Z</dcterms:modified>
</cp:coreProperties>
</file>