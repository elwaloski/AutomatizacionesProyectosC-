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defaultThemeVersion="124226"/>
  <mc:AlternateContent xmlns:mc="http://schemas.openxmlformats.org/markup-compatibility/2006">
    <mc:Choice Requires="x15">
      <x15ac:absPath xmlns:x15ac="http://schemas.microsoft.com/office/spreadsheetml/2010/11/ac" url="C:\Users\walo_\OneDrive\Desktop\CI\xls\"/>
    </mc:Choice>
  </mc:AlternateContent>
  <xr:revisionPtr revIDLastSave="0" documentId="13_ncr:1_{8CCD1CD1-74AC-4C9A-8A34-11D98F358792}" xr6:coauthVersionLast="47" xr6:coauthVersionMax="47" xr10:uidLastSave="{00000000-0000-0000-0000-000000000000}"/>
  <bookViews>
    <workbookView xWindow="90" yWindow="150" windowWidth="37395" windowHeight="19995" tabRatio="757" activeTab="1" xr2:uid="{00000000-000D-0000-FFFF-FFFF00000000}"/>
  </bookViews>
  <sheets>
    <sheet name="IFRS7-Cuadros" sheetId="1" r:id="rId1"/>
    <sheet name="IFRS7-ObligConBanc" sheetId="2" r:id="rId2"/>
    <sheet name="IFRS7-ObligConPubl" sheetId="6" r:id="rId3"/>
    <sheet name="IFRS7-RestFina" sheetId="16" r:id="rId4"/>
    <sheet name="IFRS7-DeudCuenCobr" sheetId="7" r:id="rId5"/>
    <sheet name="IFRS7-EstrDeLaCart" sheetId="8" r:id="rId6"/>
    <sheet name="IFRS7-CartProtCobr" sheetId="9" r:id="rId7"/>
    <sheet name="IFRS7-NumeMontOper" sheetId="10" r:id="rId8"/>
    <sheet name="IFRS7-ConcCambValo" sheetId="15" r:id="rId9"/>
    <sheet name="IFRS7-ExpoRiesCred" sheetId="12" r:id="rId10"/>
    <sheet name="IFRS7-InfoMatrProv" sheetId="14" r:id="rId11"/>
    <sheet name="Hoja1" sheetId="11" state="hidden" r:id="rId1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76" i="6" l="1"/>
  <c r="G76" i="6"/>
  <c r="H73" i="6"/>
  <c r="H72" i="6" s="1"/>
  <c r="H80" i="6" s="1"/>
  <c r="G73" i="6"/>
  <c r="G72" i="6" s="1"/>
  <c r="G80" i="6" s="1"/>
  <c r="H69" i="6"/>
  <c r="G69" i="6"/>
  <c r="H63" i="6"/>
  <c r="G63" i="6"/>
  <c r="H60" i="6"/>
  <c r="H67" i="6" s="1"/>
  <c r="G60" i="6"/>
  <c r="G67" i="6" s="1"/>
  <c r="H37" i="6"/>
  <c r="G37" i="6"/>
  <c r="H34" i="6"/>
  <c r="H33" i="6" s="1"/>
  <c r="G34" i="6"/>
  <c r="G33" i="6" s="1"/>
  <c r="H30" i="6"/>
  <c r="G30" i="6"/>
  <c r="G41" i="6" s="1"/>
  <c r="H24" i="6"/>
  <c r="G24" i="6"/>
  <c r="H21" i="6"/>
  <c r="H28" i="6" s="1"/>
  <c r="G21" i="6"/>
  <c r="G28" i="6" s="1"/>
  <c r="H72" i="2"/>
  <c r="G72" i="2"/>
  <c r="H69" i="2"/>
  <c r="H68" i="2" s="1"/>
  <c r="G69" i="2"/>
  <c r="G68" i="2" s="1"/>
  <c r="G76" i="2" s="1"/>
  <c r="H65" i="2"/>
  <c r="H76" i="2" s="1"/>
  <c r="G65" i="2"/>
  <c r="H59" i="2"/>
  <c r="G59" i="2"/>
  <c r="H56" i="2"/>
  <c r="H63" i="2" s="1"/>
  <c r="G56" i="2"/>
  <c r="G63" i="2" s="1"/>
  <c r="H35" i="2"/>
  <c r="G35" i="2"/>
  <c r="G31" i="2" s="1"/>
  <c r="G39" i="2" s="1"/>
  <c r="H32" i="2"/>
  <c r="H31" i="2" s="1"/>
  <c r="G32" i="2"/>
  <c r="H28" i="2"/>
  <c r="H39" i="2" s="1"/>
  <c r="G28" i="2"/>
  <c r="G26" i="2"/>
  <c r="H22" i="2"/>
  <c r="H26" i="2" s="1"/>
  <c r="G22" i="2"/>
  <c r="H19" i="2"/>
  <c r="G19" i="2"/>
  <c r="H41" i="6" l="1"/>
  <c r="H5" i="16" l="1"/>
  <c r="G5" i="16"/>
  <c r="G21" i="16"/>
  <c r="H21" i="16"/>
  <c r="T18" i="14" l="1"/>
  <c r="S18" i="14"/>
  <c r="R18" i="14"/>
  <c r="O18" i="14"/>
  <c r="L18" i="14"/>
  <c r="I18" i="14"/>
  <c r="T25" i="14"/>
  <c r="S25" i="14"/>
  <c r="R25" i="14"/>
  <c r="O25" i="14"/>
  <c r="L25" i="14"/>
  <c r="I25" i="14"/>
  <c r="U25" i="14" s="1"/>
  <c r="T40" i="14"/>
  <c r="S40" i="14"/>
  <c r="R40" i="14"/>
  <c r="O40" i="14"/>
  <c r="L40" i="14"/>
  <c r="I40" i="14"/>
  <c r="T47" i="14"/>
  <c r="S47" i="14"/>
  <c r="R47" i="14"/>
  <c r="O47" i="14"/>
  <c r="L47" i="14"/>
  <c r="I47" i="14"/>
  <c r="T60" i="14"/>
  <c r="S60" i="14"/>
  <c r="R60" i="14"/>
  <c r="O60" i="14"/>
  <c r="L60" i="14"/>
  <c r="I60" i="14"/>
  <c r="U60" i="14" s="1"/>
  <c r="R67" i="14"/>
  <c r="R66" i="14"/>
  <c r="R59" i="14"/>
  <c r="O67" i="14"/>
  <c r="O66" i="14"/>
  <c r="O59" i="14"/>
  <c r="L67" i="14"/>
  <c r="L66" i="14"/>
  <c r="L59" i="14"/>
  <c r="I67" i="14"/>
  <c r="I66" i="14"/>
  <c r="I59" i="14"/>
  <c r="S59" i="14"/>
  <c r="T59" i="14"/>
  <c r="S66" i="14"/>
  <c r="T66" i="14"/>
  <c r="S67" i="14"/>
  <c r="T67" i="14"/>
  <c r="T46" i="14"/>
  <c r="S46" i="14"/>
  <c r="R46" i="14"/>
  <c r="O46" i="14"/>
  <c r="L46" i="14"/>
  <c r="I46" i="14"/>
  <c r="U45" i="14"/>
  <c r="T45" i="14"/>
  <c r="S45" i="14"/>
  <c r="R45" i="14"/>
  <c r="Q45" i="14"/>
  <c r="P45" i="14"/>
  <c r="O45" i="14"/>
  <c r="N45" i="14"/>
  <c r="M45" i="14"/>
  <c r="L45" i="14"/>
  <c r="K45" i="14"/>
  <c r="J45" i="14"/>
  <c r="I45" i="14"/>
  <c r="H45" i="14"/>
  <c r="G45" i="14"/>
  <c r="T39" i="14"/>
  <c r="S39" i="14"/>
  <c r="R39" i="14"/>
  <c r="O39" i="14"/>
  <c r="L39" i="14"/>
  <c r="I39" i="14"/>
  <c r="R24" i="14"/>
  <c r="R23" i="14"/>
  <c r="R17" i="14"/>
  <c r="O24" i="14"/>
  <c r="O23" i="14"/>
  <c r="O17" i="14"/>
  <c r="L24" i="14"/>
  <c r="L23" i="14"/>
  <c r="L17" i="14"/>
  <c r="I24" i="14"/>
  <c r="I17" i="14"/>
  <c r="U46" i="14" l="1"/>
  <c r="U18" i="14"/>
  <c r="U47" i="14"/>
  <c r="U67" i="14"/>
  <c r="U39" i="14"/>
  <c r="U40" i="14"/>
  <c r="U66" i="14"/>
  <c r="U59" i="14"/>
  <c r="G44" i="12"/>
  <c r="G45" i="12" s="1"/>
  <c r="H45" i="12" s="1"/>
  <c r="I45" i="12" s="1"/>
  <c r="J45" i="12" s="1"/>
  <c r="K45" i="12" s="1"/>
  <c r="L45" i="12" s="1"/>
  <c r="M45" i="12" s="1"/>
  <c r="N45" i="12" s="1"/>
  <c r="O45" i="12" s="1"/>
  <c r="P45" i="12" s="1"/>
  <c r="Q45" i="12" s="1"/>
  <c r="R45" i="12" s="1"/>
  <c r="S45" i="12" s="1"/>
  <c r="T45" i="12" s="1"/>
  <c r="U45" i="12" s="1"/>
  <c r="G10" i="12"/>
  <c r="G11" i="12" s="1"/>
  <c r="G96" i="15"/>
  <c r="G10" i="15"/>
  <c r="U38" i="14"/>
  <c r="T38" i="14"/>
  <c r="S38" i="14"/>
  <c r="R38" i="14"/>
  <c r="Q38" i="14"/>
  <c r="P38" i="14"/>
  <c r="O38" i="14"/>
  <c r="N38" i="14"/>
  <c r="M38" i="14"/>
  <c r="L38" i="14"/>
  <c r="K38" i="14"/>
  <c r="J38" i="14"/>
  <c r="I38" i="14"/>
  <c r="H38" i="14"/>
  <c r="G38" i="14"/>
  <c r="T33" i="14"/>
  <c r="U33" i="14" s="1"/>
  <c r="Q33" i="14"/>
  <c r="R33" i="14" s="1"/>
  <c r="N33" i="14"/>
  <c r="O33" i="14" s="1"/>
  <c r="K33" i="14"/>
  <c r="L33" i="14" s="1"/>
  <c r="H33" i="14"/>
  <c r="I33" i="14" s="1"/>
  <c r="G30" i="14"/>
  <c r="G31" i="14" s="1"/>
  <c r="Q71" i="12"/>
  <c r="T71" i="12" s="1"/>
  <c r="P71" i="12"/>
  <c r="S71" i="12" s="1"/>
  <c r="O71" i="12"/>
  <c r="L71" i="12"/>
  <c r="I71" i="12"/>
  <c r="Q70" i="12"/>
  <c r="T70" i="12" s="1"/>
  <c r="P70" i="12"/>
  <c r="S70" i="12" s="1"/>
  <c r="O70" i="12"/>
  <c r="L70" i="12"/>
  <c r="I70" i="12"/>
  <c r="U66" i="12"/>
  <c r="T66" i="12"/>
  <c r="S66" i="12"/>
  <c r="R66" i="12"/>
  <c r="Q66" i="12"/>
  <c r="P66" i="12"/>
  <c r="O66" i="12"/>
  <c r="N66" i="12"/>
  <c r="M66" i="12"/>
  <c r="L66" i="12"/>
  <c r="K66" i="12"/>
  <c r="J66" i="12"/>
  <c r="I66" i="12"/>
  <c r="H66" i="12"/>
  <c r="G66" i="12"/>
  <c r="U65" i="12"/>
  <c r="T65" i="12"/>
  <c r="S65" i="12"/>
  <c r="R65" i="12"/>
  <c r="Q65" i="12"/>
  <c r="P65" i="12"/>
  <c r="O65" i="12"/>
  <c r="N65" i="12"/>
  <c r="M65" i="12"/>
  <c r="L65" i="12"/>
  <c r="K65" i="12"/>
  <c r="J65" i="12"/>
  <c r="I65" i="12"/>
  <c r="H65" i="12"/>
  <c r="G65" i="12"/>
  <c r="U64" i="12"/>
  <c r="T64" i="12"/>
  <c r="S64" i="12"/>
  <c r="R64" i="12"/>
  <c r="Q64" i="12"/>
  <c r="P64" i="12"/>
  <c r="O64" i="12"/>
  <c r="N64" i="12"/>
  <c r="M64" i="12"/>
  <c r="L64" i="12"/>
  <c r="K64" i="12"/>
  <c r="J64" i="12"/>
  <c r="I64" i="12"/>
  <c r="H64" i="12"/>
  <c r="G64" i="12"/>
  <c r="Q59" i="12"/>
  <c r="T59" i="12" s="1"/>
  <c r="P59" i="12"/>
  <c r="S59" i="12" s="1"/>
  <c r="O59" i="12"/>
  <c r="L59" i="12"/>
  <c r="I59" i="12"/>
  <c r="Q58" i="12"/>
  <c r="T58" i="12" s="1"/>
  <c r="P58" i="12"/>
  <c r="S58" i="12" s="1"/>
  <c r="O58" i="12"/>
  <c r="L58" i="12"/>
  <c r="I58" i="12"/>
  <c r="U54" i="12"/>
  <c r="T54" i="12"/>
  <c r="S54" i="12"/>
  <c r="R54" i="12"/>
  <c r="Q54" i="12"/>
  <c r="P54" i="12"/>
  <c r="O54" i="12"/>
  <c r="N54" i="12"/>
  <c r="M54" i="12"/>
  <c r="L54" i="12"/>
  <c r="K54" i="12"/>
  <c r="J54" i="12"/>
  <c r="I54" i="12"/>
  <c r="H54" i="12"/>
  <c r="G54" i="12"/>
  <c r="U53" i="12"/>
  <c r="T53" i="12"/>
  <c r="S53" i="12"/>
  <c r="R53" i="12"/>
  <c r="Q53" i="12"/>
  <c r="P53" i="12"/>
  <c r="O53" i="12"/>
  <c r="N53" i="12"/>
  <c r="M53" i="12"/>
  <c r="L53" i="12"/>
  <c r="K53" i="12"/>
  <c r="J53" i="12"/>
  <c r="I53" i="12"/>
  <c r="H53" i="12"/>
  <c r="G53" i="12"/>
  <c r="U52" i="12"/>
  <c r="T52" i="12"/>
  <c r="S52" i="12"/>
  <c r="R52" i="12"/>
  <c r="Q52" i="12"/>
  <c r="P52" i="12"/>
  <c r="O52" i="12"/>
  <c r="N52" i="12"/>
  <c r="M52" i="12"/>
  <c r="L52" i="12"/>
  <c r="K52" i="12"/>
  <c r="J52" i="12"/>
  <c r="I52" i="12"/>
  <c r="H52" i="12"/>
  <c r="G52" i="12"/>
  <c r="T47" i="12"/>
  <c r="U47" i="12" s="1"/>
  <c r="Q47" i="12"/>
  <c r="R47" i="12" s="1"/>
  <c r="N47" i="12"/>
  <c r="O47" i="12" s="1"/>
  <c r="K47" i="12"/>
  <c r="L47" i="12" s="1"/>
  <c r="H47" i="12"/>
  <c r="I47" i="12" s="1"/>
  <c r="G18" i="12"/>
  <c r="U71" i="12" l="1"/>
  <c r="H31" i="14"/>
  <c r="I31" i="14" s="1"/>
  <c r="J31" i="14" s="1"/>
  <c r="K31" i="14" s="1"/>
  <c r="L31" i="14" s="1"/>
  <c r="M31" i="14" s="1"/>
  <c r="N31" i="14" s="1"/>
  <c r="O31" i="14" s="1"/>
  <c r="P31" i="14" s="1"/>
  <c r="Q31" i="14" s="1"/>
  <c r="R31" i="14" s="1"/>
  <c r="S31" i="14" s="1"/>
  <c r="T31" i="14" s="1"/>
  <c r="U31" i="14" s="1"/>
  <c r="U58" i="12"/>
  <c r="U70" i="12"/>
  <c r="U59" i="12"/>
  <c r="R70" i="12"/>
  <c r="R58" i="12"/>
  <c r="R71" i="12"/>
  <c r="R59" i="12"/>
  <c r="G8" i="14"/>
  <c r="G9" i="14" s="1"/>
  <c r="U23" i="14"/>
  <c r="T23" i="14"/>
  <c r="S23" i="14"/>
  <c r="Q23" i="14"/>
  <c r="P23" i="14"/>
  <c r="N23" i="14"/>
  <c r="M23" i="14"/>
  <c r="K23" i="14"/>
  <c r="J23" i="14"/>
  <c r="I23" i="14"/>
  <c r="H23" i="14"/>
  <c r="G23" i="14"/>
  <c r="U16" i="14"/>
  <c r="T16" i="14"/>
  <c r="S16" i="14"/>
  <c r="R16" i="14"/>
  <c r="Q16" i="14"/>
  <c r="P16" i="14"/>
  <c r="O16" i="14"/>
  <c r="N16" i="14"/>
  <c r="M16" i="14"/>
  <c r="L16" i="14"/>
  <c r="K16" i="14"/>
  <c r="J16" i="14"/>
  <c r="I16" i="14"/>
  <c r="H16" i="14"/>
  <c r="G16" i="14"/>
  <c r="U32" i="12"/>
  <c r="T32" i="12"/>
  <c r="S32" i="12"/>
  <c r="R32" i="12"/>
  <c r="Q32" i="12"/>
  <c r="P32" i="12"/>
  <c r="O32" i="12"/>
  <c r="N32" i="12"/>
  <c r="M32" i="12"/>
  <c r="L32" i="12"/>
  <c r="K32" i="12"/>
  <c r="J32" i="12"/>
  <c r="I32" i="12"/>
  <c r="H32" i="12"/>
  <c r="U31" i="12"/>
  <c r="T31" i="12"/>
  <c r="S31" i="12"/>
  <c r="R31" i="12"/>
  <c r="Q31" i="12"/>
  <c r="P31" i="12"/>
  <c r="O31" i="12"/>
  <c r="N31" i="12"/>
  <c r="M31" i="12"/>
  <c r="L31" i="12"/>
  <c r="K31" i="12"/>
  <c r="J31" i="12"/>
  <c r="I31" i="12"/>
  <c r="H31" i="12"/>
  <c r="U30" i="12"/>
  <c r="T30" i="12"/>
  <c r="S30" i="12"/>
  <c r="R30" i="12"/>
  <c r="Q30" i="12"/>
  <c r="P30" i="12"/>
  <c r="O30" i="12"/>
  <c r="N30" i="12"/>
  <c r="M30" i="12"/>
  <c r="L30" i="12"/>
  <c r="K30" i="12"/>
  <c r="J30" i="12"/>
  <c r="I30" i="12"/>
  <c r="H30" i="12"/>
  <c r="G30" i="12"/>
  <c r="G31" i="12"/>
  <c r="G32" i="12"/>
  <c r="U20" i="12"/>
  <c r="T20" i="12"/>
  <c r="S20" i="12"/>
  <c r="R20" i="12"/>
  <c r="Q20" i="12"/>
  <c r="P20" i="12"/>
  <c r="O20" i="12"/>
  <c r="N20" i="12"/>
  <c r="M20" i="12"/>
  <c r="L20" i="12"/>
  <c r="K20" i="12"/>
  <c r="J20" i="12"/>
  <c r="I20" i="12"/>
  <c r="H20" i="12"/>
  <c r="G20" i="12"/>
  <c r="U19" i="12"/>
  <c r="T19" i="12"/>
  <c r="S19" i="12"/>
  <c r="R19" i="12"/>
  <c r="Q19" i="12"/>
  <c r="P19" i="12"/>
  <c r="O19" i="12"/>
  <c r="N19" i="12"/>
  <c r="M19" i="12"/>
  <c r="L19" i="12"/>
  <c r="K19" i="12"/>
  <c r="J19" i="12"/>
  <c r="I19" i="12"/>
  <c r="H19" i="12"/>
  <c r="G19" i="12"/>
  <c r="U18" i="12"/>
  <c r="T18" i="12"/>
  <c r="S18" i="12"/>
  <c r="R18" i="12"/>
  <c r="Q18" i="12"/>
  <c r="P18" i="12"/>
  <c r="O18" i="12"/>
  <c r="N18" i="12"/>
  <c r="M18" i="12"/>
  <c r="L18" i="12"/>
  <c r="K18" i="12"/>
  <c r="J18" i="12"/>
  <c r="I18" i="12"/>
  <c r="H18" i="12"/>
  <c r="Q172" i="15"/>
  <c r="P172" i="15"/>
  <c r="S172" i="15" s="1"/>
  <c r="O172" i="15"/>
  <c r="L172" i="15"/>
  <c r="I172" i="15"/>
  <c r="Q171" i="15"/>
  <c r="T171" i="15" s="1"/>
  <c r="P171" i="15"/>
  <c r="S171" i="15" s="1"/>
  <c r="O171" i="15"/>
  <c r="L171" i="15"/>
  <c r="I171" i="15"/>
  <c r="Q170" i="15"/>
  <c r="T170" i="15" s="1"/>
  <c r="P170" i="15"/>
  <c r="O170" i="15"/>
  <c r="L170" i="15"/>
  <c r="I170" i="15"/>
  <c r="Q169" i="15"/>
  <c r="T169" i="15" s="1"/>
  <c r="P169" i="15"/>
  <c r="S169" i="15" s="1"/>
  <c r="O169" i="15"/>
  <c r="L169" i="15"/>
  <c r="I169" i="15"/>
  <c r="Q168" i="15"/>
  <c r="T168" i="15" s="1"/>
  <c r="P168" i="15"/>
  <c r="S168" i="15" s="1"/>
  <c r="O168" i="15"/>
  <c r="L168" i="15"/>
  <c r="I168" i="15"/>
  <c r="Q166" i="15"/>
  <c r="T166" i="15" s="1"/>
  <c r="P166" i="15"/>
  <c r="S166" i="15" s="1"/>
  <c r="O166" i="15"/>
  <c r="L166" i="15"/>
  <c r="I166" i="15"/>
  <c r="Q165" i="15"/>
  <c r="T165" i="15" s="1"/>
  <c r="P165" i="15"/>
  <c r="S165" i="15" s="1"/>
  <c r="O165" i="15"/>
  <c r="L165" i="15"/>
  <c r="I165" i="15"/>
  <c r="Q164" i="15"/>
  <c r="T164" i="15" s="1"/>
  <c r="P164" i="15"/>
  <c r="S164" i="15" s="1"/>
  <c r="O164" i="15"/>
  <c r="L164" i="15"/>
  <c r="I164" i="15"/>
  <c r="Q163" i="15"/>
  <c r="T163" i="15" s="1"/>
  <c r="P163" i="15"/>
  <c r="S163" i="15" s="1"/>
  <c r="O163" i="15"/>
  <c r="L163" i="15"/>
  <c r="I163" i="15"/>
  <c r="Q162" i="15"/>
  <c r="T162" i="15" s="1"/>
  <c r="P162" i="15"/>
  <c r="S162" i="15" s="1"/>
  <c r="O162" i="15"/>
  <c r="L162" i="15"/>
  <c r="I162" i="15"/>
  <c r="Q160" i="15"/>
  <c r="T160" i="15" s="1"/>
  <c r="P160" i="15"/>
  <c r="O160" i="15"/>
  <c r="L160" i="15"/>
  <c r="I160" i="15"/>
  <c r="Q158" i="15"/>
  <c r="T158" i="15" s="1"/>
  <c r="P158" i="15"/>
  <c r="S158" i="15" s="1"/>
  <c r="O158" i="15"/>
  <c r="L158" i="15"/>
  <c r="I158" i="15"/>
  <c r="Q157" i="15"/>
  <c r="T157" i="15" s="1"/>
  <c r="P157" i="15"/>
  <c r="S157" i="15" s="1"/>
  <c r="O157" i="15"/>
  <c r="L157" i="15"/>
  <c r="I157" i="15"/>
  <c r="Q156" i="15"/>
  <c r="T156" i="15" s="1"/>
  <c r="P156" i="15"/>
  <c r="O156" i="15"/>
  <c r="L156" i="15"/>
  <c r="I156" i="15"/>
  <c r="Q155" i="15"/>
  <c r="T155" i="15" s="1"/>
  <c r="P155" i="15"/>
  <c r="O155" i="15"/>
  <c r="L155" i="15"/>
  <c r="I155" i="15"/>
  <c r="Q154" i="15"/>
  <c r="T154" i="15" s="1"/>
  <c r="P154" i="15"/>
  <c r="S154" i="15" s="1"/>
  <c r="O154" i="15"/>
  <c r="L154" i="15"/>
  <c r="I154" i="15"/>
  <c r="Q152" i="15"/>
  <c r="T152" i="15" s="1"/>
  <c r="P152" i="15"/>
  <c r="O152" i="15"/>
  <c r="L152" i="15"/>
  <c r="I152" i="15"/>
  <c r="Q151" i="15"/>
  <c r="T151" i="15" s="1"/>
  <c r="P151" i="15"/>
  <c r="S151" i="15" s="1"/>
  <c r="O151" i="15"/>
  <c r="L151" i="15"/>
  <c r="I151" i="15"/>
  <c r="Q150" i="15"/>
  <c r="T150" i="15" s="1"/>
  <c r="P150" i="15"/>
  <c r="O150" i="15"/>
  <c r="L150" i="15"/>
  <c r="I150" i="15"/>
  <c r="Q149" i="15"/>
  <c r="T149" i="15" s="1"/>
  <c r="P149" i="15"/>
  <c r="S149" i="15" s="1"/>
  <c r="O149" i="15"/>
  <c r="L149" i="15"/>
  <c r="I149" i="15"/>
  <c r="Q148" i="15"/>
  <c r="T148" i="15" s="1"/>
  <c r="P148" i="15"/>
  <c r="S148" i="15" s="1"/>
  <c r="O148" i="15"/>
  <c r="L148" i="15"/>
  <c r="I148" i="15"/>
  <c r="Q147" i="15"/>
  <c r="T147" i="15" s="1"/>
  <c r="P147" i="15"/>
  <c r="O147" i="15"/>
  <c r="L147" i="15"/>
  <c r="I147" i="15"/>
  <c r="Q145" i="15"/>
  <c r="T145" i="15" s="1"/>
  <c r="P145" i="15"/>
  <c r="S145" i="15" s="1"/>
  <c r="O145" i="15"/>
  <c r="L145" i="15"/>
  <c r="I145" i="15"/>
  <c r="U144" i="15"/>
  <c r="T144" i="15"/>
  <c r="S144" i="15"/>
  <c r="R144" i="15"/>
  <c r="Q144" i="15"/>
  <c r="P144" i="15"/>
  <c r="O144" i="15"/>
  <c r="N144" i="15"/>
  <c r="M144" i="15"/>
  <c r="L144" i="15"/>
  <c r="K144" i="15"/>
  <c r="J144" i="15"/>
  <c r="I144" i="15"/>
  <c r="H144" i="15"/>
  <c r="G144" i="15"/>
  <c r="U143" i="15"/>
  <c r="T143" i="15"/>
  <c r="S143" i="15"/>
  <c r="R143" i="15"/>
  <c r="Q143" i="15"/>
  <c r="P143" i="15"/>
  <c r="O143" i="15"/>
  <c r="N143" i="15"/>
  <c r="M143" i="15"/>
  <c r="L143" i="15"/>
  <c r="K143" i="15"/>
  <c r="J143" i="15"/>
  <c r="I143" i="15"/>
  <c r="H143" i="15"/>
  <c r="G143" i="15"/>
  <c r="U142" i="15"/>
  <c r="T142" i="15"/>
  <c r="S142" i="15"/>
  <c r="R142" i="15"/>
  <c r="Q142" i="15"/>
  <c r="P142" i="15"/>
  <c r="O142" i="15"/>
  <c r="N142" i="15"/>
  <c r="M142" i="15"/>
  <c r="L142" i="15"/>
  <c r="K142" i="15"/>
  <c r="J142" i="15"/>
  <c r="I142" i="15"/>
  <c r="H142" i="15"/>
  <c r="G142" i="15"/>
  <c r="Q134" i="15"/>
  <c r="T134" i="15" s="1"/>
  <c r="P134" i="15"/>
  <c r="S134" i="15" s="1"/>
  <c r="O134" i="15"/>
  <c r="L134" i="15"/>
  <c r="I134" i="15"/>
  <c r="Q133" i="15"/>
  <c r="T133" i="15" s="1"/>
  <c r="P133" i="15"/>
  <c r="O133" i="15"/>
  <c r="L133" i="15"/>
  <c r="I133" i="15"/>
  <c r="Q132" i="15"/>
  <c r="T132" i="15" s="1"/>
  <c r="P132" i="15"/>
  <c r="S132" i="15" s="1"/>
  <c r="O132" i="15"/>
  <c r="L132" i="15"/>
  <c r="I132" i="15"/>
  <c r="Q131" i="15"/>
  <c r="T131" i="15" s="1"/>
  <c r="P131" i="15"/>
  <c r="S131" i="15" s="1"/>
  <c r="O131" i="15"/>
  <c r="L131" i="15"/>
  <c r="I131" i="15"/>
  <c r="Q130" i="15"/>
  <c r="P130" i="15"/>
  <c r="S130" i="15" s="1"/>
  <c r="O130" i="15"/>
  <c r="L130" i="15"/>
  <c r="I130" i="15"/>
  <c r="Q128" i="15"/>
  <c r="T128" i="15" s="1"/>
  <c r="P128" i="15"/>
  <c r="S128" i="15" s="1"/>
  <c r="O128" i="15"/>
  <c r="L128" i="15"/>
  <c r="I128" i="15"/>
  <c r="Q127" i="15"/>
  <c r="T127" i="15" s="1"/>
  <c r="P127" i="15"/>
  <c r="S127" i="15" s="1"/>
  <c r="U127" i="15" s="1"/>
  <c r="O127" i="15"/>
  <c r="L127" i="15"/>
  <c r="I127" i="15"/>
  <c r="Q126" i="15"/>
  <c r="T126" i="15" s="1"/>
  <c r="P126" i="15"/>
  <c r="S126" i="15" s="1"/>
  <c r="O126" i="15"/>
  <c r="L126" i="15"/>
  <c r="I126" i="15"/>
  <c r="Q125" i="15"/>
  <c r="T125" i="15" s="1"/>
  <c r="P125" i="15"/>
  <c r="S125" i="15" s="1"/>
  <c r="O125" i="15"/>
  <c r="L125" i="15"/>
  <c r="I125" i="15"/>
  <c r="Q124" i="15"/>
  <c r="T124" i="15" s="1"/>
  <c r="P124" i="15"/>
  <c r="S124" i="15" s="1"/>
  <c r="O124" i="15"/>
  <c r="L124" i="15"/>
  <c r="I124" i="15"/>
  <c r="Q122" i="15"/>
  <c r="T122" i="15" s="1"/>
  <c r="P122" i="15"/>
  <c r="S122" i="15" s="1"/>
  <c r="O122" i="15"/>
  <c r="L122" i="15"/>
  <c r="I122" i="15"/>
  <c r="Q120" i="15"/>
  <c r="T120" i="15" s="1"/>
  <c r="P120" i="15"/>
  <c r="S120" i="15" s="1"/>
  <c r="O120" i="15"/>
  <c r="L120" i="15"/>
  <c r="I120" i="15"/>
  <c r="Q119" i="15"/>
  <c r="T119" i="15" s="1"/>
  <c r="P119" i="15"/>
  <c r="S119" i="15" s="1"/>
  <c r="O119" i="15"/>
  <c r="L119" i="15"/>
  <c r="I119" i="15"/>
  <c r="Q118" i="15"/>
  <c r="T118" i="15" s="1"/>
  <c r="P118" i="15"/>
  <c r="O118" i="15"/>
  <c r="L118" i="15"/>
  <c r="I118" i="15"/>
  <c r="Q117" i="15"/>
  <c r="T117" i="15" s="1"/>
  <c r="P117" i="15"/>
  <c r="S117" i="15" s="1"/>
  <c r="O117" i="15"/>
  <c r="L117" i="15"/>
  <c r="I117" i="15"/>
  <c r="Q116" i="15"/>
  <c r="T116" i="15" s="1"/>
  <c r="P116" i="15"/>
  <c r="S116" i="15" s="1"/>
  <c r="O116" i="15"/>
  <c r="L116" i="15"/>
  <c r="I116" i="15"/>
  <c r="Q114" i="15"/>
  <c r="T114" i="15" s="1"/>
  <c r="P114" i="15"/>
  <c r="S114" i="15" s="1"/>
  <c r="O114" i="15"/>
  <c r="L114" i="15"/>
  <c r="I114" i="15"/>
  <c r="Q113" i="15"/>
  <c r="T113" i="15" s="1"/>
  <c r="P113" i="15"/>
  <c r="S113" i="15" s="1"/>
  <c r="O113" i="15"/>
  <c r="L113" i="15"/>
  <c r="I113" i="15"/>
  <c r="Q112" i="15"/>
  <c r="T112" i="15" s="1"/>
  <c r="P112" i="15"/>
  <c r="O112" i="15"/>
  <c r="L112" i="15"/>
  <c r="I112" i="15"/>
  <c r="Q111" i="15"/>
  <c r="T111" i="15" s="1"/>
  <c r="P111" i="15"/>
  <c r="O111" i="15"/>
  <c r="L111" i="15"/>
  <c r="I111" i="15"/>
  <c r="Q110" i="15"/>
  <c r="P110" i="15"/>
  <c r="S110" i="15" s="1"/>
  <c r="O110" i="15"/>
  <c r="L110" i="15"/>
  <c r="I110" i="15"/>
  <c r="Q109" i="15"/>
  <c r="T109" i="15" s="1"/>
  <c r="P109" i="15"/>
  <c r="S109" i="15" s="1"/>
  <c r="O109" i="15"/>
  <c r="L109" i="15"/>
  <c r="I109" i="15"/>
  <c r="Q107" i="15"/>
  <c r="T107" i="15" s="1"/>
  <c r="P107" i="15"/>
  <c r="O107" i="15"/>
  <c r="L107" i="15"/>
  <c r="I107" i="15"/>
  <c r="U106" i="15"/>
  <c r="T106" i="15"/>
  <c r="S106" i="15"/>
  <c r="R106" i="15"/>
  <c r="Q106" i="15"/>
  <c r="P106" i="15"/>
  <c r="O106" i="15"/>
  <c r="L106" i="15"/>
  <c r="K106" i="15"/>
  <c r="J106" i="15"/>
  <c r="I106" i="15"/>
  <c r="H106" i="15"/>
  <c r="G106" i="15"/>
  <c r="U105" i="15"/>
  <c r="T105" i="15"/>
  <c r="S105" i="15"/>
  <c r="R105" i="15"/>
  <c r="Q105" i="15"/>
  <c r="P105" i="15"/>
  <c r="O105" i="15"/>
  <c r="L105" i="15"/>
  <c r="K105" i="15"/>
  <c r="J105" i="15"/>
  <c r="I105" i="15"/>
  <c r="H105" i="15"/>
  <c r="G105" i="15"/>
  <c r="U104" i="15"/>
  <c r="T104" i="15"/>
  <c r="S104" i="15"/>
  <c r="R104" i="15"/>
  <c r="Q104" i="15"/>
  <c r="P104" i="15"/>
  <c r="O104" i="15"/>
  <c r="L104" i="15"/>
  <c r="K104" i="15"/>
  <c r="J104" i="15"/>
  <c r="I104" i="15"/>
  <c r="H104" i="15"/>
  <c r="G104" i="15"/>
  <c r="T99" i="15"/>
  <c r="U99" i="15" s="1"/>
  <c r="Q99" i="15"/>
  <c r="R99" i="15" s="1"/>
  <c r="N99" i="15"/>
  <c r="O99" i="15" s="1"/>
  <c r="K99" i="15"/>
  <c r="L99" i="15" s="1"/>
  <c r="H99" i="15"/>
  <c r="I99" i="15" s="1"/>
  <c r="Q254" i="15"/>
  <c r="T254" i="15" s="1"/>
  <c r="P254" i="15"/>
  <c r="S254" i="15" s="1"/>
  <c r="O254" i="15"/>
  <c r="L254" i="15"/>
  <c r="I254" i="15"/>
  <c r="Q253" i="15"/>
  <c r="T253" i="15" s="1"/>
  <c r="P253" i="15"/>
  <c r="S253" i="15" s="1"/>
  <c r="O253" i="15"/>
  <c r="L253" i="15"/>
  <c r="I253" i="15"/>
  <c r="Q252" i="15"/>
  <c r="T252" i="15" s="1"/>
  <c r="P252" i="15"/>
  <c r="S252" i="15" s="1"/>
  <c r="O252" i="15"/>
  <c r="L252" i="15"/>
  <c r="I252" i="15"/>
  <c r="Q251" i="15"/>
  <c r="T251" i="15" s="1"/>
  <c r="P251" i="15"/>
  <c r="O251" i="15"/>
  <c r="L251" i="15"/>
  <c r="I251" i="15"/>
  <c r="Q250" i="15"/>
  <c r="T250" i="15" s="1"/>
  <c r="P250" i="15"/>
  <c r="S250" i="15" s="1"/>
  <c r="O250" i="15"/>
  <c r="L250" i="15"/>
  <c r="I250" i="15"/>
  <c r="Q248" i="15"/>
  <c r="P248" i="15"/>
  <c r="S248" i="15" s="1"/>
  <c r="O248" i="15"/>
  <c r="L248" i="15"/>
  <c r="I248" i="15"/>
  <c r="Q247" i="15"/>
  <c r="T247" i="15" s="1"/>
  <c r="P247" i="15"/>
  <c r="S247" i="15" s="1"/>
  <c r="O247" i="15"/>
  <c r="L247" i="15"/>
  <c r="I247" i="15"/>
  <c r="Q246" i="15"/>
  <c r="T246" i="15" s="1"/>
  <c r="P246" i="15"/>
  <c r="S246" i="15" s="1"/>
  <c r="O246" i="15"/>
  <c r="L246" i="15"/>
  <c r="I246" i="15"/>
  <c r="Q245" i="15"/>
  <c r="T245" i="15" s="1"/>
  <c r="P245" i="15"/>
  <c r="S245" i="15" s="1"/>
  <c r="O245" i="15"/>
  <c r="L245" i="15"/>
  <c r="I245" i="15"/>
  <c r="Q244" i="15"/>
  <c r="T244" i="15" s="1"/>
  <c r="P244" i="15"/>
  <c r="S244" i="15" s="1"/>
  <c r="O244" i="15"/>
  <c r="L244" i="15"/>
  <c r="I244" i="15"/>
  <c r="Q242" i="15"/>
  <c r="T242" i="15" s="1"/>
  <c r="P242" i="15"/>
  <c r="O242" i="15"/>
  <c r="L242" i="15"/>
  <c r="I242" i="15"/>
  <c r="Q240" i="15"/>
  <c r="T240" i="15" s="1"/>
  <c r="P240" i="15"/>
  <c r="O240" i="15"/>
  <c r="L240" i="15"/>
  <c r="I240" i="15"/>
  <c r="Q239" i="15"/>
  <c r="T239" i="15" s="1"/>
  <c r="P239" i="15"/>
  <c r="S239" i="15" s="1"/>
  <c r="O239" i="15"/>
  <c r="L239" i="15"/>
  <c r="I239" i="15"/>
  <c r="Q238" i="15"/>
  <c r="T238" i="15" s="1"/>
  <c r="P238" i="15"/>
  <c r="S238" i="15" s="1"/>
  <c r="O238" i="15"/>
  <c r="L238" i="15"/>
  <c r="I238" i="15"/>
  <c r="Q237" i="15"/>
  <c r="T237" i="15" s="1"/>
  <c r="P237" i="15"/>
  <c r="S237" i="15" s="1"/>
  <c r="O237" i="15"/>
  <c r="L237" i="15"/>
  <c r="I237" i="15"/>
  <c r="Q236" i="15"/>
  <c r="T236" i="15" s="1"/>
  <c r="P236" i="15"/>
  <c r="S236" i="15" s="1"/>
  <c r="O236" i="15"/>
  <c r="L236" i="15"/>
  <c r="I236" i="15"/>
  <c r="Q234" i="15"/>
  <c r="T234" i="15" s="1"/>
  <c r="P234" i="15"/>
  <c r="S234" i="15" s="1"/>
  <c r="O234" i="15"/>
  <c r="L234" i="15"/>
  <c r="I234" i="15"/>
  <c r="Q233" i="15"/>
  <c r="T233" i="15" s="1"/>
  <c r="P233" i="15"/>
  <c r="S233" i="15" s="1"/>
  <c r="O233" i="15"/>
  <c r="L233" i="15"/>
  <c r="I233" i="15"/>
  <c r="Q232" i="15"/>
  <c r="T232" i="15" s="1"/>
  <c r="P232" i="15"/>
  <c r="O232" i="15"/>
  <c r="L232" i="15"/>
  <c r="I232" i="15"/>
  <c r="Q231" i="15"/>
  <c r="T231" i="15" s="1"/>
  <c r="P231" i="15"/>
  <c r="O231" i="15"/>
  <c r="L231" i="15"/>
  <c r="I231" i="15"/>
  <c r="Q230" i="15"/>
  <c r="T230" i="15" s="1"/>
  <c r="P230" i="15"/>
  <c r="S230" i="15" s="1"/>
  <c r="O230" i="15"/>
  <c r="L230" i="15"/>
  <c r="I230" i="15"/>
  <c r="Q229" i="15"/>
  <c r="T229" i="15" s="1"/>
  <c r="P229" i="15"/>
  <c r="S229" i="15" s="1"/>
  <c r="O229" i="15"/>
  <c r="L229" i="15"/>
  <c r="I229" i="15"/>
  <c r="Q227" i="15"/>
  <c r="T227" i="15" s="1"/>
  <c r="P227" i="15"/>
  <c r="S227" i="15" s="1"/>
  <c r="O227" i="15"/>
  <c r="L227" i="15"/>
  <c r="I227" i="15"/>
  <c r="G18" i="15"/>
  <c r="H18" i="15"/>
  <c r="I18" i="15"/>
  <c r="J18" i="15"/>
  <c r="K18" i="15"/>
  <c r="L18" i="15"/>
  <c r="M18" i="15"/>
  <c r="N18" i="15"/>
  <c r="O18" i="15"/>
  <c r="P18" i="15"/>
  <c r="Q18" i="15"/>
  <c r="R18" i="15"/>
  <c r="S18" i="15"/>
  <c r="T18" i="15"/>
  <c r="U18" i="15"/>
  <c r="G19" i="15"/>
  <c r="H19" i="15"/>
  <c r="I19" i="15"/>
  <c r="J19" i="15"/>
  <c r="K19" i="15"/>
  <c r="L19" i="15"/>
  <c r="M19" i="15"/>
  <c r="N19" i="15"/>
  <c r="O19" i="15"/>
  <c r="P19" i="15"/>
  <c r="Q19" i="15"/>
  <c r="R19" i="15"/>
  <c r="S19" i="15"/>
  <c r="T19" i="15"/>
  <c r="U19" i="15"/>
  <c r="G20" i="15"/>
  <c r="H20" i="15"/>
  <c r="I20" i="15"/>
  <c r="J20" i="15"/>
  <c r="K20" i="15"/>
  <c r="L20" i="15"/>
  <c r="M20" i="15"/>
  <c r="N20" i="15"/>
  <c r="O20" i="15"/>
  <c r="P20" i="15"/>
  <c r="Q20" i="15"/>
  <c r="R20" i="15"/>
  <c r="S20" i="15"/>
  <c r="T20" i="15"/>
  <c r="U20" i="15"/>
  <c r="U58" i="15"/>
  <c r="T58" i="15"/>
  <c r="S58" i="15"/>
  <c r="R58" i="15"/>
  <c r="Q58" i="15"/>
  <c r="P58" i="15"/>
  <c r="O58" i="15"/>
  <c r="N58" i="15"/>
  <c r="M58" i="15"/>
  <c r="L58" i="15"/>
  <c r="K58" i="15"/>
  <c r="J58" i="15"/>
  <c r="I58" i="15"/>
  <c r="H58" i="15"/>
  <c r="U57" i="15"/>
  <c r="T57" i="15"/>
  <c r="S57" i="15"/>
  <c r="R57" i="15"/>
  <c r="Q57" i="15"/>
  <c r="P57" i="15"/>
  <c r="O57" i="15"/>
  <c r="N57" i="15"/>
  <c r="M57" i="15"/>
  <c r="L57" i="15"/>
  <c r="K57" i="15"/>
  <c r="J57" i="15"/>
  <c r="I57" i="15"/>
  <c r="H57" i="15"/>
  <c r="U56" i="15"/>
  <c r="T56" i="15"/>
  <c r="S56" i="15"/>
  <c r="R56" i="15"/>
  <c r="Q56" i="15"/>
  <c r="P56" i="15"/>
  <c r="O56" i="15"/>
  <c r="N56" i="15"/>
  <c r="M56" i="15"/>
  <c r="L56" i="15"/>
  <c r="K56" i="15"/>
  <c r="J56" i="15"/>
  <c r="I56" i="15"/>
  <c r="H56" i="15"/>
  <c r="G56" i="15"/>
  <c r="G57" i="15"/>
  <c r="G58" i="15"/>
  <c r="Q216" i="15"/>
  <c r="T216" i="15" s="1"/>
  <c r="P216" i="15"/>
  <c r="S216" i="15" s="1"/>
  <c r="O216" i="15"/>
  <c r="L216" i="15"/>
  <c r="I216" i="15"/>
  <c r="Q215" i="15"/>
  <c r="T215" i="15" s="1"/>
  <c r="P215" i="15"/>
  <c r="S215" i="15" s="1"/>
  <c r="O215" i="15"/>
  <c r="L215" i="15"/>
  <c r="I215" i="15"/>
  <c r="Q214" i="15"/>
  <c r="T214" i="15" s="1"/>
  <c r="P214" i="15"/>
  <c r="S214" i="15" s="1"/>
  <c r="O214" i="15"/>
  <c r="L214" i="15"/>
  <c r="I214" i="15"/>
  <c r="Q213" i="15"/>
  <c r="T213" i="15" s="1"/>
  <c r="P213" i="15"/>
  <c r="S213" i="15" s="1"/>
  <c r="O213" i="15"/>
  <c r="L213" i="15"/>
  <c r="I213" i="15"/>
  <c r="Q212" i="15"/>
  <c r="T212" i="15" s="1"/>
  <c r="P212" i="15"/>
  <c r="S212" i="15" s="1"/>
  <c r="O212" i="15"/>
  <c r="L212" i="15"/>
  <c r="I212" i="15"/>
  <c r="Q210" i="15"/>
  <c r="T210" i="15" s="1"/>
  <c r="P210" i="15"/>
  <c r="S210" i="15" s="1"/>
  <c r="O210" i="15"/>
  <c r="L210" i="15"/>
  <c r="I210" i="15"/>
  <c r="Q209" i="15"/>
  <c r="P209" i="15"/>
  <c r="S209" i="15" s="1"/>
  <c r="O209" i="15"/>
  <c r="L209" i="15"/>
  <c r="I209" i="15"/>
  <c r="Q208" i="15"/>
  <c r="T208" i="15" s="1"/>
  <c r="P208" i="15"/>
  <c r="S208" i="15" s="1"/>
  <c r="O208" i="15"/>
  <c r="L208" i="15"/>
  <c r="I208" i="15"/>
  <c r="Q207" i="15"/>
  <c r="T207" i="15" s="1"/>
  <c r="P207" i="15"/>
  <c r="S207" i="15" s="1"/>
  <c r="O207" i="15"/>
  <c r="L207" i="15"/>
  <c r="I207" i="15"/>
  <c r="Q206" i="15"/>
  <c r="T206" i="15" s="1"/>
  <c r="P206" i="15"/>
  <c r="S206" i="15" s="1"/>
  <c r="O206" i="15"/>
  <c r="L206" i="15"/>
  <c r="I206" i="15"/>
  <c r="Q204" i="15"/>
  <c r="T204" i="15" s="1"/>
  <c r="P204" i="15"/>
  <c r="S204" i="15" s="1"/>
  <c r="O204" i="15"/>
  <c r="L204" i="15"/>
  <c r="I204" i="15"/>
  <c r="Q202" i="15"/>
  <c r="T202" i="15" s="1"/>
  <c r="P202" i="15"/>
  <c r="S202" i="15" s="1"/>
  <c r="O202" i="15"/>
  <c r="L202" i="15"/>
  <c r="I202" i="15"/>
  <c r="Q201" i="15"/>
  <c r="T201" i="15" s="1"/>
  <c r="P201" i="15"/>
  <c r="S201" i="15" s="1"/>
  <c r="O201" i="15"/>
  <c r="L201" i="15"/>
  <c r="I201" i="15"/>
  <c r="Q200" i="15"/>
  <c r="T200" i="15" s="1"/>
  <c r="P200" i="15"/>
  <c r="S200" i="15" s="1"/>
  <c r="O200" i="15"/>
  <c r="L200" i="15"/>
  <c r="I200" i="15"/>
  <c r="Q199" i="15"/>
  <c r="P199" i="15"/>
  <c r="S199" i="15" s="1"/>
  <c r="O199" i="15"/>
  <c r="L199" i="15"/>
  <c r="I199" i="15"/>
  <c r="Q198" i="15"/>
  <c r="T198" i="15" s="1"/>
  <c r="P198" i="15"/>
  <c r="S198" i="15" s="1"/>
  <c r="O198" i="15"/>
  <c r="L198" i="15"/>
  <c r="I198" i="15"/>
  <c r="Q196" i="15"/>
  <c r="T196" i="15" s="1"/>
  <c r="P196" i="15"/>
  <c r="S196" i="15" s="1"/>
  <c r="O196" i="15"/>
  <c r="L196" i="15"/>
  <c r="I196" i="15"/>
  <c r="Q195" i="15"/>
  <c r="T195" i="15" s="1"/>
  <c r="P195" i="15"/>
  <c r="S195" i="15" s="1"/>
  <c r="O195" i="15"/>
  <c r="L195" i="15"/>
  <c r="I195" i="15"/>
  <c r="Q194" i="15"/>
  <c r="T194" i="15" s="1"/>
  <c r="P194" i="15"/>
  <c r="S194" i="15" s="1"/>
  <c r="O194" i="15"/>
  <c r="L194" i="15"/>
  <c r="I194" i="15"/>
  <c r="Q193" i="15"/>
  <c r="T193" i="15" s="1"/>
  <c r="P193" i="15"/>
  <c r="S193" i="15" s="1"/>
  <c r="O193" i="15"/>
  <c r="L193" i="15"/>
  <c r="I193" i="15"/>
  <c r="Q192" i="15"/>
  <c r="T192" i="15" s="1"/>
  <c r="P192" i="15"/>
  <c r="S192" i="15" s="1"/>
  <c r="O192" i="15"/>
  <c r="L192" i="15"/>
  <c r="I192" i="15"/>
  <c r="Q191" i="15"/>
  <c r="T191" i="15" s="1"/>
  <c r="P191" i="15"/>
  <c r="S191" i="15" s="1"/>
  <c r="O191" i="15"/>
  <c r="L191" i="15"/>
  <c r="I191" i="15"/>
  <c r="Q189" i="15"/>
  <c r="P189" i="15"/>
  <c r="S189" i="15" s="1"/>
  <c r="O189" i="15"/>
  <c r="L189" i="15"/>
  <c r="I189" i="15"/>
  <c r="T181" i="15"/>
  <c r="U181" i="15" s="1"/>
  <c r="Q181" i="15"/>
  <c r="R181" i="15" s="1"/>
  <c r="N181" i="15"/>
  <c r="O181" i="15" s="1"/>
  <c r="K181" i="15"/>
  <c r="L181" i="15" s="1"/>
  <c r="H181" i="15"/>
  <c r="I181" i="15" s="1"/>
  <c r="H179" i="15"/>
  <c r="I179" i="15" s="1"/>
  <c r="J179" i="15" s="1"/>
  <c r="K179" i="15" s="1"/>
  <c r="L179" i="15" s="1"/>
  <c r="M179" i="15" s="1"/>
  <c r="N179" i="15" s="1"/>
  <c r="O179" i="15" s="1"/>
  <c r="P179" i="15" s="1"/>
  <c r="Q179" i="15" s="1"/>
  <c r="R179" i="15" s="1"/>
  <c r="S179" i="15" s="1"/>
  <c r="T179" i="15" s="1"/>
  <c r="U179" i="15" s="1"/>
  <c r="Q86" i="15"/>
  <c r="T86" i="15" s="1"/>
  <c r="P86" i="15"/>
  <c r="S86" i="15" s="1"/>
  <c r="O86" i="15"/>
  <c r="L86" i="15"/>
  <c r="I86" i="15"/>
  <c r="Q85" i="15"/>
  <c r="T85" i="15" s="1"/>
  <c r="P85" i="15"/>
  <c r="S85" i="15" s="1"/>
  <c r="O85" i="15"/>
  <c r="L85" i="15"/>
  <c r="I85" i="15"/>
  <c r="Q84" i="15"/>
  <c r="T84" i="15" s="1"/>
  <c r="P84" i="15"/>
  <c r="S84" i="15" s="1"/>
  <c r="O84" i="15"/>
  <c r="L84" i="15"/>
  <c r="I84" i="15"/>
  <c r="Q83" i="15"/>
  <c r="T83" i="15" s="1"/>
  <c r="P83" i="15"/>
  <c r="O83" i="15"/>
  <c r="L83" i="15"/>
  <c r="I83" i="15"/>
  <c r="Q82" i="15"/>
  <c r="T82" i="15" s="1"/>
  <c r="P82" i="15"/>
  <c r="S82" i="15" s="1"/>
  <c r="O82" i="15"/>
  <c r="L82" i="15"/>
  <c r="I82" i="15"/>
  <c r="Q80" i="15"/>
  <c r="T80" i="15" s="1"/>
  <c r="P80" i="15"/>
  <c r="S80" i="15" s="1"/>
  <c r="O80" i="15"/>
  <c r="L80" i="15"/>
  <c r="I80" i="15"/>
  <c r="Q79" i="15"/>
  <c r="T79" i="15" s="1"/>
  <c r="P79" i="15"/>
  <c r="S79" i="15" s="1"/>
  <c r="O79" i="15"/>
  <c r="L79" i="15"/>
  <c r="I79" i="15"/>
  <c r="Q78" i="15"/>
  <c r="T78" i="15" s="1"/>
  <c r="P78" i="15"/>
  <c r="O78" i="15"/>
  <c r="L78" i="15"/>
  <c r="I78" i="15"/>
  <c r="Q77" i="15"/>
  <c r="T77" i="15" s="1"/>
  <c r="P77" i="15"/>
  <c r="S77" i="15" s="1"/>
  <c r="O77" i="15"/>
  <c r="L77" i="15"/>
  <c r="I77" i="15"/>
  <c r="Q76" i="15"/>
  <c r="T76" i="15" s="1"/>
  <c r="P76" i="15"/>
  <c r="S76" i="15" s="1"/>
  <c r="O76" i="15"/>
  <c r="L76" i="15"/>
  <c r="I76" i="15"/>
  <c r="Q74" i="15"/>
  <c r="T74" i="15" s="1"/>
  <c r="P74" i="15"/>
  <c r="S74" i="15" s="1"/>
  <c r="O74" i="15"/>
  <c r="L74" i="15"/>
  <c r="I74" i="15"/>
  <c r="Q72" i="15"/>
  <c r="T72" i="15" s="1"/>
  <c r="P72" i="15"/>
  <c r="S72" i="15" s="1"/>
  <c r="O72" i="15"/>
  <c r="L72" i="15"/>
  <c r="I72" i="15"/>
  <c r="Q71" i="15"/>
  <c r="T71" i="15" s="1"/>
  <c r="P71" i="15"/>
  <c r="S71" i="15" s="1"/>
  <c r="O71" i="15"/>
  <c r="L71" i="15"/>
  <c r="I71" i="15"/>
  <c r="Q70" i="15"/>
  <c r="T70" i="15" s="1"/>
  <c r="P70" i="15"/>
  <c r="O70" i="15"/>
  <c r="L70" i="15"/>
  <c r="I70" i="15"/>
  <c r="Q69" i="15"/>
  <c r="T69" i="15" s="1"/>
  <c r="P69" i="15"/>
  <c r="S69" i="15" s="1"/>
  <c r="O69" i="15"/>
  <c r="L69" i="15"/>
  <c r="I69" i="15"/>
  <c r="Q68" i="15"/>
  <c r="T68" i="15" s="1"/>
  <c r="P68" i="15"/>
  <c r="O68" i="15"/>
  <c r="L68" i="15"/>
  <c r="I68" i="15"/>
  <c r="Q66" i="15"/>
  <c r="T66" i="15" s="1"/>
  <c r="P66" i="15"/>
  <c r="S66" i="15" s="1"/>
  <c r="O66" i="15"/>
  <c r="L66" i="15"/>
  <c r="I66" i="15"/>
  <c r="Q65" i="15"/>
  <c r="T65" i="15" s="1"/>
  <c r="P65" i="15"/>
  <c r="S65" i="15" s="1"/>
  <c r="O65" i="15"/>
  <c r="L65" i="15"/>
  <c r="I65" i="15"/>
  <c r="Q64" i="15"/>
  <c r="T64" i="15" s="1"/>
  <c r="P64" i="15"/>
  <c r="O64" i="15"/>
  <c r="L64" i="15"/>
  <c r="I64" i="15"/>
  <c r="Q63" i="15"/>
  <c r="P63" i="15"/>
  <c r="S63" i="15" s="1"/>
  <c r="O63" i="15"/>
  <c r="L63" i="15"/>
  <c r="I63" i="15"/>
  <c r="Q62" i="15"/>
  <c r="T62" i="15" s="1"/>
  <c r="P62" i="15"/>
  <c r="S62" i="15" s="1"/>
  <c r="O62" i="15"/>
  <c r="L62" i="15"/>
  <c r="I62" i="15"/>
  <c r="Q61" i="15"/>
  <c r="T61" i="15" s="1"/>
  <c r="P61" i="15"/>
  <c r="O61" i="15"/>
  <c r="L61" i="15"/>
  <c r="I61" i="15"/>
  <c r="Q59" i="15"/>
  <c r="T59" i="15" s="1"/>
  <c r="P59" i="15"/>
  <c r="S59" i="15" s="1"/>
  <c r="O59" i="15"/>
  <c r="L59" i="15"/>
  <c r="I59" i="15"/>
  <c r="Q48" i="15"/>
  <c r="T48" i="15" s="1"/>
  <c r="P48" i="15"/>
  <c r="O48" i="15"/>
  <c r="L48" i="15"/>
  <c r="I48" i="15"/>
  <c r="Q47" i="15"/>
  <c r="T47" i="15" s="1"/>
  <c r="P47" i="15"/>
  <c r="S47" i="15" s="1"/>
  <c r="O47" i="15"/>
  <c r="L47" i="15"/>
  <c r="I47" i="15"/>
  <c r="Q46" i="15"/>
  <c r="T46" i="15" s="1"/>
  <c r="P46" i="15"/>
  <c r="S46" i="15" s="1"/>
  <c r="O46" i="15"/>
  <c r="L46" i="15"/>
  <c r="I46" i="15"/>
  <c r="Q45" i="15"/>
  <c r="T45" i="15" s="1"/>
  <c r="P45" i="15"/>
  <c r="S45" i="15" s="1"/>
  <c r="O45" i="15"/>
  <c r="L45" i="15"/>
  <c r="I45" i="15"/>
  <c r="Q44" i="15"/>
  <c r="T44" i="15" s="1"/>
  <c r="P44" i="15"/>
  <c r="O44" i="15"/>
  <c r="L44" i="15"/>
  <c r="I44" i="15"/>
  <c r="Q42" i="15"/>
  <c r="T42" i="15" s="1"/>
  <c r="P42" i="15"/>
  <c r="S42" i="15" s="1"/>
  <c r="O42" i="15"/>
  <c r="L42" i="15"/>
  <c r="I42" i="15"/>
  <c r="Q41" i="15"/>
  <c r="T41" i="15" s="1"/>
  <c r="P41" i="15"/>
  <c r="O41" i="15"/>
  <c r="L41" i="15"/>
  <c r="I41" i="15"/>
  <c r="Q40" i="15"/>
  <c r="T40" i="15" s="1"/>
  <c r="P40" i="15"/>
  <c r="S40" i="15" s="1"/>
  <c r="O40" i="15"/>
  <c r="L40" i="15"/>
  <c r="I40" i="15"/>
  <c r="Q39" i="15"/>
  <c r="T39" i="15" s="1"/>
  <c r="P39" i="15"/>
  <c r="O39" i="15"/>
  <c r="L39" i="15"/>
  <c r="I39" i="15"/>
  <c r="Q38" i="15"/>
  <c r="P38" i="15"/>
  <c r="S38" i="15" s="1"/>
  <c r="O38" i="15"/>
  <c r="L38" i="15"/>
  <c r="I38" i="15"/>
  <c r="Q36" i="15"/>
  <c r="T36" i="15" s="1"/>
  <c r="P36" i="15"/>
  <c r="S36" i="15" s="1"/>
  <c r="O36" i="15"/>
  <c r="L36" i="15"/>
  <c r="I36" i="15"/>
  <c r="Q34" i="15"/>
  <c r="T34" i="15" s="1"/>
  <c r="P34" i="15"/>
  <c r="S34" i="15" s="1"/>
  <c r="O34" i="15"/>
  <c r="L34" i="15"/>
  <c r="I34" i="15"/>
  <c r="Q33" i="15"/>
  <c r="T33" i="15" s="1"/>
  <c r="P33" i="15"/>
  <c r="S33" i="15" s="1"/>
  <c r="O33" i="15"/>
  <c r="L33" i="15"/>
  <c r="I33" i="15"/>
  <c r="Q32" i="15"/>
  <c r="T32" i="15" s="1"/>
  <c r="P32" i="15"/>
  <c r="S32" i="15" s="1"/>
  <c r="O32" i="15"/>
  <c r="L32" i="15"/>
  <c r="I32" i="15"/>
  <c r="Q31" i="15"/>
  <c r="T31" i="15" s="1"/>
  <c r="P31" i="15"/>
  <c r="O31" i="15"/>
  <c r="L31" i="15"/>
  <c r="I31" i="15"/>
  <c r="Q30" i="15"/>
  <c r="T30" i="15" s="1"/>
  <c r="P30" i="15"/>
  <c r="S30" i="15" s="1"/>
  <c r="O30" i="15"/>
  <c r="L30" i="15"/>
  <c r="I30" i="15"/>
  <c r="Q28" i="15"/>
  <c r="T28" i="15" s="1"/>
  <c r="P28" i="15"/>
  <c r="O28" i="15"/>
  <c r="L28" i="15"/>
  <c r="I28" i="15"/>
  <c r="Q27" i="15"/>
  <c r="T27" i="15" s="1"/>
  <c r="P27" i="15"/>
  <c r="S27" i="15" s="1"/>
  <c r="O27" i="15"/>
  <c r="L27" i="15"/>
  <c r="I27" i="15"/>
  <c r="Q26" i="15"/>
  <c r="T26" i="15" s="1"/>
  <c r="P26" i="15"/>
  <c r="S26" i="15" s="1"/>
  <c r="O26" i="15"/>
  <c r="L26" i="15"/>
  <c r="I26" i="15"/>
  <c r="Q25" i="15"/>
  <c r="T25" i="15" s="1"/>
  <c r="P25" i="15"/>
  <c r="S25" i="15" s="1"/>
  <c r="O25" i="15"/>
  <c r="L25" i="15"/>
  <c r="I25" i="15"/>
  <c r="Q24" i="15"/>
  <c r="T24" i="15" s="1"/>
  <c r="P24" i="15"/>
  <c r="O24" i="15"/>
  <c r="L24" i="15"/>
  <c r="I24" i="15"/>
  <c r="Q23" i="15"/>
  <c r="T23" i="15" s="1"/>
  <c r="P23" i="15"/>
  <c r="S23" i="15" s="1"/>
  <c r="O23" i="15"/>
  <c r="L23" i="15"/>
  <c r="I23" i="15"/>
  <c r="Q21" i="15"/>
  <c r="T21" i="15" s="1"/>
  <c r="P21" i="15"/>
  <c r="S21" i="15" s="1"/>
  <c r="O21" i="15"/>
  <c r="L21" i="15"/>
  <c r="I21" i="15"/>
  <c r="T13" i="15"/>
  <c r="U13" i="15" s="1"/>
  <c r="Q13" i="15"/>
  <c r="R13" i="15" s="1"/>
  <c r="N13" i="15"/>
  <c r="O13" i="15" s="1"/>
  <c r="K13" i="15"/>
  <c r="L13" i="15" s="1"/>
  <c r="H13" i="15"/>
  <c r="I13" i="15" s="1"/>
  <c r="U210" i="15" l="1"/>
  <c r="R155" i="15"/>
  <c r="R199" i="15"/>
  <c r="S155" i="15"/>
  <c r="U155" i="15" s="1"/>
  <c r="R118" i="15"/>
  <c r="R251" i="15"/>
  <c r="U191" i="15"/>
  <c r="R240" i="15"/>
  <c r="R156" i="15"/>
  <c r="R160" i="15"/>
  <c r="U168" i="15"/>
  <c r="U239" i="15"/>
  <c r="R152" i="15"/>
  <c r="R164" i="15"/>
  <c r="U171" i="15"/>
  <c r="U163" i="15"/>
  <c r="U117" i="15"/>
  <c r="U157" i="15"/>
  <c r="U162" i="15"/>
  <c r="R230" i="15"/>
  <c r="R229" i="15"/>
  <c r="U148" i="15"/>
  <c r="U151" i="15"/>
  <c r="S152" i="15"/>
  <c r="R227" i="15"/>
  <c r="U119" i="15"/>
  <c r="R170" i="15"/>
  <c r="U236" i="15"/>
  <c r="U194" i="15"/>
  <c r="R248" i="15"/>
  <c r="U252" i="15"/>
  <c r="U131" i="15"/>
  <c r="R147" i="15"/>
  <c r="R150" i="15"/>
  <c r="R165" i="15"/>
  <c r="U169" i="15"/>
  <c r="R239" i="15"/>
  <c r="U126" i="15"/>
  <c r="U158" i="15"/>
  <c r="R247" i="15"/>
  <c r="R252" i="15"/>
  <c r="R145" i="15"/>
  <c r="U149" i="15"/>
  <c r="R154" i="15"/>
  <c r="R163" i="15"/>
  <c r="R172" i="15"/>
  <c r="U246" i="15"/>
  <c r="U227" i="15"/>
  <c r="U247" i="15"/>
  <c r="R120" i="15"/>
  <c r="R122" i="15"/>
  <c r="R132" i="15"/>
  <c r="U245" i="15"/>
  <c r="R83" i="15"/>
  <c r="U212" i="15"/>
  <c r="R232" i="15"/>
  <c r="R236" i="15"/>
  <c r="S240" i="15"/>
  <c r="U240" i="15" s="1"/>
  <c r="R131" i="15"/>
  <c r="U204" i="15"/>
  <c r="U214" i="15"/>
  <c r="R231" i="15"/>
  <c r="U234" i="15"/>
  <c r="R237" i="15"/>
  <c r="R238" i="15"/>
  <c r="U250" i="15"/>
  <c r="U254" i="15"/>
  <c r="R112" i="15"/>
  <c r="U128" i="15"/>
  <c r="R130" i="15"/>
  <c r="U230" i="15"/>
  <c r="U237" i="15"/>
  <c r="S251" i="15"/>
  <c r="U251" i="15" s="1"/>
  <c r="S150" i="15"/>
  <c r="U150" i="15" s="1"/>
  <c r="R151" i="15"/>
  <c r="S160" i="15"/>
  <c r="U160" i="15" s="1"/>
  <c r="R162" i="15"/>
  <c r="S170" i="15"/>
  <c r="U170" i="15" s="1"/>
  <c r="R171" i="15"/>
  <c r="U192" i="15"/>
  <c r="S231" i="15"/>
  <c r="U231" i="15" s="1"/>
  <c r="R242" i="15"/>
  <c r="R246" i="15"/>
  <c r="R250" i="15"/>
  <c r="R127" i="15"/>
  <c r="R128" i="15"/>
  <c r="U233" i="15"/>
  <c r="U253" i="15"/>
  <c r="S118" i="15"/>
  <c r="U118" i="15" s="1"/>
  <c r="U132" i="15"/>
  <c r="U145" i="15"/>
  <c r="U152" i="15"/>
  <c r="U154" i="15"/>
  <c r="U164" i="15"/>
  <c r="U165" i="15"/>
  <c r="T172" i="15"/>
  <c r="U172" i="15" s="1"/>
  <c r="U114" i="15"/>
  <c r="R107" i="15"/>
  <c r="R111" i="15"/>
  <c r="G97" i="15"/>
  <c r="H97" i="15" s="1"/>
  <c r="I97" i="15" s="1"/>
  <c r="J97" i="15" s="1"/>
  <c r="K97" i="15" s="1"/>
  <c r="L97" i="15" s="1"/>
  <c r="M97" i="15" s="1"/>
  <c r="N97" i="15" s="1"/>
  <c r="O97" i="15" s="1"/>
  <c r="P97" i="15" s="1"/>
  <c r="Q97" i="15" s="1"/>
  <c r="R97" i="15" s="1"/>
  <c r="S97" i="15" s="1"/>
  <c r="T97" i="15" s="1"/>
  <c r="U97" i="15" s="1"/>
  <c r="R189" i="15"/>
  <c r="U116" i="15"/>
  <c r="R119" i="15"/>
  <c r="S111" i="15"/>
  <c r="U111" i="15" s="1"/>
  <c r="S112" i="15"/>
  <c r="U112" i="15" s="1"/>
  <c r="R133" i="15"/>
  <c r="U120" i="15"/>
  <c r="T130" i="15"/>
  <c r="U130" i="15" s="1"/>
  <c r="R64" i="15"/>
  <c r="R117" i="15"/>
  <c r="R110" i="15"/>
  <c r="T110" i="15"/>
  <c r="U110" i="15" s="1"/>
  <c r="U109" i="15"/>
  <c r="R109" i="15"/>
  <c r="S107" i="15"/>
  <c r="U107" i="15" s="1"/>
  <c r="U122" i="15"/>
  <c r="U134" i="15"/>
  <c r="U125" i="15"/>
  <c r="U166" i="15"/>
  <c r="U124" i="15"/>
  <c r="U113" i="15"/>
  <c r="R113" i="15"/>
  <c r="R124" i="15"/>
  <c r="R166" i="15"/>
  <c r="R114" i="15"/>
  <c r="R125" i="15"/>
  <c r="S133" i="15"/>
  <c r="U133" i="15" s="1"/>
  <c r="R134" i="15"/>
  <c r="S147" i="15"/>
  <c r="U147" i="15" s="1"/>
  <c r="R148" i="15"/>
  <c r="S156" i="15"/>
  <c r="U156" i="15" s="1"/>
  <c r="R157" i="15"/>
  <c r="R168" i="15"/>
  <c r="R69" i="15"/>
  <c r="R116" i="15"/>
  <c r="R126" i="15"/>
  <c r="R149" i="15"/>
  <c r="R158" i="15"/>
  <c r="R169" i="15"/>
  <c r="U25" i="15"/>
  <c r="R68" i="15"/>
  <c r="U229" i="15"/>
  <c r="U244" i="15"/>
  <c r="U238" i="15"/>
  <c r="T248" i="15"/>
  <c r="U248" i="15" s="1"/>
  <c r="S232" i="15"/>
  <c r="U232" i="15" s="1"/>
  <c r="R233" i="15"/>
  <c r="S242" i="15"/>
  <c r="U242" i="15" s="1"/>
  <c r="R244" i="15"/>
  <c r="R253" i="15"/>
  <c r="R234" i="15"/>
  <c r="R245" i="15"/>
  <c r="R254" i="15"/>
  <c r="R24" i="15"/>
  <c r="U71" i="15"/>
  <c r="U80" i="15"/>
  <c r="S64" i="15"/>
  <c r="U64" i="15" s="1"/>
  <c r="R63" i="15"/>
  <c r="U201" i="15"/>
  <c r="R209" i="15"/>
  <c r="R61" i="15"/>
  <c r="U72" i="15"/>
  <c r="U200" i="15"/>
  <c r="U66" i="15"/>
  <c r="R74" i="15"/>
  <c r="U84" i="15"/>
  <c r="U85" i="15"/>
  <c r="R194" i="15"/>
  <c r="R195" i="15"/>
  <c r="R204" i="15"/>
  <c r="R206" i="15"/>
  <c r="R214" i="15"/>
  <c r="R215" i="15"/>
  <c r="U79" i="15"/>
  <c r="S61" i="15"/>
  <c r="U61" i="15" s="1"/>
  <c r="S68" i="15"/>
  <c r="U68" i="15" s="1"/>
  <c r="R78" i="15"/>
  <c r="R79" i="15"/>
  <c r="R191" i="15"/>
  <c r="R200" i="15"/>
  <c r="R210" i="15"/>
  <c r="R66" i="15"/>
  <c r="R84" i="15"/>
  <c r="U193" i="15"/>
  <c r="U202" i="15"/>
  <c r="U213" i="15"/>
  <c r="U65" i="15"/>
  <c r="U77" i="15"/>
  <c r="S78" i="15"/>
  <c r="U78" i="15" s="1"/>
  <c r="U198" i="15"/>
  <c r="U208" i="15"/>
  <c r="R38" i="15"/>
  <c r="R28" i="15"/>
  <c r="R39" i="15"/>
  <c r="R48" i="15"/>
  <c r="R70" i="15"/>
  <c r="U82" i="15"/>
  <c r="S83" i="15"/>
  <c r="U83" i="15" s="1"/>
  <c r="U62" i="15"/>
  <c r="U69" i="15"/>
  <c r="U86" i="15"/>
  <c r="R31" i="15"/>
  <c r="T63" i="15"/>
  <c r="U63" i="15" s="1"/>
  <c r="S70" i="15"/>
  <c r="U70" i="15" s="1"/>
  <c r="U74" i="15"/>
  <c r="U76" i="15"/>
  <c r="R80" i="15"/>
  <c r="U195" i="15"/>
  <c r="U196" i="15"/>
  <c r="U206" i="15"/>
  <c r="U207" i="15"/>
  <c r="U215" i="15"/>
  <c r="U216" i="15"/>
  <c r="U59" i="15"/>
  <c r="R59" i="15"/>
  <c r="R36" i="15"/>
  <c r="R34" i="15"/>
  <c r="S28" i="15"/>
  <c r="U28" i="15" s="1"/>
  <c r="R41" i="15"/>
  <c r="U45" i="15"/>
  <c r="R44" i="15"/>
  <c r="S48" i="15"/>
  <c r="U48" i="15" s="1"/>
  <c r="R25" i="15"/>
  <c r="R26" i="15"/>
  <c r="R40" i="15"/>
  <c r="S31" i="15"/>
  <c r="U31" i="15" s="1"/>
  <c r="S39" i="15"/>
  <c r="U39" i="15" s="1"/>
  <c r="R45" i="15"/>
  <c r="R46" i="15"/>
  <c r="S24" i="15"/>
  <c r="U24" i="15" s="1"/>
  <c r="R30" i="15"/>
  <c r="U42" i="15"/>
  <c r="S44" i="15"/>
  <c r="U44" i="15" s="1"/>
  <c r="U27" i="15"/>
  <c r="U32" i="15"/>
  <c r="S41" i="15"/>
  <c r="U41" i="15" s="1"/>
  <c r="R33" i="15"/>
  <c r="U36" i="15"/>
  <c r="T38" i="15"/>
  <c r="U38" i="15" s="1"/>
  <c r="U33" i="15"/>
  <c r="U34" i="15"/>
  <c r="U40" i="15"/>
  <c r="U26" i="15"/>
  <c r="U47" i="15"/>
  <c r="U23" i="15"/>
  <c r="U30" i="15"/>
  <c r="U46" i="15"/>
  <c r="U21" i="15"/>
  <c r="R21" i="15"/>
  <c r="T189" i="15"/>
  <c r="U189" i="15" s="1"/>
  <c r="R192" i="15"/>
  <c r="T199" i="15"/>
  <c r="U199" i="15" s="1"/>
  <c r="R201" i="15"/>
  <c r="T209" i="15"/>
  <c r="U209" i="15" s="1"/>
  <c r="R212" i="15"/>
  <c r="R42" i="15"/>
  <c r="R62" i="15"/>
  <c r="R193" i="15"/>
  <c r="R202" i="15"/>
  <c r="R213" i="15"/>
  <c r="R23" i="15"/>
  <c r="R32" i="15"/>
  <c r="R71" i="15"/>
  <c r="R82" i="15"/>
  <c r="R72" i="15"/>
  <c r="R65" i="15"/>
  <c r="R76" i="15"/>
  <c r="R85" i="15"/>
  <c r="R196" i="15"/>
  <c r="R207" i="15"/>
  <c r="R216" i="15"/>
  <c r="R47" i="15"/>
  <c r="R77" i="15"/>
  <c r="R86" i="15"/>
  <c r="R198" i="15"/>
  <c r="R208" i="15"/>
  <c r="R27" i="15"/>
  <c r="U24" i="14"/>
  <c r="T24" i="14"/>
  <c r="S24" i="14"/>
  <c r="U17" i="14"/>
  <c r="T17" i="14"/>
  <c r="S17" i="14"/>
  <c r="Q101" i="12"/>
  <c r="T101" i="12" s="1"/>
  <c r="P101" i="12"/>
  <c r="S101" i="12" s="1"/>
  <c r="O101" i="12"/>
  <c r="L101" i="12"/>
  <c r="I101" i="12"/>
  <c r="Q100" i="12"/>
  <c r="T100" i="12" s="1"/>
  <c r="P100" i="12"/>
  <c r="S100" i="12" s="1"/>
  <c r="O100" i="12"/>
  <c r="L100" i="12"/>
  <c r="I100" i="12"/>
  <c r="Q89" i="12"/>
  <c r="T89" i="12" s="1"/>
  <c r="P89" i="12"/>
  <c r="S89" i="12" s="1"/>
  <c r="O89" i="12"/>
  <c r="L89" i="12"/>
  <c r="I89" i="12"/>
  <c r="Q88" i="12"/>
  <c r="T88" i="12" s="1"/>
  <c r="P88" i="12"/>
  <c r="S88" i="12" s="1"/>
  <c r="O88" i="12"/>
  <c r="L88" i="12"/>
  <c r="I88" i="12"/>
  <c r="Q37" i="12"/>
  <c r="T37" i="12" s="1"/>
  <c r="P37" i="12"/>
  <c r="S37" i="12" s="1"/>
  <c r="O37" i="12"/>
  <c r="L37" i="12"/>
  <c r="I37" i="12"/>
  <c r="Q36" i="12"/>
  <c r="T36" i="12" s="1"/>
  <c r="P36" i="12"/>
  <c r="S36" i="12" s="1"/>
  <c r="O36" i="12"/>
  <c r="L36" i="12"/>
  <c r="I36" i="12"/>
  <c r="Q25" i="12"/>
  <c r="T25" i="12" s="1"/>
  <c r="P25" i="12"/>
  <c r="S25" i="12" s="1"/>
  <c r="O25" i="12"/>
  <c r="L25" i="12"/>
  <c r="I25" i="12"/>
  <c r="Q24" i="12"/>
  <c r="T24" i="12" s="1"/>
  <c r="P24" i="12"/>
  <c r="S24" i="12" s="1"/>
  <c r="O24" i="12"/>
  <c r="L24" i="12"/>
  <c r="I24" i="12"/>
  <c r="U101" i="12" l="1"/>
  <c r="U88" i="12"/>
  <c r="U36" i="12"/>
  <c r="U89" i="12"/>
  <c r="U25" i="12"/>
  <c r="R101" i="12"/>
  <c r="U37" i="12"/>
  <c r="R89" i="12"/>
  <c r="U100" i="12"/>
  <c r="R100" i="12"/>
  <c r="R88" i="12"/>
  <c r="R36" i="12"/>
  <c r="R37" i="12"/>
  <c r="U24" i="12"/>
  <c r="R24" i="12"/>
  <c r="R25" i="12"/>
  <c r="T11" i="14"/>
  <c r="U11" i="14" s="1"/>
  <c r="Q11" i="14"/>
  <c r="R11" i="14" s="1"/>
  <c r="N11" i="14"/>
  <c r="O11" i="14" s="1"/>
  <c r="K11" i="14"/>
  <c r="L11" i="14" s="1"/>
  <c r="H11" i="14"/>
  <c r="I11" i="14" s="1"/>
  <c r="T53" i="14"/>
  <c r="U53" i="14" s="1"/>
  <c r="Q53" i="14"/>
  <c r="R53" i="14" s="1"/>
  <c r="N53" i="14"/>
  <c r="O53" i="14" s="1"/>
  <c r="K53" i="14"/>
  <c r="L53" i="14" s="1"/>
  <c r="H53" i="14"/>
  <c r="I53" i="14" s="1"/>
  <c r="H51" i="14"/>
  <c r="I51" i="14" s="1"/>
  <c r="J51" i="14" s="1"/>
  <c r="K51" i="14" s="1"/>
  <c r="L51" i="14" s="1"/>
  <c r="M51" i="14" s="1"/>
  <c r="N51" i="14" s="1"/>
  <c r="O51" i="14" s="1"/>
  <c r="P51" i="14" s="1"/>
  <c r="Q51" i="14" s="1"/>
  <c r="R51" i="14" s="1"/>
  <c r="S51" i="14" s="1"/>
  <c r="T51" i="14" s="1"/>
  <c r="U51" i="14" s="1"/>
  <c r="H9" i="14"/>
  <c r="I9" i="14" s="1"/>
  <c r="J9" i="14" s="1"/>
  <c r="K9" i="14" s="1"/>
  <c r="L9" i="14" s="1"/>
  <c r="M9" i="14" s="1"/>
  <c r="N9" i="14" s="1"/>
  <c r="O9" i="14" s="1"/>
  <c r="P9" i="14" s="1"/>
  <c r="Q9" i="14" s="1"/>
  <c r="R9" i="14" s="1"/>
  <c r="S9" i="14" s="1"/>
  <c r="T9" i="14" s="1"/>
  <c r="U9" i="14" s="1"/>
  <c r="H11" i="12"/>
  <c r="I11" i="12" s="1"/>
  <c r="J11" i="12" s="1"/>
  <c r="K11" i="12" s="1"/>
  <c r="L11" i="12" s="1"/>
  <c r="M11" i="12" s="1"/>
  <c r="N11" i="12" s="1"/>
  <c r="O11" i="12" s="1"/>
  <c r="P11" i="12" s="1"/>
  <c r="Q11" i="12" s="1"/>
  <c r="R11" i="12" s="1"/>
  <c r="S11" i="12" s="1"/>
  <c r="T11" i="12" s="1"/>
  <c r="U11" i="12" s="1"/>
  <c r="T13" i="12"/>
  <c r="U13" i="12" s="1"/>
  <c r="Q13" i="12"/>
  <c r="R13" i="12" s="1"/>
  <c r="N13" i="12"/>
  <c r="O13" i="12" s="1"/>
  <c r="K13" i="12"/>
  <c r="L13" i="12" s="1"/>
  <c r="H13" i="12"/>
  <c r="I13" i="12" s="1"/>
  <c r="T77" i="12"/>
  <c r="U77" i="12" s="1"/>
  <c r="Q77" i="12"/>
  <c r="R77" i="12" s="1"/>
  <c r="N77" i="12"/>
  <c r="O77" i="12" s="1"/>
  <c r="K77" i="12"/>
  <c r="L77" i="12" s="1"/>
  <c r="H75" i="12"/>
  <c r="I75" i="12" s="1"/>
  <c r="J75" i="12" s="1"/>
  <c r="K75" i="12" s="1"/>
  <c r="L75" i="12" s="1"/>
  <c r="M75" i="12" s="1"/>
  <c r="N75" i="12" s="1"/>
  <c r="O75" i="12" s="1"/>
  <c r="P75" i="12" s="1"/>
  <c r="Q75" i="12" s="1"/>
  <c r="R75" i="12" s="1"/>
  <c r="S75" i="12" s="1"/>
  <c r="T75" i="12" s="1"/>
  <c r="U75" i="12" s="1"/>
  <c r="H77" i="12"/>
  <c r="I77" i="12" s="1"/>
  <c r="I75" i="2" l="1"/>
  <c r="I74" i="2"/>
  <c r="I73" i="2"/>
  <c r="I71" i="2"/>
  <c r="I70" i="2"/>
  <c r="I67" i="2"/>
  <c r="I66" i="2"/>
  <c r="I62" i="2"/>
  <c r="I61" i="2"/>
  <c r="I60" i="2"/>
  <c r="I59" i="2"/>
  <c r="I58" i="2"/>
  <c r="I57" i="2"/>
  <c r="I55" i="2"/>
  <c r="I54" i="2"/>
  <c r="I63" i="2" l="1"/>
  <c r="I68" i="2"/>
  <c r="I72" i="2"/>
  <c r="I65" i="2"/>
  <c r="I69" i="2"/>
  <c r="I56" i="2"/>
  <c r="H10" i="7"/>
  <c r="I76" i="2" l="1"/>
  <c r="P53" i="8"/>
  <c r="P62" i="8"/>
  <c r="I30" i="7" l="1"/>
  <c r="I29" i="7"/>
  <c r="I28" i="7"/>
  <c r="I27" i="7"/>
  <c r="I26" i="7"/>
  <c r="I25" i="7"/>
  <c r="I24" i="7"/>
  <c r="I23" i="7"/>
  <c r="I22" i="7"/>
  <c r="H21" i="7"/>
  <c r="H20" i="7" s="1"/>
  <c r="G21" i="7"/>
  <c r="G20" i="7" s="1"/>
  <c r="I19" i="7"/>
  <c r="I18" i="7"/>
  <c r="I17" i="7"/>
  <c r="I16" i="7"/>
  <c r="I15" i="7"/>
  <c r="I14" i="7"/>
  <c r="I13" i="7"/>
  <c r="I12" i="7"/>
  <c r="I11" i="7"/>
  <c r="H9" i="7"/>
  <c r="G10" i="7"/>
  <c r="G9" i="7" s="1"/>
  <c r="G31" i="7" l="1"/>
  <c r="H31" i="7"/>
  <c r="I21" i="7"/>
  <c r="I20" i="7" s="1"/>
  <c r="I10" i="7"/>
  <c r="I9" i="7" s="1"/>
  <c r="I58" i="7"/>
  <c r="I57" i="7"/>
  <c r="I47" i="7"/>
  <c r="I46" i="7"/>
  <c r="I31" i="7" l="1"/>
  <c r="I30" i="2" l="1"/>
  <c r="I29" i="2"/>
  <c r="I25" i="2"/>
  <c r="I17" i="2"/>
  <c r="I18" i="2"/>
  <c r="I34" i="2"/>
  <c r="I37" i="2"/>
  <c r="I38" i="2"/>
  <c r="I36" i="2"/>
  <c r="I33" i="2"/>
  <c r="I56" i="7" l="1"/>
  <c r="I45" i="7" l="1"/>
  <c r="I79" i="6" l="1"/>
  <c r="I78" i="6"/>
  <c r="I77" i="6"/>
  <c r="I75" i="6"/>
  <c r="I74" i="6"/>
  <c r="I71" i="6"/>
  <c r="I70" i="6"/>
  <c r="I66" i="6"/>
  <c r="I65" i="6"/>
  <c r="I64" i="6"/>
  <c r="I62" i="6"/>
  <c r="I61" i="6"/>
  <c r="I59" i="6"/>
  <c r="I58" i="6"/>
  <c r="I40" i="6"/>
  <c r="I39" i="6"/>
  <c r="I38" i="6"/>
  <c r="I36" i="6"/>
  <c r="I32" i="6"/>
  <c r="I31" i="6"/>
  <c r="I27" i="6"/>
  <c r="I26" i="6"/>
  <c r="I25" i="6"/>
  <c r="I23" i="6"/>
  <c r="I22" i="6"/>
  <c r="I20" i="6"/>
  <c r="I19" i="6"/>
  <c r="I20" i="2"/>
  <c r="I21" i="2"/>
  <c r="I23" i="2"/>
  <c r="I24" i="2"/>
  <c r="I28" i="2"/>
  <c r="I73" i="6" l="1"/>
  <c r="I35" i="2"/>
  <c r="I32" i="2"/>
  <c r="I19" i="2"/>
  <c r="I69" i="6"/>
  <c r="I24" i="6"/>
  <c r="I76" i="6"/>
  <c r="I63" i="6"/>
  <c r="I60" i="6"/>
  <c r="I37" i="6"/>
  <c r="I34" i="6"/>
  <c r="I30" i="6"/>
  <c r="I21" i="6"/>
  <c r="I22" i="2"/>
  <c r="I31" i="9"/>
  <c r="I30" i="9"/>
  <c r="I25" i="9"/>
  <c r="I24" i="9"/>
  <c r="I16" i="9"/>
  <c r="I46" i="9" s="1"/>
  <c r="I15" i="9"/>
  <c r="I45" i="9" s="1"/>
  <c r="I10" i="9"/>
  <c r="I9" i="9"/>
  <c r="P63" i="8"/>
  <c r="O63" i="8"/>
  <c r="N63" i="8"/>
  <c r="M63" i="8"/>
  <c r="L63" i="8"/>
  <c r="K63" i="8"/>
  <c r="J63" i="8"/>
  <c r="I63" i="8"/>
  <c r="H63" i="8"/>
  <c r="G63" i="8"/>
  <c r="O62" i="8"/>
  <c r="N62" i="8"/>
  <c r="M62" i="8"/>
  <c r="L62" i="8"/>
  <c r="K62" i="8"/>
  <c r="J62" i="8"/>
  <c r="I62" i="8"/>
  <c r="H62" i="8"/>
  <c r="G62" i="8"/>
  <c r="P61" i="8"/>
  <c r="O61" i="8"/>
  <c r="N61" i="8"/>
  <c r="M61" i="8"/>
  <c r="L61" i="8"/>
  <c r="K61" i="8"/>
  <c r="J61" i="8"/>
  <c r="I61" i="8"/>
  <c r="H61" i="8"/>
  <c r="G61" i="8"/>
  <c r="P60" i="8"/>
  <c r="O60" i="8"/>
  <c r="N60" i="8"/>
  <c r="M60" i="8"/>
  <c r="L60" i="8"/>
  <c r="K60" i="8"/>
  <c r="J60" i="8"/>
  <c r="I60" i="8"/>
  <c r="H60" i="8"/>
  <c r="G60" i="8"/>
  <c r="H54" i="8"/>
  <c r="I54" i="8"/>
  <c r="J54" i="8"/>
  <c r="K54" i="8"/>
  <c r="L54" i="8"/>
  <c r="M54" i="8"/>
  <c r="N54" i="8"/>
  <c r="O54" i="8"/>
  <c r="P54" i="8"/>
  <c r="H53" i="8"/>
  <c r="I53" i="8"/>
  <c r="J53" i="8"/>
  <c r="K53" i="8"/>
  <c r="L53" i="8"/>
  <c r="M53" i="8"/>
  <c r="N53" i="8"/>
  <c r="O53" i="8"/>
  <c r="H52" i="8"/>
  <c r="I52" i="8"/>
  <c r="J52" i="8"/>
  <c r="K52" i="8"/>
  <c r="L52" i="8"/>
  <c r="M52" i="8"/>
  <c r="N52" i="8"/>
  <c r="O52" i="8"/>
  <c r="P52" i="8"/>
  <c r="H51" i="8"/>
  <c r="I51" i="8"/>
  <c r="J51" i="8"/>
  <c r="K51" i="8"/>
  <c r="L51" i="8"/>
  <c r="M51" i="8"/>
  <c r="N51" i="8"/>
  <c r="O51" i="8"/>
  <c r="P51" i="8"/>
  <c r="G52" i="8"/>
  <c r="G53" i="8"/>
  <c r="G54" i="8"/>
  <c r="G51" i="8"/>
  <c r="I40" i="9" l="1"/>
  <c r="I33" i="6"/>
  <c r="I67" i="6"/>
  <c r="I28" i="6"/>
  <c r="I41" i="6"/>
  <c r="I26" i="2"/>
  <c r="I39" i="9"/>
  <c r="I31" i="2"/>
  <c r="I39" i="2"/>
  <c r="I72" i="6"/>
  <c r="I80" i="6"/>
  <c r="Q63" i="8"/>
  <c r="Q62" i="8"/>
  <c r="Q61" i="8"/>
  <c r="Q60" i="8"/>
  <c r="Q54" i="8"/>
  <c r="Q53" i="8"/>
  <c r="Q52" i="8"/>
  <c r="Q51" i="8"/>
  <c r="Q42" i="8"/>
  <c r="Q41" i="8"/>
  <c r="Q40" i="8"/>
  <c r="Q39" i="8"/>
  <c r="Q33" i="8"/>
  <c r="Q32" i="8"/>
  <c r="Q31" i="8"/>
  <c r="Q30" i="8"/>
  <c r="Q43" i="8" l="1"/>
  <c r="Q34" i="8"/>
  <c r="Q64" i="8"/>
  <c r="Q55" i="8"/>
  <c r="H24" i="10"/>
  <c r="G24" i="10"/>
  <c r="G7" i="10"/>
  <c r="H7" i="10" l="1"/>
  <c r="G14" i="10" l="1"/>
  <c r="G31" i="10" s="1"/>
  <c r="H14" i="10"/>
  <c r="H31" i="10" s="1"/>
  <c r="H22" i="10"/>
  <c r="G22" i="10"/>
  <c r="P64" i="8" l="1"/>
  <c r="O64" i="8"/>
  <c r="N64" i="8"/>
  <c r="M64" i="8"/>
  <c r="L64" i="8"/>
  <c r="K64" i="8"/>
  <c r="J64" i="8"/>
  <c r="I64" i="8"/>
  <c r="H64" i="8"/>
  <c r="G64" i="8"/>
  <c r="P55" i="8"/>
  <c r="O55" i="8"/>
  <c r="N55" i="8"/>
  <c r="M55" i="8"/>
  <c r="L55" i="8"/>
  <c r="K55" i="8"/>
  <c r="J55" i="8"/>
  <c r="I55" i="8"/>
  <c r="H55" i="8"/>
  <c r="G55" i="8"/>
  <c r="I35" i="10" l="1"/>
  <c r="I34" i="10"/>
  <c r="I28" i="10"/>
  <c r="I27" i="10"/>
  <c r="I18" i="10"/>
  <c r="I17" i="10"/>
  <c r="I11" i="10" l="1"/>
  <c r="I10" i="10"/>
  <c r="P43" i="8"/>
  <c r="O43" i="8"/>
  <c r="N43" i="8"/>
  <c r="M43" i="8"/>
  <c r="L43" i="8"/>
  <c r="K43" i="8"/>
  <c r="J43" i="8"/>
  <c r="I43" i="8"/>
  <c r="H43" i="8"/>
  <c r="G43" i="8"/>
  <c r="I59" i="7" l="1"/>
  <c r="I55" i="7"/>
  <c r="I54" i="7"/>
  <c r="I53" i="7"/>
  <c r="I52" i="7"/>
  <c r="I51" i="7"/>
  <c r="H50" i="7"/>
  <c r="H49" i="7" s="1"/>
  <c r="G50" i="7"/>
  <c r="G49" i="7" s="1"/>
  <c r="I48" i="7"/>
  <c r="I44" i="7"/>
  <c r="I43" i="7"/>
  <c r="I42" i="7"/>
  <c r="I41" i="7"/>
  <c r="I40" i="7"/>
  <c r="H39" i="7"/>
  <c r="H38" i="7" s="1"/>
  <c r="G39" i="7"/>
  <c r="G38" i="7" s="1"/>
  <c r="G60" i="7" l="1"/>
  <c r="I50" i="7"/>
  <c r="I49" i="7" s="1"/>
  <c r="H60" i="7"/>
  <c r="I39" i="7"/>
  <c r="I38" i="7" s="1"/>
  <c r="G42" i="2" l="1"/>
  <c r="I35" i="6"/>
  <c r="G5" i="6"/>
  <c r="I60" i="7" l="1"/>
  <c r="G5" i="2"/>
  <c r="Q21" i="8" l="1"/>
  <c r="Q20" i="8"/>
  <c r="Q19" i="8"/>
  <c r="Q18" i="8"/>
  <c r="Q12" i="8"/>
  <c r="Q11" i="8"/>
  <c r="Q10" i="8"/>
  <c r="Q9" i="8"/>
  <c r="P34" i="8" l="1"/>
  <c r="O34" i="8"/>
  <c r="N34" i="8"/>
  <c r="M34" i="8"/>
  <c r="L34" i="8"/>
  <c r="K34" i="8"/>
  <c r="J34" i="8"/>
  <c r="I34" i="8"/>
  <c r="H34" i="8"/>
  <c r="G34" i="8"/>
  <c r="Q22" i="8"/>
  <c r="P22" i="8"/>
  <c r="O22" i="8"/>
  <c r="N22" i="8"/>
  <c r="M22" i="8"/>
  <c r="L22" i="8"/>
  <c r="K22" i="8"/>
  <c r="J22" i="8"/>
  <c r="I22" i="8"/>
  <c r="H22" i="8"/>
  <c r="G22" i="8"/>
  <c r="Q13" i="8"/>
  <c r="P13" i="8"/>
  <c r="O13" i="8"/>
  <c r="N13" i="8"/>
  <c r="M13" i="8"/>
  <c r="L13" i="8"/>
  <c r="K13" i="8"/>
  <c r="J13" i="8"/>
  <c r="I13" i="8"/>
  <c r="H13" i="8"/>
  <c r="G13" i="8"/>
  <c r="H5" i="6" l="1"/>
  <c r="H44" i="6"/>
  <c r="H5" i="2"/>
  <c r="H42" i="2" l="1"/>
  <c r="G11" i="15"/>
  <c r="H11" i="15" s="1"/>
  <c r="I11" i="15" s="1"/>
  <c r="J11" i="15" s="1"/>
  <c r="K11" i="15" s="1"/>
  <c r="L11" i="15" s="1"/>
  <c r="M11" i="15" s="1"/>
  <c r="N11" i="15" s="1"/>
  <c r="O11" i="15" s="1"/>
  <c r="P11" i="15" s="1"/>
  <c r="Q11" i="15" s="1"/>
  <c r="R11" i="15" s="1"/>
  <c r="S11" i="15" s="1"/>
  <c r="T11" i="15" s="1"/>
  <c r="U11" i="1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Mauricio Ahumada (DBNeTCorp)</author>
  </authors>
  <commentList>
    <comment ref="I4" authorId="0" shapeId="0" xr:uid="{00000000-0006-0000-0700-000001000000}">
      <text>
        <r>
          <rPr>
            <b/>
            <sz val="9"/>
            <color indexed="81"/>
            <rFont val="Tahoma"/>
            <family val="2"/>
          </rPr>
          <t>Nota : Esta hoja debe ser llenada sólo por sociedades que otorgan crédito, como retail, leasing, factoring.</t>
        </r>
      </text>
    </comment>
  </commentList>
</comments>
</file>

<file path=xl/sharedStrings.xml><?xml version="1.0" encoding="utf-8"?>
<sst xmlns="http://schemas.openxmlformats.org/spreadsheetml/2006/main" count="3868" uniqueCount="999">
  <si>
    <t xml:space="preserve"> </t>
  </si>
  <si>
    <t>Agregar columna opcional</t>
  </si>
  <si>
    <r>
      <t xml:space="preserve">INSTRUCCIONES DE LLENADO
</t>
    </r>
    <r>
      <rPr>
        <sz val="10"/>
        <rFont val="Calibri"/>
        <family val="2"/>
      </rPr>
      <t xml:space="preserve">Esta dimensión puede ser extendida agregando columnas (miembros) adicionales a las definidas por taxonomía.
-Las columnas marcadas con línea punteada roja y con fondo verde indican las posiciones donde es posible agregar elementos.                                                                                                                                                                                                                                                                                             </t>
    </r>
    <r>
      <rPr>
        <sz val="10"/>
        <color indexed="10"/>
        <rFont val="Calibri"/>
        <family val="2"/>
      </rPr>
      <t xml:space="preserve">-Si se presiona el botón </t>
    </r>
    <r>
      <rPr>
        <b/>
        <sz val="10"/>
        <color indexed="10"/>
        <rFont val="Calibri"/>
        <family val="2"/>
      </rPr>
      <t>'Copiar Columna'</t>
    </r>
    <r>
      <rPr>
        <sz val="10"/>
        <color indexed="10"/>
        <rFont val="Calibri"/>
        <family val="2"/>
      </rPr>
      <t xml:space="preserve"> se copiará una columna  a la derecha de la columna actualmente seleccionada. </t>
    </r>
    <r>
      <rPr>
        <sz val="10"/>
        <rFont val="Calibri"/>
        <family val="2"/>
      </rPr>
      <t xml:space="preserve">
-Edite las columnas</t>
    </r>
    <r>
      <rPr>
        <b/>
        <sz val="10"/>
        <rFont val="Calibri"/>
        <family val="2"/>
      </rPr>
      <t xml:space="preserve"> coloreadas verde </t>
    </r>
    <r>
      <rPr>
        <sz val="10"/>
        <rFont val="Calibri"/>
        <family val="2"/>
      </rPr>
      <t xml:space="preserve">de acuerdo a sus necesidades.
-Las columnas verdes pueden ser editadas, eliminadas o duplicadas, así puede agregar mas detalle donde corresponda. Asegúrese de copiar la columna completa si desea duplicar un elemento (Se recomienda utilizar el botón 'Copiar Columna').
-Las columnas marcadas en plomo </t>
    </r>
    <r>
      <rPr>
        <b/>
        <sz val="10"/>
        <rFont val="Calibri"/>
        <family val="2"/>
      </rPr>
      <t>no deben ser editadas, eliminadas ni movidas.</t>
    </r>
  </si>
  <si>
    <t>Elimine la(s) columnas en verde que no apliquen para usted</t>
  </si>
  <si>
    <t>ACT</t>
  </si>
  <si>
    <t>ANT</t>
  </si>
  <si>
    <t xml:space="preserve">          Obligaciones con bancos [sinopsis]  </t>
  </si>
  <si>
    <t xml:space="preserve">                Total préstamos [miembro]  </t>
  </si>
  <si>
    <t xml:space="preserve">              Montos nominales [sinopsis]  </t>
  </si>
  <si>
    <t xml:space="preserve">              Valores contables [sinopsis]  </t>
  </si>
  <si>
    <t xml:space="preserve">Total obligaciones por emisiones de deuda [miembro]  </t>
  </si>
  <si>
    <t xml:space="preserve">            Obligaciones con el público [tabla]  </t>
  </si>
  <si>
    <t xml:space="preserve">Activos antes de provisiones [miembro]  </t>
  </si>
  <si>
    <t xml:space="preserve">Provisiones deudores comerciales [miembro]  </t>
  </si>
  <si>
    <t xml:space="preserve">Activos por deudores comerciales netos [miembro]  </t>
  </si>
  <si>
    <t xml:space="preserve">Estratificación de la cartera [sinopsis]  </t>
  </si>
  <si>
    <t>Cartera no securitizada [miembro]</t>
  </si>
  <si>
    <t xml:space="preserve">                  Al día [miembro]  </t>
  </si>
  <si>
    <t xml:space="preserve">                  Entre 1 y 30 días [miembro]  </t>
  </si>
  <si>
    <t xml:space="preserve">                  Entre 31 y 60 días [miembro]  </t>
  </si>
  <si>
    <t xml:space="preserve">                  Entre 61 y 90 días [miembro]  </t>
  </si>
  <si>
    <t xml:space="preserve">                  Entre 91 y 120 días [miembro]  </t>
  </si>
  <si>
    <t xml:space="preserve">                  Entre 121 y 150 días [miembro]  </t>
  </si>
  <si>
    <t xml:space="preserve">                  Entre 151 y 180 días [miembro]  </t>
  </si>
  <si>
    <t xml:space="preserve">                  Entre 181 y 210 días [miembro]  </t>
  </si>
  <si>
    <t xml:space="preserve">                  Entre 211 y 250 días [miembro]  </t>
  </si>
  <si>
    <t xml:space="preserve">                  Más de 250 días [miembro]  </t>
  </si>
  <si>
    <t xml:space="preserve">                Total cartera por tramo [miembro]  </t>
  </si>
  <si>
    <t xml:space="preserve">              Número clientes cartera no repactada  [Número]</t>
  </si>
  <si>
    <t xml:space="preserve">              Cartera no repactada bruta  [Número]</t>
  </si>
  <si>
    <t xml:space="preserve">              Número clientes cartera repactada  [Número]</t>
  </si>
  <si>
    <t xml:space="preserve">              Cartera repactada bruta  [Número]</t>
  </si>
  <si>
    <t xml:space="preserve">              Total cartera bruta  [Número]</t>
  </si>
  <si>
    <t xml:space="preserve">                Cartera securitizada [miembro]  </t>
  </si>
  <si>
    <t xml:space="preserve">          Cartera protestada y en cobranza judicial [sinopsis]  </t>
  </si>
  <si>
    <t xml:space="preserve">Documentos por cobrar en cobranza judicial [miembro]  </t>
  </si>
  <si>
    <t xml:space="preserve">Documentos por cobrar protestados [miembro]  </t>
  </si>
  <si>
    <t xml:space="preserve">              Número clientes cartera protestada o en cobranza judicial  [Número]</t>
  </si>
  <si>
    <t xml:space="preserve">              Cartera protestada o en cobranza judicial  [Número]</t>
  </si>
  <si>
    <t>Cartera securitizada [miembro]</t>
  </si>
  <si>
    <t xml:space="preserve">          Número y monto operaciones [sinopsis]  </t>
  </si>
  <si>
    <t xml:space="preserve">Ultimo trimestre [miembro]  </t>
  </si>
  <si>
    <t xml:space="preserve">Total detalle por tipo de operaciones [miembro]  </t>
  </si>
  <si>
    <t xml:space="preserve">              Número de operaciones  [Número]</t>
  </si>
  <si>
    <t xml:space="preserve">              Monto de las operaciones  [Número]</t>
  </si>
  <si>
    <t xml:space="preserve">              Descripción de operación  [Texto]</t>
  </si>
  <si>
    <t xml:space="preserve">Acumulado anual [miembro]  </t>
  </si>
  <si>
    <t>AAN</t>
  </si>
  <si>
    <t>INI</t>
  </si>
  <si>
    <t xml:space="preserve">                Total Cartera [miembro]</t>
  </si>
  <si>
    <t xml:space="preserve">                Total Cartera [miembro]  </t>
  </si>
  <si>
    <t>Total cartera protestada y en cobranza judicial [miembro]</t>
  </si>
  <si>
    <t>Total documentos protestados y en cobranza judicial [miembro]</t>
  </si>
  <si>
    <t>Total Cartera [miembro]</t>
  </si>
  <si>
    <t>DIMENUE</t>
  </si>
  <si>
    <t>DIMEAVA</t>
  </si>
  <si>
    <t>Ultimo trimestre [miembro]</t>
  </si>
  <si>
    <t xml:space="preserve">          Deudores comerciales y otras cuentas por cobrar- Cierre Anual Anterior [sinopsis]  </t>
  </si>
  <si>
    <t xml:space="preserve">                hasta 90 días [Número]</t>
  </si>
  <si>
    <t xml:space="preserve">                más de 90 días hasta 1 año [Número]</t>
  </si>
  <si>
    <t xml:space="preserve">                más de 1 año hasta 3 años [Número]</t>
  </si>
  <si>
    <t xml:space="preserve">                  más de 1 año hasta 2 años [Número]</t>
  </si>
  <si>
    <t xml:space="preserve">                  más de 2 años hasta 3 años [Número]</t>
  </si>
  <si>
    <t xml:space="preserve">                más de 3 años hasta 5 años [Número]</t>
  </si>
  <si>
    <t xml:space="preserve">                  más de 3 años hasta 4 años [Número]</t>
  </si>
  <si>
    <t xml:space="preserve">                  más de 4 años hasta 5 años [Número]</t>
  </si>
  <si>
    <t xml:space="preserve">                más de 5 años [Número]</t>
  </si>
  <si>
    <t xml:space="preserve">                Total montos nominales [Número]</t>
  </si>
  <si>
    <t xml:space="preserve">                Préstamos bancarios corrientes [Número]</t>
  </si>
  <si>
    <t xml:space="preserve">                  hasta 90 días [Número]</t>
  </si>
  <si>
    <t xml:space="preserve">                  más de 90 días hasta 1 año [Número]</t>
  </si>
  <si>
    <t xml:space="preserve">                Préstamos bancarios no corrientes [Número]</t>
  </si>
  <si>
    <t xml:space="preserve">                  más de 1 año hasta 3 años [Número]</t>
  </si>
  <si>
    <t xml:space="preserve">                    más de 1 año hasta 2 años [Número]</t>
  </si>
  <si>
    <t xml:space="preserve">                    más de 2 años hasta 3 años [Número]</t>
  </si>
  <si>
    <t xml:space="preserve">                  más de 3 años hasta 5 años [Número]</t>
  </si>
  <si>
    <t xml:space="preserve">                    más de 3 años hasta 4 años [Número]</t>
  </si>
  <si>
    <t xml:space="preserve">                    más de 4 años hasta 5 años [Número]</t>
  </si>
  <si>
    <t xml:space="preserve">                  más de 5 años [Número]</t>
  </si>
  <si>
    <t xml:space="preserve">                Préstamos bancarios [Número]</t>
  </si>
  <si>
    <t xml:space="preserve">                Obligaciones con el público corrientes [Número]</t>
  </si>
  <si>
    <t xml:space="preserve">                Obligaciones con el público no corrientes [Número]</t>
  </si>
  <si>
    <t xml:space="preserve">                Obligaciones con el público [Número]</t>
  </si>
  <si>
    <t xml:space="preserve">              Cuentas comerciales por cobrar y otras cuentas por cobrar corrientes [resumen]  </t>
  </si>
  <si>
    <t xml:space="preserve">                Cuentas comerciales por cobrar y otras cuentas por cobrar corrientes [Número]</t>
  </si>
  <si>
    <t xml:space="preserve">                  Cuentas comerciales por cobrar corrientes [Número]</t>
  </si>
  <si>
    <t xml:space="preserve">                    Deudores por operaciones de crédito corrientes [Número]</t>
  </si>
  <si>
    <t xml:space="preserve">                    Deudores por operaciones de factoring corrientes [Número]</t>
  </si>
  <si>
    <t xml:space="preserve">                    Contratos de leasing (neto) corrientes [Número]</t>
  </si>
  <si>
    <t xml:space="preserve">                    Deudores varios corrientes [Número]</t>
  </si>
  <si>
    <t xml:space="preserve">                  Pagos anticipados corrientes [Número]</t>
  </si>
  <si>
    <t xml:space="preserve">                  Otras cuentas por cobrar corrientes [Número]</t>
  </si>
  <si>
    <t xml:space="preserve">                Cuentas comerciales por cobrar y otras cuentas por cobrar no corrientes [Número]</t>
  </si>
  <si>
    <t xml:space="preserve">                  Cuentas comerciales por cobrar no corrientes [Número]</t>
  </si>
  <si>
    <t xml:space="preserve">                    Operaciones de crédito no corrientes [Número]</t>
  </si>
  <si>
    <t xml:space="preserve">                    Deudores por operaciones de factoring no corrientes [Número]</t>
  </si>
  <si>
    <t xml:space="preserve">                    Contratos de leasing (neto) no corrientes [Número]</t>
  </si>
  <si>
    <t xml:space="preserve">                    Deudores varios no corrientes [Número]</t>
  </si>
  <si>
    <t xml:space="preserve">                  Anticipos de pagos no corrientes [Número]</t>
  </si>
  <si>
    <t xml:space="preserve">                  Otras cuentas por cobrar no corrientes [Número]</t>
  </si>
  <si>
    <t xml:space="preserve">                Cuentas comerciales por cobrar y otras cuentas por cobrar [Número]</t>
  </si>
  <si>
    <t>Cuentas por cobrar corrientes procedentes de impuestos distintos a los impuestos a las ganancias [Número]</t>
  </si>
  <si>
    <t>Cuentas por cobrar no corrientes procedentes de impuestos distintos a los impuestos a las ganancias [Número]</t>
  </si>
  <si>
    <t>ABW: Aruba</t>
  </si>
  <si>
    <t>AFG: Afghanistan</t>
  </si>
  <si>
    <t>AGO: Angola</t>
  </si>
  <si>
    <t>AIA: Anguilla</t>
  </si>
  <si>
    <t>ALB: Albania</t>
  </si>
  <si>
    <t>AND: Andorra</t>
  </si>
  <si>
    <t>ARE: United Arab Emirates (the)</t>
  </si>
  <si>
    <t>ARG: Argentina</t>
  </si>
  <si>
    <t>ARM: Armenia</t>
  </si>
  <si>
    <t>ASM: American Samoa</t>
  </si>
  <si>
    <t>ATA: Antarctica</t>
  </si>
  <si>
    <t>ATF: French Southern Territories (the)</t>
  </si>
  <si>
    <t>ATG: Antigua and Barbuda</t>
  </si>
  <si>
    <t>AUS: Australia</t>
  </si>
  <si>
    <t>AUT: Austria</t>
  </si>
  <si>
    <t>AZE: Azerbaijan</t>
  </si>
  <si>
    <t>BDI: Burundi</t>
  </si>
  <si>
    <t>BEL: Belgium</t>
  </si>
  <si>
    <t>BEN: Benin</t>
  </si>
  <si>
    <t>BES: Bonaire, Sint Eustatius and Saba</t>
  </si>
  <si>
    <t>BFA: Burkina Faso</t>
  </si>
  <si>
    <t>BGD: Bangladesh</t>
  </si>
  <si>
    <t>BGR: Bulgaria</t>
  </si>
  <si>
    <t>BHR: Bahrain</t>
  </si>
  <si>
    <t>BHS: Bahamas (the)</t>
  </si>
  <si>
    <t>BIH: Bosnia and Herzegovina</t>
  </si>
  <si>
    <t>BLR: Belarus</t>
  </si>
  <si>
    <t>BLZ: Belize</t>
  </si>
  <si>
    <t>BMU: Bermuda</t>
  </si>
  <si>
    <t>BOL: Bolivia, Plurinational State of</t>
  </si>
  <si>
    <t>BRA: Brazil</t>
  </si>
  <si>
    <t>BRB: Barbados</t>
  </si>
  <si>
    <t>BRN: Brunei Darussalam</t>
  </si>
  <si>
    <t>BTN: Bhutan</t>
  </si>
  <si>
    <t>BVT: Bouvet Island</t>
  </si>
  <si>
    <t>BWA: Botswana</t>
  </si>
  <si>
    <t>CAF: Central African Republic (the)</t>
  </si>
  <si>
    <t>CAN: Canada</t>
  </si>
  <si>
    <t>CCK: Cocos (Keeling) Islands (the)</t>
  </si>
  <si>
    <t>CHE: Switzerland</t>
  </si>
  <si>
    <t>CHL: Chile</t>
  </si>
  <si>
    <t>CHN: China</t>
  </si>
  <si>
    <t>CMR: Cameroon</t>
  </si>
  <si>
    <t>COD: Congo (the Democratic Republic of the)</t>
  </si>
  <si>
    <t>COG: Congo</t>
  </si>
  <si>
    <t>COK: Cook Islands (the)</t>
  </si>
  <si>
    <t>COL: Colombia</t>
  </si>
  <si>
    <t>COM: Comoros</t>
  </si>
  <si>
    <t>CPV: Cabo Verde</t>
  </si>
  <si>
    <t>CRI: Costa Rica</t>
  </si>
  <si>
    <t>CUB: Cuba</t>
  </si>
  <si>
    <t>CXR: Christmas Island</t>
  </si>
  <si>
    <t>CYM: Cayman Islands (the)</t>
  </si>
  <si>
    <t>CYP: Cyprus</t>
  </si>
  <si>
    <t>CZE: Czech Republic (the)</t>
  </si>
  <si>
    <t>DEU: Germany</t>
  </si>
  <si>
    <t>DJI: Djibouti</t>
  </si>
  <si>
    <t>DMA: Dominica</t>
  </si>
  <si>
    <t>DNK: Denmark</t>
  </si>
  <si>
    <t>DOM: Dominican Republic (the)</t>
  </si>
  <si>
    <t>DZA: Algeria</t>
  </si>
  <si>
    <t>ECU: Ecuador</t>
  </si>
  <si>
    <t>EGY: Egypt</t>
  </si>
  <si>
    <t>ERI: Eritrea</t>
  </si>
  <si>
    <t>ESP: Spain</t>
  </si>
  <si>
    <t>EST: Estonia</t>
  </si>
  <si>
    <t>ETH: Ethiopia</t>
  </si>
  <si>
    <t>FIN: Finland</t>
  </si>
  <si>
    <t>FJI: Fiji</t>
  </si>
  <si>
    <t>FLK: Falkland Islands (the) [Malvinas]</t>
  </si>
  <si>
    <t>FRA: France</t>
  </si>
  <si>
    <t>FRO: Faroe Islands (the)</t>
  </si>
  <si>
    <t>FSM: Micronesia (the Federated States of)</t>
  </si>
  <si>
    <t>GAB: Gabon</t>
  </si>
  <si>
    <t>GBR: United Kingdom (the)</t>
  </si>
  <si>
    <t>GEO: Georgia</t>
  </si>
  <si>
    <t>GGY: Guernsey</t>
  </si>
  <si>
    <t>GHA: Ghana</t>
  </si>
  <si>
    <t>GIB: Gibraltar</t>
  </si>
  <si>
    <t>GIN: Guinea</t>
  </si>
  <si>
    <t>GLP: Guadeloupe</t>
  </si>
  <si>
    <t>GMB: Gambia (The)</t>
  </si>
  <si>
    <t>GNB: Guinea-Bissau</t>
  </si>
  <si>
    <t>GNQ: Equatorial Guinea</t>
  </si>
  <si>
    <t>GRC: Greece</t>
  </si>
  <si>
    <t>GRD: Grenada</t>
  </si>
  <si>
    <t>GRL: Greenland</t>
  </si>
  <si>
    <t>GTM: Guatemala</t>
  </si>
  <si>
    <t>GUF: French Guiana</t>
  </si>
  <si>
    <t>GUM: Guam</t>
  </si>
  <si>
    <t>GUY: Guyana</t>
  </si>
  <si>
    <t>HKG: Hong Kong</t>
  </si>
  <si>
    <t>HMD: Heard Island and McDonald Islands</t>
  </si>
  <si>
    <t>HND: Honduras</t>
  </si>
  <si>
    <t>HRV: Croatia</t>
  </si>
  <si>
    <t>HTI: Haiti</t>
  </si>
  <si>
    <t>HUN: Hungary</t>
  </si>
  <si>
    <t>IDN: Indonesia</t>
  </si>
  <si>
    <t>IMN: Isle of Man</t>
  </si>
  <si>
    <t>IND: India</t>
  </si>
  <si>
    <t>IOT: British Indian Ocean Territory (the)</t>
  </si>
  <si>
    <t>IRL: Ireland</t>
  </si>
  <si>
    <t>IRN: Iran (the Islamic Republic of)</t>
  </si>
  <si>
    <t>IRQ: Iraq</t>
  </si>
  <si>
    <t>ISL: Iceland</t>
  </si>
  <si>
    <t>ISR: Israel</t>
  </si>
  <si>
    <t>ITA: Italy</t>
  </si>
  <si>
    <t>JAM: Jamaica</t>
  </si>
  <si>
    <t>JEY: Jersey</t>
  </si>
  <si>
    <t>JOR: Jordan</t>
  </si>
  <si>
    <t>JPN: Japan</t>
  </si>
  <si>
    <t>KAZ: Kazakhstan</t>
  </si>
  <si>
    <t>KEN: Kenya</t>
  </si>
  <si>
    <t>KGZ: Kyrgyzstan</t>
  </si>
  <si>
    <t>KHM: Cambodia</t>
  </si>
  <si>
    <t>KIR: Kiribati</t>
  </si>
  <si>
    <t>KNA: Saint Kitts and Nevis</t>
  </si>
  <si>
    <t>KOR: Korea (the Republic of)</t>
  </si>
  <si>
    <t>KWT: Kuwait</t>
  </si>
  <si>
    <t>LAO: Lao People's Democratic Republic (the)</t>
  </si>
  <si>
    <t>LBN: Lebanon</t>
  </si>
  <si>
    <t>LBR: Liberia</t>
  </si>
  <si>
    <t>LBY: Libya</t>
  </si>
  <si>
    <t>LCA: Saint Lucia</t>
  </si>
  <si>
    <t>LIE: Liechtenstein</t>
  </si>
  <si>
    <t>LKA: Sri Lanka</t>
  </si>
  <si>
    <t>LSO: Lesotho</t>
  </si>
  <si>
    <t>LTU: Lithuania</t>
  </si>
  <si>
    <t>LUX: Luxembourg</t>
  </si>
  <si>
    <t>LVA: Latvia</t>
  </si>
  <si>
    <t>MAC: Macao</t>
  </si>
  <si>
    <t>MAF: Saint Martin (French part)</t>
  </si>
  <si>
    <t>MAR: Morocco</t>
  </si>
  <si>
    <t>MCO: Monaco</t>
  </si>
  <si>
    <t>MDA: Moldova (the Republic of)</t>
  </si>
  <si>
    <t>MDG: Madagascar</t>
  </si>
  <si>
    <t>MDV: Maldives</t>
  </si>
  <si>
    <t>MEX: Mexico</t>
  </si>
  <si>
    <t>MHL: Marshall Islands (the)</t>
  </si>
  <si>
    <t>MKD: Macedonia (the former Yugoslav Republic of)</t>
  </si>
  <si>
    <t>MLI: Mali</t>
  </si>
  <si>
    <t>MLT: Malta</t>
  </si>
  <si>
    <t>MMR: Myanmar</t>
  </si>
  <si>
    <t>MNE: Montenegro</t>
  </si>
  <si>
    <t>MNG: Mongolia</t>
  </si>
  <si>
    <t>MNP: Northern Mariana Islands (the)</t>
  </si>
  <si>
    <t>MOZ: Mozambique</t>
  </si>
  <si>
    <t>MRT: Mauritania</t>
  </si>
  <si>
    <t>MSR: Montserrat</t>
  </si>
  <si>
    <t>MTQ: Martinique</t>
  </si>
  <si>
    <t>MUS: Mauritius</t>
  </si>
  <si>
    <t>MWI: Malawi</t>
  </si>
  <si>
    <t>MYS: Malaysia</t>
  </si>
  <si>
    <t>MYT: Mayotte</t>
  </si>
  <si>
    <t>NAM: Namibia</t>
  </si>
  <si>
    <t>NCL: New Caledonia</t>
  </si>
  <si>
    <t>NER: Niger (the)</t>
  </si>
  <si>
    <t>NFK: Norfolk Island</t>
  </si>
  <si>
    <t>NGA: Nigeria</t>
  </si>
  <si>
    <t>NIC: Nicaragua</t>
  </si>
  <si>
    <t>NIU: Niue</t>
  </si>
  <si>
    <t>NLD: Netherlands (the)</t>
  </si>
  <si>
    <t>NOR: Norway</t>
  </si>
  <si>
    <t>NPL: Nepal</t>
  </si>
  <si>
    <t>NRU: Nauru</t>
  </si>
  <si>
    <t>NZL: New Zealand</t>
  </si>
  <si>
    <t>OMN: Oman</t>
  </si>
  <si>
    <t>PAK: Pakistan</t>
  </si>
  <si>
    <t>PAN: Panama</t>
  </si>
  <si>
    <t>PCN: Pitcairn</t>
  </si>
  <si>
    <t>PER: Peru</t>
  </si>
  <si>
    <t>PHL: Philippines (the)</t>
  </si>
  <si>
    <t>PLW: Palau</t>
  </si>
  <si>
    <t>PNG: Papua New Guinea</t>
  </si>
  <si>
    <t>POL: Poland</t>
  </si>
  <si>
    <t>PRI: Puerto Rico</t>
  </si>
  <si>
    <t>PRK: Korea (the Democratic People's Republic of)</t>
  </si>
  <si>
    <t>PRT: Portugal</t>
  </si>
  <si>
    <t>PRY: Paraguay</t>
  </si>
  <si>
    <t>PSE: Palestine, State of</t>
  </si>
  <si>
    <t>PYF: French Polynesia</t>
  </si>
  <si>
    <t>QAT: Qatar</t>
  </si>
  <si>
    <t>ROU: Romania</t>
  </si>
  <si>
    <t>RUS: Russian Federation (the)</t>
  </si>
  <si>
    <t>RWA: Rwanda</t>
  </si>
  <si>
    <t>SAU: Saudi Arabia</t>
  </si>
  <si>
    <t>SDN: Sudan (the)</t>
  </si>
  <si>
    <t>SEN: Senegal</t>
  </si>
  <si>
    <t>SGP: Singapore</t>
  </si>
  <si>
    <t>SGS: South Georgia and the South Sandwich Islands</t>
  </si>
  <si>
    <t>SHN: Saint Helena, Ascension and Tristan da Cunha</t>
  </si>
  <si>
    <t>SJM: Svalbard and Jan Mayen</t>
  </si>
  <si>
    <t>SLB: Solomon Islands (the)</t>
  </si>
  <si>
    <t>SLE: Sierra Leone</t>
  </si>
  <si>
    <t>SLV: El Salvador</t>
  </si>
  <si>
    <t>SMR: San Marino</t>
  </si>
  <si>
    <t>SOM: Somalia</t>
  </si>
  <si>
    <t>SPM: Saint Pierre and Miquelon</t>
  </si>
  <si>
    <t>SRB: Serbia</t>
  </si>
  <si>
    <t>SSD: South Sudan</t>
  </si>
  <si>
    <t>STP: Sao Tome and Principe</t>
  </si>
  <si>
    <t>SUR: Suriname</t>
  </si>
  <si>
    <t>SVK: Slovakia</t>
  </si>
  <si>
    <t>SVN: Slovenia</t>
  </si>
  <si>
    <t>SWE: Sweden</t>
  </si>
  <si>
    <t>SXM: Sint Maarten (Dutch part)</t>
  </si>
  <si>
    <t>SYC: Seychelles</t>
  </si>
  <si>
    <t>SYR: Syrian Arab Republic (the)</t>
  </si>
  <si>
    <t>TCA: Turks and Caicos Islands (the)</t>
  </si>
  <si>
    <t>TCD: Chad</t>
  </si>
  <si>
    <t>TGO: Togo</t>
  </si>
  <si>
    <t>THA: Thailand</t>
  </si>
  <si>
    <t>TJK: Tajikistan</t>
  </si>
  <si>
    <t>TKL: Tokelau</t>
  </si>
  <si>
    <t>TKM: Turkmenistan</t>
  </si>
  <si>
    <t>TLS: Timor-Leste</t>
  </si>
  <si>
    <t>TON: Tonga</t>
  </si>
  <si>
    <t>TTO: Trinidad and Tobago</t>
  </si>
  <si>
    <t>TUN: Tunisia</t>
  </si>
  <si>
    <t>TUR: Turkey</t>
  </si>
  <si>
    <t>TUV: Tuvalu</t>
  </si>
  <si>
    <t>TWN: Taiwan (Province of China)</t>
  </si>
  <si>
    <t>TZA: Tanzania, United Republic of</t>
  </si>
  <si>
    <t>UGA: Uganda</t>
  </si>
  <si>
    <t>UKR: Ukraine</t>
  </si>
  <si>
    <t>UMI: United States Minor Outlying Islands (the)</t>
  </si>
  <si>
    <t>URY: Uruguay</t>
  </si>
  <si>
    <t>UZB: Uzbekistan</t>
  </si>
  <si>
    <t>VAT: Holy See (the) [Vatican City State]</t>
  </si>
  <si>
    <t>VCT: Saint Vincent and the Grenadines</t>
  </si>
  <si>
    <t>VGB: Virgin Islands (British)</t>
  </si>
  <si>
    <t>VIR: Virgin Islands (U.S.)</t>
  </si>
  <si>
    <t>VNM: Viet Nam</t>
  </si>
  <si>
    <t>VUT: Vanuatu</t>
  </si>
  <si>
    <t>WLF: Wallis and Futuna</t>
  </si>
  <si>
    <t>WSM: Samoa</t>
  </si>
  <si>
    <t>YEM: Yemen</t>
  </si>
  <si>
    <t>ZAF: South Africa</t>
  </si>
  <si>
    <t>ZMB: Zambia</t>
  </si>
  <si>
    <t>ZWE: Zimbabwe</t>
  </si>
  <si>
    <t>AED: UAE Dirham</t>
  </si>
  <si>
    <t>AFN: Afghani</t>
  </si>
  <si>
    <t>ALL: Lek</t>
  </si>
  <si>
    <t>AMD: Armenian Dram</t>
  </si>
  <si>
    <t>ANG: Netherlands Antillean Guilder</t>
  </si>
  <si>
    <t>AOA: Kwanza</t>
  </si>
  <si>
    <t>ARS: Argentine Peso</t>
  </si>
  <si>
    <t>AUD: Australian Dollar</t>
  </si>
  <si>
    <t>AWG: Aruban Florin</t>
  </si>
  <si>
    <t>AZN: Azerbaijanian Manat</t>
  </si>
  <si>
    <t>BAM: Convertible Mark</t>
  </si>
  <si>
    <t>BBD: Barbados Dollar</t>
  </si>
  <si>
    <t>BDT: Taka</t>
  </si>
  <si>
    <t>BGN: Bulgarian Lev</t>
  </si>
  <si>
    <t>BHD: Bahraini Dinar</t>
  </si>
  <si>
    <t>BIF: Burundi Franc</t>
  </si>
  <si>
    <t>BMD: Bermudian Dollar</t>
  </si>
  <si>
    <t>BND: Brunei Dollar</t>
  </si>
  <si>
    <t>BOB: Boliviano</t>
  </si>
  <si>
    <t>BOV: Mvdol</t>
  </si>
  <si>
    <t>BRL: Brazilian Real</t>
  </si>
  <si>
    <t>BSD: Bahamian Dollar</t>
  </si>
  <si>
    <t>BTN: Ngultrum</t>
  </si>
  <si>
    <t>BWP: Pula</t>
  </si>
  <si>
    <t>BZD: Belize Dollar</t>
  </si>
  <si>
    <t>CAD: Canadian Dollar</t>
  </si>
  <si>
    <t>CDF: Congolese Franc</t>
  </si>
  <si>
    <t>CHE: WIR Euro</t>
  </si>
  <si>
    <t>CHF: Swiss Franc</t>
  </si>
  <si>
    <t>CHW: WIR Franc</t>
  </si>
  <si>
    <t>CLF: Unidad de Fomento</t>
  </si>
  <si>
    <t>CLP: Chilean Peso</t>
  </si>
  <si>
    <t>CNY: Yuan Renminbi</t>
  </si>
  <si>
    <t>COP: Colombian Peso</t>
  </si>
  <si>
    <t>COU: Unidad de Valor Real</t>
  </si>
  <si>
    <t>CRC: Costa Rican Colon</t>
  </si>
  <si>
    <t>CUC: Peso Convertible</t>
  </si>
  <si>
    <t>CUP: Cuban Peso</t>
  </si>
  <si>
    <t>CVE: Cabo Verde Escudo</t>
  </si>
  <si>
    <t>CZK: Czech Koruna</t>
  </si>
  <si>
    <t>DJF: Djibouti Franc</t>
  </si>
  <si>
    <t>DKK: Danish Krone</t>
  </si>
  <si>
    <t>DOP: Dominican Peso</t>
  </si>
  <si>
    <t>DZD: Algerian Dinar</t>
  </si>
  <si>
    <t>EGP: Egyptian Pound</t>
  </si>
  <si>
    <t>ERN: Nakfa</t>
  </si>
  <si>
    <t>ETB: Ethiopian Birr</t>
  </si>
  <si>
    <t>EUR: Euro</t>
  </si>
  <si>
    <t>FJD: Fiji Dollar</t>
  </si>
  <si>
    <t>FKP: Falkland Islands Pound</t>
  </si>
  <si>
    <t>GBP: Pound Sterling</t>
  </si>
  <si>
    <t>GEL: Lari</t>
  </si>
  <si>
    <t>GHS: Ghana Cedi</t>
  </si>
  <si>
    <t>GIP: Gibraltar Pound</t>
  </si>
  <si>
    <t>GMD: Dalasi</t>
  </si>
  <si>
    <t>GNF: Guinea Franc</t>
  </si>
  <si>
    <t>GTQ: Quetzal</t>
  </si>
  <si>
    <t>HKD: Hong Kong Dollar</t>
  </si>
  <si>
    <t>HNL: Lempira</t>
  </si>
  <si>
    <t>HTG: Gourde</t>
  </si>
  <si>
    <t>HUF: Forint</t>
  </si>
  <si>
    <t>IDR: Rupiah</t>
  </si>
  <si>
    <t>ILS: New Israeli Sheqel</t>
  </si>
  <si>
    <t>INR: Indian Rupee</t>
  </si>
  <si>
    <t>IQD: Iraqi Dinar</t>
  </si>
  <si>
    <t>IRR: Iranian Rial</t>
  </si>
  <si>
    <t>ISK: Iceland Krona</t>
  </si>
  <si>
    <t>JMD: Jamaican Dollar</t>
  </si>
  <si>
    <t>JOD: Jordanian Dinar</t>
  </si>
  <si>
    <t>JPY: Yen</t>
  </si>
  <si>
    <t>KES: Kenyan Shilling</t>
  </si>
  <si>
    <t>KGS: Som</t>
  </si>
  <si>
    <t>KHR: Riel</t>
  </si>
  <si>
    <t>KMF: Comoro Franc</t>
  </si>
  <si>
    <t>KPW: North Korean Won</t>
  </si>
  <si>
    <t>KRW: Won</t>
  </si>
  <si>
    <t>KWD: Kuwaiti Dinar</t>
  </si>
  <si>
    <t>KYD: Cayman Islands Dollar</t>
  </si>
  <si>
    <t>KZT: Tenge</t>
  </si>
  <si>
    <t>LAK: Kip</t>
  </si>
  <si>
    <t>LBP: Lebanese Pound</t>
  </si>
  <si>
    <t>LKR: Sri Lanka Rupee</t>
  </si>
  <si>
    <t>LRD: Liberian Dollar</t>
  </si>
  <si>
    <t>LSL: Loti</t>
  </si>
  <si>
    <t>LYD: Libyan Dinar</t>
  </si>
  <si>
    <t>MAD: Moroccan Dirham</t>
  </si>
  <si>
    <t>MDL: Moldovan Leu</t>
  </si>
  <si>
    <t>MKD: Denar</t>
  </si>
  <si>
    <t>MMK: Kyat</t>
  </si>
  <si>
    <t>MNT: Tugrik</t>
  </si>
  <si>
    <t>MOP: Pataca</t>
  </si>
  <si>
    <t>MUR: Mauritius Rupee</t>
  </si>
  <si>
    <t>MVR: Rufiyaa</t>
  </si>
  <si>
    <t>MWK: Kwacha</t>
  </si>
  <si>
    <t>MXN: Mexican Peso</t>
  </si>
  <si>
    <t>MXV: Mexican Unidad de Inversion (UDI)</t>
  </si>
  <si>
    <t>MYR: Malaysian Ringgit</t>
  </si>
  <si>
    <t>MZN: Mozambique Metical</t>
  </si>
  <si>
    <t>NAD: Namibia Dollar</t>
  </si>
  <si>
    <t>NGN: Naira</t>
  </si>
  <si>
    <t>NIO: Cordoba Oro</t>
  </si>
  <si>
    <t>NOK: Norwegian Krone</t>
  </si>
  <si>
    <t>NPR: Nepalese Rupee</t>
  </si>
  <si>
    <t>NZD: New Zealand Dollar</t>
  </si>
  <si>
    <t>OMR: Rial Omani</t>
  </si>
  <si>
    <t>PAB: Balboa</t>
  </si>
  <si>
    <t>PGK: Kina</t>
  </si>
  <si>
    <t>PHP: Philippine Peso</t>
  </si>
  <si>
    <t>PKR: Pakistan Rupee</t>
  </si>
  <si>
    <t>PLN: Zloty</t>
  </si>
  <si>
    <t>PYG: Guarani</t>
  </si>
  <si>
    <t>QAR: Qatari Rial</t>
  </si>
  <si>
    <t>RSD: Serbian Dinar</t>
  </si>
  <si>
    <t>RUB: Russian Ruble</t>
  </si>
  <si>
    <t>RWF: Rwanda Franc</t>
  </si>
  <si>
    <t>SAR: Saudi Riyal</t>
  </si>
  <si>
    <t>SBD: Solomon Islands Dollar</t>
  </si>
  <si>
    <t>SCR: Seychelles Rupee</t>
  </si>
  <si>
    <t>SDG: Sudanese Pound</t>
  </si>
  <si>
    <t>SEK: Swedish Krona</t>
  </si>
  <si>
    <t>SGD: Singapore Dollar</t>
  </si>
  <si>
    <t>SHP: Saint Helena Pound</t>
  </si>
  <si>
    <t>SLL: Leone</t>
  </si>
  <si>
    <t>SOS: Somali Shilling</t>
  </si>
  <si>
    <t>SRD: Surinam Dollar</t>
  </si>
  <si>
    <t>SSP: South Sudanese Pound</t>
  </si>
  <si>
    <t>SVC: El Salvador Colon</t>
  </si>
  <si>
    <t>SYP: Syrian Pound</t>
  </si>
  <si>
    <t>SZL: Lilangeni</t>
  </si>
  <si>
    <t>THB: Baht</t>
  </si>
  <si>
    <t>TJS: Somoni</t>
  </si>
  <si>
    <t>TND: Tunisian Dinar</t>
  </si>
  <si>
    <t>TRY: Turkish Lira</t>
  </si>
  <si>
    <t>TTD: Trinidad and Tobago Dollar</t>
  </si>
  <si>
    <t>TWD: New Taiwan Dollar</t>
  </si>
  <si>
    <t>TZS: Tanzanian Shilling</t>
  </si>
  <si>
    <t>UAH: Hryvnia</t>
  </si>
  <si>
    <t>UGX: Uganda Shilling</t>
  </si>
  <si>
    <t>USD: US Dollar</t>
  </si>
  <si>
    <t>USN: US Dollar (Next day)</t>
  </si>
  <si>
    <t>UYI: Uruguay Peso en Unidades Indexadas (URUIURUI)</t>
  </si>
  <si>
    <t>UYU: Peso Uruguayo</t>
  </si>
  <si>
    <t>UZS: Uzbekistan Sum</t>
  </si>
  <si>
    <t>VND: Dong</t>
  </si>
  <si>
    <t>VUV: Vatu</t>
  </si>
  <si>
    <t>WST: Tala</t>
  </si>
  <si>
    <t>XAF: CFA Franc BEAC</t>
  </si>
  <si>
    <t>XAG: Silver</t>
  </si>
  <si>
    <t>XAU: Gold</t>
  </si>
  <si>
    <t>XBA: Bond Markets Unit European Composite Unit (EURCO)</t>
  </si>
  <si>
    <t>XBB: Bond Markets Unit European Monetary Unit (E.M.U.-6)</t>
  </si>
  <si>
    <t>XBC: Bond Markets Unit European Unit of Account 9 (E.U.A.-9)</t>
  </si>
  <si>
    <t>XBD: Bond Markets Unit European Unit of Account 17 (E.U.A.-17)</t>
  </si>
  <si>
    <t>XCD: East Caribbean Dollar</t>
  </si>
  <si>
    <t>XDR: SDR (Special Drawing Right)</t>
  </si>
  <si>
    <t>XOF: CFA Franc BCEAO</t>
  </si>
  <si>
    <t>XPD: Palladium</t>
  </si>
  <si>
    <t>XPF: CFP Franc</t>
  </si>
  <si>
    <t>XPT: Platinum</t>
  </si>
  <si>
    <t>XSU: Sucre</t>
  </si>
  <si>
    <t>XTS: Codes specifically reserved for testing purposes</t>
  </si>
  <si>
    <t>XUA: ADB Unit of Account</t>
  </si>
  <si>
    <t>XXX: The codes assigned for transactions where no currency is involved</t>
  </si>
  <si>
    <t>YER: Yemeni Rial</t>
  </si>
  <si>
    <t>ZAR: Rand</t>
  </si>
  <si>
    <t>ZMW: Zambian Kwacha</t>
  </si>
  <si>
    <t>ZWL: Zimbabwe Dollar</t>
  </si>
  <si>
    <t xml:space="preserve"> Trimestre acumulado año actual</t>
  </si>
  <si>
    <t>Trimestre  acumulado año anterior</t>
  </si>
  <si>
    <t xml:space="preserve"> Último trimestre año actual</t>
  </si>
  <si>
    <t>Último trimestre año anterior</t>
  </si>
  <si>
    <t>full_ifrs-cor_2015-03-11.xsd#ifrs-full_CurrentReceivablesFromSaleOfProperties</t>
  </si>
  <si>
    <t>full_ifrs-cor_2015-03-11.xsd#ifrs-full_CurrentReceivablesFromRentalOfProperties</t>
  </si>
  <si>
    <t>full_ifrs-cor_2015-03-11.xsd#ifrs-full_NoncurrentReceivablesFromSaleOfProperties</t>
  </si>
  <si>
    <t>full_ifrs-cor_2015-03-11.xsd#ifrs-full_NoncurrentReceivablesFromRentalOfProperties</t>
  </si>
  <si>
    <t>full_ifrs-cor_2015-03-11.xsd#ifrs-full_TradeAndOtherCurrentReceivables</t>
  </si>
  <si>
    <t>full_ifrs-cor_2015-03-11.xsd#ifrs-full_CurrentTradeReceivables</t>
  </si>
  <si>
    <t>full_ifrs-cor_2015-03-11.xsd#ifrs-full_CurrentPrepayments</t>
  </si>
  <si>
    <t>full_ifrs-cor_2015-03-11.xsd#ifrs-full_CurrentReceivablesFromTaxesOtherThanIncomeTax</t>
  </si>
  <si>
    <t>full_ifrs-cor_2015-03-11.xsd#ifrs-full_OtherCurrentReceivables</t>
  </si>
  <si>
    <t>full_ifrs-cor_2015-03-11.xsd#ifrs-full_NoncurrentReceivables</t>
  </si>
  <si>
    <t>full_ifrs-cor_2015-03-11.xsd#ifrs-full_NoncurrentTradeReceivables</t>
  </si>
  <si>
    <t>full_ifrs-cor_2015-03-11.xsd#ifrs-full_NoncurrentPrepayments</t>
  </si>
  <si>
    <t>full_ifrs-cor_2015-03-11.xsd#ifrs-full_NoncurrentReceivablesFromTaxesOtherThanIncomeTax</t>
  </si>
  <si>
    <t>full_ifrs-cor_2015-03-11.xsd#ifrs-full_OtherNoncurrentReceivables</t>
  </si>
  <si>
    <t>full_ifrs-cor_2015-03-11.xsd#ifrs-full_TradeAndOtherReceivables</t>
  </si>
  <si>
    <t>cl-ci_cor_2016-01-11.xsd#cl-ci_InformacionAdicionalRevelarSobreInstrumentosFinancierosBloqueTexto</t>
  </si>
  <si>
    <t>cl-ci_cor_2016-01-11.xsd#cl-ci_PasivosFinancieros</t>
  </si>
  <si>
    <t>cl-ci_cor_2016-01-11.xsd#cl-ci_ActivosFinancieros</t>
  </si>
  <si>
    <t>cl-ci_cor_2016-01-11.xsd#cl-ci_ProvisionCarteraNoRepactada</t>
  </si>
  <si>
    <t>cl-ci_cor_2016-01-11.xsd#cl-ci_ProvisionCarteraRepactada</t>
  </si>
  <si>
    <t>cl-ci_cor_2016-01-11.xsd#cl-ci_CastigosDelPeriodo</t>
  </si>
  <si>
    <t>cl-ci_cor_2016-01-11.xsd#cl-ci_RecuperosDelPeriodo</t>
  </si>
  <si>
    <t>cl-ci_cor_2016-01-11.xsd#cl-ci_PrestamosMiembro</t>
  </si>
  <si>
    <t>cl-ci_cor_2016-01-11.xsd#cl-ci_RUTEntidadDeudora</t>
  </si>
  <si>
    <t>cl-ci_cor_2016-01-11.xsd#cl-ci_NombreEntidadDeudora</t>
  </si>
  <si>
    <t>cl-ci_cor_2016-01-11.xsd#cl-ci_NombreEntidadAcreedora</t>
  </si>
  <si>
    <t>cl-ci_cor_2016-01-11.xsd#cl-ci_TipoAmortizacion</t>
  </si>
  <si>
    <t>cl-ci_cor_2016-01-11.xsd#cl-ci_TasaEfectiva</t>
  </si>
  <si>
    <t>cl-ci_cor_2016-01-11.xsd#cl-ci_TasaNominal</t>
  </si>
  <si>
    <t>cl-ci_cor_2016-01-11.xsd#cl-ci_Hasta90DiasPrestamosNominales</t>
  </si>
  <si>
    <t>cl-ci_cor_2016-01-11.xsd#cl-ci_MasDe90DiasHasta1AñoPrestamosNominales</t>
  </si>
  <si>
    <t>cl-ci_cor_2016-01-11.xsd#cl-ci_MasDe1AñoHasta3AñosPrestamosNominales</t>
  </si>
  <si>
    <t>cl-ci_cor_2016-01-11.xsd#cl-ci_MasDe1AñoHasta2AñosPrestamosNominales</t>
  </si>
  <si>
    <t>cl-ci_cor_2016-01-11.xsd#cl-ci_MasDe2AñosHasta3AñosPrestamosNominales</t>
  </si>
  <si>
    <t>cl-ci_cor_2016-01-11.xsd#cl-ci_MasDe3AñosHasta5AñosPrestamosNominales</t>
  </si>
  <si>
    <t>cl-ci_cor_2016-01-11.xsd#cl-ci_MasDe3AñosHasta4AñosPrestamosNominales</t>
  </si>
  <si>
    <t>cl-ci_cor_2016-01-11.xsd#cl-ci_MasDe4AñosHasta5AñosPrestamosNominales</t>
  </si>
  <si>
    <t>cl-ci_cor_2016-01-11.xsd#cl-ci_MasDe5AñosPrestamosNominales</t>
  </si>
  <si>
    <t>cl-ci_cor_2016-01-11.xsd#cl-ci_MontosNominalesPrestamos</t>
  </si>
  <si>
    <t>cl-ci_cor_2016-01-11.xsd#cl-ci_PrestamosBancariosCorrientes</t>
  </si>
  <si>
    <t>cl-ci_cor_2016-01-11.xsd#cl-ci_Hasta90DiasPrestamosContable</t>
  </si>
  <si>
    <t>cl-ci_cor_2016-01-11.xsd#cl-ci_Masde90DiasHasta1AñoPrestamosContable</t>
  </si>
  <si>
    <t>cl-ci_cor_2016-01-11.xsd#cl-ci_PrestamosBancariosNoCorrientes</t>
  </si>
  <si>
    <t>cl-ci_cor_2016-01-11.xsd#cl-ci_MasDe1AñoHasta3AñosPrestamosContable</t>
  </si>
  <si>
    <t>cl-ci_cor_2016-01-11.xsd#cl-ci_MasDe1AñoHasta2AñosPrestamosContable</t>
  </si>
  <si>
    <t>cl-ci_cor_2016-01-11.xsd#cl-ci_MasDe2AñosHasta3AñosPrestamosContable</t>
  </si>
  <si>
    <t>cl-ci_cor_2016-01-11.xsd#cl-ci_MasDe3AñosHasta5AñosPrestamosContable</t>
  </si>
  <si>
    <t>cl-ci_cor_2016-01-11.xsd#cl-ci_MasDe3AñosHasta4AñosPrestamosContable</t>
  </si>
  <si>
    <t>cl-ci_cor_2016-01-11.xsd#cl-ci_MasDe4AñosHasta5AñosPrestamosContable</t>
  </si>
  <si>
    <t>cl-ci_cor_2016-01-11.xsd#cl-ci_MasDe5AñosPrestamosContable</t>
  </si>
  <si>
    <t>cl-ci_cor_2016-01-11.xsd#cl-ci_PrestamosBancarios</t>
  </si>
  <si>
    <t>cl-ci_cor_2016-01-11.xsd#cl-ci_ObligacionesEmisionesDeudaMiembro</t>
  </si>
  <si>
    <t>cl-ci_cor_2016-01-11.xsd#cl-ci_NumeroInscripcion</t>
  </si>
  <si>
    <t>cl-ci_cor_2016-01-11.xsd#cl-ci_Series</t>
  </si>
  <si>
    <t>cl-ci_cor_2016-01-11.xsd#cl-ci_FechaVencimiento</t>
  </si>
  <si>
    <t>cl-ci_cor_2016-01-11.xsd#cl-ci_PeriodicidadAmortizacion</t>
  </si>
  <si>
    <t>cl-ci_cor_2016-01-11.xsd#cl-ci_Hasta90DiasObligacionesPublicoNominales</t>
  </si>
  <si>
    <t>cl-ci_cor_2016-01-11.xsd#cl-ci_MasDe90DiasHasta1AñoObligacionesPublicoNominales</t>
  </si>
  <si>
    <t>cl-ci_cor_2016-01-11.xsd#cl-ci_MasDe1AñoHasta3AñosObligacionesPublicoNominales</t>
  </si>
  <si>
    <t>cl-ci_cor_2016-01-11.xsd#cl-ci_MasDe1AñoHasta2AñosObligacionesPublicoNominales</t>
  </si>
  <si>
    <t>cl-ci_cor_2016-01-11.xsd#cl-ci_MasDe2AñosHasta3AñosObligacionesPublicoNominales</t>
  </si>
  <si>
    <t>cl-ci_cor_2016-01-11.xsd#cl-ci_MasDe3AñosHasta5AñosObligacionesPublicoNominales</t>
  </si>
  <si>
    <t>cl-ci_cor_2016-01-11.xsd#cl-ci_MasDe3AñosHasta4AñosObligacionesPublicoNominales</t>
  </si>
  <si>
    <t>cl-ci_cor_2016-01-11.xsd#cl-ci_MasDe4AñosHasta5AñosObligacionesPublicoNominales</t>
  </si>
  <si>
    <t>cl-ci_cor_2016-01-11.xsd#cl-ci_MasDe5AñosObligacionesPublicoNominales</t>
  </si>
  <si>
    <t>cl-ci_cor_2016-01-11.xsd#cl-ci_MontosNominalesObligacionesPublico</t>
  </si>
  <si>
    <t>cl-ci_cor_2016-01-11.xsd#cl-ci_ObligacionesConPublicoCorrientes</t>
  </si>
  <si>
    <t>cl-ci_cor_2016-01-11.xsd#cl-ci_Hasta90DiasObligacionesPublicoContable</t>
  </si>
  <si>
    <t>cl-ci_cor_2016-01-11.xsd#cl-ci_Masde90DiasHasta1AñoObligacionesPublicoContable</t>
  </si>
  <si>
    <t>cl-ci_cor_2016-01-11.xsd#cl-ci_ObligacionesConPublicoNoCorrientes</t>
  </si>
  <si>
    <t>cl-ci_cor_2016-01-11.xsd#cl-ci_MasDe1AñoHasta3AñosObligacionesPublicoContable</t>
  </si>
  <si>
    <t>cl-ci_cor_2016-01-11.xsd#cl-ci_MasDe1AñoHasta2AñosObligacionesPublicoContable</t>
  </si>
  <si>
    <t>cl-ci_cor_2016-01-11.xsd#cl-ci_MasDe2AñosHasta3AñosObligacionesPublicoContable</t>
  </si>
  <si>
    <t>cl-ci_cor_2016-01-11.xsd#cl-ci_MasDe3AñosHasta5AñosObligacionesPublicoContable</t>
  </si>
  <si>
    <t>cl-ci_cor_2016-01-11.xsd#cl-ci_MasDe3AñosHasta4AñosObligacionesPublicoContable</t>
  </si>
  <si>
    <t>cl-ci_cor_2016-01-11.xsd#cl-ci_MasDe4AñosHasta5AñosObligacionesPublicoContable</t>
  </si>
  <si>
    <t>cl-ci_cor_2016-01-11.xsd#cl-ci_MasDe5AñosObligacionesPublicoContable</t>
  </si>
  <si>
    <t>cl-ci_cor_2016-01-11.xsd#cl-ci_ObligacionesConPublico</t>
  </si>
  <si>
    <t>cl-ci_cor_2016-01-11.xsd#cl-ci_ActivosAntesProvisionesMiembro</t>
  </si>
  <si>
    <t>cl-ci_cor_2016-01-11.xsd#cl-ci_ProvisionesDeudoresComercialesMiembro</t>
  </si>
  <si>
    <t>cl-ci_cor_2016-01-11.xsd#cl-ci_ActivosPorDeudoresComercialesNetosMiembro</t>
  </si>
  <si>
    <t>cl-ci_cor_2016-01-11.xsd#cl-ci_DeudoresOperacionesCreditoCorrientes</t>
  </si>
  <si>
    <t>cl-ci_cor_2016-01-11.xsd#cl-ci_DeudoresOperacionesFactoringCorrientes</t>
  </si>
  <si>
    <t>cl-ci_cor_2016-01-11.xsd#cl-ci_ContratosLeasingNetoCorrientes</t>
  </si>
  <si>
    <t>cl-ci_cor_2016-01-11.xsd#cl-ci_DeudoresVariosCorrientes</t>
  </si>
  <si>
    <t>cl-ci_cor_2016-01-11.xsd#cl-ci_DeudoresOperacionesCreditoNoCorrientes</t>
  </si>
  <si>
    <t>cl-ci_cor_2016-01-11.xsd#cl-ci_DeudoresOperacionesFactoringNoCorrientes</t>
  </si>
  <si>
    <t>cl-ci_cor_2016-01-11.xsd#cl-ci_ContratosLeasingNetoNoCorrientes</t>
  </si>
  <si>
    <t>cl-ci_cor_2016-01-11.xsd#cl-ci_DeudoresVariosNoCorrientes</t>
  </si>
  <si>
    <t>cl-ci_cor_2016-01-11.xsd#cl-ci_EstratificacionCarteraTabla</t>
  </si>
  <si>
    <t>cl-ci_cor_2016-01-11.xsd#cl-ci_NumeroClientesCarteraNoRepactada</t>
  </si>
  <si>
    <t>cl-ci_cor_2016-01-11.xsd#cl-ci_CarteraNoRepactadaBruta</t>
  </si>
  <si>
    <t>cl-ci_cor_2016-01-11.xsd#cl-ci_NumeroClientesCarteraRepactada</t>
  </si>
  <si>
    <t>cl-ci_cor_2016-01-11.xsd#cl-ci_CarteraRepactadaBruta</t>
  </si>
  <si>
    <t>cl-ci_cor_2016-01-11.xsd#cl-ci_CarteraBruta</t>
  </si>
  <si>
    <t>cl-ci_cor_2016-01-11.xsd#cl-ci_CarteraProtestadaYEnCobranzaJudicialTabla</t>
  </si>
  <si>
    <t>cl-ci_cor_2016-01-11.xsd#cl-ci_NumeroClientesCarteraProtestadaOEnCobranzaJudicial</t>
  </si>
  <si>
    <t>cl-ci_cor_2016-01-11.xsd#cl-ci_CarteraProtestadaOEnCobranzaJudicial</t>
  </si>
  <si>
    <t>cl-ci_cor_2016-01-11.xsd#cl-ci_DetalleOperacionesTabla</t>
  </si>
  <si>
    <t>cl-ci_cor_2016-01-11.xsd#cl-ci_PeriodoOperacionesEje</t>
  </si>
  <si>
    <t>cl-ci_cor_2016-01-11.xsd#cl-ci_UltimoTrimestreMiembro</t>
  </si>
  <si>
    <t>cl-ci_cor_2016-01-11.xsd#cl-ci_DetalleOperacionesEje</t>
  </si>
  <si>
    <t>cl-ci_cor_2016-01-11.xsd#cl-ci_DetallePorTipoOperacionesMiembro</t>
  </si>
  <si>
    <t>cl-ci_cor_2016-01-11.xsd#cl-ci_DescripcionOperacion</t>
  </si>
  <si>
    <t>cl-ci_cor_2016-01-11.xsd#cl-ci_NumeroOperaciones</t>
  </si>
  <si>
    <t>cl-ci_cor_2016-01-11.xsd#cl-ci_MontoOperaciones</t>
  </si>
  <si>
    <t>cl-ci_cor_2016-01-11.xsd#cl-ci_AcumuladoAnualMiembro</t>
  </si>
  <si>
    <t>cl-ci_cor_2016-01-11.xsd#cl-ci_PrestamosEje</t>
  </si>
  <si>
    <t>cl-ci_cor_2016-01-11.xsd#cl-ci_PrestamosBancariosTabla</t>
  </si>
  <si>
    <t>cl-ci_cor_2016-01-11.xsd#cl-ci_EmisionesDeudaEje</t>
  </si>
  <si>
    <t>cl-ci_cor_2016-01-11.xsd#cl-ci_ObligacionesConPublicoTabla</t>
  </si>
  <si>
    <t>cl-ci_cor_2016-01-11.xsd#cl-ci_ActivosPorDeudoresComercialesEje</t>
  </si>
  <si>
    <t>cl-ci_cor_2016-01-11.xsd#cl-ci_DeudoresComercialesYOtrasCuentasPorCobrarTabla</t>
  </si>
  <si>
    <t>cl-ci_cor_2016-01-11.xsd#cl-ci_CarteraSecuritizadaYNoSecuritizadaEje</t>
  </si>
  <si>
    <t>cl-ci_cor_2016-01-11.xsd#cl-ci_CarteraNoSecuritizadaMiembro</t>
  </si>
  <si>
    <t>cl-ci_cor_2016-01-11.xsd#cl-ci_TramosMorosidadEje</t>
  </si>
  <si>
    <t>cl-ci_cor_2016-01-11.xsd#cl-ci_AlDiaMiembro</t>
  </si>
  <si>
    <t>cl-ci_cor_2016-01-11.xsd#cl-ci_Entre1Y30DiasMiembro</t>
  </si>
  <si>
    <t>cl-ci_cor_2016-01-11.xsd#cl-ci_Entre31Y60DiasMiembro</t>
  </si>
  <si>
    <t>cl-ci_cor_2016-01-11.xsd#cl-ci_Entre61Y90DiasMiembro</t>
  </si>
  <si>
    <t>cl-ci_cor_2016-01-11.xsd#cl-ci_Entre91Y120DiasMiembro</t>
  </si>
  <si>
    <t>cl-ci_cor_2016-01-11.xsd#cl-ci_Entre121Y150DiasMiembro</t>
  </si>
  <si>
    <t>cl-ci_cor_2016-01-11.xsd#cl-ci_Entre151Y180DiasMiembro</t>
  </si>
  <si>
    <t>cl-ci_cor_2016-01-11.xsd#cl-ci_Entre181Y210DiasMiembro</t>
  </si>
  <si>
    <t>cl-ci_cor_2016-01-11.xsd#cl-ci_Entre211Y250DiasMiembro</t>
  </si>
  <si>
    <t>cl-ci_cor_2016-01-11.xsd#cl-ci_MasDe250DiasMiembro</t>
  </si>
  <si>
    <t>cl-ci_cor_2016-01-11.xsd#cl-ci_CarteraPorTramoMiembro</t>
  </si>
  <si>
    <t>cl-ci_cor_2016-01-11.xsd#cl-ci_CarteraSecuritizadaMiembro</t>
  </si>
  <si>
    <t>cl-ci_cor_2016-01-11.xsd#cl-ci_TotalCarteraMiembro</t>
  </si>
  <si>
    <t>cl-ci_cor_2016-01-11.xsd#cl-ci_DocumentosPorCobrarProtestadosMiembro</t>
  </si>
  <si>
    <t>cl-ci_cor_2016-01-11.xsd#cl-ci_ProtestadosYEnCobranzaJudicialEje</t>
  </si>
  <si>
    <t>cl-ci_cor_2016-01-11.xsd#cl-ci_DocumentosPorCobrarEnCobranzaJudicialMiembro</t>
  </si>
  <si>
    <t>cl-ci_cor_2016-01-11.xsd#cl-ci_TotalDocumentosProtestadosCobranzaJudicial</t>
  </si>
  <si>
    <t>TOP: Pa anga</t>
  </si>
  <si>
    <t>ALA: Aland Islands</t>
  </si>
  <si>
    <t>BLM: Saint Barthelemy</t>
  </si>
  <si>
    <t>CIV: Cote d'Ivoire</t>
  </si>
  <si>
    <t>CUW: Curazao</t>
  </si>
  <si>
    <t>REU: Reunion</t>
  </si>
  <si>
    <t>VEN: Venezuela, Bolivarian Republic of</t>
  </si>
  <si>
    <t>Cuentas por cobrar corrientes por venta de propiedades [Número]</t>
  </si>
  <si>
    <t>Cuentas por cobrar corrientes por alquiler de propiedades [Número]</t>
  </si>
  <si>
    <t>Cuentas por cobrar no corrientes por venta de propiedades [Número]</t>
  </si>
  <si>
    <t>Cuentas por cobrar no corrientes por alquiler de propiedades [Número]</t>
  </si>
  <si>
    <t xml:space="preserve">              RUT entidad deudora [Texto] - Campo Obligatorio</t>
  </si>
  <si>
    <t xml:space="preserve">              Nombre entidad deudora [Texto] - Campo Obligatorio</t>
  </si>
  <si>
    <t xml:space="preserve">              País de la empresa deudora [Texto] - Campo Obligatorio</t>
  </si>
  <si>
    <t xml:space="preserve">              Nombre entidad acreedora [Texto] - Campo Obligatorio</t>
  </si>
  <si>
    <t xml:space="preserve">              Moneda o unidad de reajuste [Texto] - Campo Obligatorio</t>
  </si>
  <si>
    <t xml:space="preserve">              Tipo de amortización [Texto] - Campo Obligatorio</t>
  </si>
  <si>
    <t xml:space="preserve">              Tasa  efectiva [Decimal] - Campo Obligatorio</t>
  </si>
  <si>
    <t xml:space="preserve">              Tasa nominal [Decimal] - Campo Obligatorio</t>
  </si>
  <si>
    <t xml:space="preserve">              Número de inscripción [Texto] - Campo Obligatorio</t>
  </si>
  <si>
    <t xml:space="preserve">              Series [Texto] - Campo Obligatorio</t>
  </si>
  <si>
    <t xml:space="preserve">              Fecha de vencimiento   - Campo Obligatorio</t>
  </si>
  <si>
    <t xml:space="preserve">              Periodicidad de la amortización [Texto] - Campo Obligatorio</t>
  </si>
  <si>
    <t xml:space="preserve">Total préstamos [miembro]  </t>
  </si>
  <si>
    <t>GYD: Dólar guyanés</t>
  </si>
  <si>
    <t>HRK: Kuna</t>
  </si>
  <si>
    <t>MGA: Ariary malgache</t>
  </si>
  <si>
    <t>PEN: Sol</t>
  </si>
  <si>
    <t>VES: Bolívar soberano</t>
  </si>
  <si>
    <t>OTRAS: Otras Monedas</t>
  </si>
  <si>
    <t>Información a revelar sobre la naturaleza y alcance de los riesgos que surgen de instrumentos financieros [sinopsis]</t>
  </si>
  <si>
    <t>full_ifrs-cor_2014-03-05.xsd#ifrs-full_AdditionalInformationAboutEntityExposureToRisk</t>
  </si>
  <si>
    <t>full_ifrs-cor_2014-03-05.xsd#ifrs-full_SensitivityAnalysisForEachTypeOfMarketRisk</t>
  </si>
  <si>
    <t>Análisis de sensibilidad para tipos de riesgo de mercado [bloque de texto]</t>
  </si>
  <si>
    <t>full_ifrs-cor_2014-03-05.xsd#ifrs-full_DisclosureOfCreditRiskExplanatory</t>
  </si>
  <si>
    <t>Información a revelar sobre riesgo crediticio [bloque de texto]</t>
  </si>
  <si>
    <t>full_ifrs-cor_2018-03-16.xsd#ifrs-full_DescriptionOfCrossreferenceToDisclosuresAboutCreditRiskPresentedOutsideFinancialStatements</t>
  </si>
  <si>
    <t>full_ifrs-cor_2018-03-16.xsd#ifrs-full_ExplanationOfCreditRiskManagementPracticesAndHowTheyRelateToRecognitionAndMeasurementOfExpectedCreditLossesExplanatory</t>
  </si>
  <si>
    <t>Explicación de las prácticas de gestión del riesgo crediticio y cómo se relacionan con el reconocimiento y medición de las pérdidas crediticias esperadas [bloque de texto]</t>
  </si>
  <si>
    <t>full_ifrs-cor_2018-03-16.xsd#ifrs-full_InformationOnHowEntityDeterminedWhetherCreditRiskOfFinancialInstrumentsHasIncreasedSignificantlySinceInitialRecognition</t>
  </si>
  <si>
    <t>full_ifrs-cor_2018-03-16.xsd#ifrs-full_InformationAboutEntitysDefinitionsOfDefault</t>
  </si>
  <si>
    <t>full_ifrs-cor_2018-03-16.xsd#ifrs-full_InformationOnHowInstrumentsWereGroupedIfExpectedCreditLossesWereMeasuredOnCollectiveBasis</t>
  </si>
  <si>
    <t>full_ifrs-cor_2018-03-16.xsd#ifrs-full_InformationOnHowEntityDeterminedThatFinancialAssetsAreCreditimpairedFinancialAssets</t>
  </si>
  <si>
    <t>full_ifrs-cor_2018-03-16.xsd#ifrs-full_InformationOnEntitysWriteoffPolicy</t>
  </si>
  <si>
    <t>full_ifrs-cor_2018-03-16.xsd#ifrs-full_InformationOnHowRequirementsForModificationOfContractualCashFlowsOfFinancialAssetsHaveBeenApplied</t>
  </si>
  <si>
    <t>full_ifrs-cor_2018-03-16.xsd#ifrs-full_ExplanationOfInputsAssumptionsAndEstimationTechniquesUsedToApplyImpairmentRequirementsExplanatory</t>
  </si>
  <si>
    <t>Explicación de los datos de entrada, supuestos y técnicas de estimación utilizadas para aplicar los requerimientos de deterioro de valor [bloque de texto]</t>
  </si>
  <si>
    <t>full_ifrs-cor_2018-03-16.xsd#ifrs-full_DescriptionOfBasisOfInputsAndAssumptionsAndEstimationTechniquesUsedToMeasure12monthAndLifetimeExpectedCreditLosses</t>
  </si>
  <si>
    <t>full_ifrs-cor_2018-03-16.xsd#ifrs-full_DescriptionOfBasisOfInputsAndAssumptionsAndEstimationTechniquesUsedToDetermineWhetherCreditRiskOfFinancialInstrumentsHaveIncreasedSignificantlySinceInitialRecognition</t>
  </si>
  <si>
    <t>full_ifrs-cor_2018-03-16.xsd#ifrs-full_DescriptionOfBasisOfInputsAndAssumptionsAndEstimationTechniquesUsedToDetermineWhetherFinancialAssetIsCreditimpairedFinancialAsset</t>
  </si>
  <si>
    <t>full_ifrs-cor_2018-03-16.xsd#ifrs-full_DescriptionOfHowForwardlookingInformationHasBeenIncorporatedIntoDeterminationOfExpectedCreditLosses</t>
  </si>
  <si>
    <t>full_ifrs-cor_2018-03-16.xsd#ifrs-full_DescriptionOfChangesInEstimationTechniquesOrSignificantAssumptionsMadeWhenApplyingImpairmentRequirementsAndReasonsForThoseChanges</t>
  </si>
  <si>
    <t>full_ifrs-cor_2018-03-16.xsd#ifrs-full_DisclosureOfReconciliationOfChangesInLossAllowanceAndExplanationOfChangesInGrossCarryingAmountForFinancialInstrumentsExplanatory</t>
  </si>
  <si>
    <t>Información a revelar sobre la conciliación de cambios en la corrección de valor por pérdidas y explicación de los cambios en importe en libros bruto de instrumentos financieros [bloque de texto]</t>
  </si>
  <si>
    <t>full_ifrs-cor_2018-03-16.xsd#ifrs-full_FinancialAssetsWithContractualCashFlowsModifiedDuringReportingPeriodWhileLossAllowanceMeasuredAtLifetimeExpectedCreditLossesAmortisedCostBeforeModification</t>
  </si>
  <si>
    <t>full_ifrs-cor_2018-03-16.xsd#ifrs-full_FinancialAssetsWithContractualCashFlowsModifiedDuringReportingPeriodWhileLossAllowanceMeasuredAtLifetimeExpectedCreditLossesModificationGainLoss</t>
  </si>
  <si>
    <t>full_ifrs-cor_2018-03-16.xsd#ifrs-full_FinancialAssetsWithModifiedContractualCashFlowsWhileLossAllowanceMeasuredAtLifetimeExpectedCreditLossesForWhichLossAllowanceChangedDuringReportingPeriodTo12monthExpectedCreditLossesGrossCarryingAmount</t>
  </si>
  <si>
    <t>full_ifrs-cor_2018-03-16.xsd#ifrs-full_FinancialAssetsWrittenOffDuringReportingPeriodAndStillSubjectToEnforcementActivityContractualAmountOutstanding</t>
  </si>
  <si>
    <t>full_ifrs-cor_2018-03-16.xsd#ifrs-full_InformationAboutGroupsOrPortfoliosOfFinancialInstrumentsWithParticularFeaturesThatCouldAffectLargePortionOfThatGroup</t>
  </si>
  <si>
    <t>full_ifrs-cor_2018-03-16.xsd#ifrs-full_DisclosureOfCreditRiskExposureExplanatory</t>
  </si>
  <si>
    <t>Información a revelar sobre la exposición al riesgo crediticio [bloque de texto]</t>
  </si>
  <si>
    <t>Información adicional sobre exposición de la entidad al riesgo [Texto]</t>
  </si>
  <si>
    <t>full_ifrs-cor_2018-03-16.xsd#ifrs-full_DisclosureOfProvisionMatrixExplanatory</t>
  </si>
  <si>
    <t>Información a revelar sobre la matriz de provisiones [bloque de texto]</t>
  </si>
  <si>
    <t>CierreTrismestreActual</t>
  </si>
  <si>
    <t>CierreAnualAnterior</t>
  </si>
  <si>
    <t>CierreAnualPrevioAnterior</t>
  </si>
  <si>
    <t xml:space="preserve">Pasivos financieros [sinopsis]  </t>
  </si>
  <si>
    <t xml:space="preserve">Información adicional a revelar sobre instrumentos financieros [bloque de texto]  </t>
  </si>
  <si>
    <t>Pasivos financieros [Texto]</t>
  </si>
  <si>
    <t xml:space="preserve">Activos financieros [sinopsis]  </t>
  </si>
  <si>
    <t>Activos financieros [Texto]</t>
  </si>
  <si>
    <t xml:space="preserve">Provisiones y castigos [sinopsis]  </t>
  </si>
  <si>
    <t>Provisión cartera no repactada [Número]</t>
  </si>
  <si>
    <t>Provisión cartera repactada [Número]</t>
  </si>
  <si>
    <t>Castigos del periodo [Número]</t>
  </si>
  <si>
    <t>Recuperos del periodo [Número]</t>
  </si>
  <si>
    <r>
      <t xml:space="preserve">INSTRUCCIONES DE LLENADO
</t>
    </r>
    <r>
      <rPr>
        <sz val="10"/>
        <rFont val="Calibri"/>
        <family val="2"/>
      </rPr>
      <t xml:space="preserve">Esta dimensión puede ser extendida agregando columnas (miembros) adicionales a las definidas por taxonomía.
-Las tabla  marcada con línea punteada roja y con fondo verde indican las posiciones donde es posible agregar elementos. Esta tabla puede ser copiada  debajo de este cuadro si se desean agregar mas columnas.
-Para cada columna creada (verde) debe escribirse una descripción (en rojo).
-Las tablas marcadas en plomo </t>
    </r>
    <r>
      <rPr>
        <b/>
        <sz val="10"/>
        <rFont val="Calibri"/>
        <family val="2"/>
      </rPr>
      <t>no deben ser editadas, eliminadas ni movidas.</t>
    </r>
  </si>
  <si>
    <t>Cargar hoja:</t>
  </si>
  <si>
    <t>SI</t>
  </si>
  <si>
    <t>Periodo actual</t>
  </si>
  <si>
    <t>Periodo anual anterior</t>
  </si>
  <si>
    <t>full_ifrs-cor_2015-03-11.xsd#ifrs-full_CarryingAmountAccumulatedDepreciationAmortisationAndImpairmentAndGrossCarryingAmountAxis</t>
  </si>
  <si>
    <t>Importe en libros en términos brutos [miembro]</t>
  </si>
  <si>
    <t>Deterioro de valor acumulado [miembro]</t>
  </si>
  <si>
    <t>Importe en libros [miembro]</t>
  </si>
  <si>
    <t>full_ifrs-cor_2015-03-11.xsd#ifrs-full_GrossCarryingAmountMember</t>
  </si>
  <si>
    <t>full_ifrs-cor_2015-03-11.xsd#ifrs-full_AccumulatedImpairmentMember</t>
  </si>
  <si>
    <t>full_ifrs-cor_2015-03-11.xsd#ifrs-full_CarryingAmountMember</t>
  </si>
  <si>
    <t>full_ifrs-cor_2018-03-16.xsd#ifrs-full_CreditImpairmentOfFinancialInstrumentsAxis</t>
  </si>
  <si>
    <t>Instrumentos financieros sin deterioro crediticio [miembro]</t>
  </si>
  <si>
    <t>Instrumentos financieros con deterioro crediticio comprados o creados [miembro]</t>
  </si>
  <si>
    <t>Instrumentos financieros con deterioro crediticio después de la compra o creación [miembro]</t>
  </si>
  <si>
    <t>Instrumentos financieros con deterioro crediticio [miembro]</t>
  </si>
  <si>
    <t>Deterioro crediticio de instrumentos financieros [miembro]</t>
  </si>
  <si>
    <t>full_ifrs-cor_2018-03-16.xsd#ifrs-full_FinancialInstrumentsNotCreditimpairedMember</t>
  </si>
  <si>
    <t>full_ifrs-cor_2018-03-16.xsd#ifrs-full_FinancialInstrumentsPurchasedOrOriginatedCreditimpairedMember</t>
  </si>
  <si>
    <t>full_ifrs-cor_2018-03-16.xsd#ifrs-full_FinancialInstrumentsCreditimpairedAfterPurchaseOrOriginationMember</t>
  </si>
  <si>
    <t>full_ifrs-cor_2018-03-16.xsd#ifrs-full_FinancialInstrumentsCreditimpairedMember</t>
  </si>
  <si>
    <t>full_ifrs-cor_2018-03-16.xsd#ifrs-full_CreditImpairmentOfFinancialInstrumentsMember</t>
  </si>
  <si>
    <t>full_ifrs-cor_2014-03-05.xsd#ifrs-full_ClassesOfFinancialInstrumentsAxis</t>
  </si>
  <si>
    <t>full_ifrs-cor_2014-03-05.xsd#ifrs-full_ClassesOfFinancialInstrumentsMember</t>
  </si>
  <si>
    <t>Instrumentos financieros, clase [miembro]                                                    Instrumentos financieros, clase [miembro]                                                    Instrumentos financieros, clase [miembro]</t>
  </si>
  <si>
    <t>cl-ci_cor_2020-01-02.xsd#cl-ci_ClasesInstrumentosFinancieros</t>
  </si>
  <si>
    <t>cl-ci_cor_2020-01-02.xsd#cl-ci_TipoMedicionPerdidasCrediticiasEsperadas</t>
  </si>
  <si>
    <t>cl-ci_cor_2020-01-02.xsd#cl-ci_MetodoEvaluacionPerdidasCrediticiasEsperadas</t>
  </si>
  <si>
    <t>cl-ci_cor_2020-01-02.xsd#cl-ci_GraduacionCrediticiaExterna</t>
  </si>
  <si>
    <t>cl-ci_cor_2020-01-02.xsd#cl-ci_GraduacionCrediticiaInterna</t>
  </si>
  <si>
    <t>cl-ci_cor_2020-01-02.xsd#cl-ci_ProbabilidadIncumplimiento</t>
  </si>
  <si>
    <t>full_ifrs-cor_2015-03-11.xsd#ifrs-full_FinancialAssets</t>
  </si>
  <si>
    <t>full_ifrs-cor_2018-03-16.xsd#ifrs-full_ExposureToCreditRiskOnLoanCommitmentsAndFinancialGuaranteeContracts</t>
  </si>
  <si>
    <t>Información a revelar sobre la exposición al riesgo crediticio [partidas]</t>
  </si>
  <si>
    <t>Graduación crediticia externa [texto]</t>
  </si>
  <si>
    <t>Graduación crediticia interna [texto]</t>
  </si>
  <si>
    <t>Probabilidad de incumplimiento [texto]</t>
  </si>
  <si>
    <t>Clases de instrumentos financieros [Lista]</t>
  </si>
  <si>
    <t>Tipo de medición de las pérdidas crediticias esperadas [Lista]</t>
  </si>
  <si>
    <t>Método de evaluación de las pérdidas crediticias esperadas [Lista]</t>
  </si>
  <si>
    <t>Activos financieros [Número]</t>
  </si>
  <si>
    <t>Compromisos de préstamos</t>
  </si>
  <si>
    <t>Contratos Garantía Financiera</t>
  </si>
  <si>
    <t>Deudores por operaciones de crédito</t>
  </si>
  <si>
    <t>Deudores por operaciones de factoring</t>
  </si>
  <si>
    <t>Contratos de leasing</t>
  </si>
  <si>
    <t>Deudores varios</t>
  </si>
  <si>
    <t>Activos del contrato</t>
  </si>
  <si>
    <t>Cuentas por cobrar por arrendamiento</t>
  </si>
  <si>
    <t>Hipotecas</t>
  </si>
  <si>
    <t>Préstamos a clientes</t>
  </si>
  <si>
    <t>Préstamos a sociedades por acciones</t>
  </si>
  <si>
    <t>Préstamos al gobierno</t>
  </si>
  <si>
    <t>Pérdidas crediticias esperadas durante 12 meses</t>
  </si>
  <si>
    <t>Pérdidas crediticias esperadas durante el tiempo de vida del activo</t>
  </si>
  <si>
    <t>Pérdidas crediticias esperadas evaluadas de forma individual</t>
  </si>
  <si>
    <t>Pérdidas crediticias esperadas evaluadas de forma colectiva</t>
  </si>
  <si>
    <t>Exposición al riesgo crediticio sobre compromisos de préstamos y contratos de garantía financiera al comienzo del periodo [Número]</t>
  </si>
  <si>
    <t>full_ifrs-cor_2018-03-16.xsd#ifrs-full_DisclosureOfCreditRiskExposureTable</t>
  </si>
  <si>
    <t>Información a revelar sobre la exposición al riesgo crediticio [tabla] (h)</t>
  </si>
  <si>
    <t>full_ifrs-cor_2018-03-16.xsd#ifrs-full_DisclosureOfReconciliationOfChangesInLossAllowanceAndExplanationOfChangesInGrossCarryingAmountForFinancialInstrumentsTable</t>
  </si>
  <si>
    <t>Información a revelar sobre la conciliación de cambios en la corrección de valor por pérdidas y explicación de los cambios en importe en libros bruto de instrumentos financieros [tabla] (g)</t>
  </si>
  <si>
    <t>Incremento (disminución) en activos financieros [sinopsis]</t>
  </si>
  <si>
    <t>full_ifrs-cor_2018-03-16.xsd#ifrs-full_IncreaseDecreaseThroughTransfersFinancialAssets</t>
  </si>
  <si>
    <t>full_ifrs-cor_2018-03-16.xsd#ifrs-full_DecreaseThroughDerecognitionFinancialAssets</t>
  </si>
  <si>
    <t>full_ifrs-cor_2018-03-16.xsd#ifrs-full_IncreaseThroughOriginationOrPurchaseFinancialAssets</t>
  </si>
  <si>
    <t>full_ifrs-cor_2018-03-16.xsd#ifrs-full_DecreaseThroughWriteoffFinancialAssets</t>
  </si>
  <si>
    <t>full_ifrs-cor_2018-03-16.xsd#ifrs-full_IncreaseDecreaseThroughChangesInModelsOrRiskParametersFinancialAssets</t>
  </si>
  <si>
    <t>full_ifrs-cor_2018-03-16.xsd#ifrs-full_IncreaseDecreaseThroughModificationOfContractualCashFlowsFinancialAssets</t>
  </si>
  <si>
    <t>Incremento (disminución) a través de diferencias de cambio y otros movimientos, activos financieros [sinopsis]</t>
  </si>
  <si>
    <t>full_ifrs-cor_2018-03-16.xsd#ifrs-full_IncreaseDecreaseThroughForeignExchangeFinancialAssets</t>
  </si>
  <si>
    <t>full_ifrs-cor_2018-03-16.xsd#ifrs-full_IncreaseDecreaseThroughOtherMovementsFinancialAssets</t>
  </si>
  <si>
    <t>full_ifrs-cor_2018-03-16.xsd#ifrs-full_IncreaseDecreaseThroughForeignExchangeAndOtherMovementsFinancialAssets</t>
  </si>
  <si>
    <t>full_ifrs-cor_2018-03-16.xsd#ifrs-full_IncreaseDecreaseInFinancialAssets</t>
  </si>
  <si>
    <t>Incremento (disminución) en la exposición al riesgo crediticio sobre compromisos de préstamos y contratos de garantía financiera [sinopsis]</t>
  </si>
  <si>
    <t>full_ifrs-cor_2018-03-16.xsd#ifrs-full_IncreaseDecreaseThroughTransfersExposureToCreditRiskOnLoanCommitmentsAndFinancialGuaranteeContracts</t>
  </si>
  <si>
    <t>full_ifrs-cor_2018-03-16.xsd#ifrs-full_DecreaseThroughDerecognitionExposureToCreditRiskOnLoanCommitmentsAndFinancialGuaranteeContracts</t>
  </si>
  <si>
    <t>full_ifrs-cor_2018-03-16.xsd#ifrs-full_IncreaseThroughOriginationOrPurchaseExposureToCreditRiskOnLoanCommitmentsAndFinancialGuaranteeContracts</t>
  </si>
  <si>
    <t>full_ifrs-cor_2018-03-16.xsd#ifrs-full_IncreaseDecreaseThroughChangesInModelsOrRiskParametersExposureToCreditRiskOnLoanCommitmentsAndFinancialGuaranteeContracts</t>
  </si>
  <si>
    <t>full_ifrs-cor_2018-03-16.xsd#ifrs-full_IncreaseDecreaseThroughModificationOfContractualCashFlowsExposureToCreditRiskOnLoanCommitmentsAndFinancialGuaranteeContracts</t>
  </si>
  <si>
    <t>Incremento (disminución) a través de diferencias de cambio y otros movimientos, exposición al riesgo crediticio sobre compromisos de préstamos y contratos de garantía financiera [sinopsis]</t>
  </si>
  <si>
    <t>full_ifrs-cor_2018-03-16.xsd#ifrs-full_IncreaseDecreaseThroughForeignExchangeExposureToCreditRiskOnLoanCommitmentsAndFinancialGuaranteeContracts</t>
  </si>
  <si>
    <t>full_ifrs-cor_2018-03-16.xsd#ifrs-full_IncreaseDecreaseThroughOtherMovementsExposureToCreditRiskOnLoanCommitmentsAndFinancialGuaranteeContracts</t>
  </si>
  <si>
    <t>full_ifrs-cor_2018-03-16.xsd#ifrs-full_IncreaseDecreaseThroughForeignExchangeAndOtherMovementsExposureToCreditRiskOnLoanCommitmentsAndFinancialGuaranteeContracts</t>
  </si>
  <si>
    <t>full_ifrs-cor_2018-03-16.xsd#ifrs-full_IncreaseDecreaseInExposureToCreditRiskOnLoanCommitmentsAndFinancialGuaranteeContracts</t>
  </si>
  <si>
    <t>full_ifrs-cor_2018-03-16.xsd#ifrs-full_UndiscountedExpectedCreditLossesAtInitialRecognitionOnPurchasedOrOriginatedCreditimpairedFinancialAssetsInitiallyRecognised</t>
  </si>
  <si>
    <t>full_ifrs-cor_2018-03-16.xsd#ifrs-full_ExplanationOfReasonsForChangesInLossAllowanceForFinancialInstruments</t>
  </si>
  <si>
    <t>full_ifrs-cor_2018-03-16.xsd#ifrs-full_ExplanationOfHowSignificantChangesInGrossCarryingAmountOfFinancialInstrumentsContributedToChangesInLossAllowance</t>
  </si>
  <si>
    <t>Información a revelar sobre la conciliación de cambios en la corrección de valor por pérdidas y explicación de los cambios en importe en libros bruto de instrumentos financieros [partidas]</t>
  </si>
  <si>
    <t>Pérdidas crediticias esperadas no descontadas en el reconocimiento inicial sobre activos financieros con deterioro crediticio comprado o creado reconocidos inicialmente [texto]</t>
  </si>
  <si>
    <t>Explicación de las razones de cambios en la corrección de valor por pérdidas para instrumentos financieros [texto]</t>
  </si>
  <si>
    <t>Explicación de cómo los cambios significativos en el importe en libros bruto de los instrumentos financieros contribuyeron a cambios en la corrección de valor por pérdidas [texto]</t>
  </si>
  <si>
    <t>Total incremento (disminución) en la exposición al riesgo crediticio sobre compromisos de préstamos y contratos de garantía financiera [Número]</t>
  </si>
  <si>
    <t>Incremento (disminución) a través de transferencias, activos financieros [Número]</t>
  </si>
  <si>
    <t>Disminución a través de la baja en cuentas, activos financieros [Número]</t>
  </si>
  <si>
    <t>Incremento a través de la creación o compra, activos financieros [Número]</t>
  </si>
  <si>
    <t>Disminución a través de la cancelación, activos financieros [Número]</t>
  </si>
  <si>
    <t>Incremento (disminución) a través de cambios en modelos o parámetros de riesgo, activos financieros [Número]</t>
  </si>
  <si>
    <t>Incremento (disminución) a través de modificaciones de los flujos de efectivo contractuales, activos financieros [Número]</t>
  </si>
  <si>
    <t>Incremento (disminución) a través de diferencias de cambio, activos financieros [Número]</t>
  </si>
  <si>
    <t>Incremento (disminución) a través de otros movimientos, activos financieros [Número]</t>
  </si>
  <si>
    <t>Total incremento (disminución) a través de diferencias de cambio y otros movimientos, activos financieros [Número]</t>
  </si>
  <si>
    <t>Total incremento (disminución) en activos financieros [Número]</t>
  </si>
  <si>
    <t>Incremento (disminución) a través de transferencias, exposición al riesgo crediticio sobre compromisos de préstamo y contratos de garantía financiera [Número]</t>
  </si>
  <si>
    <t>Disminución a través de la baja en cuentas, exposición al riesgo crediticio sobre compromisos de préstamos y contratos de garantía financiera [Número]</t>
  </si>
  <si>
    <t>Incremento a través de la creación o compra, exposición al riesgo crediticio sobre compromisos de préstamos y contratos de garantía financiera [Número]</t>
  </si>
  <si>
    <t>Incremento (disminución) a través de cambios en modelos o parámetros de riesgo, exposición al riesgo crediticio sobre compromisos de préstamos y contratos de garantía financiera [Número]</t>
  </si>
  <si>
    <t>Incremento (disminución) a través de modificaciones de los flujos de efectivo contractuales, exposición al riesgo crediticio sobre compromisos de préstamos y contratos de garantía financiera [Número]</t>
  </si>
  <si>
    <t>Incremento (disminución) a través de diferencias de cambio, exposición al riesgo crediticio sobre compromisos de préstamo y contratos de garantía financiera [Número]</t>
  </si>
  <si>
    <t>Incremento (disminución) a través de otros movimientos, exposición al riesgo crediticio sobre compromisos de préstamo y contratos de garantía financiera [Número]</t>
  </si>
  <si>
    <t>Total incremento (disminución) a través de diferencias de cambio y otros movimientos, exposición al riesgo crediticio sobre compromisos de préstamos y contratos de garantía financiera [Número]</t>
  </si>
  <si>
    <t>full_ifrs-cor_2018-03-16.xsd#ifrs-full_DisclosureOfProvisionMatrixTable</t>
  </si>
  <si>
    <t>full_ifrs-cor_2018-03-16.xsd#ifrs-full_PastDueStatusAxis</t>
  </si>
  <si>
    <t>full_ifrs-cor_2018-03-16.xsd#ifrs-full_CurrentMember</t>
  </si>
  <si>
    <t>Corriente [miembro]</t>
  </si>
  <si>
    <t>full_ifrs-cor_2014-03-05.xsd#ifrs-full_LaterThanOneMonthAndNotLaterThanTwoMonthsMember</t>
  </si>
  <si>
    <t>Más de un mes y no más de dos meses [miembro]</t>
  </si>
  <si>
    <t>full_ifrs-cor_2014-03-05.xsd#ifrs-full_LaterThanTwoMonthsAndNotLaterThanThreeMonthsMember</t>
  </si>
  <si>
    <t>Más de dos meses y no más de tres meses [miembro]</t>
  </si>
  <si>
    <t>full_ifrs-cor_2018-03-16.xsd#ifrs-full_LaterThanThreeMonthsMember</t>
  </si>
  <si>
    <t>Más de tres meses [miembro]</t>
  </si>
  <si>
    <t>full_ifrs-cor_2018-03-16.xsd#ifrs-full_PastDueStatusMember</t>
  </si>
  <si>
    <t>Estatus de mora [miembro]</t>
  </si>
  <si>
    <t>full_ifrs-cor_2018-03-16.xsd#ifrs-full_ExpectedCreditLossRate</t>
  </si>
  <si>
    <t>Tasa de pérdidas crediticias esperadas [Porcentaje]</t>
  </si>
  <si>
    <t>Información a revelar sobre la matriz de provisiones [tabla] (i)</t>
  </si>
  <si>
    <t>cl-ci_cor_2020-01-02.xsd#cl-ci_PaisEmpresaDeudora</t>
  </si>
  <si>
    <t>USA: United States of America (the)</t>
  </si>
  <si>
    <t>ESH: Western Sahara</t>
  </si>
  <si>
    <t>SWZ: Eswatini (the Kingdom of)</t>
  </si>
  <si>
    <t>BYN: Belarussian Ruble</t>
  </si>
  <si>
    <t>MRU: Ouguiya</t>
  </si>
  <si>
    <t>RON: Romanian Leu</t>
  </si>
  <si>
    <t>STN: Dobra</t>
  </si>
  <si>
    <t>TMT: Turkmenistan Manat</t>
  </si>
  <si>
    <t>UYW: Unidad previsional</t>
  </si>
  <si>
    <t>cl-ci_cor_2020-01-02.xsd#cl-ci_MonedaOUnidadReajuste</t>
  </si>
  <si>
    <t>Elija un valor para cada concepto. Este bloque debe ser copiado si se van a agregar más elementos personalizados.</t>
  </si>
  <si>
    <t>CompPrest</t>
  </si>
  <si>
    <t>ContGaraFina</t>
  </si>
  <si>
    <t>DeudOperCred</t>
  </si>
  <si>
    <t>DeudOperFact</t>
  </si>
  <si>
    <t>ContLeas</t>
  </si>
  <si>
    <t>DeudVari</t>
  </si>
  <si>
    <t>ActiCont</t>
  </si>
  <si>
    <t>CuentCobrArre</t>
  </si>
  <si>
    <t>Hipoteca</t>
  </si>
  <si>
    <t>PrestClie</t>
  </si>
  <si>
    <t>PrestSoci</t>
  </si>
  <si>
    <t>PrestGobi</t>
  </si>
  <si>
    <t>PerdCred12Me</t>
  </si>
  <si>
    <t>PerdCredRest</t>
  </si>
  <si>
    <t>PerdCredIndi</t>
  </si>
  <si>
    <t>PerdCredCole</t>
  </si>
  <si>
    <t>Activos financieros al 31/12/2019 [Número]</t>
  </si>
  <si>
    <t>Exposición al riesgo crediticio sobre compromisos de préstamos y contratos de garantía financiera al comienzo del periodo al 31/12/2019 [Número]</t>
  </si>
  <si>
    <t>Activos financieros al 31/12/2018 [Número]</t>
  </si>
  <si>
    <t>Exposición al riesgo crediticio sobre compromisos de préstamos y contratos de garantía financiera al comienzo del periodo al 31/12/2018 [Texto]</t>
  </si>
  <si>
    <t>Descripción de las referencias cruzadas sobre información a revelar sobre el riesgo crediticio presentado fuera de los estados financieros [Texto]</t>
  </si>
  <si>
    <t>Información sobre la forma en que la entidad determinó si el riesgo crediticio de los instrumentos financieros se ha incrementado de forma significativa desde el reconocimiento inicial [Texto]</t>
  </si>
  <si>
    <t>Información sobre las definiciones de incumplimiento de la entidad [Texto]</t>
  </si>
  <si>
    <t>Información sobre la forma en que se agruparon los instrumentos si las pérdidas crediticias esperadas se midieron sobre una base colectiva [Texto]</t>
  </si>
  <si>
    <t>Información sobre la forma en que una entidad determina que los activos financieros son activos financieros con deterioro crediticio [Texto]</t>
  </si>
  <si>
    <t>Información sobre la política de baja en cuentas de la entidad [Texto]</t>
  </si>
  <si>
    <t>Información sobre la forma en que se han aplicado los requerimientos para la modificación de los flujos de efectivo contractuales de activos financieros [Texto]</t>
  </si>
  <si>
    <t>Descripción de la base de datos de entrada y suposiciones, y técnicas de estimación utilizadas para medir las pérdidas crediticias esperadas durante 12 meses [Texto]</t>
  </si>
  <si>
    <t>Descripción de la base de datos de entrada y suposiciones, y técnicas de estimación utilizadas para determinar si se ha incrementado el riesgo crediticio de instrumentos financieros de forma significativa desde el reconocimiento inicial [Texto]</t>
  </si>
  <si>
    <t>Descripción de la base de datos de entrada y suposiciones, y técnicas de estimación utilizadas para determinar si el activo financiero tiene deterioro crediticio [Texto]</t>
  </si>
  <si>
    <t>Descripción de la forma en que la información referida al futuro se ha incorporado a la determinación de las pérdidas crediticias esperadas [Texto]</t>
  </si>
  <si>
    <t>Descripción de cambios en las técnicas de estimación o suposiciones significativas realizadas al aplicar los requerimientos de deterioro de valor y razones para esos cambios [Texto]</t>
  </si>
  <si>
    <t>Activos financieros con flujos de efectivo contractuales modificados durante el periodo sobre el que se informa mientras que las correcciones de valor por pérdidas se miden por las pérdidas crediticias esperadas durante el tiempo de vida del activo, costo amortizado antes de la modificación [Número]</t>
  </si>
  <si>
    <t>Activos financieros con flujos de efectivo contractuales modificados durante el periodo sobre el que se informa mientras que las correcciones de valor por pérdidas se miden por las pérdidas crediticias esperadas durante el tiempo de vida del activo, ganancia (pérdida) por modificación [Número]</t>
  </si>
  <si>
    <t>Activos financieros con flujos de efectivo contractuales modificados mientras la corrección de valor por pérdidas se medía según las pérdidas crediticias esperadas durante el tiempo de vida del activo para la cual la corrección por pérdidas se cambió durante el periodo sobre el que se informa a pérdidas crediticias esperadas durante 12 meses, importe en libros bruto [Número]</t>
  </si>
  <si>
    <t>Activos financieros dados de baja en cuentas durante el periodo sobre el que se informa y todavía sujetos a una actividad de exigencia de cumplimiento, importe contractual pendiente [Número]</t>
  </si>
  <si>
    <t>Información sobre grupos o carteras de instrumentos financieros con características concretas que podrían afectar una parte importante de ese grupo [Texto]</t>
  </si>
  <si>
    <t>Información a revelar sobre la matriz de provisiones [partidas]</t>
  </si>
  <si>
    <t>11.0</t>
  </si>
  <si>
    <t>cl-ci_cor_2021-01-04.xsd#cl-ci_PoseeInstrumentosConRestriccionesFinancieras</t>
  </si>
  <si>
    <t>pre_cl-ci_cl-cp_2021-01-04_role-822400</t>
  </si>
  <si>
    <t>Posee instrumentos con restricciones financieras [Si / No ]</t>
  </si>
  <si>
    <t>cl-ci_cor_2021-01-04.xsd#cl-ci_TipoInstrumentoConRestriccion</t>
  </si>
  <si>
    <t>cl-ci_cor_2021-01-04.xsd#cl-ci_RestriccionACumplirPorInformanteOSubsidiaria</t>
  </si>
  <si>
    <t>cl-ci_cor_2021-01-04.xsd#cl-ci_Acreedor</t>
  </si>
  <si>
    <t>cl-ci_cor_2021-01-04.xsd#cl-ci_NombreIndicadorORatioFinanciero</t>
  </si>
  <si>
    <t>cl-ci_cor_2021-01-04.xsd#cl-ci_PeriodicidadMedicion</t>
  </si>
  <si>
    <t>cl-ci_cor_2021-01-04.xsd#cl-ci_MecanismoCalculoODefinicionIndicadorORatio</t>
  </si>
  <si>
    <t>cl-ci_cor_2021-01-04.xsd#cl-ci_RestriccionQueDebeCumplir</t>
  </si>
  <si>
    <t>cl-ci_cor_2021-01-04.xsd#cl-ci_IndicadorORatioDeterminadoPorSociedad</t>
  </si>
  <si>
    <t>cl-ci_cor_2021-01-04.xsd#cl-ci_CumplimientoSINO</t>
  </si>
  <si>
    <t>cl-ci_cor_2021-01-04.xsd#cl-ci_CuentasUtilizadasEnCalculoIndicadorORatio</t>
  </si>
  <si>
    <t>Bonos</t>
  </si>
  <si>
    <t>Efecto de comercio</t>
  </si>
  <si>
    <t>Crédito IF</t>
  </si>
  <si>
    <t>Restricciones financieras [miembro]</t>
  </si>
  <si>
    <t>Anual</t>
  </si>
  <si>
    <t>Semestral</t>
  </si>
  <si>
    <t>Trimestral</t>
  </si>
  <si>
    <t>Tipo instrumento con restricción [Lista]</t>
  </si>
  <si>
    <t>Periodicidad de la medición [Lista]</t>
  </si>
  <si>
    <t>Cumplimiento SI/NO [Lista]</t>
  </si>
  <si>
    <t>Restricción a cumplir por Informante o Subsidiaria [Texto]</t>
  </si>
  <si>
    <t>Acreedor [Texto]</t>
  </si>
  <si>
    <t>Número de inscripción [Texto]</t>
  </si>
  <si>
    <t>Nombre indicador o ratio financiero [Texto]</t>
  </si>
  <si>
    <t>Mecanismo de cálculo o definición del indicador o ratio [Texto]</t>
  </si>
  <si>
    <t>Restricción que debe cumplir (Rango, Valor y Unidad de medida) [Texto]</t>
  </si>
  <si>
    <t>Indicador o ratio determinado por la sociedad [Texto]</t>
  </si>
  <si>
    <t>Cuentas utilizadas en el cálculo del indicador o ratio [Texto]</t>
  </si>
  <si>
    <t>Agregar restriccion financiera</t>
  </si>
  <si>
    <t xml:space="preserve">          Obligaciones con bancos [sinopsis] (a)</t>
  </si>
  <si>
    <t xml:space="preserve">            Obligaciones con el público [tabla] (b)</t>
  </si>
  <si>
    <t>Restricciones financieras [tabla] ©</t>
  </si>
  <si>
    <t xml:space="preserve">          Deudores comerciales y otras cuentas por cobrar- Periodo Actual [sinopsis] (d)</t>
  </si>
  <si>
    <t>Estratificación de la cartera [tabla] €</t>
  </si>
  <si>
    <t>Cartera protestada y en cobranza judicial [tabla] (f)</t>
  </si>
  <si>
    <t>Detalle de operaciones [tabla] (g)</t>
  </si>
  <si>
    <t>Información a revelar sobre la conciliación de cambios en la corrección de valor por pérdidas y explicación de los cambios en importe en libros bruto de instrumentos financieros [tabla] (h)</t>
  </si>
  <si>
    <t>Información a revelar sobre la exposición al riesgo crediticio [tabla] (i)</t>
  </si>
  <si>
    <t>Información a revelar sobre la matriz de provisiones [tabla] (j)</t>
  </si>
  <si>
    <t>Obligaciones con bancos [sinopsis] (a)</t>
  </si>
  <si>
    <t>Obligaciones con el público [tabla] (b)</t>
  </si>
  <si>
    <t xml:space="preserve">Restricciones Financieras [tabla] (c) </t>
  </si>
  <si>
    <t>Deudores comerciales y otras cuentas por cobrar [sinopsis] (d)</t>
  </si>
  <si>
    <t xml:space="preserve">Estratificación de la cartera [sinopsis] (e) </t>
  </si>
  <si>
    <t>Cartera protestada y en cobranza judicial [sinopsis] (f)</t>
  </si>
  <si>
    <t>Número y monto operaciones [sinopsis] (g)</t>
  </si>
  <si>
    <t>Información a revelar sobre la exposición al riesgo crediticio [sinopsis] (i)</t>
  </si>
  <si>
    <t>Información a revelar sobre la matriz de provisiones [sinopsis] (j)</t>
  </si>
  <si>
    <t>cl-ci_cor_2021-01-04.xsd#cl-ci_RestriccionesFinancierasMiembro</t>
  </si>
  <si>
    <t>cl-ci_cor_2021-01-04.xsd#cl-ci_RestriccionesFinancierasTabla</t>
  </si>
  <si>
    <t>cl-ci_cor_2021-01-04.xsd#cl-ci_RestriccionesFinancierasEje</t>
  </si>
  <si>
    <t>Si</t>
  </si>
  <si>
    <t>No</t>
  </si>
  <si>
    <t>d</t>
  </si>
  <si>
    <t>E</t>
  </si>
  <si>
    <t>F</t>
  </si>
  <si>
    <t>G</t>
  </si>
  <si>
    <t>H</t>
  </si>
  <si>
    <t>J</t>
  </si>
  <si>
    <t>K</t>
  </si>
  <si>
    <t>L</t>
  </si>
  <si>
    <t>M</t>
  </si>
  <si>
    <t>N</t>
  </si>
  <si>
    <t>O</t>
  </si>
  <si>
    <t>P</t>
  </si>
  <si>
    <t>Q</t>
  </si>
  <si>
    <t>R</t>
  </si>
  <si>
    <t>S</t>
  </si>
  <si>
    <t>T</t>
  </si>
  <si>
    <t>U</t>
  </si>
  <si>
    <t>V</t>
  </si>
  <si>
    <t>W</t>
  </si>
  <si>
    <t>X</t>
  </si>
  <si>
    <t>Y</t>
  </si>
  <si>
    <t>Z</t>
  </si>
  <si>
    <t>Inv. Inmob.Arauco Alameda S.A.S</t>
  </si>
  <si>
    <t>A</t>
  </si>
  <si>
    <t>B</t>
  </si>
  <si>
    <t>C</t>
  </si>
  <si>
    <t>D</t>
  </si>
  <si>
    <t>A2</t>
  </si>
  <si>
    <t>B3</t>
  </si>
  <si>
    <t>AA</t>
  </si>
  <si>
    <t>DD</t>
  </si>
  <si>
    <t>BB</t>
  </si>
  <si>
    <t>EE</t>
  </si>
  <si>
    <t>CC</t>
  </si>
  <si>
    <t>FF</t>
  </si>
  <si>
    <t>GG</t>
  </si>
  <si>
    <t>HH</t>
  </si>
  <si>
    <t>78079790-8</t>
  </si>
  <si>
    <t>aa</t>
  </si>
  <si>
    <t>aaa</t>
  </si>
  <si>
    <t>xx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</si>
</sst>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yyyy\-mm\-dd"/>
    <numFmt numFmtId="166" formatCode="yyyy/mm/dd;@"/>
    <numFmt numFmtId="167" formatCode="0.0000"/>
  </numFmts>
  <fonts count="35">
    <font>
      <sz val="11"/>
      <color theme="1"/>
      <name val="Calibri"/>
      <family val="2"/>
      <scheme val="minor"/>
    </font>
    <font>
      <sz val="8"/>
      <name val="ＭＳ Ｐゴシック"/>
      <family val="3"/>
      <charset val="128"/>
    </font>
    <font>
      <sz val="9"/>
      <name val="Calibri"/>
      <family val="2"/>
      <scheme val="minor"/>
    </font>
    <font>
      <sz val="9"/>
      <name val="Verdana"/>
      <family val="2"/>
    </font>
    <font>
      <b/>
      <sz val="9"/>
      <name val="Verdana"/>
      <family val="2"/>
    </font>
    <font>
      <sz val="11"/>
      <color indexed="9"/>
      <name val="Czcionka tekstu podstawowego"/>
      <family val="2"/>
      <charset val="238"/>
    </font>
    <font>
      <sz val="9"/>
      <color rgb="FFFF0000"/>
      <name val="Verdana"/>
      <family val="2"/>
    </font>
    <font>
      <sz val="9"/>
      <color indexed="9"/>
      <name val="Verdana"/>
      <family val="2"/>
    </font>
    <font>
      <b/>
      <sz val="9"/>
      <color indexed="9"/>
      <name val="Verdana"/>
      <family val="2"/>
    </font>
    <font>
      <b/>
      <sz val="9"/>
      <color rgb="FFFF0000"/>
      <name val="Verdana"/>
      <family val="2"/>
    </font>
    <font>
      <sz val="11"/>
      <name val="Calibri"/>
      <family val="2"/>
      <scheme val="minor"/>
    </font>
    <font>
      <sz val="9"/>
      <color theme="1"/>
      <name val="Verdana"/>
      <family val="2"/>
    </font>
    <font>
      <b/>
      <sz val="18"/>
      <name val="Calibri"/>
      <family val="2"/>
      <scheme val="minor"/>
    </font>
    <font>
      <sz val="10"/>
      <name val="Calibri"/>
      <family val="2"/>
    </font>
    <font>
      <sz val="10"/>
      <color indexed="10"/>
      <name val="Calibri"/>
      <family val="2"/>
    </font>
    <font>
      <b/>
      <sz val="10"/>
      <color indexed="10"/>
      <name val="Calibri"/>
      <family val="2"/>
    </font>
    <font>
      <b/>
      <sz val="10"/>
      <name val="Calibri"/>
      <family val="2"/>
    </font>
    <font>
      <b/>
      <sz val="12"/>
      <name val="Calibri"/>
      <family val="2"/>
      <scheme val="minor"/>
    </font>
    <font>
      <u/>
      <sz val="9.9"/>
      <color theme="10"/>
      <name val="Calibri"/>
      <family val="2"/>
    </font>
    <font>
      <sz val="11"/>
      <color indexed="10"/>
      <name val="Calibri"/>
      <family val="2"/>
    </font>
    <font>
      <sz val="9"/>
      <color indexed="10"/>
      <name val="Verdana"/>
      <family val="2"/>
    </font>
    <font>
      <sz val="8"/>
      <color indexed="8"/>
      <name val="Calibri"/>
      <family val="2"/>
    </font>
    <font>
      <sz val="8"/>
      <name val="Verdana"/>
      <family val="2"/>
    </font>
    <font>
      <b/>
      <sz val="8"/>
      <name val="Verdana"/>
      <family val="2"/>
    </font>
    <font>
      <b/>
      <sz val="9"/>
      <color indexed="81"/>
      <name val="Tahoma"/>
      <family val="2"/>
    </font>
    <font>
      <b/>
      <sz val="8"/>
      <color theme="1"/>
      <name val="Calibri"/>
      <family val="2"/>
      <scheme val="minor"/>
    </font>
    <font>
      <b/>
      <sz val="9"/>
      <name val="Calibri"/>
      <family val="2"/>
      <scheme val="minor"/>
    </font>
    <font>
      <b/>
      <sz val="10"/>
      <name val="Verdana"/>
      <family val="2"/>
    </font>
    <font>
      <b/>
      <sz val="18"/>
      <name val="Calibri"/>
      <family val="2"/>
    </font>
    <font>
      <b/>
      <sz val="9"/>
      <color indexed="10"/>
      <name val="Verdana"/>
      <family val="2"/>
    </font>
    <font>
      <sz val="9"/>
      <color theme="0"/>
      <name val="Verdana"/>
      <family val="2"/>
    </font>
    <font>
      <b/>
      <sz val="9"/>
      <color theme="0"/>
      <name val="Verdana"/>
      <family val="2"/>
    </font>
    <font>
      <sz val="9"/>
      <color indexed="8"/>
      <name val="Verdana"/>
      <family val="2"/>
    </font>
    <font>
      <b/>
      <sz val="11"/>
      <color theme="1"/>
      <name val="Calibri"/>
      <family val="2"/>
      <scheme val="minor"/>
    </font>
    <font>
      <u/>
      <sz val="11"/>
      <color theme="1"/>
      <name val="Calibri"/>
      <family val="2"/>
      <scheme val="minor"/>
    </font>
  </fonts>
  <fills count="30">
    <fill>
      <patternFill patternType="none"/>
    </fill>
    <fill>
      <patternFill patternType="gray125"/>
    </fill>
    <fill>
      <patternFill patternType="solid">
        <fgColor theme="4" tint="0.59999389629810485"/>
        <bgColor indexed="64"/>
      </patternFill>
    </fill>
    <fill>
      <patternFill patternType="solid">
        <fgColor theme="0"/>
        <bgColor indexed="64"/>
      </patternFill>
    </fill>
    <fill>
      <patternFill patternType="solid">
        <fgColor indexed="30"/>
      </patternFill>
    </fill>
    <fill>
      <patternFill patternType="solid">
        <fgColor theme="0" tint="-0.499984740745262"/>
        <bgColor indexed="64"/>
      </patternFill>
    </fill>
    <fill>
      <patternFill patternType="solid">
        <fgColor theme="6" tint="0.59999389629810485"/>
        <bgColor indexed="64"/>
      </patternFill>
    </fill>
    <fill>
      <patternFill patternType="solid">
        <fgColor theme="4" tint="0.59996337778862885"/>
        <bgColor indexed="64"/>
      </patternFill>
    </fill>
    <fill>
      <patternFill patternType="solid">
        <fgColor rgb="FFFFFFCC"/>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rgb="FFFF99FF"/>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rgb="FFFFFF66"/>
        <bgColor indexed="64"/>
      </patternFill>
    </fill>
    <fill>
      <patternFill patternType="solid">
        <fgColor indexed="23"/>
        <bgColor indexed="64"/>
      </patternFill>
    </fill>
    <fill>
      <patternFill patternType="solid">
        <fgColor indexed="44"/>
        <bgColor indexed="64"/>
      </patternFill>
    </fill>
    <fill>
      <patternFill patternType="solid">
        <fgColor indexed="9"/>
        <bgColor indexed="64"/>
      </patternFill>
    </fill>
    <fill>
      <patternFill patternType="solid">
        <fgColor theme="3" tint="0.59999389629810485"/>
        <bgColor indexed="64"/>
      </patternFill>
    </fill>
    <fill>
      <patternFill patternType="solid">
        <fgColor rgb="FF92D05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indexed="26"/>
        <bgColor indexed="64"/>
      </patternFill>
    </fill>
    <fill>
      <patternFill patternType="solid">
        <fgColor theme="0" tint="-0.249977111117893"/>
        <bgColor indexed="64"/>
      </patternFill>
    </fill>
    <fill>
      <patternFill patternType="solid">
        <fgColor theme="9" tint="0.79998168889431442"/>
        <bgColor indexed="64"/>
      </patternFill>
    </fill>
    <fill>
      <patternFill patternType="solid">
        <fgColor theme="6"/>
        <bgColor indexed="64"/>
      </patternFill>
    </fill>
  </fills>
  <borders count="8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Dashed">
        <color rgb="FFFF0000"/>
      </left>
      <right style="mediumDashed">
        <color rgb="FFFF0000"/>
      </right>
      <top style="mediumDashed">
        <color rgb="FFFF0000"/>
      </top>
      <bottom style="thin">
        <color indexed="64"/>
      </bottom>
      <diagonal/>
    </border>
    <border>
      <left style="mediumDashed">
        <color rgb="FFFF0000"/>
      </left>
      <right style="mediumDashed">
        <color rgb="FFFF0000"/>
      </right>
      <top style="thin">
        <color indexed="64"/>
      </top>
      <bottom style="thin">
        <color indexed="64"/>
      </bottom>
      <diagonal/>
    </border>
    <border>
      <left style="mediumDashed">
        <color rgb="FFFF0000"/>
      </left>
      <right style="mediumDashed">
        <color rgb="FFFF0000"/>
      </right>
      <top/>
      <bottom style="thin">
        <color indexed="64"/>
      </bottom>
      <diagonal/>
    </border>
    <border>
      <left style="mediumDashed">
        <color rgb="FFFF0000"/>
      </left>
      <right style="mediumDashed">
        <color rgb="FFFF0000"/>
      </right>
      <top style="thin">
        <color indexed="64"/>
      </top>
      <bottom/>
      <diagonal/>
    </border>
    <border>
      <left style="medium">
        <color indexed="64"/>
      </left>
      <right style="medium">
        <color indexed="64"/>
      </right>
      <top style="medium">
        <color indexed="64"/>
      </top>
      <bottom style="medium">
        <color indexed="64"/>
      </bottom>
      <diagonal/>
    </border>
    <border>
      <left/>
      <right style="mediumDashed">
        <color rgb="FFFF0000"/>
      </right>
      <top style="thin">
        <color indexed="64"/>
      </top>
      <bottom/>
      <diagonal/>
    </border>
    <border>
      <left/>
      <right style="mediumDashed">
        <color rgb="FFFF0000"/>
      </right>
      <top/>
      <bottom/>
      <diagonal/>
    </border>
    <border>
      <left/>
      <right style="mediumDashed">
        <color rgb="FFFF0000"/>
      </right>
      <top/>
      <bottom style="thin">
        <color indexed="64"/>
      </bottom>
      <diagonal/>
    </border>
    <border>
      <left style="mediumDashed">
        <color rgb="FFFF0000"/>
      </left>
      <right style="mediumDashed">
        <color rgb="FFFF0000"/>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style="mediumDashed">
        <color indexed="10"/>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Dashed">
        <color rgb="FFFF0000"/>
      </left>
      <right style="thin">
        <color indexed="64"/>
      </right>
      <top style="thin">
        <color indexed="64"/>
      </top>
      <bottom style="thin">
        <color indexed="64"/>
      </bottom>
      <diagonal/>
    </border>
    <border>
      <left style="mediumDashed">
        <color rgb="FFFF0000"/>
      </left>
      <right style="thin">
        <color indexed="64"/>
      </right>
      <top style="thin">
        <color indexed="64"/>
      </top>
      <bottom/>
      <diagonal/>
    </border>
    <border>
      <left style="mediumDashed">
        <color rgb="FFFF0000"/>
      </left>
      <right style="thin">
        <color indexed="64"/>
      </right>
      <top/>
      <bottom style="thin">
        <color indexed="64"/>
      </bottom>
      <diagonal/>
    </border>
    <border>
      <left style="mediumDashed">
        <color rgb="FFFF0000"/>
      </left>
      <right style="thin">
        <color indexed="64"/>
      </right>
      <top/>
      <bottom/>
      <diagonal/>
    </border>
    <border>
      <left/>
      <right style="thin">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right style="mediumDashed">
        <color rgb="FFFF0000"/>
      </right>
      <top style="thin">
        <color indexed="64"/>
      </top>
      <bottom style="thin">
        <color indexed="64"/>
      </bottom>
      <diagonal/>
    </border>
    <border>
      <left/>
      <right style="medium">
        <color indexed="64"/>
      </right>
      <top/>
      <bottom style="thin">
        <color indexed="64"/>
      </bottom>
      <diagonal/>
    </border>
    <border>
      <left style="thin">
        <color indexed="64"/>
      </left>
      <right style="thin">
        <color indexed="64"/>
      </right>
      <top/>
      <bottom/>
      <diagonal/>
    </border>
    <border>
      <left style="mediumDashed">
        <color rgb="FFFF0000"/>
      </left>
      <right/>
      <top/>
      <bottom/>
      <diagonal/>
    </border>
    <border>
      <left style="mediumDashed">
        <color rgb="FFFF0000"/>
      </left>
      <right/>
      <top style="mediumDashed">
        <color rgb="FFFF0000"/>
      </top>
      <bottom/>
      <diagonal/>
    </border>
    <border>
      <left/>
      <right/>
      <top style="mediumDashed">
        <color rgb="FFFF0000"/>
      </top>
      <bottom/>
      <diagonal/>
    </border>
    <border>
      <left/>
      <right style="thin">
        <color indexed="64"/>
      </right>
      <top style="mediumDashed">
        <color rgb="FFFF0000"/>
      </top>
      <bottom style="thin">
        <color indexed="64"/>
      </bottom>
      <diagonal/>
    </border>
    <border>
      <left style="thin">
        <color indexed="64"/>
      </left>
      <right style="mediumDashed">
        <color rgb="FFFF0000"/>
      </right>
      <top/>
      <bottom style="thin">
        <color indexed="64"/>
      </bottom>
      <diagonal/>
    </border>
    <border>
      <left style="mediumDashed">
        <color rgb="FFFF0000"/>
      </left>
      <right/>
      <top/>
      <bottom style="thin">
        <color indexed="64"/>
      </bottom>
      <diagonal/>
    </border>
    <border>
      <left style="mediumDashed">
        <color rgb="FFFF0000"/>
      </left>
      <right/>
      <top/>
      <bottom style="mediumDashed">
        <color rgb="FFFF0000"/>
      </bottom>
      <diagonal/>
    </border>
    <border>
      <left/>
      <right/>
      <top/>
      <bottom style="mediumDashed">
        <color rgb="FFFF0000"/>
      </bottom>
      <diagonal/>
    </border>
    <border>
      <left/>
      <right style="mediumDashed">
        <color rgb="FFFF0000"/>
      </right>
      <top/>
      <bottom style="mediumDashed">
        <color rgb="FFFF0000"/>
      </bottom>
      <diagonal/>
    </border>
    <border>
      <left style="medium">
        <color indexed="64"/>
      </left>
      <right style="medium">
        <color indexed="64"/>
      </right>
      <top/>
      <bottom/>
      <diagonal/>
    </border>
    <border>
      <left style="thin">
        <color indexed="64"/>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diagonal/>
    </border>
    <border>
      <left style="thin">
        <color indexed="64"/>
      </left>
      <right style="mediumDashed">
        <color rgb="FFFF0000"/>
      </right>
      <top/>
      <bottom/>
      <diagonal/>
    </border>
    <border>
      <left style="thin">
        <color indexed="64"/>
      </left>
      <right style="mediumDashed">
        <color rgb="FFFF0000"/>
      </right>
      <top style="thin">
        <color indexed="64"/>
      </top>
      <bottom style="thin">
        <color indexed="64"/>
      </bottom>
      <diagonal/>
    </border>
    <border>
      <left/>
      <right style="medium">
        <color indexed="64"/>
      </right>
      <top/>
      <bottom style="mediumDashed">
        <color rgb="FFFF0000"/>
      </bottom>
      <diagonal/>
    </border>
    <border>
      <left style="medium">
        <color indexed="64"/>
      </left>
      <right style="thin">
        <color indexed="64"/>
      </right>
      <top/>
      <bottom style="mediumDashed">
        <color rgb="FFFF0000"/>
      </bottom>
      <diagonal/>
    </border>
    <border>
      <left style="thin">
        <color indexed="64"/>
      </left>
      <right style="thin">
        <color indexed="64"/>
      </right>
      <top/>
      <bottom style="mediumDashed">
        <color rgb="FFFF0000"/>
      </bottom>
      <diagonal/>
    </border>
    <border>
      <left style="medium">
        <color indexed="64"/>
      </left>
      <right/>
      <top style="mediumDashed">
        <color rgb="FFFF0000"/>
      </top>
      <bottom style="medium">
        <color indexed="64"/>
      </bottom>
      <diagonal/>
    </border>
    <border>
      <left/>
      <right/>
      <top style="mediumDashed">
        <color rgb="FFFF0000"/>
      </top>
      <bottom style="medium">
        <color indexed="64"/>
      </bottom>
      <diagonal/>
    </border>
    <border>
      <left/>
      <right style="medium">
        <color indexed="64"/>
      </right>
      <top style="mediumDashed">
        <color rgb="FFFF0000"/>
      </top>
      <bottom style="medium">
        <color indexed="64"/>
      </bottom>
      <diagonal/>
    </border>
    <border>
      <left/>
      <right style="mediumDashed">
        <color rgb="FFFF0000"/>
      </right>
      <top style="mediumDashed">
        <color rgb="FFFF0000"/>
      </top>
      <bottom/>
      <diagonal/>
    </border>
    <border>
      <left style="thin">
        <color indexed="64"/>
      </left>
      <right style="thin">
        <color indexed="64"/>
      </right>
      <top style="thin">
        <color indexed="64"/>
      </top>
      <bottom style="mediumDashed">
        <color rgb="FFFF0000"/>
      </bottom>
      <diagonal/>
    </border>
    <border>
      <left style="mediumDashed">
        <color rgb="FFFF0000"/>
      </left>
      <right/>
      <top style="mediumDashed">
        <color rgb="FFFF0000"/>
      </top>
      <bottom style="mediumDashed">
        <color rgb="FFFF0000"/>
      </bottom>
      <diagonal/>
    </border>
    <border>
      <left/>
      <right/>
      <top style="mediumDashed">
        <color rgb="FFFF0000"/>
      </top>
      <bottom style="mediumDashed">
        <color rgb="FFFF0000"/>
      </bottom>
      <diagonal/>
    </border>
    <border>
      <left/>
      <right style="thin">
        <color indexed="64"/>
      </right>
      <top/>
      <bottom style="mediumDashed">
        <color rgb="FFFF0000"/>
      </bottom>
      <diagonal/>
    </border>
    <border>
      <left style="thin">
        <color indexed="64"/>
      </left>
      <right/>
      <top/>
      <bottom style="mediumDashed">
        <color rgb="FFFF0000"/>
      </bottom>
      <diagonal/>
    </border>
    <border>
      <left/>
      <right style="mediumDashed">
        <color rgb="FFFF0000"/>
      </right>
      <top style="mediumDashed">
        <color rgb="FFFF0000"/>
      </top>
      <bottom style="mediumDashed">
        <color rgb="FFFF0000"/>
      </bottom>
      <diagonal/>
    </border>
    <border>
      <left/>
      <right style="medium">
        <color indexed="64"/>
      </right>
      <top style="mediumDashed">
        <color rgb="FFFF0000"/>
      </top>
      <bottom/>
      <diagonal/>
    </border>
    <border>
      <left/>
      <right style="thin">
        <color indexed="64"/>
      </right>
      <top style="medium">
        <color indexed="64"/>
      </top>
      <bottom style="thin">
        <color indexed="64"/>
      </bottom>
      <diagonal/>
    </border>
    <border>
      <left style="thin">
        <color indexed="64"/>
      </left>
      <right/>
      <top style="thin">
        <color indexed="64"/>
      </top>
      <bottom style="mediumDashed">
        <color rgb="FFFF0000"/>
      </bottom>
      <diagonal/>
    </border>
    <border>
      <left/>
      <right/>
      <top style="thin">
        <color indexed="64"/>
      </top>
      <bottom style="mediumDashed">
        <color rgb="FFFF0000"/>
      </bottom>
      <diagonal/>
    </border>
    <border>
      <left/>
      <right style="thin">
        <color indexed="64"/>
      </right>
      <top style="thin">
        <color indexed="64"/>
      </top>
      <bottom style="mediumDashed">
        <color rgb="FFFF0000"/>
      </bottom>
      <diagonal/>
    </border>
    <border>
      <left style="thin">
        <color indexed="64"/>
      </left>
      <right/>
      <top style="mediumDashed">
        <color rgb="FFFF0000"/>
      </top>
      <bottom style="mediumDashed">
        <color rgb="FFFF0000"/>
      </bottom>
      <diagonal/>
    </border>
    <border>
      <left style="medium">
        <color indexed="64"/>
      </left>
      <right/>
      <top style="mediumDashed">
        <color rgb="FFFF0000"/>
      </top>
      <bottom/>
      <diagonal/>
    </border>
  </borders>
  <cellStyleXfs count="5">
    <xf numFmtId="0" fontId="0" fillId="0" borderId="0"/>
    <xf numFmtId="0" fontId="1" fillId="0" borderId="0" applyNumberFormat="0" applyFill="0" applyBorder="0">
      <alignment vertical="center"/>
    </xf>
    <xf numFmtId="0" fontId="5" fillId="4" borderId="0" applyNumberFormat="0" applyBorder="0" applyAlignment="0" applyProtection="0"/>
    <xf numFmtId="0" fontId="1" fillId="0" borderId="0" applyNumberFormat="0" applyFill="0" applyBorder="0">
      <alignment vertical="center"/>
    </xf>
    <xf numFmtId="0" fontId="18" fillId="0" borderId="0" applyNumberFormat="0" applyFill="0" applyBorder="0" applyAlignment="0" applyProtection="0">
      <alignment vertical="top"/>
      <protection locked="0"/>
    </xf>
  </cellStyleXfs>
  <cellXfs count="362">
    <xf numFmtId="0" fontId="0" fillId="0" borderId="0" xfId="0"/>
    <xf numFmtId="3" fontId="2" fillId="2" borderId="0" xfId="1" applyNumberFormat="1" applyFont="1" applyFill="1" applyBorder="1">
      <alignment vertical="center"/>
    </xf>
    <xf numFmtId="0" fontId="3" fillId="2" borderId="0" xfId="0" applyFont="1" applyFill="1" applyAlignment="1">
      <alignment horizontal="left" vertical="center" indent="3"/>
    </xf>
    <xf numFmtId="0" fontId="3" fillId="2" borderId="0" xfId="0" applyFont="1" applyFill="1" applyAlignment="1">
      <alignment horizontal="left" vertical="center" wrapText="1" indent="3"/>
    </xf>
    <xf numFmtId="0" fontId="3" fillId="3" borderId="1" xfId="0" applyFont="1" applyFill="1" applyBorder="1" applyAlignment="1">
      <alignment horizontal="left" vertical="center" indent="3"/>
    </xf>
    <xf numFmtId="0" fontId="4" fillId="2" borderId="0" xfId="0" applyFont="1" applyFill="1" applyAlignment="1">
      <alignment horizontal="left" vertical="center" indent="3"/>
    </xf>
    <xf numFmtId="0" fontId="4" fillId="2" borderId="0" xfId="0" applyFont="1" applyFill="1" applyAlignment="1">
      <alignment horizontal="left" vertical="center" wrapText="1" indent="3"/>
    </xf>
    <xf numFmtId="3" fontId="2" fillId="3" borderId="1" xfId="1" applyNumberFormat="1" applyFont="1" applyFill="1" applyBorder="1">
      <alignment vertical="center"/>
    </xf>
    <xf numFmtId="3" fontId="2" fillId="2" borderId="3" xfId="1" applyNumberFormat="1" applyFont="1" applyFill="1" applyBorder="1">
      <alignment vertical="center"/>
    </xf>
    <xf numFmtId="3" fontId="2" fillId="2" borderId="4" xfId="1" applyNumberFormat="1" applyFont="1" applyFill="1" applyBorder="1">
      <alignment vertical="center"/>
    </xf>
    <xf numFmtId="3" fontId="2" fillId="2" borderId="5" xfId="1" applyNumberFormat="1" applyFont="1" applyFill="1" applyBorder="1">
      <alignment vertical="center"/>
    </xf>
    <xf numFmtId="3" fontId="2" fillId="2" borderId="6" xfId="1" applyNumberFormat="1" applyFont="1" applyFill="1" applyBorder="1">
      <alignment vertical="center"/>
    </xf>
    <xf numFmtId="3" fontId="2" fillId="2" borderId="7" xfId="1" applyNumberFormat="1" applyFont="1" applyFill="1" applyBorder="1">
      <alignment vertical="center"/>
    </xf>
    <xf numFmtId="3" fontId="2" fillId="2" borderId="8" xfId="1" applyNumberFormat="1" applyFont="1" applyFill="1" applyBorder="1">
      <alignment vertical="center"/>
    </xf>
    <xf numFmtId="3" fontId="2" fillId="2" borderId="9" xfId="1" applyNumberFormat="1" applyFont="1" applyFill="1" applyBorder="1">
      <alignment vertical="center"/>
    </xf>
    <xf numFmtId="3" fontId="2" fillId="2" borderId="10" xfId="1" applyNumberFormat="1" applyFont="1" applyFill="1" applyBorder="1">
      <alignment vertical="center"/>
    </xf>
    <xf numFmtId="0" fontId="6" fillId="0" borderId="0" xfId="0" applyFont="1" applyAlignment="1">
      <alignment horizontal="center" vertical="center"/>
    </xf>
    <xf numFmtId="0" fontId="6" fillId="5" borderId="11" xfId="2" applyNumberFormat="1" applyFont="1" applyFill="1" applyBorder="1" applyAlignment="1">
      <alignment horizontal="center" vertical="center" wrapText="1"/>
    </xf>
    <xf numFmtId="0" fontId="6" fillId="5" borderId="13" xfId="2" applyNumberFormat="1" applyFont="1" applyFill="1" applyBorder="1" applyAlignment="1">
      <alignment horizontal="center" vertical="center" wrapText="1"/>
    </xf>
    <xf numFmtId="0" fontId="7" fillId="5" borderId="13" xfId="2" applyNumberFormat="1" applyFont="1" applyFill="1" applyBorder="1" applyAlignment="1">
      <alignment horizontal="center" vertical="center" wrapText="1"/>
    </xf>
    <xf numFmtId="0" fontId="8" fillId="5" borderId="13" xfId="2" applyNumberFormat="1" applyFont="1" applyFill="1" applyBorder="1" applyAlignment="1">
      <alignment horizontal="center" vertical="center" wrapText="1"/>
    </xf>
    <xf numFmtId="0" fontId="9" fillId="6" borderId="14" xfId="2" applyNumberFormat="1" applyFont="1" applyFill="1" applyBorder="1" applyAlignment="1">
      <alignment horizontal="center" vertical="center" wrapText="1"/>
    </xf>
    <xf numFmtId="0" fontId="7" fillId="5" borderId="12" xfId="2" applyNumberFormat="1" applyFont="1" applyFill="1" applyBorder="1" applyAlignment="1">
      <alignment horizontal="center" vertical="center" wrapText="1"/>
    </xf>
    <xf numFmtId="0" fontId="3" fillId="0" borderId="0" xfId="0" applyFont="1" applyAlignment="1">
      <alignment horizontal="center" vertical="center" wrapText="1"/>
    </xf>
    <xf numFmtId="0" fontId="3" fillId="7" borderId="6" xfId="3" applyFont="1" applyFill="1" applyBorder="1">
      <alignment vertical="center"/>
    </xf>
    <xf numFmtId="0" fontId="4" fillId="7" borderId="0" xfId="3" applyFont="1" applyFill="1" applyBorder="1">
      <alignment vertical="center"/>
    </xf>
    <xf numFmtId="0" fontId="3" fillId="7" borderId="0" xfId="3" applyFont="1" applyFill="1" applyBorder="1">
      <alignment vertical="center"/>
    </xf>
    <xf numFmtId="0" fontId="3" fillId="7" borderId="4" xfId="3" applyFont="1" applyFill="1" applyBorder="1" applyAlignment="1">
      <alignment horizontal="center" vertical="center" wrapText="1"/>
    </xf>
    <xf numFmtId="0" fontId="0" fillId="2" borderId="0" xfId="0" applyFill="1"/>
    <xf numFmtId="0" fontId="3" fillId="7" borderId="5" xfId="3" applyFont="1" applyFill="1" applyBorder="1" applyAlignment="1">
      <alignment vertical="center" wrapText="1"/>
    </xf>
    <xf numFmtId="0" fontId="3" fillId="0" borderId="0" xfId="0" applyFont="1"/>
    <xf numFmtId="0" fontId="3" fillId="2" borderId="6" xfId="0" applyFont="1" applyFill="1" applyBorder="1" applyAlignment="1">
      <alignment horizontal="left" vertical="center"/>
    </xf>
    <xf numFmtId="0" fontId="3" fillId="2" borderId="0" xfId="0" applyFont="1" applyFill="1" applyAlignment="1">
      <alignment horizontal="left" vertical="center"/>
    </xf>
    <xf numFmtId="0" fontId="3" fillId="2" borderId="0" xfId="2" applyNumberFormat="1" applyFont="1" applyFill="1" applyBorder="1" applyAlignment="1">
      <alignment horizontal="left" vertical="center"/>
    </xf>
    <xf numFmtId="0" fontId="11" fillId="2" borderId="0" xfId="0" applyFont="1" applyFill="1" applyAlignment="1">
      <alignment horizontal="left" vertical="center"/>
    </xf>
    <xf numFmtId="0" fontId="10" fillId="6" borderId="17" xfId="3" applyFont="1" applyFill="1" applyBorder="1" applyAlignment="1">
      <alignment horizontal="center" vertical="center" wrapText="1"/>
    </xf>
    <xf numFmtId="0" fontId="3" fillId="2" borderId="3" xfId="0" applyFont="1" applyFill="1" applyBorder="1"/>
    <xf numFmtId="0" fontId="3" fillId="2" borderId="4" xfId="0" applyFont="1" applyFill="1" applyBorder="1"/>
    <xf numFmtId="0" fontId="11" fillId="2" borderId="4" xfId="0" applyFont="1" applyFill="1" applyBorder="1"/>
    <xf numFmtId="0" fontId="3" fillId="7" borderId="4" xfId="3" applyFont="1" applyFill="1" applyBorder="1">
      <alignment vertical="center"/>
    </xf>
    <xf numFmtId="0" fontId="3" fillId="2" borderId="8" xfId="0" applyFont="1" applyFill="1" applyBorder="1" applyAlignment="1">
      <alignment horizontal="left" vertical="center"/>
    </xf>
    <xf numFmtId="0" fontId="3" fillId="2" borderId="9" xfId="0" applyFont="1" applyFill="1" applyBorder="1" applyAlignment="1">
      <alignment horizontal="left" vertical="center"/>
    </xf>
    <xf numFmtId="0" fontId="3" fillId="7" borderId="13" xfId="3" applyFont="1" applyFill="1" applyBorder="1">
      <alignment vertical="center"/>
    </xf>
    <xf numFmtId="0" fontId="12" fillId="8" borderId="18" xfId="0" applyFont="1" applyFill="1" applyBorder="1" applyAlignment="1">
      <alignment horizontal="center" vertical="center" wrapText="1"/>
    </xf>
    <xf numFmtId="0" fontId="17" fillId="8" borderId="18" xfId="0" applyFont="1" applyFill="1" applyBorder="1" applyAlignment="1">
      <alignment horizontal="center" vertical="center" wrapText="1"/>
    </xf>
    <xf numFmtId="0" fontId="4" fillId="7" borderId="19" xfId="3" applyFont="1" applyFill="1" applyBorder="1" applyAlignment="1">
      <alignment vertical="center" wrapText="1"/>
    </xf>
    <xf numFmtId="0" fontId="4" fillId="2" borderId="20" xfId="0" applyFont="1" applyFill="1" applyBorder="1" applyAlignment="1">
      <alignment horizontal="left" vertical="center"/>
    </xf>
    <xf numFmtId="0" fontId="3" fillId="2" borderId="20" xfId="0" applyFont="1" applyFill="1" applyBorder="1" applyAlignment="1">
      <alignment horizontal="left" vertical="center"/>
    </xf>
    <xf numFmtId="0" fontId="3" fillId="2" borderId="21" xfId="0" applyFont="1" applyFill="1" applyBorder="1" applyAlignment="1">
      <alignment horizontal="left" vertical="center"/>
    </xf>
    <xf numFmtId="0" fontId="3" fillId="7" borderId="17" xfId="3" applyFont="1" applyFill="1" applyBorder="1">
      <alignment vertical="center"/>
    </xf>
    <xf numFmtId="0" fontId="3" fillId="2" borderId="22" xfId="0" applyFont="1" applyFill="1" applyBorder="1" applyAlignment="1">
      <alignment horizontal="left" vertical="center"/>
    </xf>
    <xf numFmtId="0" fontId="3" fillId="2" borderId="16" xfId="0" applyFont="1" applyFill="1" applyBorder="1" applyAlignment="1">
      <alignment horizontal="left" vertical="center"/>
    </xf>
    <xf numFmtId="3" fontId="3" fillId="3" borderId="15" xfId="0" applyNumberFormat="1" applyFont="1" applyFill="1" applyBorder="1" applyProtection="1">
      <protection locked="0"/>
    </xf>
    <xf numFmtId="0" fontId="19" fillId="0" borderId="0" xfId="0" applyFont="1"/>
    <xf numFmtId="0" fontId="7" fillId="16" borderId="23" xfId="2" applyNumberFormat="1" applyFont="1" applyFill="1" applyBorder="1" applyAlignment="1">
      <alignment vertical="center" wrapText="1"/>
    </xf>
    <xf numFmtId="0" fontId="7" fillId="16" borderId="24" xfId="2" applyNumberFormat="1" applyFont="1" applyFill="1" applyBorder="1" applyAlignment="1">
      <alignment vertical="center" wrapText="1"/>
    </xf>
    <xf numFmtId="0" fontId="19" fillId="0" borderId="0" xfId="0" applyFont="1" applyAlignment="1">
      <alignment horizontal="center" vertical="center"/>
    </xf>
    <xf numFmtId="0" fontId="20" fillId="16" borderId="27" xfId="2" applyNumberFormat="1" applyFont="1" applyFill="1" applyBorder="1" applyAlignment="1">
      <alignment horizontal="center" vertical="center" wrapText="1"/>
    </xf>
    <xf numFmtId="0" fontId="20" fillId="16" borderId="13" xfId="2" applyNumberFormat="1" applyFont="1" applyFill="1" applyBorder="1" applyAlignment="1">
      <alignment horizontal="center" vertical="center" wrapText="1"/>
    </xf>
    <xf numFmtId="0" fontId="7" fillId="16" borderId="13" xfId="2" applyNumberFormat="1" applyFont="1" applyFill="1" applyBorder="1" applyAlignment="1">
      <alignment horizontal="center" vertical="center" wrapText="1"/>
    </xf>
    <xf numFmtId="0" fontId="7" fillId="16" borderId="1" xfId="2" applyNumberFormat="1" applyFont="1" applyFill="1" applyBorder="1" applyAlignment="1">
      <alignment horizontal="center" vertical="center" wrapText="1"/>
    </xf>
    <xf numFmtId="0" fontId="7" fillId="16" borderId="28" xfId="2" applyNumberFormat="1" applyFont="1" applyFill="1" applyBorder="1" applyAlignment="1">
      <alignment horizontal="center" vertical="center" wrapText="1"/>
    </xf>
    <xf numFmtId="0" fontId="21" fillId="0" borderId="29" xfId="0" applyFont="1" applyBorder="1" applyAlignment="1">
      <alignment wrapText="1"/>
    </xf>
    <xf numFmtId="0" fontId="22" fillId="17" borderId="29" xfId="3" applyFont="1" applyFill="1" applyBorder="1">
      <alignment vertical="center"/>
    </xf>
    <xf numFmtId="0" fontId="23" fillId="17" borderId="0" xfId="3" applyFont="1" applyFill="1" applyBorder="1">
      <alignment vertical="center"/>
    </xf>
    <xf numFmtId="0" fontId="22" fillId="17" borderId="0" xfId="3" applyFont="1" applyFill="1" applyBorder="1" applyAlignment="1">
      <alignment vertical="center" wrapText="1"/>
    </xf>
    <xf numFmtId="0" fontId="22" fillId="17" borderId="4" xfId="3" applyFont="1" applyFill="1" applyBorder="1" applyAlignment="1">
      <alignment vertical="center" wrapText="1"/>
    </xf>
    <xf numFmtId="0" fontId="0" fillId="17" borderId="0" xfId="0" applyFill="1"/>
    <xf numFmtId="0" fontId="22" fillId="2" borderId="29" xfId="3" applyFont="1" applyFill="1" applyBorder="1">
      <alignment vertical="center"/>
    </xf>
    <xf numFmtId="0" fontId="23" fillId="2" borderId="0" xfId="3" applyFont="1" applyFill="1" applyBorder="1">
      <alignment vertical="center"/>
    </xf>
    <xf numFmtId="0" fontId="22" fillId="2" borderId="0" xfId="3" applyFont="1" applyFill="1" applyBorder="1">
      <alignment vertical="center"/>
    </xf>
    <xf numFmtId="0" fontId="22" fillId="2" borderId="30" xfId="3" applyFont="1" applyFill="1" applyBorder="1">
      <alignment vertical="center"/>
    </xf>
    <xf numFmtId="0" fontId="3" fillId="2" borderId="29" xfId="3" applyFont="1" applyFill="1" applyBorder="1">
      <alignment vertical="center"/>
    </xf>
    <xf numFmtId="0" fontId="3" fillId="2" borderId="0" xfId="3" applyFont="1" applyFill="1" applyBorder="1">
      <alignment vertical="center"/>
    </xf>
    <xf numFmtId="0" fontId="3" fillId="2" borderId="0" xfId="3" applyFont="1" applyFill="1" applyBorder="1" applyAlignment="1">
      <alignment horizontal="left" vertical="center" wrapText="1" indent="3"/>
    </xf>
    <xf numFmtId="3" fontId="22" fillId="18" borderId="1" xfId="3" applyNumberFormat="1" applyFont="1" applyFill="1" applyBorder="1" applyProtection="1">
      <alignment vertical="center"/>
      <protection locked="0"/>
    </xf>
    <xf numFmtId="0" fontId="3" fillId="2" borderId="31" xfId="3" applyFont="1" applyFill="1" applyBorder="1" applyAlignment="1">
      <alignment horizontal="left" vertical="center" wrapText="1" indent="1"/>
    </xf>
    <xf numFmtId="0" fontId="3" fillId="2" borderId="9" xfId="3" applyFont="1" applyFill="1" applyBorder="1" applyAlignment="1">
      <alignment horizontal="left" vertical="center" wrapText="1" indent="1"/>
    </xf>
    <xf numFmtId="0" fontId="3" fillId="2" borderId="0" xfId="3" applyFont="1" applyFill="1" applyBorder="1" applyAlignment="1">
      <alignment horizontal="left" vertical="center" wrapText="1" indent="1"/>
    </xf>
    <xf numFmtId="0" fontId="3" fillId="2" borderId="30" xfId="3" applyFont="1" applyFill="1" applyBorder="1" applyAlignment="1">
      <alignment horizontal="left" vertical="center" wrapText="1" indent="1"/>
    </xf>
    <xf numFmtId="0" fontId="0" fillId="0" borderId="0" xfId="0" applyAlignment="1">
      <alignment wrapText="1"/>
    </xf>
    <xf numFmtId="0" fontId="7" fillId="16" borderId="31" xfId="2" applyNumberFormat="1" applyFont="1" applyFill="1" applyBorder="1" applyAlignment="1">
      <alignment vertical="center" wrapText="1"/>
    </xf>
    <xf numFmtId="0" fontId="7" fillId="16" borderId="9" xfId="2" applyNumberFormat="1" applyFont="1" applyFill="1" applyBorder="1" applyAlignment="1">
      <alignment vertical="center" wrapText="1"/>
    </xf>
    <xf numFmtId="0" fontId="0" fillId="0" borderId="32" xfId="0" applyBorder="1"/>
    <xf numFmtId="0" fontId="19" fillId="0" borderId="32" xfId="0" applyFont="1" applyBorder="1" applyAlignment="1">
      <alignment horizontal="center" vertical="center"/>
    </xf>
    <xf numFmtId="0" fontId="3" fillId="2" borderId="33" xfId="3" applyFont="1" applyFill="1" applyBorder="1">
      <alignment vertical="center"/>
    </xf>
    <xf numFmtId="0" fontId="3" fillId="2" borderId="34" xfId="3" applyFont="1" applyFill="1" applyBorder="1">
      <alignment vertical="center"/>
    </xf>
    <xf numFmtId="0" fontId="3" fillId="2" borderId="34" xfId="3" applyFont="1" applyFill="1" applyBorder="1" applyAlignment="1">
      <alignment horizontal="left" vertical="center" wrapText="1" indent="1"/>
    </xf>
    <xf numFmtId="0" fontId="3" fillId="2" borderId="35" xfId="3" applyFont="1" applyFill="1" applyBorder="1">
      <alignment vertical="center"/>
    </xf>
    <xf numFmtId="0" fontId="7" fillId="16" borderId="11" xfId="2" applyNumberFormat="1" applyFont="1" applyFill="1" applyBorder="1" applyAlignment="1">
      <alignment horizontal="center" vertical="center" wrapText="1"/>
    </xf>
    <xf numFmtId="0" fontId="18" fillId="14" borderId="0" xfId="4" applyFill="1" applyBorder="1" applyAlignment="1" applyProtection="1">
      <alignment horizontal="left" vertical="center" wrapText="1" indent="3"/>
    </xf>
    <xf numFmtId="0" fontId="8" fillId="5" borderId="2" xfId="2" applyFont="1" applyFill="1" applyBorder="1" applyAlignment="1">
      <alignment horizontal="center" vertical="center" wrapText="1"/>
    </xf>
    <xf numFmtId="0" fontId="3" fillId="2" borderId="9" xfId="2" applyNumberFormat="1" applyFont="1" applyFill="1" applyBorder="1" applyAlignment="1">
      <alignment horizontal="left" vertical="center"/>
    </xf>
    <xf numFmtId="0" fontId="3" fillId="7" borderId="36" xfId="3" applyFont="1" applyFill="1" applyBorder="1">
      <alignment vertical="center"/>
    </xf>
    <xf numFmtId="0" fontId="3" fillId="2" borderId="8" xfId="2" applyNumberFormat="1" applyFont="1" applyFill="1" applyBorder="1" applyAlignment="1">
      <alignment horizontal="left" vertical="center"/>
    </xf>
    <xf numFmtId="0" fontId="3" fillId="7" borderId="37" xfId="3" applyFont="1" applyFill="1" applyBorder="1">
      <alignment vertical="center"/>
    </xf>
    <xf numFmtId="0" fontId="3" fillId="2" borderId="38" xfId="0" applyFont="1" applyFill="1" applyBorder="1" applyAlignment="1">
      <alignment horizontal="left" vertical="center"/>
    </xf>
    <xf numFmtId="3" fontId="3" fillId="19" borderId="15" xfId="0" applyNumberFormat="1" applyFont="1" applyFill="1" applyBorder="1" applyProtection="1">
      <protection locked="0"/>
    </xf>
    <xf numFmtId="0" fontId="4" fillId="2" borderId="0" xfId="3" applyFont="1" applyFill="1" applyBorder="1" applyAlignment="1">
      <alignment horizontal="left" vertical="center" wrapText="1" indent="3"/>
    </xf>
    <xf numFmtId="0" fontId="3" fillId="7" borderId="5" xfId="3" applyFont="1" applyFill="1" applyBorder="1">
      <alignment vertical="center"/>
    </xf>
    <xf numFmtId="0" fontId="3" fillId="2" borderId="7" xfId="0" applyFont="1" applyFill="1" applyBorder="1" applyAlignment="1">
      <alignment horizontal="left" vertical="center"/>
    </xf>
    <xf numFmtId="0" fontId="3" fillId="7" borderId="12" xfId="3" applyFont="1" applyFill="1" applyBorder="1">
      <alignment vertical="center"/>
    </xf>
    <xf numFmtId="0" fontId="4" fillId="2" borderId="36" xfId="0" applyFont="1" applyFill="1" applyBorder="1" applyAlignment="1">
      <alignment horizontal="left" vertical="center"/>
    </xf>
    <xf numFmtId="0" fontId="3" fillId="2" borderId="39" xfId="0" applyFont="1" applyFill="1" applyBorder="1" applyAlignment="1">
      <alignment horizontal="left" vertical="center"/>
    </xf>
    <xf numFmtId="0" fontId="3" fillId="2" borderId="10" xfId="0" applyFont="1" applyFill="1" applyBorder="1" applyAlignment="1">
      <alignment horizontal="left" vertical="center"/>
    </xf>
    <xf numFmtId="0" fontId="22" fillId="17" borderId="7" xfId="3" applyFont="1" applyFill="1" applyBorder="1" applyAlignment="1">
      <alignment vertical="center" wrapText="1"/>
    </xf>
    <xf numFmtId="0" fontId="22" fillId="2" borderId="7" xfId="3" applyFont="1" applyFill="1" applyBorder="1">
      <alignment vertical="center"/>
    </xf>
    <xf numFmtId="0" fontId="3" fillId="2" borderId="7" xfId="3" applyFont="1" applyFill="1" applyBorder="1" applyAlignment="1">
      <alignment horizontal="left" vertical="center" wrapText="1" indent="1"/>
    </xf>
    <xf numFmtId="0" fontId="3" fillId="2" borderId="40" xfId="3" applyFont="1" applyFill="1" applyBorder="1">
      <alignment vertical="center"/>
    </xf>
    <xf numFmtId="0" fontId="3" fillId="2" borderId="10" xfId="3" applyFont="1" applyFill="1" applyBorder="1" applyAlignment="1">
      <alignment horizontal="left" vertical="center" wrapText="1" indent="1"/>
    </xf>
    <xf numFmtId="0" fontId="22" fillId="2" borderId="5" xfId="3" applyFont="1" applyFill="1" applyBorder="1">
      <alignment vertical="center"/>
    </xf>
    <xf numFmtId="3" fontId="3" fillId="14" borderId="12" xfId="0" applyNumberFormat="1" applyFont="1" applyFill="1" applyBorder="1"/>
    <xf numFmtId="3" fontId="3" fillId="14" borderId="36" xfId="0" applyNumberFormat="1" applyFont="1" applyFill="1" applyBorder="1"/>
    <xf numFmtId="0" fontId="22" fillId="7" borderId="22" xfId="3" applyFont="1" applyFill="1" applyBorder="1" applyAlignment="1">
      <alignment vertical="center" wrapText="1"/>
    </xf>
    <xf numFmtId="0" fontId="9" fillId="6" borderId="16" xfId="2" applyNumberFormat="1" applyFont="1" applyFill="1" applyBorder="1" applyAlignment="1">
      <alignment horizontal="center" vertical="center" wrapText="1"/>
    </xf>
    <xf numFmtId="0" fontId="7" fillId="16" borderId="41" xfId="2" applyNumberFormat="1" applyFont="1" applyFill="1" applyBorder="1" applyAlignment="1">
      <alignment horizontal="center" vertical="center" wrapText="1"/>
    </xf>
    <xf numFmtId="0" fontId="4" fillId="7" borderId="4" xfId="3" applyFont="1" applyFill="1" applyBorder="1" applyAlignment="1">
      <alignment vertical="center" wrapText="1"/>
    </xf>
    <xf numFmtId="0" fontId="4" fillId="2" borderId="0" xfId="0" applyFont="1" applyFill="1" applyAlignment="1">
      <alignment horizontal="left" vertical="center"/>
    </xf>
    <xf numFmtId="3" fontId="3" fillId="3" borderId="1" xfId="0" applyNumberFormat="1" applyFont="1" applyFill="1" applyBorder="1"/>
    <xf numFmtId="0" fontId="3" fillId="7" borderId="7" xfId="3" applyFont="1" applyFill="1" applyBorder="1">
      <alignment vertical="center"/>
    </xf>
    <xf numFmtId="0" fontId="3" fillId="2" borderId="6" xfId="0" applyFont="1" applyFill="1" applyBorder="1"/>
    <xf numFmtId="0" fontId="3" fillId="2" borderId="0" xfId="0" applyFont="1" applyFill="1"/>
    <xf numFmtId="0" fontId="11" fillId="2" borderId="0" xfId="0" applyFont="1" applyFill="1"/>
    <xf numFmtId="0" fontId="4" fillId="7" borderId="0" xfId="3" applyFont="1" applyFill="1" applyBorder="1" applyAlignment="1">
      <alignment vertical="center" wrapText="1"/>
    </xf>
    <xf numFmtId="0" fontId="7" fillId="5" borderId="1" xfId="2" applyNumberFormat="1" applyFont="1" applyFill="1" applyBorder="1" applyAlignment="1">
      <alignment horizontal="center" vertical="center" wrapText="1"/>
    </xf>
    <xf numFmtId="0" fontId="9" fillId="5" borderId="1" xfId="2" applyNumberFormat="1" applyFont="1" applyFill="1" applyBorder="1" applyAlignment="1">
      <alignment horizontal="center" vertical="center" wrapText="1"/>
    </xf>
    <xf numFmtId="0" fontId="3" fillId="3" borderId="15" xfId="0" applyFont="1" applyFill="1" applyBorder="1" applyProtection="1">
      <protection locked="0"/>
    </xf>
    <xf numFmtId="164" fontId="3" fillId="3" borderId="15" xfId="0" applyNumberFormat="1" applyFont="1" applyFill="1" applyBorder="1" applyProtection="1">
      <protection locked="0"/>
    </xf>
    <xf numFmtId="0" fontId="22" fillId="18" borderId="1" xfId="3" applyNumberFormat="1" applyFont="1" applyFill="1" applyBorder="1" applyProtection="1">
      <alignment vertical="center"/>
      <protection locked="0"/>
    </xf>
    <xf numFmtId="0" fontId="21" fillId="0" borderId="0" xfId="0" applyFont="1" applyAlignment="1">
      <alignment wrapText="1"/>
    </xf>
    <xf numFmtId="0" fontId="22" fillId="7" borderId="0" xfId="3" applyFont="1" applyFill="1" applyBorder="1" applyAlignment="1">
      <alignment vertical="center" wrapText="1"/>
    </xf>
    <xf numFmtId="0" fontId="22" fillId="7" borderId="10" xfId="3" applyFont="1" applyFill="1" applyBorder="1" applyAlignment="1">
      <alignment vertical="center" wrapText="1"/>
    </xf>
    <xf numFmtId="0" fontId="7" fillId="16" borderId="25" xfId="2" applyNumberFormat="1" applyFont="1" applyFill="1" applyBorder="1" applyAlignment="1">
      <alignment horizontal="center" vertical="center" wrapText="1"/>
    </xf>
    <xf numFmtId="0" fontId="7" fillId="16" borderId="12" xfId="2" applyNumberFormat="1" applyFont="1" applyFill="1" applyBorder="1" applyAlignment="1">
      <alignment horizontal="center" vertical="center" wrapText="1"/>
    </xf>
    <xf numFmtId="0" fontId="7" fillId="16" borderId="42" xfId="2" applyNumberFormat="1" applyFont="1" applyFill="1" applyBorder="1" applyAlignment="1">
      <alignment horizontal="center" vertical="center" wrapText="1"/>
    </xf>
    <xf numFmtId="3" fontId="3" fillId="14" borderId="15" xfId="0" applyNumberFormat="1" applyFont="1" applyFill="1" applyBorder="1"/>
    <xf numFmtId="3" fontId="3" fillId="14" borderId="43" xfId="0" applyNumberFormat="1" applyFont="1" applyFill="1" applyBorder="1"/>
    <xf numFmtId="0" fontId="3" fillId="2" borderId="0" xfId="0" applyFont="1" applyFill="1" applyAlignment="1">
      <alignment horizontal="left" vertical="center" wrapText="1" indent="8"/>
    </xf>
    <xf numFmtId="165" fontId="3" fillId="3" borderId="15" xfId="0" applyNumberFormat="1" applyFont="1" applyFill="1" applyBorder="1" applyProtection="1">
      <protection locked="0"/>
    </xf>
    <xf numFmtId="0" fontId="7" fillId="16" borderId="8" xfId="2" applyNumberFormat="1" applyFont="1" applyFill="1" applyBorder="1" applyAlignment="1">
      <alignment horizontal="center" vertical="center" wrapText="1"/>
    </xf>
    <xf numFmtId="0" fontId="7" fillId="16" borderId="9" xfId="2" applyNumberFormat="1" applyFont="1" applyFill="1" applyBorder="1" applyAlignment="1">
      <alignment horizontal="center" vertical="center" wrapText="1"/>
    </xf>
    <xf numFmtId="0" fontId="7" fillId="16" borderId="44" xfId="2" applyNumberFormat="1" applyFont="1" applyFill="1" applyBorder="1" applyAlignment="1">
      <alignment horizontal="center" vertical="center" wrapText="1"/>
    </xf>
    <xf numFmtId="0" fontId="0" fillId="0" borderId="0" xfId="0" applyAlignment="1">
      <alignment vertical="center"/>
    </xf>
    <xf numFmtId="1" fontId="3" fillId="3" borderId="15" xfId="0" applyNumberFormat="1" applyFont="1" applyFill="1" applyBorder="1" applyProtection="1">
      <protection locked="0"/>
    </xf>
    <xf numFmtId="3" fontId="3" fillId="5" borderId="12" xfId="0" applyNumberFormat="1" applyFont="1" applyFill="1" applyBorder="1"/>
    <xf numFmtId="164" fontId="3" fillId="5" borderId="12" xfId="0" applyNumberFormat="1" applyFont="1" applyFill="1" applyBorder="1"/>
    <xf numFmtId="0" fontId="3" fillId="5" borderId="36" xfId="0" applyFont="1" applyFill="1" applyBorder="1"/>
    <xf numFmtId="166" fontId="3" fillId="5" borderId="36" xfId="0" applyNumberFormat="1" applyFont="1" applyFill="1" applyBorder="1"/>
    <xf numFmtId="164" fontId="3" fillId="5" borderId="36" xfId="0" applyNumberFormat="1" applyFont="1" applyFill="1" applyBorder="1"/>
    <xf numFmtId="3" fontId="3" fillId="20" borderId="15" xfId="0" applyNumberFormat="1" applyFont="1" applyFill="1" applyBorder="1" applyProtection="1">
      <protection locked="0"/>
    </xf>
    <xf numFmtId="0" fontId="3" fillId="2" borderId="0" xfId="0" quotePrefix="1" applyFont="1" applyFill="1" applyAlignment="1">
      <alignment horizontal="left" vertical="center" wrapText="1" indent="8"/>
    </xf>
    <xf numFmtId="0" fontId="4" fillId="2" borderId="0" xfId="0" applyFont="1" applyFill="1" applyAlignment="1">
      <alignment horizontal="left" vertical="center" wrapText="1" indent="1"/>
    </xf>
    <xf numFmtId="3" fontId="2" fillId="2" borderId="0" xfId="1" applyNumberFormat="1" applyFont="1" applyFill="1" applyBorder="1" applyAlignment="1">
      <alignment vertical="center" wrapText="1"/>
    </xf>
    <xf numFmtId="0" fontId="4" fillId="2" borderId="9" xfId="0" applyFont="1" applyFill="1" applyBorder="1" applyAlignment="1">
      <alignment horizontal="left" vertical="center" wrapText="1" indent="3"/>
    </xf>
    <xf numFmtId="0" fontId="27" fillId="2" borderId="0" xfId="0" applyFont="1" applyFill="1" applyAlignment="1">
      <alignment horizontal="left" vertical="center" wrapText="1"/>
    </xf>
    <xf numFmtId="0" fontId="3" fillId="2" borderId="0" xfId="0" applyFont="1" applyFill="1" applyAlignment="1">
      <alignment horizontal="left" vertical="center" wrapText="1" indent="2"/>
    </xf>
    <xf numFmtId="0" fontId="3" fillId="2" borderId="0" xfId="0" applyFont="1" applyFill="1" applyAlignment="1">
      <alignment horizontal="left" vertical="center" wrapText="1" indent="1"/>
    </xf>
    <xf numFmtId="0" fontId="18" fillId="9" borderId="0" xfId="4" applyFill="1" applyBorder="1" applyAlignment="1" applyProtection="1">
      <alignment horizontal="left" vertical="center" wrapText="1" indent="1"/>
    </xf>
    <xf numFmtId="0" fontId="18" fillId="11" borderId="0" xfId="4" applyFill="1" applyBorder="1" applyAlignment="1" applyProtection="1">
      <alignment horizontal="left" vertical="center" wrapText="1" indent="1"/>
    </xf>
    <xf numFmtId="0" fontId="18" fillId="12" borderId="0" xfId="4" applyFill="1" applyBorder="1" applyAlignment="1" applyProtection="1">
      <alignment horizontal="left" vertical="center" wrapText="1" indent="1"/>
    </xf>
    <xf numFmtId="0" fontId="18" fillId="15" borderId="0" xfId="4" applyFill="1" applyBorder="1" applyAlignment="1" applyProtection="1">
      <alignment horizontal="left" vertical="center" wrapText="1" indent="1"/>
    </xf>
    <xf numFmtId="0" fontId="18" fillId="13" borderId="0" xfId="4" applyFill="1" applyBorder="1" applyAlignment="1" applyProtection="1">
      <alignment horizontal="left" vertical="center" wrapText="1" indent="1"/>
    </xf>
    <xf numFmtId="0" fontId="28" fillId="26" borderId="18" xfId="0" applyFont="1" applyFill="1" applyBorder="1" applyAlignment="1">
      <alignment horizontal="center" vertical="center" wrapText="1"/>
    </xf>
    <xf numFmtId="0" fontId="20" fillId="0" borderId="46" xfId="0" applyFont="1" applyBorder="1" applyAlignment="1">
      <alignment wrapText="1"/>
    </xf>
    <xf numFmtId="0" fontId="3" fillId="6" borderId="47" xfId="2" applyNumberFormat="1" applyFont="1" applyFill="1" applyBorder="1" applyAlignment="1">
      <alignment horizontal="center" vertical="center" wrapText="1"/>
    </xf>
    <xf numFmtId="0" fontId="3" fillId="6" borderId="48" xfId="2" applyNumberFormat="1" applyFont="1" applyFill="1" applyBorder="1" applyAlignment="1">
      <alignment horizontal="center" vertical="center" wrapText="1"/>
    </xf>
    <xf numFmtId="0" fontId="4" fillId="6" borderId="49" xfId="2" applyNumberFormat="1" applyFont="1" applyFill="1" applyBorder="1" applyAlignment="1">
      <alignment horizontal="center" vertical="center" wrapText="1"/>
    </xf>
    <xf numFmtId="0" fontId="3" fillId="6" borderId="46" xfId="2" applyNumberFormat="1" applyFont="1" applyFill="1" applyBorder="1" applyAlignment="1">
      <alignment horizontal="center" vertical="center" wrapText="1"/>
    </xf>
    <xf numFmtId="0" fontId="3" fillId="6" borderId="0" xfId="2" applyNumberFormat="1" applyFont="1" applyFill="1" applyBorder="1" applyAlignment="1">
      <alignment horizontal="center" vertical="center" wrapText="1"/>
    </xf>
    <xf numFmtId="0" fontId="3" fillId="6" borderId="0" xfId="2" applyNumberFormat="1" applyFont="1" applyFill="1" applyBorder="1" applyAlignment="1">
      <alignment horizontal="left" vertical="center"/>
    </xf>
    <xf numFmtId="0" fontId="3" fillId="6" borderId="10" xfId="2" applyNumberFormat="1" applyFont="1" applyFill="1" applyBorder="1" applyAlignment="1">
      <alignment horizontal="center" vertical="center" wrapText="1"/>
    </xf>
    <xf numFmtId="0" fontId="29" fillId="6" borderId="6" xfId="2" applyNumberFormat="1" applyFont="1" applyFill="1" applyBorder="1" applyAlignment="1">
      <alignment horizontal="left" vertical="center" wrapText="1"/>
    </xf>
    <xf numFmtId="0" fontId="29" fillId="6" borderId="50" xfId="2" applyNumberFormat="1" applyFont="1" applyFill="1" applyBorder="1" applyAlignment="1">
      <alignment horizontal="left" vertical="center" wrapText="1"/>
    </xf>
    <xf numFmtId="0" fontId="3" fillId="2" borderId="46" xfId="3" applyFont="1" applyFill="1" applyBorder="1">
      <alignment vertical="center"/>
    </xf>
    <xf numFmtId="0" fontId="4" fillId="2" borderId="0" xfId="3" applyFont="1" applyFill="1" applyBorder="1">
      <alignment vertical="center"/>
    </xf>
    <xf numFmtId="0" fontId="3" fillId="2" borderId="0" xfId="3" applyFont="1" applyFill="1" applyBorder="1" applyAlignment="1">
      <alignment vertical="center" wrapText="1"/>
    </xf>
    <xf numFmtId="0" fontId="3" fillId="2" borderId="20" xfId="0" applyFont="1" applyFill="1" applyBorder="1" applyAlignment="1">
      <alignment horizontal="left" wrapText="1"/>
    </xf>
    <xf numFmtId="0" fontId="3" fillId="2" borderId="46" xfId="0" applyFont="1" applyFill="1" applyBorder="1"/>
    <xf numFmtId="0" fontId="32" fillId="2" borderId="0" xfId="0" applyFont="1" applyFill="1"/>
    <xf numFmtId="0" fontId="3" fillId="2" borderId="20" xfId="0" applyFont="1" applyFill="1" applyBorder="1"/>
    <xf numFmtId="0" fontId="3" fillId="2" borderId="52" xfId="0" applyFont="1" applyFill="1" applyBorder="1"/>
    <xf numFmtId="0" fontId="3" fillId="2" borderId="53" xfId="0" applyFont="1" applyFill="1" applyBorder="1"/>
    <xf numFmtId="0" fontId="3" fillId="2" borderId="54" xfId="0" applyFont="1" applyFill="1" applyBorder="1"/>
    <xf numFmtId="0" fontId="20" fillId="0" borderId="55" xfId="0" applyFont="1" applyBorder="1" applyAlignment="1">
      <alignment wrapText="1"/>
    </xf>
    <xf numFmtId="0" fontId="30" fillId="25" borderId="10" xfId="2" applyNumberFormat="1" applyFont="1" applyFill="1" applyBorder="1" applyAlignment="1">
      <alignment horizontal="center" vertical="center" wrapText="1"/>
    </xf>
    <xf numFmtId="0" fontId="20" fillId="0" borderId="55" xfId="0" applyFont="1" applyBorder="1" applyAlignment="1">
      <alignment horizontal="center" vertical="center"/>
    </xf>
    <xf numFmtId="0" fontId="30" fillId="25" borderId="31" xfId="2" applyNumberFormat="1" applyFont="1" applyFill="1" applyBorder="1" applyAlignment="1">
      <alignment horizontal="center" vertical="center" wrapText="1"/>
    </xf>
    <xf numFmtId="0" fontId="30" fillId="25" borderId="9" xfId="2" applyNumberFormat="1" applyFont="1" applyFill="1" applyBorder="1" applyAlignment="1">
      <alignment horizontal="center" vertical="center" wrapText="1"/>
    </xf>
    <xf numFmtId="0" fontId="31" fillId="25" borderId="57" xfId="2" applyNumberFormat="1" applyFont="1" applyFill="1" applyBorder="1" applyAlignment="1">
      <alignment horizontal="center" vertical="center" wrapText="1"/>
    </xf>
    <xf numFmtId="0" fontId="3" fillId="2" borderId="30" xfId="0" applyFont="1" applyFill="1" applyBorder="1" applyAlignment="1">
      <alignment horizontal="left" wrapText="1"/>
    </xf>
    <xf numFmtId="0" fontId="3" fillId="0" borderId="29" xfId="0" applyFont="1" applyBorder="1"/>
    <xf numFmtId="0" fontId="3" fillId="2" borderId="29" xfId="0" applyFont="1" applyFill="1" applyBorder="1"/>
    <xf numFmtId="0" fontId="3" fillId="2" borderId="30" xfId="0" applyFont="1" applyFill="1" applyBorder="1"/>
    <xf numFmtId="0" fontId="3" fillId="2" borderId="33" xfId="0" applyFont="1" applyFill="1" applyBorder="1"/>
    <xf numFmtId="0" fontId="3" fillId="2" borderId="34" xfId="0" applyFont="1" applyFill="1" applyBorder="1"/>
    <xf numFmtId="0" fontId="3" fillId="2" borderId="35" xfId="0" applyFont="1" applyFill="1" applyBorder="1"/>
    <xf numFmtId="0" fontId="3" fillId="2" borderId="30" xfId="3" applyFont="1" applyFill="1" applyBorder="1" applyAlignment="1">
      <alignment horizontal="left" vertical="center" wrapText="1" indent="2"/>
    </xf>
    <xf numFmtId="0" fontId="4" fillId="2" borderId="30" xfId="3" applyFont="1" applyFill="1" applyBorder="1" applyAlignment="1">
      <alignment horizontal="left" vertical="center" wrapText="1" indent="1"/>
    </xf>
    <xf numFmtId="0" fontId="30" fillId="25" borderId="57" xfId="2" applyNumberFormat="1" applyFont="1" applyFill="1" applyBorder="1" applyAlignment="1">
      <alignment horizontal="center" vertical="center" wrapText="1"/>
    </xf>
    <xf numFmtId="0" fontId="0" fillId="2" borderId="58" xfId="0" applyFill="1" applyBorder="1"/>
    <xf numFmtId="0" fontId="31" fillId="25" borderId="59" xfId="2" applyNumberFormat="1" applyFont="1" applyFill="1" applyBorder="1" applyAlignment="1">
      <alignment horizontal="center" vertical="center" wrapText="1"/>
    </xf>
    <xf numFmtId="0" fontId="3" fillId="2" borderId="60" xfId="0" applyFont="1" applyFill="1" applyBorder="1" applyAlignment="1">
      <alignment horizontal="left" wrapText="1"/>
    </xf>
    <xf numFmtId="0" fontId="3" fillId="2" borderId="61" xfId="0" applyFont="1" applyFill="1" applyBorder="1"/>
    <xf numFmtId="0" fontId="3" fillId="2" borderId="62" xfId="0" applyFont="1" applyFill="1" applyBorder="1"/>
    <xf numFmtId="0" fontId="3" fillId="2" borderId="57" xfId="0" applyFont="1" applyFill="1" applyBorder="1" applyAlignment="1">
      <alignment horizontal="left" wrapText="1"/>
    </xf>
    <xf numFmtId="0" fontId="31" fillId="25" borderId="1" xfId="2" applyNumberFormat="1" applyFont="1" applyFill="1" applyBorder="1" applyAlignment="1">
      <alignment horizontal="center" vertical="center" wrapText="1"/>
    </xf>
    <xf numFmtId="0" fontId="3" fillId="2" borderId="2" xfId="0" applyFont="1" applyFill="1" applyBorder="1" applyAlignment="1">
      <alignment horizontal="left" wrapText="1"/>
    </xf>
    <xf numFmtId="0" fontId="3" fillId="2" borderId="45" xfId="0" applyFont="1" applyFill="1" applyBorder="1"/>
    <xf numFmtId="0" fontId="3" fillId="2" borderId="63" xfId="0" applyFont="1" applyFill="1" applyBorder="1"/>
    <xf numFmtId="0" fontId="3" fillId="23" borderId="0" xfId="0" applyFont="1" applyFill="1"/>
    <xf numFmtId="0" fontId="31" fillId="25" borderId="26" xfId="2" applyNumberFormat="1" applyFont="1" applyFill="1" applyBorder="1" applyAlignment="1">
      <alignment horizontal="center" vertical="center" wrapText="1"/>
    </xf>
    <xf numFmtId="0" fontId="30" fillId="25" borderId="23" xfId="2" applyNumberFormat="1" applyFont="1" applyFill="1" applyBorder="1" applyAlignment="1">
      <alignment horizontal="center" vertical="center" wrapText="1"/>
    </xf>
    <xf numFmtId="0" fontId="30" fillId="25" borderId="24" xfId="2" applyNumberFormat="1" applyFont="1" applyFill="1" applyBorder="1" applyAlignment="1">
      <alignment horizontal="center" vertical="center" wrapText="1"/>
    </xf>
    <xf numFmtId="3" fontId="4" fillId="3" borderId="59" xfId="0" applyNumberFormat="1" applyFont="1" applyFill="1" applyBorder="1" applyProtection="1">
      <protection locked="0"/>
    </xf>
    <xf numFmtId="3" fontId="4" fillId="3" borderId="1" xfId="0" applyNumberFormat="1" applyFont="1" applyFill="1" applyBorder="1" applyProtection="1">
      <protection locked="0"/>
    </xf>
    <xf numFmtId="49" fontId="4" fillId="3" borderId="59" xfId="0" applyNumberFormat="1" applyFont="1" applyFill="1" applyBorder="1" applyProtection="1">
      <protection locked="0"/>
    </xf>
    <xf numFmtId="49" fontId="4" fillId="3" borderId="1" xfId="0" applyNumberFormat="1" applyFont="1" applyFill="1" applyBorder="1" applyProtection="1">
      <protection locked="0"/>
    </xf>
    <xf numFmtId="49" fontId="4" fillId="3" borderId="12" xfId="0" applyNumberFormat="1" applyFont="1" applyFill="1" applyBorder="1" applyProtection="1">
      <protection locked="0"/>
    </xf>
    <xf numFmtId="49" fontId="4" fillId="3" borderId="28" xfId="0" applyNumberFormat="1" applyFont="1" applyFill="1" applyBorder="1" applyProtection="1">
      <protection locked="0"/>
    </xf>
    <xf numFmtId="0" fontId="3" fillId="22" borderId="29" xfId="2" applyNumberFormat="1" applyFont="1" applyFill="1" applyBorder="1" applyAlignment="1">
      <alignment horizontal="center" vertical="center" wrapText="1"/>
    </xf>
    <xf numFmtId="0" fontId="3" fillId="22" borderId="0" xfId="2" applyNumberFormat="1" applyFont="1" applyFill="1" applyBorder="1" applyAlignment="1">
      <alignment horizontal="center" vertical="center" wrapText="1"/>
    </xf>
    <xf numFmtId="0" fontId="3" fillId="22" borderId="0" xfId="2" applyNumberFormat="1" applyFont="1" applyFill="1" applyBorder="1" applyAlignment="1">
      <alignment horizontal="center" vertical="center"/>
    </xf>
    <xf numFmtId="0" fontId="3" fillId="22" borderId="44" xfId="2" applyNumberFormat="1" applyFont="1" applyFill="1" applyBorder="1" applyAlignment="1">
      <alignment horizontal="center" vertical="center" wrapText="1"/>
    </xf>
    <xf numFmtId="0" fontId="3" fillId="22" borderId="5" xfId="2" applyNumberFormat="1" applyFont="1" applyFill="1" applyBorder="1" applyAlignment="1">
      <alignment horizontal="left" vertical="center" wrapText="1"/>
    </xf>
    <xf numFmtId="0" fontId="3" fillId="22" borderId="0" xfId="2" applyNumberFormat="1" applyFont="1" applyFill="1" applyBorder="1" applyAlignment="1">
      <alignment horizontal="left" vertical="center" wrapText="1"/>
    </xf>
    <xf numFmtId="0" fontId="3" fillId="22" borderId="56" xfId="2" applyNumberFormat="1" applyFont="1" applyFill="1" applyBorder="1" applyAlignment="1">
      <alignment horizontal="left" vertical="center" wrapText="1"/>
    </xf>
    <xf numFmtId="0" fontId="3" fillId="22" borderId="2" xfId="2" applyNumberFormat="1" applyFont="1" applyFill="1" applyBorder="1" applyAlignment="1">
      <alignment horizontal="left" vertical="center" wrapText="1"/>
    </xf>
    <xf numFmtId="0" fontId="3" fillId="2" borderId="64" xfId="0" applyFont="1" applyFill="1" applyBorder="1"/>
    <xf numFmtId="0" fontId="20" fillId="0" borderId="29" xfId="0" applyFont="1" applyBorder="1" applyAlignment="1">
      <alignment horizontal="center" vertical="center"/>
    </xf>
    <xf numFmtId="0" fontId="30" fillId="25" borderId="51" xfId="2" applyNumberFormat="1" applyFont="1" applyFill="1" applyBorder="1" applyAlignment="1">
      <alignment horizontal="center" vertical="center" wrapText="1"/>
    </xf>
    <xf numFmtId="0" fontId="3" fillId="2" borderId="43" xfId="0" applyFont="1" applyFill="1" applyBorder="1" applyAlignment="1">
      <alignment horizontal="left" wrapText="1"/>
    </xf>
    <xf numFmtId="0" fontId="31" fillId="25" borderId="43" xfId="2" applyNumberFormat="1" applyFont="1" applyFill="1" applyBorder="1" applyAlignment="1">
      <alignment horizontal="center" vertical="center" wrapText="1"/>
    </xf>
    <xf numFmtId="0" fontId="3" fillId="2" borderId="65" xfId="0" applyFont="1" applyFill="1" applyBorder="1"/>
    <xf numFmtId="49" fontId="4" fillId="3" borderId="66" xfId="0" applyNumberFormat="1" applyFont="1" applyFill="1" applyBorder="1" applyProtection="1">
      <protection locked="0"/>
    </xf>
    <xf numFmtId="0" fontId="3" fillId="2" borderId="67" xfId="0" applyFont="1" applyFill="1" applyBorder="1"/>
    <xf numFmtId="0" fontId="3" fillId="2" borderId="68" xfId="0" applyFont="1" applyFill="1" applyBorder="1"/>
    <xf numFmtId="0" fontId="3" fillId="2" borderId="69" xfId="0" applyFont="1" applyFill="1" applyBorder="1"/>
    <xf numFmtId="0" fontId="4" fillId="2" borderId="30" xfId="3" applyFont="1" applyFill="1" applyBorder="1" applyAlignment="1">
      <alignment horizontal="left" vertical="center" wrapText="1" indent="2"/>
    </xf>
    <xf numFmtId="0" fontId="3" fillId="2" borderId="30" xfId="3" applyFont="1" applyFill="1" applyBorder="1" applyAlignment="1">
      <alignment horizontal="left" vertical="center" wrapText="1" indent="3"/>
    </xf>
    <xf numFmtId="0" fontId="4" fillId="2" borderId="30" xfId="3" applyFont="1" applyFill="1" applyBorder="1" applyAlignment="1">
      <alignment horizontal="left" vertical="center" wrapText="1" indent="3"/>
    </xf>
    <xf numFmtId="0" fontId="3" fillId="2" borderId="30" xfId="3" applyFont="1" applyFill="1" applyBorder="1" applyAlignment="1">
      <alignment horizontal="left" vertical="center" wrapText="1" indent="4"/>
    </xf>
    <xf numFmtId="0" fontId="4" fillId="2" borderId="30" xfId="3" applyFont="1" applyFill="1" applyBorder="1" applyAlignment="1">
      <alignment horizontal="left" vertical="center" wrapText="1" indent="4"/>
    </xf>
    <xf numFmtId="3" fontId="18" fillId="10" borderId="0" xfId="4" applyNumberFormat="1" applyFill="1" applyBorder="1" applyAlignment="1" applyProtection="1">
      <alignment vertical="center" wrapText="1"/>
    </xf>
    <xf numFmtId="0" fontId="18" fillId="21" borderId="0" xfId="4" applyFill="1" applyBorder="1" applyAlignment="1" applyProtection="1">
      <alignment horizontal="left" vertical="center" indent="3"/>
    </xf>
    <xf numFmtId="3" fontId="4" fillId="19" borderId="12" xfId="0" applyNumberFormat="1" applyFont="1" applyFill="1" applyBorder="1" applyProtection="1">
      <protection locked="0"/>
    </xf>
    <xf numFmtId="0" fontId="3" fillId="2" borderId="7" xfId="0" applyFont="1" applyFill="1" applyBorder="1"/>
    <xf numFmtId="3" fontId="4" fillId="19" borderId="28" xfId="0" applyNumberFormat="1" applyFont="1" applyFill="1" applyBorder="1" applyProtection="1">
      <protection locked="0"/>
    </xf>
    <xf numFmtId="0" fontId="3" fillId="2" borderId="5" xfId="0" applyFont="1" applyFill="1" applyBorder="1" applyAlignment="1">
      <alignment horizontal="left" wrapText="1"/>
    </xf>
    <xf numFmtId="0" fontId="31" fillId="25" borderId="12" xfId="2" applyNumberFormat="1" applyFont="1" applyFill="1" applyBorder="1" applyAlignment="1">
      <alignment horizontal="center" vertical="center" wrapText="1"/>
    </xf>
    <xf numFmtId="3" fontId="4" fillId="19" borderId="57" xfId="0" applyNumberFormat="1" applyFont="1" applyFill="1" applyBorder="1" applyProtection="1">
      <protection locked="0"/>
    </xf>
    <xf numFmtId="0" fontId="3" fillId="2" borderId="28" xfId="0" applyFont="1" applyFill="1" applyBorder="1"/>
    <xf numFmtId="3" fontId="4" fillId="19" borderId="43" xfId="0" applyNumberFormat="1" applyFont="1" applyFill="1" applyBorder="1" applyProtection="1">
      <protection locked="0"/>
    </xf>
    <xf numFmtId="3" fontId="4" fillId="19" borderId="1" xfId="0" applyNumberFormat="1" applyFont="1" applyFill="1" applyBorder="1" applyProtection="1">
      <protection locked="0"/>
    </xf>
    <xf numFmtId="3" fontId="4" fillId="19" borderId="66" xfId="0" applyNumberFormat="1" applyFont="1" applyFill="1" applyBorder="1" applyProtection="1">
      <protection locked="0"/>
    </xf>
    <xf numFmtId="49" fontId="22" fillId="20" borderId="59" xfId="3" applyNumberFormat="1" applyFont="1" applyFill="1" applyBorder="1" applyProtection="1">
      <alignment vertical="center"/>
      <protection locked="0"/>
    </xf>
    <xf numFmtId="49" fontId="22" fillId="20" borderId="1" xfId="3" applyNumberFormat="1" applyFont="1" applyFill="1" applyBorder="1" applyProtection="1">
      <alignment vertical="center"/>
      <protection locked="0"/>
    </xf>
    <xf numFmtId="49" fontId="22" fillId="20" borderId="12" xfId="3" applyNumberFormat="1" applyFont="1" applyFill="1" applyBorder="1" applyProtection="1">
      <alignment vertical="center"/>
      <protection locked="0"/>
    </xf>
    <xf numFmtId="49" fontId="22" fillId="20" borderId="28" xfId="3" applyNumberFormat="1" applyFont="1" applyFill="1" applyBorder="1" applyProtection="1">
      <alignment vertical="center"/>
      <protection locked="0"/>
    </xf>
    <xf numFmtId="49" fontId="3" fillId="3" borderId="1" xfId="0" applyNumberFormat="1" applyFont="1" applyFill="1" applyBorder="1" applyAlignment="1">
      <alignment horizontal="left" vertical="center" indent="3"/>
    </xf>
    <xf numFmtId="49" fontId="2" fillId="2" borderId="0" xfId="1" applyNumberFormat="1" applyFont="1" applyFill="1" applyBorder="1">
      <alignment vertical="center"/>
    </xf>
    <xf numFmtId="49" fontId="3" fillId="3" borderId="1" xfId="0" applyNumberFormat="1" applyFont="1" applyFill="1" applyBorder="1" applyAlignment="1">
      <alignment horizontal="left" vertical="center" indent="4"/>
    </xf>
    <xf numFmtId="49" fontId="3" fillId="2" borderId="0" xfId="0" applyNumberFormat="1" applyFont="1" applyFill="1" applyAlignment="1">
      <alignment horizontal="left" vertical="center" indent="3"/>
    </xf>
    <xf numFmtId="49" fontId="18" fillId="24" borderId="0" xfId="4" applyNumberFormat="1" applyFill="1" applyBorder="1" applyAlignment="1" applyProtection="1">
      <alignment horizontal="left" vertical="center" indent="3"/>
    </xf>
    <xf numFmtId="0" fontId="17" fillId="24" borderId="18" xfId="0" applyFont="1" applyFill="1" applyBorder="1" applyAlignment="1">
      <alignment horizontal="right" vertical="center" wrapText="1"/>
    </xf>
    <xf numFmtId="0" fontId="0" fillId="24" borderId="18" xfId="0" applyFill="1" applyBorder="1" applyAlignment="1">
      <alignment vertical="center"/>
    </xf>
    <xf numFmtId="0" fontId="0" fillId="0" borderId="47" xfId="0" applyBorder="1"/>
    <xf numFmtId="0" fontId="0" fillId="0" borderId="48" xfId="0" applyBorder="1"/>
    <xf numFmtId="0" fontId="0" fillId="0" borderId="73" xfId="0" applyBorder="1"/>
    <xf numFmtId="0" fontId="0" fillId="0" borderId="46" xfId="0" applyBorder="1"/>
    <xf numFmtId="0" fontId="3" fillId="2" borderId="41" xfId="3" applyFont="1" applyFill="1" applyBorder="1" applyAlignment="1">
      <alignment horizontal="left" vertical="center" wrapText="1" indent="2"/>
    </xf>
    <xf numFmtId="0" fontId="0" fillId="0" borderId="20" xfId="0" applyBorder="1"/>
    <xf numFmtId="0" fontId="3" fillId="2" borderId="1" xfId="3" applyFont="1" applyFill="1" applyBorder="1" applyAlignment="1">
      <alignment horizontal="left" vertical="center" wrapText="1" indent="2"/>
    </xf>
    <xf numFmtId="0" fontId="3" fillId="2" borderId="74" xfId="3" applyFont="1" applyFill="1" applyBorder="1" applyAlignment="1">
      <alignment horizontal="left" vertical="center" wrapText="1" indent="2"/>
    </xf>
    <xf numFmtId="0" fontId="3" fillId="6" borderId="75" xfId="2" applyNumberFormat="1" applyFont="1" applyFill="1" applyBorder="1" applyAlignment="1">
      <alignment horizontal="center" vertical="center" wrapText="1"/>
    </xf>
    <xf numFmtId="0" fontId="3" fillId="6" borderId="76" xfId="2" applyNumberFormat="1" applyFont="1" applyFill="1" applyBorder="1" applyAlignment="1">
      <alignment horizontal="center" vertical="center" wrapText="1"/>
    </xf>
    <xf numFmtId="0" fontId="4" fillId="6" borderId="77" xfId="2" applyNumberFormat="1" applyFont="1" applyFill="1" applyBorder="1" applyAlignment="1">
      <alignment horizontal="center" vertical="center" wrapText="1"/>
    </xf>
    <xf numFmtId="0" fontId="22" fillId="20" borderId="1" xfId="3" applyNumberFormat="1" applyFont="1" applyFill="1" applyBorder="1" applyProtection="1">
      <alignment vertical="center"/>
      <protection locked="0"/>
    </xf>
    <xf numFmtId="0" fontId="22" fillId="20" borderId="12" xfId="3" applyNumberFormat="1" applyFont="1" applyFill="1" applyBorder="1" applyProtection="1">
      <alignment vertical="center"/>
      <protection locked="0"/>
    </xf>
    <xf numFmtId="0" fontId="22" fillId="20" borderId="59" xfId="3" applyNumberFormat="1" applyFont="1" applyFill="1" applyBorder="1" applyProtection="1">
      <alignment vertical="center"/>
      <protection locked="0"/>
    </xf>
    <xf numFmtId="0" fontId="22" fillId="20" borderId="66" xfId="3" applyNumberFormat="1" applyFont="1" applyFill="1" applyBorder="1" applyProtection="1">
      <alignment vertical="center"/>
      <protection locked="0"/>
    </xf>
    <xf numFmtId="3" fontId="3" fillId="3" borderId="59" xfId="0" applyNumberFormat="1" applyFont="1" applyFill="1" applyBorder="1" applyProtection="1">
      <protection locked="0"/>
    </xf>
    <xf numFmtId="3" fontId="3" fillId="3" borderId="1" xfId="0" applyNumberFormat="1" applyFont="1" applyFill="1" applyBorder="1" applyProtection="1">
      <protection locked="0"/>
    </xf>
    <xf numFmtId="49" fontId="3" fillId="3" borderId="59" xfId="0" applyNumberFormat="1" applyFont="1" applyFill="1" applyBorder="1" applyProtection="1">
      <protection locked="0"/>
    </xf>
    <xf numFmtId="49" fontId="3" fillId="3" borderId="1" xfId="0" applyNumberFormat="1" applyFont="1" applyFill="1" applyBorder="1" applyProtection="1">
      <protection locked="0"/>
    </xf>
    <xf numFmtId="49" fontId="3" fillId="3" borderId="12" xfId="0" applyNumberFormat="1" applyFont="1" applyFill="1" applyBorder="1" applyProtection="1">
      <protection locked="0"/>
    </xf>
    <xf numFmtId="49" fontId="3" fillId="3" borderId="28" xfId="0" applyNumberFormat="1" applyFont="1" applyFill="1" applyBorder="1" applyProtection="1">
      <protection locked="0"/>
    </xf>
    <xf numFmtId="0" fontId="17" fillId="0" borderId="0" xfId="0" applyFont="1" applyAlignment="1">
      <alignment horizontal="right" vertical="center" wrapText="1"/>
    </xf>
    <xf numFmtId="3" fontId="4" fillId="14" borderId="1" xfId="0" applyNumberFormat="1" applyFont="1" applyFill="1" applyBorder="1"/>
    <xf numFmtId="1" fontId="4" fillId="14" borderId="36" xfId="0" applyNumberFormat="1" applyFont="1" applyFill="1" applyBorder="1"/>
    <xf numFmtId="3" fontId="4" fillId="14" borderId="36" xfId="0" applyNumberFormat="1" applyFont="1" applyFill="1" applyBorder="1"/>
    <xf numFmtId="1" fontId="4" fillId="19" borderId="15" xfId="0" applyNumberFormat="1" applyFont="1" applyFill="1" applyBorder="1" applyProtection="1">
      <protection locked="0"/>
    </xf>
    <xf numFmtId="3" fontId="4" fillId="19" borderId="15" xfId="0" applyNumberFormat="1" applyFont="1" applyFill="1" applyBorder="1" applyProtection="1">
      <protection locked="0"/>
    </xf>
    <xf numFmtId="3" fontId="23" fillId="14" borderId="1" xfId="3" applyNumberFormat="1" applyFont="1" applyFill="1" applyBorder="1" applyProtection="1">
      <alignment vertical="center"/>
      <protection locked="0"/>
    </xf>
    <xf numFmtId="3" fontId="23" fillId="19" borderId="1" xfId="3" applyNumberFormat="1" applyFont="1" applyFill="1" applyBorder="1" applyProtection="1">
      <alignment vertical="center"/>
      <protection locked="0"/>
    </xf>
    <xf numFmtId="0" fontId="3" fillId="21" borderId="6" xfId="0" applyFont="1" applyFill="1" applyBorder="1" applyAlignment="1">
      <alignment horizontal="left" vertical="center"/>
    </xf>
    <xf numFmtId="0" fontId="3" fillId="21" borderId="0" xfId="0" applyFont="1" applyFill="1" applyAlignment="1">
      <alignment horizontal="left" vertical="center"/>
    </xf>
    <xf numFmtId="0" fontId="3" fillId="21" borderId="0" xfId="2" applyNumberFormat="1" applyFont="1" applyFill="1" applyBorder="1" applyAlignment="1">
      <alignment horizontal="left" vertical="center"/>
    </xf>
    <xf numFmtId="0" fontId="3" fillId="21" borderId="20" xfId="0" applyFont="1" applyFill="1" applyBorder="1" applyAlignment="1">
      <alignment horizontal="left" vertical="center"/>
    </xf>
    <xf numFmtId="0" fontId="4" fillId="2" borderId="67" xfId="0" applyFont="1" applyFill="1" applyBorder="1" applyAlignment="1">
      <alignment horizontal="center"/>
    </xf>
    <xf numFmtId="0" fontId="33" fillId="2" borderId="44" xfId="0" applyFont="1" applyFill="1" applyBorder="1"/>
    <xf numFmtId="167" fontId="4" fillId="3" borderId="59" xfId="0" applyNumberFormat="1" applyFont="1" applyFill="1" applyBorder="1" applyProtection="1">
      <protection locked="0"/>
    </xf>
    <xf numFmtId="167" fontId="4" fillId="3" borderId="1" xfId="0" applyNumberFormat="1" applyFont="1" applyFill="1" applyBorder="1" applyProtection="1">
      <protection locked="0"/>
    </xf>
    <xf numFmtId="167" fontId="4" fillId="19" borderId="12" xfId="0" applyNumberFormat="1" applyFont="1" applyFill="1" applyBorder="1" applyProtection="1">
      <protection locked="0"/>
    </xf>
    <xf numFmtId="167" fontId="4" fillId="19" borderId="1" xfId="0" applyNumberFormat="1" applyFont="1" applyFill="1" applyBorder="1" applyProtection="1">
      <protection locked="0"/>
    </xf>
    <xf numFmtId="167" fontId="4" fillId="19" borderId="66" xfId="0" applyNumberFormat="1" applyFont="1" applyFill="1" applyBorder="1" applyProtection="1">
      <protection locked="0"/>
    </xf>
    <xf numFmtId="0" fontId="0" fillId="28" borderId="11" xfId="0" applyFill="1" applyBorder="1"/>
    <xf numFmtId="0" fontId="25" fillId="28" borderId="12" xfId="0" applyFont="1" applyFill="1" applyBorder="1"/>
    <xf numFmtId="3" fontId="26" fillId="2" borderId="0" xfId="1" applyNumberFormat="1" applyFont="1" applyFill="1" applyBorder="1">
      <alignment vertical="center"/>
    </xf>
    <xf numFmtId="49" fontId="26" fillId="2" borderId="0" xfId="1" applyNumberFormat="1" applyFont="1" applyFill="1" applyBorder="1" applyAlignment="1">
      <alignment vertical="center" wrapText="1"/>
    </xf>
    <xf numFmtId="3" fontId="26" fillId="2" borderId="0" xfId="1" applyNumberFormat="1" applyFont="1" applyFill="1" applyBorder="1" applyAlignment="1">
      <alignment vertical="center" wrapText="1"/>
    </xf>
    <xf numFmtId="49" fontId="3" fillId="29" borderId="1" xfId="0" applyNumberFormat="1" applyFont="1" applyFill="1" applyBorder="1" applyAlignment="1">
      <alignment horizontal="left" vertical="center" indent="3"/>
    </xf>
    <xf numFmtId="0" fontId="18" fillId="24" borderId="0" xfId="4" applyFill="1" applyBorder="1" applyAlignment="1" applyProtection="1">
      <alignment horizontal="left" vertical="center" wrapText="1" indent="1"/>
    </xf>
    <xf numFmtId="0" fontId="3" fillId="7" borderId="38" xfId="3" applyFont="1" applyFill="1" applyBorder="1">
      <alignment vertical="center"/>
    </xf>
    <xf numFmtId="49" fontId="3" fillId="3" borderId="15" xfId="0" applyNumberFormat="1" applyFont="1" applyFill="1" applyBorder="1" applyProtection="1">
      <protection locked="0"/>
    </xf>
    <xf numFmtId="49" fontId="3" fillId="5" borderId="36" xfId="0" applyNumberFormat="1" applyFont="1" applyFill="1" applyBorder="1"/>
    <xf numFmtId="49" fontId="3" fillId="20" borderId="15" xfId="0" applyNumberFormat="1" applyFont="1" applyFill="1" applyBorder="1" applyProtection="1">
      <protection locked="0"/>
    </xf>
    <xf numFmtId="0" fontId="3" fillId="29" borderId="20" xfId="0" applyFont="1" applyFill="1" applyBorder="1" applyAlignment="1">
      <alignment horizontal="left" vertical="center"/>
    </xf>
    <xf numFmtId="49" fontId="3" fillId="29" borderId="15" xfId="0" applyNumberFormat="1" applyFont="1" applyFill="1" applyBorder="1" applyProtection="1">
      <protection locked="0"/>
    </xf>
    <xf numFmtId="0" fontId="34" fillId="0" borderId="0" xfId="0" applyFont="1"/>
    <xf numFmtId="3" fontId="0" fillId="0" borderId="0" xfId="0" applyNumberFormat="1"/>
    <xf numFmtId="0" fontId="7" fillId="16" borderId="25" xfId="2" applyNumberFormat="1" applyFont="1" applyFill="1" applyBorder="1" applyAlignment="1">
      <alignment horizontal="center" vertical="center" wrapText="1"/>
    </xf>
    <xf numFmtId="0" fontId="7" fillId="16" borderId="24" xfId="2" applyNumberFormat="1" applyFont="1" applyFill="1" applyBorder="1" applyAlignment="1">
      <alignment horizontal="center" vertical="center" wrapText="1"/>
    </xf>
    <xf numFmtId="0" fontId="7" fillId="16" borderId="26" xfId="2" applyNumberFormat="1" applyFont="1" applyFill="1" applyBorder="1" applyAlignment="1">
      <alignment horizontal="center" vertical="center" wrapText="1"/>
    </xf>
    <xf numFmtId="0" fontId="7" fillId="16" borderId="11" xfId="2" applyNumberFormat="1" applyFont="1" applyFill="1" applyBorder="1" applyAlignment="1">
      <alignment horizontal="center" vertical="center" wrapText="1"/>
    </xf>
    <xf numFmtId="0" fontId="7" fillId="16" borderId="13" xfId="2" applyNumberFormat="1" applyFont="1" applyFill="1" applyBorder="1" applyAlignment="1">
      <alignment horizontal="center" vertical="center" wrapText="1"/>
    </xf>
    <xf numFmtId="0" fontId="7" fillId="16" borderId="12" xfId="2" applyNumberFormat="1" applyFont="1" applyFill="1" applyBorder="1" applyAlignment="1">
      <alignment horizontal="center" vertical="center" wrapText="1"/>
    </xf>
    <xf numFmtId="0" fontId="7" fillId="16" borderId="8" xfId="2" applyNumberFormat="1" applyFont="1" applyFill="1" applyBorder="1" applyAlignment="1">
      <alignment horizontal="center" vertical="center" wrapText="1"/>
    </xf>
    <xf numFmtId="0" fontId="7" fillId="16" borderId="9" xfId="2" applyNumberFormat="1" applyFont="1" applyFill="1" applyBorder="1" applyAlignment="1">
      <alignment horizontal="center" vertical="center" wrapText="1"/>
    </xf>
    <xf numFmtId="0" fontId="7" fillId="16" borderId="10" xfId="2" applyNumberFormat="1" applyFont="1" applyFill="1" applyBorder="1" applyAlignment="1">
      <alignment horizontal="center" vertical="center" wrapText="1"/>
    </xf>
    <xf numFmtId="0" fontId="31" fillId="25" borderId="27" xfId="2" applyNumberFormat="1" applyFont="1" applyFill="1" applyBorder="1" applyAlignment="1">
      <alignment horizontal="center" vertical="center" wrapText="1"/>
    </xf>
    <xf numFmtId="0" fontId="31" fillId="25" borderId="13" xfId="2" applyNumberFormat="1" applyFont="1" applyFill="1" applyBorder="1" applyAlignment="1">
      <alignment horizontal="center" vertical="center" wrapText="1"/>
    </xf>
    <xf numFmtId="0" fontId="31" fillId="25" borderId="57" xfId="2" applyNumberFormat="1" applyFont="1" applyFill="1" applyBorder="1" applyAlignment="1">
      <alignment horizontal="center" vertical="center" wrapText="1"/>
    </xf>
    <xf numFmtId="0" fontId="31" fillId="25" borderId="43" xfId="2" applyNumberFormat="1" applyFont="1" applyFill="1" applyBorder="1" applyAlignment="1">
      <alignment horizontal="center" vertical="center" wrapText="1"/>
    </xf>
    <xf numFmtId="0" fontId="0" fillId="27" borderId="70" xfId="0" applyFill="1" applyBorder="1" applyAlignment="1">
      <alignment horizontal="center"/>
    </xf>
    <xf numFmtId="0" fontId="0" fillId="27" borderId="71" xfId="0" applyFill="1" applyBorder="1" applyAlignment="1">
      <alignment horizontal="center"/>
    </xf>
    <xf numFmtId="0" fontId="0" fillId="27" borderId="72" xfId="0" applyFill="1" applyBorder="1" applyAlignment="1">
      <alignment horizontal="center"/>
    </xf>
    <xf numFmtId="0" fontId="22" fillId="20" borderId="25" xfId="3" applyNumberFormat="1" applyFont="1" applyFill="1" applyBorder="1" applyAlignment="1" applyProtection="1">
      <alignment horizontal="center" vertical="center"/>
      <protection locked="0"/>
    </xf>
    <xf numFmtId="0" fontId="22" fillId="20" borderId="24" xfId="3" applyNumberFormat="1" applyFont="1" applyFill="1" applyBorder="1" applyAlignment="1" applyProtection="1">
      <alignment horizontal="center" vertical="center"/>
      <protection locked="0"/>
    </xf>
    <xf numFmtId="0" fontId="22" fillId="20" borderId="81" xfId="3" applyNumberFormat="1" applyFont="1" applyFill="1" applyBorder="1" applyAlignment="1" applyProtection="1">
      <alignment horizontal="center" vertical="center"/>
      <protection locked="0"/>
    </xf>
    <xf numFmtId="0" fontId="22" fillId="20" borderId="11" xfId="3" applyNumberFormat="1" applyFont="1" applyFill="1" applyBorder="1" applyAlignment="1" applyProtection="1">
      <alignment horizontal="center" vertical="center"/>
      <protection locked="0"/>
    </xf>
    <xf numFmtId="0" fontId="22" fillId="20" borderId="13" xfId="3" applyNumberFormat="1" applyFont="1" applyFill="1" applyBorder="1" applyAlignment="1" applyProtection="1">
      <alignment horizontal="center" vertical="center"/>
      <protection locked="0"/>
    </xf>
    <xf numFmtId="0" fontId="22" fillId="20" borderId="12" xfId="3" applyNumberFormat="1" applyFont="1" applyFill="1" applyBorder="1" applyAlignment="1" applyProtection="1">
      <alignment horizontal="center" vertical="center"/>
      <protection locked="0"/>
    </xf>
    <xf numFmtId="0" fontId="29" fillId="6" borderId="78" xfId="2" applyNumberFormat="1" applyFont="1" applyFill="1" applyBorder="1" applyAlignment="1">
      <alignment horizontal="left" vertical="center"/>
    </xf>
    <xf numFmtId="0" fontId="29" fillId="6" borderId="53" xfId="2" applyNumberFormat="1" applyFont="1" applyFill="1" applyBorder="1" applyAlignment="1">
      <alignment horizontal="left" vertical="center"/>
    </xf>
    <xf numFmtId="0" fontId="29" fillId="6" borderId="54" xfId="2" applyNumberFormat="1" applyFont="1" applyFill="1" applyBorder="1" applyAlignment="1">
      <alignment horizontal="left" vertical="center"/>
    </xf>
    <xf numFmtId="0" fontId="31" fillId="25" borderId="23" xfId="2" applyNumberFormat="1" applyFont="1" applyFill="1" applyBorder="1" applyAlignment="1">
      <alignment horizontal="center" vertical="center"/>
    </xf>
    <xf numFmtId="0" fontId="31" fillId="25" borderId="24" xfId="2" applyNumberFormat="1" applyFont="1" applyFill="1" applyBorder="1" applyAlignment="1">
      <alignment horizontal="center" vertical="center"/>
    </xf>
    <xf numFmtId="0" fontId="31" fillId="25" borderId="26" xfId="2" applyNumberFormat="1" applyFont="1" applyFill="1" applyBorder="1" applyAlignment="1">
      <alignment horizontal="center" vertical="center"/>
    </xf>
    <xf numFmtId="0" fontId="22" fillId="20" borderId="82" xfId="3" applyNumberFormat="1" applyFont="1" applyFill="1" applyBorder="1" applyAlignment="1" applyProtection="1">
      <alignment horizontal="center" vertical="center"/>
      <protection locked="0"/>
    </xf>
    <xf numFmtId="0" fontId="22" fillId="20" borderId="83" xfId="3" applyNumberFormat="1" applyFont="1" applyFill="1" applyBorder="1" applyAlignment="1" applyProtection="1">
      <alignment horizontal="center" vertical="center"/>
      <protection locked="0"/>
    </xf>
    <xf numFmtId="0" fontId="22" fillId="20" borderId="84" xfId="3" applyNumberFormat="1" applyFont="1" applyFill="1" applyBorder="1" applyAlignment="1" applyProtection="1">
      <alignment horizontal="center" vertical="center"/>
      <protection locked="0"/>
    </xf>
    <xf numFmtId="0" fontId="29" fillId="6" borderId="85" xfId="2" applyNumberFormat="1" applyFont="1" applyFill="1" applyBorder="1" applyAlignment="1">
      <alignment horizontal="left" vertical="center"/>
    </xf>
    <xf numFmtId="0" fontId="29" fillId="6" borderId="76" xfId="2" applyNumberFormat="1" applyFont="1" applyFill="1" applyBorder="1" applyAlignment="1">
      <alignment horizontal="left" vertical="center"/>
    </xf>
    <xf numFmtId="0" fontId="29" fillId="6" borderId="79" xfId="2" applyNumberFormat="1" applyFont="1" applyFill="1" applyBorder="1" applyAlignment="1">
      <alignment horizontal="left" vertical="center"/>
    </xf>
    <xf numFmtId="0" fontId="0" fillId="27" borderId="86" xfId="0" applyFill="1" applyBorder="1" applyAlignment="1">
      <alignment horizontal="center"/>
    </xf>
    <xf numFmtId="0" fontId="0" fillId="27" borderId="48" xfId="0" applyFill="1" applyBorder="1" applyAlignment="1">
      <alignment horizontal="center"/>
    </xf>
    <xf numFmtId="0" fontId="0" fillId="27" borderId="80" xfId="0" applyFill="1" applyBorder="1" applyAlignment="1">
      <alignment horizontal="center"/>
    </xf>
    <xf numFmtId="0" fontId="29" fillId="6" borderId="8" xfId="2" applyNumberFormat="1" applyFont="1" applyFill="1" applyBorder="1" applyAlignment="1">
      <alignment horizontal="left" vertical="center"/>
    </xf>
    <xf numFmtId="0" fontId="29" fillId="6" borderId="9" xfId="2" applyNumberFormat="1" applyFont="1" applyFill="1" applyBorder="1" applyAlignment="1">
      <alignment horizontal="left" vertical="center"/>
    </xf>
    <xf numFmtId="0" fontId="29" fillId="6" borderId="21" xfId="2" applyNumberFormat="1" applyFont="1" applyFill="1" applyBorder="1" applyAlignment="1">
      <alignment horizontal="left" vertical="center"/>
    </xf>
    <xf numFmtId="164" fontId="3" fillId="2" borderId="20" xfId="0" applyNumberFormat="1" applyFont="1" applyFill="1" applyBorder="1" applyProtection="1">
      <protection locked="0"/>
    </xf>
    <xf numFmtId="3" fontId="3" fillId="2" borderId="20" xfId="0" applyNumberFormat="1" applyFont="1" applyFill="1" applyBorder="1" applyProtection="1">
      <protection locked="0"/>
    </xf>
  </cellXfs>
  <cellStyles count="5">
    <cellStyle name="60% - akcent 1" xfId="2" xr:uid="{00000000-0005-0000-0000-000000000000}"/>
    <cellStyle name="Hipervínculo" xfId="4" builtinId="8"/>
    <cellStyle name="Normal" xfId="0" builtinId="0"/>
    <cellStyle name="Normal 10" xfId="1" xr:uid="{00000000-0005-0000-0000-000003000000}"/>
    <cellStyle name="Normal 12" xfId="3" xr:uid="{00000000-0005-0000-0000-000004000000}"/>
  </cellStyles>
  <dxfs count="20">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66"/>
      </font>
      <fill>
        <patternFill>
          <bgColor rgb="FFFF0000"/>
        </patternFill>
      </fill>
    </dxf>
    <dxf>
      <font>
        <color rgb="FFFFFF00"/>
      </font>
      <fill>
        <patternFill>
          <bgColor rgb="FFFF0000"/>
        </patternFill>
      </fill>
    </dxf>
    <dxf>
      <font>
        <color rgb="FFFFFF00"/>
      </font>
      <fill>
        <patternFill>
          <bgColor rgb="FFFF0000"/>
        </patternFill>
      </fill>
    </dxf>
    <dxf>
      <font>
        <color rgb="FFFFFF66"/>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66"/>
      </font>
      <fill>
        <patternFill>
          <bgColor rgb="FFFF0000"/>
        </patternFill>
      </fill>
    </dxf>
    <dxf>
      <font>
        <color rgb="FFFFFF00"/>
      </font>
      <fill>
        <patternFill>
          <bgColor rgb="FFFF0000"/>
        </patternFill>
      </fill>
    </dxf>
    <dxf>
      <font>
        <color rgb="FFFFFF00"/>
      </font>
      <fill>
        <patternFill>
          <bgColor rgb="FFFF0000"/>
        </patternFill>
      </fill>
    </dxf>
    <dxf>
      <font>
        <color rgb="FFFFFF66"/>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s>
  <tableStyles count="0" defaultTableStyle="TableStyleMedium2" defaultPivotStyle="PivotStyleLight16"/>
  <colors>
    <mruColors>
      <color rgb="FF2F81E5"/>
      <color rgb="FFAB7811"/>
      <color rgb="FFFFFF66"/>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1966383</xdr:colOff>
      <xdr:row>0</xdr:row>
      <xdr:rowOff>809625</xdr:rowOff>
    </xdr:to>
    <xdr:pic>
      <xdr:nvPicPr>
        <xdr:cNvPr id="6" name="4 Imagen">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871258"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2328333</xdr:colOff>
      <xdr:row>0</xdr:row>
      <xdr:rowOff>83608</xdr:rowOff>
    </xdr:from>
    <xdr:to>
      <xdr:col>5</xdr:col>
      <xdr:colOff>5936737</xdr:colOff>
      <xdr:row>1</xdr:row>
      <xdr:rowOff>10108</xdr:rowOff>
    </xdr:to>
    <xdr:sp macro="" textlink="">
      <xdr:nvSpPr>
        <xdr:cNvPr id="7" name="6 CuadroTexto">
          <a:extLst>
            <a:ext uri="{FF2B5EF4-FFF2-40B4-BE49-F238E27FC236}">
              <a16:creationId xmlns:a16="http://schemas.microsoft.com/office/drawing/2014/main" id="{00000000-0008-0000-0000-000007000000}"/>
            </a:ext>
          </a:extLst>
        </xdr:cNvPr>
        <xdr:cNvSpPr txBox="1"/>
      </xdr:nvSpPr>
      <xdr:spPr>
        <a:xfrm>
          <a:off x="3233208" y="83608"/>
          <a:ext cx="3608404" cy="1260000"/>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s-CL" sz="1100" b="1" i="0">
              <a:solidFill>
                <a:schemeClr val="tx1"/>
              </a:solidFill>
              <a:effectLst/>
              <a:latin typeface="+mn-lt"/>
              <a:ea typeface="+mn-ea"/>
              <a:cs typeface="+mn-cs"/>
            </a:rPr>
            <a:t>IMPORTANTE</a:t>
          </a:r>
          <a:r>
            <a:rPr lang="es-CL" sz="1100" b="0" i="0">
              <a:solidFill>
                <a:schemeClr val="tx1"/>
              </a:solidFill>
              <a:effectLst/>
              <a:latin typeface="+mn-lt"/>
              <a:ea typeface="+mn-ea"/>
              <a:cs typeface="+mn-cs"/>
            </a:rPr>
            <a:t>: El presente documento esta protegido por el registro de </a:t>
          </a:r>
          <a:r>
            <a:rPr lang="es-CL" sz="1100" b="0" i="0" u="none">
              <a:solidFill>
                <a:schemeClr val="tx1"/>
              </a:solidFill>
              <a:effectLst/>
              <a:latin typeface="+mn-lt"/>
              <a:ea typeface="+mn-ea"/>
              <a:cs typeface="+mn-cs"/>
            </a:rPr>
            <a:t>propiedad</a:t>
          </a:r>
          <a:r>
            <a:rPr lang="es-CL" sz="1100" b="0" i="0" u="none" baseline="0">
              <a:solidFill>
                <a:schemeClr val="tx1"/>
              </a:solidFill>
              <a:effectLst/>
              <a:latin typeface="+mn-lt"/>
              <a:ea typeface="+mn-ea"/>
              <a:cs typeface="+mn-cs"/>
            </a:rPr>
            <a:t> </a:t>
          </a:r>
          <a:r>
            <a:rPr lang="es-CL" sz="1100" b="0" i="0" u="none">
              <a:solidFill>
                <a:schemeClr val="tx1"/>
              </a:solidFill>
              <a:effectLst/>
              <a:latin typeface="+mn-lt"/>
              <a:ea typeface="+mn-ea"/>
              <a:cs typeface="+mn-cs"/>
            </a:rPr>
            <a:t>intelectual </a:t>
          </a:r>
          <a:r>
            <a:rPr lang="es-CL" sz="1100" b="0" i="0">
              <a:solidFill>
                <a:schemeClr val="tx1"/>
              </a:solidFill>
              <a:effectLst/>
              <a:latin typeface="+mn-lt"/>
              <a:ea typeface="+mn-ea"/>
              <a:cs typeface="+mn-cs"/>
            </a:rPr>
            <a:t> No. 132.246, del Departamento de Derechos Intelectuales de Chile.  Este documento no puede ser utilizado por personas no autorizadas ni distribuido sin autorización expresa y por escrito de DBNeT S.A.</a:t>
          </a:r>
          <a:endParaRPr lang="es-CL" sz="1100">
            <a:solidFill>
              <a:schemeClr val="tx1"/>
            </a:solidFill>
          </a:endParaRPr>
        </a:p>
      </xdr:txBody>
    </xdr:sp>
    <xdr:clientData/>
  </xdr:twoCellAnchor>
  <xdr:twoCellAnchor>
    <xdr:from>
      <xdr:col>1</xdr:col>
      <xdr:colOff>122767</xdr:colOff>
      <xdr:row>0</xdr:row>
      <xdr:rowOff>1000124</xdr:rowOff>
    </xdr:from>
    <xdr:to>
      <xdr:col>5</xdr:col>
      <xdr:colOff>474633</xdr:colOff>
      <xdr:row>1</xdr:row>
      <xdr:rowOff>98624</xdr:rowOff>
    </xdr:to>
    <xdr:sp macro="[0]!Guarda_Hojas_CSV" textlink="">
      <xdr:nvSpPr>
        <xdr:cNvPr id="8" name="7 Rectángulo redondeado">
          <a:extLst>
            <a:ext uri="{FF2B5EF4-FFF2-40B4-BE49-F238E27FC236}">
              <a16:creationId xmlns:a16="http://schemas.microsoft.com/office/drawing/2014/main" id="{00000000-0008-0000-0000-000008000000}"/>
            </a:ext>
          </a:extLst>
        </xdr:cNvPr>
        <xdr:cNvSpPr/>
      </xdr:nvSpPr>
      <xdr:spPr>
        <a:xfrm>
          <a:off x="303742" y="1000124"/>
          <a:ext cx="1075766" cy="432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indent="0" algn="ctr"/>
          <a:r>
            <a:rPr lang="es-ES" sz="1100">
              <a:solidFill>
                <a:schemeClr val="lt1">
                  <a:lumMod val="100000"/>
                </a:schemeClr>
              </a:solidFill>
              <a:latin typeface="+mn-lt"/>
              <a:ea typeface="+mn-ea"/>
              <a:cs typeface="+mn-cs"/>
            </a:rPr>
            <a:t>Crear CSV</a:t>
          </a:r>
        </a:p>
      </xdr:txBody>
    </xdr:sp>
    <xdr:clientData/>
  </xdr:twoCellAnchor>
  <xdr:twoCellAnchor>
    <xdr:from>
      <xdr:col>5</xdr:col>
      <xdr:colOff>642408</xdr:colOff>
      <xdr:row>0</xdr:row>
      <xdr:rowOff>1000124</xdr:rowOff>
    </xdr:from>
    <xdr:to>
      <xdr:col>5</xdr:col>
      <xdr:colOff>1722408</xdr:colOff>
      <xdr:row>1</xdr:row>
      <xdr:rowOff>98624</xdr:rowOff>
    </xdr:to>
    <xdr:sp macro="[0]!Guarda_Hojas_ZIP" textlink="">
      <xdr:nvSpPr>
        <xdr:cNvPr id="9" name="8 Rectángulo redondeado">
          <a:extLst>
            <a:ext uri="{FF2B5EF4-FFF2-40B4-BE49-F238E27FC236}">
              <a16:creationId xmlns:a16="http://schemas.microsoft.com/office/drawing/2014/main" id="{00000000-0008-0000-0000-000009000000}"/>
            </a:ext>
          </a:extLst>
        </xdr:cNvPr>
        <xdr:cNvSpPr/>
      </xdr:nvSpPr>
      <xdr:spPr>
        <a:xfrm>
          <a:off x="1547283" y="1000124"/>
          <a:ext cx="1080000" cy="4320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indent="0" algn="ctr"/>
          <a:r>
            <a:rPr lang="es-ES" sz="900">
              <a:solidFill>
                <a:schemeClr val="lt1">
                  <a:lumMod val="100000"/>
                </a:schemeClr>
              </a:solidFill>
              <a:latin typeface="+mn-lt"/>
              <a:ea typeface="+mn-ea"/>
              <a:cs typeface="+mn-cs"/>
            </a:rPr>
            <a:t>Crear/Comprimir</a:t>
          </a:r>
          <a:r>
            <a:rPr lang="es-ES" sz="900" baseline="0">
              <a:solidFill>
                <a:schemeClr val="lt1">
                  <a:lumMod val="100000"/>
                </a:schemeClr>
              </a:solidFill>
              <a:latin typeface="+mn-lt"/>
              <a:ea typeface="+mn-ea"/>
              <a:cs typeface="+mn-cs"/>
            </a:rPr>
            <a:t> CSV</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0</xdr:row>
      <xdr:rowOff>142876</xdr:rowOff>
    </xdr:from>
    <xdr:to>
      <xdr:col>5</xdr:col>
      <xdr:colOff>661193</xdr:colOff>
      <xdr:row>0</xdr:row>
      <xdr:rowOff>523876</xdr:rowOff>
    </xdr:to>
    <xdr:sp macro="[0]!Guarda_Hojas_CSV" textlink="">
      <xdr:nvSpPr>
        <xdr:cNvPr id="2" name="1 Rectángulo redondeado">
          <a:extLst>
            <a:ext uri="{FF2B5EF4-FFF2-40B4-BE49-F238E27FC236}">
              <a16:creationId xmlns:a16="http://schemas.microsoft.com/office/drawing/2014/main" id="{00000000-0008-0000-0100-000002000000}"/>
            </a:ext>
          </a:extLst>
        </xdr:cNvPr>
        <xdr:cNvSpPr/>
      </xdr:nvSpPr>
      <xdr:spPr>
        <a:xfrm>
          <a:off x="361950" y="142876"/>
          <a:ext cx="1356518" cy="381000"/>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Crear CSV</a:t>
          </a:r>
        </a:p>
      </xdr:txBody>
    </xdr:sp>
    <xdr:clientData/>
  </xdr:twoCellAnchor>
  <xdr:twoCellAnchor editAs="absolute">
    <xdr:from>
      <xdr:col>5</xdr:col>
      <xdr:colOff>4691063</xdr:colOff>
      <xdr:row>0</xdr:row>
      <xdr:rowOff>154782</xdr:rowOff>
    </xdr:from>
    <xdr:to>
      <xdr:col>5</xdr:col>
      <xdr:colOff>6038850</xdr:colOff>
      <xdr:row>0</xdr:row>
      <xdr:rowOff>547688</xdr:rowOff>
    </xdr:to>
    <xdr:sp macro="[0]!Copiar_columna" textlink="">
      <xdr:nvSpPr>
        <xdr:cNvPr id="3" name="2 Rectángulo redondeado">
          <a:extLst>
            <a:ext uri="{FF2B5EF4-FFF2-40B4-BE49-F238E27FC236}">
              <a16:creationId xmlns:a16="http://schemas.microsoft.com/office/drawing/2014/main" id="{00000000-0008-0000-0100-000003000000}"/>
            </a:ext>
          </a:extLst>
        </xdr:cNvPr>
        <xdr:cNvSpPr>
          <a:spLocks/>
        </xdr:cNvSpPr>
      </xdr:nvSpPr>
      <xdr:spPr>
        <a:xfrm>
          <a:off x="5815013" y="154782"/>
          <a:ext cx="1347787" cy="392906"/>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Copiar Columna</a:t>
          </a:r>
        </a:p>
      </xdr:txBody>
    </xdr:sp>
    <xdr:clientData/>
  </xdr:twoCellAnchor>
  <xdr:twoCellAnchor>
    <xdr:from>
      <xdr:col>5</xdr:col>
      <xdr:colOff>826294</xdr:colOff>
      <xdr:row>0</xdr:row>
      <xdr:rowOff>142875</xdr:rowOff>
    </xdr:from>
    <xdr:to>
      <xdr:col>5</xdr:col>
      <xdr:colOff>1846527</xdr:colOff>
      <xdr:row>0</xdr:row>
      <xdr:rowOff>535781</xdr:rowOff>
    </xdr:to>
    <xdr:sp macro="[0]!Guarda_Hojas_ZIP" textlink="">
      <xdr:nvSpPr>
        <xdr:cNvPr id="4" name="3 Rectángulo redondeado">
          <a:extLst>
            <a:ext uri="{FF2B5EF4-FFF2-40B4-BE49-F238E27FC236}">
              <a16:creationId xmlns:a16="http://schemas.microsoft.com/office/drawing/2014/main" id="{00000000-0008-0000-0100-000004000000}"/>
            </a:ext>
          </a:extLst>
        </xdr:cNvPr>
        <xdr:cNvSpPr/>
      </xdr:nvSpPr>
      <xdr:spPr>
        <a:xfrm>
          <a:off x="1883569" y="142875"/>
          <a:ext cx="1020233" cy="392906"/>
        </a:xfrm>
        <a:prstGeom prst="round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s-ES" sz="1100"/>
            <a:t>Crear/Comprimir CSV</a:t>
          </a:r>
        </a:p>
      </xdr:txBody>
    </xdr:sp>
    <xdr:clientData/>
  </xdr:twoCellAnchor>
  <xdr:twoCellAnchor>
    <xdr:from>
      <xdr:col>7</xdr:col>
      <xdr:colOff>186765</xdr:colOff>
      <xdr:row>1</xdr:row>
      <xdr:rowOff>1293720</xdr:rowOff>
    </xdr:from>
    <xdr:to>
      <xdr:col>7</xdr:col>
      <xdr:colOff>534148</xdr:colOff>
      <xdr:row>1</xdr:row>
      <xdr:rowOff>2212602</xdr:rowOff>
    </xdr:to>
    <xdr:sp macro="" textlink="">
      <xdr:nvSpPr>
        <xdr:cNvPr id="5" name="4 Flecha abajo">
          <a:extLst>
            <a:ext uri="{FF2B5EF4-FFF2-40B4-BE49-F238E27FC236}">
              <a16:creationId xmlns:a16="http://schemas.microsoft.com/office/drawing/2014/main" id="{00000000-0008-0000-0100-000005000000}"/>
            </a:ext>
          </a:extLst>
        </xdr:cNvPr>
        <xdr:cNvSpPr/>
      </xdr:nvSpPr>
      <xdr:spPr>
        <a:xfrm>
          <a:off x="8121090" y="1989045"/>
          <a:ext cx="347383" cy="91888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twoCellAnchor>
    <xdr:from>
      <xdr:col>6</xdr:col>
      <xdr:colOff>447675</xdr:colOff>
      <xdr:row>1</xdr:row>
      <xdr:rowOff>542925</xdr:rowOff>
    </xdr:from>
    <xdr:to>
      <xdr:col>8</xdr:col>
      <xdr:colOff>385296</xdr:colOff>
      <xdr:row>1</xdr:row>
      <xdr:rowOff>1215278</xdr:rowOff>
    </xdr:to>
    <xdr:sp macro="" textlink="">
      <xdr:nvSpPr>
        <xdr:cNvPr id="6" name="5 Rectángulo redondeado">
          <a:extLst>
            <a:ext uri="{FF2B5EF4-FFF2-40B4-BE49-F238E27FC236}">
              <a16:creationId xmlns:a16="http://schemas.microsoft.com/office/drawing/2014/main" id="{00000000-0008-0000-0100-000006000000}"/>
            </a:ext>
          </a:extLst>
        </xdr:cNvPr>
        <xdr:cNvSpPr/>
      </xdr:nvSpPr>
      <xdr:spPr>
        <a:xfrm>
          <a:off x="7620000" y="1238250"/>
          <a:ext cx="1461621" cy="67235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Ubique</a:t>
          </a:r>
          <a:r>
            <a:rPr lang="es-CL" sz="1100" baseline="0"/>
            <a:t> el cursor en esta celda y presione "Copiar Columna"</a:t>
          </a:r>
          <a:endParaRPr lang="es-CL"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0</xdr:row>
      <xdr:rowOff>142876</xdr:rowOff>
    </xdr:from>
    <xdr:to>
      <xdr:col>5</xdr:col>
      <xdr:colOff>661193</xdr:colOff>
      <xdr:row>0</xdr:row>
      <xdr:rowOff>523876</xdr:rowOff>
    </xdr:to>
    <xdr:sp macro="[0]!Guarda_Hojas_CSV" textlink="">
      <xdr:nvSpPr>
        <xdr:cNvPr id="2" name="1 Rectángulo redondeado">
          <a:extLst>
            <a:ext uri="{FF2B5EF4-FFF2-40B4-BE49-F238E27FC236}">
              <a16:creationId xmlns:a16="http://schemas.microsoft.com/office/drawing/2014/main" id="{00000000-0008-0000-0200-000002000000}"/>
            </a:ext>
          </a:extLst>
        </xdr:cNvPr>
        <xdr:cNvSpPr/>
      </xdr:nvSpPr>
      <xdr:spPr>
        <a:xfrm>
          <a:off x="400050" y="142876"/>
          <a:ext cx="1385093" cy="381000"/>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Crear CSV</a:t>
          </a:r>
        </a:p>
      </xdr:txBody>
    </xdr:sp>
    <xdr:clientData/>
  </xdr:twoCellAnchor>
  <xdr:twoCellAnchor editAs="absolute">
    <xdr:from>
      <xdr:col>5</xdr:col>
      <xdr:colOff>4691063</xdr:colOff>
      <xdr:row>0</xdr:row>
      <xdr:rowOff>154782</xdr:rowOff>
    </xdr:from>
    <xdr:to>
      <xdr:col>5</xdr:col>
      <xdr:colOff>6000750</xdr:colOff>
      <xdr:row>0</xdr:row>
      <xdr:rowOff>547688</xdr:rowOff>
    </xdr:to>
    <xdr:sp macro="[0]!Copiar_columna" textlink="">
      <xdr:nvSpPr>
        <xdr:cNvPr id="3" name="2 Rectángulo redondeado">
          <a:extLst>
            <a:ext uri="{FF2B5EF4-FFF2-40B4-BE49-F238E27FC236}">
              <a16:creationId xmlns:a16="http://schemas.microsoft.com/office/drawing/2014/main" id="{00000000-0008-0000-0200-000003000000}"/>
            </a:ext>
          </a:extLst>
        </xdr:cNvPr>
        <xdr:cNvSpPr>
          <a:spLocks/>
        </xdr:cNvSpPr>
      </xdr:nvSpPr>
      <xdr:spPr>
        <a:xfrm>
          <a:off x="5815013" y="154782"/>
          <a:ext cx="1309687" cy="392906"/>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Copiar Columna</a:t>
          </a:r>
        </a:p>
      </xdr:txBody>
    </xdr:sp>
    <xdr:clientData/>
  </xdr:twoCellAnchor>
  <xdr:twoCellAnchor>
    <xdr:from>
      <xdr:col>5</xdr:col>
      <xdr:colOff>826294</xdr:colOff>
      <xdr:row>0</xdr:row>
      <xdr:rowOff>142875</xdr:rowOff>
    </xdr:from>
    <xdr:to>
      <xdr:col>5</xdr:col>
      <xdr:colOff>1846527</xdr:colOff>
      <xdr:row>0</xdr:row>
      <xdr:rowOff>535781</xdr:rowOff>
    </xdr:to>
    <xdr:sp macro="[0]!Guarda_Hojas_ZIP" textlink="">
      <xdr:nvSpPr>
        <xdr:cNvPr id="4" name="3 Rectángulo redondeado">
          <a:extLst>
            <a:ext uri="{FF2B5EF4-FFF2-40B4-BE49-F238E27FC236}">
              <a16:creationId xmlns:a16="http://schemas.microsoft.com/office/drawing/2014/main" id="{00000000-0008-0000-0200-000004000000}"/>
            </a:ext>
          </a:extLst>
        </xdr:cNvPr>
        <xdr:cNvSpPr/>
      </xdr:nvSpPr>
      <xdr:spPr>
        <a:xfrm>
          <a:off x="1950244" y="142875"/>
          <a:ext cx="1020233" cy="392906"/>
        </a:xfrm>
        <a:prstGeom prst="round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s-ES" sz="1100"/>
            <a:t>Crear/Comprimir CSV</a:t>
          </a:r>
        </a:p>
      </xdr:txBody>
    </xdr:sp>
    <xdr:clientData/>
  </xdr:twoCellAnchor>
  <xdr:twoCellAnchor>
    <xdr:from>
      <xdr:col>7</xdr:col>
      <xdr:colOff>199465</xdr:colOff>
      <xdr:row>1</xdr:row>
      <xdr:rowOff>1303245</xdr:rowOff>
    </xdr:from>
    <xdr:to>
      <xdr:col>7</xdr:col>
      <xdr:colOff>546848</xdr:colOff>
      <xdr:row>1</xdr:row>
      <xdr:rowOff>2222127</xdr:rowOff>
    </xdr:to>
    <xdr:sp macro="" textlink="">
      <xdr:nvSpPr>
        <xdr:cNvPr id="5" name="4 Flecha abajo">
          <a:extLst>
            <a:ext uri="{FF2B5EF4-FFF2-40B4-BE49-F238E27FC236}">
              <a16:creationId xmlns:a16="http://schemas.microsoft.com/office/drawing/2014/main" id="{00000000-0008-0000-0200-000005000000}"/>
            </a:ext>
          </a:extLst>
        </xdr:cNvPr>
        <xdr:cNvSpPr/>
      </xdr:nvSpPr>
      <xdr:spPr>
        <a:xfrm>
          <a:off x="8133790" y="1998570"/>
          <a:ext cx="347383" cy="91888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twoCellAnchor>
    <xdr:from>
      <xdr:col>6</xdr:col>
      <xdr:colOff>457200</xdr:colOff>
      <xdr:row>1</xdr:row>
      <xdr:rowOff>552450</xdr:rowOff>
    </xdr:from>
    <xdr:to>
      <xdr:col>8</xdr:col>
      <xdr:colOff>401171</xdr:colOff>
      <xdr:row>1</xdr:row>
      <xdr:rowOff>1224803</xdr:rowOff>
    </xdr:to>
    <xdr:sp macro="" textlink="">
      <xdr:nvSpPr>
        <xdr:cNvPr id="6" name="5 Rectángulo redondeado">
          <a:extLst>
            <a:ext uri="{FF2B5EF4-FFF2-40B4-BE49-F238E27FC236}">
              <a16:creationId xmlns:a16="http://schemas.microsoft.com/office/drawing/2014/main" id="{00000000-0008-0000-0200-000006000000}"/>
            </a:ext>
          </a:extLst>
        </xdr:cNvPr>
        <xdr:cNvSpPr/>
      </xdr:nvSpPr>
      <xdr:spPr>
        <a:xfrm>
          <a:off x="7629525" y="1247775"/>
          <a:ext cx="1467971" cy="67235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Ubique</a:t>
          </a:r>
          <a:r>
            <a:rPr lang="es-CL" sz="1100" baseline="0"/>
            <a:t> el cursor en esta celda y presione "Copiar Columna"</a:t>
          </a:r>
          <a:endParaRPr lang="es-CL"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0</xdr:colOff>
      <xdr:row>0</xdr:row>
      <xdr:rowOff>142876</xdr:rowOff>
    </xdr:from>
    <xdr:to>
      <xdr:col>5</xdr:col>
      <xdr:colOff>661193</xdr:colOff>
      <xdr:row>0</xdr:row>
      <xdr:rowOff>523876</xdr:rowOff>
    </xdr:to>
    <xdr:sp macro="[0]!Guarda_Hojas_CSV" textlink="">
      <xdr:nvSpPr>
        <xdr:cNvPr id="2" name="1 Rectángulo redondeado">
          <a:extLst>
            <a:ext uri="{FF2B5EF4-FFF2-40B4-BE49-F238E27FC236}">
              <a16:creationId xmlns:a16="http://schemas.microsoft.com/office/drawing/2014/main" id="{00000000-0008-0000-0300-000002000000}"/>
            </a:ext>
          </a:extLst>
        </xdr:cNvPr>
        <xdr:cNvSpPr/>
      </xdr:nvSpPr>
      <xdr:spPr>
        <a:xfrm>
          <a:off x="400050" y="142876"/>
          <a:ext cx="1385093" cy="381000"/>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Crear CSV</a:t>
          </a:r>
        </a:p>
      </xdr:txBody>
    </xdr:sp>
    <xdr:clientData/>
  </xdr:twoCellAnchor>
  <xdr:twoCellAnchor editAs="absolute">
    <xdr:from>
      <xdr:col>5</xdr:col>
      <xdr:colOff>4691063</xdr:colOff>
      <xdr:row>0</xdr:row>
      <xdr:rowOff>154782</xdr:rowOff>
    </xdr:from>
    <xdr:to>
      <xdr:col>5</xdr:col>
      <xdr:colOff>6000750</xdr:colOff>
      <xdr:row>0</xdr:row>
      <xdr:rowOff>547688</xdr:rowOff>
    </xdr:to>
    <xdr:sp macro="[0]!Copiar_columna" textlink="">
      <xdr:nvSpPr>
        <xdr:cNvPr id="3" name="2 Rectángulo redondeado">
          <a:extLst>
            <a:ext uri="{FF2B5EF4-FFF2-40B4-BE49-F238E27FC236}">
              <a16:creationId xmlns:a16="http://schemas.microsoft.com/office/drawing/2014/main" id="{00000000-0008-0000-0300-000003000000}"/>
            </a:ext>
          </a:extLst>
        </xdr:cNvPr>
        <xdr:cNvSpPr>
          <a:spLocks/>
        </xdr:cNvSpPr>
      </xdr:nvSpPr>
      <xdr:spPr>
        <a:xfrm>
          <a:off x="5815013" y="154782"/>
          <a:ext cx="1309687" cy="392906"/>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Copiar Columna</a:t>
          </a:r>
        </a:p>
      </xdr:txBody>
    </xdr:sp>
    <xdr:clientData/>
  </xdr:twoCellAnchor>
  <xdr:twoCellAnchor>
    <xdr:from>
      <xdr:col>5</xdr:col>
      <xdr:colOff>826294</xdr:colOff>
      <xdr:row>0</xdr:row>
      <xdr:rowOff>142875</xdr:rowOff>
    </xdr:from>
    <xdr:to>
      <xdr:col>5</xdr:col>
      <xdr:colOff>1846527</xdr:colOff>
      <xdr:row>0</xdr:row>
      <xdr:rowOff>535781</xdr:rowOff>
    </xdr:to>
    <xdr:sp macro="[0]!Guarda_Hojas_ZIP" textlink="">
      <xdr:nvSpPr>
        <xdr:cNvPr id="4" name="3 Rectángulo redondeado">
          <a:extLst>
            <a:ext uri="{FF2B5EF4-FFF2-40B4-BE49-F238E27FC236}">
              <a16:creationId xmlns:a16="http://schemas.microsoft.com/office/drawing/2014/main" id="{00000000-0008-0000-0300-000004000000}"/>
            </a:ext>
          </a:extLst>
        </xdr:cNvPr>
        <xdr:cNvSpPr/>
      </xdr:nvSpPr>
      <xdr:spPr>
        <a:xfrm>
          <a:off x="1950244" y="142875"/>
          <a:ext cx="1020233" cy="392906"/>
        </a:xfrm>
        <a:prstGeom prst="round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s-ES" sz="1100"/>
            <a:t>Crear/Comprimir CSV</a:t>
          </a:r>
        </a:p>
      </xdr:txBody>
    </xdr:sp>
    <xdr:clientData/>
  </xdr:twoCellAnchor>
  <xdr:twoCellAnchor>
    <xdr:from>
      <xdr:col>7</xdr:col>
      <xdr:colOff>199465</xdr:colOff>
      <xdr:row>1</xdr:row>
      <xdr:rowOff>1303245</xdr:rowOff>
    </xdr:from>
    <xdr:to>
      <xdr:col>7</xdr:col>
      <xdr:colOff>546848</xdr:colOff>
      <xdr:row>1</xdr:row>
      <xdr:rowOff>2222127</xdr:rowOff>
    </xdr:to>
    <xdr:sp macro="" textlink="">
      <xdr:nvSpPr>
        <xdr:cNvPr id="5" name="4 Flecha abajo">
          <a:extLst>
            <a:ext uri="{FF2B5EF4-FFF2-40B4-BE49-F238E27FC236}">
              <a16:creationId xmlns:a16="http://schemas.microsoft.com/office/drawing/2014/main" id="{00000000-0008-0000-0300-000005000000}"/>
            </a:ext>
          </a:extLst>
        </xdr:cNvPr>
        <xdr:cNvSpPr/>
      </xdr:nvSpPr>
      <xdr:spPr>
        <a:xfrm>
          <a:off x="9248215" y="1998570"/>
          <a:ext cx="347383" cy="91888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twoCellAnchor>
    <xdr:from>
      <xdr:col>6</xdr:col>
      <xdr:colOff>457200</xdr:colOff>
      <xdr:row>1</xdr:row>
      <xdr:rowOff>552450</xdr:rowOff>
    </xdr:from>
    <xdr:to>
      <xdr:col>8</xdr:col>
      <xdr:colOff>401171</xdr:colOff>
      <xdr:row>1</xdr:row>
      <xdr:rowOff>1224803</xdr:rowOff>
    </xdr:to>
    <xdr:sp macro="" textlink="">
      <xdr:nvSpPr>
        <xdr:cNvPr id="6" name="5 Rectángulo redondeado">
          <a:extLst>
            <a:ext uri="{FF2B5EF4-FFF2-40B4-BE49-F238E27FC236}">
              <a16:creationId xmlns:a16="http://schemas.microsoft.com/office/drawing/2014/main" id="{00000000-0008-0000-0300-000006000000}"/>
            </a:ext>
          </a:extLst>
        </xdr:cNvPr>
        <xdr:cNvSpPr/>
      </xdr:nvSpPr>
      <xdr:spPr>
        <a:xfrm>
          <a:off x="7629525" y="1247775"/>
          <a:ext cx="3468221" cy="67235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Ubique</a:t>
          </a:r>
          <a:r>
            <a:rPr lang="es-CL" sz="1100" baseline="0"/>
            <a:t> el cursor en esta celda y presione "Copiar Columna"</a:t>
          </a:r>
          <a:endParaRPr lang="es-CL"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0</xdr:colOff>
      <xdr:row>0</xdr:row>
      <xdr:rowOff>142876</xdr:rowOff>
    </xdr:from>
    <xdr:to>
      <xdr:col>5</xdr:col>
      <xdr:colOff>661193</xdr:colOff>
      <xdr:row>0</xdr:row>
      <xdr:rowOff>523876</xdr:rowOff>
    </xdr:to>
    <xdr:sp macro="[0]!Guarda_Hojas_CSV" textlink="">
      <xdr:nvSpPr>
        <xdr:cNvPr id="2" name="1 Rectángulo redondeado">
          <a:extLst>
            <a:ext uri="{FF2B5EF4-FFF2-40B4-BE49-F238E27FC236}">
              <a16:creationId xmlns:a16="http://schemas.microsoft.com/office/drawing/2014/main" id="{00000000-0008-0000-0400-000002000000}"/>
            </a:ext>
          </a:extLst>
        </xdr:cNvPr>
        <xdr:cNvSpPr/>
      </xdr:nvSpPr>
      <xdr:spPr>
        <a:xfrm>
          <a:off x="400050" y="142876"/>
          <a:ext cx="1385093" cy="381000"/>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Crear CSV</a:t>
          </a:r>
        </a:p>
      </xdr:txBody>
    </xdr:sp>
    <xdr:clientData/>
  </xdr:twoCellAnchor>
  <xdr:twoCellAnchor>
    <xdr:from>
      <xdr:col>5</xdr:col>
      <xdr:colOff>826294</xdr:colOff>
      <xdr:row>0</xdr:row>
      <xdr:rowOff>142875</xdr:rowOff>
    </xdr:from>
    <xdr:to>
      <xdr:col>5</xdr:col>
      <xdr:colOff>1846527</xdr:colOff>
      <xdr:row>0</xdr:row>
      <xdr:rowOff>535781</xdr:rowOff>
    </xdr:to>
    <xdr:sp macro="[0]!Guarda_Hojas_ZIP" textlink="">
      <xdr:nvSpPr>
        <xdr:cNvPr id="4" name="3 Rectángulo redondeado">
          <a:extLst>
            <a:ext uri="{FF2B5EF4-FFF2-40B4-BE49-F238E27FC236}">
              <a16:creationId xmlns:a16="http://schemas.microsoft.com/office/drawing/2014/main" id="{00000000-0008-0000-0400-000004000000}"/>
            </a:ext>
          </a:extLst>
        </xdr:cNvPr>
        <xdr:cNvSpPr/>
      </xdr:nvSpPr>
      <xdr:spPr>
        <a:xfrm>
          <a:off x="1950244" y="142875"/>
          <a:ext cx="1020233" cy="392906"/>
        </a:xfrm>
        <a:prstGeom prst="round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s-ES" sz="1100"/>
            <a:t>Crear/Comprimir CSV</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142876</xdr:rowOff>
    </xdr:from>
    <xdr:to>
      <xdr:col>5</xdr:col>
      <xdr:colOff>661193</xdr:colOff>
      <xdr:row>0</xdr:row>
      <xdr:rowOff>523876</xdr:rowOff>
    </xdr:to>
    <xdr:sp macro="[0]!Guarda_Hojas_CSV" textlink="">
      <xdr:nvSpPr>
        <xdr:cNvPr id="2" name="1 Rectángulo redondeado">
          <a:extLst>
            <a:ext uri="{FF2B5EF4-FFF2-40B4-BE49-F238E27FC236}">
              <a16:creationId xmlns:a16="http://schemas.microsoft.com/office/drawing/2014/main" id="{00000000-0008-0000-0500-000002000000}"/>
            </a:ext>
          </a:extLst>
        </xdr:cNvPr>
        <xdr:cNvSpPr/>
      </xdr:nvSpPr>
      <xdr:spPr>
        <a:xfrm>
          <a:off x="400050" y="142876"/>
          <a:ext cx="1385093" cy="381000"/>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Crear CSV</a:t>
          </a:r>
        </a:p>
      </xdr:txBody>
    </xdr:sp>
    <xdr:clientData/>
  </xdr:twoCellAnchor>
  <xdr:twoCellAnchor>
    <xdr:from>
      <xdr:col>5</xdr:col>
      <xdr:colOff>826294</xdr:colOff>
      <xdr:row>0</xdr:row>
      <xdr:rowOff>142875</xdr:rowOff>
    </xdr:from>
    <xdr:to>
      <xdr:col>5</xdr:col>
      <xdr:colOff>1846527</xdr:colOff>
      <xdr:row>0</xdr:row>
      <xdr:rowOff>535781</xdr:rowOff>
    </xdr:to>
    <xdr:sp macro="[0]!Guarda_Hojas_ZIP" textlink="">
      <xdr:nvSpPr>
        <xdr:cNvPr id="4" name="3 Rectángulo redondeado">
          <a:extLst>
            <a:ext uri="{FF2B5EF4-FFF2-40B4-BE49-F238E27FC236}">
              <a16:creationId xmlns:a16="http://schemas.microsoft.com/office/drawing/2014/main" id="{00000000-0008-0000-0500-000004000000}"/>
            </a:ext>
          </a:extLst>
        </xdr:cNvPr>
        <xdr:cNvSpPr/>
      </xdr:nvSpPr>
      <xdr:spPr>
        <a:xfrm>
          <a:off x="1950244" y="142875"/>
          <a:ext cx="1020233" cy="392906"/>
        </a:xfrm>
        <a:prstGeom prst="round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s-ES" sz="1100"/>
            <a:t>Crear/Comprimir CSV</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0</xdr:colOff>
      <xdr:row>0</xdr:row>
      <xdr:rowOff>142876</xdr:rowOff>
    </xdr:from>
    <xdr:to>
      <xdr:col>5</xdr:col>
      <xdr:colOff>661193</xdr:colOff>
      <xdr:row>0</xdr:row>
      <xdr:rowOff>523876</xdr:rowOff>
    </xdr:to>
    <xdr:sp macro="[0]!Guarda_Hojas_CSV" textlink="">
      <xdr:nvSpPr>
        <xdr:cNvPr id="2" name="1 Rectángulo redondeado">
          <a:extLst>
            <a:ext uri="{FF2B5EF4-FFF2-40B4-BE49-F238E27FC236}">
              <a16:creationId xmlns:a16="http://schemas.microsoft.com/office/drawing/2014/main" id="{00000000-0008-0000-0600-000002000000}"/>
            </a:ext>
          </a:extLst>
        </xdr:cNvPr>
        <xdr:cNvSpPr/>
      </xdr:nvSpPr>
      <xdr:spPr>
        <a:xfrm>
          <a:off x="400050" y="142876"/>
          <a:ext cx="1385093" cy="381000"/>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Crear CSV</a:t>
          </a:r>
        </a:p>
      </xdr:txBody>
    </xdr:sp>
    <xdr:clientData/>
  </xdr:twoCellAnchor>
  <xdr:twoCellAnchor>
    <xdr:from>
      <xdr:col>5</xdr:col>
      <xdr:colOff>826294</xdr:colOff>
      <xdr:row>0</xdr:row>
      <xdr:rowOff>142875</xdr:rowOff>
    </xdr:from>
    <xdr:to>
      <xdr:col>5</xdr:col>
      <xdr:colOff>1846527</xdr:colOff>
      <xdr:row>0</xdr:row>
      <xdr:rowOff>535781</xdr:rowOff>
    </xdr:to>
    <xdr:sp macro="[0]!Guarda_Hojas_ZIP" textlink="">
      <xdr:nvSpPr>
        <xdr:cNvPr id="4" name="3 Rectángulo redondeado">
          <a:extLst>
            <a:ext uri="{FF2B5EF4-FFF2-40B4-BE49-F238E27FC236}">
              <a16:creationId xmlns:a16="http://schemas.microsoft.com/office/drawing/2014/main" id="{00000000-0008-0000-0600-000004000000}"/>
            </a:ext>
          </a:extLst>
        </xdr:cNvPr>
        <xdr:cNvSpPr/>
      </xdr:nvSpPr>
      <xdr:spPr>
        <a:xfrm>
          <a:off x="1950244" y="142875"/>
          <a:ext cx="1020233" cy="392906"/>
        </a:xfrm>
        <a:prstGeom prst="round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s-ES" sz="1100"/>
            <a:t>Crear/Comprimir CSV</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0</xdr:colOff>
      <xdr:row>0</xdr:row>
      <xdr:rowOff>142876</xdr:rowOff>
    </xdr:from>
    <xdr:to>
      <xdr:col>5</xdr:col>
      <xdr:colOff>661193</xdr:colOff>
      <xdr:row>0</xdr:row>
      <xdr:rowOff>523876</xdr:rowOff>
    </xdr:to>
    <xdr:sp macro="[0]!Guarda_Hojas_CSV" textlink="">
      <xdr:nvSpPr>
        <xdr:cNvPr id="2" name="1 Rectángulo redondeado">
          <a:extLst>
            <a:ext uri="{FF2B5EF4-FFF2-40B4-BE49-F238E27FC236}">
              <a16:creationId xmlns:a16="http://schemas.microsoft.com/office/drawing/2014/main" id="{00000000-0008-0000-0700-000002000000}"/>
            </a:ext>
          </a:extLst>
        </xdr:cNvPr>
        <xdr:cNvSpPr/>
      </xdr:nvSpPr>
      <xdr:spPr>
        <a:xfrm>
          <a:off x="400050" y="142876"/>
          <a:ext cx="1385093" cy="381000"/>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Crear CSV</a:t>
          </a:r>
        </a:p>
      </xdr:txBody>
    </xdr:sp>
    <xdr:clientData/>
  </xdr:twoCellAnchor>
  <xdr:twoCellAnchor editAs="absolute">
    <xdr:from>
      <xdr:col>5</xdr:col>
      <xdr:colOff>4691064</xdr:colOff>
      <xdr:row>0</xdr:row>
      <xdr:rowOff>154782</xdr:rowOff>
    </xdr:from>
    <xdr:to>
      <xdr:col>5</xdr:col>
      <xdr:colOff>5991226</xdr:colOff>
      <xdr:row>0</xdr:row>
      <xdr:rowOff>547688</xdr:rowOff>
    </xdr:to>
    <xdr:sp macro="[0]!Copiar_columna" textlink="">
      <xdr:nvSpPr>
        <xdr:cNvPr id="3" name="2 Rectángulo redondeado">
          <a:extLst>
            <a:ext uri="{FF2B5EF4-FFF2-40B4-BE49-F238E27FC236}">
              <a16:creationId xmlns:a16="http://schemas.microsoft.com/office/drawing/2014/main" id="{00000000-0008-0000-0700-000003000000}"/>
            </a:ext>
          </a:extLst>
        </xdr:cNvPr>
        <xdr:cNvSpPr>
          <a:spLocks/>
        </xdr:cNvSpPr>
      </xdr:nvSpPr>
      <xdr:spPr>
        <a:xfrm>
          <a:off x="5815014" y="154782"/>
          <a:ext cx="1300162" cy="392906"/>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Copiar olumna</a:t>
          </a:r>
        </a:p>
      </xdr:txBody>
    </xdr:sp>
    <xdr:clientData/>
  </xdr:twoCellAnchor>
  <xdr:twoCellAnchor>
    <xdr:from>
      <xdr:col>5</xdr:col>
      <xdr:colOff>826294</xdr:colOff>
      <xdr:row>0</xdr:row>
      <xdr:rowOff>142875</xdr:rowOff>
    </xdr:from>
    <xdr:to>
      <xdr:col>5</xdr:col>
      <xdr:colOff>1846527</xdr:colOff>
      <xdr:row>0</xdr:row>
      <xdr:rowOff>535781</xdr:rowOff>
    </xdr:to>
    <xdr:sp macro="[0]!Guarda_Hojas_ZIP" textlink="">
      <xdr:nvSpPr>
        <xdr:cNvPr id="4" name="3 Rectángulo redondeado">
          <a:extLst>
            <a:ext uri="{FF2B5EF4-FFF2-40B4-BE49-F238E27FC236}">
              <a16:creationId xmlns:a16="http://schemas.microsoft.com/office/drawing/2014/main" id="{00000000-0008-0000-0700-000004000000}"/>
            </a:ext>
          </a:extLst>
        </xdr:cNvPr>
        <xdr:cNvSpPr/>
      </xdr:nvSpPr>
      <xdr:spPr>
        <a:xfrm>
          <a:off x="1950244" y="142875"/>
          <a:ext cx="1020233" cy="392906"/>
        </a:xfrm>
        <a:prstGeom prst="round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s-ES" sz="1100"/>
            <a:t>Crear/Comprimir CSV</a:t>
          </a:r>
        </a:p>
      </xdr:txBody>
    </xdr:sp>
    <xdr:clientData/>
  </xdr:twoCellAnchor>
  <xdr:twoCellAnchor>
    <xdr:from>
      <xdr:col>7</xdr:col>
      <xdr:colOff>228040</xdr:colOff>
      <xdr:row>1</xdr:row>
      <xdr:rowOff>1179420</xdr:rowOff>
    </xdr:from>
    <xdr:to>
      <xdr:col>7</xdr:col>
      <xdr:colOff>575423</xdr:colOff>
      <xdr:row>1</xdr:row>
      <xdr:rowOff>2098302</xdr:rowOff>
    </xdr:to>
    <xdr:sp macro="" textlink="">
      <xdr:nvSpPr>
        <xdr:cNvPr id="5" name="4 Flecha abajo">
          <a:extLst>
            <a:ext uri="{FF2B5EF4-FFF2-40B4-BE49-F238E27FC236}">
              <a16:creationId xmlns:a16="http://schemas.microsoft.com/office/drawing/2014/main" id="{00000000-0008-0000-0700-000005000000}"/>
            </a:ext>
          </a:extLst>
        </xdr:cNvPr>
        <xdr:cNvSpPr/>
      </xdr:nvSpPr>
      <xdr:spPr>
        <a:xfrm>
          <a:off x="8219515" y="1874745"/>
          <a:ext cx="347383" cy="91888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twoCellAnchor>
    <xdr:from>
      <xdr:col>6</xdr:col>
      <xdr:colOff>542925</xdr:colOff>
      <xdr:row>1</xdr:row>
      <xdr:rowOff>428625</xdr:rowOff>
    </xdr:from>
    <xdr:to>
      <xdr:col>8</xdr:col>
      <xdr:colOff>372596</xdr:colOff>
      <xdr:row>1</xdr:row>
      <xdr:rowOff>1100978</xdr:rowOff>
    </xdr:to>
    <xdr:sp macro="" textlink="">
      <xdr:nvSpPr>
        <xdr:cNvPr id="6" name="5 Rectángulo redondeado">
          <a:extLst>
            <a:ext uri="{FF2B5EF4-FFF2-40B4-BE49-F238E27FC236}">
              <a16:creationId xmlns:a16="http://schemas.microsoft.com/office/drawing/2014/main" id="{00000000-0008-0000-0700-000006000000}"/>
            </a:ext>
          </a:extLst>
        </xdr:cNvPr>
        <xdr:cNvSpPr/>
      </xdr:nvSpPr>
      <xdr:spPr>
        <a:xfrm>
          <a:off x="7715250" y="1123950"/>
          <a:ext cx="1467971" cy="67235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Ubique</a:t>
          </a:r>
          <a:r>
            <a:rPr lang="es-CL" sz="1100" baseline="0"/>
            <a:t> el cursor en esta celda y presione "Copiar Columna"</a:t>
          </a:r>
          <a:endParaRPr lang="es-CL" sz="1100"/>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L100"/>
  <sheetViews>
    <sheetView topLeftCell="A79" zoomScale="80" zoomScaleNormal="80" workbookViewId="0">
      <selection activeCell="L87" sqref="L87"/>
    </sheetView>
  </sheetViews>
  <sheetFormatPr baseColWidth="10" defaultRowHeight="15"/>
  <cols>
    <col min="1" max="5" width="2.7109375" customWidth="1"/>
    <col min="6" max="6" width="102.7109375" customWidth="1"/>
    <col min="7" max="7" width="2.7109375" customWidth="1"/>
    <col min="8" max="11" width="16.7109375" customWidth="1"/>
    <col min="12" max="12" width="5.7109375" customWidth="1"/>
  </cols>
  <sheetData>
    <row r="1" spans="1:12" ht="105" customHeight="1">
      <c r="A1" t="s">
        <v>0</v>
      </c>
    </row>
    <row r="2" spans="1:12">
      <c r="G2" s="305" t="s">
        <v>0</v>
      </c>
      <c r="H2" s="306" t="s">
        <v>901</v>
      </c>
    </row>
    <row r="3" spans="1:12">
      <c r="B3" s="8"/>
      <c r="C3" s="9"/>
      <c r="D3" s="9"/>
      <c r="E3" s="9"/>
      <c r="F3" s="9"/>
      <c r="G3" s="9"/>
      <c r="H3" s="9"/>
      <c r="I3" s="9"/>
      <c r="J3" s="9"/>
      <c r="K3" s="9"/>
      <c r="L3" s="10"/>
    </row>
    <row r="4" spans="1:12">
      <c r="B4" s="11"/>
      <c r="C4" s="1"/>
      <c r="D4" s="1" t="s">
        <v>0</v>
      </c>
      <c r="E4" s="1" t="s">
        <v>0</v>
      </c>
      <c r="F4" s="32" t="s">
        <v>715</v>
      </c>
      <c r="G4" s="1"/>
      <c r="H4" s="1"/>
      <c r="I4" s="1"/>
      <c r="J4" s="1"/>
      <c r="K4" s="1"/>
      <c r="L4" s="12"/>
    </row>
    <row r="5" spans="1:12">
      <c r="B5" s="11" t="s">
        <v>903</v>
      </c>
      <c r="C5" s="1" t="s">
        <v>529</v>
      </c>
      <c r="D5" s="1" t="s">
        <v>0</v>
      </c>
      <c r="E5" s="1" t="s">
        <v>0</v>
      </c>
      <c r="F5" s="4">
        <v>0</v>
      </c>
      <c r="G5" s="1"/>
      <c r="H5" s="1"/>
      <c r="I5" s="1"/>
      <c r="J5" s="1"/>
      <c r="K5" s="1"/>
      <c r="L5" s="12"/>
    </row>
    <row r="6" spans="1:12">
      <c r="B6" s="11"/>
      <c r="C6" s="1"/>
      <c r="D6" s="1"/>
      <c r="E6" s="1"/>
      <c r="F6" s="5"/>
      <c r="G6" s="1"/>
      <c r="H6" s="1"/>
      <c r="I6" s="1"/>
      <c r="J6" s="1"/>
      <c r="K6" s="1"/>
      <c r="L6" s="12"/>
    </row>
    <row r="7" spans="1:12" ht="23.25" customHeight="1">
      <c r="B7" s="11"/>
      <c r="C7" s="1"/>
      <c r="D7" s="1" t="s">
        <v>0</v>
      </c>
      <c r="E7" s="1" t="s">
        <v>0</v>
      </c>
      <c r="F7" s="154" t="s">
        <v>714</v>
      </c>
      <c r="G7" s="1"/>
      <c r="H7" s="1"/>
      <c r="I7" s="1"/>
      <c r="J7" s="1"/>
      <c r="K7" s="1"/>
      <c r="L7" s="12"/>
    </row>
    <row r="8" spans="1:12" ht="17.25" customHeight="1">
      <c r="B8" s="11"/>
      <c r="C8" s="1"/>
      <c r="D8" s="1" t="s">
        <v>0</v>
      </c>
      <c r="E8" s="1" t="s">
        <v>0</v>
      </c>
      <c r="F8" s="156" t="s">
        <v>716</v>
      </c>
      <c r="G8" s="1"/>
      <c r="H8" s="1"/>
      <c r="I8" s="1"/>
      <c r="J8" s="1"/>
      <c r="K8" s="6"/>
      <c r="L8" s="12"/>
    </row>
    <row r="9" spans="1:12">
      <c r="B9" s="11" t="s">
        <v>903</v>
      </c>
      <c r="C9" s="1" t="s">
        <v>530</v>
      </c>
      <c r="D9" s="1" t="s">
        <v>0</v>
      </c>
      <c r="E9" s="1" t="s">
        <v>0</v>
      </c>
      <c r="F9" s="4">
        <v>0</v>
      </c>
      <c r="G9" s="6"/>
      <c r="H9" s="1"/>
      <c r="I9" s="1"/>
      <c r="J9" s="1"/>
      <c r="K9" s="6"/>
      <c r="L9" s="12"/>
    </row>
    <row r="10" spans="1:12" ht="17.25" customHeight="1">
      <c r="B10" s="11"/>
      <c r="C10" s="1"/>
      <c r="D10" s="1"/>
      <c r="E10" s="1"/>
      <c r="F10" s="3"/>
      <c r="G10" s="6"/>
      <c r="H10" s="1"/>
      <c r="I10" s="1"/>
      <c r="J10" s="1"/>
      <c r="K10" s="6"/>
      <c r="L10" s="12"/>
    </row>
    <row r="11" spans="1:12" ht="17.25" customHeight="1">
      <c r="B11" s="11"/>
      <c r="C11" s="1"/>
      <c r="D11" s="1"/>
      <c r="E11" s="1"/>
      <c r="F11" s="157" t="s">
        <v>944</v>
      </c>
      <c r="G11" s="6"/>
      <c r="H11" s="1"/>
      <c r="I11" s="1"/>
      <c r="J11" s="1"/>
      <c r="K11" s="6"/>
      <c r="L11" s="12"/>
    </row>
    <row r="12" spans="1:12" ht="17.25" customHeight="1">
      <c r="B12" s="11"/>
      <c r="C12" s="1"/>
      <c r="D12" s="1"/>
      <c r="E12" s="1"/>
      <c r="F12" s="156"/>
      <c r="G12" s="6"/>
      <c r="H12" s="1"/>
      <c r="I12" s="1"/>
      <c r="J12" s="1"/>
      <c r="K12" s="6"/>
      <c r="L12" s="12"/>
    </row>
    <row r="13" spans="1:12">
      <c r="B13" s="11"/>
      <c r="C13" s="1"/>
      <c r="D13" s="1"/>
      <c r="E13" s="1"/>
      <c r="F13" s="158" t="s">
        <v>945</v>
      </c>
      <c r="G13" s="6"/>
      <c r="H13" s="1"/>
      <c r="I13" s="1"/>
      <c r="J13" s="1"/>
      <c r="K13" s="6"/>
      <c r="L13" s="12"/>
    </row>
    <row r="14" spans="1:12">
      <c r="B14" s="11"/>
      <c r="C14" s="1"/>
      <c r="D14" s="1"/>
      <c r="E14" s="1"/>
      <c r="F14" s="3"/>
      <c r="G14" s="6"/>
      <c r="H14" s="1"/>
      <c r="I14" s="1"/>
      <c r="J14" s="1"/>
      <c r="K14" s="6"/>
      <c r="L14" s="12"/>
    </row>
    <row r="15" spans="1:12" ht="15" customHeight="1">
      <c r="B15" s="11"/>
      <c r="C15" s="1"/>
      <c r="D15" s="1" t="s">
        <v>0</v>
      </c>
      <c r="E15" s="1" t="s">
        <v>0</v>
      </c>
      <c r="F15" s="155" t="s">
        <v>904</v>
      </c>
      <c r="G15" s="6"/>
      <c r="H15" s="1"/>
      <c r="I15" s="1"/>
      <c r="J15" s="1"/>
      <c r="K15" s="6"/>
      <c r="L15" s="12"/>
    </row>
    <row r="16" spans="1:12" ht="15" customHeight="1">
      <c r="B16" s="11" t="s">
        <v>903</v>
      </c>
      <c r="C16" s="1" t="s">
        <v>902</v>
      </c>
      <c r="D16" s="1" t="s">
        <v>0</v>
      </c>
      <c r="E16" s="1"/>
      <c r="F16" s="310" t="s">
        <v>956</v>
      </c>
      <c r="G16" s="6"/>
      <c r="H16" s="1"/>
      <c r="I16" s="1"/>
      <c r="J16" s="1"/>
      <c r="K16" s="6"/>
      <c r="L16" s="12"/>
    </row>
    <row r="17" spans="2:12" ht="17.25" customHeight="1">
      <c r="B17" s="11"/>
      <c r="C17" s="1"/>
      <c r="D17" s="1"/>
      <c r="E17" s="1"/>
      <c r="F17" s="156"/>
      <c r="G17" s="6"/>
      <c r="H17" s="1"/>
      <c r="I17" s="1"/>
      <c r="J17" s="1"/>
      <c r="K17" s="6"/>
      <c r="L17" s="12"/>
    </row>
    <row r="18" spans="2:12">
      <c r="B18" s="11"/>
      <c r="C18" s="1"/>
      <c r="D18" s="1"/>
      <c r="E18" s="1"/>
      <c r="F18" s="311" t="s">
        <v>946</v>
      </c>
      <c r="G18" s="6"/>
      <c r="H18" s="1"/>
      <c r="I18" s="1"/>
      <c r="J18" s="1"/>
      <c r="K18" s="6"/>
      <c r="L18" s="12"/>
    </row>
    <row r="19" spans="2:12">
      <c r="B19" s="11"/>
      <c r="C19" s="1"/>
      <c r="D19" s="1"/>
      <c r="E19" s="1"/>
      <c r="F19" s="3"/>
      <c r="G19" s="6"/>
      <c r="H19" s="1"/>
      <c r="I19" s="1"/>
      <c r="J19" s="1"/>
      <c r="K19" s="6"/>
      <c r="L19" s="12"/>
    </row>
    <row r="20" spans="2:12" ht="24" customHeight="1">
      <c r="B20" s="11"/>
      <c r="C20" s="1"/>
      <c r="D20" s="1"/>
      <c r="E20" s="1"/>
      <c r="F20" s="154" t="s">
        <v>717</v>
      </c>
      <c r="G20" s="6"/>
      <c r="H20" s="1"/>
      <c r="I20" s="1"/>
      <c r="J20" s="1"/>
      <c r="K20" s="6"/>
      <c r="L20" s="12"/>
    </row>
    <row r="21" spans="2:12">
      <c r="B21" s="11"/>
      <c r="C21" s="1"/>
      <c r="D21" s="1" t="s">
        <v>0</v>
      </c>
      <c r="E21" s="1" t="s">
        <v>0</v>
      </c>
      <c r="F21" s="156" t="s">
        <v>718</v>
      </c>
      <c r="G21" s="6"/>
      <c r="H21" s="1"/>
      <c r="I21" s="1"/>
      <c r="J21" s="1"/>
      <c r="K21" s="6"/>
      <c r="L21" s="12"/>
    </row>
    <row r="22" spans="2:12" ht="16.5" customHeight="1">
      <c r="B22" s="11" t="s">
        <v>903</v>
      </c>
      <c r="C22" s="1" t="s">
        <v>531</v>
      </c>
      <c r="D22" s="1" t="s">
        <v>0</v>
      </c>
      <c r="E22" s="1" t="s">
        <v>0</v>
      </c>
      <c r="F22" s="258" t="s">
        <v>958</v>
      </c>
      <c r="G22" s="6"/>
      <c r="H22" s="1"/>
      <c r="I22" s="1"/>
      <c r="J22" s="1"/>
      <c r="K22" s="6"/>
      <c r="L22" s="12"/>
    </row>
    <row r="23" spans="2:12" ht="15" customHeight="1">
      <c r="B23" s="11"/>
      <c r="C23" s="1"/>
      <c r="D23" s="1"/>
      <c r="E23" s="1"/>
      <c r="F23" s="3"/>
      <c r="G23" s="6"/>
      <c r="H23" s="1"/>
      <c r="I23" s="1"/>
      <c r="J23" s="1"/>
      <c r="K23" s="6"/>
      <c r="L23" s="12"/>
    </row>
    <row r="24" spans="2:12" ht="15" customHeight="1">
      <c r="B24" s="11"/>
      <c r="C24" s="1"/>
      <c r="D24" s="1"/>
      <c r="E24" s="1"/>
      <c r="F24" s="159" t="s">
        <v>947</v>
      </c>
      <c r="G24" s="6"/>
      <c r="H24" s="1"/>
      <c r="I24" s="1"/>
      <c r="J24" s="1"/>
      <c r="K24" s="6"/>
      <c r="L24" s="12"/>
    </row>
    <row r="25" spans="2:12" ht="15" customHeight="1">
      <c r="B25" s="11"/>
      <c r="C25" s="1"/>
      <c r="D25" s="1"/>
      <c r="E25" s="1"/>
      <c r="F25" s="3"/>
      <c r="G25" s="6"/>
      <c r="H25" s="1"/>
      <c r="I25" s="1"/>
      <c r="J25" s="1"/>
      <c r="K25" s="6"/>
      <c r="L25" s="12"/>
    </row>
    <row r="26" spans="2:12" ht="15" customHeight="1">
      <c r="B26" s="11"/>
      <c r="C26" s="1"/>
      <c r="D26" s="1"/>
      <c r="E26" s="1"/>
      <c r="F26" s="160" t="s">
        <v>948</v>
      </c>
      <c r="G26" s="6"/>
      <c r="H26" s="1"/>
      <c r="I26" s="1"/>
      <c r="J26" s="1"/>
      <c r="K26" s="6"/>
      <c r="L26" s="12"/>
    </row>
    <row r="27" spans="2:12" ht="15" customHeight="1">
      <c r="B27" s="11"/>
      <c r="C27" s="1"/>
      <c r="D27" s="1"/>
      <c r="E27" s="1"/>
      <c r="F27" s="155"/>
      <c r="G27" s="6"/>
      <c r="H27" s="1"/>
      <c r="I27" s="1"/>
      <c r="J27" s="1"/>
      <c r="K27" s="6"/>
      <c r="L27" s="12"/>
    </row>
    <row r="28" spans="2:12" ht="15" customHeight="1">
      <c r="B28" s="11"/>
      <c r="C28" s="1"/>
      <c r="D28" s="1"/>
      <c r="E28" s="1"/>
      <c r="F28" s="161" t="s">
        <v>949</v>
      </c>
      <c r="G28" s="6"/>
      <c r="H28" s="1"/>
      <c r="I28" s="1"/>
      <c r="J28" s="1"/>
      <c r="K28" s="6"/>
      <c r="L28" s="12"/>
    </row>
    <row r="29" spans="2:12" ht="15" customHeight="1">
      <c r="B29" s="11"/>
      <c r="C29" s="1"/>
      <c r="D29" s="1"/>
      <c r="E29" s="1"/>
      <c r="F29" s="3"/>
      <c r="G29" s="6"/>
      <c r="H29" s="1"/>
      <c r="I29" s="1"/>
      <c r="J29" s="1"/>
      <c r="K29" s="6"/>
      <c r="L29" s="12"/>
    </row>
    <row r="30" spans="2:12" ht="33.75">
      <c r="B30" s="11"/>
      <c r="C30" s="1"/>
      <c r="D30" s="1" t="s">
        <v>0</v>
      </c>
      <c r="E30" s="1" t="s">
        <v>0</v>
      </c>
      <c r="F30" s="151" t="s">
        <v>719</v>
      </c>
      <c r="G30" s="6"/>
      <c r="H30" s="91" t="s">
        <v>510</v>
      </c>
      <c r="I30" s="91" t="s">
        <v>511</v>
      </c>
      <c r="J30" s="91" t="s">
        <v>512</v>
      </c>
      <c r="K30" s="91" t="s">
        <v>513</v>
      </c>
      <c r="L30" s="12"/>
    </row>
    <row r="31" spans="2:12" ht="15" customHeight="1">
      <c r="B31" s="11" t="s">
        <v>903</v>
      </c>
      <c r="C31" s="1" t="s">
        <v>532</v>
      </c>
      <c r="D31" s="1" t="s">
        <v>0</v>
      </c>
      <c r="E31" s="1" t="s">
        <v>0</v>
      </c>
      <c r="F31" s="155" t="s">
        <v>720</v>
      </c>
      <c r="G31" s="6"/>
      <c r="H31" s="7">
        <v>1000</v>
      </c>
      <c r="I31" s="7">
        <v>5000</v>
      </c>
      <c r="J31" s="7"/>
      <c r="K31" s="7"/>
      <c r="L31" s="12"/>
    </row>
    <row r="32" spans="2:12" ht="15" customHeight="1">
      <c r="B32" s="11" t="s">
        <v>903</v>
      </c>
      <c r="C32" s="1" t="s">
        <v>533</v>
      </c>
      <c r="D32" s="1" t="s">
        <v>0</v>
      </c>
      <c r="E32" s="1" t="s">
        <v>0</v>
      </c>
      <c r="F32" s="155" t="s">
        <v>721</v>
      </c>
      <c r="G32" s="6"/>
      <c r="H32" s="7">
        <v>2000</v>
      </c>
      <c r="I32" s="7">
        <v>6000</v>
      </c>
      <c r="J32" s="7"/>
      <c r="K32" s="7"/>
      <c r="L32" s="12"/>
    </row>
    <row r="33" spans="2:12" ht="15" customHeight="1">
      <c r="B33" s="11" t="s">
        <v>903</v>
      </c>
      <c r="C33" s="1" t="s">
        <v>534</v>
      </c>
      <c r="D33" s="1" t="s">
        <v>0</v>
      </c>
      <c r="E33" s="1" t="s">
        <v>0</v>
      </c>
      <c r="F33" s="155" t="s">
        <v>722</v>
      </c>
      <c r="G33" s="6"/>
      <c r="H33" s="7">
        <v>3000</v>
      </c>
      <c r="I33" s="7">
        <v>7000</v>
      </c>
      <c r="J33" s="7"/>
      <c r="K33" s="7"/>
      <c r="L33" s="12"/>
    </row>
    <row r="34" spans="2:12" ht="15" customHeight="1">
      <c r="B34" s="11" t="s">
        <v>903</v>
      </c>
      <c r="C34" s="1" t="s">
        <v>535</v>
      </c>
      <c r="D34" s="1" t="s">
        <v>0</v>
      </c>
      <c r="E34" s="1" t="s">
        <v>0</v>
      </c>
      <c r="F34" s="155" t="s">
        <v>723</v>
      </c>
      <c r="G34" s="6"/>
      <c r="H34" s="7">
        <v>4000</v>
      </c>
      <c r="I34" s="7">
        <v>8000</v>
      </c>
      <c r="J34" s="7"/>
      <c r="K34" s="7"/>
      <c r="L34" s="12"/>
    </row>
    <row r="35" spans="2:12" ht="15" customHeight="1">
      <c r="B35" s="11"/>
      <c r="C35" s="1"/>
      <c r="D35" s="1" t="s">
        <v>0</v>
      </c>
      <c r="E35" s="1"/>
      <c r="F35" s="3"/>
      <c r="G35" s="6"/>
      <c r="H35" s="1"/>
      <c r="I35" s="1"/>
      <c r="J35" s="1"/>
      <c r="K35" s="6"/>
      <c r="L35" s="12"/>
    </row>
    <row r="36" spans="2:12" ht="15" customHeight="1">
      <c r="B36" s="11"/>
      <c r="C36" s="1"/>
      <c r="D36" s="1" t="s">
        <v>0</v>
      </c>
      <c r="E36" s="1"/>
      <c r="F36" s="90" t="s">
        <v>950</v>
      </c>
      <c r="G36" s="6"/>
      <c r="H36" s="1"/>
      <c r="I36" s="1"/>
      <c r="J36" s="1"/>
      <c r="K36" s="6"/>
      <c r="L36" s="12"/>
    </row>
    <row r="37" spans="2:12" ht="15" customHeight="1">
      <c r="B37" s="11"/>
      <c r="C37" s="1"/>
      <c r="D37" s="1" t="s">
        <v>0</v>
      </c>
      <c r="E37" s="1"/>
      <c r="F37" s="3"/>
      <c r="G37" s="6"/>
      <c r="H37" s="1"/>
      <c r="I37" s="1"/>
      <c r="J37" s="1"/>
      <c r="K37" s="6"/>
      <c r="L37" s="12"/>
    </row>
    <row r="38" spans="2:12" ht="25.5">
      <c r="B38" s="11"/>
      <c r="C38" s="1"/>
      <c r="D38" s="1" t="s">
        <v>0</v>
      </c>
      <c r="E38" s="1"/>
      <c r="F38" s="154" t="s">
        <v>677</v>
      </c>
      <c r="G38" s="6"/>
      <c r="H38" s="1"/>
      <c r="I38" s="1"/>
      <c r="J38" s="1"/>
      <c r="K38" s="6"/>
      <c r="L38" s="12"/>
    </row>
    <row r="39" spans="2:12">
      <c r="B39" s="11"/>
      <c r="C39" s="1"/>
      <c r="D39" s="1"/>
      <c r="E39" s="1"/>
      <c r="F39" s="1" t="s">
        <v>708</v>
      </c>
      <c r="G39" s="6"/>
      <c r="H39" s="1"/>
      <c r="I39" s="1"/>
      <c r="J39" s="1"/>
      <c r="K39" s="6"/>
      <c r="L39" s="12"/>
    </row>
    <row r="40" spans="2:12" ht="15" customHeight="1">
      <c r="B40" s="11" t="s">
        <v>903</v>
      </c>
      <c r="C40" s="1" t="s">
        <v>678</v>
      </c>
      <c r="D40" s="1" t="s">
        <v>0</v>
      </c>
      <c r="E40" s="1"/>
      <c r="F40" s="258" t="s">
        <v>959</v>
      </c>
      <c r="G40" s="6"/>
      <c r="H40" s="1"/>
      <c r="I40" s="1"/>
      <c r="J40" s="1"/>
      <c r="K40" s="6"/>
      <c r="L40" s="12"/>
    </row>
    <row r="41" spans="2:12" ht="15" customHeight="1">
      <c r="B41" s="11"/>
      <c r="C41" s="1"/>
      <c r="D41" s="1"/>
      <c r="E41" s="1"/>
      <c r="F41" s="1" t="s">
        <v>680</v>
      </c>
      <c r="G41" s="6"/>
      <c r="H41" s="1"/>
      <c r="I41" s="1"/>
      <c r="J41" s="1"/>
      <c r="K41" s="6"/>
      <c r="L41" s="12"/>
    </row>
    <row r="42" spans="2:12" ht="15" customHeight="1">
      <c r="B42" s="11" t="s">
        <v>903</v>
      </c>
      <c r="C42" s="1" t="s">
        <v>679</v>
      </c>
      <c r="D42" s="1" t="s">
        <v>0</v>
      </c>
      <c r="E42" s="1"/>
      <c r="F42" s="258" t="s">
        <v>960</v>
      </c>
      <c r="G42" s="6"/>
      <c r="H42" s="1"/>
      <c r="I42" s="1"/>
      <c r="J42" s="1"/>
      <c r="K42" s="6"/>
      <c r="L42" s="12"/>
    </row>
    <row r="43" spans="2:12" ht="15" customHeight="1">
      <c r="B43" s="11"/>
      <c r="C43" s="1"/>
      <c r="D43" s="1"/>
      <c r="E43" s="1"/>
      <c r="F43" s="259"/>
      <c r="G43" s="6"/>
      <c r="H43" s="1"/>
      <c r="I43" s="1"/>
      <c r="J43" s="1"/>
      <c r="K43" s="6"/>
      <c r="L43" s="12"/>
    </row>
    <row r="44" spans="2:12" ht="15" customHeight="1">
      <c r="B44" s="11"/>
      <c r="C44" s="1"/>
      <c r="D44" s="1"/>
      <c r="E44" s="1"/>
      <c r="F44" s="307" t="s">
        <v>682</v>
      </c>
      <c r="G44" s="6"/>
      <c r="H44" s="1"/>
      <c r="I44" s="1"/>
      <c r="J44" s="1"/>
      <c r="K44" s="6"/>
      <c r="L44" s="12"/>
    </row>
    <row r="45" spans="2:12" ht="15" customHeight="1">
      <c r="B45" s="11" t="s">
        <v>903</v>
      </c>
      <c r="C45" s="1" t="s">
        <v>681</v>
      </c>
      <c r="D45" s="1" t="s">
        <v>0</v>
      </c>
      <c r="E45" s="1"/>
      <c r="F45" s="258" t="s">
        <v>961</v>
      </c>
      <c r="G45" s="6"/>
      <c r="H45" s="1"/>
      <c r="I45" s="1"/>
      <c r="J45" s="1"/>
      <c r="K45" s="6"/>
      <c r="L45" s="12"/>
    </row>
    <row r="46" spans="2:12" ht="24">
      <c r="B46" s="11"/>
      <c r="C46" s="1"/>
      <c r="D46" s="1" t="s">
        <v>0</v>
      </c>
      <c r="E46" s="1"/>
      <c r="F46" s="152" t="s">
        <v>883</v>
      </c>
      <c r="G46" s="6"/>
      <c r="H46" s="1"/>
      <c r="I46" s="1"/>
      <c r="J46" s="1"/>
      <c r="K46" s="6"/>
      <c r="L46" s="12"/>
    </row>
    <row r="47" spans="2:12" ht="15" customHeight="1">
      <c r="B47" s="11" t="s">
        <v>903</v>
      </c>
      <c r="C47" s="1" t="s">
        <v>683</v>
      </c>
      <c r="D47" s="1" t="s">
        <v>0</v>
      </c>
      <c r="E47" s="1"/>
      <c r="F47" s="260" t="s">
        <v>962</v>
      </c>
      <c r="G47" s="6"/>
      <c r="H47" s="1"/>
      <c r="I47" s="1"/>
      <c r="J47" s="1"/>
      <c r="K47" s="6"/>
      <c r="L47" s="12"/>
    </row>
    <row r="48" spans="2:12" ht="24">
      <c r="B48" s="11"/>
      <c r="C48" s="1"/>
      <c r="D48" s="1" t="s">
        <v>0</v>
      </c>
      <c r="E48" s="1"/>
      <c r="F48" s="152" t="s">
        <v>685</v>
      </c>
      <c r="G48" s="6"/>
      <c r="H48" s="1"/>
      <c r="I48" s="1"/>
      <c r="J48" s="1"/>
      <c r="K48" s="6"/>
      <c r="L48" s="12"/>
    </row>
    <row r="49" spans="2:12" ht="15" customHeight="1">
      <c r="B49" s="11" t="s">
        <v>903</v>
      </c>
      <c r="C49" s="1" t="s">
        <v>684</v>
      </c>
      <c r="D49" s="1" t="s">
        <v>0</v>
      </c>
      <c r="E49" s="1"/>
      <c r="F49" s="260" t="s">
        <v>963</v>
      </c>
      <c r="G49" s="6"/>
      <c r="H49" s="1"/>
      <c r="I49" s="1"/>
      <c r="J49" s="1"/>
      <c r="K49" s="6"/>
      <c r="L49" s="12"/>
    </row>
    <row r="50" spans="2:12" ht="24">
      <c r="B50" s="11"/>
      <c r="C50" s="1"/>
      <c r="D50" s="1" t="s">
        <v>0</v>
      </c>
      <c r="E50" s="1"/>
      <c r="F50" s="152" t="s">
        <v>884</v>
      </c>
      <c r="G50" s="6"/>
      <c r="H50" s="1"/>
      <c r="I50" s="1"/>
      <c r="J50" s="1"/>
      <c r="K50" s="6"/>
      <c r="L50" s="12"/>
    </row>
    <row r="51" spans="2:12" ht="15" customHeight="1">
      <c r="B51" s="11" t="s">
        <v>903</v>
      </c>
      <c r="C51" s="1" t="s">
        <v>686</v>
      </c>
      <c r="D51" s="1" t="s">
        <v>0</v>
      </c>
      <c r="E51" s="1"/>
      <c r="F51" s="260" t="s">
        <v>964</v>
      </c>
      <c r="G51" s="6"/>
      <c r="H51" s="1"/>
      <c r="I51" s="1"/>
      <c r="J51" s="1"/>
      <c r="K51" s="6"/>
      <c r="L51" s="12"/>
    </row>
    <row r="52" spans="2:12">
      <c r="B52" s="11"/>
      <c r="C52" s="1"/>
      <c r="D52" s="1" t="s">
        <v>0</v>
      </c>
      <c r="E52" s="1"/>
      <c r="F52" s="152" t="s">
        <v>885</v>
      </c>
      <c r="G52" s="6"/>
      <c r="H52" s="1"/>
      <c r="I52" s="1"/>
      <c r="J52" s="1"/>
      <c r="K52" s="6"/>
      <c r="L52" s="12"/>
    </row>
    <row r="53" spans="2:12" ht="15" customHeight="1">
      <c r="B53" s="11" t="s">
        <v>903</v>
      </c>
      <c r="C53" s="1" t="s">
        <v>687</v>
      </c>
      <c r="D53" s="1" t="s">
        <v>0</v>
      </c>
      <c r="E53" s="1"/>
      <c r="F53" s="260" t="s">
        <v>965</v>
      </c>
      <c r="G53" s="6"/>
      <c r="H53" s="1"/>
      <c r="I53" s="1"/>
      <c r="J53" s="1"/>
      <c r="K53" s="6"/>
      <c r="L53" s="12"/>
    </row>
    <row r="54" spans="2:12" ht="24">
      <c r="B54" s="11"/>
      <c r="C54" s="1"/>
      <c r="D54" s="1" t="s">
        <v>0</v>
      </c>
      <c r="E54" s="1"/>
      <c r="F54" s="152" t="s">
        <v>886</v>
      </c>
      <c r="G54" s="6"/>
      <c r="H54" s="1"/>
      <c r="I54" s="1"/>
      <c r="J54" s="1"/>
      <c r="K54" s="6"/>
      <c r="L54" s="12"/>
    </row>
    <row r="55" spans="2:12" ht="15" customHeight="1">
      <c r="B55" s="11" t="s">
        <v>903</v>
      </c>
      <c r="C55" s="1" t="s">
        <v>688</v>
      </c>
      <c r="D55" s="1" t="s">
        <v>0</v>
      </c>
      <c r="E55" s="1"/>
      <c r="F55" s="260" t="s">
        <v>966</v>
      </c>
      <c r="G55" s="6"/>
      <c r="H55" s="1"/>
      <c r="I55" s="1"/>
      <c r="J55" s="1"/>
      <c r="K55" s="6"/>
      <c r="L55" s="12"/>
    </row>
    <row r="56" spans="2:12" ht="24">
      <c r="B56" s="11"/>
      <c r="C56" s="1"/>
      <c r="D56" s="1" t="s">
        <v>0</v>
      </c>
      <c r="E56" s="1"/>
      <c r="F56" s="152" t="s">
        <v>887</v>
      </c>
      <c r="G56" s="6"/>
      <c r="H56" s="1"/>
      <c r="I56" s="1"/>
      <c r="J56" s="1"/>
      <c r="K56" s="6"/>
      <c r="L56" s="12"/>
    </row>
    <row r="57" spans="2:12" ht="15" customHeight="1">
      <c r="B57" s="11" t="s">
        <v>903</v>
      </c>
      <c r="C57" s="1" t="s">
        <v>689</v>
      </c>
      <c r="D57" s="1" t="s">
        <v>0</v>
      </c>
      <c r="E57" s="1"/>
      <c r="F57" s="260" t="s">
        <v>967</v>
      </c>
      <c r="G57" s="6"/>
      <c r="H57" s="1"/>
      <c r="I57" s="1"/>
      <c r="J57" s="1"/>
      <c r="K57" s="6"/>
      <c r="L57" s="12"/>
    </row>
    <row r="58" spans="2:12">
      <c r="B58" s="11"/>
      <c r="C58" s="1"/>
      <c r="D58" s="1" t="s">
        <v>0</v>
      </c>
      <c r="E58" s="1"/>
      <c r="F58" s="152" t="s">
        <v>888</v>
      </c>
      <c r="G58" s="6"/>
      <c r="H58" s="1"/>
      <c r="I58" s="1"/>
      <c r="J58" s="1"/>
      <c r="K58" s="6"/>
      <c r="L58" s="12"/>
    </row>
    <row r="59" spans="2:12">
      <c r="B59" s="11" t="s">
        <v>903</v>
      </c>
      <c r="C59" s="1" t="s">
        <v>690</v>
      </c>
      <c r="D59" s="1" t="s">
        <v>0</v>
      </c>
      <c r="E59" s="1"/>
      <c r="F59" s="260" t="s">
        <v>968</v>
      </c>
      <c r="G59" s="6"/>
      <c r="H59" s="1"/>
      <c r="I59" s="1"/>
      <c r="J59" s="1"/>
      <c r="K59" s="6"/>
      <c r="L59" s="12"/>
    </row>
    <row r="60" spans="2:12" ht="24">
      <c r="B60" s="11"/>
      <c r="C60" s="1"/>
      <c r="D60" s="1" t="s">
        <v>0</v>
      </c>
      <c r="E60" s="1"/>
      <c r="F60" s="152" t="s">
        <v>889</v>
      </c>
      <c r="G60" s="6"/>
      <c r="H60" s="1"/>
      <c r="I60" s="1"/>
      <c r="J60" s="1"/>
      <c r="K60" s="6"/>
      <c r="L60" s="12"/>
    </row>
    <row r="61" spans="2:12" ht="15" customHeight="1">
      <c r="B61" s="11" t="s">
        <v>903</v>
      </c>
      <c r="C61" s="1" t="s">
        <v>691</v>
      </c>
      <c r="D61" s="1" t="s">
        <v>0</v>
      </c>
      <c r="E61" s="1"/>
      <c r="F61" s="260" t="s">
        <v>969</v>
      </c>
      <c r="G61" s="6"/>
      <c r="H61" s="1"/>
      <c r="I61" s="1"/>
      <c r="J61" s="1"/>
      <c r="K61" s="6"/>
      <c r="L61" s="12"/>
    </row>
    <row r="62" spans="2:12" ht="15" customHeight="1">
      <c r="B62" s="11"/>
      <c r="C62" s="1"/>
      <c r="D62" s="1"/>
      <c r="E62" s="1"/>
      <c r="F62" s="259"/>
      <c r="G62" s="6"/>
      <c r="H62" s="1"/>
      <c r="I62" s="1"/>
      <c r="J62" s="1"/>
      <c r="K62" s="6"/>
      <c r="L62" s="12"/>
    </row>
    <row r="63" spans="2:12" ht="24">
      <c r="B63" s="11"/>
      <c r="C63" s="1"/>
      <c r="D63" s="1" t="s">
        <v>0</v>
      </c>
      <c r="E63" s="1"/>
      <c r="F63" s="309" t="s">
        <v>693</v>
      </c>
      <c r="G63" s="6"/>
      <c r="H63" s="1"/>
      <c r="I63" s="1"/>
      <c r="J63" s="1"/>
      <c r="K63" s="6"/>
      <c r="L63" s="12"/>
    </row>
    <row r="64" spans="2:12" ht="15" customHeight="1">
      <c r="B64" s="11" t="s">
        <v>903</v>
      </c>
      <c r="C64" s="1" t="s">
        <v>692</v>
      </c>
      <c r="D64" s="1" t="s">
        <v>0</v>
      </c>
      <c r="E64" s="1"/>
      <c r="F64" s="258" t="s">
        <v>970</v>
      </c>
      <c r="G64" s="6"/>
      <c r="H64" s="1"/>
      <c r="I64" s="1"/>
      <c r="J64" s="1"/>
      <c r="K64" s="6"/>
      <c r="L64" s="12"/>
    </row>
    <row r="65" spans="2:12" ht="24">
      <c r="B65" s="11"/>
      <c r="C65" s="1"/>
      <c r="D65" s="1" t="s">
        <v>0</v>
      </c>
      <c r="E65" s="1"/>
      <c r="F65" s="152" t="s">
        <v>890</v>
      </c>
      <c r="G65" s="6"/>
      <c r="H65" s="1"/>
      <c r="I65" s="1"/>
      <c r="J65" s="1"/>
      <c r="K65" s="6"/>
      <c r="L65" s="12"/>
    </row>
    <row r="66" spans="2:12" ht="15" customHeight="1">
      <c r="B66" s="11" t="s">
        <v>903</v>
      </c>
      <c r="C66" s="1" t="s">
        <v>694</v>
      </c>
      <c r="D66" s="1" t="s">
        <v>0</v>
      </c>
      <c r="E66" s="1"/>
      <c r="F66" s="258" t="s">
        <v>971</v>
      </c>
      <c r="G66" s="6"/>
      <c r="H66" s="1"/>
      <c r="I66" s="1"/>
      <c r="J66" s="1"/>
      <c r="K66" s="6"/>
      <c r="L66" s="12"/>
    </row>
    <row r="67" spans="2:12" ht="24">
      <c r="B67" s="11"/>
      <c r="C67" s="1"/>
      <c r="D67" s="1" t="s">
        <v>0</v>
      </c>
      <c r="E67" s="1"/>
      <c r="F67" s="152" t="s">
        <v>891</v>
      </c>
      <c r="G67" s="6"/>
      <c r="H67" s="1"/>
      <c r="I67" s="1"/>
      <c r="J67" s="1"/>
      <c r="K67" s="6"/>
      <c r="L67" s="12"/>
    </row>
    <row r="68" spans="2:12" ht="15" customHeight="1">
      <c r="B68" s="11" t="s">
        <v>903</v>
      </c>
      <c r="C68" s="1" t="s">
        <v>695</v>
      </c>
      <c r="D68" s="1" t="s">
        <v>0</v>
      </c>
      <c r="E68" s="1"/>
      <c r="F68" s="258" t="s">
        <v>972</v>
      </c>
      <c r="G68" s="6"/>
      <c r="H68" s="1"/>
      <c r="I68" s="1"/>
      <c r="J68" s="1"/>
      <c r="K68" s="6"/>
      <c r="L68" s="12"/>
    </row>
    <row r="69" spans="2:12" ht="24">
      <c r="B69" s="11"/>
      <c r="C69" s="1"/>
      <c r="D69" s="1" t="s">
        <v>0</v>
      </c>
      <c r="E69" s="1"/>
      <c r="F69" s="152" t="s">
        <v>892</v>
      </c>
      <c r="G69" s="6"/>
      <c r="H69" s="1"/>
      <c r="I69" s="1"/>
      <c r="J69" s="1"/>
      <c r="K69" s="6"/>
      <c r="L69" s="12"/>
    </row>
    <row r="70" spans="2:12" ht="15" customHeight="1">
      <c r="B70" s="11" t="s">
        <v>903</v>
      </c>
      <c r="C70" s="1" t="s">
        <v>696</v>
      </c>
      <c r="D70" s="1" t="s">
        <v>0</v>
      </c>
      <c r="E70" s="1"/>
      <c r="F70" s="258" t="s">
        <v>973</v>
      </c>
      <c r="G70" s="6"/>
      <c r="H70" s="1"/>
      <c r="I70" s="1"/>
      <c r="J70" s="1"/>
      <c r="K70" s="6"/>
      <c r="L70" s="12"/>
    </row>
    <row r="71" spans="2:12" ht="24">
      <c r="B71" s="11"/>
      <c r="C71" s="1"/>
      <c r="D71" s="1" t="s">
        <v>0</v>
      </c>
      <c r="E71" s="1"/>
      <c r="F71" s="152" t="s">
        <v>893</v>
      </c>
      <c r="G71" s="6"/>
      <c r="H71" s="1"/>
      <c r="I71" s="1"/>
      <c r="J71" s="1"/>
      <c r="K71" s="6"/>
      <c r="L71" s="12"/>
    </row>
    <row r="72" spans="2:12" ht="15" customHeight="1">
      <c r="B72" s="11" t="s">
        <v>903</v>
      </c>
      <c r="C72" s="1" t="s">
        <v>697</v>
      </c>
      <c r="D72" s="1" t="s">
        <v>0</v>
      </c>
      <c r="E72" s="1"/>
      <c r="F72" s="258" t="s">
        <v>974</v>
      </c>
      <c r="G72" s="6"/>
      <c r="H72" s="1"/>
      <c r="I72" s="1"/>
      <c r="J72" s="1"/>
      <c r="K72" s="6"/>
      <c r="L72" s="12"/>
    </row>
    <row r="73" spans="2:12" ht="24">
      <c r="B73" s="11"/>
      <c r="C73" s="1"/>
      <c r="D73" s="1" t="s">
        <v>0</v>
      </c>
      <c r="E73" s="1"/>
      <c r="F73" s="152" t="s">
        <v>894</v>
      </c>
      <c r="G73" s="6"/>
      <c r="H73" s="1"/>
      <c r="I73" s="1"/>
      <c r="J73" s="1"/>
      <c r="K73" s="6"/>
      <c r="L73" s="12"/>
    </row>
    <row r="74" spans="2:12">
      <c r="B74" s="11" t="s">
        <v>903</v>
      </c>
      <c r="C74" s="1" t="s">
        <v>698</v>
      </c>
      <c r="D74" s="1" t="s">
        <v>0</v>
      </c>
      <c r="E74" s="1"/>
      <c r="F74" s="258" t="s">
        <v>975</v>
      </c>
      <c r="G74" s="6"/>
      <c r="H74" s="1"/>
      <c r="I74" s="1"/>
      <c r="J74" s="1"/>
      <c r="K74" s="6"/>
      <c r="L74" s="12"/>
    </row>
    <row r="75" spans="2:12">
      <c r="B75" s="11"/>
      <c r="C75" s="1"/>
      <c r="D75" s="1"/>
      <c r="E75" s="1"/>
      <c r="F75" s="259"/>
      <c r="G75" s="6"/>
      <c r="H75" s="1"/>
      <c r="I75" s="1"/>
      <c r="J75" s="1"/>
      <c r="K75" s="6"/>
      <c r="L75" s="12"/>
    </row>
    <row r="76" spans="2:12" ht="24">
      <c r="B76" s="11"/>
      <c r="C76" s="1"/>
      <c r="D76" s="1" t="s">
        <v>0</v>
      </c>
      <c r="E76" s="1"/>
      <c r="F76" s="308" t="s">
        <v>700</v>
      </c>
      <c r="G76" s="6"/>
      <c r="H76" s="1"/>
      <c r="I76" s="1"/>
      <c r="J76" s="1"/>
      <c r="K76" s="6"/>
      <c r="L76" s="12"/>
    </row>
    <row r="77" spans="2:12">
      <c r="B77" s="11" t="s">
        <v>903</v>
      </c>
      <c r="C77" s="1" t="s">
        <v>699</v>
      </c>
      <c r="D77" s="1" t="s">
        <v>0</v>
      </c>
      <c r="E77" s="1"/>
      <c r="F77" s="258" t="s">
        <v>976</v>
      </c>
      <c r="G77" s="6"/>
      <c r="H77" s="1"/>
      <c r="I77" s="1"/>
      <c r="J77" s="1"/>
      <c r="K77" s="6"/>
      <c r="L77" s="12"/>
    </row>
    <row r="78" spans="2:12">
      <c r="B78" s="11"/>
      <c r="C78" s="1"/>
      <c r="D78" s="1"/>
      <c r="E78" s="1"/>
      <c r="F78" s="1"/>
      <c r="G78" s="6"/>
      <c r="H78" s="1"/>
      <c r="I78" s="1"/>
      <c r="J78" s="1"/>
      <c r="K78" s="6"/>
      <c r="L78" s="12"/>
    </row>
    <row r="79" spans="2:12" ht="25.5">
      <c r="B79" s="11"/>
      <c r="C79" s="1"/>
      <c r="D79" s="1" t="s">
        <v>0</v>
      </c>
      <c r="E79" s="1"/>
      <c r="F79" s="242" t="s">
        <v>941</v>
      </c>
      <c r="G79" s="6"/>
      <c r="H79" s="1"/>
      <c r="I79" s="1"/>
      <c r="J79" s="1"/>
      <c r="K79" s="6"/>
      <c r="L79" s="12"/>
    </row>
    <row r="80" spans="2:12">
      <c r="B80" s="11"/>
      <c r="C80" s="1"/>
      <c r="D80" s="1"/>
      <c r="E80" s="1"/>
      <c r="F80" s="1"/>
      <c r="G80" s="6"/>
      <c r="H80" s="1"/>
      <c r="I80" s="1"/>
      <c r="J80" s="1"/>
      <c r="K80" s="6"/>
      <c r="L80" s="12"/>
    </row>
    <row r="81" spans="2:12" ht="33.75">
      <c r="B81" s="11"/>
      <c r="C81" s="1"/>
      <c r="D81" s="1" t="s">
        <v>0</v>
      </c>
      <c r="E81" s="1"/>
      <c r="F81" s="1"/>
      <c r="G81" s="6"/>
      <c r="H81" s="91" t="s">
        <v>510</v>
      </c>
      <c r="I81" s="91" t="s">
        <v>511</v>
      </c>
      <c r="J81" s="91" t="s">
        <v>512</v>
      </c>
      <c r="K81" s="91" t="s">
        <v>513</v>
      </c>
      <c r="L81" s="12"/>
    </row>
    <row r="82" spans="2:12" ht="36">
      <c r="B82" s="11" t="s">
        <v>903</v>
      </c>
      <c r="C82" s="1" t="s">
        <v>701</v>
      </c>
      <c r="D82" s="1" t="s">
        <v>0</v>
      </c>
      <c r="E82" s="1"/>
      <c r="F82" s="152" t="s">
        <v>895</v>
      </c>
      <c r="G82" s="6"/>
      <c r="H82" s="7">
        <v>2000</v>
      </c>
      <c r="I82" s="7">
        <v>5000</v>
      </c>
      <c r="J82" s="7"/>
      <c r="K82" s="7"/>
      <c r="L82" s="12"/>
    </row>
    <row r="83" spans="2:12" ht="36">
      <c r="B83" s="11" t="s">
        <v>903</v>
      </c>
      <c r="C83" s="1" t="s">
        <v>702</v>
      </c>
      <c r="D83" s="1" t="s">
        <v>0</v>
      </c>
      <c r="E83" s="1"/>
      <c r="F83" s="152" t="s">
        <v>896</v>
      </c>
      <c r="G83" s="6"/>
      <c r="H83" s="7">
        <v>3000</v>
      </c>
      <c r="I83" s="7">
        <v>7000</v>
      </c>
      <c r="J83" s="7"/>
      <c r="K83" s="7"/>
      <c r="L83" s="12"/>
    </row>
    <row r="84" spans="2:12">
      <c r="B84" s="11"/>
      <c r="C84" s="1"/>
      <c r="D84" s="1"/>
      <c r="E84" s="1"/>
      <c r="F84" s="152"/>
      <c r="G84" s="6"/>
      <c r="H84" s="152"/>
      <c r="I84" s="152"/>
      <c r="J84" s="152"/>
      <c r="K84" s="152"/>
      <c r="L84" s="12"/>
    </row>
    <row r="85" spans="2:12" ht="22.5">
      <c r="B85" s="11"/>
      <c r="C85" s="1"/>
      <c r="D85" s="1"/>
      <c r="E85" s="1"/>
      <c r="F85" s="152"/>
      <c r="G85" s="6"/>
      <c r="H85" s="91" t="s">
        <v>711</v>
      </c>
      <c r="I85" s="91" t="s">
        <v>712</v>
      </c>
      <c r="J85" s="91" t="s">
        <v>713</v>
      </c>
      <c r="K85" s="152"/>
      <c r="L85" s="12"/>
    </row>
    <row r="86" spans="2:12" ht="48">
      <c r="B86" s="11" t="s">
        <v>903</v>
      </c>
      <c r="C86" s="1" t="s">
        <v>703</v>
      </c>
      <c r="D86" s="1" t="s">
        <v>0</v>
      </c>
      <c r="E86" s="1"/>
      <c r="F86" s="152" t="s">
        <v>897</v>
      </c>
      <c r="G86" s="6"/>
      <c r="H86" s="7">
        <v>8000</v>
      </c>
      <c r="I86" s="7">
        <v>1000</v>
      </c>
      <c r="J86" s="7"/>
      <c r="K86" s="152"/>
      <c r="L86" s="12"/>
    </row>
    <row r="87" spans="2:12" ht="24">
      <c r="B87" s="11" t="s">
        <v>903</v>
      </c>
      <c r="C87" s="1" t="s">
        <v>704</v>
      </c>
      <c r="D87" s="1" t="s">
        <v>0</v>
      </c>
      <c r="E87" s="1"/>
      <c r="F87" s="152" t="s">
        <v>898</v>
      </c>
      <c r="G87" s="6"/>
      <c r="H87" s="7">
        <v>9000</v>
      </c>
      <c r="I87" s="7">
        <v>4000</v>
      </c>
      <c r="J87" s="7"/>
      <c r="K87" s="152"/>
      <c r="L87" s="12"/>
    </row>
    <row r="88" spans="2:12">
      <c r="B88" s="11"/>
      <c r="C88" s="1"/>
      <c r="D88" s="1" t="s">
        <v>0</v>
      </c>
      <c r="E88" s="1"/>
      <c r="F88" s="152"/>
      <c r="G88" s="6"/>
      <c r="H88" s="1"/>
      <c r="I88" s="1"/>
      <c r="J88" s="1"/>
      <c r="K88" s="6"/>
      <c r="L88" s="12"/>
    </row>
    <row r="89" spans="2:12" ht="24">
      <c r="B89" s="11"/>
      <c r="C89" s="1"/>
      <c r="D89" s="1" t="s">
        <v>0</v>
      </c>
      <c r="E89" s="1"/>
      <c r="F89" s="152" t="s">
        <v>899</v>
      </c>
      <c r="G89" s="6"/>
      <c r="H89" s="1"/>
      <c r="I89" s="1"/>
      <c r="J89" s="1"/>
      <c r="K89" s="6"/>
      <c r="L89" s="12"/>
    </row>
    <row r="90" spans="2:12">
      <c r="B90" s="11" t="s">
        <v>903</v>
      </c>
      <c r="C90" s="1" t="s">
        <v>705</v>
      </c>
      <c r="D90" s="1" t="s">
        <v>0</v>
      </c>
      <c r="E90" s="1"/>
      <c r="F90" s="258" t="s">
        <v>977</v>
      </c>
      <c r="G90" s="6"/>
      <c r="H90" s="1"/>
      <c r="I90" s="1"/>
      <c r="J90" s="1"/>
      <c r="K90" s="6"/>
      <c r="L90" s="12"/>
    </row>
    <row r="91" spans="2:12">
      <c r="B91" s="11"/>
      <c r="C91" s="1"/>
      <c r="D91" s="1" t="s">
        <v>0</v>
      </c>
      <c r="E91" s="1"/>
      <c r="F91" s="1" t="s">
        <v>707</v>
      </c>
      <c r="G91" s="6"/>
      <c r="H91" s="1"/>
      <c r="I91" s="1"/>
      <c r="J91" s="1"/>
      <c r="K91" s="6"/>
      <c r="L91" s="12"/>
    </row>
    <row r="92" spans="2:12">
      <c r="B92" s="11" t="s">
        <v>903</v>
      </c>
      <c r="C92" s="1" t="s">
        <v>706</v>
      </c>
      <c r="D92" s="1" t="s">
        <v>0</v>
      </c>
      <c r="E92" s="1"/>
      <c r="F92" s="258" t="s">
        <v>978</v>
      </c>
      <c r="G92" s="1"/>
      <c r="H92" s="1"/>
      <c r="I92" s="1"/>
      <c r="J92" s="1"/>
      <c r="K92" s="1"/>
      <c r="L92" s="12"/>
    </row>
    <row r="93" spans="2:12">
      <c r="B93" s="11"/>
      <c r="C93" s="1"/>
      <c r="D93" s="1"/>
      <c r="E93" s="1"/>
      <c r="F93" s="261"/>
      <c r="G93" s="1"/>
      <c r="H93" s="1"/>
      <c r="I93" s="1"/>
      <c r="J93" s="1"/>
      <c r="K93" s="1"/>
      <c r="L93" s="12"/>
    </row>
    <row r="94" spans="2:12">
      <c r="B94" s="11"/>
      <c r="C94" s="1"/>
      <c r="D94" s="1"/>
      <c r="E94" s="1"/>
      <c r="F94" s="262" t="s">
        <v>951</v>
      </c>
      <c r="G94" s="1"/>
      <c r="H94" s="1"/>
      <c r="I94" s="1"/>
      <c r="J94" s="1"/>
      <c r="K94" s="1"/>
      <c r="L94" s="12"/>
    </row>
    <row r="95" spans="2:12">
      <c r="B95" s="11"/>
      <c r="C95" s="1"/>
      <c r="D95" s="1"/>
      <c r="E95" s="1"/>
      <c r="F95" s="261"/>
      <c r="G95" s="1"/>
      <c r="H95" s="1"/>
      <c r="I95" s="1"/>
      <c r="J95" s="1"/>
      <c r="K95" s="1"/>
      <c r="L95" s="12"/>
    </row>
    <row r="96" spans="2:12">
      <c r="B96" s="11"/>
      <c r="C96" s="1"/>
      <c r="D96" s="1" t="s">
        <v>0</v>
      </c>
      <c r="E96" s="1"/>
      <c r="F96" s="1" t="s">
        <v>710</v>
      </c>
      <c r="G96" s="6"/>
      <c r="H96" s="1"/>
      <c r="I96" s="1"/>
      <c r="J96" s="1"/>
      <c r="K96" s="6"/>
      <c r="L96" s="12"/>
    </row>
    <row r="97" spans="2:12">
      <c r="B97" s="11" t="s">
        <v>903</v>
      </c>
      <c r="C97" s="1" t="s">
        <v>709</v>
      </c>
      <c r="D97" s="1" t="s">
        <v>0</v>
      </c>
      <c r="E97" s="1"/>
      <c r="F97" s="258" t="s">
        <v>979</v>
      </c>
      <c r="G97" s="6"/>
      <c r="H97" s="1"/>
      <c r="I97" s="1"/>
      <c r="J97" s="1"/>
      <c r="K97" s="6"/>
      <c r="L97" s="12"/>
    </row>
    <row r="98" spans="2:12">
      <c r="B98" s="11"/>
      <c r="C98" s="1"/>
      <c r="D98" s="1"/>
      <c r="E98" s="1"/>
      <c r="F98" s="2"/>
      <c r="G98" s="6"/>
      <c r="H98" s="1"/>
      <c r="I98" s="1"/>
      <c r="J98" s="1"/>
      <c r="K98" s="6"/>
      <c r="L98" s="12"/>
    </row>
    <row r="99" spans="2:12">
      <c r="B99" s="11"/>
      <c r="C99" s="1"/>
      <c r="D99" s="1"/>
      <c r="E99" s="1"/>
      <c r="F99" s="243" t="s">
        <v>952</v>
      </c>
      <c r="G99" s="6"/>
      <c r="H99" s="1"/>
      <c r="I99" s="1"/>
      <c r="J99" s="1"/>
      <c r="K99" s="6"/>
      <c r="L99" s="12"/>
    </row>
    <row r="100" spans="2:12">
      <c r="B100" s="13"/>
      <c r="C100" s="14"/>
      <c r="D100" s="14"/>
      <c r="E100" s="14"/>
      <c r="F100" s="14"/>
      <c r="G100" s="153"/>
      <c r="H100" s="14"/>
      <c r="I100" s="14"/>
      <c r="J100" s="14"/>
      <c r="K100" s="153"/>
      <c r="L100" s="15"/>
    </row>
  </sheetData>
  <hyperlinks>
    <hyperlink ref="F11" location="'IFRS7-ObligConBanc'!A1" display="Obligaciones con bancos [sinopsis]  " xr:uid="{00000000-0004-0000-0000-000000000000}"/>
    <hyperlink ref="F13" location="'IFRS7-ObligConPubl'!A1" display="Obligaciones con el público [tabla]  " xr:uid="{00000000-0004-0000-0000-000001000000}"/>
    <hyperlink ref="F24" location="'IFRS7-DeudCuenCobr'!A1" display="Deudores comerciales y otras cuentas por cobrar [sinopsis] " xr:uid="{00000000-0004-0000-0000-000002000000}"/>
    <hyperlink ref="F26" location="'IFRS7-EstrDeLaCart'!A1" display="Estratificación de la cartera [sinopsis]  " xr:uid="{00000000-0004-0000-0000-000003000000}"/>
    <hyperlink ref="F28" location="'IFRS7-CartProtCobr'!A1" display="Cartera protestada y en cobranza judicial [sinopsis]  " xr:uid="{00000000-0004-0000-0000-000004000000}"/>
    <hyperlink ref="F36" location="'IFRS7-NumeMontOper'!A1" display="Número y monto operaciones [sinopsis]  " xr:uid="{00000000-0004-0000-0000-000005000000}"/>
    <hyperlink ref="F99" location="'IFRS7-InfoMatrProv'!A1" display="Información a revelar sobre la matriz de provisiones [sinopsis]" xr:uid="{00000000-0004-0000-0000-000006000000}"/>
    <hyperlink ref="F79" location="'IFRS7-ConcCambValo'!A1" display="Información a revelar sobre la conciliación de cambios en la corrección de valor por pérdidas y explicación de los cambios en importe en libros bruto de instrumentos financieros [tabla]" xr:uid="{00000000-0004-0000-0000-000007000000}"/>
    <hyperlink ref="F94" location="'IFRS7-ExpoRiesCred'!A1" display="Información a revelar sobre la exposición al riesgo crediticio [sinopsis]" xr:uid="{00000000-0004-0000-0000-000008000000}"/>
    <hyperlink ref="F18" location="'IFRS7-RestFina'!A1" display="Restricciones Financieras [tabla] (c) " xr:uid="{00000000-0004-0000-0000-000009000000}"/>
  </hyperlink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Hoja1!$F$1:$F$2</xm:f>
          </x14:formula1>
          <xm:sqref>F16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tabColor theme="9" tint="0.39997558519241921"/>
  </sheetPr>
  <dimension ref="A1:I77"/>
  <sheetViews>
    <sheetView tabSelected="1" topLeftCell="A43" zoomScale="112" zoomScaleNormal="112" workbookViewId="0">
      <selection activeCell="G45" sqref="G45:H76"/>
    </sheetView>
  </sheetViews>
  <sheetFormatPr baseColWidth="10" defaultRowHeight="15"/>
  <cols>
    <col min="1" max="1" width="2.7109375" customWidth="1"/>
    <col min="2" max="2" width="3.28515625" customWidth="1"/>
    <col min="3" max="3" width="2.7109375" customWidth="1"/>
    <col min="4" max="4" width="5.42578125" customWidth="1"/>
    <col min="5" max="5" width="2.7109375" customWidth="1"/>
    <col min="6" max="6" width="90.7109375" customWidth="1"/>
    <col min="7" max="7" width="31.28515625" bestFit="1" customWidth="1"/>
    <col min="8" max="8" width="30.28515625" bestFit="1" customWidth="1"/>
    <col min="9" max="9" width="20.140625" bestFit="1" customWidth="1"/>
  </cols>
  <sheetData>
    <row r="1" spans="1:9" ht="54.95" customHeight="1" thickBot="1"/>
    <row r="2" spans="1:9" ht="177" customHeight="1" thickBot="1">
      <c r="F2" s="43" t="s">
        <v>2</v>
      </c>
    </row>
    <row r="3" spans="1:9" ht="16.5" thickBot="1">
      <c r="F3" s="44" t="s">
        <v>3</v>
      </c>
    </row>
    <row r="4" spans="1:9" ht="96.75" customHeight="1">
      <c r="A4" s="16" t="s">
        <v>54</v>
      </c>
      <c r="B4" s="17"/>
      <c r="C4" s="18"/>
      <c r="D4" s="18"/>
      <c r="E4" s="19"/>
      <c r="F4" s="20" t="s">
        <v>934</v>
      </c>
      <c r="G4" s="21" t="s">
        <v>1</v>
      </c>
      <c r="H4" s="21" t="s">
        <v>1</v>
      </c>
      <c r="I4" s="22" t="s">
        <v>670</v>
      </c>
    </row>
    <row r="5" spans="1:9" ht="121.5" hidden="1" customHeight="1">
      <c r="A5" s="23" t="s">
        <v>55</v>
      </c>
      <c r="B5" s="24"/>
      <c r="C5" s="25"/>
      <c r="D5" s="26" t="s">
        <v>622</v>
      </c>
      <c r="E5" s="27" t="s">
        <v>621</v>
      </c>
      <c r="F5" s="28"/>
      <c r="G5" s="35" t="str">
        <f>SUBSTITUTE(CONCATENATE("IFRS7-ObligConBanc_",TRIM(G4),"_",COLUMN(G5),"|",G4)," ","")</f>
        <v>IFRS7-ObligConBanc_Agregarcolumnaopcional_7|Agregarcolumnaopcional</v>
      </c>
      <c r="H5" s="35" t="str">
        <f>SUBSTITUTE(CONCATENATE("IFRS7-ObligConBanc_",TRIM(H4),"_",COLUMN(H5),"|",H4)," ","")</f>
        <v>IFRS7-ObligConBanc_Agregarcolumnaopcional_8|Agregarcolumnaopcional</v>
      </c>
      <c r="I5" s="29" t="s">
        <v>536</v>
      </c>
    </row>
    <row r="6" spans="1:9">
      <c r="A6" s="30"/>
      <c r="B6" s="36"/>
      <c r="C6" s="37"/>
      <c r="D6" s="38"/>
      <c r="E6" s="39"/>
      <c r="F6" s="45"/>
      <c r="G6" s="49"/>
      <c r="H6" s="49"/>
      <c r="I6" s="95"/>
    </row>
    <row r="7" spans="1:9">
      <c r="A7" s="30"/>
      <c r="B7" s="31"/>
      <c r="C7" s="32"/>
      <c r="D7" s="33"/>
      <c r="E7" s="34"/>
      <c r="F7" s="46"/>
      <c r="G7" s="50"/>
      <c r="H7" s="50"/>
      <c r="I7" s="96"/>
    </row>
    <row r="8" spans="1:9" ht="12.75" customHeight="1">
      <c r="A8" s="30"/>
      <c r="B8" s="31" t="s">
        <v>903</v>
      </c>
      <c r="C8" s="32" t="s">
        <v>537</v>
      </c>
      <c r="D8" s="33" t="s">
        <v>4</v>
      </c>
      <c r="E8" s="32" t="s">
        <v>0</v>
      </c>
      <c r="F8" s="47" t="s">
        <v>658</v>
      </c>
      <c r="G8" s="52" t="s">
        <v>995</v>
      </c>
      <c r="H8" s="52" t="s">
        <v>995</v>
      </c>
      <c r="I8" s="144"/>
    </row>
    <row r="9" spans="1:9" ht="12.75" customHeight="1">
      <c r="A9" s="30"/>
      <c r="B9" s="31" t="s">
        <v>903</v>
      </c>
      <c r="C9" s="32" t="s">
        <v>538</v>
      </c>
      <c r="D9" s="33" t="s">
        <v>4</v>
      </c>
      <c r="E9" s="32" t="s">
        <v>0</v>
      </c>
      <c r="F9" s="47" t="s">
        <v>659</v>
      </c>
      <c r="G9" s="52" t="s">
        <v>996</v>
      </c>
      <c r="H9" s="52" t="s">
        <v>996</v>
      </c>
      <c r="I9" s="144"/>
    </row>
    <row r="10" spans="1:9" ht="12.75" customHeight="1">
      <c r="A10" s="30"/>
      <c r="B10" s="294" t="s">
        <v>903</v>
      </c>
      <c r="C10" s="295" t="s">
        <v>851</v>
      </c>
      <c r="D10" s="296" t="s">
        <v>4</v>
      </c>
      <c r="E10" s="295" t="s">
        <v>0</v>
      </c>
      <c r="F10" s="297" t="s">
        <v>660</v>
      </c>
      <c r="G10" s="149" t="s">
        <v>143</v>
      </c>
      <c r="H10" s="149" t="s">
        <v>143</v>
      </c>
      <c r="I10" s="144"/>
    </row>
    <row r="11" spans="1:9" ht="12.75" customHeight="1">
      <c r="A11" s="30"/>
      <c r="B11" s="31" t="s">
        <v>903</v>
      </c>
      <c r="C11" s="32" t="s">
        <v>539</v>
      </c>
      <c r="D11" s="33" t="s">
        <v>4</v>
      </c>
      <c r="E11" s="32" t="s">
        <v>0</v>
      </c>
      <c r="F11" s="47" t="s">
        <v>661</v>
      </c>
      <c r="G11" s="52" t="s">
        <v>997</v>
      </c>
      <c r="H11" s="52" t="s">
        <v>997</v>
      </c>
      <c r="I11" s="144"/>
    </row>
    <row r="12" spans="1:9" ht="12.75" customHeight="1">
      <c r="A12" s="30"/>
      <c r="B12" s="294" t="s">
        <v>903</v>
      </c>
      <c r="C12" s="295" t="s">
        <v>861</v>
      </c>
      <c r="D12" s="296" t="s">
        <v>4</v>
      </c>
      <c r="E12" s="295" t="s">
        <v>0</v>
      </c>
      <c r="F12" s="297" t="s">
        <v>662</v>
      </c>
      <c r="G12" s="149" t="s">
        <v>374</v>
      </c>
      <c r="H12" s="149" t="s">
        <v>374</v>
      </c>
      <c r="I12" s="144"/>
    </row>
    <row r="13" spans="1:9" ht="12.75" customHeight="1">
      <c r="A13" s="30"/>
      <c r="B13" s="31" t="s">
        <v>903</v>
      </c>
      <c r="C13" s="32" t="s">
        <v>540</v>
      </c>
      <c r="D13" s="33" t="s">
        <v>4</v>
      </c>
      <c r="E13" s="32" t="s">
        <v>0</v>
      </c>
      <c r="F13" s="47" t="s">
        <v>663</v>
      </c>
      <c r="G13" s="52" t="s">
        <v>997</v>
      </c>
      <c r="H13" s="52" t="s">
        <v>997</v>
      </c>
      <c r="I13" s="144"/>
    </row>
    <row r="14" spans="1:9" ht="12.75" customHeight="1">
      <c r="A14" s="30"/>
      <c r="B14" s="31" t="s">
        <v>903</v>
      </c>
      <c r="C14" s="32" t="s">
        <v>541</v>
      </c>
      <c r="D14" s="33" t="s">
        <v>4</v>
      </c>
      <c r="E14" s="32" t="s">
        <v>0</v>
      </c>
      <c r="F14" s="47" t="s">
        <v>664</v>
      </c>
      <c r="G14" s="127">
        <v>19</v>
      </c>
      <c r="H14" s="52">
        <v>19</v>
      </c>
      <c r="I14" s="145"/>
    </row>
    <row r="15" spans="1:9" ht="12.75" customHeight="1">
      <c r="A15" s="30"/>
      <c r="B15" s="31" t="s">
        <v>903</v>
      </c>
      <c r="C15" s="32" t="s">
        <v>542</v>
      </c>
      <c r="D15" s="33" t="s">
        <v>4</v>
      </c>
      <c r="E15" s="32" t="s">
        <v>0</v>
      </c>
      <c r="F15" s="47" t="s">
        <v>665</v>
      </c>
      <c r="G15" s="127">
        <v>19</v>
      </c>
      <c r="H15" s="52">
        <v>19</v>
      </c>
      <c r="I15" s="145"/>
    </row>
    <row r="16" spans="1:9" ht="12.75" customHeight="1">
      <c r="A16" s="30"/>
      <c r="B16" s="31"/>
      <c r="C16" s="32"/>
      <c r="D16" s="33"/>
      <c r="E16" s="32" t="s">
        <v>0</v>
      </c>
      <c r="F16" s="46" t="s">
        <v>8</v>
      </c>
      <c r="G16" s="360">
        <v>19</v>
      </c>
      <c r="H16" s="361">
        <v>19</v>
      </c>
      <c r="I16" s="102"/>
    </row>
    <row r="17" spans="1:9" ht="12.75" customHeight="1">
      <c r="A17" s="30"/>
      <c r="B17" s="31" t="s">
        <v>903</v>
      </c>
      <c r="C17" s="32" t="s">
        <v>543</v>
      </c>
      <c r="D17" s="33" t="s">
        <v>4</v>
      </c>
      <c r="E17" s="32" t="s">
        <v>0</v>
      </c>
      <c r="F17" s="47" t="s">
        <v>58</v>
      </c>
      <c r="G17" s="52">
        <v>57742278000</v>
      </c>
      <c r="H17" s="52"/>
      <c r="I17" s="111">
        <f>SUM(G17:H17)</f>
        <v>57742278000</v>
      </c>
    </row>
    <row r="18" spans="1:9" ht="12.75" customHeight="1">
      <c r="A18" s="30"/>
      <c r="B18" s="31" t="s">
        <v>903</v>
      </c>
      <c r="C18" s="32" t="s">
        <v>544</v>
      </c>
      <c r="D18" s="33" t="s">
        <v>4</v>
      </c>
      <c r="E18" s="32" t="s">
        <v>0</v>
      </c>
      <c r="F18" s="47" t="s">
        <v>59</v>
      </c>
      <c r="G18" s="127"/>
      <c r="H18" s="52">
        <v>28278323000</v>
      </c>
      <c r="I18" s="111">
        <f>SUM(G18:H18)</f>
        <v>28278323000</v>
      </c>
    </row>
    <row r="19" spans="1:9" ht="12.75" customHeight="1">
      <c r="A19" s="30"/>
      <c r="B19" s="31" t="s">
        <v>903</v>
      </c>
      <c r="C19" s="32" t="s">
        <v>545</v>
      </c>
      <c r="D19" s="33" t="s">
        <v>4</v>
      </c>
      <c r="E19" s="32" t="s">
        <v>0</v>
      </c>
      <c r="F19" s="46" t="s">
        <v>60</v>
      </c>
      <c r="G19" s="135">
        <f>G20+G21</f>
        <v>25686262000</v>
      </c>
      <c r="H19" s="135">
        <f>H20+H21</f>
        <v>111335431000</v>
      </c>
      <c r="I19" s="111">
        <f>SUM(G19:H19)</f>
        <v>137021693000</v>
      </c>
    </row>
    <row r="20" spans="1:9" ht="12.75" customHeight="1">
      <c r="A20" s="30"/>
      <c r="B20" s="31" t="s">
        <v>903</v>
      </c>
      <c r="C20" s="32" t="s">
        <v>546</v>
      </c>
      <c r="D20" s="33" t="s">
        <v>4</v>
      </c>
      <c r="E20" s="32" t="s">
        <v>0</v>
      </c>
      <c r="F20" s="47" t="s">
        <v>61</v>
      </c>
      <c r="G20" s="52"/>
      <c r="H20" s="52">
        <v>111335431000</v>
      </c>
      <c r="I20" s="111">
        <f t="shared" ref="I20:I39" si="0">SUM(G20:H20)</f>
        <v>111335431000</v>
      </c>
    </row>
    <row r="21" spans="1:9" ht="12.75" customHeight="1">
      <c r="A21" s="30"/>
      <c r="B21" s="31" t="s">
        <v>903</v>
      </c>
      <c r="C21" s="32" t="s">
        <v>547</v>
      </c>
      <c r="D21" s="33" t="s">
        <v>4</v>
      </c>
      <c r="E21" s="32" t="s">
        <v>0</v>
      </c>
      <c r="F21" s="47" t="s">
        <v>62</v>
      </c>
      <c r="G21" s="52">
        <v>25686262000</v>
      </c>
      <c r="H21" s="52"/>
      <c r="I21" s="111">
        <f t="shared" si="0"/>
        <v>25686262000</v>
      </c>
    </row>
    <row r="22" spans="1:9" ht="12.75" customHeight="1">
      <c r="A22" s="30"/>
      <c r="B22" s="31" t="s">
        <v>903</v>
      </c>
      <c r="C22" s="32" t="s">
        <v>548</v>
      </c>
      <c r="D22" s="33" t="s">
        <v>4</v>
      </c>
      <c r="E22" s="32" t="s">
        <v>0</v>
      </c>
      <c r="F22" s="46" t="s">
        <v>63</v>
      </c>
      <c r="G22" s="135">
        <f>G23+G24</f>
        <v>28611030000</v>
      </c>
      <c r="H22" s="136">
        <f>H23+H24</f>
        <v>26763015000</v>
      </c>
      <c r="I22" s="111">
        <f t="shared" si="0"/>
        <v>55374045000</v>
      </c>
    </row>
    <row r="23" spans="1:9" ht="12.75" customHeight="1">
      <c r="A23" s="30"/>
      <c r="B23" s="31" t="s">
        <v>903</v>
      </c>
      <c r="C23" s="32" t="s">
        <v>549</v>
      </c>
      <c r="D23" s="33" t="s">
        <v>4</v>
      </c>
      <c r="E23" s="32" t="s">
        <v>0</v>
      </c>
      <c r="F23" s="47" t="s">
        <v>64</v>
      </c>
      <c r="G23" s="52"/>
      <c r="H23" s="52">
        <v>26763015000</v>
      </c>
      <c r="I23" s="111">
        <f t="shared" si="0"/>
        <v>26763015000</v>
      </c>
    </row>
    <row r="24" spans="1:9" ht="12.75" customHeight="1">
      <c r="A24" s="30"/>
      <c r="B24" s="31" t="s">
        <v>903</v>
      </c>
      <c r="C24" s="32" t="s">
        <v>550</v>
      </c>
      <c r="D24" s="33" t="s">
        <v>4</v>
      </c>
      <c r="E24" s="32" t="s">
        <v>0</v>
      </c>
      <c r="F24" s="47" t="s">
        <v>65</v>
      </c>
      <c r="G24" s="52">
        <v>28611030000</v>
      </c>
      <c r="H24" s="52"/>
      <c r="I24" s="111">
        <f t="shared" si="0"/>
        <v>28611030000</v>
      </c>
    </row>
    <row r="25" spans="1:9" ht="12.75" customHeight="1">
      <c r="A25" s="30"/>
      <c r="B25" s="31" t="s">
        <v>903</v>
      </c>
      <c r="C25" s="32" t="s">
        <v>551</v>
      </c>
      <c r="D25" s="33" t="s">
        <v>4</v>
      </c>
      <c r="E25" s="32" t="s">
        <v>0</v>
      </c>
      <c r="F25" s="47" t="s">
        <v>66</v>
      </c>
      <c r="G25" s="52"/>
      <c r="H25" s="52">
        <v>119001442000</v>
      </c>
      <c r="I25" s="111">
        <f>SUM(G25:H25)</f>
        <v>119001442000</v>
      </c>
    </row>
    <row r="26" spans="1:9" ht="12.75" customHeight="1">
      <c r="A26" s="30"/>
      <c r="B26" s="31" t="s">
        <v>903</v>
      </c>
      <c r="C26" s="32" t="s">
        <v>552</v>
      </c>
      <c r="D26" s="33" t="s">
        <v>4</v>
      </c>
      <c r="E26" s="32" t="s">
        <v>0</v>
      </c>
      <c r="F26" s="46" t="s">
        <v>67</v>
      </c>
      <c r="G26" s="97">
        <f>G17+G18+G19+G22+G25</f>
        <v>112039570000</v>
      </c>
      <c r="H26" s="97">
        <f>H17+H18+H19+H22+H25</f>
        <v>285378211000</v>
      </c>
      <c r="I26" s="111">
        <f>SUM(G26:H26)</f>
        <v>397417781000</v>
      </c>
    </row>
    <row r="27" spans="1:9" ht="12.75" customHeight="1">
      <c r="A27" s="30"/>
      <c r="B27" s="31"/>
      <c r="C27" s="32"/>
      <c r="D27" s="33"/>
      <c r="E27" s="32" t="s">
        <v>0</v>
      </c>
      <c r="F27" s="46" t="s">
        <v>9</v>
      </c>
      <c r="G27" s="47"/>
      <c r="H27" s="47"/>
      <c r="I27" s="102"/>
    </row>
    <row r="28" spans="1:9" ht="12.75" customHeight="1">
      <c r="A28" s="30"/>
      <c r="B28" s="31" t="s">
        <v>903</v>
      </c>
      <c r="C28" s="32" t="s">
        <v>553</v>
      </c>
      <c r="D28" s="33" t="s">
        <v>4</v>
      </c>
      <c r="E28" s="32" t="s">
        <v>0</v>
      </c>
      <c r="F28" s="46" t="s">
        <v>68</v>
      </c>
      <c r="G28" s="135">
        <f>G29+G30</f>
        <v>0</v>
      </c>
      <c r="H28" s="135">
        <f>H29+H30</f>
        <v>71208935000</v>
      </c>
      <c r="I28" s="111">
        <f t="shared" si="0"/>
        <v>71208935000</v>
      </c>
    </row>
    <row r="29" spans="1:9" ht="12.75" customHeight="1">
      <c r="A29" s="30"/>
      <c r="B29" s="31" t="s">
        <v>903</v>
      </c>
      <c r="C29" s="32" t="s">
        <v>554</v>
      </c>
      <c r="D29" s="33" t="s">
        <v>4</v>
      </c>
      <c r="E29" s="32" t="s">
        <v>0</v>
      </c>
      <c r="F29" s="47" t="s">
        <v>69</v>
      </c>
      <c r="G29" s="52"/>
      <c r="H29" s="52"/>
      <c r="I29" s="111">
        <f>SUM(G29:H29)</f>
        <v>0</v>
      </c>
    </row>
    <row r="30" spans="1:9" ht="12.75" customHeight="1">
      <c r="A30" s="30"/>
      <c r="B30" s="31" t="s">
        <v>903</v>
      </c>
      <c r="C30" s="32" t="s">
        <v>555</v>
      </c>
      <c r="D30" s="33" t="s">
        <v>4</v>
      </c>
      <c r="E30" s="32" t="s">
        <v>0</v>
      </c>
      <c r="F30" s="47" t="s">
        <v>70</v>
      </c>
      <c r="G30" s="52"/>
      <c r="H30" s="52">
        <v>71208935000</v>
      </c>
      <c r="I30" s="111">
        <f>SUM(G30:H30)</f>
        <v>71208935000</v>
      </c>
    </row>
    <row r="31" spans="1:9" ht="12.75" customHeight="1">
      <c r="A31" s="30"/>
      <c r="B31" s="31" t="s">
        <v>903</v>
      </c>
      <c r="C31" s="32" t="s">
        <v>556</v>
      </c>
      <c r="D31" s="33" t="s">
        <v>4</v>
      </c>
      <c r="E31" s="32" t="s">
        <v>0</v>
      </c>
      <c r="F31" s="46" t="s">
        <v>71</v>
      </c>
      <c r="G31" s="135">
        <f>G32+G35+G38</f>
        <v>250633816000</v>
      </c>
      <c r="H31" s="136">
        <f>H32+H35+H38</f>
        <v>0</v>
      </c>
      <c r="I31" s="111">
        <f>SUM(G31:H31)</f>
        <v>250633816000</v>
      </c>
    </row>
    <row r="32" spans="1:9" ht="12.75" customHeight="1">
      <c r="A32" s="30"/>
      <c r="B32" s="31" t="s">
        <v>903</v>
      </c>
      <c r="C32" s="32" t="s">
        <v>557</v>
      </c>
      <c r="D32" s="33" t="s">
        <v>4</v>
      </c>
      <c r="E32" s="32" t="s">
        <v>0</v>
      </c>
      <c r="F32" s="46" t="s">
        <v>72</v>
      </c>
      <c r="G32" s="135">
        <f>G33+G34</f>
        <v>0</v>
      </c>
      <c r="H32" s="136">
        <f>H33+H34</f>
        <v>0</v>
      </c>
      <c r="I32" s="111">
        <f t="shared" si="0"/>
        <v>0</v>
      </c>
    </row>
    <row r="33" spans="1:9" ht="12.75" customHeight="1">
      <c r="A33" s="30"/>
      <c r="B33" s="31" t="s">
        <v>903</v>
      </c>
      <c r="C33" s="32" t="s">
        <v>558</v>
      </c>
      <c r="D33" s="33" t="s">
        <v>4</v>
      </c>
      <c r="E33" s="32" t="s">
        <v>0</v>
      </c>
      <c r="F33" s="47" t="s">
        <v>73</v>
      </c>
      <c r="G33" s="52"/>
      <c r="H33" s="52"/>
      <c r="I33" s="111">
        <f t="shared" si="0"/>
        <v>0</v>
      </c>
    </row>
    <row r="34" spans="1:9" ht="12.75" customHeight="1">
      <c r="A34" s="30"/>
      <c r="B34" s="31" t="s">
        <v>903</v>
      </c>
      <c r="C34" s="32" t="s">
        <v>559</v>
      </c>
      <c r="D34" s="33" t="s">
        <v>4</v>
      </c>
      <c r="E34" s="32" t="s">
        <v>0</v>
      </c>
      <c r="F34" s="47" t="s">
        <v>74</v>
      </c>
      <c r="G34" s="52"/>
      <c r="H34" s="52"/>
      <c r="I34" s="111">
        <f>SUM(G34:H34)</f>
        <v>0</v>
      </c>
    </row>
    <row r="35" spans="1:9" ht="12.75" customHeight="1">
      <c r="A35" s="30"/>
      <c r="B35" s="31" t="s">
        <v>903</v>
      </c>
      <c r="C35" s="32" t="s">
        <v>560</v>
      </c>
      <c r="D35" s="33" t="s">
        <v>4</v>
      </c>
      <c r="E35" s="32" t="s">
        <v>0</v>
      </c>
      <c r="F35" s="46" t="s">
        <v>75</v>
      </c>
      <c r="G35" s="135">
        <f>G36+G37</f>
        <v>0</v>
      </c>
      <c r="H35" s="135">
        <f>H36+H37</f>
        <v>0</v>
      </c>
      <c r="I35" s="111">
        <f t="shared" si="0"/>
        <v>0</v>
      </c>
    </row>
    <row r="36" spans="1:9" ht="12.75" customHeight="1">
      <c r="A36" s="30"/>
      <c r="B36" s="31" t="s">
        <v>903</v>
      </c>
      <c r="C36" s="32" t="s">
        <v>561</v>
      </c>
      <c r="D36" s="33" t="s">
        <v>4</v>
      </c>
      <c r="E36" s="32" t="s">
        <v>0</v>
      </c>
      <c r="F36" s="47" t="s">
        <v>76</v>
      </c>
      <c r="G36" s="52"/>
      <c r="H36" s="52"/>
      <c r="I36" s="111">
        <f t="shared" si="0"/>
        <v>0</v>
      </c>
    </row>
    <row r="37" spans="1:9" ht="12.75" customHeight="1">
      <c r="A37" s="30"/>
      <c r="B37" s="31" t="s">
        <v>903</v>
      </c>
      <c r="C37" s="32" t="s">
        <v>562</v>
      </c>
      <c r="D37" s="33" t="s">
        <v>4</v>
      </c>
      <c r="E37" s="32" t="s">
        <v>0</v>
      </c>
      <c r="F37" s="47" t="s">
        <v>77</v>
      </c>
      <c r="G37" s="52"/>
      <c r="H37" s="52"/>
      <c r="I37" s="111">
        <f>SUM(G37:H37)</f>
        <v>0</v>
      </c>
    </row>
    <row r="38" spans="1:9" ht="12.75" customHeight="1">
      <c r="A38" s="30"/>
      <c r="B38" s="31" t="s">
        <v>903</v>
      </c>
      <c r="C38" s="32" t="s">
        <v>563</v>
      </c>
      <c r="D38" s="33" t="s">
        <v>4</v>
      </c>
      <c r="E38" s="32" t="s">
        <v>0</v>
      </c>
      <c r="F38" s="47" t="s">
        <v>78</v>
      </c>
      <c r="G38" s="52">
        <v>250633816000</v>
      </c>
      <c r="H38" s="52"/>
      <c r="I38" s="111">
        <f t="shared" si="0"/>
        <v>250633816000</v>
      </c>
    </row>
    <row r="39" spans="1:9" ht="12.75" customHeight="1">
      <c r="A39" s="30"/>
      <c r="B39" s="31" t="s">
        <v>903</v>
      </c>
      <c r="C39" s="32" t="s">
        <v>564</v>
      </c>
      <c r="D39" s="33" t="s">
        <v>4</v>
      </c>
      <c r="E39" s="32" t="s">
        <v>0</v>
      </c>
      <c r="F39" s="46" t="s">
        <v>79</v>
      </c>
      <c r="G39" s="135">
        <f>G28+G31</f>
        <v>250633816000</v>
      </c>
      <c r="H39" s="135">
        <f>H28+H31</f>
        <v>71208935000</v>
      </c>
      <c r="I39" s="111">
        <f t="shared" si="0"/>
        <v>321842751000</v>
      </c>
    </row>
    <row r="40" spans="1:9">
      <c r="B40" s="40"/>
      <c r="C40" s="41"/>
      <c r="D40" s="41"/>
      <c r="E40" s="41"/>
      <c r="F40" s="48"/>
      <c r="G40" s="51"/>
      <c r="H40" s="51"/>
      <c r="I40" s="93"/>
    </row>
    <row r="42" spans="1:9" ht="96.75" customHeight="1">
      <c r="A42" s="16"/>
      <c r="B42" s="17"/>
      <c r="C42" s="18"/>
      <c r="D42" s="18"/>
      <c r="E42" s="19"/>
      <c r="F42" s="20" t="s">
        <v>6</v>
      </c>
      <c r="G42" s="125" t="str">
        <f>IF(G4="Agregar columna opcional","",G4)</f>
        <v/>
      </c>
      <c r="H42" s="125" t="str">
        <f>IF(H4="Agregar columna opcional","",H4)</f>
        <v/>
      </c>
      <c r="I42" s="124" t="s">
        <v>7</v>
      </c>
    </row>
    <row r="43" spans="1:9">
      <c r="A43" s="30"/>
      <c r="B43" s="120"/>
      <c r="C43" s="121"/>
      <c r="D43" s="122"/>
      <c r="E43" s="26"/>
      <c r="F43" s="123"/>
      <c r="G43" s="26"/>
      <c r="H43" s="26"/>
      <c r="I43" s="119"/>
    </row>
    <row r="44" spans="1:9">
      <c r="A44" s="30"/>
      <c r="B44" s="31"/>
      <c r="C44" s="32"/>
      <c r="D44" s="33"/>
      <c r="E44" s="34"/>
      <c r="F44" s="117"/>
      <c r="G44" s="32"/>
      <c r="H44" s="32"/>
      <c r="I44" s="100"/>
    </row>
    <row r="45" spans="1:9" ht="12.75" customHeight="1">
      <c r="A45" s="30"/>
      <c r="B45" s="31" t="s">
        <v>903</v>
      </c>
      <c r="C45" s="32" t="s">
        <v>537</v>
      </c>
      <c r="D45" s="33" t="s">
        <v>47</v>
      </c>
      <c r="E45" s="32" t="s">
        <v>0</v>
      </c>
      <c r="F45" s="47" t="s">
        <v>658</v>
      </c>
      <c r="G45" s="52" t="s">
        <v>995</v>
      </c>
      <c r="H45" s="52" t="s">
        <v>995</v>
      </c>
      <c r="I45" s="144"/>
    </row>
    <row r="46" spans="1:9" ht="12.75" customHeight="1">
      <c r="A46" s="30"/>
      <c r="B46" s="31" t="s">
        <v>903</v>
      </c>
      <c r="C46" s="32" t="s">
        <v>538</v>
      </c>
      <c r="D46" s="33" t="s">
        <v>47</v>
      </c>
      <c r="E46" s="32" t="s">
        <v>0</v>
      </c>
      <c r="F46" s="47" t="s">
        <v>659</v>
      </c>
      <c r="G46" s="52" t="s">
        <v>996</v>
      </c>
      <c r="H46" s="52" t="s">
        <v>996</v>
      </c>
      <c r="I46" s="144"/>
    </row>
    <row r="47" spans="1:9" ht="12.75" customHeight="1">
      <c r="A47" s="30"/>
      <c r="B47" s="294" t="s">
        <v>903</v>
      </c>
      <c r="C47" s="295" t="s">
        <v>851</v>
      </c>
      <c r="D47" s="296" t="s">
        <v>47</v>
      </c>
      <c r="E47" s="295" t="s">
        <v>0</v>
      </c>
      <c r="F47" s="297" t="s">
        <v>660</v>
      </c>
      <c r="G47" s="149" t="s">
        <v>143</v>
      </c>
      <c r="H47" s="149" t="s">
        <v>143</v>
      </c>
      <c r="I47" s="144"/>
    </row>
    <row r="48" spans="1:9" ht="12.75" customHeight="1">
      <c r="A48" s="30"/>
      <c r="B48" s="31" t="s">
        <v>903</v>
      </c>
      <c r="C48" s="32" t="s">
        <v>539</v>
      </c>
      <c r="D48" s="33" t="s">
        <v>47</v>
      </c>
      <c r="E48" s="32" t="s">
        <v>0</v>
      </c>
      <c r="F48" s="47" t="s">
        <v>661</v>
      </c>
      <c r="G48" s="52" t="s">
        <v>997</v>
      </c>
      <c r="H48" s="52" t="s">
        <v>997</v>
      </c>
      <c r="I48" s="144"/>
    </row>
    <row r="49" spans="1:9" ht="12.75" customHeight="1">
      <c r="A49" s="30"/>
      <c r="B49" s="294" t="s">
        <v>903</v>
      </c>
      <c r="C49" s="295" t="s">
        <v>861</v>
      </c>
      <c r="D49" s="296" t="s">
        <v>47</v>
      </c>
      <c r="E49" s="295" t="s">
        <v>0</v>
      </c>
      <c r="F49" s="297" t="s">
        <v>662</v>
      </c>
      <c r="G49" s="149" t="s">
        <v>374</v>
      </c>
      <c r="H49" s="149" t="s">
        <v>374</v>
      </c>
      <c r="I49" s="144"/>
    </row>
    <row r="50" spans="1:9" ht="12.75" customHeight="1">
      <c r="A50" s="30"/>
      <c r="B50" s="31" t="s">
        <v>903</v>
      </c>
      <c r="C50" s="32" t="s">
        <v>540</v>
      </c>
      <c r="D50" s="33" t="s">
        <v>47</v>
      </c>
      <c r="E50" s="32" t="s">
        <v>0</v>
      </c>
      <c r="F50" s="47" t="s">
        <v>663</v>
      </c>
      <c r="G50" s="52" t="s">
        <v>997</v>
      </c>
      <c r="H50" s="52" t="s">
        <v>997</v>
      </c>
      <c r="I50" s="144"/>
    </row>
    <row r="51" spans="1:9" ht="12.75" customHeight="1">
      <c r="A51" s="30"/>
      <c r="B51" s="31" t="s">
        <v>903</v>
      </c>
      <c r="C51" s="32" t="s">
        <v>541</v>
      </c>
      <c r="D51" s="33" t="s">
        <v>47</v>
      </c>
      <c r="E51" s="32" t="s">
        <v>0</v>
      </c>
      <c r="F51" s="47" t="s">
        <v>664</v>
      </c>
      <c r="G51" s="127">
        <v>19</v>
      </c>
      <c r="H51" s="52">
        <v>19</v>
      </c>
      <c r="I51" s="145"/>
    </row>
    <row r="52" spans="1:9" ht="12.75" customHeight="1">
      <c r="A52" s="30"/>
      <c r="B52" s="31" t="s">
        <v>903</v>
      </c>
      <c r="C52" s="32" t="s">
        <v>542</v>
      </c>
      <c r="D52" s="33" t="s">
        <v>47</v>
      </c>
      <c r="E52" s="32" t="s">
        <v>0</v>
      </c>
      <c r="F52" s="47" t="s">
        <v>665</v>
      </c>
      <c r="G52" s="127">
        <v>19</v>
      </c>
      <c r="H52" s="52">
        <v>19</v>
      </c>
      <c r="I52" s="145"/>
    </row>
    <row r="53" spans="1:9" ht="12.75" customHeight="1">
      <c r="A53" s="30"/>
      <c r="B53" s="31"/>
      <c r="C53" s="32"/>
      <c r="D53" s="33"/>
      <c r="E53" s="32" t="s">
        <v>0</v>
      </c>
      <c r="F53" s="46" t="s">
        <v>8</v>
      </c>
      <c r="G53" s="360">
        <v>19</v>
      </c>
      <c r="H53" s="361">
        <v>19</v>
      </c>
      <c r="I53" s="102"/>
    </row>
    <row r="54" spans="1:9" ht="12.75" customHeight="1">
      <c r="A54" s="30" t="s">
        <v>48</v>
      </c>
      <c r="B54" s="31" t="s">
        <v>903</v>
      </c>
      <c r="C54" s="32" t="s">
        <v>543</v>
      </c>
      <c r="D54" s="33" t="s">
        <v>4</v>
      </c>
      <c r="E54" s="32" t="s">
        <v>0</v>
      </c>
      <c r="F54" s="47" t="s">
        <v>58</v>
      </c>
      <c r="G54" s="127"/>
      <c r="H54" s="52">
        <v>24507240000</v>
      </c>
      <c r="I54" s="111">
        <f>SUM(G54:H54)</f>
        <v>24507240000</v>
      </c>
    </row>
    <row r="55" spans="1:9" ht="12.75" customHeight="1">
      <c r="A55" s="30" t="s">
        <v>48</v>
      </c>
      <c r="B55" s="31" t="s">
        <v>903</v>
      </c>
      <c r="C55" s="32" t="s">
        <v>544</v>
      </c>
      <c r="D55" s="33" t="s">
        <v>4</v>
      </c>
      <c r="E55" s="32" t="s">
        <v>0</v>
      </c>
      <c r="F55" s="47" t="s">
        <v>59</v>
      </c>
      <c r="G55" s="127"/>
      <c r="H55" s="52">
        <v>35755704000</v>
      </c>
      <c r="I55" s="111">
        <f>SUM(G55:H55)</f>
        <v>35755704000</v>
      </c>
    </row>
    <row r="56" spans="1:9" ht="12.75" customHeight="1">
      <c r="A56" s="30" t="s">
        <v>48</v>
      </c>
      <c r="B56" s="31" t="s">
        <v>903</v>
      </c>
      <c r="C56" s="32" t="s">
        <v>545</v>
      </c>
      <c r="D56" s="33" t="s">
        <v>4</v>
      </c>
      <c r="E56" s="32" t="s">
        <v>0</v>
      </c>
      <c r="F56" s="46" t="s">
        <v>60</v>
      </c>
      <c r="G56" s="135">
        <f>G57+G58</f>
        <v>81081379000</v>
      </c>
      <c r="H56" s="135">
        <f>H57+H58</f>
        <v>81403194000</v>
      </c>
      <c r="I56" s="111">
        <f>SUM(G56:H56)</f>
        <v>162484573000</v>
      </c>
    </row>
    <row r="57" spans="1:9" ht="12.75" customHeight="1">
      <c r="A57" s="30" t="s">
        <v>48</v>
      </c>
      <c r="B57" s="31" t="s">
        <v>903</v>
      </c>
      <c r="C57" s="32" t="s">
        <v>546</v>
      </c>
      <c r="D57" s="33" t="s">
        <v>4</v>
      </c>
      <c r="E57" s="32" t="s">
        <v>0</v>
      </c>
      <c r="F57" s="47" t="s">
        <v>61</v>
      </c>
      <c r="G57" s="52"/>
      <c r="H57" s="52">
        <v>81403194000</v>
      </c>
      <c r="I57" s="111">
        <f t="shared" ref="I57:I61" si="1">SUM(G57:H57)</f>
        <v>81403194000</v>
      </c>
    </row>
    <row r="58" spans="1:9" ht="12.75" customHeight="1">
      <c r="A58" s="30" t="s">
        <v>48</v>
      </c>
      <c r="B58" s="31" t="s">
        <v>903</v>
      </c>
      <c r="C58" s="32" t="s">
        <v>547</v>
      </c>
      <c r="D58" s="33" t="s">
        <v>4</v>
      </c>
      <c r="E58" s="32" t="s">
        <v>0</v>
      </c>
      <c r="F58" s="47" t="s">
        <v>62</v>
      </c>
      <c r="G58" s="52">
        <v>81081379000</v>
      </c>
      <c r="H58" s="52"/>
      <c r="I58" s="111">
        <f t="shared" si="1"/>
        <v>81081379000</v>
      </c>
    </row>
    <row r="59" spans="1:9" ht="12.75" customHeight="1">
      <c r="A59" s="30" t="s">
        <v>48</v>
      </c>
      <c r="B59" s="31" t="s">
        <v>903</v>
      </c>
      <c r="C59" s="32" t="s">
        <v>548</v>
      </c>
      <c r="D59" s="33" t="s">
        <v>4</v>
      </c>
      <c r="E59" s="32" t="s">
        <v>0</v>
      </c>
      <c r="F59" s="46" t="s">
        <v>63</v>
      </c>
      <c r="G59" s="135">
        <f>G60+G61</f>
        <v>22009990000</v>
      </c>
      <c r="H59" s="136">
        <f>H60+H61</f>
        <v>24522673000</v>
      </c>
      <c r="I59" s="111">
        <f t="shared" si="1"/>
        <v>46532663000</v>
      </c>
    </row>
    <row r="60" spans="1:9" ht="12.75" customHeight="1">
      <c r="A60" s="30" t="s">
        <v>48</v>
      </c>
      <c r="B60" s="31" t="s">
        <v>903</v>
      </c>
      <c r="C60" s="32" t="s">
        <v>549</v>
      </c>
      <c r="D60" s="33" t="s">
        <v>4</v>
      </c>
      <c r="E60" s="32" t="s">
        <v>0</v>
      </c>
      <c r="F60" s="47" t="s">
        <v>64</v>
      </c>
      <c r="G60" s="52"/>
      <c r="H60" s="52">
        <v>24522673000</v>
      </c>
      <c r="I60" s="111">
        <f t="shared" si="1"/>
        <v>24522673000</v>
      </c>
    </row>
    <row r="61" spans="1:9" ht="12.75" customHeight="1">
      <c r="A61" s="30" t="s">
        <v>48</v>
      </c>
      <c r="B61" s="31" t="s">
        <v>903</v>
      </c>
      <c r="C61" s="32" t="s">
        <v>550</v>
      </c>
      <c r="D61" s="33" t="s">
        <v>4</v>
      </c>
      <c r="E61" s="32" t="s">
        <v>0</v>
      </c>
      <c r="F61" s="47" t="s">
        <v>65</v>
      </c>
      <c r="G61" s="52">
        <v>22009990000</v>
      </c>
      <c r="H61" s="52"/>
      <c r="I61" s="111">
        <f t="shared" si="1"/>
        <v>22009990000</v>
      </c>
    </row>
    <row r="62" spans="1:9" ht="12.75" customHeight="1">
      <c r="A62" s="30" t="s">
        <v>48</v>
      </c>
      <c r="B62" s="31" t="s">
        <v>903</v>
      </c>
      <c r="C62" s="32" t="s">
        <v>551</v>
      </c>
      <c r="D62" s="33" t="s">
        <v>4</v>
      </c>
      <c r="E62" s="32" t="s">
        <v>0</v>
      </c>
      <c r="F62" s="47" t="s">
        <v>66</v>
      </c>
      <c r="G62" s="52"/>
      <c r="H62" s="52">
        <v>94140418000</v>
      </c>
      <c r="I62" s="111">
        <f>SUM(G62:H62)</f>
        <v>94140418000</v>
      </c>
    </row>
    <row r="63" spans="1:9" ht="12.75" customHeight="1">
      <c r="A63" s="30" t="s">
        <v>48</v>
      </c>
      <c r="B63" s="31" t="s">
        <v>903</v>
      </c>
      <c r="C63" s="32" t="s">
        <v>552</v>
      </c>
      <c r="D63" s="33" t="s">
        <v>4</v>
      </c>
      <c r="E63" s="32" t="s">
        <v>0</v>
      </c>
      <c r="F63" s="46" t="s">
        <v>67</v>
      </c>
      <c r="G63" s="97">
        <f>G54+G55+G56+G59+G62</f>
        <v>103091369000</v>
      </c>
      <c r="H63" s="97">
        <f>H54+H55+H56+H59+H62</f>
        <v>260329229000</v>
      </c>
      <c r="I63" s="111">
        <f>SUM(G63:H63)</f>
        <v>363420598000</v>
      </c>
    </row>
    <row r="64" spans="1:9" ht="12.75" customHeight="1">
      <c r="A64" s="30"/>
      <c r="B64" s="31"/>
      <c r="C64" s="32"/>
      <c r="D64" s="33"/>
      <c r="E64" s="32" t="s">
        <v>0</v>
      </c>
      <c r="F64" s="46" t="s">
        <v>9</v>
      </c>
      <c r="G64" s="47"/>
      <c r="H64" s="47"/>
      <c r="I64" s="102"/>
    </row>
    <row r="65" spans="1:9" ht="12.75" customHeight="1">
      <c r="A65" s="30" t="s">
        <v>48</v>
      </c>
      <c r="B65" s="31" t="s">
        <v>903</v>
      </c>
      <c r="C65" s="32" t="s">
        <v>553</v>
      </c>
      <c r="D65" s="33" t="s">
        <v>4</v>
      </c>
      <c r="E65" s="32" t="s">
        <v>0</v>
      </c>
      <c r="F65" s="46" t="s">
        <v>68</v>
      </c>
      <c r="G65" s="135">
        <f>G66+G67</f>
        <v>48236387000</v>
      </c>
      <c r="H65" s="135">
        <f>H66+H67</f>
        <v>0</v>
      </c>
      <c r="I65" s="111">
        <f t="shared" ref="I65" si="2">SUM(G65:H65)</f>
        <v>48236387000</v>
      </c>
    </row>
    <row r="66" spans="1:9" ht="12.75" customHeight="1">
      <c r="A66" s="30" t="s">
        <v>48</v>
      </c>
      <c r="B66" s="31" t="s">
        <v>903</v>
      </c>
      <c r="C66" s="32" t="s">
        <v>554</v>
      </c>
      <c r="D66" s="33" t="s">
        <v>4</v>
      </c>
      <c r="E66" s="32" t="s">
        <v>0</v>
      </c>
      <c r="F66" s="47" t="s">
        <v>69</v>
      </c>
      <c r="G66" s="52"/>
      <c r="H66" s="52"/>
      <c r="I66" s="111">
        <f>SUM(G66:H66)</f>
        <v>0</v>
      </c>
    </row>
    <row r="67" spans="1:9" ht="12.75" customHeight="1">
      <c r="A67" s="30" t="s">
        <v>48</v>
      </c>
      <c r="B67" s="31" t="s">
        <v>903</v>
      </c>
      <c r="C67" s="32" t="s">
        <v>555</v>
      </c>
      <c r="D67" s="33" t="s">
        <v>4</v>
      </c>
      <c r="E67" s="32" t="s">
        <v>0</v>
      </c>
      <c r="F67" s="47" t="s">
        <v>70</v>
      </c>
      <c r="G67" s="52">
        <v>48236387000</v>
      </c>
      <c r="H67" s="52"/>
      <c r="I67" s="111">
        <f>SUM(G67:H67)</f>
        <v>48236387000</v>
      </c>
    </row>
    <row r="68" spans="1:9" ht="12.75" customHeight="1">
      <c r="A68" s="30" t="s">
        <v>48</v>
      </c>
      <c r="B68" s="31" t="s">
        <v>903</v>
      </c>
      <c r="C68" s="32" t="s">
        <v>556</v>
      </c>
      <c r="D68" s="33" t="s">
        <v>4</v>
      </c>
      <c r="E68" s="32" t="s">
        <v>0</v>
      </c>
      <c r="F68" s="46" t="s">
        <v>71</v>
      </c>
      <c r="G68" s="135">
        <f>G69+G72+G75</f>
        <v>0</v>
      </c>
      <c r="H68" s="136">
        <f>H69+H72+H75</f>
        <v>261470599000</v>
      </c>
      <c r="I68" s="111">
        <f>SUM(G68:H68)</f>
        <v>261470599000</v>
      </c>
    </row>
    <row r="69" spans="1:9" ht="12.75" customHeight="1">
      <c r="A69" s="30" t="s">
        <v>48</v>
      </c>
      <c r="B69" s="31" t="s">
        <v>903</v>
      </c>
      <c r="C69" s="32" t="s">
        <v>557</v>
      </c>
      <c r="D69" s="33" t="s">
        <v>4</v>
      </c>
      <c r="E69" s="32" t="s">
        <v>0</v>
      </c>
      <c r="F69" s="46" t="s">
        <v>72</v>
      </c>
      <c r="G69" s="135">
        <f>G70+G71</f>
        <v>0</v>
      </c>
      <c r="H69" s="136">
        <f>H70+H71</f>
        <v>0</v>
      </c>
      <c r="I69" s="111">
        <f t="shared" ref="I69:I70" si="3">SUM(G69:H69)</f>
        <v>0</v>
      </c>
    </row>
    <row r="70" spans="1:9" ht="12.75" customHeight="1">
      <c r="A70" s="30" t="s">
        <v>48</v>
      </c>
      <c r="B70" s="31" t="s">
        <v>903</v>
      </c>
      <c r="C70" s="32" t="s">
        <v>558</v>
      </c>
      <c r="D70" s="33" t="s">
        <v>4</v>
      </c>
      <c r="E70" s="32" t="s">
        <v>0</v>
      </c>
      <c r="F70" s="47" t="s">
        <v>73</v>
      </c>
      <c r="G70" s="52"/>
      <c r="H70" s="52"/>
      <c r="I70" s="111">
        <f t="shared" si="3"/>
        <v>0</v>
      </c>
    </row>
    <row r="71" spans="1:9" ht="12.75" customHeight="1">
      <c r="A71" s="30" t="s">
        <v>48</v>
      </c>
      <c r="B71" s="31" t="s">
        <v>903</v>
      </c>
      <c r="C71" s="32" t="s">
        <v>559</v>
      </c>
      <c r="D71" s="33" t="s">
        <v>4</v>
      </c>
      <c r="E71" s="32" t="s">
        <v>0</v>
      </c>
      <c r="F71" s="47" t="s">
        <v>74</v>
      </c>
      <c r="G71" s="52"/>
      <c r="H71" s="52"/>
      <c r="I71" s="111">
        <f>SUM(G71:H71)</f>
        <v>0</v>
      </c>
    </row>
    <row r="72" spans="1:9" ht="12.75" customHeight="1">
      <c r="A72" s="30" t="s">
        <v>48</v>
      </c>
      <c r="B72" s="31" t="s">
        <v>903</v>
      </c>
      <c r="C72" s="32" t="s">
        <v>560</v>
      </c>
      <c r="D72" s="33" t="s">
        <v>4</v>
      </c>
      <c r="E72" s="32" t="s">
        <v>0</v>
      </c>
      <c r="F72" s="46" t="s">
        <v>75</v>
      </c>
      <c r="G72" s="135">
        <f>G73+G74</f>
        <v>0</v>
      </c>
      <c r="H72" s="135">
        <f>H73+H74</f>
        <v>0</v>
      </c>
      <c r="I72" s="111">
        <f t="shared" ref="I72:I73" si="4">SUM(G72:H72)</f>
        <v>0</v>
      </c>
    </row>
    <row r="73" spans="1:9" ht="12.75" customHeight="1">
      <c r="A73" s="30" t="s">
        <v>48</v>
      </c>
      <c r="B73" s="31" t="s">
        <v>903</v>
      </c>
      <c r="C73" s="32" t="s">
        <v>561</v>
      </c>
      <c r="D73" s="33" t="s">
        <v>4</v>
      </c>
      <c r="E73" s="32" t="s">
        <v>0</v>
      </c>
      <c r="F73" s="47" t="s">
        <v>76</v>
      </c>
      <c r="G73" s="52"/>
      <c r="H73" s="52"/>
      <c r="I73" s="111">
        <f t="shared" si="4"/>
        <v>0</v>
      </c>
    </row>
    <row r="74" spans="1:9" ht="12.75" customHeight="1">
      <c r="A74" s="30" t="s">
        <v>48</v>
      </c>
      <c r="B74" s="31" t="s">
        <v>903</v>
      </c>
      <c r="C74" s="32" t="s">
        <v>562</v>
      </c>
      <c r="D74" s="33" t="s">
        <v>4</v>
      </c>
      <c r="E74" s="32" t="s">
        <v>0</v>
      </c>
      <c r="F74" s="47" t="s">
        <v>77</v>
      </c>
      <c r="G74" s="52"/>
      <c r="H74" s="52"/>
      <c r="I74" s="111">
        <f>SUM(G74:H74)</f>
        <v>0</v>
      </c>
    </row>
    <row r="75" spans="1:9" ht="12.75" customHeight="1">
      <c r="A75" s="30" t="s">
        <v>48</v>
      </c>
      <c r="B75" s="31" t="s">
        <v>903</v>
      </c>
      <c r="C75" s="32" t="s">
        <v>563</v>
      </c>
      <c r="D75" s="33" t="s">
        <v>4</v>
      </c>
      <c r="E75" s="32" t="s">
        <v>0</v>
      </c>
      <c r="F75" s="47" t="s">
        <v>78</v>
      </c>
      <c r="G75" s="52"/>
      <c r="H75" s="52">
        <v>261470599000</v>
      </c>
      <c r="I75" s="111">
        <f t="shared" ref="I75:I76" si="5">SUM(G75:H75)</f>
        <v>261470599000</v>
      </c>
    </row>
    <row r="76" spans="1:9" ht="12.75" customHeight="1">
      <c r="A76" s="30" t="s">
        <v>48</v>
      </c>
      <c r="B76" s="31" t="s">
        <v>903</v>
      </c>
      <c r="C76" s="32" t="s">
        <v>564</v>
      </c>
      <c r="D76" s="33" t="s">
        <v>4</v>
      </c>
      <c r="E76" s="32" t="s">
        <v>0</v>
      </c>
      <c r="F76" s="46" t="s">
        <v>79</v>
      </c>
      <c r="G76" s="135">
        <f>G65+G68</f>
        <v>48236387000</v>
      </c>
      <c r="H76" s="135">
        <f>H65+H68</f>
        <v>261470599000</v>
      </c>
      <c r="I76" s="111">
        <f t="shared" si="5"/>
        <v>309706986000</v>
      </c>
    </row>
    <row r="77" spans="1:9">
      <c r="B77" s="94"/>
      <c r="C77" s="41"/>
      <c r="D77" s="92"/>
      <c r="E77" s="41"/>
      <c r="F77" s="41"/>
      <c r="G77" s="51"/>
      <c r="H77" s="51"/>
      <c r="I77" s="93"/>
    </row>
  </sheetData>
  <pageMargins left="0.7" right="0.7" top="0.75" bottom="0.75"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1000000}">
          <x14:formula1>
            <xm:f>Hoja1!$A$3:$A$249</xm:f>
          </x14:formula1>
          <xm:sqref>I47 I10</xm:sqref>
        </x14:dataValidation>
        <x14:dataValidation type="list" allowBlank="1" showInputMessage="1" showErrorMessage="1" xr:uid="{00000000-0002-0000-0100-000002000000}">
          <x14:formula1>
            <xm:f>Hoja1!$B$5:$B$179</xm:f>
          </x14:formula1>
          <xm:sqref>I12 I49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4">
    <tabColor theme="6" tint="0.39997558519241921"/>
  </sheetPr>
  <dimension ref="A1:I81"/>
  <sheetViews>
    <sheetView topLeftCell="A31" zoomScale="80" zoomScaleNormal="80" workbookViewId="0">
      <selection activeCell="G47" sqref="G47:H80"/>
    </sheetView>
  </sheetViews>
  <sheetFormatPr baseColWidth="10" defaultRowHeight="15"/>
  <cols>
    <col min="1" max="1" width="2.7109375" customWidth="1"/>
    <col min="2" max="2" width="3.28515625" customWidth="1"/>
    <col min="3" max="3" width="2.7109375" customWidth="1"/>
    <col min="4" max="4" width="5.42578125" customWidth="1"/>
    <col min="5" max="5" width="2.7109375" customWidth="1"/>
    <col min="6" max="6" width="90.7109375" customWidth="1"/>
    <col min="7" max="7" width="28.140625" bestFit="1" customWidth="1"/>
    <col min="8" max="8" width="31.28515625" bestFit="1" customWidth="1"/>
    <col min="9" max="9" width="18.5703125" bestFit="1" customWidth="1"/>
  </cols>
  <sheetData>
    <row r="1" spans="1:9" ht="54.95" customHeight="1" thickBot="1"/>
    <row r="2" spans="1:9" ht="177" customHeight="1" thickBot="1">
      <c r="F2" s="43" t="s">
        <v>2</v>
      </c>
    </row>
    <row r="3" spans="1:9" ht="16.5" thickBot="1">
      <c r="F3" s="44" t="s">
        <v>3</v>
      </c>
    </row>
    <row r="4" spans="1:9" ht="96.75" customHeight="1">
      <c r="A4" s="16" t="s">
        <v>54</v>
      </c>
      <c r="B4" s="17"/>
      <c r="C4" s="18"/>
      <c r="D4" s="18"/>
      <c r="E4" s="19"/>
      <c r="F4" s="20" t="s">
        <v>935</v>
      </c>
      <c r="G4" s="21" t="s">
        <v>1</v>
      </c>
      <c r="H4" s="21" t="s">
        <v>1</v>
      </c>
      <c r="I4" s="22" t="s">
        <v>10</v>
      </c>
    </row>
    <row r="5" spans="1:9" ht="121.5" hidden="1" customHeight="1">
      <c r="A5" s="23" t="s">
        <v>55</v>
      </c>
      <c r="B5" s="24"/>
      <c r="C5" s="25"/>
      <c r="D5" s="26" t="s">
        <v>624</v>
      </c>
      <c r="E5" s="27" t="s">
        <v>623</v>
      </c>
      <c r="F5" s="28"/>
      <c r="G5" s="35" t="str">
        <f>SUBSTITUTE(CONCATENATE("IFRS7-ObligConPubl_",TRIM(G4),"_",COLUMN(G5),"|",G4)," ","")</f>
        <v>IFRS7-ObligConPubl_Agregarcolumnaopcional_7|Agregarcolumnaopcional</v>
      </c>
      <c r="H5" s="35" t="str">
        <f>SUBSTITUTE(CONCATENATE("IFRS7-ObligConPubl_",TRIM(H4),"_",COLUMN(H5),"|",H4)," ","")</f>
        <v>IFRS7-ObligConPubl_Agregarcolumnaopcional_8|Agregarcolumnaopcional</v>
      </c>
      <c r="I5" s="29" t="s">
        <v>565</v>
      </c>
    </row>
    <row r="6" spans="1:9">
      <c r="A6" s="30"/>
      <c r="B6" s="36"/>
      <c r="C6" s="37"/>
      <c r="D6" s="38"/>
      <c r="E6" s="39"/>
      <c r="F6" s="45"/>
      <c r="G6" s="49"/>
      <c r="H6" s="49"/>
      <c r="I6" s="95"/>
    </row>
    <row r="7" spans="1:9">
      <c r="A7" s="30"/>
      <c r="B7" s="31"/>
      <c r="C7" s="32"/>
      <c r="D7" s="33"/>
      <c r="E7" s="34"/>
      <c r="F7" s="46"/>
      <c r="G7" s="50"/>
      <c r="H7" s="50"/>
      <c r="I7" s="103"/>
    </row>
    <row r="8" spans="1:9" ht="12.75" customHeight="1">
      <c r="A8" s="30"/>
      <c r="B8" s="31" t="s">
        <v>903</v>
      </c>
      <c r="C8" s="32" t="s">
        <v>537</v>
      </c>
      <c r="D8" s="33" t="s">
        <v>4</v>
      </c>
      <c r="E8" s="32" t="s">
        <v>0</v>
      </c>
      <c r="F8" s="47" t="s">
        <v>658</v>
      </c>
      <c r="G8" s="126" t="s">
        <v>995</v>
      </c>
      <c r="H8" s="126" t="s">
        <v>995</v>
      </c>
      <c r="I8" s="146"/>
    </row>
    <row r="9" spans="1:9" ht="12.75" customHeight="1">
      <c r="A9" s="30"/>
      <c r="B9" s="31" t="s">
        <v>903</v>
      </c>
      <c r="C9" s="32" t="s">
        <v>538</v>
      </c>
      <c r="D9" s="33" t="s">
        <v>4</v>
      </c>
      <c r="E9" s="32" t="s">
        <v>0</v>
      </c>
      <c r="F9" s="47" t="s">
        <v>659</v>
      </c>
      <c r="G9" s="126" t="s">
        <v>980</v>
      </c>
      <c r="H9" s="126" t="s">
        <v>980</v>
      </c>
      <c r="I9" s="146"/>
    </row>
    <row r="10" spans="1:9" ht="12.75" customHeight="1">
      <c r="A10" s="30"/>
      <c r="B10" s="294" t="s">
        <v>903</v>
      </c>
      <c r="C10" s="295" t="s">
        <v>851</v>
      </c>
      <c r="D10" s="296" t="s">
        <v>4</v>
      </c>
      <c r="E10" s="295" t="s">
        <v>0</v>
      </c>
      <c r="F10" s="297" t="s">
        <v>660</v>
      </c>
      <c r="G10" s="149" t="s">
        <v>143</v>
      </c>
      <c r="H10" s="149" t="s">
        <v>143</v>
      </c>
      <c r="I10" s="144"/>
    </row>
    <row r="11" spans="1:9" ht="12.75" customHeight="1">
      <c r="A11" s="30"/>
      <c r="B11" s="31" t="s">
        <v>903</v>
      </c>
      <c r="C11" s="32" t="s">
        <v>566</v>
      </c>
      <c r="D11" s="33" t="s">
        <v>4</v>
      </c>
      <c r="E11" s="32" t="s">
        <v>0</v>
      </c>
      <c r="F11" s="47" t="s">
        <v>666</v>
      </c>
      <c r="G11" s="126" t="s">
        <v>998</v>
      </c>
      <c r="H11" s="126" t="s">
        <v>998</v>
      </c>
      <c r="I11" s="146"/>
    </row>
    <row r="12" spans="1:9" ht="12.75" customHeight="1">
      <c r="A12" s="30"/>
      <c r="B12" s="31" t="s">
        <v>903</v>
      </c>
      <c r="C12" s="32" t="s">
        <v>567</v>
      </c>
      <c r="D12" s="33" t="s">
        <v>4</v>
      </c>
      <c r="E12" s="32" t="s">
        <v>0</v>
      </c>
      <c r="F12" s="47" t="s">
        <v>667</v>
      </c>
      <c r="G12" s="126" t="s">
        <v>998</v>
      </c>
      <c r="H12" s="126" t="s">
        <v>998</v>
      </c>
      <c r="I12" s="146"/>
    </row>
    <row r="13" spans="1:9" ht="12.75" customHeight="1">
      <c r="A13" s="30"/>
      <c r="B13" s="31" t="s">
        <v>903</v>
      </c>
      <c r="C13" s="32" t="s">
        <v>568</v>
      </c>
      <c r="D13" s="33" t="s">
        <v>4</v>
      </c>
      <c r="E13" s="32" t="s">
        <v>0</v>
      </c>
      <c r="F13" s="47" t="s">
        <v>668</v>
      </c>
      <c r="G13" s="138">
        <v>44012</v>
      </c>
      <c r="H13" s="138">
        <v>44012</v>
      </c>
      <c r="I13" s="147"/>
    </row>
    <row r="14" spans="1:9" ht="12.75" customHeight="1">
      <c r="A14" s="30"/>
      <c r="B14" s="294" t="s">
        <v>903</v>
      </c>
      <c r="C14" s="295" t="s">
        <v>861</v>
      </c>
      <c r="D14" s="296" t="s">
        <v>4</v>
      </c>
      <c r="E14" s="295" t="s">
        <v>0</v>
      </c>
      <c r="F14" s="297" t="s">
        <v>662</v>
      </c>
      <c r="G14" s="149" t="s">
        <v>374</v>
      </c>
      <c r="H14" s="149" t="s">
        <v>374</v>
      </c>
      <c r="I14" s="144"/>
    </row>
    <row r="15" spans="1:9" ht="12.75" customHeight="1">
      <c r="A15" s="30"/>
      <c r="B15" s="31" t="s">
        <v>903</v>
      </c>
      <c r="C15" s="32" t="s">
        <v>569</v>
      </c>
      <c r="D15" s="33" t="s">
        <v>4</v>
      </c>
      <c r="E15" s="32" t="s">
        <v>0</v>
      </c>
      <c r="F15" s="47" t="s">
        <v>669</v>
      </c>
      <c r="G15" s="126" t="s">
        <v>997</v>
      </c>
      <c r="H15" s="126" t="s">
        <v>997</v>
      </c>
      <c r="I15" s="146"/>
    </row>
    <row r="16" spans="1:9" ht="12.75" customHeight="1">
      <c r="A16" s="30"/>
      <c r="B16" s="31" t="s">
        <v>903</v>
      </c>
      <c r="C16" s="32" t="s">
        <v>541</v>
      </c>
      <c r="D16" s="33" t="s">
        <v>4</v>
      </c>
      <c r="E16" s="32" t="s">
        <v>0</v>
      </c>
      <c r="F16" s="47" t="s">
        <v>664</v>
      </c>
      <c r="G16" s="127">
        <v>19</v>
      </c>
      <c r="H16" s="127">
        <v>19</v>
      </c>
      <c r="I16" s="148"/>
    </row>
    <row r="17" spans="1:9" ht="12.75" customHeight="1">
      <c r="A17" s="30"/>
      <c r="B17" s="31" t="s">
        <v>903</v>
      </c>
      <c r="C17" s="32" t="s">
        <v>542</v>
      </c>
      <c r="D17" s="33" t="s">
        <v>4</v>
      </c>
      <c r="E17" s="32" t="s">
        <v>0</v>
      </c>
      <c r="F17" s="47" t="s">
        <v>665</v>
      </c>
      <c r="G17" s="127">
        <v>19</v>
      </c>
      <c r="H17" s="127">
        <v>19</v>
      </c>
      <c r="I17" s="148"/>
    </row>
    <row r="18" spans="1:9" ht="12.75" customHeight="1">
      <c r="A18" s="30"/>
      <c r="B18" s="31"/>
      <c r="C18" s="32"/>
      <c r="D18" s="33" t="s">
        <v>0</v>
      </c>
      <c r="E18" s="32" t="s">
        <v>0</v>
      </c>
      <c r="F18" s="46" t="s">
        <v>8</v>
      </c>
      <c r="G18" s="360"/>
      <c r="H18" s="46"/>
      <c r="I18" s="102"/>
    </row>
    <row r="19" spans="1:9" ht="12.75" customHeight="1">
      <c r="A19" s="30"/>
      <c r="B19" s="31" t="s">
        <v>903</v>
      </c>
      <c r="C19" s="32" t="s">
        <v>570</v>
      </c>
      <c r="D19" s="33" t="s">
        <v>4</v>
      </c>
      <c r="E19" s="32" t="s">
        <v>0</v>
      </c>
      <c r="F19" s="47" t="s">
        <v>58</v>
      </c>
      <c r="G19" s="143">
        <v>2544472000</v>
      </c>
      <c r="H19" s="143"/>
      <c r="I19" s="288">
        <f t="shared" ref="I19:I28" si="0">SUM(G19:H19)</f>
        <v>2544472000</v>
      </c>
    </row>
    <row r="20" spans="1:9" ht="12.75" customHeight="1">
      <c r="A20" s="30"/>
      <c r="B20" s="31" t="s">
        <v>903</v>
      </c>
      <c r="C20" s="32" t="s">
        <v>571</v>
      </c>
      <c r="D20" s="33" t="s">
        <v>4</v>
      </c>
      <c r="E20" s="32" t="s">
        <v>0</v>
      </c>
      <c r="F20" s="47" t="s">
        <v>59</v>
      </c>
      <c r="G20" s="127"/>
      <c r="H20" s="143">
        <v>5398397000</v>
      </c>
      <c r="I20" s="288">
        <f t="shared" si="0"/>
        <v>5398397000</v>
      </c>
    </row>
    <row r="21" spans="1:9" ht="12.75" customHeight="1">
      <c r="A21" s="30"/>
      <c r="B21" s="31" t="s">
        <v>903</v>
      </c>
      <c r="C21" s="32" t="s">
        <v>572</v>
      </c>
      <c r="D21" s="33" t="s">
        <v>4</v>
      </c>
      <c r="E21" s="32" t="s">
        <v>0</v>
      </c>
      <c r="F21" s="46" t="s">
        <v>60</v>
      </c>
      <c r="G21" s="290">
        <f>G22+G23</f>
        <v>7942870000</v>
      </c>
      <c r="H21" s="290">
        <f>H22+H23</f>
        <v>7942870000</v>
      </c>
      <c r="I21" s="288">
        <f t="shared" si="0"/>
        <v>15885740000</v>
      </c>
    </row>
    <row r="22" spans="1:9" ht="12.75" customHeight="1">
      <c r="A22" s="30"/>
      <c r="B22" s="31" t="s">
        <v>903</v>
      </c>
      <c r="C22" s="32" t="s">
        <v>573</v>
      </c>
      <c r="D22" s="33" t="s">
        <v>4</v>
      </c>
      <c r="E22" s="32" t="s">
        <v>0</v>
      </c>
      <c r="F22" s="47" t="s">
        <v>61</v>
      </c>
      <c r="G22" s="143"/>
      <c r="H22" s="143">
        <v>7942870000</v>
      </c>
      <c r="I22" s="288">
        <f t="shared" si="0"/>
        <v>7942870000</v>
      </c>
    </row>
    <row r="23" spans="1:9" ht="12.75" customHeight="1">
      <c r="A23" s="30"/>
      <c r="B23" s="31" t="s">
        <v>903</v>
      </c>
      <c r="C23" s="32" t="s">
        <v>574</v>
      </c>
      <c r="D23" s="33" t="s">
        <v>4</v>
      </c>
      <c r="E23" s="32" t="s">
        <v>0</v>
      </c>
      <c r="F23" s="47" t="s">
        <v>62</v>
      </c>
      <c r="G23" s="143">
        <v>7942870000</v>
      </c>
      <c r="H23" s="143"/>
      <c r="I23" s="288">
        <f t="shared" si="0"/>
        <v>7942870000</v>
      </c>
    </row>
    <row r="24" spans="1:9" ht="12.75" customHeight="1">
      <c r="A24" s="30"/>
      <c r="B24" s="31" t="s">
        <v>903</v>
      </c>
      <c r="C24" s="32" t="s">
        <v>575</v>
      </c>
      <c r="D24" s="33" t="s">
        <v>4</v>
      </c>
      <c r="E24" s="32" t="s">
        <v>0</v>
      </c>
      <c r="F24" s="46" t="s">
        <v>63</v>
      </c>
      <c r="G24" s="290">
        <f>G25+G26</f>
        <v>8455562000</v>
      </c>
      <c r="H24" s="290">
        <f>H25+H26</f>
        <v>10107128000</v>
      </c>
      <c r="I24" s="288">
        <f t="shared" si="0"/>
        <v>18562690000</v>
      </c>
    </row>
    <row r="25" spans="1:9" ht="12.75" customHeight="1">
      <c r="A25" s="30"/>
      <c r="B25" s="31" t="s">
        <v>903</v>
      </c>
      <c r="C25" s="32" t="s">
        <v>576</v>
      </c>
      <c r="D25" s="33" t="s">
        <v>4</v>
      </c>
      <c r="E25" s="32" t="s">
        <v>0</v>
      </c>
      <c r="F25" s="47" t="s">
        <v>64</v>
      </c>
      <c r="G25" s="143">
        <v>8455562000</v>
      </c>
      <c r="H25" s="143"/>
      <c r="I25" s="288">
        <f t="shared" si="0"/>
        <v>8455562000</v>
      </c>
    </row>
    <row r="26" spans="1:9" ht="12.75" customHeight="1">
      <c r="A26" s="30"/>
      <c r="B26" s="31" t="s">
        <v>903</v>
      </c>
      <c r="C26" s="32" t="s">
        <v>577</v>
      </c>
      <c r="D26" s="33" t="s">
        <v>4</v>
      </c>
      <c r="E26" s="32" t="s">
        <v>0</v>
      </c>
      <c r="F26" s="47" t="s">
        <v>65</v>
      </c>
      <c r="G26" s="143"/>
      <c r="H26" s="143">
        <v>10107128000</v>
      </c>
      <c r="I26" s="288">
        <f t="shared" si="0"/>
        <v>10107128000</v>
      </c>
    </row>
    <row r="27" spans="1:9" ht="12.75" customHeight="1">
      <c r="A27" s="30"/>
      <c r="B27" s="31" t="s">
        <v>903</v>
      </c>
      <c r="C27" s="32" t="s">
        <v>578</v>
      </c>
      <c r="D27" s="33" t="s">
        <v>4</v>
      </c>
      <c r="E27" s="32" t="s">
        <v>0</v>
      </c>
      <c r="F27" s="47" t="s">
        <v>66</v>
      </c>
      <c r="G27" s="143">
        <v>191057258000</v>
      </c>
      <c r="H27" s="143"/>
      <c r="I27" s="288">
        <f t="shared" si="0"/>
        <v>191057258000</v>
      </c>
    </row>
    <row r="28" spans="1:9" ht="12.75" customHeight="1">
      <c r="A28" s="30"/>
      <c r="B28" s="31" t="s">
        <v>903</v>
      </c>
      <c r="C28" s="32" t="s">
        <v>579</v>
      </c>
      <c r="D28" s="33" t="s">
        <v>4</v>
      </c>
      <c r="E28" s="32" t="s">
        <v>0</v>
      </c>
      <c r="F28" s="46" t="s">
        <v>67</v>
      </c>
      <c r="G28" s="290">
        <f>G19+G20+G21+G24+G27</f>
        <v>210000162000</v>
      </c>
      <c r="H28" s="290">
        <f>H19+H20+H21+H24+H27</f>
        <v>23448395000</v>
      </c>
      <c r="I28" s="288">
        <f t="shared" si="0"/>
        <v>233448557000</v>
      </c>
    </row>
    <row r="29" spans="1:9" ht="12.75" customHeight="1">
      <c r="A29" s="30"/>
      <c r="B29" s="31"/>
      <c r="C29" s="32"/>
      <c r="D29" s="33" t="s">
        <v>0</v>
      </c>
      <c r="E29" s="32" t="s">
        <v>0</v>
      </c>
      <c r="F29" s="46" t="s">
        <v>9</v>
      </c>
      <c r="G29" s="46"/>
      <c r="H29" s="46"/>
      <c r="I29" s="102"/>
    </row>
    <row r="30" spans="1:9" ht="12.75" customHeight="1">
      <c r="A30" s="30"/>
      <c r="B30" s="31" t="s">
        <v>903</v>
      </c>
      <c r="C30" s="32" t="s">
        <v>580</v>
      </c>
      <c r="D30" s="33" t="s">
        <v>4</v>
      </c>
      <c r="E30" s="32" t="s">
        <v>0</v>
      </c>
      <c r="F30" s="46" t="s">
        <v>80</v>
      </c>
      <c r="G30" s="291">
        <f>G31+G32</f>
        <v>0</v>
      </c>
      <c r="H30" s="291">
        <f>H31+H32</f>
        <v>4300768000</v>
      </c>
      <c r="I30" s="289">
        <f t="shared" ref="I30:I41" si="1">SUM(G30:H30)</f>
        <v>4300768000</v>
      </c>
    </row>
    <row r="31" spans="1:9" ht="12.75" customHeight="1">
      <c r="A31" s="30"/>
      <c r="B31" s="31" t="s">
        <v>903</v>
      </c>
      <c r="C31" s="32" t="s">
        <v>581</v>
      </c>
      <c r="D31" s="33" t="s">
        <v>4</v>
      </c>
      <c r="E31" s="32" t="s">
        <v>0</v>
      </c>
      <c r="F31" s="47" t="s">
        <v>69</v>
      </c>
      <c r="G31" s="126"/>
      <c r="H31" s="126"/>
      <c r="I31" s="289">
        <f t="shared" si="1"/>
        <v>0</v>
      </c>
    </row>
    <row r="32" spans="1:9" ht="12.75" customHeight="1">
      <c r="A32" s="30"/>
      <c r="B32" s="31" t="s">
        <v>903</v>
      </c>
      <c r="C32" s="32" t="s">
        <v>582</v>
      </c>
      <c r="D32" s="33" t="s">
        <v>4</v>
      </c>
      <c r="E32" s="32" t="s">
        <v>0</v>
      </c>
      <c r="F32" s="47" t="s">
        <v>70</v>
      </c>
      <c r="G32" s="126"/>
      <c r="H32" s="126">
        <v>4300768000</v>
      </c>
      <c r="I32" s="289">
        <f t="shared" si="1"/>
        <v>4300768000</v>
      </c>
    </row>
    <row r="33" spans="1:9" ht="12.75" customHeight="1">
      <c r="A33" s="30"/>
      <c r="B33" s="31" t="s">
        <v>903</v>
      </c>
      <c r="C33" s="32" t="s">
        <v>583</v>
      </c>
      <c r="D33" s="33" t="s">
        <v>4</v>
      </c>
      <c r="E33" s="32" t="s">
        <v>0</v>
      </c>
      <c r="F33" s="46" t="s">
        <v>81</v>
      </c>
      <c r="G33" s="291">
        <f>G34+G37+G40</f>
        <v>0</v>
      </c>
      <c r="H33" s="291">
        <f>H34+H37+H40</f>
        <v>324460038000</v>
      </c>
      <c r="I33" s="289">
        <f t="shared" si="1"/>
        <v>324460038000</v>
      </c>
    </row>
    <row r="34" spans="1:9" ht="12.75" customHeight="1">
      <c r="A34" s="30"/>
      <c r="B34" s="31" t="s">
        <v>903</v>
      </c>
      <c r="C34" s="32" t="s">
        <v>584</v>
      </c>
      <c r="D34" s="33" t="s">
        <v>4</v>
      </c>
      <c r="E34" s="32" t="s">
        <v>0</v>
      </c>
      <c r="F34" s="46" t="s">
        <v>72</v>
      </c>
      <c r="G34" s="291">
        <f>G35+G36</f>
        <v>0</v>
      </c>
      <c r="H34" s="291">
        <f>H35+H36</f>
        <v>0</v>
      </c>
      <c r="I34" s="289">
        <f t="shared" si="1"/>
        <v>0</v>
      </c>
    </row>
    <row r="35" spans="1:9" ht="12.75" customHeight="1">
      <c r="A35" s="30"/>
      <c r="B35" s="31" t="s">
        <v>903</v>
      </c>
      <c r="C35" s="32" t="s">
        <v>585</v>
      </c>
      <c r="D35" s="33" t="s">
        <v>4</v>
      </c>
      <c r="E35" s="32" t="s">
        <v>0</v>
      </c>
      <c r="F35" s="47" t="s">
        <v>73</v>
      </c>
      <c r="G35" s="52"/>
      <c r="H35" s="52"/>
      <c r="I35" s="289">
        <f>SUM(G35:H35)</f>
        <v>0</v>
      </c>
    </row>
    <row r="36" spans="1:9" ht="12.75" customHeight="1">
      <c r="A36" s="30"/>
      <c r="B36" s="31" t="s">
        <v>903</v>
      </c>
      <c r="C36" s="32" t="s">
        <v>586</v>
      </c>
      <c r="D36" s="33" t="s">
        <v>4</v>
      </c>
      <c r="E36" s="32" t="s">
        <v>0</v>
      </c>
      <c r="F36" s="47" t="s">
        <v>74</v>
      </c>
      <c r="G36" s="52"/>
      <c r="H36" s="52"/>
      <c r="I36" s="289">
        <f t="shared" si="1"/>
        <v>0</v>
      </c>
    </row>
    <row r="37" spans="1:9" ht="12.75" customHeight="1">
      <c r="A37" s="30"/>
      <c r="B37" s="31" t="s">
        <v>903</v>
      </c>
      <c r="C37" s="32" t="s">
        <v>587</v>
      </c>
      <c r="D37" s="33" t="s">
        <v>4</v>
      </c>
      <c r="E37" s="32" t="s">
        <v>0</v>
      </c>
      <c r="F37" s="46" t="s">
        <v>75</v>
      </c>
      <c r="G37" s="291">
        <f>G38+G39</f>
        <v>0</v>
      </c>
      <c r="H37" s="291">
        <f>H38+H39</f>
        <v>0</v>
      </c>
      <c r="I37" s="289">
        <f t="shared" si="1"/>
        <v>0</v>
      </c>
    </row>
    <row r="38" spans="1:9" ht="12.75" customHeight="1">
      <c r="A38" s="30"/>
      <c r="B38" s="31" t="s">
        <v>903</v>
      </c>
      <c r="C38" s="32" t="s">
        <v>588</v>
      </c>
      <c r="D38" s="33" t="s">
        <v>4</v>
      </c>
      <c r="E38" s="32" t="s">
        <v>0</v>
      </c>
      <c r="F38" s="47" t="s">
        <v>76</v>
      </c>
      <c r="G38" s="52"/>
      <c r="H38" s="52"/>
      <c r="I38" s="289">
        <f t="shared" si="1"/>
        <v>0</v>
      </c>
    </row>
    <row r="39" spans="1:9" ht="12.75" customHeight="1">
      <c r="A39" s="30"/>
      <c r="B39" s="31" t="s">
        <v>903</v>
      </c>
      <c r="C39" s="32" t="s">
        <v>589</v>
      </c>
      <c r="D39" s="33" t="s">
        <v>4</v>
      </c>
      <c r="E39" s="32" t="s">
        <v>0</v>
      </c>
      <c r="F39" s="47" t="s">
        <v>77</v>
      </c>
      <c r="G39" s="52"/>
      <c r="H39" s="52"/>
      <c r="I39" s="289">
        <f t="shared" si="1"/>
        <v>0</v>
      </c>
    </row>
    <row r="40" spans="1:9" ht="12.75" customHeight="1">
      <c r="A40" s="30"/>
      <c r="B40" s="31" t="s">
        <v>903</v>
      </c>
      <c r="C40" s="32" t="s">
        <v>590</v>
      </c>
      <c r="D40" s="33" t="s">
        <v>4</v>
      </c>
      <c r="E40" s="32" t="s">
        <v>0</v>
      </c>
      <c r="F40" s="47" t="s">
        <v>78</v>
      </c>
      <c r="G40" s="52"/>
      <c r="H40" s="52">
        <v>324460038000</v>
      </c>
      <c r="I40" s="289">
        <f t="shared" si="1"/>
        <v>324460038000</v>
      </c>
    </row>
    <row r="41" spans="1:9" ht="12.75" customHeight="1">
      <c r="A41" s="30"/>
      <c r="B41" s="31" t="s">
        <v>903</v>
      </c>
      <c r="C41" s="32" t="s">
        <v>591</v>
      </c>
      <c r="D41" s="33" t="s">
        <v>4</v>
      </c>
      <c r="E41" s="32" t="s">
        <v>0</v>
      </c>
      <c r="F41" s="46" t="s">
        <v>82</v>
      </c>
      <c r="G41" s="291">
        <f>G30+G33</f>
        <v>0</v>
      </c>
      <c r="H41" s="291">
        <f>H30+H33</f>
        <v>328760806000</v>
      </c>
      <c r="I41" s="289">
        <f t="shared" si="1"/>
        <v>328760806000</v>
      </c>
    </row>
    <row r="42" spans="1:9">
      <c r="B42" s="40"/>
      <c r="C42" s="32"/>
      <c r="D42" s="41"/>
      <c r="E42" s="41"/>
      <c r="F42" s="48"/>
      <c r="G42" s="51"/>
      <c r="H42" s="51"/>
      <c r="I42" s="93"/>
    </row>
    <row r="44" spans="1:9" ht="96.75" customHeight="1">
      <c r="A44" s="16"/>
      <c r="B44" s="17"/>
      <c r="C44" s="18"/>
      <c r="D44" s="18"/>
      <c r="E44" s="19"/>
      <c r="F44" s="20" t="s">
        <v>11</v>
      </c>
      <c r="G44" s="125" t="s">
        <v>0</v>
      </c>
      <c r="H44" s="125" t="str">
        <f>IF(H4="Agregar columna opcional","",H4)</f>
        <v/>
      </c>
      <c r="I44" s="124" t="s">
        <v>10</v>
      </c>
    </row>
    <row r="45" spans="1:9">
      <c r="A45" s="30"/>
      <c r="B45" s="36"/>
      <c r="C45" s="37"/>
      <c r="D45" s="38"/>
      <c r="E45" s="39"/>
      <c r="F45" s="116"/>
      <c r="G45" s="26"/>
      <c r="H45" s="26"/>
      <c r="I45" s="119"/>
    </row>
    <row r="46" spans="1:9">
      <c r="A46" s="30"/>
      <c r="B46" s="31"/>
      <c r="C46" s="32"/>
      <c r="D46" s="33"/>
      <c r="E46" s="34"/>
      <c r="F46" s="117"/>
      <c r="G46" s="32"/>
      <c r="H46" s="32"/>
      <c r="I46" s="100"/>
    </row>
    <row r="47" spans="1:9" ht="12.75" customHeight="1">
      <c r="A47" s="30"/>
      <c r="B47" s="31" t="s">
        <v>903</v>
      </c>
      <c r="C47" s="32" t="s">
        <v>537</v>
      </c>
      <c r="D47" s="33" t="s">
        <v>47</v>
      </c>
      <c r="E47" s="32" t="s">
        <v>0</v>
      </c>
      <c r="F47" s="47" t="s">
        <v>658</v>
      </c>
      <c r="G47" s="126" t="s">
        <v>995</v>
      </c>
      <c r="H47" s="126" t="s">
        <v>995</v>
      </c>
      <c r="I47" s="146"/>
    </row>
    <row r="48" spans="1:9" ht="12.75" customHeight="1">
      <c r="A48" s="30"/>
      <c r="B48" s="31" t="s">
        <v>903</v>
      </c>
      <c r="C48" s="32" t="s">
        <v>538</v>
      </c>
      <c r="D48" s="33" t="s">
        <v>47</v>
      </c>
      <c r="E48" s="32" t="s">
        <v>0</v>
      </c>
      <c r="F48" s="47" t="s">
        <v>659</v>
      </c>
      <c r="G48" s="126" t="s">
        <v>980</v>
      </c>
      <c r="H48" s="126" t="s">
        <v>980</v>
      </c>
      <c r="I48" s="146"/>
    </row>
    <row r="49" spans="1:9" ht="12.75" customHeight="1">
      <c r="A49" s="30"/>
      <c r="B49" s="294" t="s">
        <v>903</v>
      </c>
      <c r="C49" s="295" t="s">
        <v>851</v>
      </c>
      <c r="D49" s="296" t="s">
        <v>47</v>
      </c>
      <c r="E49" s="295" t="s">
        <v>0</v>
      </c>
      <c r="F49" s="297" t="s">
        <v>660</v>
      </c>
      <c r="G49" s="149" t="s">
        <v>168</v>
      </c>
      <c r="H49" s="149" t="s">
        <v>105</v>
      </c>
      <c r="I49" s="144"/>
    </row>
    <row r="50" spans="1:9" ht="12.75" customHeight="1">
      <c r="A50" s="30"/>
      <c r="B50" s="31" t="s">
        <v>903</v>
      </c>
      <c r="C50" s="32" t="s">
        <v>566</v>
      </c>
      <c r="D50" s="33" t="s">
        <v>47</v>
      </c>
      <c r="E50" s="32" t="s">
        <v>0</v>
      </c>
      <c r="F50" s="47" t="s">
        <v>666</v>
      </c>
      <c r="G50" s="126" t="s">
        <v>998</v>
      </c>
      <c r="H50" s="126" t="s">
        <v>998</v>
      </c>
      <c r="I50" s="146"/>
    </row>
    <row r="51" spans="1:9" ht="12.75" customHeight="1">
      <c r="A51" s="30"/>
      <c r="B51" s="31" t="s">
        <v>903</v>
      </c>
      <c r="C51" s="32" t="s">
        <v>567</v>
      </c>
      <c r="D51" s="33" t="s">
        <v>47</v>
      </c>
      <c r="E51" s="32" t="s">
        <v>0</v>
      </c>
      <c r="F51" s="47" t="s">
        <v>667</v>
      </c>
      <c r="G51" s="126" t="s">
        <v>998</v>
      </c>
      <c r="H51" s="126" t="s">
        <v>998</v>
      </c>
      <c r="I51" s="146"/>
    </row>
    <row r="52" spans="1:9" ht="12.75" customHeight="1">
      <c r="A52" s="30"/>
      <c r="B52" s="31" t="s">
        <v>903</v>
      </c>
      <c r="C52" s="32" t="s">
        <v>568</v>
      </c>
      <c r="D52" s="33" t="s">
        <v>47</v>
      </c>
      <c r="E52" s="32" t="s">
        <v>0</v>
      </c>
      <c r="F52" s="47" t="s">
        <v>668</v>
      </c>
      <c r="G52" s="138">
        <v>44012</v>
      </c>
      <c r="H52" s="138">
        <v>44012</v>
      </c>
      <c r="I52" s="147"/>
    </row>
    <row r="53" spans="1:9" ht="12.75" customHeight="1">
      <c r="A53" s="30"/>
      <c r="B53" s="294" t="s">
        <v>903</v>
      </c>
      <c r="C53" s="295" t="s">
        <v>861</v>
      </c>
      <c r="D53" s="296" t="s">
        <v>47</v>
      </c>
      <c r="E53" s="295" t="s">
        <v>0</v>
      </c>
      <c r="F53" s="297" t="s">
        <v>662</v>
      </c>
      <c r="G53" s="149" t="s">
        <v>374</v>
      </c>
      <c r="H53" s="149" t="s">
        <v>374</v>
      </c>
      <c r="I53" s="144"/>
    </row>
    <row r="54" spans="1:9" ht="12.75" customHeight="1">
      <c r="A54" s="30"/>
      <c r="B54" s="31" t="s">
        <v>903</v>
      </c>
      <c r="C54" s="32" t="s">
        <v>569</v>
      </c>
      <c r="D54" s="33" t="s">
        <v>47</v>
      </c>
      <c r="E54" s="32" t="s">
        <v>0</v>
      </c>
      <c r="F54" s="47" t="s">
        <v>669</v>
      </c>
      <c r="G54" s="126" t="s">
        <v>921</v>
      </c>
      <c r="H54" s="126" t="s">
        <v>921</v>
      </c>
      <c r="I54" s="146"/>
    </row>
    <row r="55" spans="1:9" ht="12.75" customHeight="1">
      <c r="A55" s="30"/>
      <c r="B55" s="31" t="s">
        <v>903</v>
      </c>
      <c r="C55" s="32" t="s">
        <v>541</v>
      </c>
      <c r="D55" s="33" t="s">
        <v>47</v>
      </c>
      <c r="E55" s="32" t="s">
        <v>0</v>
      </c>
      <c r="F55" s="47" t="s">
        <v>664</v>
      </c>
      <c r="G55" s="127">
        <v>19</v>
      </c>
      <c r="H55" s="127">
        <v>19</v>
      </c>
      <c r="I55" s="148"/>
    </row>
    <row r="56" spans="1:9" ht="12.75" customHeight="1">
      <c r="A56" s="30"/>
      <c r="B56" s="31" t="s">
        <v>903</v>
      </c>
      <c r="C56" s="32" t="s">
        <v>542</v>
      </c>
      <c r="D56" s="33" t="s">
        <v>47</v>
      </c>
      <c r="E56" s="32" t="s">
        <v>0</v>
      </c>
      <c r="F56" s="47" t="s">
        <v>665</v>
      </c>
      <c r="G56" s="127">
        <v>19</v>
      </c>
      <c r="H56" s="127">
        <v>19</v>
      </c>
      <c r="I56" s="148"/>
    </row>
    <row r="57" spans="1:9" ht="12.75" customHeight="1">
      <c r="A57" s="30"/>
      <c r="B57" s="31"/>
      <c r="C57" s="32"/>
      <c r="D57" s="33" t="s">
        <v>0</v>
      </c>
      <c r="E57" s="32" t="s">
        <v>0</v>
      </c>
      <c r="F57" s="46" t="s">
        <v>8</v>
      </c>
      <c r="G57" s="46"/>
      <c r="H57" s="46"/>
      <c r="I57" s="102"/>
    </row>
    <row r="58" spans="1:9" ht="12.75" customHeight="1">
      <c r="A58" s="30" t="s">
        <v>48</v>
      </c>
      <c r="B58" s="31" t="s">
        <v>903</v>
      </c>
      <c r="C58" s="32" t="s">
        <v>570</v>
      </c>
      <c r="D58" s="33" t="s">
        <v>4</v>
      </c>
      <c r="E58" s="32" t="s">
        <v>0</v>
      </c>
      <c r="F58" s="47" t="s">
        <v>58</v>
      </c>
      <c r="G58" s="126"/>
      <c r="H58" s="126"/>
      <c r="I58" s="112">
        <f t="shared" ref="I58:I67" si="2">SUM(G58:H58)</f>
        <v>0</v>
      </c>
    </row>
    <row r="59" spans="1:9" ht="12.75" customHeight="1">
      <c r="A59" s="30" t="s">
        <v>48</v>
      </c>
      <c r="B59" s="31" t="s">
        <v>903</v>
      </c>
      <c r="C59" s="32" t="s">
        <v>571</v>
      </c>
      <c r="D59" s="33" t="s">
        <v>4</v>
      </c>
      <c r="E59" s="32" t="s">
        <v>0</v>
      </c>
      <c r="F59" s="47" t="s">
        <v>59</v>
      </c>
      <c r="G59" s="126"/>
      <c r="H59" s="126"/>
      <c r="I59" s="289">
        <f t="shared" si="2"/>
        <v>0</v>
      </c>
    </row>
    <row r="60" spans="1:9" ht="12.75" customHeight="1">
      <c r="A60" s="30" t="s">
        <v>48</v>
      </c>
      <c r="B60" s="31" t="s">
        <v>903</v>
      </c>
      <c r="C60" s="32" t="s">
        <v>572</v>
      </c>
      <c r="D60" s="33" t="s">
        <v>4</v>
      </c>
      <c r="E60" s="32" t="s">
        <v>0</v>
      </c>
      <c r="F60" s="46" t="s">
        <v>60</v>
      </c>
      <c r="G60" s="291">
        <f>G61+G62</f>
        <v>0</v>
      </c>
      <c r="H60" s="291">
        <f>H61+H62</f>
        <v>0</v>
      </c>
      <c r="I60" s="289">
        <f t="shared" si="2"/>
        <v>0</v>
      </c>
    </row>
    <row r="61" spans="1:9" ht="12.75" customHeight="1">
      <c r="A61" s="30" t="s">
        <v>48</v>
      </c>
      <c r="B61" s="31" t="s">
        <v>903</v>
      </c>
      <c r="C61" s="32" t="s">
        <v>573</v>
      </c>
      <c r="D61" s="33" t="s">
        <v>4</v>
      </c>
      <c r="E61" s="32" t="s">
        <v>0</v>
      </c>
      <c r="F61" s="47" t="s">
        <v>61</v>
      </c>
      <c r="G61" s="126"/>
      <c r="H61" s="126"/>
      <c r="I61" s="289">
        <f t="shared" si="2"/>
        <v>0</v>
      </c>
    </row>
    <row r="62" spans="1:9" ht="12.75" customHeight="1">
      <c r="A62" s="30" t="s">
        <v>48</v>
      </c>
      <c r="B62" s="31" t="s">
        <v>903</v>
      </c>
      <c r="C62" s="32" t="s">
        <v>574</v>
      </c>
      <c r="D62" s="33" t="s">
        <v>4</v>
      </c>
      <c r="E62" s="32" t="s">
        <v>0</v>
      </c>
      <c r="F62" s="47" t="s">
        <v>62</v>
      </c>
      <c r="G62" s="126"/>
      <c r="H62" s="126"/>
      <c r="I62" s="289">
        <f t="shared" si="2"/>
        <v>0</v>
      </c>
    </row>
    <row r="63" spans="1:9" ht="12.75" customHeight="1">
      <c r="A63" s="30" t="s">
        <v>48</v>
      </c>
      <c r="B63" s="31" t="s">
        <v>903</v>
      </c>
      <c r="C63" s="32" t="s">
        <v>575</v>
      </c>
      <c r="D63" s="33" t="s">
        <v>4</v>
      </c>
      <c r="E63" s="32" t="s">
        <v>0</v>
      </c>
      <c r="F63" s="46" t="s">
        <v>63</v>
      </c>
      <c r="G63" s="291">
        <f>G64+G65</f>
        <v>0</v>
      </c>
      <c r="H63" s="291">
        <f>H64+H65</f>
        <v>0</v>
      </c>
      <c r="I63" s="289">
        <f t="shared" si="2"/>
        <v>0</v>
      </c>
    </row>
    <row r="64" spans="1:9" ht="12.75" customHeight="1">
      <c r="A64" s="30" t="s">
        <v>48</v>
      </c>
      <c r="B64" s="31" t="s">
        <v>903</v>
      </c>
      <c r="C64" s="32" t="s">
        <v>576</v>
      </c>
      <c r="D64" s="33" t="s">
        <v>4</v>
      </c>
      <c r="E64" s="32" t="s">
        <v>0</v>
      </c>
      <c r="F64" s="47" t="s">
        <v>64</v>
      </c>
      <c r="G64" s="126"/>
      <c r="H64" s="126"/>
      <c r="I64" s="289">
        <f t="shared" si="2"/>
        <v>0</v>
      </c>
    </row>
    <row r="65" spans="1:9" ht="12.75" customHeight="1">
      <c r="A65" s="30" t="s">
        <v>48</v>
      </c>
      <c r="B65" s="31" t="s">
        <v>903</v>
      </c>
      <c r="C65" s="32" t="s">
        <v>577</v>
      </c>
      <c r="D65" s="33" t="s">
        <v>4</v>
      </c>
      <c r="E65" s="32" t="s">
        <v>0</v>
      </c>
      <c r="F65" s="47" t="s">
        <v>65</v>
      </c>
      <c r="G65" s="126"/>
      <c r="H65" s="126"/>
      <c r="I65" s="289">
        <f t="shared" si="2"/>
        <v>0</v>
      </c>
    </row>
    <row r="66" spans="1:9" ht="12.75" customHeight="1">
      <c r="A66" s="30" t="s">
        <v>48</v>
      </c>
      <c r="B66" s="31" t="s">
        <v>903</v>
      </c>
      <c r="C66" s="32" t="s">
        <v>578</v>
      </c>
      <c r="D66" s="33" t="s">
        <v>4</v>
      </c>
      <c r="E66" s="32" t="s">
        <v>0</v>
      </c>
      <c r="F66" s="47" t="s">
        <v>66</v>
      </c>
      <c r="G66" s="143"/>
      <c r="H66" s="126"/>
      <c r="I66" s="289">
        <f t="shared" si="2"/>
        <v>0</v>
      </c>
    </row>
    <row r="67" spans="1:9" ht="12.75" customHeight="1">
      <c r="A67" s="30" t="s">
        <v>48</v>
      </c>
      <c r="B67" s="31" t="s">
        <v>903</v>
      </c>
      <c r="C67" s="32" t="s">
        <v>579</v>
      </c>
      <c r="D67" s="33" t="s">
        <v>4</v>
      </c>
      <c r="E67" s="32" t="s">
        <v>0</v>
      </c>
      <c r="F67" s="46" t="s">
        <v>67</v>
      </c>
      <c r="G67" s="291">
        <f>G58+G59+G60+G63+G66</f>
        <v>0</v>
      </c>
      <c r="H67" s="291">
        <f>H58+H59+H60+H63+H66</f>
        <v>0</v>
      </c>
      <c r="I67" s="289">
        <f t="shared" si="2"/>
        <v>0</v>
      </c>
    </row>
    <row r="68" spans="1:9" ht="12.75" customHeight="1">
      <c r="A68" s="30"/>
      <c r="B68" s="31"/>
      <c r="C68" s="32"/>
      <c r="D68" s="33" t="s">
        <v>0</v>
      </c>
      <c r="E68" s="32" t="s">
        <v>0</v>
      </c>
      <c r="F68" s="46" t="s">
        <v>9</v>
      </c>
      <c r="G68" s="46"/>
      <c r="H68" s="46"/>
      <c r="I68" s="102"/>
    </row>
    <row r="69" spans="1:9" ht="12.75" customHeight="1">
      <c r="A69" s="30" t="s">
        <v>48</v>
      </c>
      <c r="B69" s="31" t="s">
        <v>903</v>
      </c>
      <c r="C69" s="32" t="s">
        <v>580</v>
      </c>
      <c r="D69" s="33" t="s">
        <v>4</v>
      </c>
      <c r="E69" s="32" t="s">
        <v>0</v>
      </c>
      <c r="F69" s="46" t="s">
        <v>80</v>
      </c>
      <c r="G69" s="291">
        <f>G70+G71</f>
        <v>0</v>
      </c>
      <c r="H69" s="291">
        <f>H70+H71</f>
        <v>2458495000</v>
      </c>
      <c r="I69" s="289">
        <f t="shared" ref="I69:I80" si="3">SUM(G69:H69)</f>
        <v>2458495000</v>
      </c>
    </row>
    <row r="70" spans="1:9" ht="12.75" customHeight="1">
      <c r="A70" s="30" t="s">
        <v>48</v>
      </c>
      <c r="B70" s="31" t="s">
        <v>903</v>
      </c>
      <c r="C70" s="32" t="s">
        <v>581</v>
      </c>
      <c r="D70" s="33" t="s">
        <v>4</v>
      </c>
      <c r="E70" s="32" t="s">
        <v>0</v>
      </c>
      <c r="F70" s="47" t="s">
        <v>69</v>
      </c>
      <c r="G70" s="126"/>
      <c r="H70" s="126"/>
      <c r="I70" s="289">
        <f t="shared" si="3"/>
        <v>0</v>
      </c>
    </row>
    <row r="71" spans="1:9" ht="12.75" customHeight="1">
      <c r="A71" s="30" t="s">
        <v>48</v>
      </c>
      <c r="B71" s="31" t="s">
        <v>903</v>
      </c>
      <c r="C71" s="32" t="s">
        <v>582</v>
      </c>
      <c r="D71" s="33" t="s">
        <v>4</v>
      </c>
      <c r="E71" s="32" t="s">
        <v>0</v>
      </c>
      <c r="F71" s="47" t="s">
        <v>70</v>
      </c>
      <c r="G71" s="126"/>
      <c r="H71" s="126">
        <v>2458495000</v>
      </c>
      <c r="I71" s="289">
        <f t="shared" si="3"/>
        <v>2458495000</v>
      </c>
    </row>
    <row r="72" spans="1:9" ht="12.75" customHeight="1">
      <c r="A72" s="30" t="s">
        <v>48</v>
      </c>
      <c r="B72" s="31" t="s">
        <v>903</v>
      </c>
      <c r="C72" s="32" t="s">
        <v>583</v>
      </c>
      <c r="D72" s="33" t="s">
        <v>4</v>
      </c>
      <c r="E72" s="32" t="s">
        <v>0</v>
      </c>
      <c r="F72" s="46" t="s">
        <v>81</v>
      </c>
      <c r="G72" s="291">
        <f>G73+G76+G79</f>
        <v>0</v>
      </c>
      <c r="H72" s="291">
        <f>H73+H76+H79</f>
        <v>135693333000</v>
      </c>
      <c r="I72" s="289">
        <f t="shared" si="3"/>
        <v>135693333000</v>
      </c>
    </row>
    <row r="73" spans="1:9" ht="12.75" customHeight="1">
      <c r="A73" s="30" t="s">
        <v>48</v>
      </c>
      <c r="B73" s="31" t="s">
        <v>903</v>
      </c>
      <c r="C73" s="32" t="s">
        <v>584</v>
      </c>
      <c r="D73" s="33" t="s">
        <v>4</v>
      </c>
      <c r="E73" s="32" t="s">
        <v>0</v>
      </c>
      <c r="F73" s="46" t="s">
        <v>72</v>
      </c>
      <c r="G73" s="291">
        <f>G74+G75</f>
        <v>0</v>
      </c>
      <c r="H73" s="291">
        <f>H74+H75</f>
        <v>0</v>
      </c>
      <c r="I73" s="289">
        <f t="shared" si="3"/>
        <v>0</v>
      </c>
    </row>
    <row r="74" spans="1:9" ht="12.75" customHeight="1">
      <c r="A74" s="30" t="s">
        <v>48</v>
      </c>
      <c r="B74" s="31" t="s">
        <v>903</v>
      </c>
      <c r="C74" s="32" t="s">
        <v>585</v>
      </c>
      <c r="D74" s="33" t="s">
        <v>4</v>
      </c>
      <c r="E74" s="32" t="s">
        <v>0</v>
      </c>
      <c r="F74" s="47" t="s">
        <v>73</v>
      </c>
      <c r="G74" s="52"/>
      <c r="H74" s="52"/>
      <c r="I74" s="289">
        <f t="shared" si="3"/>
        <v>0</v>
      </c>
    </row>
    <row r="75" spans="1:9" ht="12.75" customHeight="1">
      <c r="A75" s="30" t="s">
        <v>48</v>
      </c>
      <c r="B75" s="31" t="s">
        <v>903</v>
      </c>
      <c r="C75" s="32" t="s">
        <v>586</v>
      </c>
      <c r="D75" s="33" t="s">
        <v>4</v>
      </c>
      <c r="E75" s="32" t="s">
        <v>0</v>
      </c>
      <c r="F75" s="47" t="s">
        <v>74</v>
      </c>
      <c r="G75" s="52"/>
      <c r="H75" s="52"/>
      <c r="I75" s="289">
        <f t="shared" si="3"/>
        <v>0</v>
      </c>
    </row>
    <row r="76" spans="1:9" ht="12.75" customHeight="1">
      <c r="A76" s="30" t="s">
        <v>48</v>
      </c>
      <c r="B76" s="31" t="s">
        <v>903</v>
      </c>
      <c r="C76" s="32" t="s">
        <v>587</v>
      </c>
      <c r="D76" s="33" t="s">
        <v>4</v>
      </c>
      <c r="E76" s="32" t="s">
        <v>0</v>
      </c>
      <c r="F76" s="46" t="s">
        <v>75</v>
      </c>
      <c r="G76" s="291">
        <f>G77+G78</f>
        <v>0</v>
      </c>
      <c r="H76" s="291">
        <f>H77+H78</f>
        <v>0</v>
      </c>
      <c r="I76" s="289">
        <f t="shared" si="3"/>
        <v>0</v>
      </c>
    </row>
    <row r="77" spans="1:9" ht="12.75" customHeight="1">
      <c r="A77" s="30" t="s">
        <v>48</v>
      </c>
      <c r="B77" s="31" t="s">
        <v>903</v>
      </c>
      <c r="C77" s="32" t="s">
        <v>588</v>
      </c>
      <c r="D77" s="33" t="s">
        <v>4</v>
      </c>
      <c r="E77" s="32" t="s">
        <v>0</v>
      </c>
      <c r="F77" s="47" t="s">
        <v>76</v>
      </c>
      <c r="G77" s="52"/>
      <c r="H77" s="52"/>
      <c r="I77" s="289">
        <f t="shared" si="3"/>
        <v>0</v>
      </c>
    </row>
    <row r="78" spans="1:9" ht="12.75" customHeight="1">
      <c r="A78" s="30" t="s">
        <v>48</v>
      </c>
      <c r="B78" s="31" t="s">
        <v>903</v>
      </c>
      <c r="C78" s="32" t="s">
        <v>589</v>
      </c>
      <c r="D78" s="33" t="s">
        <v>4</v>
      </c>
      <c r="E78" s="32" t="s">
        <v>0</v>
      </c>
      <c r="F78" s="47" t="s">
        <v>77</v>
      </c>
      <c r="G78" s="52"/>
      <c r="H78" s="52"/>
      <c r="I78" s="289">
        <f t="shared" si="3"/>
        <v>0</v>
      </c>
    </row>
    <row r="79" spans="1:9" ht="12.75" customHeight="1">
      <c r="A79" s="30" t="s">
        <v>48</v>
      </c>
      <c r="B79" s="31" t="s">
        <v>903</v>
      </c>
      <c r="C79" s="32" t="s">
        <v>590</v>
      </c>
      <c r="D79" s="33" t="s">
        <v>4</v>
      </c>
      <c r="E79" s="32" t="s">
        <v>0</v>
      </c>
      <c r="F79" s="47" t="s">
        <v>78</v>
      </c>
      <c r="G79" s="52"/>
      <c r="H79" s="52">
        <v>135693333000</v>
      </c>
      <c r="I79" s="289">
        <f t="shared" si="3"/>
        <v>135693333000</v>
      </c>
    </row>
    <row r="80" spans="1:9" ht="12.75" customHeight="1">
      <c r="A80" s="30" t="s">
        <v>48</v>
      </c>
      <c r="B80" s="31" t="s">
        <v>903</v>
      </c>
      <c r="C80" s="32" t="s">
        <v>591</v>
      </c>
      <c r="D80" s="33" t="s">
        <v>4</v>
      </c>
      <c r="E80" s="32" t="s">
        <v>0</v>
      </c>
      <c r="F80" s="46" t="s">
        <v>82</v>
      </c>
      <c r="G80" s="291">
        <f>G69+G72</f>
        <v>0</v>
      </c>
      <c r="H80" s="291">
        <f>H69+H72</f>
        <v>138151828000</v>
      </c>
      <c r="I80" s="289">
        <f t="shared" si="3"/>
        <v>138151828000</v>
      </c>
    </row>
    <row r="81" spans="2:9">
      <c r="B81" s="94"/>
      <c r="C81" s="41"/>
      <c r="D81" s="92"/>
      <c r="E81" s="41"/>
      <c r="F81" s="41"/>
      <c r="G81" s="41"/>
      <c r="H81" s="41"/>
      <c r="I81" s="101"/>
    </row>
  </sheetData>
  <pageMargins left="0.7" right="0.7" top="0.75" bottom="0.75"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200-000001000000}">
          <x14:formula1>
            <xm:f>Hoja1!$A$3:$A$249</xm:f>
          </x14:formula1>
          <xm:sqref>I10 I49</xm:sqref>
        </x14:dataValidation>
        <x14:dataValidation type="list" allowBlank="1" showInputMessage="1" showErrorMessage="1" xr:uid="{00000000-0002-0000-0200-000002000000}">
          <x14:formula1>
            <xm:f>Hoja1!$B$5:$B$179</xm:f>
          </x14:formula1>
          <xm:sqref>I14 I53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1">
    <tabColor theme="0" tint="-0.249977111117893"/>
  </sheetPr>
  <dimension ref="A1:I35"/>
  <sheetViews>
    <sheetView zoomScale="80" zoomScaleNormal="80" workbookViewId="0">
      <selection activeCell="K30" sqref="K30"/>
    </sheetView>
  </sheetViews>
  <sheetFormatPr baseColWidth="10" defaultRowHeight="15"/>
  <cols>
    <col min="1" max="1" width="2.7109375" customWidth="1"/>
    <col min="2" max="2" width="3.28515625" customWidth="1"/>
    <col min="3" max="3" width="2.7109375" customWidth="1"/>
    <col min="4" max="4" width="5.42578125" customWidth="1"/>
    <col min="5" max="5" width="2.7109375" customWidth="1"/>
    <col min="6" max="6" width="90.7109375" customWidth="1"/>
    <col min="7" max="7" width="28.140625" bestFit="1" customWidth="1"/>
    <col min="8" max="8" width="24.7109375" bestFit="1" customWidth="1"/>
    <col min="9" max="9" width="18.5703125" bestFit="1" customWidth="1"/>
  </cols>
  <sheetData>
    <row r="1" spans="1:9" ht="54.95" customHeight="1" thickBot="1"/>
    <row r="2" spans="1:9" ht="177" customHeight="1" thickBot="1">
      <c r="F2" s="43" t="s">
        <v>2</v>
      </c>
    </row>
    <row r="3" spans="1:9" ht="16.5" thickBot="1">
      <c r="F3" s="44" t="s">
        <v>3</v>
      </c>
    </row>
    <row r="4" spans="1:9" ht="96.75" customHeight="1">
      <c r="A4" s="16" t="s">
        <v>54</v>
      </c>
      <c r="B4" s="17"/>
      <c r="C4" s="18"/>
      <c r="D4" s="18"/>
      <c r="E4" s="19"/>
      <c r="F4" s="20" t="s">
        <v>936</v>
      </c>
      <c r="G4" s="21" t="s">
        <v>933</v>
      </c>
      <c r="H4" s="21" t="s">
        <v>933</v>
      </c>
      <c r="I4" s="22" t="s">
        <v>918</v>
      </c>
    </row>
    <row r="5" spans="1:9" ht="121.5" hidden="1" customHeight="1">
      <c r="A5" s="23" t="s">
        <v>55</v>
      </c>
      <c r="B5" s="24"/>
      <c r="C5" s="25"/>
      <c r="D5" s="26" t="s">
        <v>954</v>
      </c>
      <c r="E5" s="27" t="s">
        <v>955</v>
      </c>
      <c r="F5" s="28"/>
      <c r="G5" s="35" t="str">
        <f>SUBSTITUTE(CONCATENATE("IFRS7-RestFina_",TRIM(G4),"_",COLUMN(G5),"|",G4)," ","")</f>
        <v>IFRS7-RestFina_Agregarrestriccionfinanciera_7|Agregarrestriccionfinanciera</v>
      </c>
      <c r="H5" s="35" t="str">
        <f>SUBSTITUTE(CONCATENATE("IFRS7-RestFina_",TRIM(H4),"_",COLUMN(H5),"|",H4)," ","")</f>
        <v>IFRS7-RestFina_Agregarrestriccionfinanciera_8|Agregarrestriccionfinanciera</v>
      </c>
      <c r="I5" s="29" t="s">
        <v>953</v>
      </c>
    </row>
    <row r="6" spans="1:9">
      <c r="A6" s="30"/>
      <c r="B6" s="36"/>
      <c r="C6" s="37"/>
      <c r="D6" s="38"/>
      <c r="E6" s="39"/>
      <c r="F6" s="45"/>
      <c r="G6" s="49"/>
      <c r="H6" s="49"/>
      <c r="I6" s="95"/>
    </row>
    <row r="7" spans="1:9">
      <c r="A7" s="30"/>
      <c r="B7" s="31"/>
      <c r="C7" s="32"/>
      <c r="D7" s="33"/>
      <c r="E7" s="34"/>
      <c r="F7" s="46"/>
      <c r="G7" s="50"/>
      <c r="H7" s="50"/>
      <c r="I7" s="103"/>
    </row>
    <row r="8" spans="1:9" ht="12.75" customHeight="1">
      <c r="A8" s="30"/>
      <c r="B8" s="31" t="s">
        <v>903</v>
      </c>
      <c r="C8" s="32" t="s">
        <v>905</v>
      </c>
      <c r="D8" s="33" t="s">
        <v>4</v>
      </c>
      <c r="E8" s="32"/>
      <c r="F8" s="316" t="s">
        <v>922</v>
      </c>
      <c r="G8" s="315" t="s">
        <v>915</v>
      </c>
      <c r="H8" s="315" t="s">
        <v>916</v>
      </c>
      <c r="I8" s="314"/>
    </row>
    <row r="9" spans="1:9" ht="12.75" customHeight="1">
      <c r="A9" s="30"/>
      <c r="B9" s="31" t="s">
        <v>903</v>
      </c>
      <c r="C9" s="32" t="s">
        <v>906</v>
      </c>
      <c r="D9" s="33" t="s">
        <v>4</v>
      </c>
      <c r="E9" s="32"/>
      <c r="F9" s="47" t="s">
        <v>925</v>
      </c>
      <c r="G9" s="313" t="s">
        <v>981</v>
      </c>
      <c r="H9" s="313" t="s">
        <v>982</v>
      </c>
      <c r="I9" s="314"/>
    </row>
    <row r="10" spans="1:9" ht="12.75" customHeight="1">
      <c r="A10" s="30"/>
      <c r="B10" s="31" t="s">
        <v>903</v>
      </c>
      <c r="C10" s="32" t="s">
        <v>907</v>
      </c>
      <c r="D10" s="33" t="s">
        <v>4</v>
      </c>
      <c r="E10" s="32"/>
      <c r="F10" s="47" t="s">
        <v>926</v>
      </c>
      <c r="G10" s="313" t="s">
        <v>983</v>
      </c>
      <c r="H10" s="313" t="s">
        <v>984</v>
      </c>
      <c r="I10" s="314"/>
    </row>
    <row r="11" spans="1:9" ht="12.75" customHeight="1">
      <c r="A11" s="30"/>
      <c r="B11" s="31" t="s">
        <v>903</v>
      </c>
      <c r="C11" s="32" t="s">
        <v>566</v>
      </c>
      <c r="D11" s="33" t="s">
        <v>4</v>
      </c>
      <c r="E11" s="32"/>
      <c r="F11" s="47" t="s">
        <v>927</v>
      </c>
      <c r="G11" s="313" t="s">
        <v>985</v>
      </c>
      <c r="H11" s="313" t="s">
        <v>986</v>
      </c>
      <c r="I11" s="314"/>
    </row>
    <row r="12" spans="1:9" ht="12.75" customHeight="1">
      <c r="A12" s="30"/>
      <c r="B12" s="31" t="s">
        <v>903</v>
      </c>
      <c r="C12" s="32" t="s">
        <v>908</v>
      </c>
      <c r="D12" s="33" t="s">
        <v>4</v>
      </c>
      <c r="E12" s="32"/>
      <c r="F12" s="47" t="s">
        <v>928</v>
      </c>
      <c r="G12" s="313" t="s">
        <v>961</v>
      </c>
      <c r="H12" s="313" t="s">
        <v>984</v>
      </c>
      <c r="I12" s="314"/>
    </row>
    <row r="13" spans="1:9" ht="12.75" customHeight="1">
      <c r="A13" s="30"/>
      <c r="B13" s="31" t="s">
        <v>903</v>
      </c>
      <c r="C13" s="32" t="s">
        <v>909</v>
      </c>
      <c r="D13" s="33" t="s">
        <v>4</v>
      </c>
      <c r="E13" s="32"/>
      <c r="F13" s="316" t="s">
        <v>923</v>
      </c>
      <c r="G13" s="317" t="s">
        <v>920</v>
      </c>
      <c r="H13" s="317" t="s">
        <v>921</v>
      </c>
      <c r="I13" s="314"/>
    </row>
    <row r="14" spans="1:9" ht="12.75" customHeight="1">
      <c r="A14" s="30"/>
      <c r="B14" s="31" t="s">
        <v>903</v>
      </c>
      <c r="C14" s="32" t="s">
        <v>910</v>
      </c>
      <c r="D14" s="33" t="s">
        <v>4</v>
      </c>
      <c r="E14" s="32"/>
      <c r="F14" s="47" t="s">
        <v>929</v>
      </c>
      <c r="G14" s="313" t="s">
        <v>963</v>
      </c>
      <c r="H14" s="313" t="s">
        <v>966</v>
      </c>
      <c r="I14" s="314"/>
    </row>
    <row r="15" spans="1:9" ht="12.75" customHeight="1">
      <c r="A15" s="30"/>
      <c r="B15" s="31" t="s">
        <v>903</v>
      </c>
      <c r="C15" s="32" t="s">
        <v>911</v>
      </c>
      <c r="D15" s="33" t="s">
        <v>4</v>
      </c>
      <c r="E15" s="32"/>
      <c r="F15" s="47" t="s">
        <v>930</v>
      </c>
      <c r="G15" s="313" t="s">
        <v>964</v>
      </c>
      <c r="H15" s="313" t="s">
        <v>967</v>
      </c>
      <c r="I15" s="314"/>
    </row>
    <row r="16" spans="1:9" ht="12.75" customHeight="1">
      <c r="A16" s="30"/>
      <c r="B16" s="31" t="s">
        <v>903</v>
      </c>
      <c r="C16" s="32" t="s">
        <v>912</v>
      </c>
      <c r="D16" s="33" t="s">
        <v>4</v>
      </c>
      <c r="E16" s="32"/>
      <c r="F16" s="47" t="s">
        <v>931</v>
      </c>
      <c r="G16" s="313" t="s">
        <v>965</v>
      </c>
      <c r="H16" s="313" t="s">
        <v>968</v>
      </c>
      <c r="I16" s="314"/>
    </row>
    <row r="17" spans="1:9" ht="12.75" customHeight="1">
      <c r="A17" s="30"/>
      <c r="B17" s="31" t="s">
        <v>903</v>
      </c>
      <c r="C17" s="32" t="s">
        <v>913</v>
      </c>
      <c r="D17" s="33" t="s">
        <v>4</v>
      </c>
      <c r="E17" s="32"/>
      <c r="F17" s="316" t="s">
        <v>924</v>
      </c>
      <c r="G17" s="317" t="s">
        <v>956</v>
      </c>
      <c r="H17" s="317" t="s">
        <v>957</v>
      </c>
      <c r="I17" s="314"/>
    </row>
    <row r="18" spans="1:9" ht="12.75" customHeight="1">
      <c r="A18" s="30"/>
      <c r="B18" s="31" t="s">
        <v>903</v>
      </c>
      <c r="C18" s="32" t="s">
        <v>914</v>
      </c>
      <c r="D18" s="33" t="s">
        <v>4</v>
      </c>
      <c r="E18" s="32"/>
      <c r="F18" s="46" t="s">
        <v>932</v>
      </c>
      <c r="G18" s="313" t="s">
        <v>969</v>
      </c>
      <c r="H18" s="313" t="s">
        <v>970</v>
      </c>
      <c r="I18" s="314"/>
    </row>
    <row r="19" spans="1:9">
      <c r="B19" s="40"/>
      <c r="C19" s="41"/>
      <c r="D19" s="41"/>
      <c r="E19" s="41"/>
      <c r="F19" s="48"/>
      <c r="G19" s="51"/>
      <c r="H19" s="51"/>
      <c r="I19" s="312"/>
    </row>
    <row r="21" spans="1:9" ht="96.75" customHeight="1">
      <c r="A21" s="16"/>
      <c r="B21" s="17"/>
      <c r="C21" s="18"/>
      <c r="D21" s="18"/>
      <c r="E21" s="19"/>
      <c r="F21" s="20" t="s">
        <v>11</v>
      </c>
      <c r="G21" s="125" t="str">
        <f>IF(G4="Agregar restriccion financiera","",G4)</f>
        <v/>
      </c>
      <c r="H21" s="125" t="str">
        <f>IF(H4="Agregar restriccion financiera","",H4)</f>
        <v/>
      </c>
      <c r="I21" s="124" t="s">
        <v>10</v>
      </c>
    </row>
    <row r="22" spans="1:9">
      <c r="A22" s="30"/>
      <c r="B22" s="36"/>
      <c r="C22" s="37"/>
      <c r="D22" s="38"/>
      <c r="E22" s="39"/>
      <c r="F22" s="45"/>
      <c r="G22" s="49"/>
      <c r="H22" s="49"/>
      <c r="I22" s="95"/>
    </row>
    <row r="23" spans="1:9">
      <c r="A23" s="30"/>
      <c r="B23" s="31"/>
      <c r="C23" s="32"/>
      <c r="D23" s="33"/>
      <c r="E23" s="34"/>
      <c r="F23" s="46"/>
      <c r="G23" s="50"/>
      <c r="H23" s="50"/>
      <c r="I23" s="103"/>
    </row>
    <row r="24" spans="1:9" ht="12.75" customHeight="1">
      <c r="A24" s="30"/>
      <c r="B24" s="31" t="s">
        <v>903</v>
      </c>
      <c r="C24" s="32" t="s">
        <v>905</v>
      </c>
      <c r="D24" s="33" t="s">
        <v>47</v>
      </c>
      <c r="E24" s="32"/>
      <c r="F24" s="316" t="s">
        <v>922</v>
      </c>
      <c r="G24" s="315" t="s">
        <v>917</v>
      </c>
      <c r="H24" s="315" t="s">
        <v>916</v>
      </c>
      <c r="I24" s="314"/>
    </row>
    <row r="25" spans="1:9" ht="12.75" customHeight="1">
      <c r="A25" s="30"/>
      <c r="B25" s="31" t="s">
        <v>903</v>
      </c>
      <c r="C25" s="32" t="s">
        <v>906</v>
      </c>
      <c r="D25" s="33" t="s">
        <v>47</v>
      </c>
      <c r="E25" s="32"/>
      <c r="F25" s="47" t="s">
        <v>925</v>
      </c>
      <c r="G25" s="313" t="s">
        <v>971</v>
      </c>
      <c r="H25" s="313" t="s">
        <v>975</v>
      </c>
      <c r="I25" s="314"/>
    </row>
    <row r="26" spans="1:9" ht="12.75" customHeight="1">
      <c r="A26" s="30"/>
      <c r="B26" s="31" t="s">
        <v>903</v>
      </c>
      <c r="C26" s="32" t="s">
        <v>907</v>
      </c>
      <c r="D26" s="33" t="s">
        <v>47</v>
      </c>
      <c r="E26" s="32"/>
      <c r="F26" s="47" t="s">
        <v>926</v>
      </c>
      <c r="G26" s="313" t="s">
        <v>972</v>
      </c>
      <c r="H26" s="313" t="s">
        <v>976</v>
      </c>
      <c r="I26" s="314"/>
    </row>
    <row r="27" spans="1:9" ht="12.75" customHeight="1">
      <c r="A27" s="30"/>
      <c r="B27" s="31" t="s">
        <v>903</v>
      </c>
      <c r="C27" s="32" t="s">
        <v>566</v>
      </c>
      <c r="D27" s="33" t="s">
        <v>47</v>
      </c>
      <c r="E27" s="32"/>
      <c r="F27" s="47" t="s">
        <v>927</v>
      </c>
      <c r="G27" s="313" t="s">
        <v>973</v>
      </c>
      <c r="H27" s="313" t="s">
        <v>977</v>
      </c>
      <c r="I27" s="314"/>
    </row>
    <row r="28" spans="1:9" ht="12.75" customHeight="1">
      <c r="A28" s="30"/>
      <c r="B28" s="31" t="s">
        <v>903</v>
      </c>
      <c r="C28" s="32" t="s">
        <v>908</v>
      </c>
      <c r="D28" s="33" t="s">
        <v>47</v>
      </c>
      <c r="E28" s="32"/>
      <c r="F28" s="47" t="s">
        <v>928</v>
      </c>
      <c r="G28" s="313" t="s">
        <v>974</v>
      </c>
      <c r="H28" s="313" t="s">
        <v>978</v>
      </c>
      <c r="I28" s="314"/>
    </row>
    <row r="29" spans="1:9" ht="12.75" customHeight="1">
      <c r="A29" s="30"/>
      <c r="B29" s="31" t="s">
        <v>903</v>
      </c>
      <c r="C29" s="32" t="s">
        <v>909</v>
      </c>
      <c r="D29" s="33" t="s">
        <v>47</v>
      </c>
      <c r="E29" s="32"/>
      <c r="F29" s="316" t="s">
        <v>923</v>
      </c>
      <c r="G29" s="317" t="s">
        <v>919</v>
      </c>
      <c r="H29" s="317" t="s">
        <v>920</v>
      </c>
      <c r="I29" s="314"/>
    </row>
    <row r="30" spans="1:9" ht="12.75" customHeight="1">
      <c r="A30" s="30"/>
      <c r="B30" s="31" t="s">
        <v>903</v>
      </c>
      <c r="C30" s="32" t="s">
        <v>910</v>
      </c>
      <c r="D30" s="33" t="s">
        <v>47</v>
      </c>
      <c r="E30" s="32"/>
      <c r="F30" s="47" t="s">
        <v>929</v>
      </c>
      <c r="G30" s="313" t="s">
        <v>987</v>
      </c>
      <c r="H30" s="313" t="s">
        <v>988</v>
      </c>
      <c r="I30" s="314"/>
    </row>
    <row r="31" spans="1:9" ht="12.75" customHeight="1">
      <c r="A31" s="30"/>
      <c r="B31" s="31" t="s">
        <v>903</v>
      </c>
      <c r="C31" s="32" t="s">
        <v>911</v>
      </c>
      <c r="D31" s="33" t="s">
        <v>47</v>
      </c>
      <c r="E31" s="32"/>
      <c r="F31" s="47" t="s">
        <v>930</v>
      </c>
      <c r="G31" s="313" t="s">
        <v>989</v>
      </c>
      <c r="H31" s="313" t="s">
        <v>990</v>
      </c>
      <c r="I31" s="314"/>
    </row>
    <row r="32" spans="1:9" ht="12.75" customHeight="1">
      <c r="A32" s="30"/>
      <c r="B32" s="31" t="s">
        <v>903</v>
      </c>
      <c r="C32" s="32" t="s">
        <v>912</v>
      </c>
      <c r="D32" s="33" t="s">
        <v>47</v>
      </c>
      <c r="E32" s="32"/>
      <c r="F32" s="47" t="s">
        <v>931</v>
      </c>
      <c r="G32" s="313" t="s">
        <v>991</v>
      </c>
      <c r="H32" s="313" t="s">
        <v>992</v>
      </c>
      <c r="I32" s="314"/>
    </row>
    <row r="33" spans="1:9" ht="12.75" customHeight="1">
      <c r="A33" s="30"/>
      <c r="B33" s="31" t="s">
        <v>903</v>
      </c>
      <c r="C33" s="32" t="s">
        <v>913</v>
      </c>
      <c r="D33" s="33" t="s">
        <v>47</v>
      </c>
      <c r="E33" s="32"/>
      <c r="F33" s="316" t="s">
        <v>924</v>
      </c>
      <c r="G33" s="317" t="s">
        <v>956</v>
      </c>
      <c r="H33" s="317" t="s">
        <v>957</v>
      </c>
      <c r="I33" s="314"/>
    </row>
    <row r="34" spans="1:9" ht="12.75" customHeight="1">
      <c r="A34" s="30"/>
      <c r="B34" s="31" t="s">
        <v>903</v>
      </c>
      <c r="C34" s="32" t="s">
        <v>914</v>
      </c>
      <c r="D34" s="33" t="s">
        <v>47</v>
      </c>
      <c r="E34" s="32"/>
      <c r="F34" s="46" t="s">
        <v>932</v>
      </c>
      <c r="G34" s="313" t="s">
        <v>993</v>
      </c>
      <c r="H34" s="313" t="s">
        <v>994</v>
      </c>
      <c r="I34" s="314"/>
    </row>
    <row r="35" spans="1:9">
      <c r="B35" s="40"/>
      <c r="C35" s="41"/>
      <c r="D35" s="41"/>
      <c r="E35" s="41"/>
      <c r="F35" s="48"/>
      <c r="G35" s="51"/>
      <c r="H35" s="51"/>
      <c r="I35" s="312"/>
    </row>
  </sheetData>
  <pageMargins left="0.7" right="0.7" top="0.75" bottom="0.75"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0000000}">
          <x14:formula1>
            <xm:f>Hoja1!$B$5:$B$179</xm:f>
          </x14:formula1>
          <xm:sqref>I14 I30</xm:sqref>
        </x14:dataValidation>
        <x14:dataValidation type="list" allowBlank="1" showInputMessage="1" showErrorMessage="1" xr:uid="{00000000-0002-0000-0300-000001000000}">
          <x14:formula1>
            <xm:f>Hoja1!$A$3:$A$249</xm:f>
          </x14:formula1>
          <xm:sqref>I10 I26</xm:sqref>
        </x14:dataValidation>
        <x14:dataValidation type="list" allowBlank="1" showInputMessage="1" showErrorMessage="1" xr:uid="{00000000-0002-0000-0300-000002000000}">
          <x14:formula1>
            <xm:f>Hoja1!$J$1:$J$3</xm:f>
          </x14:formula1>
          <xm:sqref>G8:I8 G24:I24</xm:sqref>
        </x14:dataValidation>
        <x14:dataValidation type="list" allowBlank="1" showInputMessage="1" showErrorMessage="1" xr:uid="{00000000-0002-0000-0300-000003000000}">
          <x14:formula1>
            <xm:f>Hoja1!$K$1:$K$3</xm:f>
          </x14:formula1>
          <xm:sqref>G13:I13 G29:I29</xm:sqref>
        </x14:dataValidation>
        <x14:dataValidation type="list" allowBlank="1" showInputMessage="1" showErrorMessage="1" xr:uid="{00000000-0002-0000-0300-000004000000}">
          <x14:formula1>
            <xm:f>Hoja1!$F$1:$F$2</xm:f>
          </x14:formula1>
          <xm:sqref>G17:I17 G33:I33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tabColor rgb="FFFF99FF"/>
  </sheetPr>
  <dimension ref="A1:I61"/>
  <sheetViews>
    <sheetView topLeftCell="A16" zoomScale="90" zoomScaleNormal="90" workbookViewId="0">
      <selection activeCell="L34" sqref="L34"/>
    </sheetView>
  </sheetViews>
  <sheetFormatPr baseColWidth="10" defaultRowHeight="15"/>
  <cols>
    <col min="1" max="1" width="2.7109375" customWidth="1"/>
    <col min="2" max="2" width="3.28515625" customWidth="1"/>
    <col min="3" max="3" width="2.7109375" customWidth="1"/>
    <col min="4" max="4" width="5.42578125" customWidth="1"/>
    <col min="5" max="5" width="2.7109375" customWidth="1"/>
    <col min="6" max="6" width="90.7109375" customWidth="1"/>
    <col min="7" max="7" width="21.5703125" customWidth="1"/>
    <col min="8" max="8" width="17.28515625" bestFit="1" customWidth="1"/>
    <col min="9" max="9" width="25.140625" customWidth="1"/>
  </cols>
  <sheetData>
    <row r="1" spans="1:9" ht="54.95" customHeight="1"/>
    <row r="4" spans="1:9" ht="96.75" customHeight="1">
      <c r="A4" s="16" t="s">
        <v>54</v>
      </c>
      <c r="B4" s="17"/>
      <c r="C4" s="18"/>
      <c r="D4" s="18"/>
      <c r="E4" s="19"/>
      <c r="F4" s="20" t="s">
        <v>937</v>
      </c>
      <c r="G4" s="124" t="s">
        <v>12</v>
      </c>
      <c r="H4" s="22" t="s">
        <v>13</v>
      </c>
      <c r="I4" s="22" t="s">
        <v>14</v>
      </c>
    </row>
    <row r="5" spans="1:9" ht="121.5" hidden="1" customHeight="1">
      <c r="A5" s="23" t="s">
        <v>55</v>
      </c>
      <c r="B5" s="24"/>
      <c r="C5" s="25"/>
      <c r="D5" s="26" t="s">
        <v>626</v>
      </c>
      <c r="E5" s="27" t="s">
        <v>625</v>
      </c>
      <c r="F5" s="28"/>
      <c r="G5" s="29" t="s">
        <v>592</v>
      </c>
      <c r="H5" s="29" t="s">
        <v>593</v>
      </c>
      <c r="I5" s="29" t="s">
        <v>594</v>
      </c>
    </row>
    <row r="6" spans="1:9">
      <c r="A6" s="30"/>
      <c r="B6" s="36"/>
      <c r="C6" s="37"/>
      <c r="D6" s="38"/>
      <c r="E6" s="39"/>
      <c r="F6" s="116"/>
      <c r="G6" s="39"/>
      <c r="H6" s="39"/>
      <c r="I6" s="99"/>
    </row>
    <row r="7" spans="1:9">
      <c r="A7" s="30"/>
      <c r="B7" s="31"/>
      <c r="C7" s="32"/>
      <c r="D7" s="33"/>
      <c r="E7" s="34"/>
      <c r="F7" s="117"/>
      <c r="G7" s="32"/>
      <c r="H7" s="32"/>
      <c r="I7" s="100"/>
    </row>
    <row r="8" spans="1:9" ht="12.75" customHeight="1">
      <c r="A8" s="30"/>
      <c r="B8" s="31"/>
      <c r="C8" s="32"/>
      <c r="D8" s="33" t="s">
        <v>0</v>
      </c>
      <c r="E8" s="32" t="s">
        <v>0</v>
      </c>
      <c r="F8" s="117" t="s">
        <v>83</v>
      </c>
      <c r="G8" s="32"/>
      <c r="H8" s="32"/>
      <c r="I8" s="104"/>
    </row>
    <row r="9" spans="1:9" ht="12.75" customHeight="1">
      <c r="A9" s="30"/>
      <c r="B9" s="31" t="s">
        <v>903</v>
      </c>
      <c r="C9" s="32" t="s">
        <v>518</v>
      </c>
      <c r="D9" s="33" t="s">
        <v>4</v>
      </c>
      <c r="E9" s="32" t="s">
        <v>0</v>
      </c>
      <c r="F9" s="117" t="s">
        <v>84</v>
      </c>
      <c r="G9" s="287">
        <f>G10+G15+G16+G17+G18+G19</f>
        <v>26155137000</v>
      </c>
      <c r="H9" s="287">
        <f t="shared" ref="H9:I9" si="0">H10+H15+H16+H17+H18+H19</f>
        <v>0</v>
      </c>
      <c r="I9" s="287">
        <f t="shared" si="0"/>
        <v>26155137000</v>
      </c>
    </row>
    <row r="10" spans="1:9" ht="12.75" customHeight="1">
      <c r="A10" s="30"/>
      <c r="B10" s="31" t="s">
        <v>903</v>
      </c>
      <c r="C10" s="32" t="s">
        <v>519</v>
      </c>
      <c r="D10" s="33" t="s">
        <v>4</v>
      </c>
      <c r="E10" s="32" t="s">
        <v>0</v>
      </c>
      <c r="F10" s="117" t="s">
        <v>85</v>
      </c>
      <c r="G10" s="287">
        <f>+G11+G12+G13+G14</f>
        <v>0</v>
      </c>
      <c r="H10" s="287">
        <f>+H11+H12+H13+H14</f>
        <v>0</v>
      </c>
      <c r="I10" s="287">
        <f>+I11+I12+I13+I14</f>
        <v>0</v>
      </c>
    </row>
    <row r="11" spans="1:9" ht="12.75" customHeight="1">
      <c r="A11" s="30"/>
      <c r="B11" s="31" t="s">
        <v>903</v>
      </c>
      <c r="C11" s="32" t="s">
        <v>595</v>
      </c>
      <c r="D11" s="33" t="s">
        <v>4</v>
      </c>
      <c r="E11" s="32" t="s">
        <v>0</v>
      </c>
      <c r="F11" s="32" t="s">
        <v>86</v>
      </c>
      <c r="G11" s="118"/>
      <c r="H11" s="118"/>
      <c r="I11" s="287">
        <f t="shared" ref="I11:I19" si="1">+G11-H11</f>
        <v>0</v>
      </c>
    </row>
    <row r="12" spans="1:9" ht="12.75" customHeight="1">
      <c r="A12" s="30"/>
      <c r="B12" s="31" t="s">
        <v>903</v>
      </c>
      <c r="C12" s="32" t="s">
        <v>596</v>
      </c>
      <c r="D12" s="33" t="s">
        <v>4</v>
      </c>
      <c r="E12" s="32" t="s">
        <v>0</v>
      </c>
      <c r="F12" s="32" t="s">
        <v>87</v>
      </c>
      <c r="G12" s="118"/>
      <c r="H12" s="118"/>
      <c r="I12" s="287">
        <f t="shared" si="1"/>
        <v>0</v>
      </c>
    </row>
    <row r="13" spans="1:9" ht="12.75" customHeight="1">
      <c r="A13" s="30"/>
      <c r="B13" s="31" t="s">
        <v>903</v>
      </c>
      <c r="C13" s="32" t="s">
        <v>597</v>
      </c>
      <c r="D13" s="33" t="s">
        <v>4</v>
      </c>
      <c r="E13" s="32" t="s">
        <v>0</v>
      </c>
      <c r="F13" s="32" t="s">
        <v>88</v>
      </c>
      <c r="G13" s="118"/>
      <c r="H13" s="118"/>
      <c r="I13" s="287">
        <f t="shared" si="1"/>
        <v>0</v>
      </c>
    </row>
    <row r="14" spans="1:9" ht="12.75" customHeight="1">
      <c r="A14" s="30"/>
      <c r="B14" s="31" t="s">
        <v>903</v>
      </c>
      <c r="C14" s="32" t="s">
        <v>598</v>
      </c>
      <c r="D14" s="33" t="s">
        <v>4</v>
      </c>
      <c r="E14" s="32" t="s">
        <v>0</v>
      </c>
      <c r="F14" s="32" t="s">
        <v>89</v>
      </c>
      <c r="G14" s="118"/>
      <c r="H14" s="118"/>
      <c r="I14" s="287">
        <f t="shared" si="1"/>
        <v>0</v>
      </c>
    </row>
    <row r="15" spans="1:9" ht="12.75" customHeight="1">
      <c r="A15" s="30"/>
      <c r="B15" s="31" t="s">
        <v>903</v>
      </c>
      <c r="C15" s="32" t="s">
        <v>520</v>
      </c>
      <c r="D15" s="33" t="s">
        <v>4</v>
      </c>
      <c r="E15" s="32" t="s">
        <v>0</v>
      </c>
      <c r="F15" s="32" t="s">
        <v>90</v>
      </c>
      <c r="G15" s="118"/>
      <c r="H15" s="118"/>
      <c r="I15" s="287">
        <f t="shared" si="1"/>
        <v>0</v>
      </c>
    </row>
    <row r="16" spans="1:9" ht="22.5">
      <c r="A16" s="30"/>
      <c r="B16" s="31" t="s">
        <v>903</v>
      </c>
      <c r="C16" s="32" t="s">
        <v>521</v>
      </c>
      <c r="D16" s="33" t="s">
        <v>4</v>
      </c>
      <c r="E16" s="32"/>
      <c r="F16" s="137" t="s">
        <v>101</v>
      </c>
      <c r="G16" s="118"/>
      <c r="H16" s="118"/>
      <c r="I16" s="287">
        <f t="shared" si="1"/>
        <v>0</v>
      </c>
    </row>
    <row r="17" spans="1:9">
      <c r="A17" s="30"/>
      <c r="B17" s="31" t="s">
        <v>903</v>
      </c>
      <c r="C17" s="32" t="s">
        <v>514</v>
      </c>
      <c r="D17" s="33" t="s">
        <v>4</v>
      </c>
      <c r="E17" s="32"/>
      <c r="F17" s="137" t="s">
        <v>654</v>
      </c>
      <c r="G17" s="118"/>
      <c r="H17" s="118"/>
      <c r="I17" s="287">
        <f t="shared" si="1"/>
        <v>0</v>
      </c>
    </row>
    <row r="18" spans="1:9">
      <c r="A18" s="30"/>
      <c r="B18" s="31" t="s">
        <v>903</v>
      </c>
      <c r="C18" s="32" t="s">
        <v>515</v>
      </c>
      <c r="D18" s="33" t="s">
        <v>4</v>
      </c>
      <c r="E18" s="32"/>
      <c r="F18" s="137" t="s">
        <v>655</v>
      </c>
      <c r="G18" s="118"/>
      <c r="H18" s="118"/>
      <c r="I18" s="287">
        <f t="shared" si="1"/>
        <v>0</v>
      </c>
    </row>
    <row r="19" spans="1:9" ht="12.75" customHeight="1">
      <c r="A19" s="30"/>
      <c r="B19" s="31" t="s">
        <v>903</v>
      </c>
      <c r="C19" s="32" t="s">
        <v>522</v>
      </c>
      <c r="D19" s="33" t="s">
        <v>4</v>
      </c>
      <c r="E19" s="32" t="s">
        <v>0</v>
      </c>
      <c r="F19" s="32" t="s">
        <v>91</v>
      </c>
      <c r="G19" s="118">
        <v>26155137000</v>
      </c>
      <c r="H19" s="118"/>
      <c r="I19" s="287">
        <f t="shared" si="1"/>
        <v>26155137000</v>
      </c>
    </row>
    <row r="20" spans="1:9" ht="12.75" customHeight="1">
      <c r="A20" s="30"/>
      <c r="B20" s="31" t="s">
        <v>903</v>
      </c>
      <c r="C20" s="32" t="s">
        <v>523</v>
      </c>
      <c r="D20" s="33" t="s">
        <v>4</v>
      </c>
      <c r="E20" s="32" t="s">
        <v>0</v>
      </c>
      <c r="F20" s="117" t="s">
        <v>92</v>
      </c>
      <c r="G20" s="287">
        <f>G21+G27+G29+G30+G28+G26</f>
        <v>284841000</v>
      </c>
      <c r="H20" s="287">
        <f>H21+H27+H29+H30+H28+H26</f>
        <v>0</v>
      </c>
      <c r="I20" s="287">
        <f>I21+I27+I29+I30+I28+I26</f>
        <v>284841000</v>
      </c>
    </row>
    <row r="21" spans="1:9" ht="12.75" customHeight="1">
      <c r="A21" s="30"/>
      <c r="B21" s="31" t="s">
        <v>903</v>
      </c>
      <c r="C21" s="32" t="s">
        <v>524</v>
      </c>
      <c r="D21" s="33" t="s">
        <v>4</v>
      </c>
      <c r="E21" s="32" t="s">
        <v>0</v>
      </c>
      <c r="F21" s="117" t="s">
        <v>93</v>
      </c>
      <c r="G21" s="287">
        <f>G22+G23+G24+G25</f>
        <v>0</v>
      </c>
      <c r="H21" s="287">
        <f>H22+H23+H24+H25</f>
        <v>0</v>
      </c>
      <c r="I21" s="287">
        <f>I22+I23+I24+I25</f>
        <v>0</v>
      </c>
    </row>
    <row r="22" spans="1:9" ht="12.75" customHeight="1">
      <c r="A22" s="30"/>
      <c r="B22" s="31" t="s">
        <v>903</v>
      </c>
      <c r="C22" s="32" t="s">
        <v>599</v>
      </c>
      <c r="D22" s="33" t="s">
        <v>4</v>
      </c>
      <c r="E22" s="32" t="s">
        <v>0</v>
      </c>
      <c r="F22" s="32" t="s">
        <v>94</v>
      </c>
      <c r="G22" s="118"/>
      <c r="H22" s="118"/>
      <c r="I22" s="287">
        <f t="shared" ref="I22:I30" si="2">+G22-H22</f>
        <v>0</v>
      </c>
    </row>
    <row r="23" spans="1:9" ht="12.75" customHeight="1">
      <c r="A23" s="30"/>
      <c r="B23" s="31" t="s">
        <v>903</v>
      </c>
      <c r="C23" s="32" t="s">
        <v>600</v>
      </c>
      <c r="D23" s="33" t="s">
        <v>4</v>
      </c>
      <c r="E23" s="32" t="s">
        <v>0</v>
      </c>
      <c r="F23" s="32" t="s">
        <v>95</v>
      </c>
      <c r="G23" s="118"/>
      <c r="H23" s="118"/>
      <c r="I23" s="287">
        <f t="shared" si="2"/>
        <v>0</v>
      </c>
    </row>
    <row r="24" spans="1:9" ht="12.75" customHeight="1">
      <c r="A24" s="30"/>
      <c r="B24" s="31" t="s">
        <v>903</v>
      </c>
      <c r="C24" s="32" t="s">
        <v>601</v>
      </c>
      <c r="D24" s="33" t="s">
        <v>4</v>
      </c>
      <c r="E24" s="32" t="s">
        <v>0</v>
      </c>
      <c r="F24" s="32" t="s">
        <v>96</v>
      </c>
      <c r="G24" s="118"/>
      <c r="H24" s="118"/>
      <c r="I24" s="287">
        <f t="shared" si="2"/>
        <v>0</v>
      </c>
    </row>
    <row r="25" spans="1:9" ht="12.75" customHeight="1">
      <c r="A25" s="30"/>
      <c r="B25" s="31" t="s">
        <v>903</v>
      </c>
      <c r="C25" s="32" t="s">
        <v>602</v>
      </c>
      <c r="D25" s="33" t="s">
        <v>4</v>
      </c>
      <c r="E25" s="32" t="s">
        <v>0</v>
      </c>
      <c r="F25" s="32" t="s">
        <v>97</v>
      </c>
      <c r="G25" s="118"/>
      <c r="H25" s="118"/>
      <c r="I25" s="287">
        <f t="shared" si="2"/>
        <v>0</v>
      </c>
    </row>
    <row r="26" spans="1:9" ht="12.75" customHeight="1">
      <c r="A26" s="30"/>
      <c r="B26" s="31" t="s">
        <v>903</v>
      </c>
      <c r="C26" s="32" t="s">
        <v>525</v>
      </c>
      <c r="D26" s="33" t="s">
        <v>4</v>
      </c>
      <c r="E26" s="32" t="s">
        <v>0</v>
      </c>
      <c r="F26" s="32" t="s">
        <v>98</v>
      </c>
      <c r="G26" s="118"/>
      <c r="H26" s="118"/>
      <c r="I26" s="287">
        <f t="shared" si="2"/>
        <v>0</v>
      </c>
    </row>
    <row r="27" spans="1:9" ht="22.5">
      <c r="A27" s="30"/>
      <c r="B27" s="31" t="s">
        <v>903</v>
      </c>
      <c r="C27" s="32" t="s">
        <v>526</v>
      </c>
      <c r="D27" s="33" t="s">
        <v>4</v>
      </c>
      <c r="E27" s="32"/>
      <c r="F27" s="137" t="s">
        <v>102</v>
      </c>
      <c r="G27" s="118">
        <v>284841000</v>
      </c>
      <c r="H27" s="118"/>
      <c r="I27" s="287">
        <f t="shared" si="2"/>
        <v>284841000</v>
      </c>
    </row>
    <row r="28" spans="1:9">
      <c r="A28" s="30"/>
      <c r="B28" s="31" t="s">
        <v>903</v>
      </c>
      <c r="C28" s="32" t="s">
        <v>516</v>
      </c>
      <c r="D28" s="33" t="s">
        <v>4</v>
      </c>
      <c r="E28" s="32"/>
      <c r="F28" s="137" t="s">
        <v>656</v>
      </c>
      <c r="G28" s="118"/>
      <c r="H28" s="118"/>
      <c r="I28" s="287">
        <f t="shared" si="2"/>
        <v>0</v>
      </c>
    </row>
    <row r="29" spans="1:9">
      <c r="A29" s="30"/>
      <c r="B29" s="31" t="s">
        <v>903</v>
      </c>
      <c r="C29" s="32" t="s">
        <v>517</v>
      </c>
      <c r="D29" s="33" t="s">
        <v>4</v>
      </c>
      <c r="E29" s="32"/>
      <c r="F29" s="137" t="s">
        <v>657</v>
      </c>
      <c r="G29" s="118"/>
      <c r="H29" s="118"/>
      <c r="I29" s="287">
        <f t="shared" si="2"/>
        <v>0</v>
      </c>
    </row>
    <row r="30" spans="1:9" ht="12.75" customHeight="1">
      <c r="A30" s="30"/>
      <c r="B30" s="31" t="s">
        <v>903</v>
      </c>
      <c r="C30" s="32" t="s">
        <v>527</v>
      </c>
      <c r="D30" s="33" t="s">
        <v>4</v>
      </c>
      <c r="E30" s="32" t="s">
        <v>0</v>
      </c>
      <c r="F30" s="32" t="s">
        <v>99</v>
      </c>
      <c r="G30" s="118"/>
      <c r="H30" s="118"/>
      <c r="I30" s="287">
        <f t="shared" si="2"/>
        <v>0</v>
      </c>
    </row>
    <row r="31" spans="1:9" ht="12.75" customHeight="1">
      <c r="A31" s="30"/>
      <c r="B31" s="31" t="s">
        <v>903</v>
      </c>
      <c r="C31" s="32" t="s">
        <v>528</v>
      </c>
      <c r="D31" s="33" t="s">
        <v>4</v>
      </c>
      <c r="E31" s="32" t="s">
        <v>0</v>
      </c>
      <c r="F31" s="117" t="s">
        <v>100</v>
      </c>
      <c r="G31" s="287">
        <f>G9+G20</f>
        <v>26439978000</v>
      </c>
      <c r="H31" s="287">
        <f>H9+H20</f>
        <v>0</v>
      </c>
      <c r="I31" s="287">
        <f>I9+I20</f>
        <v>26439978000</v>
      </c>
    </row>
    <row r="32" spans="1:9">
      <c r="B32" s="40"/>
      <c r="C32" s="41"/>
      <c r="D32" s="41"/>
      <c r="E32" s="41"/>
      <c r="F32" s="41"/>
      <c r="G32" s="42"/>
      <c r="H32" s="42"/>
      <c r="I32" s="101"/>
    </row>
    <row r="34" spans="1:9" ht="96.75" customHeight="1">
      <c r="A34" s="16"/>
      <c r="B34" s="17"/>
      <c r="C34" s="18"/>
      <c r="D34" s="18"/>
      <c r="E34" s="19"/>
      <c r="F34" s="20" t="s">
        <v>57</v>
      </c>
      <c r="G34" s="124" t="s">
        <v>12</v>
      </c>
      <c r="H34" s="22" t="s">
        <v>13</v>
      </c>
      <c r="I34" s="22" t="s">
        <v>14</v>
      </c>
    </row>
    <row r="35" spans="1:9">
      <c r="A35" s="30"/>
      <c r="B35" s="36"/>
      <c r="C35" s="37"/>
      <c r="D35" s="38"/>
      <c r="E35" s="39"/>
      <c r="F35" s="116"/>
      <c r="G35" s="39"/>
      <c r="H35" s="39"/>
      <c r="I35" s="99"/>
    </row>
    <row r="36" spans="1:9">
      <c r="A36" s="30"/>
      <c r="B36" s="31"/>
      <c r="C36" s="32"/>
      <c r="D36" s="33"/>
      <c r="E36" s="34"/>
      <c r="F36" s="117"/>
      <c r="G36" s="32"/>
      <c r="H36" s="32"/>
      <c r="I36" s="100"/>
    </row>
    <row r="37" spans="1:9" ht="12.75" customHeight="1">
      <c r="A37" s="30"/>
      <c r="B37" s="31"/>
      <c r="C37" s="32"/>
      <c r="D37" s="33"/>
      <c r="E37" s="32"/>
      <c r="F37" s="117" t="s">
        <v>83</v>
      </c>
      <c r="G37" s="32"/>
      <c r="H37" s="32"/>
      <c r="I37" s="104"/>
    </row>
    <row r="38" spans="1:9">
      <c r="A38" s="30" t="s">
        <v>48</v>
      </c>
      <c r="B38" s="31" t="s">
        <v>903</v>
      </c>
      <c r="C38" s="32" t="s">
        <v>518</v>
      </c>
      <c r="D38" s="33" t="s">
        <v>4</v>
      </c>
      <c r="E38" s="32"/>
      <c r="F38" s="117" t="s">
        <v>84</v>
      </c>
      <c r="G38" s="287">
        <f t="shared" ref="G38:I38" si="3">G39+G44+G45+G46+G47+G48</f>
        <v>19959586000</v>
      </c>
      <c r="H38" s="287">
        <f t="shared" si="3"/>
        <v>0</v>
      </c>
      <c r="I38" s="287">
        <f t="shared" si="3"/>
        <v>19959586000</v>
      </c>
    </row>
    <row r="39" spans="1:9">
      <c r="A39" s="30" t="s">
        <v>48</v>
      </c>
      <c r="B39" s="31" t="s">
        <v>903</v>
      </c>
      <c r="C39" s="32" t="s">
        <v>519</v>
      </c>
      <c r="D39" s="33" t="s">
        <v>4</v>
      </c>
      <c r="E39" s="32"/>
      <c r="F39" s="117" t="s">
        <v>85</v>
      </c>
      <c r="G39" s="287">
        <f>SUM(G40:G43)</f>
        <v>0</v>
      </c>
      <c r="H39" s="287">
        <f>SUM(H40:H43)</f>
        <v>0</v>
      </c>
      <c r="I39" s="287">
        <f>SUM(I40:I43)</f>
        <v>0</v>
      </c>
    </row>
    <row r="40" spans="1:9">
      <c r="A40" s="30" t="s">
        <v>48</v>
      </c>
      <c r="B40" s="31" t="s">
        <v>903</v>
      </c>
      <c r="C40" s="32" t="s">
        <v>595</v>
      </c>
      <c r="D40" s="33" t="s">
        <v>4</v>
      </c>
      <c r="E40" s="32"/>
      <c r="F40" s="32" t="s">
        <v>86</v>
      </c>
      <c r="G40" s="118"/>
      <c r="H40" s="118"/>
      <c r="I40" s="287">
        <f>+G40-H40</f>
        <v>0</v>
      </c>
    </row>
    <row r="41" spans="1:9">
      <c r="A41" s="30" t="s">
        <v>48</v>
      </c>
      <c r="B41" s="31" t="s">
        <v>903</v>
      </c>
      <c r="C41" s="32" t="s">
        <v>596</v>
      </c>
      <c r="D41" s="33" t="s">
        <v>4</v>
      </c>
      <c r="E41" s="32"/>
      <c r="F41" s="32" t="s">
        <v>87</v>
      </c>
      <c r="G41" s="118"/>
      <c r="H41" s="118"/>
      <c r="I41" s="287">
        <f t="shared" ref="I41:I48" si="4">+G41-H41</f>
        <v>0</v>
      </c>
    </row>
    <row r="42" spans="1:9">
      <c r="A42" s="30" t="s">
        <v>48</v>
      </c>
      <c r="B42" s="31" t="s">
        <v>903</v>
      </c>
      <c r="C42" s="32" t="s">
        <v>597</v>
      </c>
      <c r="D42" s="33" t="s">
        <v>4</v>
      </c>
      <c r="E42" s="32"/>
      <c r="F42" s="32" t="s">
        <v>88</v>
      </c>
      <c r="G42" s="118"/>
      <c r="H42" s="118"/>
      <c r="I42" s="287">
        <f t="shared" si="4"/>
        <v>0</v>
      </c>
    </row>
    <row r="43" spans="1:9">
      <c r="A43" s="30" t="s">
        <v>48</v>
      </c>
      <c r="B43" s="31" t="s">
        <v>903</v>
      </c>
      <c r="C43" s="32" t="s">
        <v>598</v>
      </c>
      <c r="D43" s="33" t="s">
        <v>4</v>
      </c>
      <c r="E43" s="32"/>
      <c r="F43" s="32" t="s">
        <v>89</v>
      </c>
      <c r="G43" s="118"/>
      <c r="H43" s="118"/>
      <c r="I43" s="287">
        <f t="shared" si="4"/>
        <v>0</v>
      </c>
    </row>
    <row r="44" spans="1:9">
      <c r="A44" s="30" t="s">
        <v>48</v>
      </c>
      <c r="B44" s="31" t="s">
        <v>903</v>
      </c>
      <c r="C44" s="32" t="s">
        <v>520</v>
      </c>
      <c r="D44" s="33" t="s">
        <v>4</v>
      </c>
      <c r="E44" s="32"/>
      <c r="F44" s="32" t="s">
        <v>90</v>
      </c>
      <c r="G44" s="118"/>
      <c r="H44" s="118"/>
      <c r="I44" s="287">
        <f t="shared" si="4"/>
        <v>0</v>
      </c>
    </row>
    <row r="45" spans="1:9" ht="22.5">
      <c r="A45" s="30" t="s">
        <v>48</v>
      </c>
      <c r="B45" s="31" t="s">
        <v>903</v>
      </c>
      <c r="C45" s="32" t="s">
        <v>521</v>
      </c>
      <c r="D45" s="33" t="s">
        <v>4</v>
      </c>
      <c r="E45" s="32"/>
      <c r="F45" s="137" t="s">
        <v>101</v>
      </c>
      <c r="G45" s="118"/>
      <c r="H45" s="118"/>
      <c r="I45" s="287">
        <f t="shared" si="4"/>
        <v>0</v>
      </c>
    </row>
    <row r="46" spans="1:9">
      <c r="A46" s="30" t="s">
        <v>48</v>
      </c>
      <c r="B46" s="31" t="s">
        <v>903</v>
      </c>
      <c r="C46" s="32" t="s">
        <v>514</v>
      </c>
      <c r="D46" s="33" t="s">
        <v>4</v>
      </c>
      <c r="E46" s="32"/>
      <c r="F46" s="137" t="s">
        <v>654</v>
      </c>
      <c r="G46" s="118"/>
      <c r="H46" s="118"/>
      <c r="I46" s="287">
        <f t="shared" si="4"/>
        <v>0</v>
      </c>
    </row>
    <row r="47" spans="1:9">
      <c r="A47" s="30" t="s">
        <v>48</v>
      </c>
      <c r="B47" s="31" t="s">
        <v>903</v>
      </c>
      <c r="C47" s="32" t="s">
        <v>515</v>
      </c>
      <c r="D47" s="33" t="s">
        <v>4</v>
      </c>
      <c r="E47" s="32"/>
      <c r="F47" s="137" t="s">
        <v>655</v>
      </c>
      <c r="G47" s="118"/>
      <c r="H47" s="118"/>
      <c r="I47" s="287">
        <f t="shared" si="4"/>
        <v>0</v>
      </c>
    </row>
    <row r="48" spans="1:9">
      <c r="A48" s="30" t="s">
        <v>48</v>
      </c>
      <c r="B48" s="31" t="s">
        <v>903</v>
      </c>
      <c r="C48" s="32" t="s">
        <v>522</v>
      </c>
      <c r="D48" s="33" t="s">
        <v>4</v>
      </c>
      <c r="E48" s="32"/>
      <c r="F48" s="32" t="s">
        <v>91</v>
      </c>
      <c r="G48" s="118">
        <v>19959586000</v>
      </c>
      <c r="H48" s="118"/>
      <c r="I48" s="287">
        <f t="shared" si="4"/>
        <v>19959586000</v>
      </c>
    </row>
    <row r="49" spans="1:9">
      <c r="A49" s="30" t="s">
        <v>48</v>
      </c>
      <c r="B49" s="31" t="s">
        <v>903</v>
      </c>
      <c r="C49" s="32" t="s">
        <v>523</v>
      </c>
      <c r="D49" s="33" t="s">
        <v>4</v>
      </c>
      <c r="E49" s="32"/>
      <c r="F49" s="117" t="s">
        <v>92</v>
      </c>
      <c r="G49" s="287">
        <f t="shared" ref="G49:H49" si="5">G50+G56+G58+G59+G57+G55</f>
        <v>326999000</v>
      </c>
      <c r="H49" s="287">
        <f t="shared" si="5"/>
        <v>0</v>
      </c>
      <c r="I49" s="287">
        <f>I50+I56+I58+I59+I57+I55</f>
        <v>326999000</v>
      </c>
    </row>
    <row r="50" spans="1:9">
      <c r="A50" s="30" t="s">
        <v>48</v>
      </c>
      <c r="B50" s="31" t="s">
        <v>903</v>
      </c>
      <c r="C50" s="32" t="s">
        <v>524</v>
      </c>
      <c r="D50" s="33" t="s">
        <v>4</v>
      </c>
      <c r="E50" s="32"/>
      <c r="F50" s="117" t="s">
        <v>93</v>
      </c>
      <c r="G50" s="287">
        <f>G51+G52+G53+G54</f>
        <v>0</v>
      </c>
      <c r="H50" s="287">
        <f>H51+H52+H53+H54</f>
        <v>0</v>
      </c>
      <c r="I50" s="287">
        <f>I51+I52+I53+I54</f>
        <v>0</v>
      </c>
    </row>
    <row r="51" spans="1:9">
      <c r="A51" s="30" t="s">
        <v>48</v>
      </c>
      <c r="B51" s="31" t="s">
        <v>903</v>
      </c>
      <c r="C51" s="32" t="s">
        <v>599</v>
      </c>
      <c r="D51" s="33" t="s">
        <v>4</v>
      </c>
      <c r="E51" s="32"/>
      <c r="F51" s="32" t="s">
        <v>94</v>
      </c>
      <c r="G51" s="118"/>
      <c r="H51" s="118"/>
      <c r="I51" s="287">
        <f>+G51-H51</f>
        <v>0</v>
      </c>
    </row>
    <row r="52" spans="1:9">
      <c r="A52" s="30" t="s">
        <v>48</v>
      </c>
      <c r="B52" s="31" t="s">
        <v>903</v>
      </c>
      <c r="C52" s="32" t="s">
        <v>600</v>
      </c>
      <c r="D52" s="33" t="s">
        <v>4</v>
      </c>
      <c r="E52" s="32"/>
      <c r="F52" s="32" t="s">
        <v>95</v>
      </c>
      <c r="G52" s="118"/>
      <c r="H52" s="118"/>
      <c r="I52" s="287">
        <f t="shared" ref="I52:I59" si="6">+G52-H52</f>
        <v>0</v>
      </c>
    </row>
    <row r="53" spans="1:9">
      <c r="A53" s="30" t="s">
        <v>48</v>
      </c>
      <c r="B53" s="31" t="s">
        <v>903</v>
      </c>
      <c r="C53" s="32" t="s">
        <v>601</v>
      </c>
      <c r="D53" s="33" t="s">
        <v>4</v>
      </c>
      <c r="E53" s="32"/>
      <c r="F53" s="32" t="s">
        <v>96</v>
      </c>
      <c r="G53" s="118"/>
      <c r="H53" s="118"/>
      <c r="I53" s="287">
        <f t="shared" si="6"/>
        <v>0</v>
      </c>
    </row>
    <row r="54" spans="1:9">
      <c r="A54" s="30" t="s">
        <v>48</v>
      </c>
      <c r="B54" s="31" t="s">
        <v>903</v>
      </c>
      <c r="C54" s="32" t="s">
        <v>602</v>
      </c>
      <c r="D54" s="33" t="s">
        <v>4</v>
      </c>
      <c r="E54" s="32"/>
      <c r="F54" s="32" t="s">
        <v>97</v>
      </c>
      <c r="G54" s="118"/>
      <c r="H54" s="118"/>
      <c r="I54" s="287">
        <f t="shared" si="6"/>
        <v>0</v>
      </c>
    </row>
    <row r="55" spans="1:9">
      <c r="A55" s="30" t="s">
        <v>48</v>
      </c>
      <c r="B55" s="31" t="s">
        <v>903</v>
      </c>
      <c r="C55" s="32" t="s">
        <v>525</v>
      </c>
      <c r="D55" s="33" t="s">
        <v>4</v>
      </c>
      <c r="E55" s="32"/>
      <c r="F55" s="32" t="s">
        <v>98</v>
      </c>
      <c r="G55" s="118"/>
      <c r="H55" s="118"/>
      <c r="I55" s="287">
        <f t="shared" si="6"/>
        <v>0</v>
      </c>
    </row>
    <row r="56" spans="1:9" ht="22.5">
      <c r="A56" s="30" t="s">
        <v>48</v>
      </c>
      <c r="B56" s="31" t="s">
        <v>903</v>
      </c>
      <c r="C56" s="32" t="s">
        <v>526</v>
      </c>
      <c r="D56" s="33" t="s">
        <v>4</v>
      </c>
      <c r="E56" s="32"/>
      <c r="F56" s="137" t="s">
        <v>102</v>
      </c>
      <c r="G56" s="118">
        <v>326999000</v>
      </c>
      <c r="H56" s="118"/>
      <c r="I56" s="287">
        <f t="shared" si="6"/>
        <v>326999000</v>
      </c>
    </row>
    <row r="57" spans="1:9">
      <c r="A57" s="30" t="s">
        <v>48</v>
      </c>
      <c r="B57" s="31" t="s">
        <v>903</v>
      </c>
      <c r="C57" s="32" t="s">
        <v>516</v>
      </c>
      <c r="D57" s="33" t="s">
        <v>4</v>
      </c>
      <c r="E57" s="32"/>
      <c r="F57" s="150" t="s">
        <v>656</v>
      </c>
      <c r="G57" s="118"/>
      <c r="H57" s="118"/>
      <c r="I57" s="287">
        <f t="shared" si="6"/>
        <v>0</v>
      </c>
    </row>
    <row r="58" spans="1:9">
      <c r="A58" s="30" t="s">
        <v>48</v>
      </c>
      <c r="B58" s="31" t="s">
        <v>903</v>
      </c>
      <c r="C58" s="32" t="s">
        <v>517</v>
      </c>
      <c r="D58" s="33" t="s">
        <v>4</v>
      </c>
      <c r="E58" s="32"/>
      <c r="F58" s="137" t="s">
        <v>657</v>
      </c>
      <c r="G58" s="118"/>
      <c r="H58" s="118"/>
      <c r="I58" s="287">
        <f t="shared" si="6"/>
        <v>0</v>
      </c>
    </row>
    <row r="59" spans="1:9">
      <c r="A59" s="30" t="s">
        <v>48</v>
      </c>
      <c r="B59" s="31" t="s">
        <v>903</v>
      </c>
      <c r="C59" s="32" t="s">
        <v>527</v>
      </c>
      <c r="D59" s="33" t="s">
        <v>4</v>
      </c>
      <c r="E59" s="32"/>
      <c r="F59" s="32" t="s">
        <v>99</v>
      </c>
      <c r="G59" s="118"/>
      <c r="H59" s="118"/>
      <c r="I59" s="287">
        <f t="shared" si="6"/>
        <v>0</v>
      </c>
    </row>
    <row r="60" spans="1:9">
      <c r="A60" s="30" t="s">
        <v>48</v>
      </c>
      <c r="B60" s="31" t="s">
        <v>903</v>
      </c>
      <c r="C60" s="32" t="s">
        <v>528</v>
      </c>
      <c r="D60" s="33" t="s">
        <v>4</v>
      </c>
      <c r="E60" s="32"/>
      <c r="F60" s="117" t="s">
        <v>100</v>
      </c>
      <c r="G60" s="287">
        <f>G38+G49</f>
        <v>20286585000</v>
      </c>
      <c r="H60" s="287">
        <f>H38+H49</f>
        <v>0</v>
      </c>
      <c r="I60" s="287">
        <f>I38+I49</f>
        <v>20286585000</v>
      </c>
    </row>
    <row r="61" spans="1:9">
      <c r="B61" s="94"/>
      <c r="C61" s="41"/>
      <c r="D61" s="92"/>
      <c r="E61" s="41"/>
      <c r="F61" s="41"/>
      <c r="G61" s="42"/>
      <c r="H61" s="42"/>
      <c r="I61" s="101"/>
    </row>
  </sheetData>
  <pageMargins left="0.7" right="0.7" top="0.75" bottom="0.75" header="0.3" footer="0.3"/>
  <pageSetup paperSize="9" orientation="portrait" horizontalDpi="300"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tabColor rgb="FFFFFF66"/>
  </sheetPr>
  <dimension ref="A1:Q65"/>
  <sheetViews>
    <sheetView topLeftCell="A17" zoomScale="106" zoomScaleNormal="106" workbookViewId="0">
      <selection activeCell="S54" sqref="S54"/>
    </sheetView>
  </sheetViews>
  <sheetFormatPr baseColWidth="10" defaultRowHeight="15"/>
  <cols>
    <col min="1" max="1" width="2.7109375" customWidth="1"/>
    <col min="2" max="2" width="3.28515625" customWidth="1"/>
    <col min="3" max="3" width="2.7109375" customWidth="1"/>
    <col min="4" max="4" width="5.42578125" customWidth="1"/>
    <col min="5" max="5" width="2.7109375" customWidth="1"/>
    <col min="6" max="6" width="90.7109375" customWidth="1"/>
  </cols>
  <sheetData>
    <row r="1" spans="1:17" ht="54.95" customHeight="1"/>
    <row r="3" spans="1:17" ht="15.75" thickBot="1"/>
    <row r="4" spans="1:17" ht="30" customHeight="1">
      <c r="A4" s="53" t="s">
        <v>54</v>
      </c>
      <c r="B4" s="54"/>
      <c r="C4" s="55"/>
      <c r="D4" s="55"/>
      <c r="E4" s="55"/>
      <c r="F4" s="55" t="s">
        <v>938</v>
      </c>
      <c r="G4" s="320" t="s">
        <v>16</v>
      </c>
      <c r="H4" s="321"/>
      <c r="I4" s="321"/>
      <c r="J4" s="321"/>
      <c r="K4" s="321"/>
      <c r="L4" s="321"/>
      <c r="M4" s="321"/>
      <c r="N4" s="321"/>
      <c r="O4" s="321"/>
      <c r="P4" s="321"/>
      <c r="Q4" s="322"/>
    </row>
    <row r="5" spans="1:17" ht="30" hidden="1" customHeight="1">
      <c r="A5" s="53" t="s">
        <v>55</v>
      </c>
      <c r="B5" s="81"/>
      <c r="C5" s="82"/>
      <c r="D5" s="82" t="s">
        <v>603</v>
      </c>
      <c r="E5" s="82" t="s">
        <v>627</v>
      </c>
      <c r="F5" s="82"/>
      <c r="G5" s="139" t="s">
        <v>628</v>
      </c>
      <c r="H5" s="140" t="s">
        <v>628</v>
      </c>
      <c r="I5" s="140" t="s">
        <v>628</v>
      </c>
      <c r="J5" s="140" t="s">
        <v>628</v>
      </c>
      <c r="K5" s="140" t="s">
        <v>628</v>
      </c>
      <c r="L5" s="140" t="s">
        <v>628</v>
      </c>
      <c r="M5" s="140" t="s">
        <v>628</v>
      </c>
      <c r="N5" s="140" t="s">
        <v>628</v>
      </c>
      <c r="O5" s="140" t="s">
        <v>628</v>
      </c>
      <c r="P5" s="140" t="s">
        <v>628</v>
      </c>
      <c r="Q5" s="141" t="s">
        <v>628</v>
      </c>
    </row>
    <row r="6" spans="1:17" ht="108.75" customHeight="1">
      <c r="A6" s="56"/>
      <c r="B6" s="57"/>
      <c r="C6" s="58"/>
      <c r="D6" s="58"/>
      <c r="E6" s="59"/>
      <c r="F6" s="59" t="s">
        <v>15</v>
      </c>
      <c r="G6" s="60" t="s">
        <v>17</v>
      </c>
      <c r="H6" s="60" t="s">
        <v>18</v>
      </c>
      <c r="I6" s="89" t="s">
        <v>19</v>
      </c>
      <c r="J6" s="89" t="s">
        <v>20</v>
      </c>
      <c r="K6" s="89" t="s">
        <v>21</v>
      </c>
      <c r="L6" s="89" t="s">
        <v>22</v>
      </c>
      <c r="M6" s="89" t="s">
        <v>23</v>
      </c>
      <c r="N6" s="89" t="s">
        <v>24</v>
      </c>
      <c r="O6" s="89" t="s">
        <v>25</v>
      </c>
      <c r="P6" s="89" t="s">
        <v>26</v>
      </c>
      <c r="Q6" s="61" t="s">
        <v>27</v>
      </c>
    </row>
    <row r="7" spans="1:17" ht="90" hidden="1" customHeight="1">
      <c r="A7" s="62" t="s">
        <v>55</v>
      </c>
      <c r="B7" s="63"/>
      <c r="C7" s="64"/>
      <c r="D7" s="65"/>
      <c r="E7" s="66" t="s">
        <v>629</v>
      </c>
      <c r="F7" s="67"/>
      <c r="G7" s="65" t="s">
        <v>630</v>
      </c>
      <c r="H7" s="65" t="s">
        <v>631</v>
      </c>
      <c r="I7" s="65" t="s">
        <v>632</v>
      </c>
      <c r="J7" s="65" t="s">
        <v>633</v>
      </c>
      <c r="K7" s="65" t="s">
        <v>634</v>
      </c>
      <c r="L7" s="65" t="s">
        <v>635</v>
      </c>
      <c r="M7" s="65" t="s">
        <v>636</v>
      </c>
      <c r="N7" s="65" t="s">
        <v>637</v>
      </c>
      <c r="O7" s="65" t="s">
        <v>638</v>
      </c>
      <c r="P7" s="65" t="s">
        <v>639</v>
      </c>
      <c r="Q7" s="65" t="s">
        <v>640</v>
      </c>
    </row>
    <row r="8" spans="1:17">
      <c r="B8" s="68"/>
      <c r="C8" s="69"/>
      <c r="D8" s="70"/>
      <c r="E8" s="70"/>
      <c r="F8" s="69"/>
      <c r="G8" s="70"/>
      <c r="H8" s="70"/>
      <c r="I8" s="70"/>
      <c r="J8" s="70"/>
      <c r="K8" s="70"/>
      <c r="L8" s="70"/>
      <c r="M8" s="70"/>
      <c r="N8" s="70"/>
      <c r="O8" s="70"/>
      <c r="P8" s="70"/>
      <c r="Q8" s="71"/>
    </row>
    <row r="9" spans="1:17">
      <c r="B9" s="72" t="s">
        <v>903</v>
      </c>
      <c r="C9" s="73" t="s">
        <v>604</v>
      </c>
      <c r="D9" s="73" t="s">
        <v>4</v>
      </c>
      <c r="E9" s="73" t="s">
        <v>0</v>
      </c>
      <c r="F9" s="74" t="s">
        <v>28</v>
      </c>
      <c r="G9" s="75"/>
      <c r="H9" s="75"/>
      <c r="I9" s="75"/>
      <c r="J9" s="75"/>
      <c r="K9" s="75"/>
      <c r="L9" s="75"/>
      <c r="M9" s="75"/>
      <c r="N9" s="75"/>
      <c r="O9" s="75"/>
      <c r="P9" s="75"/>
      <c r="Q9" s="292">
        <f>SUM(G9:P9)</f>
        <v>0</v>
      </c>
    </row>
    <row r="10" spans="1:17">
      <c r="A10" s="56"/>
      <c r="B10" s="72" t="s">
        <v>903</v>
      </c>
      <c r="C10" s="73" t="s">
        <v>605</v>
      </c>
      <c r="D10" s="73" t="s">
        <v>4</v>
      </c>
      <c r="E10" s="73" t="s">
        <v>0</v>
      </c>
      <c r="F10" s="74" t="s">
        <v>29</v>
      </c>
      <c r="G10" s="75"/>
      <c r="H10" s="75"/>
      <c r="I10" s="75"/>
      <c r="J10" s="75"/>
      <c r="K10" s="75"/>
      <c r="L10" s="75"/>
      <c r="M10" s="75"/>
      <c r="N10" s="75"/>
      <c r="O10" s="75"/>
      <c r="P10" s="75"/>
      <c r="Q10" s="292">
        <f>SUM(G10:P10)</f>
        <v>0</v>
      </c>
    </row>
    <row r="11" spans="1:17">
      <c r="B11" s="72" t="s">
        <v>903</v>
      </c>
      <c r="C11" s="73" t="s">
        <v>606</v>
      </c>
      <c r="D11" s="73" t="s">
        <v>4</v>
      </c>
      <c r="E11" s="73" t="s">
        <v>0</v>
      </c>
      <c r="F11" s="74" t="s">
        <v>30</v>
      </c>
      <c r="G11" s="75"/>
      <c r="H11" s="75"/>
      <c r="I11" s="75"/>
      <c r="J11" s="75"/>
      <c r="K11" s="75"/>
      <c r="L11" s="75"/>
      <c r="M11" s="75"/>
      <c r="N11" s="75"/>
      <c r="O11" s="75"/>
      <c r="P11" s="75"/>
      <c r="Q11" s="292">
        <f>SUM(G11:P11)</f>
        <v>0</v>
      </c>
    </row>
    <row r="12" spans="1:17">
      <c r="B12" s="72" t="s">
        <v>903</v>
      </c>
      <c r="C12" s="73" t="s">
        <v>607</v>
      </c>
      <c r="D12" s="73" t="s">
        <v>4</v>
      </c>
      <c r="E12" s="73" t="s">
        <v>0</v>
      </c>
      <c r="F12" s="74" t="s">
        <v>31</v>
      </c>
      <c r="G12" s="75"/>
      <c r="H12" s="75"/>
      <c r="I12" s="75"/>
      <c r="J12" s="75"/>
      <c r="K12" s="75"/>
      <c r="L12" s="75"/>
      <c r="M12" s="75"/>
      <c r="N12" s="75"/>
      <c r="O12" s="75"/>
      <c r="P12" s="75"/>
      <c r="Q12" s="292">
        <f>SUM(G12:P12)</f>
        <v>0</v>
      </c>
    </row>
    <row r="13" spans="1:17">
      <c r="B13" s="72" t="s">
        <v>903</v>
      </c>
      <c r="C13" s="73" t="s">
        <v>608</v>
      </c>
      <c r="D13" s="73" t="s">
        <v>4</v>
      </c>
      <c r="E13" s="73" t="s">
        <v>0</v>
      </c>
      <c r="F13" s="98" t="s">
        <v>32</v>
      </c>
      <c r="G13" s="293">
        <f>G10+G12</f>
        <v>0</v>
      </c>
      <c r="H13" s="293">
        <f t="shared" ref="H13:Q13" si="0">H10+H12</f>
        <v>0</v>
      </c>
      <c r="I13" s="293">
        <f t="shared" si="0"/>
        <v>0</v>
      </c>
      <c r="J13" s="293">
        <f t="shared" si="0"/>
        <v>0</v>
      </c>
      <c r="K13" s="293">
        <f t="shared" si="0"/>
        <v>0</v>
      </c>
      <c r="L13" s="293">
        <f t="shared" si="0"/>
        <v>0</v>
      </c>
      <c r="M13" s="293">
        <f t="shared" si="0"/>
        <v>0</v>
      </c>
      <c r="N13" s="293">
        <f t="shared" si="0"/>
        <v>0</v>
      </c>
      <c r="O13" s="293">
        <f t="shared" si="0"/>
        <v>0</v>
      </c>
      <c r="P13" s="293">
        <f t="shared" si="0"/>
        <v>0</v>
      </c>
      <c r="Q13" s="293">
        <f t="shared" si="0"/>
        <v>0</v>
      </c>
    </row>
    <row r="14" spans="1:17" ht="15.75" thickBot="1">
      <c r="B14" s="76"/>
      <c r="C14" s="77"/>
      <c r="D14" s="77"/>
      <c r="E14" s="77"/>
      <c r="F14" s="77"/>
      <c r="G14" s="78"/>
      <c r="H14" s="78"/>
      <c r="I14" s="78"/>
      <c r="J14" s="78"/>
      <c r="K14" s="78"/>
      <c r="L14" s="78"/>
      <c r="M14" s="78"/>
      <c r="N14" s="78"/>
      <c r="O14" s="78"/>
      <c r="P14" s="78"/>
      <c r="Q14" s="79"/>
    </row>
    <row r="15" spans="1:17" s="80" customFormat="1" ht="30" customHeight="1">
      <c r="B15" s="81"/>
      <c r="C15" s="82"/>
      <c r="D15" s="82"/>
      <c r="E15" s="82"/>
      <c r="F15" s="82"/>
      <c r="G15" s="320" t="s">
        <v>16</v>
      </c>
      <c r="H15" s="321"/>
      <c r="I15" s="321"/>
      <c r="J15" s="321"/>
      <c r="K15" s="321"/>
      <c r="L15" s="321"/>
      <c r="M15" s="321"/>
      <c r="N15" s="321"/>
      <c r="O15" s="321"/>
      <c r="P15" s="321"/>
      <c r="Q15" s="322"/>
    </row>
    <row r="16" spans="1:17" ht="91.5" customHeight="1">
      <c r="A16" s="56"/>
      <c r="B16" s="57"/>
      <c r="C16" s="58"/>
      <c r="D16" s="58"/>
      <c r="E16" s="59"/>
      <c r="F16" s="59" t="s">
        <v>15</v>
      </c>
      <c r="G16" s="60" t="s">
        <v>17</v>
      </c>
      <c r="H16" s="60" t="s">
        <v>18</v>
      </c>
      <c r="I16" s="89" t="s">
        <v>19</v>
      </c>
      <c r="J16" s="89" t="s">
        <v>20</v>
      </c>
      <c r="K16" s="89" t="s">
        <v>21</v>
      </c>
      <c r="L16" s="89" t="s">
        <v>22</v>
      </c>
      <c r="M16" s="89" t="s">
        <v>23</v>
      </c>
      <c r="N16" s="89" t="s">
        <v>24</v>
      </c>
      <c r="O16" s="89" t="s">
        <v>25</v>
      </c>
      <c r="P16" s="89" t="s">
        <v>26</v>
      </c>
      <c r="Q16" s="61" t="s">
        <v>27</v>
      </c>
    </row>
    <row r="17" spans="1:17">
      <c r="B17" s="68"/>
      <c r="C17" s="69"/>
      <c r="D17" s="70"/>
      <c r="E17" s="70"/>
      <c r="F17" s="69"/>
      <c r="G17" s="70"/>
      <c r="H17" s="70"/>
      <c r="I17" s="70"/>
      <c r="J17" s="70"/>
      <c r="K17" s="70"/>
      <c r="L17" s="70"/>
      <c r="M17" s="70"/>
      <c r="N17" s="70"/>
      <c r="O17" s="70"/>
      <c r="P17" s="70"/>
      <c r="Q17" s="71"/>
    </row>
    <row r="18" spans="1:17">
      <c r="A18" s="83"/>
      <c r="B18" s="72" t="s">
        <v>903</v>
      </c>
      <c r="C18" s="73" t="s">
        <v>604</v>
      </c>
      <c r="D18" s="73" t="s">
        <v>47</v>
      </c>
      <c r="E18" s="73"/>
      <c r="F18" s="74" t="s">
        <v>28</v>
      </c>
      <c r="G18" s="75"/>
      <c r="H18" s="75"/>
      <c r="I18" s="75"/>
      <c r="J18" s="75"/>
      <c r="K18" s="75"/>
      <c r="L18" s="75"/>
      <c r="M18" s="75"/>
      <c r="N18" s="75"/>
      <c r="O18" s="75"/>
      <c r="P18" s="75"/>
      <c r="Q18" s="292">
        <f>SUM(G18:P18)</f>
        <v>0</v>
      </c>
    </row>
    <row r="19" spans="1:17">
      <c r="A19" s="84"/>
      <c r="B19" s="72" t="s">
        <v>903</v>
      </c>
      <c r="C19" s="73" t="s">
        <v>605</v>
      </c>
      <c r="D19" s="73" t="s">
        <v>47</v>
      </c>
      <c r="E19" s="73"/>
      <c r="F19" s="74" t="s">
        <v>29</v>
      </c>
      <c r="G19" s="75"/>
      <c r="H19" s="75"/>
      <c r="I19" s="75"/>
      <c r="J19" s="75"/>
      <c r="K19" s="75"/>
      <c r="L19" s="75"/>
      <c r="M19" s="75"/>
      <c r="N19" s="75"/>
      <c r="O19" s="75"/>
      <c r="P19" s="75"/>
      <c r="Q19" s="292">
        <f>SUM(G19:P19)</f>
        <v>0</v>
      </c>
    </row>
    <row r="20" spans="1:17">
      <c r="A20" s="83"/>
      <c r="B20" s="72" t="s">
        <v>903</v>
      </c>
      <c r="C20" s="73" t="s">
        <v>606</v>
      </c>
      <c r="D20" s="73" t="s">
        <v>47</v>
      </c>
      <c r="E20" s="73"/>
      <c r="F20" s="74" t="s">
        <v>30</v>
      </c>
      <c r="G20" s="75"/>
      <c r="H20" s="75"/>
      <c r="I20" s="75"/>
      <c r="J20" s="75"/>
      <c r="K20" s="75"/>
      <c r="L20" s="75"/>
      <c r="M20" s="75"/>
      <c r="N20" s="75"/>
      <c r="O20" s="75"/>
      <c r="P20" s="75"/>
      <c r="Q20" s="292">
        <f>SUM(G20:P20)</f>
        <v>0</v>
      </c>
    </row>
    <row r="21" spans="1:17">
      <c r="A21" s="83"/>
      <c r="B21" s="72" t="s">
        <v>903</v>
      </c>
      <c r="C21" s="73" t="s">
        <v>607</v>
      </c>
      <c r="D21" s="73" t="s">
        <v>47</v>
      </c>
      <c r="E21" s="73"/>
      <c r="F21" s="74" t="s">
        <v>31</v>
      </c>
      <c r="G21" s="75"/>
      <c r="H21" s="75"/>
      <c r="I21" s="75"/>
      <c r="J21" s="75"/>
      <c r="K21" s="75"/>
      <c r="L21" s="75"/>
      <c r="M21" s="75"/>
      <c r="N21" s="75"/>
      <c r="O21" s="75"/>
      <c r="P21" s="75"/>
      <c r="Q21" s="292">
        <f>SUM(G21:P21)</f>
        <v>0</v>
      </c>
    </row>
    <row r="22" spans="1:17">
      <c r="A22" s="83"/>
      <c r="B22" s="72" t="s">
        <v>903</v>
      </c>
      <c r="C22" s="73" t="s">
        <v>608</v>
      </c>
      <c r="D22" s="73" t="s">
        <v>47</v>
      </c>
      <c r="E22" s="73"/>
      <c r="F22" s="98" t="s">
        <v>32</v>
      </c>
      <c r="G22" s="293">
        <f t="shared" ref="G22:Q22" si="1">G19+G21</f>
        <v>0</v>
      </c>
      <c r="H22" s="293">
        <f t="shared" si="1"/>
        <v>0</v>
      </c>
      <c r="I22" s="293">
        <f t="shared" si="1"/>
        <v>0</v>
      </c>
      <c r="J22" s="293">
        <f t="shared" si="1"/>
        <v>0</v>
      </c>
      <c r="K22" s="293">
        <f t="shared" si="1"/>
        <v>0</v>
      </c>
      <c r="L22" s="293">
        <f t="shared" si="1"/>
        <v>0</v>
      </c>
      <c r="M22" s="293">
        <f t="shared" si="1"/>
        <v>0</v>
      </c>
      <c r="N22" s="293">
        <f t="shared" si="1"/>
        <v>0</v>
      </c>
      <c r="O22" s="293">
        <f t="shared" si="1"/>
        <v>0</v>
      </c>
      <c r="P22" s="293">
        <f t="shared" si="1"/>
        <v>0</v>
      </c>
      <c r="Q22" s="293">
        <f t="shared" si="1"/>
        <v>0</v>
      </c>
    </row>
    <row r="23" spans="1:17" ht="15.75" thickBot="1">
      <c r="B23" s="85"/>
      <c r="C23" s="86"/>
      <c r="D23" s="86"/>
      <c r="E23" s="86"/>
      <c r="F23" s="87"/>
      <c r="G23" s="86"/>
      <c r="H23" s="86"/>
      <c r="I23" s="86"/>
      <c r="J23" s="86"/>
      <c r="K23" s="86"/>
      <c r="L23" s="86"/>
      <c r="M23" s="86"/>
      <c r="N23" s="86"/>
      <c r="O23" s="86"/>
      <c r="P23" s="86"/>
      <c r="Q23" s="88"/>
    </row>
    <row r="24" spans="1:17" ht="15.75" thickBot="1"/>
    <row r="25" spans="1:17" ht="30" customHeight="1">
      <c r="A25" s="53" t="s">
        <v>54</v>
      </c>
      <c r="B25" s="54"/>
      <c r="C25" s="55"/>
      <c r="D25" s="55"/>
      <c r="E25" s="55"/>
      <c r="F25" s="55"/>
      <c r="G25" s="320" t="s">
        <v>33</v>
      </c>
      <c r="H25" s="321"/>
      <c r="I25" s="321"/>
      <c r="J25" s="321"/>
      <c r="K25" s="321"/>
      <c r="L25" s="321"/>
      <c r="M25" s="321"/>
      <c r="N25" s="321"/>
      <c r="O25" s="321"/>
      <c r="P25" s="321"/>
      <c r="Q25" s="322"/>
    </row>
    <row r="26" spans="1:17" ht="30" hidden="1" customHeight="1">
      <c r="A26" s="53" t="s">
        <v>55</v>
      </c>
      <c r="B26" s="81"/>
      <c r="C26" s="82"/>
      <c r="D26" s="82" t="s">
        <v>603</v>
      </c>
      <c r="E26" s="82" t="s">
        <v>627</v>
      </c>
      <c r="F26" s="82"/>
      <c r="G26" s="139" t="s">
        <v>641</v>
      </c>
      <c r="H26" s="140" t="s">
        <v>641</v>
      </c>
      <c r="I26" s="140" t="s">
        <v>641</v>
      </c>
      <c r="J26" s="140" t="s">
        <v>641</v>
      </c>
      <c r="K26" s="140" t="s">
        <v>641</v>
      </c>
      <c r="L26" s="140" t="s">
        <v>641</v>
      </c>
      <c r="M26" s="140" t="s">
        <v>641</v>
      </c>
      <c r="N26" s="140" t="s">
        <v>641</v>
      </c>
      <c r="O26" s="140" t="s">
        <v>641</v>
      </c>
      <c r="P26" s="140" t="s">
        <v>641</v>
      </c>
      <c r="Q26" s="141" t="s">
        <v>641</v>
      </c>
    </row>
    <row r="27" spans="1:17" ht="108.75" customHeight="1">
      <c r="A27" s="56"/>
      <c r="B27" s="57"/>
      <c r="C27" s="58"/>
      <c r="D27" s="58"/>
      <c r="E27" s="59"/>
      <c r="F27" s="59" t="s">
        <v>15</v>
      </c>
      <c r="G27" s="60" t="s">
        <v>17</v>
      </c>
      <c r="H27" s="60" t="s">
        <v>18</v>
      </c>
      <c r="I27" s="89" t="s">
        <v>19</v>
      </c>
      <c r="J27" s="89" t="s">
        <v>20</v>
      </c>
      <c r="K27" s="89" t="s">
        <v>21</v>
      </c>
      <c r="L27" s="89" t="s">
        <v>22</v>
      </c>
      <c r="M27" s="89" t="s">
        <v>23</v>
      </c>
      <c r="N27" s="89" t="s">
        <v>24</v>
      </c>
      <c r="O27" s="89" t="s">
        <v>25</v>
      </c>
      <c r="P27" s="89" t="s">
        <v>26</v>
      </c>
      <c r="Q27" s="61" t="s">
        <v>27</v>
      </c>
    </row>
    <row r="28" spans="1:17" ht="90" hidden="1" customHeight="1">
      <c r="A28" s="62" t="s">
        <v>55</v>
      </c>
      <c r="B28" s="63"/>
      <c r="C28" s="64"/>
      <c r="D28" s="65"/>
      <c r="E28" s="66" t="s">
        <v>629</v>
      </c>
      <c r="F28" s="67"/>
      <c r="G28" s="65" t="s">
        <v>630</v>
      </c>
      <c r="H28" s="65" t="s">
        <v>631</v>
      </c>
      <c r="I28" s="65" t="s">
        <v>632</v>
      </c>
      <c r="J28" s="65" t="s">
        <v>633</v>
      </c>
      <c r="K28" s="65" t="s">
        <v>634</v>
      </c>
      <c r="L28" s="65" t="s">
        <v>635</v>
      </c>
      <c r="M28" s="65" t="s">
        <v>636</v>
      </c>
      <c r="N28" s="65" t="s">
        <v>637</v>
      </c>
      <c r="O28" s="65" t="s">
        <v>638</v>
      </c>
      <c r="P28" s="65" t="s">
        <v>639</v>
      </c>
      <c r="Q28" s="65" t="s">
        <v>640</v>
      </c>
    </row>
    <row r="29" spans="1:17">
      <c r="B29" s="68"/>
      <c r="C29" s="69"/>
      <c r="D29" s="70"/>
      <c r="E29" s="70"/>
      <c r="F29" s="69"/>
      <c r="G29" s="70"/>
      <c r="H29" s="70"/>
      <c r="I29" s="70"/>
      <c r="J29" s="70"/>
      <c r="K29" s="70"/>
      <c r="L29" s="70"/>
      <c r="M29" s="70"/>
      <c r="N29" s="70"/>
      <c r="O29" s="70"/>
      <c r="P29" s="70"/>
      <c r="Q29" s="71"/>
    </row>
    <row r="30" spans="1:17">
      <c r="B30" s="72" t="s">
        <v>903</v>
      </c>
      <c r="C30" s="73" t="s">
        <v>604</v>
      </c>
      <c r="D30" s="73" t="s">
        <v>4</v>
      </c>
      <c r="E30" s="73" t="s">
        <v>0</v>
      </c>
      <c r="F30" s="74" t="s">
        <v>28</v>
      </c>
      <c r="G30" s="75"/>
      <c r="H30" s="75"/>
      <c r="I30" s="75"/>
      <c r="J30" s="75"/>
      <c r="K30" s="75"/>
      <c r="L30" s="75"/>
      <c r="M30" s="75"/>
      <c r="N30" s="75"/>
      <c r="O30" s="75"/>
      <c r="P30" s="75"/>
      <c r="Q30" s="292">
        <f>SUM(G30:P30)</f>
        <v>0</v>
      </c>
    </row>
    <row r="31" spans="1:17">
      <c r="A31" s="56"/>
      <c r="B31" s="72" t="s">
        <v>903</v>
      </c>
      <c r="C31" s="73" t="s">
        <v>605</v>
      </c>
      <c r="D31" s="73" t="s">
        <v>4</v>
      </c>
      <c r="E31" s="73" t="s">
        <v>0</v>
      </c>
      <c r="F31" s="74" t="s">
        <v>29</v>
      </c>
      <c r="G31" s="75"/>
      <c r="H31" s="75"/>
      <c r="I31" s="75"/>
      <c r="J31" s="75"/>
      <c r="K31" s="75"/>
      <c r="L31" s="75"/>
      <c r="M31" s="75"/>
      <c r="N31" s="75"/>
      <c r="O31" s="75"/>
      <c r="P31" s="75"/>
      <c r="Q31" s="292">
        <f>SUM(G31:P31)</f>
        <v>0</v>
      </c>
    </row>
    <row r="32" spans="1:17">
      <c r="B32" s="72" t="s">
        <v>903</v>
      </c>
      <c r="C32" s="73" t="s">
        <v>606</v>
      </c>
      <c r="D32" s="73" t="s">
        <v>4</v>
      </c>
      <c r="E32" s="73" t="s">
        <v>0</v>
      </c>
      <c r="F32" s="74" t="s">
        <v>30</v>
      </c>
      <c r="G32" s="75"/>
      <c r="H32" s="75"/>
      <c r="I32" s="75"/>
      <c r="J32" s="75"/>
      <c r="K32" s="75"/>
      <c r="L32" s="75"/>
      <c r="M32" s="75"/>
      <c r="N32" s="75"/>
      <c r="O32" s="75"/>
      <c r="P32" s="75"/>
      <c r="Q32" s="292">
        <f>SUM(G32:P32)</f>
        <v>0</v>
      </c>
    </row>
    <row r="33" spans="1:17">
      <c r="B33" s="72" t="s">
        <v>903</v>
      </c>
      <c r="C33" s="73" t="s">
        <v>607</v>
      </c>
      <c r="D33" s="73" t="s">
        <v>4</v>
      </c>
      <c r="E33" s="73" t="s">
        <v>0</v>
      </c>
      <c r="F33" s="74" t="s">
        <v>31</v>
      </c>
      <c r="G33" s="75"/>
      <c r="H33" s="75"/>
      <c r="I33" s="75"/>
      <c r="J33" s="75"/>
      <c r="K33" s="75"/>
      <c r="L33" s="75"/>
      <c r="M33" s="75"/>
      <c r="N33" s="75"/>
      <c r="O33" s="75"/>
      <c r="P33" s="75"/>
      <c r="Q33" s="292">
        <f>SUM(G33:P33)</f>
        <v>0</v>
      </c>
    </row>
    <row r="34" spans="1:17">
      <c r="B34" s="72" t="s">
        <v>903</v>
      </c>
      <c r="C34" s="73" t="s">
        <v>608</v>
      </c>
      <c r="D34" s="73" t="s">
        <v>4</v>
      </c>
      <c r="E34" s="73" t="s">
        <v>0</v>
      </c>
      <c r="F34" s="98" t="s">
        <v>32</v>
      </c>
      <c r="G34" s="293">
        <f t="shared" ref="G34:Q34" si="2">G31+G33</f>
        <v>0</v>
      </c>
      <c r="H34" s="293">
        <f t="shared" si="2"/>
        <v>0</v>
      </c>
      <c r="I34" s="293">
        <f t="shared" si="2"/>
        <v>0</v>
      </c>
      <c r="J34" s="293">
        <f t="shared" si="2"/>
        <v>0</v>
      </c>
      <c r="K34" s="293">
        <f t="shared" si="2"/>
        <v>0</v>
      </c>
      <c r="L34" s="293">
        <f t="shared" si="2"/>
        <v>0</v>
      </c>
      <c r="M34" s="293">
        <f t="shared" si="2"/>
        <v>0</v>
      </c>
      <c r="N34" s="293">
        <f t="shared" si="2"/>
        <v>0</v>
      </c>
      <c r="O34" s="293">
        <f t="shared" si="2"/>
        <v>0</v>
      </c>
      <c r="P34" s="293">
        <f t="shared" si="2"/>
        <v>0</v>
      </c>
      <c r="Q34" s="293">
        <f t="shared" si="2"/>
        <v>0</v>
      </c>
    </row>
    <row r="35" spans="1:17" ht="15.75" thickBot="1">
      <c r="B35" s="76"/>
      <c r="C35" s="77"/>
      <c r="D35" s="77"/>
      <c r="E35" s="77"/>
      <c r="F35" s="77"/>
      <c r="G35" s="78"/>
      <c r="H35" s="78"/>
      <c r="I35" s="78"/>
      <c r="J35" s="78"/>
      <c r="K35" s="78"/>
      <c r="L35" s="78"/>
      <c r="M35" s="78"/>
      <c r="N35" s="78"/>
      <c r="O35" s="78"/>
      <c r="P35" s="78"/>
      <c r="Q35" s="79"/>
    </row>
    <row r="36" spans="1:17" s="80" customFormat="1" ht="30" customHeight="1">
      <c r="B36" s="81"/>
      <c r="C36" s="82"/>
      <c r="D36" s="82"/>
      <c r="E36" s="82"/>
      <c r="F36" s="82"/>
      <c r="G36" s="320" t="s">
        <v>33</v>
      </c>
      <c r="H36" s="321"/>
      <c r="I36" s="321"/>
      <c r="J36" s="321"/>
      <c r="K36" s="321"/>
      <c r="L36" s="321"/>
      <c r="M36" s="321"/>
      <c r="N36" s="321"/>
      <c r="O36" s="321"/>
      <c r="P36" s="321"/>
      <c r="Q36" s="322"/>
    </row>
    <row r="37" spans="1:17" ht="91.5" customHeight="1">
      <c r="A37" s="56"/>
      <c r="B37" s="57"/>
      <c r="C37" s="58"/>
      <c r="D37" s="58"/>
      <c r="E37" s="59"/>
      <c r="F37" s="59" t="s">
        <v>15</v>
      </c>
      <c r="G37" s="60" t="s">
        <v>17</v>
      </c>
      <c r="H37" s="60" t="s">
        <v>18</v>
      </c>
      <c r="I37" s="89" t="s">
        <v>19</v>
      </c>
      <c r="J37" s="89" t="s">
        <v>20</v>
      </c>
      <c r="K37" s="89" t="s">
        <v>21</v>
      </c>
      <c r="L37" s="89" t="s">
        <v>22</v>
      </c>
      <c r="M37" s="89" t="s">
        <v>23</v>
      </c>
      <c r="N37" s="89" t="s">
        <v>24</v>
      </c>
      <c r="O37" s="89" t="s">
        <v>25</v>
      </c>
      <c r="P37" s="89" t="s">
        <v>26</v>
      </c>
      <c r="Q37" s="61" t="s">
        <v>27</v>
      </c>
    </row>
    <row r="38" spans="1:17">
      <c r="B38" s="68"/>
      <c r="C38" s="69"/>
      <c r="D38" s="70"/>
      <c r="E38" s="70"/>
      <c r="F38" s="69"/>
      <c r="G38" s="70"/>
      <c r="H38" s="70"/>
      <c r="I38" s="70"/>
      <c r="J38" s="70"/>
      <c r="K38" s="70"/>
      <c r="L38" s="70"/>
      <c r="M38" s="70"/>
      <c r="N38" s="70"/>
      <c r="O38" s="70"/>
      <c r="P38" s="70"/>
      <c r="Q38" s="71"/>
    </row>
    <row r="39" spans="1:17">
      <c r="A39" s="83"/>
      <c r="B39" s="72" t="s">
        <v>903</v>
      </c>
      <c r="C39" s="73" t="s">
        <v>604</v>
      </c>
      <c r="D39" s="73" t="s">
        <v>47</v>
      </c>
      <c r="E39" s="73" t="s">
        <v>0</v>
      </c>
      <c r="F39" s="74" t="s">
        <v>28</v>
      </c>
      <c r="G39" s="75"/>
      <c r="H39" s="75"/>
      <c r="I39" s="75"/>
      <c r="J39" s="75"/>
      <c r="K39" s="75"/>
      <c r="L39" s="75"/>
      <c r="M39" s="75"/>
      <c r="N39" s="75"/>
      <c r="O39" s="75"/>
      <c r="P39" s="75"/>
      <c r="Q39" s="292">
        <f>SUM(G39:P39)</f>
        <v>0</v>
      </c>
    </row>
    <row r="40" spans="1:17">
      <c r="A40" s="84"/>
      <c r="B40" s="72" t="s">
        <v>903</v>
      </c>
      <c r="C40" s="73" t="s">
        <v>605</v>
      </c>
      <c r="D40" s="73" t="s">
        <v>47</v>
      </c>
      <c r="E40" s="73" t="s">
        <v>0</v>
      </c>
      <c r="F40" s="74" t="s">
        <v>29</v>
      </c>
      <c r="G40" s="75"/>
      <c r="H40" s="75"/>
      <c r="I40" s="75"/>
      <c r="J40" s="75"/>
      <c r="K40" s="75"/>
      <c r="L40" s="75"/>
      <c r="M40" s="75"/>
      <c r="N40" s="75"/>
      <c r="O40" s="75"/>
      <c r="P40" s="75"/>
      <c r="Q40" s="292">
        <f>SUM(G40:P40)</f>
        <v>0</v>
      </c>
    </row>
    <row r="41" spans="1:17">
      <c r="A41" s="83"/>
      <c r="B41" s="72" t="s">
        <v>903</v>
      </c>
      <c r="C41" s="73" t="s">
        <v>606</v>
      </c>
      <c r="D41" s="73" t="s">
        <v>47</v>
      </c>
      <c r="E41" s="73" t="s">
        <v>0</v>
      </c>
      <c r="F41" s="74" t="s">
        <v>30</v>
      </c>
      <c r="G41" s="75"/>
      <c r="H41" s="75"/>
      <c r="I41" s="75"/>
      <c r="J41" s="75"/>
      <c r="K41" s="75"/>
      <c r="L41" s="75"/>
      <c r="M41" s="75"/>
      <c r="N41" s="75"/>
      <c r="O41" s="75"/>
      <c r="P41" s="75"/>
      <c r="Q41" s="292">
        <f>SUM(G41:P41)</f>
        <v>0</v>
      </c>
    </row>
    <row r="42" spans="1:17">
      <c r="A42" s="83"/>
      <c r="B42" s="72" t="s">
        <v>903</v>
      </c>
      <c r="C42" s="73" t="s">
        <v>607</v>
      </c>
      <c r="D42" s="73" t="s">
        <v>47</v>
      </c>
      <c r="E42" s="73" t="s">
        <v>0</v>
      </c>
      <c r="F42" s="74" t="s">
        <v>31</v>
      </c>
      <c r="G42" s="75"/>
      <c r="H42" s="75"/>
      <c r="I42" s="75"/>
      <c r="J42" s="75"/>
      <c r="K42" s="75"/>
      <c r="L42" s="75"/>
      <c r="M42" s="75"/>
      <c r="N42" s="75"/>
      <c r="O42" s="75"/>
      <c r="P42" s="75"/>
      <c r="Q42" s="292">
        <f>SUM(G42:P42)</f>
        <v>0</v>
      </c>
    </row>
    <row r="43" spans="1:17">
      <c r="A43" s="83"/>
      <c r="B43" s="72" t="s">
        <v>903</v>
      </c>
      <c r="C43" s="73" t="s">
        <v>608</v>
      </c>
      <c r="D43" s="73" t="s">
        <v>47</v>
      </c>
      <c r="E43" s="73" t="s">
        <v>0</v>
      </c>
      <c r="F43" s="98" t="s">
        <v>32</v>
      </c>
      <c r="G43" s="293">
        <f>G40+G42</f>
        <v>0</v>
      </c>
      <c r="H43" s="293">
        <f t="shared" ref="H43:Q43" si="3">H40+H42</f>
        <v>0</v>
      </c>
      <c r="I43" s="293">
        <f t="shared" si="3"/>
        <v>0</v>
      </c>
      <c r="J43" s="293">
        <f t="shared" si="3"/>
        <v>0</v>
      </c>
      <c r="K43" s="293">
        <f t="shared" si="3"/>
        <v>0</v>
      </c>
      <c r="L43" s="293">
        <f t="shared" si="3"/>
        <v>0</v>
      </c>
      <c r="M43" s="293">
        <f t="shared" si="3"/>
        <v>0</v>
      </c>
      <c r="N43" s="293">
        <f t="shared" si="3"/>
        <v>0</v>
      </c>
      <c r="O43" s="293">
        <f t="shared" si="3"/>
        <v>0</v>
      </c>
      <c r="P43" s="293">
        <f t="shared" si="3"/>
        <v>0</v>
      </c>
      <c r="Q43" s="293">
        <f t="shared" si="3"/>
        <v>0</v>
      </c>
    </row>
    <row r="44" spans="1:17" ht="15.75" thickBot="1">
      <c r="B44" s="85"/>
      <c r="C44" s="86"/>
      <c r="D44" s="86"/>
      <c r="E44" s="86"/>
      <c r="F44" s="87"/>
      <c r="G44" s="86"/>
      <c r="H44" s="86"/>
      <c r="I44" s="86"/>
      <c r="J44" s="86"/>
      <c r="K44" s="86"/>
      <c r="L44" s="86"/>
      <c r="M44" s="86"/>
      <c r="N44" s="86"/>
      <c r="O44" s="86"/>
      <c r="P44" s="86"/>
      <c r="Q44" s="88"/>
    </row>
    <row r="45" spans="1:17" ht="15.75" thickBot="1"/>
    <row r="46" spans="1:17" ht="30" customHeight="1">
      <c r="A46" s="53" t="s">
        <v>54</v>
      </c>
      <c r="B46" s="54"/>
      <c r="C46" s="55"/>
      <c r="D46" s="55"/>
      <c r="E46" s="55"/>
      <c r="F46" s="55"/>
      <c r="G46" s="320" t="s">
        <v>49</v>
      </c>
      <c r="H46" s="321"/>
      <c r="I46" s="321"/>
      <c r="J46" s="321"/>
      <c r="K46" s="321"/>
      <c r="L46" s="321"/>
      <c r="M46" s="321"/>
      <c r="N46" s="321"/>
      <c r="O46" s="321"/>
      <c r="P46" s="321"/>
      <c r="Q46" s="322"/>
    </row>
    <row r="47" spans="1:17" ht="30" customHeight="1">
      <c r="A47" s="53" t="s">
        <v>55</v>
      </c>
      <c r="B47" s="81"/>
      <c r="C47" s="82"/>
      <c r="D47" s="82" t="s">
        <v>603</v>
      </c>
      <c r="E47" s="82" t="s">
        <v>627</v>
      </c>
      <c r="F47" s="82"/>
      <c r="G47" s="139" t="s">
        <v>642</v>
      </c>
      <c r="H47" s="140" t="s">
        <v>642</v>
      </c>
      <c r="I47" s="140" t="s">
        <v>642</v>
      </c>
      <c r="J47" s="140" t="s">
        <v>642</v>
      </c>
      <c r="K47" s="140" t="s">
        <v>642</v>
      </c>
      <c r="L47" s="140" t="s">
        <v>642</v>
      </c>
      <c r="M47" s="140" t="s">
        <v>642</v>
      </c>
      <c r="N47" s="140" t="s">
        <v>642</v>
      </c>
      <c r="O47" s="140" t="s">
        <v>642</v>
      </c>
      <c r="P47" s="140" t="s">
        <v>642</v>
      </c>
      <c r="Q47" s="141" t="s">
        <v>642</v>
      </c>
    </row>
    <row r="48" spans="1:17" ht="108.75" customHeight="1">
      <c r="A48" s="56"/>
      <c r="B48" s="57"/>
      <c r="C48" s="58"/>
      <c r="D48" s="58"/>
      <c r="E48" s="59"/>
      <c r="F48" s="59" t="s">
        <v>15</v>
      </c>
      <c r="G48" s="60" t="s">
        <v>17</v>
      </c>
      <c r="H48" s="60" t="s">
        <v>18</v>
      </c>
      <c r="I48" s="89" t="s">
        <v>19</v>
      </c>
      <c r="J48" s="89" t="s">
        <v>20</v>
      </c>
      <c r="K48" s="89" t="s">
        <v>21</v>
      </c>
      <c r="L48" s="89" t="s">
        <v>22</v>
      </c>
      <c r="M48" s="89" t="s">
        <v>23</v>
      </c>
      <c r="N48" s="89" t="s">
        <v>24</v>
      </c>
      <c r="O48" s="89" t="s">
        <v>25</v>
      </c>
      <c r="P48" s="89" t="s">
        <v>26</v>
      </c>
      <c r="Q48" s="61" t="s">
        <v>27</v>
      </c>
    </row>
    <row r="49" spans="1:17" ht="90" hidden="1" customHeight="1">
      <c r="A49" s="62" t="s">
        <v>55</v>
      </c>
      <c r="B49" s="63"/>
      <c r="C49" s="64"/>
      <c r="D49" s="65"/>
      <c r="E49" s="66" t="s">
        <v>629</v>
      </c>
      <c r="F49" s="67"/>
      <c r="G49" s="65" t="s">
        <v>630</v>
      </c>
      <c r="H49" s="65" t="s">
        <v>631</v>
      </c>
      <c r="I49" s="65" t="s">
        <v>632</v>
      </c>
      <c r="J49" s="65" t="s">
        <v>633</v>
      </c>
      <c r="K49" s="65" t="s">
        <v>634</v>
      </c>
      <c r="L49" s="65" t="s">
        <v>635</v>
      </c>
      <c r="M49" s="65" t="s">
        <v>636</v>
      </c>
      <c r="N49" s="65" t="s">
        <v>637</v>
      </c>
      <c r="O49" s="65" t="s">
        <v>638</v>
      </c>
      <c r="P49" s="65" t="s">
        <v>639</v>
      </c>
      <c r="Q49" s="65" t="s">
        <v>640</v>
      </c>
    </row>
    <row r="50" spans="1:17">
      <c r="B50" s="68"/>
      <c r="C50" s="69"/>
      <c r="D50" s="70"/>
      <c r="E50" s="70"/>
      <c r="F50" s="69"/>
      <c r="G50" s="70"/>
      <c r="H50" s="70"/>
      <c r="I50" s="70"/>
      <c r="J50" s="70"/>
      <c r="K50" s="70"/>
      <c r="L50" s="70"/>
      <c r="M50" s="70"/>
      <c r="N50" s="70"/>
      <c r="O50" s="70"/>
      <c r="P50" s="70"/>
      <c r="Q50" s="71"/>
    </row>
    <row r="51" spans="1:17">
      <c r="B51" s="72" t="s">
        <v>903</v>
      </c>
      <c r="C51" s="73" t="s">
        <v>604</v>
      </c>
      <c r="D51" s="73" t="s">
        <v>4</v>
      </c>
      <c r="E51" s="73" t="s">
        <v>0</v>
      </c>
      <c r="F51" s="74" t="s">
        <v>28</v>
      </c>
      <c r="G51" s="292">
        <f>SUM(G9,G30)</f>
        <v>0</v>
      </c>
      <c r="H51" s="292">
        <f t="shared" ref="H51:P51" si="4">SUM(H9,H30)</f>
        <v>0</v>
      </c>
      <c r="I51" s="292">
        <f t="shared" si="4"/>
        <v>0</v>
      </c>
      <c r="J51" s="292">
        <f t="shared" si="4"/>
        <v>0</v>
      </c>
      <c r="K51" s="292">
        <f t="shared" si="4"/>
        <v>0</v>
      </c>
      <c r="L51" s="292">
        <f t="shared" si="4"/>
        <v>0</v>
      </c>
      <c r="M51" s="292">
        <f t="shared" si="4"/>
        <v>0</v>
      </c>
      <c r="N51" s="292">
        <f t="shared" si="4"/>
        <v>0</v>
      </c>
      <c r="O51" s="292">
        <f t="shared" si="4"/>
        <v>0</v>
      </c>
      <c r="P51" s="292">
        <f t="shared" si="4"/>
        <v>0</v>
      </c>
      <c r="Q51" s="292">
        <f>SUM(G51:P51)</f>
        <v>0</v>
      </c>
    </row>
    <row r="52" spans="1:17">
      <c r="A52" s="56"/>
      <c r="B52" s="72" t="s">
        <v>903</v>
      </c>
      <c r="C52" s="73" t="s">
        <v>605</v>
      </c>
      <c r="D52" s="73" t="s">
        <v>4</v>
      </c>
      <c r="E52" s="73" t="s">
        <v>0</v>
      </c>
      <c r="F52" s="74" t="s">
        <v>29</v>
      </c>
      <c r="G52" s="292">
        <f>SUM(G10,G31)</f>
        <v>0</v>
      </c>
      <c r="H52" s="292">
        <f t="shared" ref="H52:P53" si="5">SUM(H10,H31)</f>
        <v>0</v>
      </c>
      <c r="I52" s="292">
        <f t="shared" si="5"/>
        <v>0</v>
      </c>
      <c r="J52" s="292">
        <f t="shared" si="5"/>
        <v>0</v>
      </c>
      <c r="K52" s="292">
        <f t="shared" si="5"/>
        <v>0</v>
      </c>
      <c r="L52" s="292">
        <f t="shared" si="5"/>
        <v>0</v>
      </c>
      <c r="M52" s="292">
        <f t="shared" si="5"/>
        <v>0</v>
      </c>
      <c r="N52" s="292">
        <f t="shared" si="5"/>
        <v>0</v>
      </c>
      <c r="O52" s="292">
        <f t="shared" si="5"/>
        <v>0</v>
      </c>
      <c r="P52" s="292">
        <f t="shared" si="5"/>
        <v>0</v>
      </c>
      <c r="Q52" s="292">
        <f>SUM(G52:P52)</f>
        <v>0</v>
      </c>
    </row>
    <row r="53" spans="1:17">
      <c r="B53" s="72" t="s">
        <v>903</v>
      </c>
      <c r="C53" s="73" t="s">
        <v>606</v>
      </c>
      <c r="D53" s="73" t="s">
        <v>4</v>
      </c>
      <c r="E53" s="73" t="s">
        <v>0</v>
      </c>
      <c r="F53" s="74" t="s">
        <v>30</v>
      </c>
      <c r="G53" s="292">
        <f>SUM(G11,G32)</f>
        <v>0</v>
      </c>
      <c r="H53" s="292">
        <f t="shared" ref="H53:O54" si="6">SUM(H11,H32)</f>
        <v>0</v>
      </c>
      <c r="I53" s="292">
        <f t="shared" si="6"/>
        <v>0</v>
      </c>
      <c r="J53" s="292">
        <f t="shared" si="6"/>
        <v>0</v>
      </c>
      <c r="K53" s="292">
        <f t="shared" si="6"/>
        <v>0</v>
      </c>
      <c r="L53" s="292">
        <f t="shared" si="6"/>
        <v>0</v>
      </c>
      <c r="M53" s="292">
        <f t="shared" si="6"/>
        <v>0</v>
      </c>
      <c r="N53" s="292">
        <f t="shared" si="6"/>
        <v>0</v>
      </c>
      <c r="O53" s="292">
        <f t="shared" si="6"/>
        <v>0</v>
      </c>
      <c r="P53" s="292">
        <f t="shared" si="5"/>
        <v>0</v>
      </c>
      <c r="Q53" s="292">
        <f>SUM(G53:P53)</f>
        <v>0</v>
      </c>
    </row>
    <row r="54" spans="1:17">
      <c r="B54" s="72" t="s">
        <v>903</v>
      </c>
      <c r="C54" s="73" t="s">
        <v>607</v>
      </c>
      <c r="D54" s="73" t="s">
        <v>4</v>
      </c>
      <c r="E54" s="73" t="s">
        <v>0</v>
      </c>
      <c r="F54" s="74" t="s">
        <v>31</v>
      </c>
      <c r="G54" s="292">
        <f>SUM(G12,G33)</f>
        <v>0</v>
      </c>
      <c r="H54" s="292">
        <f t="shared" si="6"/>
        <v>0</v>
      </c>
      <c r="I54" s="292">
        <f t="shared" si="6"/>
        <v>0</v>
      </c>
      <c r="J54" s="292">
        <f t="shared" si="6"/>
        <v>0</v>
      </c>
      <c r="K54" s="292">
        <f t="shared" si="6"/>
        <v>0</v>
      </c>
      <c r="L54" s="292">
        <f t="shared" si="6"/>
        <v>0</v>
      </c>
      <c r="M54" s="292">
        <f t="shared" si="6"/>
        <v>0</v>
      </c>
      <c r="N54" s="292">
        <f t="shared" si="6"/>
        <v>0</v>
      </c>
      <c r="O54" s="292">
        <f t="shared" si="6"/>
        <v>0</v>
      </c>
      <c r="P54" s="292">
        <f>SUM(P12,P33)</f>
        <v>0</v>
      </c>
      <c r="Q54" s="292">
        <f>SUM(G54:P54)</f>
        <v>0</v>
      </c>
    </row>
    <row r="55" spans="1:17">
      <c r="B55" s="72" t="s">
        <v>903</v>
      </c>
      <c r="C55" s="73" t="s">
        <v>608</v>
      </c>
      <c r="D55" s="73" t="s">
        <v>4</v>
      </c>
      <c r="E55" s="73" t="s">
        <v>0</v>
      </c>
      <c r="F55" s="98" t="s">
        <v>32</v>
      </c>
      <c r="G55" s="292">
        <f>G52+G54</f>
        <v>0</v>
      </c>
      <c r="H55" s="292">
        <f t="shared" ref="H55:Q55" si="7">H52+H54</f>
        <v>0</v>
      </c>
      <c r="I55" s="292">
        <f t="shared" si="7"/>
        <v>0</v>
      </c>
      <c r="J55" s="292">
        <f t="shared" si="7"/>
        <v>0</v>
      </c>
      <c r="K55" s="292">
        <f t="shared" si="7"/>
        <v>0</v>
      </c>
      <c r="L55" s="292">
        <f t="shared" si="7"/>
        <v>0</v>
      </c>
      <c r="M55" s="292">
        <f t="shared" si="7"/>
        <v>0</v>
      </c>
      <c r="N55" s="292">
        <f t="shared" si="7"/>
        <v>0</v>
      </c>
      <c r="O55" s="292">
        <f t="shared" si="7"/>
        <v>0</v>
      </c>
      <c r="P55" s="292">
        <f t="shared" si="7"/>
        <v>0</v>
      </c>
      <c r="Q55" s="292">
        <f t="shared" si="7"/>
        <v>0</v>
      </c>
    </row>
    <row r="56" spans="1:17" ht="15.75" thickBot="1">
      <c r="B56" s="76"/>
      <c r="C56" s="77"/>
      <c r="D56" s="77"/>
      <c r="E56" s="77"/>
      <c r="F56" s="77"/>
      <c r="G56" s="78"/>
      <c r="H56" s="78"/>
      <c r="I56" s="78"/>
      <c r="J56" s="78"/>
      <c r="K56" s="78"/>
      <c r="L56" s="78"/>
      <c r="M56" s="78"/>
      <c r="N56" s="78"/>
      <c r="O56" s="78"/>
      <c r="P56" s="78"/>
      <c r="Q56" s="79"/>
    </row>
    <row r="57" spans="1:17" s="80" customFormat="1" ht="30" customHeight="1">
      <c r="B57" s="81"/>
      <c r="C57" s="82"/>
      <c r="D57" s="82"/>
      <c r="E57" s="82"/>
      <c r="F57" s="82"/>
      <c r="G57" s="320" t="s">
        <v>50</v>
      </c>
      <c r="H57" s="321"/>
      <c r="I57" s="321"/>
      <c r="J57" s="321"/>
      <c r="K57" s="321"/>
      <c r="L57" s="321"/>
      <c r="M57" s="321"/>
      <c r="N57" s="321"/>
      <c r="O57" s="321"/>
      <c r="P57" s="321"/>
      <c r="Q57" s="322"/>
    </row>
    <row r="58" spans="1:17" ht="91.5" customHeight="1">
      <c r="A58" s="56"/>
      <c r="B58" s="57"/>
      <c r="C58" s="58"/>
      <c r="D58" s="58"/>
      <c r="E58" s="59"/>
      <c r="F58" s="59" t="s">
        <v>15</v>
      </c>
      <c r="G58" s="60" t="s">
        <v>17</v>
      </c>
      <c r="H58" s="60" t="s">
        <v>18</v>
      </c>
      <c r="I58" s="89" t="s">
        <v>19</v>
      </c>
      <c r="J58" s="89" t="s">
        <v>20</v>
      </c>
      <c r="K58" s="89" t="s">
        <v>21</v>
      </c>
      <c r="L58" s="89" t="s">
        <v>22</v>
      </c>
      <c r="M58" s="89" t="s">
        <v>23</v>
      </c>
      <c r="N58" s="89" t="s">
        <v>24</v>
      </c>
      <c r="O58" s="89" t="s">
        <v>25</v>
      </c>
      <c r="P58" s="89" t="s">
        <v>26</v>
      </c>
      <c r="Q58" s="61" t="s">
        <v>27</v>
      </c>
    </row>
    <row r="59" spans="1:17">
      <c r="B59" s="68"/>
      <c r="C59" s="69"/>
      <c r="D59" s="70"/>
      <c r="E59" s="70"/>
      <c r="F59" s="69"/>
      <c r="G59" s="70"/>
      <c r="H59" s="70"/>
      <c r="I59" s="70"/>
      <c r="J59" s="70"/>
      <c r="K59" s="70"/>
      <c r="L59" s="70"/>
      <c r="M59" s="70"/>
      <c r="N59" s="70"/>
      <c r="O59" s="70"/>
      <c r="P59" s="70"/>
      <c r="Q59" s="71"/>
    </row>
    <row r="60" spans="1:17">
      <c r="A60" s="83"/>
      <c r="B60" s="72" t="s">
        <v>903</v>
      </c>
      <c r="C60" s="73" t="s">
        <v>604</v>
      </c>
      <c r="D60" s="73" t="s">
        <v>47</v>
      </c>
      <c r="E60" s="73" t="s">
        <v>0</v>
      </c>
      <c r="F60" s="74" t="s">
        <v>28</v>
      </c>
      <c r="G60" s="292">
        <f>SUM(G18,G39)</f>
        <v>0</v>
      </c>
      <c r="H60" s="292">
        <f t="shared" ref="H60:P60" si="8">SUM(H18,H39)</f>
        <v>0</v>
      </c>
      <c r="I60" s="292">
        <f t="shared" si="8"/>
        <v>0</v>
      </c>
      <c r="J60" s="292">
        <f t="shared" si="8"/>
        <v>0</v>
      </c>
      <c r="K60" s="292">
        <f t="shared" si="8"/>
        <v>0</v>
      </c>
      <c r="L60" s="292">
        <f t="shared" si="8"/>
        <v>0</v>
      </c>
      <c r="M60" s="292">
        <f t="shared" si="8"/>
        <v>0</v>
      </c>
      <c r="N60" s="292">
        <f t="shared" si="8"/>
        <v>0</v>
      </c>
      <c r="O60" s="292">
        <f t="shared" si="8"/>
        <v>0</v>
      </c>
      <c r="P60" s="292">
        <f t="shared" si="8"/>
        <v>0</v>
      </c>
      <c r="Q60" s="292">
        <f>SUM(G60:P60)</f>
        <v>0</v>
      </c>
    </row>
    <row r="61" spans="1:17">
      <c r="A61" s="84"/>
      <c r="B61" s="72" t="s">
        <v>903</v>
      </c>
      <c r="C61" s="73" t="s">
        <v>605</v>
      </c>
      <c r="D61" s="73" t="s">
        <v>47</v>
      </c>
      <c r="E61" s="73" t="s">
        <v>0</v>
      </c>
      <c r="F61" s="74" t="s">
        <v>29</v>
      </c>
      <c r="G61" s="292">
        <f t="shared" ref="G61:P62" si="9">SUM(G19,G40)</f>
        <v>0</v>
      </c>
      <c r="H61" s="292">
        <f t="shared" si="9"/>
        <v>0</v>
      </c>
      <c r="I61" s="292">
        <f t="shared" si="9"/>
        <v>0</v>
      </c>
      <c r="J61" s="292">
        <f t="shared" si="9"/>
        <v>0</v>
      </c>
      <c r="K61" s="292">
        <f t="shared" si="9"/>
        <v>0</v>
      </c>
      <c r="L61" s="292">
        <f t="shared" si="9"/>
        <v>0</v>
      </c>
      <c r="M61" s="292">
        <f t="shared" si="9"/>
        <v>0</v>
      </c>
      <c r="N61" s="292">
        <f t="shared" si="9"/>
        <v>0</v>
      </c>
      <c r="O61" s="292">
        <f t="shared" si="9"/>
        <v>0</v>
      </c>
      <c r="P61" s="292">
        <f t="shared" si="9"/>
        <v>0</v>
      </c>
      <c r="Q61" s="292">
        <f>SUM(G61:P61)</f>
        <v>0</v>
      </c>
    </row>
    <row r="62" spans="1:17">
      <c r="A62" s="83"/>
      <c r="B62" s="72" t="s">
        <v>903</v>
      </c>
      <c r="C62" s="73" t="s">
        <v>606</v>
      </c>
      <c r="D62" s="73" t="s">
        <v>47</v>
      </c>
      <c r="E62" s="73" t="s">
        <v>0</v>
      </c>
      <c r="F62" s="74" t="s">
        <v>30</v>
      </c>
      <c r="G62" s="292">
        <f t="shared" ref="G62:O62" si="10">SUM(G20,G41)</f>
        <v>0</v>
      </c>
      <c r="H62" s="292">
        <f t="shared" si="10"/>
        <v>0</v>
      </c>
      <c r="I62" s="292">
        <f t="shared" si="10"/>
        <v>0</v>
      </c>
      <c r="J62" s="292">
        <f t="shared" si="10"/>
        <v>0</v>
      </c>
      <c r="K62" s="292">
        <f t="shared" si="10"/>
        <v>0</v>
      </c>
      <c r="L62" s="292">
        <f t="shared" si="10"/>
        <v>0</v>
      </c>
      <c r="M62" s="292">
        <f t="shared" si="10"/>
        <v>0</v>
      </c>
      <c r="N62" s="292">
        <f t="shared" si="10"/>
        <v>0</v>
      </c>
      <c r="O62" s="292">
        <f t="shared" si="10"/>
        <v>0</v>
      </c>
      <c r="P62" s="292">
        <f t="shared" si="9"/>
        <v>0</v>
      </c>
      <c r="Q62" s="292">
        <f>SUM(G62:P62)</f>
        <v>0</v>
      </c>
    </row>
    <row r="63" spans="1:17">
      <c r="A63" s="83"/>
      <c r="B63" s="72" t="s">
        <v>903</v>
      </c>
      <c r="C63" s="73" t="s">
        <v>607</v>
      </c>
      <c r="D63" s="73" t="s">
        <v>47</v>
      </c>
      <c r="E63" s="73" t="s">
        <v>0</v>
      </c>
      <c r="F63" s="74" t="s">
        <v>31</v>
      </c>
      <c r="G63" s="292">
        <f t="shared" ref="G63:P63" si="11">SUM(G21,G42)</f>
        <v>0</v>
      </c>
      <c r="H63" s="292">
        <f t="shared" si="11"/>
        <v>0</v>
      </c>
      <c r="I63" s="292">
        <f t="shared" si="11"/>
        <v>0</v>
      </c>
      <c r="J63" s="292">
        <f t="shared" si="11"/>
        <v>0</v>
      </c>
      <c r="K63" s="292">
        <f t="shared" si="11"/>
        <v>0</v>
      </c>
      <c r="L63" s="292">
        <f t="shared" si="11"/>
        <v>0</v>
      </c>
      <c r="M63" s="292">
        <f t="shared" si="11"/>
        <v>0</v>
      </c>
      <c r="N63" s="292">
        <f t="shared" si="11"/>
        <v>0</v>
      </c>
      <c r="O63" s="292">
        <f t="shared" si="11"/>
        <v>0</v>
      </c>
      <c r="P63" s="292">
        <f t="shared" si="11"/>
        <v>0</v>
      </c>
      <c r="Q63" s="292">
        <f>SUM(G63:P63)</f>
        <v>0</v>
      </c>
    </row>
    <row r="64" spans="1:17">
      <c r="A64" s="83"/>
      <c r="B64" s="72" t="s">
        <v>903</v>
      </c>
      <c r="C64" s="73" t="s">
        <v>608</v>
      </c>
      <c r="D64" s="73" t="s">
        <v>47</v>
      </c>
      <c r="E64" s="73" t="s">
        <v>0</v>
      </c>
      <c r="F64" s="98" t="s">
        <v>32</v>
      </c>
      <c r="G64" s="292">
        <f>G61+G63</f>
        <v>0</v>
      </c>
      <c r="H64" s="292">
        <f t="shared" ref="H64:Q64" si="12">H61+H63</f>
        <v>0</v>
      </c>
      <c r="I64" s="292">
        <f t="shared" si="12"/>
        <v>0</v>
      </c>
      <c r="J64" s="292">
        <f t="shared" si="12"/>
        <v>0</v>
      </c>
      <c r="K64" s="292">
        <f t="shared" si="12"/>
        <v>0</v>
      </c>
      <c r="L64" s="292">
        <f t="shared" si="12"/>
        <v>0</v>
      </c>
      <c r="M64" s="292">
        <f t="shared" si="12"/>
        <v>0</v>
      </c>
      <c r="N64" s="292">
        <f t="shared" si="12"/>
        <v>0</v>
      </c>
      <c r="O64" s="292">
        <f t="shared" si="12"/>
        <v>0</v>
      </c>
      <c r="P64" s="292">
        <f t="shared" si="12"/>
        <v>0</v>
      </c>
      <c r="Q64" s="292">
        <f t="shared" si="12"/>
        <v>0</v>
      </c>
    </row>
    <row r="65" spans="2:17" ht="15.75" thickBot="1">
      <c r="B65" s="85"/>
      <c r="C65" s="86"/>
      <c r="D65" s="86"/>
      <c r="E65" s="86"/>
      <c r="F65" s="87"/>
      <c r="G65" s="86"/>
      <c r="H65" s="86"/>
      <c r="I65" s="86"/>
      <c r="J65" s="86"/>
      <c r="K65" s="86"/>
      <c r="L65" s="86"/>
      <c r="M65" s="86"/>
      <c r="N65" s="86"/>
      <c r="O65" s="86"/>
      <c r="P65" s="86"/>
      <c r="Q65" s="88"/>
    </row>
  </sheetData>
  <mergeCells count="6">
    <mergeCell ref="G57:Q57"/>
    <mergeCell ref="G4:Q4"/>
    <mergeCell ref="G15:Q15"/>
    <mergeCell ref="G25:Q25"/>
    <mergeCell ref="G36:Q36"/>
    <mergeCell ref="G46:Q46"/>
  </mergeCells>
  <pageMargins left="0.7" right="0.7" top="0.75" bottom="0.75" header="0.3" footer="0.3"/>
  <pageSetup paperSize="9" orientation="portrait" horizontalDpi="300"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tabColor theme="5" tint="0.39997558519241921"/>
  </sheetPr>
  <dimension ref="A1:I47"/>
  <sheetViews>
    <sheetView zoomScale="80" zoomScaleNormal="80" workbookViewId="0">
      <selection activeCell="Q28" sqref="Q28"/>
    </sheetView>
  </sheetViews>
  <sheetFormatPr baseColWidth="10" defaultRowHeight="15"/>
  <cols>
    <col min="1" max="1" width="4" customWidth="1"/>
    <col min="2" max="2" width="3.28515625" customWidth="1"/>
    <col min="3" max="3" width="2.7109375" customWidth="1"/>
    <col min="4" max="4" width="5.42578125" customWidth="1"/>
    <col min="5" max="5" width="2.7109375" customWidth="1"/>
    <col min="6" max="6" width="90.7109375" customWidth="1"/>
    <col min="7" max="7" width="12.140625" customWidth="1"/>
    <col min="8" max="8" width="12" customWidth="1"/>
    <col min="9" max="9" width="11.85546875" customWidth="1"/>
  </cols>
  <sheetData>
    <row r="1" spans="1:9" ht="54.95" customHeight="1"/>
    <row r="3" spans="1:9" ht="15.75" thickBot="1"/>
    <row r="4" spans="1:9" ht="30" customHeight="1">
      <c r="A4" s="53" t="s">
        <v>54</v>
      </c>
      <c r="B4" s="54"/>
      <c r="C4" s="55"/>
      <c r="D4" s="55"/>
      <c r="E4" s="55"/>
      <c r="F4" s="55" t="s">
        <v>939</v>
      </c>
      <c r="G4" s="323" t="s">
        <v>16</v>
      </c>
      <c r="H4" s="324"/>
      <c r="I4" s="325"/>
    </row>
    <row r="5" spans="1:9" ht="30" hidden="1" customHeight="1">
      <c r="A5" s="53" t="s">
        <v>55</v>
      </c>
      <c r="B5" s="81"/>
      <c r="C5" s="82"/>
      <c r="D5" s="82" t="s">
        <v>609</v>
      </c>
      <c r="E5" s="82" t="s">
        <v>627</v>
      </c>
      <c r="F5" s="82"/>
      <c r="G5" s="89" t="s">
        <v>628</v>
      </c>
      <c r="H5" s="59" t="s">
        <v>628</v>
      </c>
      <c r="I5" s="133" t="s">
        <v>628</v>
      </c>
    </row>
    <row r="6" spans="1:9" ht="108.75" customHeight="1">
      <c r="A6" s="56"/>
      <c r="B6" s="57"/>
      <c r="C6" s="58"/>
      <c r="D6" s="58"/>
      <c r="E6" s="59"/>
      <c r="F6" s="59" t="s">
        <v>34</v>
      </c>
      <c r="G6" s="60" t="s">
        <v>36</v>
      </c>
      <c r="H6" s="60" t="s">
        <v>35</v>
      </c>
      <c r="I6" s="60" t="s">
        <v>52</v>
      </c>
    </row>
    <row r="7" spans="1:9" ht="90" hidden="1" customHeight="1">
      <c r="A7" s="62" t="s">
        <v>55</v>
      </c>
      <c r="B7" s="63"/>
      <c r="C7" s="64"/>
      <c r="D7" s="65"/>
      <c r="E7" s="66" t="s">
        <v>644</v>
      </c>
      <c r="F7" s="67"/>
      <c r="G7" s="65" t="s">
        <v>643</v>
      </c>
      <c r="H7" s="65" t="s">
        <v>645</v>
      </c>
      <c r="I7" s="105" t="s">
        <v>646</v>
      </c>
    </row>
    <row r="8" spans="1:9">
      <c r="B8" s="68"/>
      <c r="C8" s="69"/>
      <c r="D8" s="70"/>
      <c r="E8" s="70"/>
      <c r="F8" s="69"/>
      <c r="G8" s="70"/>
      <c r="H8" s="70"/>
      <c r="I8" s="106"/>
    </row>
    <row r="9" spans="1:9">
      <c r="B9" s="72" t="s">
        <v>903</v>
      </c>
      <c r="C9" s="73" t="s">
        <v>610</v>
      </c>
      <c r="D9" s="73" t="s">
        <v>4</v>
      </c>
      <c r="E9" s="73" t="s">
        <v>0</v>
      </c>
      <c r="F9" s="74" t="s">
        <v>37</v>
      </c>
      <c r="G9" s="75">
        <v>100</v>
      </c>
      <c r="H9" s="75"/>
      <c r="I9" s="292">
        <f>SUM(G9:H9)</f>
        <v>100</v>
      </c>
    </row>
    <row r="10" spans="1:9">
      <c r="A10" s="56"/>
      <c r="B10" s="72" t="s">
        <v>903</v>
      </c>
      <c r="C10" s="73" t="s">
        <v>611</v>
      </c>
      <c r="D10" s="73" t="s">
        <v>4</v>
      </c>
      <c r="E10" s="73" t="s">
        <v>0</v>
      </c>
      <c r="F10" s="74" t="s">
        <v>38</v>
      </c>
      <c r="G10" s="75">
        <v>200000</v>
      </c>
      <c r="H10" s="75"/>
      <c r="I10" s="292">
        <f>SUM(G10:H10)</f>
        <v>200000</v>
      </c>
    </row>
    <row r="11" spans="1:9">
      <c r="B11" s="76"/>
      <c r="C11" s="77"/>
      <c r="D11" s="77"/>
      <c r="E11" s="77"/>
      <c r="F11" s="77"/>
      <c r="G11" s="78"/>
      <c r="H11" s="78"/>
      <c r="I11" s="107"/>
    </row>
    <row r="12" spans="1:9" s="80" customFormat="1" ht="30" customHeight="1">
      <c r="B12" s="81"/>
      <c r="C12" s="82"/>
      <c r="D12" s="82"/>
      <c r="E12" s="82"/>
      <c r="F12" s="82"/>
      <c r="G12" s="326" t="s">
        <v>16</v>
      </c>
      <c r="H12" s="327"/>
      <c r="I12" s="328"/>
    </row>
    <row r="13" spans="1:9" ht="91.5" customHeight="1">
      <c r="A13" s="56"/>
      <c r="B13" s="57"/>
      <c r="C13" s="58"/>
      <c r="D13" s="58"/>
      <c r="E13" s="59"/>
      <c r="F13" s="59" t="s">
        <v>34</v>
      </c>
      <c r="G13" s="60" t="s">
        <v>36</v>
      </c>
      <c r="H13" s="60" t="s">
        <v>35</v>
      </c>
      <c r="I13" s="60" t="s">
        <v>51</v>
      </c>
    </row>
    <row r="14" spans="1:9">
      <c r="B14" s="68"/>
      <c r="C14" s="69"/>
      <c r="D14" s="70"/>
      <c r="E14" s="70"/>
      <c r="F14" s="69"/>
      <c r="G14" s="70"/>
      <c r="H14" s="70"/>
      <c r="I14" s="106"/>
    </row>
    <row r="15" spans="1:9">
      <c r="A15" s="83"/>
      <c r="B15" s="72" t="s">
        <v>903</v>
      </c>
      <c r="C15" s="73" t="s">
        <v>610</v>
      </c>
      <c r="D15" s="73" t="s">
        <v>5</v>
      </c>
      <c r="E15" s="73" t="s">
        <v>0</v>
      </c>
      <c r="F15" s="74" t="s">
        <v>37</v>
      </c>
      <c r="G15" s="75">
        <v>300</v>
      </c>
      <c r="H15" s="75"/>
      <c r="I15" s="292">
        <f>SUM(G15:H15)</f>
        <v>300</v>
      </c>
    </row>
    <row r="16" spans="1:9">
      <c r="A16" s="84"/>
      <c r="B16" s="72" t="s">
        <v>903</v>
      </c>
      <c r="C16" s="73" t="s">
        <v>611</v>
      </c>
      <c r="D16" s="73" t="s">
        <v>5</v>
      </c>
      <c r="E16" s="73" t="s">
        <v>0</v>
      </c>
      <c r="F16" s="74" t="s">
        <v>38</v>
      </c>
      <c r="G16" s="75">
        <v>400000</v>
      </c>
      <c r="H16" s="75"/>
      <c r="I16" s="292">
        <f>SUM(G16:H16)</f>
        <v>400000</v>
      </c>
    </row>
    <row r="17" spans="1:9" ht="15.75" thickBot="1">
      <c r="B17" s="85"/>
      <c r="C17" s="86"/>
      <c r="D17" s="86"/>
      <c r="E17" s="86"/>
      <c r="F17" s="87"/>
      <c r="G17" s="86"/>
      <c r="H17" s="86"/>
      <c r="I17" s="108"/>
    </row>
    <row r="18" spans="1:9" ht="15.75" thickBot="1"/>
    <row r="19" spans="1:9" ht="30" customHeight="1">
      <c r="A19" s="53" t="s">
        <v>54</v>
      </c>
      <c r="B19" s="54"/>
      <c r="C19" s="55"/>
      <c r="D19" s="55"/>
      <c r="E19" s="55"/>
      <c r="F19" s="55"/>
      <c r="G19" s="323" t="s">
        <v>39</v>
      </c>
      <c r="H19" s="324"/>
      <c r="I19" s="325"/>
    </row>
    <row r="20" spans="1:9" ht="30" hidden="1" customHeight="1">
      <c r="A20" s="53" t="s">
        <v>55</v>
      </c>
      <c r="B20" s="81"/>
      <c r="C20" s="82"/>
      <c r="D20" s="82" t="s">
        <v>609</v>
      </c>
      <c r="E20" s="82" t="s">
        <v>627</v>
      </c>
      <c r="F20" s="82"/>
      <c r="G20" s="89" t="s">
        <v>641</v>
      </c>
      <c r="H20" s="59" t="s">
        <v>641</v>
      </c>
      <c r="I20" s="133" t="s">
        <v>641</v>
      </c>
    </row>
    <row r="21" spans="1:9" ht="108.75" customHeight="1">
      <c r="A21" s="56"/>
      <c r="B21" s="57"/>
      <c r="C21" s="58"/>
      <c r="D21" s="58"/>
      <c r="E21" s="59"/>
      <c r="F21" s="59" t="s">
        <v>34</v>
      </c>
      <c r="G21" s="60" t="s">
        <v>36</v>
      </c>
      <c r="H21" s="60" t="s">
        <v>35</v>
      </c>
      <c r="I21" s="60" t="s">
        <v>52</v>
      </c>
    </row>
    <row r="22" spans="1:9" ht="90" hidden="1" customHeight="1">
      <c r="A22" s="62" t="s">
        <v>55</v>
      </c>
      <c r="B22" s="63"/>
      <c r="C22" s="64"/>
      <c r="D22" s="65"/>
      <c r="E22" s="66" t="s">
        <v>644</v>
      </c>
      <c r="F22" s="67"/>
      <c r="G22" s="65" t="s">
        <v>643</v>
      </c>
      <c r="H22" s="65" t="s">
        <v>645</v>
      </c>
      <c r="I22" s="105" t="s">
        <v>646</v>
      </c>
    </row>
    <row r="23" spans="1:9">
      <c r="B23" s="68"/>
      <c r="C23" s="69"/>
      <c r="D23" s="70"/>
      <c r="E23" s="70"/>
      <c r="F23" s="69"/>
      <c r="G23" s="70"/>
      <c r="H23" s="70"/>
      <c r="I23" s="106"/>
    </row>
    <row r="24" spans="1:9">
      <c r="B24" s="72" t="s">
        <v>903</v>
      </c>
      <c r="C24" s="73" t="s">
        <v>610</v>
      </c>
      <c r="D24" s="73" t="s">
        <v>4</v>
      </c>
      <c r="E24" s="73" t="s">
        <v>0</v>
      </c>
      <c r="F24" s="74" t="s">
        <v>37</v>
      </c>
      <c r="G24" s="75"/>
      <c r="H24" s="75"/>
      <c r="I24" s="292">
        <f>SUM(G24:H24)</f>
        <v>0</v>
      </c>
    </row>
    <row r="25" spans="1:9">
      <c r="A25" s="56"/>
      <c r="B25" s="72" t="s">
        <v>903</v>
      </c>
      <c r="C25" s="73" t="s">
        <v>611</v>
      </c>
      <c r="D25" s="73" t="s">
        <v>4</v>
      </c>
      <c r="E25" s="73" t="s">
        <v>0</v>
      </c>
      <c r="F25" s="74" t="s">
        <v>38</v>
      </c>
      <c r="G25" s="75"/>
      <c r="H25" s="75"/>
      <c r="I25" s="292">
        <f>SUM(G25:H25)</f>
        <v>0</v>
      </c>
    </row>
    <row r="26" spans="1:9">
      <c r="B26" s="76"/>
      <c r="C26" s="77"/>
      <c r="D26" s="77"/>
      <c r="E26" s="77"/>
      <c r="F26" s="77"/>
      <c r="G26" s="78"/>
      <c r="H26" s="78"/>
      <c r="I26" s="107"/>
    </row>
    <row r="27" spans="1:9" s="80" customFormat="1" ht="30" customHeight="1">
      <c r="B27" s="81"/>
      <c r="C27" s="82"/>
      <c r="D27" s="82"/>
      <c r="E27" s="82"/>
      <c r="F27" s="82"/>
      <c r="G27" s="326" t="s">
        <v>39</v>
      </c>
      <c r="H27" s="327"/>
      <c r="I27" s="328"/>
    </row>
    <row r="28" spans="1:9" ht="91.5" customHeight="1">
      <c r="A28" s="56"/>
      <c r="B28" s="57"/>
      <c r="C28" s="58"/>
      <c r="D28" s="58"/>
      <c r="E28" s="59"/>
      <c r="F28" s="59" t="s">
        <v>34</v>
      </c>
      <c r="G28" s="60" t="s">
        <v>36</v>
      </c>
      <c r="H28" s="60" t="s">
        <v>35</v>
      </c>
      <c r="I28" s="60" t="s">
        <v>52</v>
      </c>
    </row>
    <row r="29" spans="1:9">
      <c r="B29" s="68"/>
      <c r="C29" s="69"/>
      <c r="D29" s="70"/>
      <c r="E29" s="70"/>
      <c r="F29" s="69"/>
      <c r="G29" s="70"/>
      <c r="H29" s="70"/>
      <c r="I29" s="106"/>
    </row>
    <row r="30" spans="1:9">
      <c r="A30" s="83"/>
      <c r="B30" s="72" t="s">
        <v>903</v>
      </c>
      <c r="C30" s="73" t="s">
        <v>610</v>
      </c>
      <c r="D30" s="73" t="s">
        <v>5</v>
      </c>
      <c r="E30" s="73" t="s">
        <v>0</v>
      </c>
      <c r="F30" s="74" t="s">
        <v>37</v>
      </c>
      <c r="G30" s="75"/>
      <c r="H30" s="75"/>
      <c r="I30" s="292">
        <f>SUM(G30:H30)</f>
        <v>0</v>
      </c>
    </row>
    <row r="31" spans="1:9">
      <c r="A31" s="84"/>
      <c r="B31" s="72" t="s">
        <v>903</v>
      </c>
      <c r="C31" s="73" t="s">
        <v>611</v>
      </c>
      <c r="D31" s="73" t="s">
        <v>5</v>
      </c>
      <c r="E31" s="73" t="s">
        <v>0</v>
      </c>
      <c r="F31" s="74" t="s">
        <v>38</v>
      </c>
      <c r="G31" s="75"/>
      <c r="H31" s="75"/>
      <c r="I31" s="292">
        <f>SUM(G31:H31)</f>
        <v>0</v>
      </c>
    </row>
    <row r="32" spans="1:9" ht="15.75" thickBot="1">
      <c r="B32" s="85"/>
      <c r="C32" s="86"/>
      <c r="D32" s="86"/>
      <c r="E32" s="86"/>
      <c r="F32" s="87"/>
      <c r="G32" s="86"/>
      <c r="H32" s="86"/>
      <c r="I32" s="108"/>
    </row>
    <row r="33" spans="1:9" ht="15.75" thickBot="1"/>
    <row r="34" spans="1:9" ht="30" customHeight="1">
      <c r="A34" s="53" t="s">
        <v>54</v>
      </c>
      <c r="B34" s="54"/>
      <c r="C34" s="55"/>
      <c r="D34" s="55"/>
      <c r="E34" s="55"/>
      <c r="F34" s="55"/>
      <c r="G34" s="323" t="s">
        <v>53</v>
      </c>
      <c r="H34" s="324"/>
      <c r="I34" s="325"/>
    </row>
    <row r="35" spans="1:9" ht="30" hidden="1" customHeight="1">
      <c r="A35" s="53" t="s">
        <v>55</v>
      </c>
      <c r="B35" s="81"/>
      <c r="C35" s="82"/>
      <c r="D35" s="82" t="s">
        <v>609</v>
      </c>
      <c r="E35" s="82" t="s">
        <v>627</v>
      </c>
      <c r="F35" s="82"/>
      <c r="G35" s="89" t="s">
        <v>642</v>
      </c>
      <c r="H35" s="59" t="s">
        <v>642</v>
      </c>
      <c r="I35" s="133" t="s">
        <v>642</v>
      </c>
    </row>
    <row r="36" spans="1:9" ht="108.75" customHeight="1">
      <c r="A36" s="56"/>
      <c r="B36" s="57"/>
      <c r="C36" s="58"/>
      <c r="D36" s="58"/>
      <c r="E36" s="59"/>
      <c r="F36" s="59" t="s">
        <v>34</v>
      </c>
      <c r="G36" s="60" t="s">
        <v>36</v>
      </c>
      <c r="H36" s="60" t="s">
        <v>35</v>
      </c>
      <c r="I36" s="60" t="s">
        <v>52</v>
      </c>
    </row>
    <row r="37" spans="1:9" ht="90" hidden="1" customHeight="1">
      <c r="A37" s="62" t="s">
        <v>55</v>
      </c>
      <c r="B37" s="63"/>
      <c r="C37" s="64"/>
      <c r="D37" s="65"/>
      <c r="E37" s="66" t="s">
        <v>644</v>
      </c>
      <c r="F37" s="67"/>
      <c r="G37" s="65" t="s">
        <v>643</v>
      </c>
      <c r="H37" s="65" t="s">
        <v>645</v>
      </c>
      <c r="I37" s="105" t="s">
        <v>646</v>
      </c>
    </row>
    <row r="38" spans="1:9">
      <c r="B38" s="68"/>
      <c r="C38" s="69"/>
      <c r="D38" s="70"/>
      <c r="E38" s="70"/>
      <c r="F38" s="69"/>
      <c r="G38" s="70"/>
      <c r="H38" s="70"/>
      <c r="I38" s="106"/>
    </row>
    <row r="39" spans="1:9">
      <c r="B39" s="72" t="s">
        <v>903</v>
      </c>
      <c r="C39" s="73" t="s">
        <v>610</v>
      </c>
      <c r="D39" s="73" t="s">
        <v>4</v>
      </c>
      <c r="E39" s="73" t="s">
        <v>0</v>
      </c>
      <c r="F39" s="74" t="s">
        <v>37</v>
      </c>
      <c r="G39" s="75">
        <v>100</v>
      </c>
      <c r="H39" s="75"/>
      <c r="I39" s="292">
        <f>SUM(I9,I24)</f>
        <v>100</v>
      </c>
    </row>
    <row r="40" spans="1:9">
      <c r="A40" s="56"/>
      <c r="B40" s="72" t="s">
        <v>903</v>
      </c>
      <c r="C40" s="73" t="s">
        <v>611</v>
      </c>
      <c r="D40" s="73" t="s">
        <v>4</v>
      </c>
      <c r="E40" s="73" t="s">
        <v>0</v>
      </c>
      <c r="F40" s="74" t="s">
        <v>38</v>
      </c>
      <c r="G40" s="75">
        <v>200000</v>
      </c>
      <c r="H40" s="75"/>
      <c r="I40" s="292">
        <f>SUM(I10,I25)</f>
        <v>200000</v>
      </c>
    </row>
    <row r="41" spans="1:9">
      <c r="B41" s="76"/>
      <c r="C41" s="77"/>
      <c r="D41" s="77"/>
      <c r="E41" s="77"/>
      <c r="F41" s="77"/>
      <c r="G41" s="78"/>
      <c r="H41" s="78"/>
      <c r="I41" s="107"/>
    </row>
    <row r="42" spans="1:9" s="80" customFormat="1" ht="30" customHeight="1">
      <c r="B42" s="81"/>
      <c r="C42" s="82"/>
      <c r="D42" s="82"/>
      <c r="E42" s="82"/>
      <c r="F42" s="82"/>
      <c r="G42" s="326" t="s">
        <v>53</v>
      </c>
      <c r="H42" s="327"/>
      <c r="I42" s="328"/>
    </row>
    <row r="43" spans="1:9" ht="91.5" customHeight="1">
      <c r="A43" s="56"/>
      <c r="B43" s="57"/>
      <c r="C43" s="58"/>
      <c r="D43" s="58"/>
      <c r="E43" s="59"/>
      <c r="F43" s="59" t="s">
        <v>34</v>
      </c>
      <c r="G43" s="60" t="s">
        <v>36</v>
      </c>
      <c r="H43" s="60" t="s">
        <v>35</v>
      </c>
      <c r="I43" s="60" t="s">
        <v>52</v>
      </c>
    </row>
    <row r="44" spans="1:9">
      <c r="B44" s="68"/>
      <c r="C44" s="69"/>
      <c r="D44" s="70"/>
      <c r="E44" s="70"/>
      <c r="F44" s="69"/>
      <c r="G44" s="70"/>
      <c r="H44" s="70"/>
      <c r="I44" s="106"/>
    </row>
    <row r="45" spans="1:9">
      <c r="A45" s="83"/>
      <c r="B45" s="72" t="s">
        <v>903</v>
      </c>
      <c r="C45" s="73" t="s">
        <v>610</v>
      </c>
      <c r="D45" s="73" t="s">
        <v>5</v>
      </c>
      <c r="E45" s="73" t="s">
        <v>0</v>
      </c>
      <c r="F45" s="74" t="s">
        <v>37</v>
      </c>
      <c r="G45" s="75">
        <v>300</v>
      </c>
      <c r="H45" s="75"/>
      <c r="I45" s="292">
        <f>SUM(I15,I30)</f>
        <v>300</v>
      </c>
    </row>
    <row r="46" spans="1:9">
      <c r="A46" s="84"/>
      <c r="B46" s="72" t="s">
        <v>903</v>
      </c>
      <c r="C46" s="73" t="s">
        <v>611</v>
      </c>
      <c r="D46" s="73" t="s">
        <v>5</v>
      </c>
      <c r="E46" s="73" t="s">
        <v>0</v>
      </c>
      <c r="F46" s="74" t="s">
        <v>38</v>
      </c>
      <c r="G46" s="75">
        <v>400000</v>
      </c>
      <c r="H46" s="75"/>
      <c r="I46" s="292">
        <f>SUM(I16,I31)</f>
        <v>400000</v>
      </c>
    </row>
    <row r="47" spans="1:9" ht="15.75" thickBot="1">
      <c r="B47" s="85"/>
      <c r="C47" s="86"/>
      <c r="D47" s="86"/>
      <c r="E47" s="86"/>
      <c r="F47" s="87"/>
      <c r="G47" s="86"/>
      <c r="H47" s="86"/>
      <c r="I47" s="108"/>
    </row>
  </sheetData>
  <mergeCells count="6">
    <mergeCell ref="G34:I34"/>
    <mergeCell ref="G42:I42"/>
    <mergeCell ref="G12:I12"/>
    <mergeCell ref="G4:I4"/>
    <mergeCell ref="G19:I19"/>
    <mergeCell ref="G27:I27"/>
  </mergeCells>
  <pageMargins left="0.7" right="0.7" top="0.75" bottom="0.75" header="0.3" footer="0.3"/>
  <pageSetup paperSize="9" orientation="portrait" horizontalDpi="300" verticalDpi="300"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tabColor theme="4" tint="0.39997558519241921"/>
  </sheetPr>
  <dimension ref="A1:I36"/>
  <sheetViews>
    <sheetView topLeftCell="A11" zoomScale="80" zoomScaleNormal="80" workbookViewId="0">
      <selection activeCell="F1" sqref="F1"/>
    </sheetView>
  </sheetViews>
  <sheetFormatPr baseColWidth="10" defaultRowHeight="15"/>
  <cols>
    <col min="1" max="1" width="2.7109375" customWidth="1"/>
    <col min="2" max="2" width="3.28515625" customWidth="1"/>
    <col min="3" max="3" width="2.7109375" customWidth="1"/>
    <col min="4" max="4" width="5.42578125" customWidth="1"/>
    <col min="5" max="5" width="2.7109375" customWidth="1"/>
    <col min="6" max="6" width="90.7109375" customWidth="1"/>
    <col min="7" max="7" width="24" customWidth="1"/>
    <col min="8" max="8" width="21.7109375" bestFit="1" customWidth="1"/>
    <col min="9" max="9" width="24.85546875" customWidth="1"/>
  </cols>
  <sheetData>
    <row r="1" spans="1:9" ht="54.95" customHeight="1" thickBot="1"/>
    <row r="2" spans="1:9" ht="177" customHeight="1" thickBot="1">
      <c r="F2" s="43" t="s">
        <v>2</v>
      </c>
    </row>
    <row r="3" spans="1:9" ht="16.5" thickBot="1">
      <c r="F3" s="44" t="s">
        <v>3</v>
      </c>
    </row>
    <row r="4" spans="1:9" ht="56.25" customHeight="1">
      <c r="B4" s="54"/>
      <c r="C4" s="55"/>
      <c r="D4" s="55"/>
      <c r="E4" s="55"/>
      <c r="F4" s="55" t="s">
        <v>940</v>
      </c>
      <c r="G4" s="89" t="s">
        <v>41</v>
      </c>
      <c r="H4" s="60" t="s">
        <v>41</v>
      </c>
      <c r="I4" s="133" t="s">
        <v>56</v>
      </c>
    </row>
    <row r="5" spans="1:9" ht="81.75" customHeight="1">
      <c r="A5" s="142" t="s">
        <v>54</v>
      </c>
      <c r="B5" s="57"/>
      <c r="C5" s="58"/>
      <c r="D5" s="58"/>
      <c r="E5" s="59"/>
      <c r="F5" s="59" t="s">
        <v>40</v>
      </c>
      <c r="G5" s="114" t="s">
        <v>1</v>
      </c>
      <c r="H5" s="114" t="s">
        <v>1</v>
      </c>
      <c r="I5" s="115" t="s">
        <v>42</v>
      </c>
    </row>
    <row r="6" spans="1:9" ht="90" hidden="1" customHeight="1">
      <c r="A6" s="129" t="s">
        <v>55</v>
      </c>
      <c r="B6" s="63"/>
      <c r="C6" s="64"/>
      <c r="D6" s="65" t="s">
        <v>612</v>
      </c>
      <c r="E6" s="65" t="s">
        <v>613</v>
      </c>
      <c r="F6" s="67"/>
      <c r="G6" s="130" t="s">
        <v>614</v>
      </c>
      <c r="H6" s="130" t="s">
        <v>614</v>
      </c>
      <c r="I6" s="105" t="s">
        <v>614</v>
      </c>
    </row>
    <row r="7" spans="1:9" ht="90" hidden="1" customHeight="1">
      <c r="A7" s="129" t="s">
        <v>55</v>
      </c>
      <c r="B7" s="63"/>
      <c r="C7" s="64"/>
      <c r="D7" s="65"/>
      <c r="E7" s="65" t="s">
        <v>615</v>
      </c>
      <c r="F7" s="67"/>
      <c r="G7" s="113" t="str">
        <f>CONCATENATE(CONCATENATE("IFRS7-NumeMontOper_",SUBSTITUTE(TRIM(G5)," ",""),"_",COLUMN(G7),"|",$G$5))</f>
        <v>IFRS7-NumeMontOper_Agregarcolumnaopcional_7|Agregar columna opcional</v>
      </c>
      <c r="H7" s="113" t="str">
        <f>CONCATENATE(CONCATENATE("IFRS7-NumeMontOper_",SUBSTITUTE(TRIM(H5)," ",""),"_",COLUMN(H7),"|",H5))</f>
        <v>IFRS7-NumeMontOper_Agregarcolumnaopcional_8|Agregar columna opcional</v>
      </c>
      <c r="I7" s="105" t="s">
        <v>616</v>
      </c>
    </row>
    <row r="8" spans="1:9">
      <c r="B8" s="68"/>
      <c r="C8" s="69"/>
      <c r="D8" s="70"/>
      <c r="E8" s="70"/>
      <c r="F8" s="69"/>
      <c r="G8" s="106"/>
      <c r="H8" s="106"/>
      <c r="I8" s="106"/>
    </row>
    <row r="9" spans="1:9">
      <c r="B9" s="72" t="s">
        <v>903</v>
      </c>
      <c r="C9" s="73" t="s">
        <v>617</v>
      </c>
      <c r="D9" s="73" t="s">
        <v>4</v>
      </c>
      <c r="E9" s="73" t="s">
        <v>0</v>
      </c>
      <c r="F9" s="74" t="s">
        <v>45</v>
      </c>
      <c r="G9" s="128" t="s">
        <v>981</v>
      </c>
      <c r="H9" s="128" t="s">
        <v>982</v>
      </c>
      <c r="I9" s="128"/>
    </row>
    <row r="10" spans="1:9">
      <c r="B10" s="72" t="s">
        <v>903</v>
      </c>
      <c r="C10" s="73" t="s">
        <v>618</v>
      </c>
      <c r="D10" s="73" t="s">
        <v>4</v>
      </c>
      <c r="E10" s="73" t="s">
        <v>0</v>
      </c>
      <c r="F10" s="74" t="s">
        <v>43</v>
      </c>
      <c r="G10" s="75">
        <v>1000</v>
      </c>
      <c r="H10" s="75">
        <v>3000</v>
      </c>
      <c r="I10" s="293">
        <f>SUM(G10:H10)</f>
        <v>4000</v>
      </c>
    </row>
    <row r="11" spans="1:9">
      <c r="A11" s="56"/>
      <c r="B11" s="72" t="s">
        <v>903</v>
      </c>
      <c r="C11" s="73" t="s">
        <v>619</v>
      </c>
      <c r="D11" s="73" t="s">
        <v>4</v>
      </c>
      <c r="E11" s="73" t="s">
        <v>0</v>
      </c>
      <c r="F11" s="74" t="s">
        <v>44</v>
      </c>
      <c r="G11" s="75">
        <v>2000</v>
      </c>
      <c r="H11" s="75">
        <v>4000</v>
      </c>
      <c r="I11" s="293">
        <f>SUM(G11:H11)</f>
        <v>6000</v>
      </c>
    </row>
    <row r="12" spans="1:9" ht="15.75" thickBot="1">
      <c r="B12" s="76"/>
      <c r="C12" s="77"/>
      <c r="D12" s="77"/>
      <c r="E12" s="77"/>
      <c r="F12" s="77"/>
      <c r="G12" s="107"/>
      <c r="H12" s="107"/>
      <c r="I12" s="107"/>
    </row>
    <row r="13" spans="1:9" s="80" customFormat="1" ht="49.5" customHeight="1">
      <c r="B13" s="81"/>
      <c r="C13" s="82"/>
      <c r="D13" s="82"/>
      <c r="E13" s="82"/>
      <c r="F13" s="82"/>
      <c r="G13" s="132" t="s">
        <v>41</v>
      </c>
      <c r="H13" s="134" t="s">
        <v>41</v>
      </c>
      <c r="I13" s="134" t="s">
        <v>56</v>
      </c>
    </row>
    <row r="14" spans="1:9" ht="78" customHeight="1">
      <c r="A14" s="56"/>
      <c r="B14" s="57"/>
      <c r="C14" s="58"/>
      <c r="D14" s="58"/>
      <c r="E14" s="59"/>
      <c r="F14" s="59" t="s">
        <v>40</v>
      </c>
      <c r="G14" s="60" t="str">
        <f>IF(G5="Agregar columna opcional","",G5)</f>
        <v/>
      </c>
      <c r="H14" s="60" t="str">
        <f>IF(H5="Agregar columna opcional","",H5)</f>
        <v/>
      </c>
      <c r="I14" s="60" t="s">
        <v>42</v>
      </c>
    </row>
    <row r="15" spans="1:9">
      <c r="B15" s="68"/>
      <c r="C15" s="69"/>
      <c r="D15" s="70"/>
      <c r="E15" s="70"/>
      <c r="F15" s="69"/>
      <c r="G15" s="106"/>
      <c r="H15" s="106"/>
      <c r="I15" s="106"/>
    </row>
    <row r="16" spans="1:9">
      <c r="A16" s="83"/>
      <c r="B16" s="72" t="s">
        <v>903</v>
      </c>
      <c r="C16" s="73" t="s">
        <v>617</v>
      </c>
      <c r="D16" s="73" t="s">
        <v>5</v>
      </c>
      <c r="E16" s="73" t="s">
        <v>0</v>
      </c>
      <c r="F16" s="74" t="s">
        <v>45</v>
      </c>
      <c r="G16" s="128" t="s">
        <v>983</v>
      </c>
      <c r="H16" s="128" t="s">
        <v>984</v>
      </c>
      <c r="I16" s="128"/>
    </row>
    <row r="17" spans="1:9">
      <c r="A17" s="83"/>
      <c r="B17" s="72" t="s">
        <v>903</v>
      </c>
      <c r="C17" s="73" t="s">
        <v>618</v>
      </c>
      <c r="D17" s="73" t="s">
        <v>5</v>
      </c>
      <c r="E17" s="73" t="s">
        <v>0</v>
      </c>
      <c r="F17" s="74" t="s">
        <v>43</v>
      </c>
      <c r="G17" s="75">
        <v>5000</v>
      </c>
      <c r="H17" s="75">
        <v>7000</v>
      </c>
      <c r="I17" s="293">
        <f>SUM(G17:H17)</f>
        <v>12000</v>
      </c>
    </row>
    <row r="18" spans="1:9">
      <c r="A18" s="84"/>
      <c r="B18" s="72" t="s">
        <v>903</v>
      </c>
      <c r="C18" s="73" t="s">
        <v>619</v>
      </c>
      <c r="D18" s="73" t="s">
        <v>5</v>
      </c>
      <c r="E18" s="73" t="s">
        <v>0</v>
      </c>
      <c r="F18" s="74" t="s">
        <v>44</v>
      </c>
      <c r="G18" s="75">
        <v>6000</v>
      </c>
      <c r="H18" s="75">
        <v>8000</v>
      </c>
      <c r="I18" s="293">
        <f>SUM(G18:H18)</f>
        <v>14000</v>
      </c>
    </row>
    <row r="19" spans="1:9" ht="15.75" thickBot="1">
      <c r="B19" s="85"/>
      <c r="C19" s="86"/>
      <c r="D19" s="86"/>
      <c r="E19" s="86"/>
      <c r="F19" s="87"/>
      <c r="G19" s="108"/>
      <c r="H19" s="108"/>
      <c r="I19" s="108"/>
    </row>
    <row r="20" spans="1:9" ht="15.75" thickBot="1"/>
    <row r="21" spans="1:9" ht="56.25" customHeight="1">
      <c r="A21" s="53"/>
      <c r="B21" s="54"/>
      <c r="C21" s="55"/>
      <c r="D21" s="55"/>
      <c r="E21" s="55"/>
      <c r="F21" s="55"/>
      <c r="G21" s="60" t="s">
        <v>46</v>
      </c>
      <c r="H21" s="60" t="s">
        <v>46</v>
      </c>
      <c r="I21" s="133" t="s">
        <v>46</v>
      </c>
    </row>
    <row r="22" spans="1:9" ht="81.75" customHeight="1">
      <c r="A22" t="s">
        <v>54</v>
      </c>
      <c r="B22" s="57"/>
      <c r="C22" s="58"/>
      <c r="D22" s="58"/>
      <c r="E22" s="59"/>
      <c r="F22" s="59" t="s">
        <v>40</v>
      </c>
      <c r="G22" s="60" t="str">
        <f>IF(G5="Agregar columna opcional","",G5)</f>
        <v/>
      </c>
      <c r="H22" s="60" t="str">
        <f>IF(H5="Agregar columna opcional","",H5)</f>
        <v/>
      </c>
      <c r="I22" s="115" t="s">
        <v>42</v>
      </c>
    </row>
    <row r="23" spans="1:9" ht="90" hidden="1" customHeight="1">
      <c r="A23" s="129" t="s">
        <v>55</v>
      </c>
      <c r="B23" s="63"/>
      <c r="C23" s="64"/>
      <c r="D23" s="65" t="s">
        <v>612</v>
      </c>
      <c r="E23" s="65" t="s">
        <v>613</v>
      </c>
      <c r="F23" s="67"/>
      <c r="G23" s="130" t="s">
        <v>620</v>
      </c>
      <c r="H23" s="130" t="s">
        <v>620</v>
      </c>
      <c r="I23" s="130" t="s">
        <v>620</v>
      </c>
    </row>
    <row r="24" spans="1:9" ht="90" hidden="1" customHeight="1">
      <c r="A24" s="129" t="s">
        <v>55</v>
      </c>
      <c r="B24" s="63"/>
      <c r="C24" s="64"/>
      <c r="D24" s="65"/>
      <c r="E24" s="65" t="s">
        <v>615</v>
      </c>
      <c r="F24" s="67"/>
      <c r="G24" s="113" t="str">
        <f>CONCATENATE(CONCATENATE("IFRS7-NumeMontOper_",SUBSTITUTE(TRIM(G5)," ",""),"_",COLUMN(G24),"|",$G$5))</f>
        <v>IFRS7-NumeMontOper_Agregarcolumnaopcional_7|Agregar columna opcional</v>
      </c>
      <c r="H24" s="113" t="str">
        <f>CONCATENATE(CONCATENATE("IFRS7-NumeMontOper_",SUBSTITUTE(TRIM(H5)," ",""),"_",COLUMN(H24),"|",$G$5))</f>
        <v>IFRS7-NumeMontOper_Agregarcolumnaopcional_8|Agregar columna opcional</v>
      </c>
      <c r="I24" s="105" t="s">
        <v>616</v>
      </c>
    </row>
    <row r="25" spans="1:9">
      <c r="A25" s="129"/>
      <c r="B25" s="72"/>
      <c r="C25" s="74"/>
      <c r="D25" s="74"/>
      <c r="E25" s="74"/>
      <c r="F25" s="74"/>
      <c r="G25" s="130"/>
      <c r="H25" s="130"/>
      <c r="I25" s="131"/>
    </row>
    <row r="26" spans="1:9">
      <c r="B26" s="72" t="s">
        <v>903</v>
      </c>
      <c r="C26" s="73" t="s">
        <v>617</v>
      </c>
      <c r="D26" s="73" t="s">
        <v>4</v>
      </c>
      <c r="E26" s="73" t="s">
        <v>0</v>
      </c>
      <c r="F26" s="74" t="s">
        <v>45</v>
      </c>
      <c r="G26" s="128" t="s">
        <v>981</v>
      </c>
      <c r="H26" s="128" t="s">
        <v>982</v>
      </c>
      <c r="I26" s="128"/>
    </row>
    <row r="27" spans="1:9">
      <c r="B27" s="72" t="s">
        <v>903</v>
      </c>
      <c r="C27" s="73" t="s">
        <v>618</v>
      </c>
      <c r="D27" s="73" t="s">
        <v>4</v>
      </c>
      <c r="E27" s="73" t="s">
        <v>0</v>
      </c>
      <c r="F27" s="74" t="s">
        <v>43</v>
      </c>
      <c r="G27" s="75">
        <v>1000</v>
      </c>
      <c r="H27" s="75">
        <v>3000</v>
      </c>
      <c r="I27" s="293">
        <f>SUM(G27:H27)</f>
        <v>4000</v>
      </c>
    </row>
    <row r="28" spans="1:9">
      <c r="A28" s="56"/>
      <c r="B28" s="72" t="s">
        <v>903</v>
      </c>
      <c r="C28" s="73" t="s">
        <v>619</v>
      </c>
      <c r="D28" s="73" t="s">
        <v>4</v>
      </c>
      <c r="E28" s="73" t="s">
        <v>0</v>
      </c>
      <c r="F28" s="74" t="s">
        <v>44</v>
      </c>
      <c r="G28" s="75">
        <v>2000</v>
      </c>
      <c r="H28" s="75">
        <v>4000</v>
      </c>
      <c r="I28" s="293">
        <f>SUM(G28:H28)</f>
        <v>6000</v>
      </c>
    </row>
    <row r="29" spans="1:9">
      <c r="B29" s="76"/>
      <c r="C29" s="77"/>
      <c r="D29" s="77"/>
      <c r="E29" s="77"/>
      <c r="F29" s="77"/>
      <c r="G29" s="109"/>
      <c r="H29" s="109"/>
      <c r="I29" s="109"/>
    </row>
    <row r="30" spans="1:9" s="80" customFormat="1" ht="61.5" customHeight="1">
      <c r="B30" s="81"/>
      <c r="C30" s="82"/>
      <c r="D30" s="82"/>
      <c r="E30" s="82"/>
      <c r="F30" s="82"/>
      <c r="G30" s="60" t="s">
        <v>46</v>
      </c>
      <c r="H30" s="59" t="s">
        <v>46</v>
      </c>
      <c r="I30" s="60" t="s">
        <v>46</v>
      </c>
    </row>
    <row r="31" spans="1:9" ht="91.5" customHeight="1">
      <c r="A31" s="56"/>
      <c r="B31" s="57"/>
      <c r="C31" s="58"/>
      <c r="D31" s="58"/>
      <c r="E31" s="59"/>
      <c r="F31" s="59" t="s">
        <v>40</v>
      </c>
      <c r="G31" s="60" t="str">
        <f>IF(G14="Agregar columna opcional","",G14)</f>
        <v/>
      </c>
      <c r="H31" s="60" t="str">
        <f>IF(H14="Agregar columna opcional","",H14)</f>
        <v/>
      </c>
      <c r="I31" s="60" t="s">
        <v>42</v>
      </c>
    </row>
    <row r="32" spans="1:9">
      <c r="B32" s="68"/>
      <c r="C32" s="69"/>
      <c r="D32" s="70"/>
      <c r="E32" s="70"/>
      <c r="F32" s="69"/>
      <c r="G32" s="110"/>
      <c r="H32" s="110"/>
      <c r="I32" s="110"/>
    </row>
    <row r="33" spans="1:9">
      <c r="A33" s="83"/>
      <c r="B33" s="72" t="s">
        <v>903</v>
      </c>
      <c r="C33" s="73" t="s">
        <v>617</v>
      </c>
      <c r="D33" s="73" t="s">
        <v>5</v>
      </c>
      <c r="E33" s="73" t="s">
        <v>0</v>
      </c>
      <c r="F33" s="74" t="s">
        <v>45</v>
      </c>
      <c r="G33" s="128" t="s">
        <v>983</v>
      </c>
      <c r="H33" s="128" t="s">
        <v>984</v>
      </c>
      <c r="I33" s="128"/>
    </row>
    <row r="34" spans="1:9">
      <c r="A34" s="83"/>
      <c r="B34" s="72" t="s">
        <v>903</v>
      </c>
      <c r="C34" s="73" t="s">
        <v>618</v>
      </c>
      <c r="D34" s="73" t="s">
        <v>5</v>
      </c>
      <c r="E34" s="73" t="s">
        <v>0</v>
      </c>
      <c r="F34" s="74" t="s">
        <v>43</v>
      </c>
      <c r="G34" s="75">
        <v>5000</v>
      </c>
      <c r="H34" s="75">
        <v>7000</v>
      </c>
      <c r="I34" s="293">
        <f>SUM(G34:H34)</f>
        <v>12000</v>
      </c>
    </row>
    <row r="35" spans="1:9">
      <c r="A35" s="84"/>
      <c r="B35" s="72" t="s">
        <v>903</v>
      </c>
      <c r="C35" s="73" t="s">
        <v>619</v>
      </c>
      <c r="D35" s="73" t="s">
        <v>5</v>
      </c>
      <c r="E35" s="73" t="s">
        <v>0</v>
      </c>
      <c r="F35" s="74" t="s">
        <v>44</v>
      </c>
      <c r="G35" s="75">
        <v>6000</v>
      </c>
      <c r="H35" s="75">
        <v>8000</v>
      </c>
      <c r="I35" s="293">
        <f>SUM(G35:H35)</f>
        <v>14000</v>
      </c>
    </row>
    <row r="36" spans="1:9" ht="15.75" thickBot="1">
      <c r="B36" s="85"/>
      <c r="C36" s="86"/>
      <c r="D36" s="86"/>
      <c r="E36" s="86"/>
      <c r="F36" s="87"/>
      <c r="G36" s="108"/>
      <c r="H36" s="108"/>
      <c r="I36" s="108"/>
    </row>
  </sheetData>
  <pageMargins left="0.7" right="0.7" top="0.75" bottom="0.75" header="0.3" footer="0.3"/>
  <pageSetup paperSize="9" orientation="portrait" horizontalDpi="300" verticalDpi="300" r:id="rId1"/>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3">
    <tabColor rgb="FF00B0F0"/>
  </sheetPr>
  <dimension ref="A1:U258"/>
  <sheetViews>
    <sheetView topLeftCell="D206" zoomScaleNormal="100" workbookViewId="0">
      <selection activeCell="A11" sqref="A11"/>
    </sheetView>
  </sheetViews>
  <sheetFormatPr baseColWidth="10" defaultRowHeight="15"/>
  <cols>
    <col min="1" max="1" width="2.7109375" customWidth="1"/>
    <col min="2" max="2" width="3.28515625" customWidth="1"/>
    <col min="3" max="3" width="70.7109375" customWidth="1"/>
    <col min="4" max="4" width="5.42578125" customWidth="1"/>
    <col min="5" max="5" width="2.7109375" customWidth="1"/>
    <col min="6" max="6" width="90.7109375" customWidth="1"/>
    <col min="7" max="21" width="20.28515625" customWidth="1"/>
  </cols>
  <sheetData>
    <row r="1" spans="1:21" ht="54.95" customHeight="1" thickBot="1"/>
    <row r="2" spans="1:21" ht="177" customHeight="1" thickBot="1">
      <c r="F2" s="162" t="s">
        <v>724</v>
      </c>
    </row>
    <row r="3" spans="1:21" ht="15.75" thickBot="1"/>
    <row r="4" spans="1:21" ht="16.5" thickBot="1">
      <c r="F4" s="263" t="s">
        <v>725</v>
      </c>
      <c r="G4" s="264" t="s">
        <v>726</v>
      </c>
    </row>
    <row r="5" spans="1:21" ht="15.75" thickBot="1"/>
    <row r="6" spans="1:21" ht="15.75" thickBot="1">
      <c r="B6" s="265"/>
      <c r="C6" s="266"/>
      <c r="D6" s="266"/>
      <c r="E6" s="266"/>
      <c r="F6" s="333" t="s">
        <v>862</v>
      </c>
      <c r="G6" s="334"/>
      <c r="H6" s="334"/>
      <c r="I6" s="335"/>
      <c r="J6" s="266"/>
      <c r="K6" s="266"/>
      <c r="L6" s="266"/>
      <c r="M6" s="266"/>
      <c r="N6" s="266"/>
      <c r="O6" s="266"/>
      <c r="P6" s="266"/>
      <c r="Q6" s="266"/>
      <c r="R6" s="266"/>
      <c r="S6" s="266"/>
      <c r="T6" s="266"/>
      <c r="U6" s="267"/>
    </row>
    <row r="7" spans="1:21">
      <c r="B7" s="268"/>
      <c r="F7" s="269" t="s">
        <v>762</v>
      </c>
      <c r="G7" s="336" t="s">
        <v>766</v>
      </c>
      <c r="H7" s="337"/>
      <c r="I7" s="338"/>
      <c r="U7" s="270"/>
    </row>
    <row r="8" spans="1:21">
      <c r="B8" s="268"/>
      <c r="F8" s="271" t="s">
        <v>763</v>
      </c>
      <c r="G8" s="339" t="s">
        <v>779</v>
      </c>
      <c r="H8" s="340"/>
      <c r="I8" s="341"/>
      <c r="U8" s="270"/>
    </row>
    <row r="9" spans="1:21" ht="15.75" thickBot="1">
      <c r="B9" s="268"/>
      <c r="F9" s="272" t="s">
        <v>764</v>
      </c>
      <c r="G9" s="339" t="s">
        <v>780</v>
      </c>
      <c r="H9" s="340"/>
      <c r="I9" s="341"/>
      <c r="U9" s="270"/>
    </row>
    <row r="10" spans="1:21" s="30" customFormat="1" ht="25.5" customHeight="1" thickBot="1">
      <c r="A10" s="163" t="s">
        <v>54</v>
      </c>
      <c r="B10" s="273"/>
      <c r="C10" s="274"/>
      <c r="D10" s="274"/>
      <c r="E10" s="274"/>
      <c r="F10" s="275" t="s">
        <v>941</v>
      </c>
      <c r="G10" s="342" t="str">
        <f>IF(ISERROR(CONCATENATE(VLOOKUP($G7,Hoja1!$C$1:$G$12,5,FALSE),"_",VLOOKUP($G8,Hoja1!$D$1:$H$2,5,FALSE),"_",VLOOKUP($G9,Hoja1!$E$1:$I$2,5,FALSE))),"Elija un valor para cada elemento en el bloque superior o elimine este bloque",CONCATENATE($G7,", ",$G8,", ",$G9))</f>
        <v>Compromisos de préstamos, Pérdidas crediticias esperadas durante el tiempo de vida del activo, Pérdidas crediticias esperadas evaluadas de forma individual</v>
      </c>
      <c r="H10" s="343"/>
      <c r="I10" s="343"/>
      <c r="J10" s="343"/>
      <c r="K10" s="343"/>
      <c r="L10" s="343"/>
      <c r="M10" s="343"/>
      <c r="N10" s="343"/>
      <c r="O10" s="343"/>
      <c r="P10" s="343"/>
      <c r="Q10" s="343"/>
      <c r="R10" s="343"/>
      <c r="S10" s="343"/>
      <c r="T10" s="343"/>
      <c r="U10" s="344"/>
    </row>
    <row r="11" spans="1:21" s="30" customFormat="1" ht="18" customHeight="1">
      <c r="A11" s="163" t="s">
        <v>55</v>
      </c>
      <c r="B11" s="167"/>
      <c r="C11" s="168"/>
      <c r="D11" s="168" t="s">
        <v>785</v>
      </c>
      <c r="E11" s="169" t="s">
        <v>747</v>
      </c>
      <c r="F11" s="170"/>
      <c r="G11" s="171" t="str">
        <f>CONCATENATE("IFRS7-ConcCambValo_",VLOOKUP($G7,Hoja1!$C$1:$G$12,5,FALSE),"_",VLOOKUP($G8,Hoja1!$D$1:$H$2,5,FALSE),"_",VLOOKUP($G9,Hoja1!$E$1:$I$2,5,FALSE),"_0","|",$G10)</f>
        <v>IFRS7-ConcCambValo_CompPrest_PerdCredRest_PerdCredIndi_0|Compromisos de préstamos, Pérdidas crediticias esperadas durante el tiempo de vida del activo, Pérdidas crediticias esperadas evaluadas de forma individual</v>
      </c>
      <c r="H11" s="171" t="str">
        <f>G11</f>
        <v>IFRS7-ConcCambValo_CompPrest_PerdCredRest_PerdCredIndi_0|Compromisos de préstamos, Pérdidas crediticias esperadas durante el tiempo de vida del activo, Pérdidas crediticias esperadas evaluadas de forma individual</v>
      </c>
      <c r="I11" s="172" t="str">
        <f t="shared" ref="I11:U11" si="0">H11</f>
        <v>IFRS7-ConcCambValo_CompPrest_PerdCredRest_PerdCredIndi_0|Compromisos de préstamos, Pérdidas crediticias esperadas durante el tiempo de vida del activo, Pérdidas crediticias esperadas evaluadas de forma individual</v>
      </c>
      <c r="J11" s="171" t="str">
        <f t="shared" si="0"/>
        <v>IFRS7-ConcCambValo_CompPrest_PerdCredRest_PerdCredIndi_0|Compromisos de préstamos, Pérdidas crediticias esperadas durante el tiempo de vida del activo, Pérdidas crediticias esperadas evaluadas de forma individual</v>
      </c>
      <c r="K11" s="171" t="str">
        <f t="shared" si="0"/>
        <v>IFRS7-ConcCambValo_CompPrest_PerdCredRest_PerdCredIndi_0|Compromisos de préstamos, Pérdidas crediticias esperadas durante el tiempo de vida del activo, Pérdidas crediticias esperadas evaluadas de forma individual</v>
      </c>
      <c r="L11" s="172" t="str">
        <f t="shared" si="0"/>
        <v>IFRS7-ConcCambValo_CompPrest_PerdCredRest_PerdCredIndi_0|Compromisos de préstamos, Pérdidas crediticias esperadas durante el tiempo de vida del activo, Pérdidas crediticias esperadas evaluadas de forma individual</v>
      </c>
      <c r="M11" s="171" t="str">
        <f t="shared" si="0"/>
        <v>IFRS7-ConcCambValo_CompPrest_PerdCredRest_PerdCredIndi_0|Compromisos de préstamos, Pérdidas crediticias esperadas durante el tiempo de vida del activo, Pérdidas crediticias esperadas evaluadas de forma individual</v>
      </c>
      <c r="N11" s="171" t="str">
        <f t="shared" si="0"/>
        <v>IFRS7-ConcCambValo_CompPrest_PerdCredRest_PerdCredIndi_0|Compromisos de préstamos, Pérdidas crediticias esperadas durante el tiempo de vida del activo, Pérdidas crediticias esperadas evaluadas de forma individual</v>
      </c>
      <c r="O11" s="172" t="str">
        <f t="shared" si="0"/>
        <v>IFRS7-ConcCambValo_CompPrest_PerdCredRest_PerdCredIndi_0|Compromisos de préstamos, Pérdidas crediticias esperadas durante el tiempo de vida del activo, Pérdidas crediticias esperadas evaluadas de forma individual</v>
      </c>
      <c r="P11" s="171" t="str">
        <f t="shared" si="0"/>
        <v>IFRS7-ConcCambValo_CompPrest_PerdCredRest_PerdCredIndi_0|Compromisos de préstamos, Pérdidas crediticias esperadas durante el tiempo de vida del activo, Pérdidas crediticias esperadas evaluadas de forma individual</v>
      </c>
      <c r="Q11" s="171" t="str">
        <f t="shared" si="0"/>
        <v>IFRS7-ConcCambValo_CompPrest_PerdCredRest_PerdCredIndi_0|Compromisos de préstamos, Pérdidas crediticias esperadas durante el tiempo de vida del activo, Pérdidas crediticias esperadas evaluadas de forma individual</v>
      </c>
      <c r="R11" s="172" t="str">
        <f t="shared" si="0"/>
        <v>IFRS7-ConcCambValo_CompPrest_PerdCredRest_PerdCredIndi_0|Compromisos de préstamos, Pérdidas crediticias esperadas durante el tiempo de vida del activo, Pérdidas crediticias esperadas evaluadas de forma individual</v>
      </c>
      <c r="S11" s="171" t="str">
        <f t="shared" si="0"/>
        <v>IFRS7-ConcCambValo_CompPrest_PerdCredRest_PerdCredIndi_0|Compromisos de préstamos, Pérdidas crediticias esperadas durante el tiempo de vida del activo, Pérdidas crediticias esperadas evaluadas de forma individual</v>
      </c>
      <c r="T11" s="171" t="str">
        <f t="shared" si="0"/>
        <v>IFRS7-ConcCambValo_CompPrest_PerdCredRest_PerdCredIndi_0|Compromisos de préstamos, Pérdidas crediticias esperadas durante el tiempo de vida del activo, Pérdidas crediticias esperadas evaluadas de forma individual</v>
      </c>
      <c r="U11" s="172" t="str">
        <f t="shared" si="0"/>
        <v>IFRS7-ConcCambValo_CompPrest_PerdCredRest_PerdCredIndi_0|Compromisos de préstamos, Pérdidas crediticias esperadas durante el tiempo de vida del activo, Pérdidas crediticias esperadas evaluadas de forma individual</v>
      </c>
    </row>
    <row r="12" spans="1:21" s="30" customFormat="1" ht="78" customHeight="1">
      <c r="A12" s="228"/>
      <c r="B12" s="229"/>
      <c r="C12" s="187"/>
      <c r="D12" s="187"/>
      <c r="E12" s="184"/>
      <c r="F12" s="198"/>
      <c r="G12" s="329" t="s">
        <v>737</v>
      </c>
      <c r="H12" s="330"/>
      <c r="I12" s="331"/>
      <c r="J12" s="329" t="s">
        <v>738</v>
      </c>
      <c r="K12" s="330"/>
      <c r="L12" s="331"/>
      <c r="M12" s="329" t="s">
        <v>739</v>
      </c>
      <c r="N12" s="330"/>
      <c r="O12" s="331"/>
      <c r="P12" s="329" t="s">
        <v>740</v>
      </c>
      <c r="Q12" s="330"/>
      <c r="R12" s="331"/>
      <c r="S12" s="329" t="s">
        <v>741</v>
      </c>
      <c r="T12" s="330"/>
      <c r="U12" s="332"/>
    </row>
    <row r="13" spans="1:21" s="30" customFormat="1" ht="57" hidden="1" customHeight="1">
      <c r="A13" s="62" t="s">
        <v>55</v>
      </c>
      <c r="B13" s="173"/>
      <c r="C13" s="174"/>
      <c r="D13" s="175"/>
      <c r="E13" s="73" t="s">
        <v>736</v>
      </c>
      <c r="F13" s="199"/>
      <c r="G13" s="201" t="s">
        <v>742</v>
      </c>
      <c r="H13" s="206" t="str">
        <f>G13</f>
        <v>full_ifrs-cor_2018-03-16.xsd#ifrs-full_FinancialInstrumentsNotCreditimpairedMember</v>
      </c>
      <c r="I13" s="204" t="str">
        <f>H13</f>
        <v>full_ifrs-cor_2018-03-16.xsd#ifrs-full_FinancialInstrumentsNotCreditimpairedMember</v>
      </c>
      <c r="J13" s="201" t="s">
        <v>743</v>
      </c>
      <c r="K13" s="206" t="str">
        <f t="shared" ref="K13:L13" si="1">J13</f>
        <v>full_ifrs-cor_2018-03-16.xsd#ifrs-full_FinancialInstrumentsPurchasedOrOriginatedCreditimpairedMember</v>
      </c>
      <c r="L13" s="204" t="str">
        <f t="shared" si="1"/>
        <v>full_ifrs-cor_2018-03-16.xsd#ifrs-full_FinancialInstrumentsPurchasedOrOriginatedCreditimpairedMember</v>
      </c>
      <c r="M13" s="201" t="s">
        <v>744</v>
      </c>
      <c r="N13" s="206" t="str">
        <f t="shared" ref="N13:O13" si="2">M13</f>
        <v>full_ifrs-cor_2018-03-16.xsd#ifrs-full_FinancialInstrumentsCreditimpairedAfterPurchaseOrOriginationMember</v>
      </c>
      <c r="O13" s="204" t="str">
        <f t="shared" si="2"/>
        <v>full_ifrs-cor_2018-03-16.xsd#ifrs-full_FinancialInstrumentsCreditimpairedAfterPurchaseOrOriginationMember</v>
      </c>
      <c r="P13" s="201" t="s">
        <v>745</v>
      </c>
      <c r="Q13" s="206" t="str">
        <f t="shared" ref="Q13:R13" si="3">P13</f>
        <v>full_ifrs-cor_2018-03-16.xsd#ifrs-full_FinancialInstrumentsCreditimpairedMember</v>
      </c>
      <c r="R13" s="204" t="str">
        <f t="shared" si="3"/>
        <v>full_ifrs-cor_2018-03-16.xsd#ifrs-full_FinancialInstrumentsCreditimpairedMember</v>
      </c>
      <c r="S13" s="247" t="s">
        <v>746</v>
      </c>
      <c r="T13" s="206" t="str">
        <f t="shared" ref="T13:U13" si="4">S13</f>
        <v>full_ifrs-cor_2018-03-16.xsd#ifrs-full_CreditImpairmentOfFinancialInstrumentsMember</v>
      </c>
      <c r="U13" s="230" t="str">
        <f t="shared" si="4"/>
        <v>full_ifrs-cor_2018-03-16.xsd#ifrs-full_CreditImpairmentOfFinancialInstrumentsMember</v>
      </c>
    </row>
    <row r="14" spans="1:21" s="30" customFormat="1" ht="78" customHeight="1">
      <c r="A14" s="228"/>
      <c r="B14" s="229"/>
      <c r="C14" s="187"/>
      <c r="D14" s="187"/>
      <c r="E14" s="184"/>
      <c r="F14" s="198"/>
      <c r="G14" s="200" t="s">
        <v>730</v>
      </c>
      <c r="H14" s="205" t="s">
        <v>731</v>
      </c>
      <c r="I14" s="188" t="s">
        <v>732</v>
      </c>
      <c r="J14" s="200" t="s">
        <v>730</v>
      </c>
      <c r="K14" s="205" t="s">
        <v>731</v>
      </c>
      <c r="L14" s="188" t="s">
        <v>732</v>
      </c>
      <c r="M14" s="200" t="s">
        <v>730</v>
      </c>
      <c r="N14" s="205" t="s">
        <v>731</v>
      </c>
      <c r="O14" s="188" t="s">
        <v>732</v>
      </c>
      <c r="P14" s="200" t="s">
        <v>730</v>
      </c>
      <c r="Q14" s="205" t="s">
        <v>731</v>
      </c>
      <c r="R14" s="188" t="s">
        <v>732</v>
      </c>
      <c r="S14" s="248" t="s">
        <v>730</v>
      </c>
      <c r="T14" s="205" t="s">
        <v>731</v>
      </c>
      <c r="U14" s="231" t="s">
        <v>732</v>
      </c>
    </row>
    <row r="15" spans="1:21" s="30" customFormat="1" ht="57" hidden="1" customHeight="1">
      <c r="A15" s="62" t="s">
        <v>55</v>
      </c>
      <c r="B15" s="173"/>
      <c r="C15" s="174"/>
      <c r="D15" s="175"/>
      <c r="E15" s="73" t="s">
        <v>729</v>
      </c>
      <c r="F15" s="199"/>
      <c r="G15" s="201" t="s">
        <v>733</v>
      </c>
      <c r="H15" s="206" t="s">
        <v>734</v>
      </c>
      <c r="I15" s="204" t="s">
        <v>735</v>
      </c>
      <c r="J15" s="201" t="s">
        <v>733</v>
      </c>
      <c r="K15" s="206" t="s">
        <v>734</v>
      </c>
      <c r="L15" s="204" t="s">
        <v>735</v>
      </c>
      <c r="M15" s="201" t="s">
        <v>733</v>
      </c>
      <c r="N15" s="206" t="s">
        <v>734</v>
      </c>
      <c r="O15" s="204" t="s">
        <v>735</v>
      </c>
      <c r="P15" s="201" t="s">
        <v>733</v>
      </c>
      <c r="Q15" s="206" t="s">
        <v>734</v>
      </c>
      <c r="R15" s="204" t="s">
        <v>735</v>
      </c>
      <c r="S15" s="247" t="s">
        <v>733</v>
      </c>
      <c r="T15" s="206" t="s">
        <v>734</v>
      </c>
      <c r="U15" s="230" t="s">
        <v>735</v>
      </c>
    </row>
    <row r="16" spans="1:21" s="30" customFormat="1" ht="22.5" customHeight="1">
      <c r="A16" s="62"/>
      <c r="B16" s="173"/>
      <c r="C16" s="174"/>
      <c r="D16" s="175"/>
      <c r="E16" s="175"/>
      <c r="F16" s="299" t="s">
        <v>727</v>
      </c>
      <c r="G16" s="201"/>
      <c r="H16" s="206"/>
      <c r="I16" s="189"/>
      <c r="J16" s="201"/>
      <c r="K16" s="206"/>
      <c r="L16" s="189"/>
      <c r="M16" s="201"/>
      <c r="N16" s="206"/>
      <c r="O16" s="189"/>
      <c r="P16" s="201"/>
      <c r="Q16" s="206"/>
      <c r="R16" s="189"/>
      <c r="S16" s="247"/>
      <c r="T16" s="206"/>
      <c r="U16" s="176"/>
    </row>
    <row r="17" spans="1:21" s="30" customFormat="1" ht="44.25" customHeight="1">
      <c r="A17" s="190"/>
      <c r="B17" s="177"/>
      <c r="C17" s="121"/>
      <c r="D17" s="178"/>
      <c r="E17" s="73"/>
      <c r="F17" s="197" t="s">
        <v>813</v>
      </c>
      <c r="G17" s="202"/>
      <c r="H17" s="207"/>
      <c r="I17" s="192"/>
      <c r="J17" s="202"/>
      <c r="K17" s="207"/>
      <c r="L17" s="192"/>
      <c r="M17" s="202"/>
      <c r="N17" s="207"/>
      <c r="O17" s="192"/>
      <c r="P17" s="202"/>
      <c r="Q17" s="207"/>
      <c r="R17" s="192"/>
      <c r="S17" s="245"/>
      <c r="T17" s="207"/>
      <c r="U17" s="232"/>
    </row>
    <row r="18" spans="1:21" s="30" customFormat="1" ht="70.150000000000006" customHeight="1">
      <c r="A18" s="190"/>
      <c r="B18" s="173"/>
      <c r="C18" s="73" t="s">
        <v>750</v>
      </c>
      <c r="D18" s="73" t="s">
        <v>4</v>
      </c>
      <c r="E18" s="73"/>
      <c r="F18" s="196" t="s">
        <v>762</v>
      </c>
      <c r="G18" s="278" t="str">
        <f>$G7</f>
        <v>Compromisos de préstamos</v>
      </c>
      <c r="H18" s="276" t="str">
        <f t="shared" ref="H18:U18" si="5">$G7</f>
        <v>Compromisos de préstamos</v>
      </c>
      <c r="I18" s="277" t="str">
        <f t="shared" si="5"/>
        <v>Compromisos de préstamos</v>
      </c>
      <c r="J18" s="278" t="str">
        <f t="shared" si="5"/>
        <v>Compromisos de préstamos</v>
      </c>
      <c r="K18" s="276" t="str">
        <f t="shared" si="5"/>
        <v>Compromisos de préstamos</v>
      </c>
      <c r="L18" s="277" t="str">
        <f t="shared" si="5"/>
        <v>Compromisos de préstamos</v>
      </c>
      <c r="M18" s="278" t="str">
        <f t="shared" si="5"/>
        <v>Compromisos de préstamos</v>
      </c>
      <c r="N18" s="276" t="str">
        <f t="shared" si="5"/>
        <v>Compromisos de préstamos</v>
      </c>
      <c r="O18" s="277" t="str">
        <f t="shared" si="5"/>
        <v>Compromisos de préstamos</v>
      </c>
      <c r="P18" s="278" t="str">
        <f t="shared" si="5"/>
        <v>Compromisos de préstamos</v>
      </c>
      <c r="Q18" s="276" t="str">
        <f t="shared" si="5"/>
        <v>Compromisos de préstamos</v>
      </c>
      <c r="R18" s="277" t="str">
        <f t="shared" si="5"/>
        <v>Compromisos de préstamos</v>
      </c>
      <c r="S18" s="278" t="str">
        <f t="shared" si="5"/>
        <v>Compromisos de préstamos</v>
      </c>
      <c r="T18" s="276" t="str">
        <f t="shared" si="5"/>
        <v>Compromisos de préstamos</v>
      </c>
      <c r="U18" s="279" t="str">
        <f t="shared" si="5"/>
        <v>Compromisos de préstamos</v>
      </c>
    </row>
    <row r="19" spans="1:21" s="30" customFormat="1" ht="30.75" customHeight="1">
      <c r="A19" s="190"/>
      <c r="B19" s="173"/>
      <c r="C19" s="73" t="s">
        <v>751</v>
      </c>
      <c r="D19" s="73" t="s">
        <v>4</v>
      </c>
      <c r="E19" s="73"/>
      <c r="F19" s="196" t="s">
        <v>763</v>
      </c>
      <c r="G19" s="278" t="str">
        <f>$G8</f>
        <v>Pérdidas crediticias esperadas durante el tiempo de vida del activo</v>
      </c>
      <c r="H19" s="276" t="str">
        <f t="shared" ref="H19:U19" si="6">$G8</f>
        <v>Pérdidas crediticias esperadas durante el tiempo de vida del activo</v>
      </c>
      <c r="I19" s="277" t="str">
        <f t="shared" si="6"/>
        <v>Pérdidas crediticias esperadas durante el tiempo de vida del activo</v>
      </c>
      <c r="J19" s="278" t="str">
        <f t="shared" si="6"/>
        <v>Pérdidas crediticias esperadas durante el tiempo de vida del activo</v>
      </c>
      <c r="K19" s="276" t="str">
        <f t="shared" si="6"/>
        <v>Pérdidas crediticias esperadas durante el tiempo de vida del activo</v>
      </c>
      <c r="L19" s="277" t="str">
        <f t="shared" si="6"/>
        <v>Pérdidas crediticias esperadas durante el tiempo de vida del activo</v>
      </c>
      <c r="M19" s="278" t="str">
        <f t="shared" si="6"/>
        <v>Pérdidas crediticias esperadas durante el tiempo de vida del activo</v>
      </c>
      <c r="N19" s="276" t="str">
        <f t="shared" si="6"/>
        <v>Pérdidas crediticias esperadas durante el tiempo de vida del activo</v>
      </c>
      <c r="O19" s="277" t="str">
        <f t="shared" si="6"/>
        <v>Pérdidas crediticias esperadas durante el tiempo de vida del activo</v>
      </c>
      <c r="P19" s="278" t="str">
        <f t="shared" si="6"/>
        <v>Pérdidas crediticias esperadas durante el tiempo de vida del activo</v>
      </c>
      <c r="Q19" s="276" t="str">
        <f t="shared" si="6"/>
        <v>Pérdidas crediticias esperadas durante el tiempo de vida del activo</v>
      </c>
      <c r="R19" s="277" t="str">
        <f t="shared" si="6"/>
        <v>Pérdidas crediticias esperadas durante el tiempo de vida del activo</v>
      </c>
      <c r="S19" s="278" t="str">
        <f t="shared" si="6"/>
        <v>Pérdidas crediticias esperadas durante el tiempo de vida del activo</v>
      </c>
      <c r="T19" s="276" t="str">
        <f t="shared" si="6"/>
        <v>Pérdidas crediticias esperadas durante el tiempo de vida del activo</v>
      </c>
      <c r="U19" s="279" t="str">
        <f t="shared" si="6"/>
        <v>Pérdidas crediticias esperadas durante el tiempo de vida del activo</v>
      </c>
    </row>
    <row r="20" spans="1:21" s="30" customFormat="1" ht="27.75" customHeight="1">
      <c r="A20" s="190"/>
      <c r="B20" s="173"/>
      <c r="C20" s="73" t="s">
        <v>752</v>
      </c>
      <c r="D20" s="73" t="s">
        <v>4</v>
      </c>
      <c r="E20" s="73"/>
      <c r="F20" s="196" t="s">
        <v>764</v>
      </c>
      <c r="G20" s="278" t="str">
        <f>$G9</f>
        <v>Pérdidas crediticias esperadas evaluadas de forma individual</v>
      </c>
      <c r="H20" s="276" t="str">
        <f t="shared" ref="H20:U20" si="7">$G9</f>
        <v>Pérdidas crediticias esperadas evaluadas de forma individual</v>
      </c>
      <c r="I20" s="277" t="str">
        <f t="shared" si="7"/>
        <v>Pérdidas crediticias esperadas evaluadas de forma individual</v>
      </c>
      <c r="J20" s="278" t="str">
        <f t="shared" si="7"/>
        <v>Pérdidas crediticias esperadas evaluadas de forma individual</v>
      </c>
      <c r="K20" s="276" t="str">
        <f t="shared" si="7"/>
        <v>Pérdidas crediticias esperadas evaluadas de forma individual</v>
      </c>
      <c r="L20" s="277" t="str">
        <f t="shared" si="7"/>
        <v>Pérdidas crediticias esperadas evaluadas de forma individual</v>
      </c>
      <c r="M20" s="278" t="str">
        <f t="shared" si="7"/>
        <v>Pérdidas crediticias esperadas evaluadas de forma individual</v>
      </c>
      <c r="N20" s="276" t="str">
        <f t="shared" si="7"/>
        <v>Pérdidas crediticias esperadas evaluadas de forma individual</v>
      </c>
      <c r="O20" s="277" t="str">
        <f t="shared" si="7"/>
        <v>Pérdidas crediticias esperadas evaluadas de forma individual</v>
      </c>
      <c r="P20" s="278" t="str">
        <f t="shared" si="7"/>
        <v>Pérdidas crediticias esperadas evaluadas de forma individual</v>
      </c>
      <c r="Q20" s="276" t="str">
        <f t="shared" si="7"/>
        <v>Pérdidas crediticias esperadas evaluadas de forma individual</v>
      </c>
      <c r="R20" s="277" t="str">
        <f t="shared" si="7"/>
        <v>Pérdidas crediticias esperadas evaluadas de forma individual</v>
      </c>
      <c r="S20" s="278" t="str">
        <f t="shared" si="7"/>
        <v>Pérdidas crediticias esperadas evaluadas de forma individual</v>
      </c>
      <c r="T20" s="276" t="str">
        <f t="shared" si="7"/>
        <v>Pérdidas crediticias esperadas evaluadas de forma individual</v>
      </c>
      <c r="U20" s="279" t="str">
        <f t="shared" si="7"/>
        <v>Pérdidas crediticias esperadas evaluadas de forma individual</v>
      </c>
    </row>
    <row r="21" spans="1:21" s="30" customFormat="1" ht="11.25">
      <c r="A21" s="190" t="s">
        <v>48</v>
      </c>
      <c r="B21" s="173"/>
      <c r="C21" s="73" t="s">
        <v>756</v>
      </c>
      <c r="D21" s="73" t="s">
        <v>4</v>
      </c>
      <c r="E21" s="73"/>
      <c r="F21" s="237" t="s">
        <v>879</v>
      </c>
      <c r="G21" s="213"/>
      <c r="H21" s="214"/>
      <c r="I21" s="244">
        <f>G21-H21</f>
        <v>0</v>
      </c>
      <c r="J21" s="213"/>
      <c r="K21" s="214"/>
      <c r="L21" s="244">
        <f>J21-K21</f>
        <v>0</v>
      </c>
      <c r="M21" s="213"/>
      <c r="N21" s="214"/>
      <c r="O21" s="246">
        <f>M21-N21</f>
        <v>0</v>
      </c>
      <c r="P21" s="244">
        <f>J21+M21</f>
        <v>0</v>
      </c>
      <c r="Q21" s="244">
        <f>K21+N21</f>
        <v>0</v>
      </c>
      <c r="R21" s="249">
        <f>P21-Q21</f>
        <v>0</v>
      </c>
      <c r="S21" s="244">
        <f>G21+P21</f>
        <v>0</v>
      </c>
      <c r="T21" s="244">
        <f>H21+Q21</f>
        <v>0</v>
      </c>
      <c r="U21" s="251">
        <f>S21-T21</f>
        <v>0</v>
      </c>
    </row>
    <row r="22" spans="1:21" s="30" customFormat="1" ht="21.75" customHeight="1">
      <c r="A22" s="190"/>
      <c r="B22" s="173"/>
      <c r="C22" s="73"/>
      <c r="D22" s="73"/>
      <c r="E22" s="73"/>
      <c r="F22" s="237" t="s">
        <v>787</v>
      </c>
      <c r="G22" s="202"/>
      <c r="H22" s="207"/>
      <c r="I22" s="192"/>
      <c r="J22" s="202"/>
      <c r="K22" s="207"/>
      <c r="L22" s="192"/>
      <c r="M22" s="202"/>
      <c r="N22" s="207"/>
      <c r="O22" s="227"/>
      <c r="P22" s="245"/>
      <c r="Q22" s="207"/>
      <c r="R22" s="192"/>
      <c r="S22" s="245"/>
      <c r="T22" s="207"/>
      <c r="U22" s="179"/>
    </row>
    <row r="23" spans="1:21" s="30" customFormat="1" ht="25.5" customHeight="1">
      <c r="A23" s="190"/>
      <c r="B23" s="173"/>
      <c r="C23" s="73" t="s">
        <v>788</v>
      </c>
      <c r="D23" s="73" t="s">
        <v>4</v>
      </c>
      <c r="E23" s="73"/>
      <c r="F23" s="238" t="s">
        <v>818</v>
      </c>
      <c r="G23" s="213"/>
      <c r="H23" s="214"/>
      <c r="I23" s="244">
        <f t="shared" ref="I23:I28" si="8">G23-H23</f>
        <v>0</v>
      </c>
      <c r="J23" s="213"/>
      <c r="K23" s="214"/>
      <c r="L23" s="244">
        <f t="shared" ref="L23:L28" si="9">J23-K23</f>
        <v>0</v>
      </c>
      <c r="M23" s="213"/>
      <c r="N23" s="214"/>
      <c r="O23" s="246">
        <f t="shared" ref="O23:O28" si="10">M23-N23</f>
        <v>0</v>
      </c>
      <c r="P23" s="244">
        <f t="shared" ref="P23:Q28" si="11">J23+M23</f>
        <v>0</v>
      </c>
      <c r="Q23" s="244">
        <f t="shared" si="11"/>
        <v>0</v>
      </c>
      <c r="R23" s="249">
        <f t="shared" ref="R23:R28" si="12">P23-Q23</f>
        <v>0</v>
      </c>
      <c r="S23" s="244">
        <f t="shared" ref="S23:T28" si="13">G23+P23</f>
        <v>0</v>
      </c>
      <c r="T23" s="244">
        <f t="shared" si="13"/>
        <v>0</v>
      </c>
      <c r="U23" s="251">
        <f t="shared" ref="U23:U28" si="14">S23-T23</f>
        <v>0</v>
      </c>
    </row>
    <row r="24" spans="1:21" s="30" customFormat="1" ht="21.75" customHeight="1">
      <c r="A24" s="190"/>
      <c r="B24" s="173"/>
      <c r="C24" s="73" t="s">
        <v>789</v>
      </c>
      <c r="D24" s="73" t="s">
        <v>4</v>
      </c>
      <c r="E24" s="73"/>
      <c r="F24" s="238" t="s">
        <v>819</v>
      </c>
      <c r="G24" s="213"/>
      <c r="H24" s="214"/>
      <c r="I24" s="244">
        <f t="shared" si="8"/>
        <v>0</v>
      </c>
      <c r="J24" s="213"/>
      <c r="K24" s="214"/>
      <c r="L24" s="244">
        <f t="shared" si="9"/>
        <v>0</v>
      </c>
      <c r="M24" s="213"/>
      <c r="N24" s="214"/>
      <c r="O24" s="246">
        <f t="shared" si="10"/>
        <v>0</v>
      </c>
      <c r="P24" s="244">
        <f t="shared" si="11"/>
        <v>0</v>
      </c>
      <c r="Q24" s="244">
        <f t="shared" si="11"/>
        <v>0</v>
      </c>
      <c r="R24" s="249">
        <f t="shared" si="12"/>
        <v>0</v>
      </c>
      <c r="S24" s="244">
        <f t="shared" si="13"/>
        <v>0</v>
      </c>
      <c r="T24" s="244">
        <f t="shared" si="13"/>
        <v>0</v>
      </c>
      <c r="U24" s="251">
        <f t="shared" si="14"/>
        <v>0</v>
      </c>
    </row>
    <row r="25" spans="1:21" s="30" customFormat="1" ht="25.5" customHeight="1">
      <c r="A25" s="190"/>
      <c r="B25" s="173"/>
      <c r="C25" s="73" t="s">
        <v>790</v>
      </c>
      <c r="D25" s="73" t="s">
        <v>4</v>
      </c>
      <c r="E25" s="73"/>
      <c r="F25" s="238" t="s">
        <v>820</v>
      </c>
      <c r="G25" s="213"/>
      <c r="H25" s="214"/>
      <c r="I25" s="244">
        <f t="shared" si="8"/>
        <v>0</v>
      </c>
      <c r="J25" s="213"/>
      <c r="K25" s="214"/>
      <c r="L25" s="244">
        <f t="shared" si="9"/>
        <v>0</v>
      </c>
      <c r="M25" s="213"/>
      <c r="N25" s="214"/>
      <c r="O25" s="246">
        <f t="shared" si="10"/>
        <v>0</v>
      </c>
      <c r="P25" s="244">
        <f t="shared" si="11"/>
        <v>0</v>
      </c>
      <c r="Q25" s="244">
        <f t="shared" si="11"/>
        <v>0</v>
      </c>
      <c r="R25" s="249">
        <f t="shared" si="12"/>
        <v>0</v>
      </c>
      <c r="S25" s="244">
        <f t="shared" si="13"/>
        <v>0</v>
      </c>
      <c r="T25" s="244">
        <f t="shared" si="13"/>
        <v>0</v>
      </c>
      <c r="U25" s="251">
        <f t="shared" si="14"/>
        <v>0</v>
      </c>
    </row>
    <row r="26" spans="1:21" s="30" customFormat="1" ht="21" customHeight="1">
      <c r="A26" s="190"/>
      <c r="B26" s="173"/>
      <c r="C26" s="73" t="s">
        <v>791</v>
      </c>
      <c r="D26" s="73" t="s">
        <v>4</v>
      </c>
      <c r="E26" s="73"/>
      <c r="F26" s="238" t="s">
        <v>821</v>
      </c>
      <c r="G26" s="213"/>
      <c r="H26" s="214"/>
      <c r="I26" s="244">
        <f t="shared" si="8"/>
        <v>0</v>
      </c>
      <c r="J26" s="213"/>
      <c r="K26" s="214"/>
      <c r="L26" s="244">
        <f t="shared" si="9"/>
        <v>0</v>
      </c>
      <c r="M26" s="213"/>
      <c r="N26" s="214"/>
      <c r="O26" s="246">
        <f t="shared" si="10"/>
        <v>0</v>
      </c>
      <c r="P26" s="244">
        <f t="shared" si="11"/>
        <v>0</v>
      </c>
      <c r="Q26" s="244">
        <f t="shared" si="11"/>
        <v>0</v>
      </c>
      <c r="R26" s="249">
        <f t="shared" si="12"/>
        <v>0</v>
      </c>
      <c r="S26" s="244">
        <f t="shared" si="13"/>
        <v>0</v>
      </c>
      <c r="T26" s="244">
        <f t="shared" si="13"/>
        <v>0</v>
      </c>
      <c r="U26" s="251">
        <f t="shared" si="14"/>
        <v>0</v>
      </c>
    </row>
    <row r="27" spans="1:21" s="30" customFormat="1" ht="21.75" customHeight="1">
      <c r="A27" s="190"/>
      <c r="B27" s="173"/>
      <c r="C27" s="73" t="s">
        <v>792</v>
      </c>
      <c r="D27" s="73" t="s">
        <v>4</v>
      </c>
      <c r="E27" s="73"/>
      <c r="F27" s="238" t="s">
        <v>822</v>
      </c>
      <c r="G27" s="213"/>
      <c r="H27" s="214"/>
      <c r="I27" s="244">
        <f t="shared" si="8"/>
        <v>0</v>
      </c>
      <c r="J27" s="213"/>
      <c r="K27" s="214"/>
      <c r="L27" s="244">
        <f t="shared" si="9"/>
        <v>0</v>
      </c>
      <c r="M27" s="213"/>
      <c r="N27" s="214"/>
      <c r="O27" s="246">
        <f t="shared" si="10"/>
        <v>0</v>
      </c>
      <c r="P27" s="244">
        <f t="shared" si="11"/>
        <v>0</v>
      </c>
      <c r="Q27" s="244">
        <f t="shared" si="11"/>
        <v>0</v>
      </c>
      <c r="R27" s="249">
        <f t="shared" si="12"/>
        <v>0</v>
      </c>
      <c r="S27" s="244">
        <f t="shared" si="13"/>
        <v>0</v>
      </c>
      <c r="T27" s="244">
        <f t="shared" si="13"/>
        <v>0</v>
      </c>
      <c r="U27" s="251">
        <f t="shared" si="14"/>
        <v>0</v>
      </c>
    </row>
    <row r="28" spans="1:21" s="30" customFormat="1" ht="25.5" customHeight="1">
      <c r="A28" s="190"/>
      <c r="B28" s="173"/>
      <c r="C28" s="73" t="s">
        <v>793</v>
      </c>
      <c r="D28" s="73" t="s">
        <v>4</v>
      </c>
      <c r="E28" s="73"/>
      <c r="F28" s="238" t="s">
        <v>823</v>
      </c>
      <c r="G28" s="213"/>
      <c r="H28" s="214"/>
      <c r="I28" s="244">
        <f t="shared" si="8"/>
        <v>0</v>
      </c>
      <c r="J28" s="213"/>
      <c r="K28" s="214"/>
      <c r="L28" s="244">
        <f t="shared" si="9"/>
        <v>0</v>
      </c>
      <c r="M28" s="213"/>
      <c r="N28" s="214"/>
      <c r="O28" s="246">
        <f t="shared" si="10"/>
        <v>0</v>
      </c>
      <c r="P28" s="244">
        <f t="shared" si="11"/>
        <v>0</v>
      </c>
      <c r="Q28" s="244">
        <f t="shared" si="11"/>
        <v>0</v>
      </c>
      <c r="R28" s="249">
        <f t="shared" si="12"/>
        <v>0</v>
      </c>
      <c r="S28" s="244">
        <f t="shared" si="13"/>
        <v>0</v>
      </c>
      <c r="T28" s="244">
        <f t="shared" si="13"/>
        <v>0</v>
      </c>
      <c r="U28" s="251">
        <f t="shared" si="14"/>
        <v>0</v>
      </c>
    </row>
    <row r="29" spans="1:21" s="30" customFormat="1" ht="33" customHeight="1">
      <c r="A29" s="190"/>
      <c r="B29" s="173"/>
      <c r="C29" s="73"/>
      <c r="D29" s="73"/>
      <c r="E29" s="73"/>
      <c r="F29" s="239" t="s">
        <v>794</v>
      </c>
      <c r="G29" s="202"/>
      <c r="H29" s="207"/>
      <c r="I29" s="192"/>
      <c r="J29" s="202"/>
      <c r="K29" s="207"/>
      <c r="L29" s="192"/>
      <c r="M29" s="202"/>
      <c r="N29" s="207"/>
      <c r="O29" s="227"/>
      <c r="P29" s="245"/>
      <c r="Q29" s="207"/>
      <c r="R29" s="192"/>
      <c r="S29" s="245"/>
      <c r="T29" s="207"/>
      <c r="U29" s="179"/>
    </row>
    <row r="30" spans="1:21" s="30" customFormat="1" ht="21.75" customHeight="1">
      <c r="A30" s="190"/>
      <c r="B30" s="173"/>
      <c r="C30" s="73" t="s">
        <v>795</v>
      </c>
      <c r="D30" s="73" t="s">
        <v>4</v>
      </c>
      <c r="E30" s="73"/>
      <c r="F30" s="240" t="s">
        <v>824</v>
      </c>
      <c r="G30" s="213"/>
      <c r="H30" s="214"/>
      <c r="I30" s="244">
        <f t="shared" ref="I30:I34" si="15">G30-H30</f>
        <v>0</v>
      </c>
      <c r="J30" s="213"/>
      <c r="K30" s="214"/>
      <c r="L30" s="244">
        <f t="shared" ref="L30:L34" si="16">J30-K30</f>
        <v>0</v>
      </c>
      <c r="M30" s="213"/>
      <c r="N30" s="214"/>
      <c r="O30" s="246">
        <f t="shared" ref="O30:O34" si="17">M30-N30</f>
        <v>0</v>
      </c>
      <c r="P30" s="244">
        <f t="shared" ref="P30:Q34" si="18">J30+M30</f>
        <v>0</v>
      </c>
      <c r="Q30" s="244">
        <f t="shared" si="18"/>
        <v>0</v>
      </c>
      <c r="R30" s="249">
        <f t="shared" ref="R30:R34" si="19">P30-Q30</f>
        <v>0</v>
      </c>
      <c r="S30" s="244">
        <f t="shared" ref="S30:T34" si="20">G30+P30</f>
        <v>0</v>
      </c>
      <c r="T30" s="244">
        <f t="shared" si="20"/>
        <v>0</v>
      </c>
      <c r="U30" s="251">
        <f t="shared" ref="U30:U34" si="21">S30-T30</f>
        <v>0</v>
      </c>
    </row>
    <row r="31" spans="1:21" s="30" customFormat="1" ht="25.5" customHeight="1">
      <c r="A31" s="190"/>
      <c r="B31" s="173"/>
      <c r="C31" s="73" t="s">
        <v>796</v>
      </c>
      <c r="D31" s="73" t="s">
        <v>4</v>
      </c>
      <c r="E31" s="73"/>
      <c r="F31" s="240" t="s">
        <v>825</v>
      </c>
      <c r="G31" s="213"/>
      <c r="H31" s="214"/>
      <c r="I31" s="244">
        <f t="shared" si="15"/>
        <v>0</v>
      </c>
      <c r="J31" s="213"/>
      <c r="K31" s="214"/>
      <c r="L31" s="244">
        <f t="shared" si="16"/>
        <v>0</v>
      </c>
      <c r="M31" s="213"/>
      <c r="N31" s="214"/>
      <c r="O31" s="246">
        <f t="shared" si="17"/>
        <v>0</v>
      </c>
      <c r="P31" s="244">
        <f t="shared" si="18"/>
        <v>0</v>
      </c>
      <c r="Q31" s="244">
        <f t="shared" si="18"/>
        <v>0</v>
      </c>
      <c r="R31" s="249">
        <f t="shared" si="19"/>
        <v>0</v>
      </c>
      <c r="S31" s="244">
        <f t="shared" si="20"/>
        <v>0</v>
      </c>
      <c r="T31" s="244">
        <f t="shared" si="20"/>
        <v>0</v>
      </c>
      <c r="U31" s="251">
        <f t="shared" si="21"/>
        <v>0</v>
      </c>
    </row>
    <row r="32" spans="1:21" s="30" customFormat="1" ht="21.75" customHeight="1">
      <c r="A32" s="190"/>
      <c r="B32" s="173"/>
      <c r="C32" s="73" t="s">
        <v>797</v>
      </c>
      <c r="D32" s="73" t="s">
        <v>4</v>
      </c>
      <c r="E32" s="73"/>
      <c r="F32" s="241" t="s">
        <v>826</v>
      </c>
      <c r="G32" s="213"/>
      <c r="H32" s="214"/>
      <c r="I32" s="244">
        <f t="shared" si="15"/>
        <v>0</v>
      </c>
      <c r="J32" s="213"/>
      <c r="K32" s="214"/>
      <c r="L32" s="244">
        <f t="shared" si="16"/>
        <v>0</v>
      </c>
      <c r="M32" s="213"/>
      <c r="N32" s="214"/>
      <c r="O32" s="246">
        <f t="shared" si="17"/>
        <v>0</v>
      </c>
      <c r="P32" s="244">
        <f t="shared" si="18"/>
        <v>0</v>
      </c>
      <c r="Q32" s="244">
        <f t="shared" si="18"/>
        <v>0</v>
      </c>
      <c r="R32" s="249">
        <f t="shared" si="19"/>
        <v>0</v>
      </c>
      <c r="S32" s="244">
        <f t="shared" si="20"/>
        <v>0</v>
      </c>
      <c r="T32" s="244">
        <f t="shared" si="20"/>
        <v>0</v>
      </c>
      <c r="U32" s="251">
        <f t="shared" si="21"/>
        <v>0</v>
      </c>
    </row>
    <row r="33" spans="1:21" s="30" customFormat="1" ht="25.5" customHeight="1">
      <c r="A33" s="190"/>
      <c r="B33" s="173"/>
      <c r="C33" s="73" t="s">
        <v>798</v>
      </c>
      <c r="D33" s="73" t="s">
        <v>4</v>
      </c>
      <c r="E33" s="73"/>
      <c r="F33" s="237" t="s">
        <v>827</v>
      </c>
      <c r="G33" s="213"/>
      <c r="H33" s="214"/>
      <c r="I33" s="244">
        <f t="shared" si="15"/>
        <v>0</v>
      </c>
      <c r="J33" s="213"/>
      <c r="K33" s="214"/>
      <c r="L33" s="244">
        <f t="shared" si="16"/>
        <v>0</v>
      </c>
      <c r="M33" s="213"/>
      <c r="N33" s="214"/>
      <c r="O33" s="246">
        <f t="shared" si="17"/>
        <v>0</v>
      </c>
      <c r="P33" s="244">
        <f t="shared" si="18"/>
        <v>0</v>
      </c>
      <c r="Q33" s="244">
        <f t="shared" si="18"/>
        <v>0</v>
      </c>
      <c r="R33" s="249">
        <f t="shared" si="19"/>
        <v>0</v>
      </c>
      <c r="S33" s="244">
        <f t="shared" si="20"/>
        <v>0</v>
      </c>
      <c r="T33" s="244">
        <f t="shared" si="20"/>
        <v>0</v>
      </c>
      <c r="U33" s="251">
        <f t="shared" si="21"/>
        <v>0</v>
      </c>
    </row>
    <row r="34" spans="1:21" s="30" customFormat="1" ht="21" customHeight="1">
      <c r="A34" s="190"/>
      <c r="B34" s="173"/>
      <c r="C34" s="73" t="s">
        <v>756</v>
      </c>
      <c r="D34" s="73" t="s">
        <v>4</v>
      </c>
      <c r="E34" s="73"/>
      <c r="F34" s="237" t="s">
        <v>765</v>
      </c>
      <c r="G34" s="213"/>
      <c r="H34" s="214"/>
      <c r="I34" s="244">
        <f t="shared" si="15"/>
        <v>0</v>
      </c>
      <c r="J34" s="213"/>
      <c r="K34" s="214"/>
      <c r="L34" s="244">
        <f t="shared" si="16"/>
        <v>0</v>
      </c>
      <c r="M34" s="213"/>
      <c r="N34" s="214"/>
      <c r="O34" s="246">
        <f t="shared" si="17"/>
        <v>0</v>
      </c>
      <c r="P34" s="244">
        <f t="shared" si="18"/>
        <v>0</v>
      </c>
      <c r="Q34" s="244">
        <f t="shared" si="18"/>
        <v>0</v>
      </c>
      <c r="R34" s="249">
        <f t="shared" si="19"/>
        <v>0</v>
      </c>
      <c r="S34" s="244">
        <f t="shared" si="20"/>
        <v>0</v>
      </c>
      <c r="T34" s="244">
        <f t="shared" si="20"/>
        <v>0</v>
      </c>
      <c r="U34" s="251">
        <f t="shared" si="21"/>
        <v>0</v>
      </c>
    </row>
    <row r="35" spans="1:21" s="30" customFormat="1" ht="21" customHeight="1">
      <c r="A35" s="190"/>
      <c r="B35" s="173"/>
      <c r="C35" s="73"/>
      <c r="D35" s="73"/>
      <c r="E35" s="73"/>
      <c r="F35" s="237"/>
      <c r="G35" s="202"/>
      <c r="H35" s="207"/>
      <c r="I35" s="192"/>
      <c r="J35" s="202"/>
      <c r="K35" s="207"/>
      <c r="L35" s="192"/>
      <c r="M35" s="202"/>
      <c r="N35" s="207"/>
      <c r="O35" s="227"/>
      <c r="P35" s="245"/>
      <c r="Q35" s="207"/>
      <c r="R35" s="192"/>
      <c r="S35" s="245"/>
      <c r="T35" s="207"/>
      <c r="U35" s="179"/>
    </row>
    <row r="36" spans="1:21" s="30" customFormat="1" ht="21.75" customHeight="1">
      <c r="A36" s="190" t="s">
        <v>48</v>
      </c>
      <c r="B36" s="173"/>
      <c r="C36" s="73" t="s">
        <v>757</v>
      </c>
      <c r="D36" s="73" t="s">
        <v>4</v>
      </c>
      <c r="E36" s="73"/>
      <c r="F36" s="237" t="s">
        <v>880</v>
      </c>
      <c r="G36" s="213"/>
      <c r="H36" s="214"/>
      <c r="I36" s="244">
        <f>G36-H36</f>
        <v>0</v>
      </c>
      <c r="J36" s="213"/>
      <c r="K36" s="214"/>
      <c r="L36" s="244">
        <f>J36-K36</f>
        <v>0</v>
      </c>
      <c r="M36" s="213"/>
      <c r="N36" s="214"/>
      <c r="O36" s="246">
        <f>M36-N36</f>
        <v>0</v>
      </c>
      <c r="P36" s="244">
        <f>J36+M36</f>
        <v>0</v>
      </c>
      <c r="Q36" s="244">
        <f>K36+N36</f>
        <v>0</v>
      </c>
      <c r="R36" s="249">
        <f>P36-Q36</f>
        <v>0</v>
      </c>
      <c r="S36" s="244">
        <f>G36+P36</f>
        <v>0</v>
      </c>
      <c r="T36" s="244">
        <f>H36+Q36</f>
        <v>0</v>
      </c>
      <c r="U36" s="251">
        <f>S36-T36</f>
        <v>0</v>
      </c>
    </row>
    <row r="37" spans="1:21" s="30" customFormat="1" ht="25.5" customHeight="1">
      <c r="A37" s="190"/>
      <c r="B37" s="173"/>
      <c r="C37" s="73"/>
      <c r="D37" s="73"/>
      <c r="E37" s="73"/>
      <c r="F37" s="237" t="s">
        <v>799</v>
      </c>
      <c r="G37" s="202"/>
      <c r="H37" s="207"/>
      <c r="I37" s="192"/>
      <c r="J37" s="202"/>
      <c r="K37" s="207"/>
      <c r="L37" s="192"/>
      <c r="M37" s="202"/>
      <c r="N37" s="207"/>
      <c r="O37" s="227"/>
      <c r="P37" s="245"/>
      <c r="Q37" s="207"/>
      <c r="R37" s="192"/>
      <c r="S37" s="245"/>
      <c r="T37" s="207"/>
      <c r="U37" s="179"/>
    </row>
    <row r="38" spans="1:21" s="30" customFormat="1" ht="21" customHeight="1">
      <c r="A38" s="190"/>
      <c r="B38" s="173"/>
      <c r="C38" s="73" t="s">
        <v>800</v>
      </c>
      <c r="D38" s="73" t="s">
        <v>4</v>
      </c>
      <c r="E38" s="73"/>
      <c r="F38" s="238" t="s">
        <v>828</v>
      </c>
      <c r="G38" s="213"/>
      <c r="H38" s="214"/>
      <c r="I38" s="244">
        <f t="shared" ref="I38:I42" si="22">G38-H38</f>
        <v>0</v>
      </c>
      <c r="J38" s="213"/>
      <c r="K38" s="214"/>
      <c r="L38" s="244">
        <f t="shared" ref="L38:L42" si="23">J38-K38</f>
        <v>0</v>
      </c>
      <c r="M38" s="213"/>
      <c r="N38" s="214"/>
      <c r="O38" s="246">
        <f t="shared" ref="O38:O42" si="24">M38-N38</f>
        <v>0</v>
      </c>
      <c r="P38" s="244">
        <f t="shared" ref="P38:Q42" si="25">J38+M38</f>
        <v>0</v>
      </c>
      <c r="Q38" s="244">
        <f t="shared" si="25"/>
        <v>0</v>
      </c>
      <c r="R38" s="249">
        <f t="shared" ref="R38:R42" si="26">P38-Q38</f>
        <v>0</v>
      </c>
      <c r="S38" s="244">
        <f t="shared" ref="S38:T42" si="27">G38+P38</f>
        <v>0</v>
      </c>
      <c r="T38" s="244">
        <f t="shared" si="27"/>
        <v>0</v>
      </c>
      <c r="U38" s="251">
        <f t="shared" ref="U38:U42" si="28">S38-T38</f>
        <v>0</v>
      </c>
    </row>
    <row r="39" spans="1:21" s="30" customFormat="1" ht="21.75" customHeight="1">
      <c r="A39" s="190"/>
      <c r="B39" s="173"/>
      <c r="C39" s="73" t="s">
        <v>801</v>
      </c>
      <c r="D39" s="73" t="s">
        <v>4</v>
      </c>
      <c r="E39" s="73"/>
      <c r="F39" s="238" t="s">
        <v>829</v>
      </c>
      <c r="G39" s="213"/>
      <c r="H39" s="214"/>
      <c r="I39" s="244">
        <f t="shared" si="22"/>
        <v>0</v>
      </c>
      <c r="J39" s="213"/>
      <c r="K39" s="214"/>
      <c r="L39" s="244">
        <f t="shared" si="23"/>
        <v>0</v>
      </c>
      <c r="M39" s="213"/>
      <c r="N39" s="214"/>
      <c r="O39" s="246">
        <f t="shared" si="24"/>
        <v>0</v>
      </c>
      <c r="P39" s="244">
        <f t="shared" si="25"/>
        <v>0</v>
      </c>
      <c r="Q39" s="244">
        <f t="shared" si="25"/>
        <v>0</v>
      </c>
      <c r="R39" s="249">
        <f t="shared" si="26"/>
        <v>0</v>
      </c>
      <c r="S39" s="244">
        <f t="shared" si="27"/>
        <v>0</v>
      </c>
      <c r="T39" s="244">
        <f t="shared" si="27"/>
        <v>0</v>
      </c>
      <c r="U39" s="251">
        <f t="shared" si="28"/>
        <v>0</v>
      </c>
    </row>
    <row r="40" spans="1:21" s="30" customFormat="1" ht="25.5" customHeight="1">
      <c r="A40" s="190"/>
      <c r="B40" s="173"/>
      <c r="C40" s="73" t="s">
        <v>802</v>
      </c>
      <c r="D40" s="73" t="s">
        <v>4</v>
      </c>
      <c r="E40" s="73"/>
      <c r="F40" s="238" t="s">
        <v>830</v>
      </c>
      <c r="G40" s="213"/>
      <c r="H40" s="214"/>
      <c r="I40" s="244">
        <f t="shared" si="22"/>
        <v>0</v>
      </c>
      <c r="J40" s="213"/>
      <c r="K40" s="214"/>
      <c r="L40" s="244">
        <f t="shared" si="23"/>
        <v>0</v>
      </c>
      <c r="M40" s="213"/>
      <c r="N40" s="214"/>
      <c r="O40" s="246">
        <f t="shared" si="24"/>
        <v>0</v>
      </c>
      <c r="P40" s="244">
        <f t="shared" si="25"/>
        <v>0</v>
      </c>
      <c r="Q40" s="244">
        <f t="shared" si="25"/>
        <v>0</v>
      </c>
      <c r="R40" s="249">
        <f t="shared" si="26"/>
        <v>0</v>
      </c>
      <c r="S40" s="244">
        <f t="shared" si="27"/>
        <v>0</v>
      </c>
      <c r="T40" s="244">
        <f t="shared" si="27"/>
        <v>0</v>
      </c>
      <c r="U40" s="251">
        <f t="shared" si="28"/>
        <v>0</v>
      </c>
    </row>
    <row r="41" spans="1:21" s="30" customFormat="1" ht="21.75" customHeight="1">
      <c r="A41" s="190"/>
      <c r="B41" s="173"/>
      <c r="C41" s="73" t="s">
        <v>803</v>
      </c>
      <c r="D41" s="73" t="s">
        <v>4</v>
      </c>
      <c r="E41" s="73"/>
      <c r="F41" s="238" t="s">
        <v>831</v>
      </c>
      <c r="G41" s="213"/>
      <c r="H41" s="214"/>
      <c r="I41" s="244">
        <f t="shared" si="22"/>
        <v>0</v>
      </c>
      <c r="J41" s="213"/>
      <c r="K41" s="214"/>
      <c r="L41" s="244">
        <f t="shared" si="23"/>
        <v>0</v>
      </c>
      <c r="M41" s="213"/>
      <c r="N41" s="214"/>
      <c r="O41" s="246">
        <f t="shared" si="24"/>
        <v>0</v>
      </c>
      <c r="P41" s="244">
        <f t="shared" si="25"/>
        <v>0</v>
      </c>
      <c r="Q41" s="244">
        <f t="shared" si="25"/>
        <v>0</v>
      </c>
      <c r="R41" s="249">
        <f t="shared" si="26"/>
        <v>0</v>
      </c>
      <c r="S41" s="244">
        <f t="shared" si="27"/>
        <v>0</v>
      </c>
      <c r="T41" s="244">
        <f t="shared" si="27"/>
        <v>0</v>
      </c>
      <c r="U41" s="251">
        <f t="shared" si="28"/>
        <v>0</v>
      </c>
    </row>
    <row r="42" spans="1:21" s="30" customFormat="1" ht="25.5" customHeight="1">
      <c r="A42" s="190"/>
      <c r="B42" s="173"/>
      <c r="C42" s="73" t="s">
        <v>804</v>
      </c>
      <c r="D42" s="73" t="s">
        <v>4</v>
      </c>
      <c r="E42" s="73"/>
      <c r="F42" s="238" t="s">
        <v>832</v>
      </c>
      <c r="G42" s="213"/>
      <c r="H42" s="214"/>
      <c r="I42" s="244">
        <f t="shared" si="22"/>
        <v>0</v>
      </c>
      <c r="J42" s="213"/>
      <c r="K42" s="214"/>
      <c r="L42" s="244">
        <f t="shared" si="23"/>
        <v>0</v>
      </c>
      <c r="M42" s="213"/>
      <c r="N42" s="214"/>
      <c r="O42" s="246">
        <f t="shared" si="24"/>
        <v>0</v>
      </c>
      <c r="P42" s="244">
        <f t="shared" si="25"/>
        <v>0</v>
      </c>
      <c r="Q42" s="244">
        <f t="shared" si="25"/>
        <v>0</v>
      </c>
      <c r="R42" s="249">
        <f t="shared" si="26"/>
        <v>0</v>
      </c>
      <c r="S42" s="244">
        <f t="shared" si="27"/>
        <v>0</v>
      </c>
      <c r="T42" s="244">
        <f t="shared" si="27"/>
        <v>0</v>
      </c>
      <c r="U42" s="251">
        <f t="shared" si="28"/>
        <v>0</v>
      </c>
    </row>
    <row r="43" spans="1:21" s="30" customFormat="1" ht="21" customHeight="1">
      <c r="A43" s="190"/>
      <c r="B43" s="173"/>
      <c r="C43" s="73"/>
      <c r="D43" s="73"/>
      <c r="E43" s="73"/>
      <c r="F43" s="239" t="s">
        <v>805</v>
      </c>
      <c r="G43" s="202"/>
      <c r="H43" s="207"/>
      <c r="I43" s="192"/>
      <c r="J43" s="202"/>
      <c r="K43" s="207"/>
      <c r="L43" s="192"/>
      <c r="M43" s="202"/>
      <c r="N43" s="207"/>
      <c r="O43" s="227"/>
      <c r="P43" s="245"/>
      <c r="Q43" s="207"/>
      <c r="R43" s="192"/>
      <c r="S43" s="245"/>
      <c r="T43" s="207"/>
      <c r="U43" s="179"/>
    </row>
    <row r="44" spans="1:21" s="30" customFormat="1" ht="21.75" customHeight="1">
      <c r="A44" s="190"/>
      <c r="B44" s="173"/>
      <c r="C44" s="73" t="s">
        <v>806</v>
      </c>
      <c r="D44" s="73" t="s">
        <v>4</v>
      </c>
      <c r="E44" s="73"/>
      <c r="F44" s="240" t="s">
        <v>833</v>
      </c>
      <c r="G44" s="213"/>
      <c r="H44" s="214"/>
      <c r="I44" s="244">
        <f t="shared" ref="I44:I47" si="29">G44-H44</f>
        <v>0</v>
      </c>
      <c r="J44" s="213"/>
      <c r="K44" s="214"/>
      <c r="L44" s="244">
        <f t="shared" ref="L44:L47" si="30">J44-K44</f>
        <v>0</v>
      </c>
      <c r="M44" s="213"/>
      <c r="N44" s="214"/>
      <c r="O44" s="246">
        <f t="shared" ref="O44:O47" si="31">M44-N44</f>
        <v>0</v>
      </c>
      <c r="P44" s="244">
        <f t="shared" ref="P44:Q48" si="32">J44+M44</f>
        <v>0</v>
      </c>
      <c r="Q44" s="244">
        <f t="shared" si="32"/>
        <v>0</v>
      </c>
      <c r="R44" s="249">
        <f t="shared" ref="R44:R47" si="33">P44-Q44</f>
        <v>0</v>
      </c>
      <c r="S44" s="244">
        <f t="shared" ref="S44:T48" si="34">G44+P44</f>
        <v>0</v>
      </c>
      <c r="T44" s="244">
        <f t="shared" si="34"/>
        <v>0</v>
      </c>
      <c r="U44" s="251">
        <f t="shared" ref="U44:U47" si="35">S44-T44</f>
        <v>0</v>
      </c>
    </row>
    <row r="45" spans="1:21" s="30" customFormat="1" ht="25.5" customHeight="1">
      <c r="A45" s="190"/>
      <c r="B45" s="173"/>
      <c r="C45" s="73" t="s">
        <v>807</v>
      </c>
      <c r="D45" s="73" t="s">
        <v>4</v>
      </c>
      <c r="E45" s="73"/>
      <c r="F45" s="240" t="s">
        <v>834</v>
      </c>
      <c r="G45" s="213"/>
      <c r="H45" s="214"/>
      <c r="I45" s="244">
        <f t="shared" si="29"/>
        <v>0</v>
      </c>
      <c r="J45" s="213"/>
      <c r="K45" s="214"/>
      <c r="L45" s="244">
        <f t="shared" si="30"/>
        <v>0</v>
      </c>
      <c r="M45" s="213"/>
      <c r="N45" s="214"/>
      <c r="O45" s="246">
        <f t="shared" si="31"/>
        <v>0</v>
      </c>
      <c r="P45" s="244">
        <f t="shared" si="32"/>
        <v>0</v>
      </c>
      <c r="Q45" s="244">
        <f t="shared" si="32"/>
        <v>0</v>
      </c>
      <c r="R45" s="249">
        <f t="shared" si="33"/>
        <v>0</v>
      </c>
      <c r="S45" s="244">
        <f t="shared" si="34"/>
        <v>0</v>
      </c>
      <c r="T45" s="244">
        <f t="shared" si="34"/>
        <v>0</v>
      </c>
      <c r="U45" s="251">
        <f t="shared" si="35"/>
        <v>0</v>
      </c>
    </row>
    <row r="46" spans="1:21" s="30" customFormat="1" ht="21" customHeight="1">
      <c r="A46" s="190"/>
      <c r="B46" s="173"/>
      <c r="C46" s="73" t="s">
        <v>808</v>
      </c>
      <c r="D46" s="73" t="s">
        <v>4</v>
      </c>
      <c r="E46" s="73"/>
      <c r="F46" s="240" t="s">
        <v>835</v>
      </c>
      <c r="G46" s="213"/>
      <c r="H46" s="214"/>
      <c r="I46" s="244">
        <f t="shared" si="29"/>
        <v>0</v>
      </c>
      <c r="J46" s="213"/>
      <c r="K46" s="214"/>
      <c r="L46" s="244">
        <f t="shared" si="30"/>
        <v>0</v>
      </c>
      <c r="M46" s="213"/>
      <c r="N46" s="214"/>
      <c r="O46" s="246">
        <f t="shared" si="31"/>
        <v>0</v>
      </c>
      <c r="P46" s="244">
        <f t="shared" si="32"/>
        <v>0</v>
      </c>
      <c r="Q46" s="244">
        <f t="shared" si="32"/>
        <v>0</v>
      </c>
      <c r="R46" s="249">
        <f t="shared" si="33"/>
        <v>0</v>
      </c>
      <c r="S46" s="244">
        <f t="shared" si="34"/>
        <v>0</v>
      </c>
      <c r="T46" s="244">
        <f t="shared" si="34"/>
        <v>0</v>
      </c>
      <c r="U46" s="251">
        <f t="shared" si="35"/>
        <v>0</v>
      </c>
    </row>
    <row r="47" spans="1:21" s="30" customFormat="1" ht="21.75" customHeight="1">
      <c r="A47" s="190"/>
      <c r="B47" s="173"/>
      <c r="C47" s="73" t="s">
        <v>809</v>
      </c>
      <c r="D47" s="73" t="s">
        <v>4</v>
      </c>
      <c r="E47" s="73"/>
      <c r="F47" s="237" t="s">
        <v>817</v>
      </c>
      <c r="G47" s="213"/>
      <c r="H47" s="214"/>
      <c r="I47" s="244">
        <f t="shared" si="29"/>
        <v>0</v>
      </c>
      <c r="J47" s="213"/>
      <c r="K47" s="214"/>
      <c r="L47" s="244">
        <f t="shared" si="30"/>
        <v>0</v>
      </c>
      <c r="M47" s="213"/>
      <c r="N47" s="214"/>
      <c r="O47" s="246">
        <f t="shared" si="31"/>
        <v>0</v>
      </c>
      <c r="P47" s="244">
        <f t="shared" si="32"/>
        <v>0</v>
      </c>
      <c r="Q47" s="244">
        <f t="shared" si="32"/>
        <v>0</v>
      </c>
      <c r="R47" s="249">
        <f t="shared" si="33"/>
        <v>0</v>
      </c>
      <c r="S47" s="244">
        <f t="shared" si="34"/>
        <v>0</v>
      </c>
      <c r="T47" s="244">
        <f t="shared" si="34"/>
        <v>0</v>
      </c>
      <c r="U47" s="251">
        <f t="shared" si="35"/>
        <v>0</v>
      </c>
    </row>
    <row r="48" spans="1:21" s="30" customFormat="1" ht="25.5" customHeight="1">
      <c r="A48" s="190"/>
      <c r="B48" s="173"/>
      <c r="C48" s="73" t="s">
        <v>757</v>
      </c>
      <c r="D48" s="73" t="s">
        <v>4</v>
      </c>
      <c r="E48" s="73"/>
      <c r="F48" s="237" t="s">
        <v>782</v>
      </c>
      <c r="G48" s="213"/>
      <c r="H48" s="214"/>
      <c r="I48" s="244">
        <f>G48-H48</f>
        <v>0</v>
      </c>
      <c r="J48" s="213"/>
      <c r="K48" s="214"/>
      <c r="L48" s="244">
        <f>J48-K48</f>
        <v>0</v>
      </c>
      <c r="M48" s="213"/>
      <c r="N48" s="214"/>
      <c r="O48" s="246">
        <f>M48-N48</f>
        <v>0</v>
      </c>
      <c r="P48" s="244">
        <f t="shared" si="32"/>
        <v>0</v>
      </c>
      <c r="Q48" s="244">
        <f t="shared" si="32"/>
        <v>0</v>
      </c>
      <c r="R48" s="249">
        <f>P48-Q48</f>
        <v>0</v>
      </c>
      <c r="S48" s="244">
        <f t="shared" si="34"/>
        <v>0</v>
      </c>
      <c r="T48" s="244">
        <f t="shared" si="34"/>
        <v>0</v>
      </c>
      <c r="U48" s="251">
        <f>S48-T48</f>
        <v>0</v>
      </c>
    </row>
    <row r="49" spans="1:21" s="30" customFormat="1" ht="21.75" customHeight="1">
      <c r="A49" s="190"/>
      <c r="B49" s="173"/>
      <c r="C49" s="73" t="s">
        <v>810</v>
      </c>
      <c r="D49" s="73" t="s">
        <v>4</v>
      </c>
      <c r="E49" s="73"/>
      <c r="F49" s="196" t="s">
        <v>814</v>
      </c>
      <c r="G49" s="215"/>
      <c r="H49" s="216"/>
      <c r="I49" s="217"/>
      <c r="J49" s="215"/>
      <c r="K49" s="216"/>
      <c r="L49" s="217"/>
      <c r="M49" s="215"/>
      <c r="N49" s="216"/>
      <c r="O49" s="218"/>
      <c r="P49" s="217"/>
      <c r="Q49" s="216"/>
      <c r="R49" s="217"/>
      <c r="S49" s="215"/>
      <c r="T49" s="216"/>
      <c r="U49" s="233"/>
    </row>
    <row r="50" spans="1:21" s="30" customFormat="1" ht="25.5" customHeight="1">
      <c r="A50" s="190"/>
      <c r="B50" s="173"/>
      <c r="C50" s="73" t="s">
        <v>811</v>
      </c>
      <c r="D50" s="73" t="s">
        <v>4</v>
      </c>
      <c r="E50" s="73"/>
      <c r="F50" s="196" t="s">
        <v>815</v>
      </c>
      <c r="G50" s="215"/>
      <c r="H50" s="216"/>
      <c r="I50" s="217"/>
      <c r="J50" s="215"/>
      <c r="K50" s="216"/>
      <c r="L50" s="217"/>
      <c r="M50" s="215"/>
      <c r="N50" s="216"/>
      <c r="O50" s="218"/>
      <c r="P50" s="217"/>
      <c r="Q50" s="216"/>
      <c r="R50" s="217"/>
      <c r="S50" s="215"/>
      <c r="T50" s="216"/>
      <c r="U50" s="233"/>
    </row>
    <row r="51" spans="1:21" s="30" customFormat="1" ht="21.75" customHeight="1">
      <c r="A51" s="190"/>
      <c r="B51" s="173"/>
      <c r="C51" s="73" t="s">
        <v>812</v>
      </c>
      <c r="D51" s="73" t="s">
        <v>4</v>
      </c>
      <c r="E51" s="73"/>
      <c r="F51" s="196" t="s">
        <v>816</v>
      </c>
      <c r="G51" s="215"/>
      <c r="H51" s="216"/>
      <c r="I51" s="217"/>
      <c r="J51" s="215"/>
      <c r="K51" s="216"/>
      <c r="L51" s="217"/>
      <c r="M51" s="215"/>
      <c r="N51" s="216"/>
      <c r="O51" s="217"/>
      <c r="P51" s="215"/>
      <c r="Q51" s="216"/>
      <c r="R51" s="217"/>
      <c r="S51" s="215"/>
      <c r="T51" s="216"/>
      <c r="U51" s="233"/>
    </row>
    <row r="52" spans="1:21" s="30" customFormat="1" ht="15" customHeight="1">
      <c r="A52" s="190"/>
      <c r="B52" s="177"/>
      <c r="C52" s="121"/>
      <c r="D52" s="121"/>
      <c r="E52" s="121" t="s">
        <v>0</v>
      </c>
      <c r="F52" s="192" t="s">
        <v>0</v>
      </c>
      <c r="G52" s="202"/>
      <c r="H52" s="207"/>
      <c r="I52" s="192"/>
      <c r="J52" s="202"/>
      <c r="K52" s="207"/>
      <c r="L52" s="192"/>
      <c r="M52" s="202"/>
      <c r="N52" s="207"/>
      <c r="O52" s="192"/>
      <c r="P52" s="202"/>
      <c r="Q52" s="207"/>
      <c r="R52" s="192"/>
      <c r="S52" s="202"/>
      <c r="T52" s="207"/>
      <c r="U52" s="232"/>
    </row>
    <row r="53" spans="1:21" s="30" customFormat="1" ht="15" customHeight="1">
      <c r="A53" s="190"/>
      <c r="B53" s="177"/>
      <c r="C53" s="121"/>
      <c r="D53" s="121"/>
      <c r="E53" s="121"/>
      <c r="F53" s="192"/>
      <c r="G53" s="202"/>
      <c r="H53" s="207"/>
      <c r="I53" s="192"/>
      <c r="J53" s="202"/>
      <c r="K53" s="207"/>
      <c r="L53" s="192"/>
      <c r="M53" s="202"/>
      <c r="N53" s="207"/>
      <c r="O53" s="192"/>
      <c r="P53" s="202"/>
      <c r="Q53" s="207"/>
      <c r="R53" s="192"/>
      <c r="S53" s="202"/>
      <c r="T53" s="207"/>
      <c r="U53" s="232"/>
    </row>
    <row r="54" spans="1:21" s="30" customFormat="1" ht="15" customHeight="1">
      <c r="A54" s="190"/>
      <c r="B54" s="173"/>
      <c r="C54" s="174"/>
      <c r="D54" s="73"/>
      <c r="E54" s="73"/>
      <c r="F54" s="299" t="s">
        <v>728</v>
      </c>
      <c r="G54" s="202" t="s">
        <v>0</v>
      </c>
      <c r="H54" s="207" t="s">
        <v>0</v>
      </c>
      <c r="I54" s="192" t="s">
        <v>0</v>
      </c>
      <c r="J54" s="202" t="s">
        <v>0</v>
      </c>
      <c r="K54" s="207" t="s">
        <v>0</v>
      </c>
      <c r="L54" s="192" t="s">
        <v>0</v>
      </c>
      <c r="M54" s="202" t="s">
        <v>0</v>
      </c>
      <c r="N54" s="207" t="s">
        <v>0</v>
      </c>
      <c r="O54" s="192" t="s">
        <v>0</v>
      </c>
      <c r="P54" s="202" t="s">
        <v>0</v>
      </c>
      <c r="Q54" s="207" t="s">
        <v>0</v>
      </c>
      <c r="R54" s="192" t="s">
        <v>0</v>
      </c>
      <c r="S54" s="202" t="s">
        <v>0</v>
      </c>
      <c r="T54" s="207" t="s">
        <v>0</v>
      </c>
      <c r="U54" s="232" t="s">
        <v>0</v>
      </c>
    </row>
    <row r="55" spans="1:21" s="30" customFormat="1" ht="49.15" customHeight="1">
      <c r="A55" s="190"/>
      <c r="B55" s="177"/>
      <c r="C55" s="121"/>
      <c r="D55" s="178"/>
      <c r="E55" s="73"/>
      <c r="F55" s="197" t="s">
        <v>813</v>
      </c>
      <c r="G55" s="202"/>
      <c r="H55" s="207"/>
      <c r="I55" s="192"/>
      <c r="J55" s="202"/>
      <c r="K55" s="207"/>
      <c r="L55" s="192"/>
      <c r="M55" s="202"/>
      <c r="N55" s="207"/>
      <c r="O55" s="192"/>
      <c r="P55" s="202"/>
      <c r="Q55" s="207"/>
      <c r="R55" s="192"/>
      <c r="S55" s="202"/>
      <c r="T55" s="207"/>
      <c r="U55" s="232"/>
    </row>
    <row r="56" spans="1:21" s="30" customFormat="1" ht="67.5" customHeight="1">
      <c r="A56" s="190"/>
      <c r="B56" s="173"/>
      <c r="C56" s="73" t="s">
        <v>750</v>
      </c>
      <c r="D56" s="73" t="s">
        <v>47</v>
      </c>
      <c r="E56" s="73"/>
      <c r="F56" s="196" t="s">
        <v>762</v>
      </c>
      <c r="G56" s="278" t="str">
        <f>$G7</f>
        <v>Compromisos de préstamos</v>
      </c>
      <c r="H56" s="276" t="str">
        <f t="shared" ref="H56:U56" si="36">$G7</f>
        <v>Compromisos de préstamos</v>
      </c>
      <c r="I56" s="277" t="str">
        <f t="shared" si="36"/>
        <v>Compromisos de préstamos</v>
      </c>
      <c r="J56" s="278" t="str">
        <f t="shared" si="36"/>
        <v>Compromisos de préstamos</v>
      </c>
      <c r="K56" s="276" t="str">
        <f t="shared" si="36"/>
        <v>Compromisos de préstamos</v>
      </c>
      <c r="L56" s="277" t="str">
        <f t="shared" si="36"/>
        <v>Compromisos de préstamos</v>
      </c>
      <c r="M56" s="278" t="str">
        <f t="shared" si="36"/>
        <v>Compromisos de préstamos</v>
      </c>
      <c r="N56" s="276" t="str">
        <f t="shared" si="36"/>
        <v>Compromisos de préstamos</v>
      </c>
      <c r="O56" s="277" t="str">
        <f t="shared" si="36"/>
        <v>Compromisos de préstamos</v>
      </c>
      <c r="P56" s="278" t="str">
        <f t="shared" si="36"/>
        <v>Compromisos de préstamos</v>
      </c>
      <c r="Q56" s="276" t="str">
        <f t="shared" si="36"/>
        <v>Compromisos de préstamos</v>
      </c>
      <c r="R56" s="277" t="str">
        <f t="shared" si="36"/>
        <v>Compromisos de préstamos</v>
      </c>
      <c r="S56" s="278" t="str">
        <f t="shared" si="36"/>
        <v>Compromisos de préstamos</v>
      </c>
      <c r="T56" s="276" t="str">
        <f t="shared" si="36"/>
        <v>Compromisos de préstamos</v>
      </c>
      <c r="U56" s="279" t="str">
        <f t="shared" si="36"/>
        <v>Compromisos de préstamos</v>
      </c>
    </row>
    <row r="57" spans="1:21" s="30" customFormat="1" ht="48" customHeight="1">
      <c r="A57" s="190"/>
      <c r="B57" s="173"/>
      <c r="C57" s="73" t="s">
        <v>751</v>
      </c>
      <c r="D57" s="73" t="s">
        <v>47</v>
      </c>
      <c r="E57" s="73"/>
      <c r="F57" s="196" t="s">
        <v>763</v>
      </c>
      <c r="G57" s="278" t="str">
        <f>$G8</f>
        <v>Pérdidas crediticias esperadas durante el tiempo de vida del activo</v>
      </c>
      <c r="H57" s="276" t="str">
        <f t="shared" ref="H57:U57" si="37">$G8</f>
        <v>Pérdidas crediticias esperadas durante el tiempo de vida del activo</v>
      </c>
      <c r="I57" s="277" t="str">
        <f t="shared" si="37"/>
        <v>Pérdidas crediticias esperadas durante el tiempo de vida del activo</v>
      </c>
      <c r="J57" s="278" t="str">
        <f t="shared" si="37"/>
        <v>Pérdidas crediticias esperadas durante el tiempo de vida del activo</v>
      </c>
      <c r="K57" s="276" t="str">
        <f t="shared" si="37"/>
        <v>Pérdidas crediticias esperadas durante el tiempo de vida del activo</v>
      </c>
      <c r="L57" s="277" t="str">
        <f t="shared" si="37"/>
        <v>Pérdidas crediticias esperadas durante el tiempo de vida del activo</v>
      </c>
      <c r="M57" s="278" t="str">
        <f t="shared" si="37"/>
        <v>Pérdidas crediticias esperadas durante el tiempo de vida del activo</v>
      </c>
      <c r="N57" s="276" t="str">
        <f t="shared" si="37"/>
        <v>Pérdidas crediticias esperadas durante el tiempo de vida del activo</v>
      </c>
      <c r="O57" s="277" t="str">
        <f t="shared" si="37"/>
        <v>Pérdidas crediticias esperadas durante el tiempo de vida del activo</v>
      </c>
      <c r="P57" s="278" t="str">
        <f t="shared" si="37"/>
        <v>Pérdidas crediticias esperadas durante el tiempo de vida del activo</v>
      </c>
      <c r="Q57" s="276" t="str">
        <f t="shared" si="37"/>
        <v>Pérdidas crediticias esperadas durante el tiempo de vida del activo</v>
      </c>
      <c r="R57" s="277" t="str">
        <f t="shared" si="37"/>
        <v>Pérdidas crediticias esperadas durante el tiempo de vida del activo</v>
      </c>
      <c r="S57" s="278" t="str">
        <f t="shared" si="37"/>
        <v>Pérdidas crediticias esperadas durante el tiempo de vida del activo</v>
      </c>
      <c r="T57" s="276" t="str">
        <f t="shared" si="37"/>
        <v>Pérdidas crediticias esperadas durante el tiempo de vida del activo</v>
      </c>
      <c r="U57" s="279" t="str">
        <f t="shared" si="37"/>
        <v>Pérdidas crediticias esperadas durante el tiempo de vida del activo</v>
      </c>
    </row>
    <row r="58" spans="1:21" s="30" customFormat="1" ht="42" customHeight="1">
      <c r="A58" s="190"/>
      <c r="B58" s="173"/>
      <c r="C58" s="73" t="s">
        <v>752</v>
      </c>
      <c r="D58" s="73" t="s">
        <v>47</v>
      </c>
      <c r="E58" s="73"/>
      <c r="F58" s="196" t="s">
        <v>764</v>
      </c>
      <c r="G58" s="278" t="str">
        <f>$G9</f>
        <v>Pérdidas crediticias esperadas evaluadas de forma individual</v>
      </c>
      <c r="H58" s="276" t="str">
        <f t="shared" ref="H58:U58" si="38">$G9</f>
        <v>Pérdidas crediticias esperadas evaluadas de forma individual</v>
      </c>
      <c r="I58" s="277" t="str">
        <f t="shared" si="38"/>
        <v>Pérdidas crediticias esperadas evaluadas de forma individual</v>
      </c>
      <c r="J58" s="278" t="str">
        <f t="shared" si="38"/>
        <v>Pérdidas crediticias esperadas evaluadas de forma individual</v>
      </c>
      <c r="K58" s="276" t="str">
        <f t="shared" si="38"/>
        <v>Pérdidas crediticias esperadas evaluadas de forma individual</v>
      </c>
      <c r="L58" s="277" t="str">
        <f t="shared" si="38"/>
        <v>Pérdidas crediticias esperadas evaluadas de forma individual</v>
      </c>
      <c r="M58" s="278" t="str">
        <f t="shared" si="38"/>
        <v>Pérdidas crediticias esperadas evaluadas de forma individual</v>
      </c>
      <c r="N58" s="276" t="str">
        <f t="shared" si="38"/>
        <v>Pérdidas crediticias esperadas evaluadas de forma individual</v>
      </c>
      <c r="O58" s="277" t="str">
        <f t="shared" si="38"/>
        <v>Pérdidas crediticias esperadas evaluadas de forma individual</v>
      </c>
      <c r="P58" s="278" t="str">
        <f t="shared" si="38"/>
        <v>Pérdidas crediticias esperadas evaluadas de forma individual</v>
      </c>
      <c r="Q58" s="276" t="str">
        <f t="shared" si="38"/>
        <v>Pérdidas crediticias esperadas evaluadas de forma individual</v>
      </c>
      <c r="R58" s="277" t="str">
        <f t="shared" si="38"/>
        <v>Pérdidas crediticias esperadas evaluadas de forma individual</v>
      </c>
      <c r="S58" s="278" t="str">
        <f t="shared" si="38"/>
        <v>Pérdidas crediticias esperadas evaluadas de forma individual</v>
      </c>
      <c r="T58" s="276" t="str">
        <f t="shared" si="38"/>
        <v>Pérdidas crediticias esperadas evaluadas de forma individual</v>
      </c>
      <c r="U58" s="279" t="str">
        <f t="shared" si="38"/>
        <v>Pérdidas crediticias esperadas evaluadas de forma individual</v>
      </c>
    </row>
    <row r="59" spans="1:21" s="30" customFormat="1" ht="21" customHeight="1">
      <c r="A59" s="190" t="s">
        <v>48</v>
      </c>
      <c r="B59" s="173"/>
      <c r="C59" s="73" t="s">
        <v>756</v>
      </c>
      <c r="D59" s="73" t="s">
        <v>5</v>
      </c>
      <c r="E59" s="73"/>
      <c r="F59" s="237" t="s">
        <v>881</v>
      </c>
      <c r="G59" s="213"/>
      <c r="H59" s="214"/>
      <c r="I59" s="244">
        <f>G59-H59</f>
        <v>0</v>
      </c>
      <c r="J59" s="213"/>
      <c r="K59" s="214"/>
      <c r="L59" s="244">
        <f>J59-K59</f>
        <v>0</v>
      </c>
      <c r="M59" s="213"/>
      <c r="N59" s="214"/>
      <c r="O59" s="246">
        <f>M59-N59</f>
        <v>0</v>
      </c>
      <c r="P59" s="244">
        <f>J59+M59</f>
        <v>0</v>
      </c>
      <c r="Q59" s="244">
        <f>K59+N59</f>
        <v>0</v>
      </c>
      <c r="R59" s="249">
        <f>P59-Q59</f>
        <v>0</v>
      </c>
      <c r="S59" s="244">
        <f>G59+P59</f>
        <v>0</v>
      </c>
      <c r="T59" s="244">
        <f>H59+Q59</f>
        <v>0</v>
      </c>
      <c r="U59" s="251">
        <f>S59-T59</f>
        <v>0</v>
      </c>
    </row>
    <row r="60" spans="1:21" s="30" customFormat="1" ht="21.75" customHeight="1">
      <c r="A60" s="190"/>
      <c r="B60" s="173"/>
      <c r="C60" s="73"/>
      <c r="D60" s="73"/>
      <c r="E60" s="73"/>
      <c r="F60" s="237" t="s">
        <v>787</v>
      </c>
      <c r="G60" s="202"/>
      <c r="H60" s="207"/>
      <c r="I60" s="192"/>
      <c r="J60" s="202"/>
      <c r="K60" s="207"/>
      <c r="L60" s="192"/>
      <c r="M60" s="202"/>
      <c r="N60" s="207"/>
      <c r="O60" s="227"/>
      <c r="P60" s="245"/>
      <c r="Q60" s="207"/>
      <c r="R60" s="192"/>
      <c r="S60" s="245"/>
      <c r="T60" s="207"/>
      <c r="U60" s="179"/>
    </row>
    <row r="61" spans="1:21" s="30" customFormat="1" ht="25.5" customHeight="1">
      <c r="A61" s="190"/>
      <c r="B61" s="173"/>
      <c r="C61" s="73" t="s">
        <v>788</v>
      </c>
      <c r="D61" s="73" t="s">
        <v>47</v>
      </c>
      <c r="E61" s="73"/>
      <c r="F61" s="238" t="s">
        <v>818</v>
      </c>
      <c r="G61" s="213"/>
      <c r="H61" s="214"/>
      <c r="I61" s="244">
        <f t="shared" ref="I61:I66" si="39">G61-H61</f>
        <v>0</v>
      </c>
      <c r="J61" s="213"/>
      <c r="K61" s="214"/>
      <c r="L61" s="244">
        <f t="shared" ref="L61:L66" si="40">J61-K61</f>
        <v>0</v>
      </c>
      <c r="M61" s="213"/>
      <c r="N61" s="214"/>
      <c r="O61" s="246">
        <f t="shared" ref="O61:O66" si="41">M61-N61</f>
        <v>0</v>
      </c>
      <c r="P61" s="244">
        <f t="shared" ref="P61:Q66" si="42">J61+M61</f>
        <v>0</v>
      </c>
      <c r="Q61" s="244">
        <f t="shared" si="42"/>
        <v>0</v>
      </c>
      <c r="R61" s="249">
        <f t="shared" ref="R61:R66" si="43">P61-Q61</f>
        <v>0</v>
      </c>
      <c r="S61" s="244">
        <f t="shared" ref="S61:T66" si="44">G61+P61</f>
        <v>0</v>
      </c>
      <c r="T61" s="244">
        <f t="shared" si="44"/>
        <v>0</v>
      </c>
      <c r="U61" s="251">
        <f t="shared" ref="U61:U66" si="45">S61-T61</f>
        <v>0</v>
      </c>
    </row>
    <row r="62" spans="1:21" s="30" customFormat="1" ht="21.75" customHeight="1">
      <c r="A62" s="190"/>
      <c r="B62" s="173"/>
      <c r="C62" s="73" t="s">
        <v>789</v>
      </c>
      <c r="D62" s="73" t="s">
        <v>47</v>
      </c>
      <c r="E62" s="73"/>
      <c r="F62" s="238" t="s">
        <v>819</v>
      </c>
      <c r="G62" s="213"/>
      <c r="H62" s="214"/>
      <c r="I62" s="244">
        <f t="shared" si="39"/>
        <v>0</v>
      </c>
      <c r="J62" s="213"/>
      <c r="K62" s="214"/>
      <c r="L62" s="244">
        <f t="shared" si="40"/>
        <v>0</v>
      </c>
      <c r="M62" s="213"/>
      <c r="N62" s="214"/>
      <c r="O62" s="246">
        <f t="shared" si="41"/>
        <v>0</v>
      </c>
      <c r="P62" s="244">
        <f t="shared" si="42"/>
        <v>0</v>
      </c>
      <c r="Q62" s="244">
        <f t="shared" si="42"/>
        <v>0</v>
      </c>
      <c r="R62" s="249">
        <f t="shared" si="43"/>
        <v>0</v>
      </c>
      <c r="S62" s="244">
        <f t="shared" si="44"/>
        <v>0</v>
      </c>
      <c r="T62" s="244">
        <f t="shared" si="44"/>
        <v>0</v>
      </c>
      <c r="U62" s="251">
        <f t="shared" si="45"/>
        <v>0</v>
      </c>
    </row>
    <row r="63" spans="1:21" s="30" customFormat="1" ht="25.5" customHeight="1">
      <c r="A63" s="190"/>
      <c r="B63" s="173"/>
      <c r="C63" s="73" t="s">
        <v>790</v>
      </c>
      <c r="D63" s="73" t="s">
        <v>47</v>
      </c>
      <c r="E63" s="73"/>
      <c r="F63" s="238" t="s">
        <v>820</v>
      </c>
      <c r="G63" s="213"/>
      <c r="H63" s="214"/>
      <c r="I63" s="244">
        <f t="shared" si="39"/>
        <v>0</v>
      </c>
      <c r="J63" s="213"/>
      <c r="K63" s="214"/>
      <c r="L63" s="244">
        <f t="shared" si="40"/>
        <v>0</v>
      </c>
      <c r="M63" s="213"/>
      <c r="N63" s="214"/>
      <c r="O63" s="246">
        <f t="shared" si="41"/>
        <v>0</v>
      </c>
      <c r="P63" s="244">
        <f t="shared" si="42"/>
        <v>0</v>
      </c>
      <c r="Q63" s="244">
        <f t="shared" si="42"/>
        <v>0</v>
      </c>
      <c r="R63" s="249">
        <f t="shared" si="43"/>
        <v>0</v>
      </c>
      <c r="S63" s="244">
        <f t="shared" si="44"/>
        <v>0</v>
      </c>
      <c r="T63" s="244">
        <f t="shared" si="44"/>
        <v>0</v>
      </c>
      <c r="U63" s="251">
        <f t="shared" si="45"/>
        <v>0</v>
      </c>
    </row>
    <row r="64" spans="1:21" s="30" customFormat="1" ht="21" customHeight="1">
      <c r="A64" s="190"/>
      <c r="B64" s="173"/>
      <c r="C64" s="73" t="s">
        <v>791</v>
      </c>
      <c r="D64" s="73" t="s">
        <v>47</v>
      </c>
      <c r="E64" s="73"/>
      <c r="F64" s="238" t="s">
        <v>821</v>
      </c>
      <c r="G64" s="213"/>
      <c r="H64" s="214"/>
      <c r="I64" s="244">
        <f t="shared" si="39"/>
        <v>0</v>
      </c>
      <c r="J64" s="213"/>
      <c r="K64" s="214"/>
      <c r="L64" s="244">
        <f t="shared" si="40"/>
        <v>0</v>
      </c>
      <c r="M64" s="213"/>
      <c r="N64" s="214"/>
      <c r="O64" s="246">
        <f t="shared" si="41"/>
        <v>0</v>
      </c>
      <c r="P64" s="244">
        <f t="shared" si="42"/>
        <v>0</v>
      </c>
      <c r="Q64" s="244">
        <f t="shared" si="42"/>
        <v>0</v>
      </c>
      <c r="R64" s="249">
        <f t="shared" si="43"/>
        <v>0</v>
      </c>
      <c r="S64" s="244">
        <f t="shared" si="44"/>
        <v>0</v>
      </c>
      <c r="T64" s="244">
        <f t="shared" si="44"/>
        <v>0</v>
      </c>
      <c r="U64" s="251">
        <f t="shared" si="45"/>
        <v>0</v>
      </c>
    </row>
    <row r="65" spans="1:21" s="30" customFormat="1" ht="21.75" customHeight="1">
      <c r="A65" s="190"/>
      <c r="B65" s="173"/>
      <c r="C65" s="73" t="s">
        <v>792</v>
      </c>
      <c r="D65" s="73" t="s">
        <v>47</v>
      </c>
      <c r="E65" s="73"/>
      <c r="F65" s="238" t="s">
        <v>822</v>
      </c>
      <c r="G65" s="213"/>
      <c r="H65" s="214"/>
      <c r="I65" s="244">
        <f t="shared" si="39"/>
        <v>0</v>
      </c>
      <c r="J65" s="213"/>
      <c r="K65" s="214"/>
      <c r="L65" s="244">
        <f t="shared" si="40"/>
        <v>0</v>
      </c>
      <c r="M65" s="213"/>
      <c r="N65" s="214"/>
      <c r="O65" s="246">
        <f t="shared" si="41"/>
        <v>0</v>
      </c>
      <c r="P65" s="244">
        <f t="shared" si="42"/>
        <v>0</v>
      </c>
      <c r="Q65" s="244">
        <f t="shared" si="42"/>
        <v>0</v>
      </c>
      <c r="R65" s="249">
        <f t="shared" si="43"/>
        <v>0</v>
      </c>
      <c r="S65" s="244">
        <f t="shared" si="44"/>
        <v>0</v>
      </c>
      <c r="T65" s="244">
        <f t="shared" si="44"/>
        <v>0</v>
      </c>
      <c r="U65" s="251">
        <f t="shared" si="45"/>
        <v>0</v>
      </c>
    </row>
    <row r="66" spans="1:21" s="30" customFormat="1" ht="25.5" customHeight="1">
      <c r="A66" s="190"/>
      <c r="B66" s="173"/>
      <c r="C66" s="73" t="s">
        <v>793</v>
      </c>
      <c r="D66" s="73" t="s">
        <v>47</v>
      </c>
      <c r="E66" s="73"/>
      <c r="F66" s="238" t="s">
        <v>823</v>
      </c>
      <c r="G66" s="213"/>
      <c r="H66" s="214"/>
      <c r="I66" s="244">
        <f t="shared" si="39"/>
        <v>0</v>
      </c>
      <c r="J66" s="213"/>
      <c r="K66" s="214"/>
      <c r="L66" s="244">
        <f t="shared" si="40"/>
        <v>0</v>
      </c>
      <c r="M66" s="213"/>
      <c r="N66" s="214"/>
      <c r="O66" s="246">
        <f t="shared" si="41"/>
        <v>0</v>
      </c>
      <c r="P66" s="244">
        <f t="shared" si="42"/>
        <v>0</v>
      </c>
      <c r="Q66" s="244">
        <f t="shared" si="42"/>
        <v>0</v>
      </c>
      <c r="R66" s="249">
        <f t="shared" si="43"/>
        <v>0</v>
      </c>
      <c r="S66" s="244">
        <f t="shared" si="44"/>
        <v>0</v>
      </c>
      <c r="T66" s="244">
        <f t="shared" si="44"/>
        <v>0</v>
      </c>
      <c r="U66" s="251">
        <f t="shared" si="45"/>
        <v>0</v>
      </c>
    </row>
    <row r="67" spans="1:21" s="30" customFormat="1" ht="33" customHeight="1">
      <c r="A67" s="190"/>
      <c r="B67" s="173"/>
      <c r="C67" s="73"/>
      <c r="D67" s="73"/>
      <c r="E67" s="73"/>
      <c r="F67" s="239" t="s">
        <v>794</v>
      </c>
      <c r="G67" s="202"/>
      <c r="H67" s="207"/>
      <c r="I67" s="192"/>
      <c r="J67" s="202"/>
      <c r="K67" s="207"/>
      <c r="L67" s="192"/>
      <c r="M67" s="202"/>
      <c r="N67" s="207"/>
      <c r="O67" s="227"/>
      <c r="P67" s="245"/>
      <c r="Q67" s="207"/>
      <c r="R67" s="192"/>
      <c r="S67" s="245"/>
      <c r="T67" s="207"/>
      <c r="U67" s="179"/>
    </row>
    <row r="68" spans="1:21" s="30" customFormat="1" ht="21.75" customHeight="1">
      <c r="A68" s="190"/>
      <c r="B68" s="173"/>
      <c r="C68" s="73" t="s">
        <v>795</v>
      </c>
      <c r="D68" s="73" t="s">
        <v>47</v>
      </c>
      <c r="E68" s="73"/>
      <c r="F68" s="240" t="s">
        <v>824</v>
      </c>
      <c r="G68" s="213"/>
      <c r="H68" s="214"/>
      <c r="I68" s="244">
        <f t="shared" ref="I68:I72" si="46">G68-H68</f>
        <v>0</v>
      </c>
      <c r="J68" s="213"/>
      <c r="K68" s="214"/>
      <c r="L68" s="244">
        <f t="shared" ref="L68:L72" si="47">J68-K68</f>
        <v>0</v>
      </c>
      <c r="M68" s="213"/>
      <c r="N68" s="214"/>
      <c r="O68" s="246">
        <f t="shared" ref="O68:O72" si="48">M68-N68</f>
        <v>0</v>
      </c>
      <c r="P68" s="244">
        <f t="shared" ref="P68:Q72" si="49">J68+M68</f>
        <v>0</v>
      </c>
      <c r="Q68" s="244">
        <f t="shared" si="49"/>
        <v>0</v>
      </c>
      <c r="R68" s="249">
        <f t="shared" ref="R68:R72" si="50">P68-Q68</f>
        <v>0</v>
      </c>
      <c r="S68" s="244">
        <f t="shared" ref="S68:T72" si="51">G68+P68</f>
        <v>0</v>
      </c>
      <c r="T68" s="244">
        <f t="shared" si="51"/>
        <v>0</v>
      </c>
      <c r="U68" s="251">
        <f t="shared" ref="U68:U72" si="52">S68-T68</f>
        <v>0</v>
      </c>
    </row>
    <row r="69" spans="1:21" s="30" customFormat="1" ht="25.5" customHeight="1">
      <c r="A69" s="190"/>
      <c r="B69" s="173"/>
      <c r="C69" s="73" t="s">
        <v>796</v>
      </c>
      <c r="D69" s="73" t="s">
        <v>47</v>
      </c>
      <c r="E69" s="73"/>
      <c r="F69" s="240" t="s">
        <v>825</v>
      </c>
      <c r="G69" s="213"/>
      <c r="H69" s="214"/>
      <c r="I69" s="244">
        <f t="shared" si="46"/>
        <v>0</v>
      </c>
      <c r="J69" s="213"/>
      <c r="K69" s="214"/>
      <c r="L69" s="244">
        <f t="shared" si="47"/>
        <v>0</v>
      </c>
      <c r="M69" s="213"/>
      <c r="N69" s="214"/>
      <c r="O69" s="246">
        <f t="shared" si="48"/>
        <v>0</v>
      </c>
      <c r="P69" s="244">
        <f t="shared" si="49"/>
        <v>0</v>
      </c>
      <c r="Q69" s="244">
        <f t="shared" si="49"/>
        <v>0</v>
      </c>
      <c r="R69" s="249">
        <f t="shared" si="50"/>
        <v>0</v>
      </c>
      <c r="S69" s="244">
        <f t="shared" si="51"/>
        <v>0</v>
      </c>
      <c r="T69" s="244">
        <f t="shared" si="51"/>
        <v>0</v>
      </c>
      <c r="U69" s="251">
        <f t="shared" si="52"/>
        <v>0</v>
      </c>
    </row>
    <row r="70" spans="1:21" s="30" customFormat="1" ht="21.75" customHeight="1">
      <c r="A70" s="190"/>
      <c r="B70" s="173"/>
      <c r="C70" s="73" t="s">
        <v>797</v>
      </c>
      <c r="D70" s="73" t="s">
        <v>47</v>
      </c>
      <c r="E70" s="73"/>
      <c r="F70" s="241" t="s">
        <v>826</v>
      </c>
      <c r="G70" s="213"/>
      <c r="H70" s="214"/>
      <c r="I70" s="244">
        <f t="shared" si="46"/>
        <v>0</v>
      </c>
      <c r="J70" s="213"/>
      <c r="K70" s="214"/>
      <c r="L70" s="244">
        <f t="shared" si="47"/>
        <v>0</v>
      </c>
      <c r="M70" s="213"/>
      <c r="N70" s="214"/>
      <c r="O70" s="246">
        <f t="shared" si="48"/>
        <v>0</v>
      </c>
      <c r="P70" s="244">
        <f t="shared" si="49"/>
        <v>0</v>
      </c>
      <c r="Q70" s="244">
        <f t="shared" si="49"/>
        <v>0</v>
      </c>
      <c r="R70" s="249">
        <f t="shared" si="50"/>
        <v>0</v>
      </c>
      <c r="S70" s="244">
        <f t="shared" si="51"/>
        <v>0</v>
      </c>
      <c r="T70" s="244">
        <f t="shared" si="51"/>
        <v>0</v>
      </c>
      <c r="U70" s="251">
        <f t="shared" si="52"/>
        <v>0</v>
      </c>
    </row>
    <row r="71" spans="1:21" s="30" customFormat="1" ht="25.5" customHeight="1">
      <c r="A71" s="190"/>
      <c r="B71" s="173"/>
      <c r="C71" s="73" t="s">
        <v>798</v>
      </c>
      <c r="D71" s="73" t="s">
        <v>47</v>
      </c>
      <c r="E71" s="73"/>
      <c r="F71" s="237" t="s">
        <v>827</v>
      </c>
      <c r="G71" s="213"/>
      <c r="H71" s="214"/>
      <c r="I71" s="244">
        <f t="shared" si="46"/>
        <v>0</v>
      </c>
      <c r="J71" s="213"/>
      <c r="K71" s="214"/>
      <c r="L71" s="244">
        <f t="shared" si="47"/>
        <v>0</v>
      </c>
      <c r="M71" s="213"/>
      <c r="N71" s="214"/>
      <c r="O71" s="246">
        <f t="shared" si="48"/>
        <v>0</v>
      </c>
      <c r="P71" s="244">
        <f t="shared" si="49"/>
        <v>0</v>
      </c>
      <c r="Q71" s="244">
        <f t="shared" si="49"/>
        <v>0</v>
      </c>
      <c r="R71" s="249">
        <f t="shared" si="50"/>
        <v>0</v>
      </c>
      <c r="S71" s="244">
        <f t="shared" si="51"/>
        <v>0</v>
      </c>
      <c r="T71" s="244">
        <f t="shared" si="51"/>
        <v>0</v>
      </c>
      <c r="U71" s="251">
        <f t="shared" si="52"/>
        <v>0</v>
      </c>
    </row>
    <row r="72" spans="1:21" s="30" customFormat="1" ht="21" customHeight="1">
      <c r="A72" s="190" t="s">
        <v>48</v>
      </c>
      <c r="B72" s="173"/>
      <c r="C72" s="73" t="s">
        <v>756</v>
      </c>
      <c r="D72" s="73" t="s">
        <v>4</v>
      </c>
      <c r="E72" s="73"/>
      <c r="F72" s="237" t="s">
        <v>879</v>
      </c>
      <c r="G72" s="213"/>
      <c r="H72" s="214"/>
      <c r="I72" s="244">
        <f t="shared" si="46"/>
        <v>0</v>
      </c>
      <c r="J72" s="213"/>
      <c r="K72" s="214"/>
      <c r="L72" s="244">
        <f t="shared" si="47"/>
        <v>0</v>
      </c>
      <c r="M72" s="213"/>
      <c r="N72" s="214"/>
      <c r="O72" s="246">
        <f t="shared" si="48"/>
        <v>0</v>
      </c>
      <c r="P72" s="244">
        <f t="shared" si="49"/>
        <v>0</v>
      </c>
      <c r="Q72" s="244">
        <f t="shared" si="49"/>
        <v>0</v>
      </c>
      <c r="R72" s="249">
        <f t="shared" si="50"/>
        <v>0</v>
      </c>
      <c r="S72" s="244">
        <f t="shared" si="51"/>
        <v>0</v>
      </c>
      <c r="T72" s="244">
        <f t="shared" si="51"/>
        <v>0</v>
      </c>
      <c r="U72" s="251">
        <f t="shared" si="52"/>
        <v>0</v>
      </c>
    </row>
    <row r="73" spans="1:21" s="30" customFormat="1" ht="21" customHeight="1">
      <c r="A73" s="190"/>
      <c r="B73" s="173"/>
      <c r="C73" s="73"/>
      <c r="D73" s="73"/>
      <c r="E73" s="73"/>
      <c r="F73" s="237"/>
      <c r="G73" s="202"/>
      <c r="H73" s="207"/>
      <c r="I73" s="192"/>
      <c r="J73" s="202"/>
      <c r="K73" s="207"/>
      <c r="L73" s="192"/>
      <c r="M73" s="202"/>
      <c r="N73" s="207"/>
      <c r="O73" s="227"/>
      <c r="P73" s="245"/>
      <c r="Q73" s="207"/>
      <c r="R73" s="192"/>
      <c r="S73" s="245"/>
      <c r="T73" s="207"/>
      <c r="U73" s="179"/>
    </row>
    <row r="74" spans="1:21" s="30" customFormat="1" ht="21.75" customHeight="1">
      <c r="A74" s="190" t="s">
        <v>48</v>
      </c>
      <c r="B74" s="173"/>
      <c r="C74" s="73" t="s">
        <v>757</v>
      </c>
      <c r="D74" s="73" t="s">
        <v>5</v>
      </c>
      <c r="E74" s="73"/>
      <c r="F74" s="237" t="s">
        <v>882</v>
      </c>
      <c r="G74" s="213"/>
      <c r="H74" s="214"/>
      <c r="I74" s="244">
        <f>G74-H74</f>
        <v>0</v>
      </c>
      <c r="J74" s="213"/>
      <c r="K74" s="214"/>
      <c r="L74" s="244">
        <f>J74-K74</f>
        <v>0</v>
      </c>
      <c r="M74" s="213"/>
      <c r="N74" s="214"/>
      <c r="O74" s="246">
        <f>M74-N74</f>
        <v>0</v>
      </c>
      <c r="P74" s="244">
        <f>J74+M74</f>
        <v>0</v>
      </c>
      <c r="Q74" s="244">
        <f>K74+N74</f>
        <v>0</v>
      </c>
      <c r="R74" s="249">
        <f>P74-Q74</f>
        <v>0</v>
      </c>
      <c r="S74" s="244">
        <f>G74+P74</f>
        <v>0</v>
      </c>
      <c r="T74" s="244">
        <f>H74+Q74</f>
        <v>0</v>
      </c>
      <c r="U74" s="251">
        <f>S74-T74</f>
        <v>0</v>
      </c>
    </row>
    <row r="75" spans="1:21" s="30" customFormat="1" ht="25.5" customHeight="1">
      <c r="A75" s="190"/>
      <c r="B75" s="173"/>
      <c r="C75" s="73"/>
      <c r="D75" s="73"/>
      <c r="E75" s="73"/>
      <c r="F75" s="237" t="s">
        <v>799</v>
      </c>
      <c r="G75" s="202"/>
      <c r="H75" s="207"/>
      <c r="I75" s="192"/>
      <c r="J75" s="202"/>
      <c r="K75" s="207"/>
      <c r="L75" s="192"/>
      <c r="M75" s="202"/>
      <c r="N75" s="207"/>
      <c r="O75" s="227"/>
      <c r="P75" s="245"/>
      <c r="Q75" s="207"/>
      <c r="R75" s="192"/>
      <c r="S75" s="245"/>
      <c r="T75" s="207"/>
      <c r="U75" s="179"/>
    </row>
    <row r="76" spans="1:21" s="30" customFormat="1" ht="21" customHeight="1">
      <c r="A76" s="190"/>
      <c r="B76" s="173"/>
      <c r="C76" s="73" t="s">
        <v>800</v>
      </c>
      <c r="D76" s="73" t="s">
        <v>47</v>
      </c>
      <c r="E76" s="73"/>
      <c r="F76" s="238" t="s">
        <v>828</v>
      </c>
      <c r="G76" s="213"/>
      <c r="H76" s="214"/>
      <c r="I76" s="244">
        <f t="shared" ref="I76:I80" si="53">G76-H76</f>
        <v>0</v>
      </c>
      <c r="J76" s="213"/>
      <c r="K76" s="214"/>
      <c r="L76" s="244">
        <f t="shared" ref="L76:L80" si="54">J76-K76</f>
        <v>0</v>
      </c>
      <c r="M76" s="213"/>
      <c r="N76" s="214"/>
      <c r="O76" s="246">
        <f t="shared" ref="O76:O80" si="55">M76-N76</f>
        <v>0</v>
      </c>
      <c r="P76" s="244">
        <f t="shared" ref="P76:Q80" si="56">J76+M76</f>
        <v>0</v>
      </c>
      <c r="Q76" s="244">
        <f t="shared" si="56"/>
        <v>0</v>
      </c>
      <c r="R76" s="249">
        <f t="shared" ref="R76:R80" si="57">P76-Q76</f>
        <v>0</v>
      </c>
      <c r="S76" s="244">
        <f t="shared" ref="S76:T80" si="58">G76+P76</f>
        <v>0</v>
      </c>
      <c r="T76" s="244">
        <f t="shared" si="58"/>
        <v>0</v>
      </c>
      <c r="U76" s="251">
        <f t="shared" ref="U76:U80" si="59">S76-T76</f>
        <v>0</v>
      </c>
    </row>
    <row r="77" spans="1:21" s="30" customFormat="1" ht="21.75" customHeight="1">
      <c r="A77" s="190"/>
      <c r="B77" s="173"/>
      <c r="C77" s="73" t="s">
        <v>801</v>
      </c>
      <c r="D77" s="73" t="s">
        <v>47</v>
      </c>
      <c r="E77" s="73"/>
      <c r="F77" s="238" t="s">
        <v>829</v>
      </c>
      <c r="G77" s="213"/>
      <c r="H77" s="214"/>
      <c r="I77" s="244">
        <f t="shared" si="53"/>
        <v>0</v>
      </c>
      <c r="J77" s="213"/>
      <c r="K77" s="214"/>
      <c r="L77" s="244">
        <f t="shared" si="54"/>
        <v>0</v>
      </c>
      <c r="M77" s="213"/>
      <c r="N77" s="214"/>
      <c r="O77" s="246">
        <f t="shared" si="55"/>
        <v>0</v>
      </c>
      <c r="P77" s="244">
        <f t="shared" si="56"/>
        <v>0</v>
      </c>
      <c r="Q77" s="244">
        <f t="shared" si="56"/>
        <v>0</v>
      </c>
      <c r="R77" s="249">
        <f t="shared" si="57"/>
        <v>0</v>
      </c>
      <c r="S77" s="244">
        <f t="shared" si="58"/>
        <v>0</v>
      </c>
      <c r="T77" s="244">
        <f t="shared" si="58"/>
        <v>0</v>
      </c>
      <c r="U77" s="251">
        <f t="shared" si="59"/>
        <v>0</v>
      </c>
    </row>
    <row r="78" spans="1:21" s="30" customFormat="1" ht="25.5" customHeight="1">
      <c r="A78" s="190"/>
      <c r="B78" s="173"/>
      <c r="C78" s="73" t="s">
        <v>802</v>
      </c>
      <c r="D78" s="73" t="s">
        <v>47</v>
      </c>
      <c r="E78" s="73"/>
      <c r="F78" s="238" t="s">
        <v>830</v>
      </c>
      <c r="G78" s="213"/>
      <c r="H78" s="214"/>
      <c r="I78" s="244">
        <f t="shared" si="53"/>
        <v>0</v>
      </c>
      <c r="J78" s="213"/>
      <c r="K78" s="214"/>
      <c r="L78" s="244">
        <f t="shared" si="54"/>
        <v>0</v>
      </c>
      <c r="M78" s="213"/>
      <c r="N78" s="214"/>
      <c r="O78" s="246">
        <f t="shared" si="55"/>
        <v>0</v>
      </c>
      <c r="P78" s="244">
        <f t="shared" si="56"/>
        <v>0</v>
      </c>
      <c r="Q78" s="244">
        <f t="shared" si="56"/>
        <v>0</v>
      </c>
      <c r="R78" s="249">
        <f t="shared" si="57"/>
        <v>0</v>
      </c>
      <c r="S78" s="244">
        <f t="shared" si="58"/>
        <v>0</v>
      </c>
      <c r="T78" s="244">
        <f t="shared" si="58"/>
        <v>0</v>
      </c>
      <c r="U78" s="251">
        <f t="shared" si="59"/>
        <v>0</v>
      </c>
    </row>
    <row r="79" spans="1:21" s="30" customFormat="1" ht="21.75" customHeight="1">
      <c r="A79" s="190"/>
      <c r="B79" s="173"/>
      <c r="C79" s="73" t="s">
        <v>803</v>
      </c>
      <c r="D79" s="73" t="s">
        <v>47</v>
      </c>
      <c r="E79" s="73"/>
      <c r="F79" s="238" t="s">
        <v>831</v>
      </c>
      <c r="G79" s="213"/>
      <c r="H79" s="214"/>
      <c r="I79" s="244">
        <f t="shared" si="53"/>
        <v>0</v>
      </c>
      <c r="J79" s="213"/>
      <c r="K79" s="214"/>
      <c r="L79" s="244">
        <f t="shared" si="54"/>
        <v>0</v>
      </c>
      <c r="M79" s="213"/>
      <c r="N79" s="214"/>
      <c r="O79" s="246">
        <f t="shared" si="55"/>
        <v>0</v>
      </c>
      <c r="P79" s="244">
        <f t="shared" si="56"/>
        <v>0</v>
      </c>
      <c r="Q79" s="244">
        <f t="shared" si="56"/>
        <v>0</v>
      </c>
      <c r="R79" s="249">
        <f t="shared" si="57"/>
        <v>0</v>
      </c>
      <c r="S79" s="244">
        <f t="shared" si="58"/>
        <v>0</v>
      </c>
      <c r="T79" s="244">
        <f t="shared" si="58"/>
        <v>0</v>
      </c>
      <c r="U79" s="251">
        <f t="shared" si="59"/>
        <v>0</v>
      </c>
    </row>
    <row r="80" spans="1:21" s="30" customFormat="1" ht="25.5" customHeight="1">
      <c r="A80" s="190"/>
      <c r="B80" s="173"/>
      <c r="C80" s="73" t="s">
        <v>804</v>
      </c>
      <c r="D80" s="73" t="s">
        <v>47</v>
      </c>
      <c r="E80" s="73"/>
      <c r="F80" s="238" t="s">
        <v>832</v>
      </c>
      <c r="G80" s="213"/>
      <c r="H80" s="214"/>
      <c r="I80" s="244">
        <f t="shared" si="53"/>
        <v>0</v>
      </c>
      <c r="J80" s="213"/>
      <c r="K80" s="214"/>
      <c r="L80" s="244">
        <f t="shared" si="54"/>
        <v>0</v>
      </c>
      <c r="M80" s="213"/>
      <c r="N80" s="214"/>
      <c r="O80" s="246">
        <f t="shared" si="55"/>
        <v>0</v>
      </c>
      <c r="P80" s="244">
        <f t="shared" si="56"/>
        <v>0</v>
      </c>
      <c r="Q80" s="244">
        <f t="shared" si="56"/>
        <v>0</v>
      </c>
      <c r="R80" s="249">
        <f t="shared" si="57"/>
        <v>0</v>
      </c>
      <c r="S80" s="244">
        <f t="shared" si="58"/>
        <v>0</v>
      </c>
      <c r="T80" s="244">
        <f t="shared" si="58"/>
        <v>0</v>
      </c>
      <c r="U80" s="251">
        <f t="shared" si="59"/>
        <v>0</v>
      </c>
    </row>
    <row r="81" spans="1:21" s="30" customFormat="1" ht="21" customHeight="1">
      <c r="A81" s="190"/>
      <c r="B81" s="173"/>
      <c r="C81" s="73"/>
      <c r="D81" s="73"/>
      <c r="E81" s="73"/>
      <c r="F81" s="239" t="s">
        <v>805</v>
      </c>
      <c r="G81" s="202"/>
      <c r="H81" s="207"/>
      <c r="I81" s="192"/>
      <c r="J81" s="202"/>
      <c r="K81" s="207"/>
      <c r="L81" s="192"/>
      <c r="M81" s="202"/>
      <c r="N81" s="207"/>
      <c r="O81" s="227"/>
      <c r="P81" s="245"/>
      <c r="Q81" s="207"/>
      <c r="R81" s="192"/>
      <c r="S81" s="245"/>
      <c r="T81" s="207"/>
      <c r="U81" s="179"/>
    </row>
    <row r="82" spans="1:21" s="30" customFormat="1" ht="21.75" customHeight="1">
      <c r="A82" s="190"/>
      <c r="B82" s="173"/>
      <c r="C82" s="73" t="s">
        <v>806</v>
      </c>
      <c r="D82" s="73" t="s">
        <v>47</v>
      </c>
      <c r="E82" s="73"/>
      <c r="F82" s="240" t="s">
        <v>833</v>
      </c>
      <c r="G82" s="213"/>
      <c r="H82" s="214"/>
      <c r="I82" s="244">
        <f t="shared" ref="I82:I85" si="60">G82-H82</f>
        <v>0</v>
      </c>
      <c r="J82" s="213"/>
      <c r="K82" s="214"/>
      <c r="L82" s="244">
        <f t="shared" ref="L82:L85" si="61">J82-K82</f>
        <v>0</v>
      </c>
      <c r="M82" s="213"/>
      <c r="N82" s="214"/>
      <c r="O82" s="246">
        <f t="shared" ref="O82:O85" si="62">M82-N82</f>
        <v>0</v>
      </c>
      <c r="P82" s="244">
        <f t="shared" ref="P82:Q86" si="63">J82+M82</f>
        <v>0</v>
      </c>
      <c r="Q82" s="244">
        <f t="shared" si="63"/>
        <v>0</v>
      </c>
      <c r="R82" s="249">
        <f t="shared" ref="R82:R85" si="64">P82-Q82</f>
        <v>0</v>
      </c>
      <c r="S82" s="244">
        <f t="shared" ref="S82:T86" si="65">G82+P82</f>
        <v>0</v>
      </c>
      <c r="T82" s="244">
        <f t="shared" si="65"/>
        <v>0</v>
      </c>
      <c r="U82" s="251">
        <f t="shared" ref="U82:U85" si="66">S82-T82</f>
        <v>0</v>
      </c>
    </row>
    <row r="83" spans="1:21" s="30" customFormat="1" ht="25.5" customHeight="1">
      <c r="A83" s="190"/>
      <c r="B83" s="173"/>
      <c r="C83" s="73" t="s">
        <v>807</v>
      </c>
      <c r="D83" s="73" t="s">
        <v>47</v>
      </c>
      <c r="E83" s="73"/>
      <c r="F83" s="240" t="s">
        <v>834</v>
      </c>
      <c r="G83" s="213"/>
      <c r="H83" s="214"/>
      <c r="I83" s="244">
        <f t="shared" si="60"/>
        <v>0</v>
      </c>
      <c r="J83" s="213"/>
      <c r="K83" s="214"/>
      <c r="L83" s="244">
        <f t="shared" si="61"/>
        <v>0</v>
      </c>
      <c r="M83" s="213"/>
      <c r="N83" s="214"/>
      <c r="O83" s="246">
        <f t="shared" si="62"/>
        <v>0</v>
      </c>
      <c r="P83" s="244">
        <f t="shared" si="63"/>
        <v>0</v>
      </c>
      <c r="Q83" s="244">
        <f t="shared" si="63"/>
        <v>0</v>
      </c>
      <c r="R83" s="249">
        <f t="shared" si="64"/>
        <v>0</v>
      </c>
      <c r="S83" s="244">
        <f t="shared" si="65"/>
        <v>0</v>
      </c>
      <c r="T83" s="244">
        <f t="shared" si="65"/>
        <v>0</v>
      </c>
      <c r="U83" s="251">
        <f t="shared" si="66"/>
        <v>0</v>
      </c>
    </row>
    <row r="84" spans="1:21" s="30" customFormat="1" ht="21" customHeight="1">
      <c r="A84" s="190"/>
      <c r="B84" s="173"/>
      <c r="C84" s="73" t="s">
        <v>808</v>
      </c>
      <c r="D84" s="73" t="s">
        <v>47</v>
      </c>
      <c r="E84" s="73"/>
      <c r="F84" s="240" t="s">
        <v>835</v>
      </c>
      <c r="G84" s="213"/>
      <c r="H84" s="214"/>
      <c r="I84" s="244">
        <f t="shared" si="60"/>
        <v>0</v>
      </c>
      <c r="J84" s="213"/>
      <c r="K84" s="214"/>
      <c r="L84" s="244">
        <f t="shared" si="61"/>
        <v>0</v>
      </c>
      <c r="M84" s="213"/>
      <c r="N84" s="214"/>
      <c r="O84" s="246">
        <f t="shared" si="62"/>
        <v>0</v>
      </c>
      <c r="P84" s="244">
        <f t="shared" si="63"/>
        <v>0</v>
      </c>
      <c r="Q84" s="244">
        <f t="shared" si="63"/>
        <v>0</v>
      </c>
      <c r="R84" s="249">
        <f t="shared" si="64"/>
        <v>0</v>
      </c>
      <c r="S84" s="244">
        <f t="shared" si="65"/>
        <v>0</v>
      </c>
      <c r="T84" s="244">
        <f t="shared" si="65"/>
        <v>0</v>
      </c>
      <c r="U84" s="251">
        <f t="shared" si="66"/>
        <v>0</v>
      </c>
    </row>
    <row r="85" spans="1:21" s="30" customFormat="1" ht="21.75" customHeight="1">
      <c r="A85" s="190"/>
      <c r="B85" s="173"/>
      <c r="C85" s="73" t="s">
        <v>809</v>
      </c>
      <c r="D85" s="73" t="s">
        <v>47</v>
      </c>
      <c r="E85" s="73"/>
      <c r="F85" s="237" t="s">
        <v>817</v>
      </c>
      <c r="G85" s="213"/>
      <c r="H85" s="214"/>
      <c r="I85" s="244">
        <f t="shared" si="60"/>
        <v>0</v>
      </c>
      <c r="J85" s="213"/>
      <c r="K85" s="214"/>
      <c r="L85" s="244">
        <f t="shared" si="61"/>
        <v>0</v>
      </c>
      <c r="M85" s="213"/>
      <c r="N85" s="214"/>
      <c r="O85" s="246">
        <f t="shared" si="62"/>
        <v>0</v>
      </c>
      <c r="P85" s="244">
        <f t="shared" si="63"/>
        <v>0</v>
      </c>
      <c r="Q85" s="244">
        <f t="shared" si="63"/>
        <v>0</v>
      </c>
      <c r="R85" s="249">
        <f t="shared" si="64"/>
        <v>0</v>
      </c>
      <c r="S85" s="244">
        <f t="shared" si="65"/>
        <v>0</v>
      </c>
      <c r="T85" s="244">
        <f t="shared" si="65"/>
        <v>0</v>
      </c>
      <c r="U85" s="251">
        <f t="shared" si="66"/>
        <v>0</v>
      </c>
    </row>
    <row r="86" spans="1:21" s="30" customFormat="1" ht="25.5" customHeight="1">
      <c r="A86" s="190" t="s">
        <v>48</v>
      </c>
      <c r="B86" s="173"/>
      <c r="C86" s="73" t="s">
        <v>757</v>
      </c>
      <c r="D86" s="73" t="s">
        <v>4</v>
      </c>
      <c r="E86" s="73"/>
      <c r="F86" s="237" t="s">
        <v>880</v>
      </c>
      <c r="G86" s="213"/>
      <c r="H86" s="214"/>
      <c r="I86" s="244">
        <f>G86-H86</f>
        <v>0</v>
      </c>
      <c r="J86" s="213"/>
      <c r="K86" s="214"/>
      <c r="L86" s="244">
        <f>J86-K86</f>
        <v>0</v>
      </c>
      <c r="M86" s="213"/>
      <c r="N86" s="214"/>
      <c r="O86" s="246">
        <f>M86-N86</f>
        <v>0</v>
      </c>
      <c r="P86" s="244">
        <f t="shared" si="63"/>
        <v>0</v>
      </c>
      <c r="Q86" s="244">
        <f t="shared" si="63"/>
        <v>0</v>
      </c>
      <c r="R86" s="249">
        <f>P86-Q86</f>
        <v>0</v>
      </c>
      <c r="S86" s="244">
        <f t="shared" si="65"/>
        <v>0</v>
      </c>
      <c r="T86" s="244">
        <f t="shared" si="65"/>
        <v>0</v>
      </c>
      <c r="U86" s="251">
        <f>S86-T86</f>
        <v>0</v>
      </c>
    </row>
    <row r="87" spans="1:21" s="30" customFormat="1" ht="21.75" customHeight="1">
      <c r="A87" s="190"/>
      <c r="B87" s="173"/>
      <c r="C87" s="73" t="s">
        <v>810</v>
      </c>
      <c r="D87" s="73" t="s">
        <v>47</v>
      </c>
      <c r="E87" s="73"/>
      <c r="F87" s="196" t="s">
        <v>814</v>
      </c>
      <c r="G87" s="215"/>
      <c r="H87" s="216"/>
      <c r="I87" s="217"/>
      <c r="J87" s="215"/>
      <c r="K87" s="216"/>
      <c r="L87" s="217"/>
      <c r="M87" s="215"/>
      <c r="N87" s="216"/>
      <c r="O87" s="218"/>
      <c r="P87" s="217"/>
      <c r="Q87" s="216"/>
      <c r="R87" s="217"/>
      <c r="S87" s="215"/>
      <c r="T87" s="216"/>
      <c r="U87" s="233"/>
    </row>
    <row r="88" spans="1:21" s="30" customFormat="1" ht="25.5" customHeight="1">
      <c r="A88" s="190"/>
      <c r="B88" s="173"/>
      <c r="C88" s="73" t="s">
        <v>811</v>
      </c>
      <c r="D88" s="73" t="s">
        <v>47</v>
      </c>
      <c r="E88" s="73"/>
      <c r="F88" s="196" t="s">
        <v>815</v>
      </c>
      <c r="G88" s="215"/>
      <c r="H88" s="216"/>
      <c r="I88" s="217"/>
      <c r="J88" s="215"/>
      <c r="K88" s="216"/>
      <c r="L88" s="217"/>
      <c r="M88" s="215"/>
      <c r="N88" s="216"/>
      <c r="O88" s="218"/>
      <c r="P88" s="217"/>
      <c r="Q88" s="216"/>
      <c r="R88" s="217"/>
      <c r="S88" s="215"/>
      <c r="T88" s="216"/>
      <c r="U88" s="233"/>
    </row>
    <row r="89" spans="1:21" s="30" customFormat="1" ht="21.75" customHeight="1">
      <c r="A89" s="190"/>
      <c r="B89" s="173"/>
      <c r="C89" s="73" t="s">
        <v>812</v>
      </c>
      <c r="D89" s="73" t="s">
        <v>47</v>
      </c>
      <c r="E89" s="73"/>
      <c r="F89" s="196" t="s">
        <v>816</v>
      </c>
      <c r="G89" s="215"/>
      <c r="H89" s="216"/>
      <c r="I89" s="217"/>
      <c r="J89" s="215"/>
      <c r="K89" s="216"/>
      <c r="L89" s="217"/>
      <c r="M89" s="215"/>
      <c r="N89" s="216"/>
      <c r="O89" s="217"/>
      <c r="P89" s="215"/>
      <c r="Q89" s="216"/>
      <c r="R89" s="217"/>
      <c r="S89" s="215"/>
      <c r="T89" s="216"/>
      <c r="U89" s="233"/>
    </row>
    <row r="90" spans="1:21" ht="30.75" customHeight="1" thickBot="1">
      <c r="A90" s="190"/>
      <c r="B90" s="180"/>
      <c r="C90" s="181"/>
      <c r="D90" s="181"/>
      <c r="E90" s="181" t="s">
        <v>0</v>
      </c>
      <c r="F90" s="298"/>
      <c r="G90" s="235"/>
      <c r="H90" s="236"/>
      <c r="I90" s="234"/>
      <c r="J90" s="235"/>
      <c r="K90" s="236"/>
      <c r="L90" s="234"/>
      <c r="M90" s="235"/>
      <c r="N90" s="236"/>
      <c r="O90" s="234"/>
      <c r="P90" s="235"/>
      <c r="Q90" s="236"/>
      <c r="R90" s="234"/>
      <c r="S90" s="235"/>
      <c r="T90" s="236"/>
      <c r="U90" s="182"/>
    </row>
    <row r="91" spans="1:21" ht="15.75" thickBot="1"/>
    <row r="92" spans="1:21" ht="15.75" thickBot="1">
      <c r="B92" s="265"/>
      <c r="C92" s="266"/>
      <c r="D92" s="266"/>
      <c r="E92" s="266"/>
      <c r="F92" s="333" t="s">
        <v>862</v>
      </c>
      <c r="G92" s="334"/>
      <c r="H92" s="334"/>
      <c r="I92" s="335"/>
      <c r="J92" s="266"/>
      <c r="K92" s="266"/>
      <c r="L92" s="266"/>
      <c r="M92" s="266"/>
      <c r="N92" s="266"/>
      <c r="O92" s="266"/>
      <c r="P92" s="266"/>
      <c r="Q92" s="266"/>
      <c r="R92" s="266"/>
      <c r="S92" s="266"/>
      <c r="T92" s="266"/>
      <c r="U92" s="267"/>
    </row>
    <row r="93" spans="1:21">
      <c r="B93" s="268"/>
      <c r="F93" s="269" t="s">
        <v>762</v>
      </c>
      <c r="G93" s="336" t="s">
        <v>766</v>
      </c>
      <c r="H93" s="337"/>
      <c r="I93" s="338"/>
      <c r="U93" s="270"/>
    </row>
    <row r="94" spans="1:21">
      <c r="B94" s="268"/>
      <c r="F94" s="271" t="s">
        <v>763</v>
      </c>
      <c r="G94" s="339" t="s">
        <v>778</v>
      </c>
      <c r="H94" s="340"/>
      <c r="I94" s="341"/>
      <c r="U94" s="270"/>
    </row>
    <row r="95" spans="1:21" ht="15.75" thickBot="1">
      <c r="B95" s="268"/>
      <c r="F95" s="272" t="s">
        <v>764</v>
      </c>
      <c r="G95" s="348" t="s">
        <v>780</v>
      </c>
      <c r="H95" s="349"/>
      <c r="I95" s="350"/>
      <c r="U95" s="270"/>
    </row>
    <row r="96" spans="1:21" s="30" customFormat="1" ht="55.15" customHeight="1" thickBot="1">
      <c r="A96" s="163" t="s">
        <v>54</v>
      </c>
      <c r="B96" s="273"/>
      <c r="C96" s="274"/>
      <c r="D96" s="274"/>
      <c r="E96" s="274"/>
      <c r="F96" s="275" t="s">
        <v>786</v>
      </c>
      <c r="G96" s="351" t="str">
        <f>IF(ISERROR(CONCATENATE(VLOOKUP($G93,Hoja1!$C$1:$G$12,5,FALSE),"_",VLOOKUP($G94,Hoja1!$D$1:$H$2,5,FALSE),"_",VLOOKUP($G95,Hoja1!$E$1:$I$2,5,FALSE))),"Elija un valor para cada elemento en el bloque superior o elimine este bloque",CONCATENATE($G93,", ",$G94,", ",$G95))</f>
        <v>Compromisos de préstamos, Pérdidas crediticias esperadas durante 12 meses, Pérdidas crediticias esperadas evaluadas de forma individual</v>
      </c>
      <c r="H96" s="352"/>
      <c r="I96" s="352"/>
      <c r="J96" s="352"/>
      <c r="K96" s="352"/>
      <c r="L96" s="352"/>
      <c r="M96" s="352"/>
      <c r="N96" s="352"/>
      <c r="O96" s="352"/>
      <c r="P96" s="352"/>
      <c r="Q96" s="352"/>
      <c r="R96" s="352"/>
      <c r="S96" s="352"/>
      <c r="T96" s="352"/>
      <c r="U96" s="353"/>
    </row>
    <row r="97" spans="1:21" s="30" customFormat="1" ht="76.150000000000006" customHeight="1">
      <c r="A97" s="163" t="s">
        <v>55</v>
      </c>
      <c r="B97" s="167"/>
      <c r="C97" s="168"/>
      <c r="D97" s="168" t="s">
        <v>785</v>
      </c>
      <c r="E97" s="169" t="s">
        <v>747</v>
      </c>
      <c r="F97" s="170"/>
      <c r="G97" s="171" t="str">
        <f>CONCATENATE("IFRS7-ConcCambValo_",VLOOKUP($G93,Hoja1!$C$1:$G$12,5,FALSE),"_",VLOOKUP($G94,Hoja1!$D$1:$H$2,5,FALSE),"_",VLOOKUP($G95,Hoja1!$E$1:$I$2,5,FALSE),"_0","|",$G96)</f>
        <v>IFRS7-ConcCambValo_CompPrest_PerdCred12Me_PerdCredIndi_0|Compromisos de préstamos, Pérdidas crediticias esperadas durante 12 meses, Pérdidas crediticias esperadas evaluadas de forma individual</v>
      </c>
      <c r="H97" s="171" t="str">
        <f>G97</f>
        <v>IFRS7-ConcCambValo_CompPrest_PerdCred12Me_PerdCredIndi_0|Compromisos de préstamos, Pérdidas crediticias esperadas durante 12 meses, Pérdidas crediticias esperadas evaluadas de forma individual</v>
      </c>
      <c r="I97" s="172" t="str">
        <f t="shared" ref="I97" si="67">H97</f>
        <v>IFRS7-ConcCambValo_CompPrest_PerdCred12Me_PerdCredIndi_0|Compromisos de préstamos, Pérdidas crediticias esperadas durante 12 meses, Pérdidas crediticias esperadas evaluadas de forma individual</v>
      </c>
      <c r="J97" s="171" t="str">
        <f t="shared" ref="J97" si="68">I97</f>
        <v>IFRS7-ConcCambValo_CompPrest_PerdCred12Me_PerdCredIndi_0|Compromisos de préstamos, Pérdidas crediticias esperadas durante 12 meses, Pérdidas crediticias esperadas evaluadas de forma individual</v>
      </c>
      <c r="K97" s="171" t="str">
        <f t="shared" ref="K97" si="69">J97</f>
        <v>IFRS7-ConcCambValo_CompPrest_PerdCred12Me_PerdCredIndi_0|Compromisos de préstamos, Pérdidas crediticias esperadas durante 12 meses, Pérdidas crediticias esperadas evaluadas de forma individual</v>
      </c>
      <c r="L97" s="172" t="str">
        <f t="shared" ref="L97" si="70">K97</f>
        <v>IFRS7-ConcCambValo_CompPrest_PerdCred12Me_PerdCredIndi_0|Compromisos de préstamos, Pérdidas crediticias esperadas durante 12 meses, Pérdidas crediticias esperadas evaluadas de forma individual</v>
      </c>
      <c r="M97" s="171" t="str">
        <f t="shared" ref="M97" si="71">L97</f>
        <v>IFRS7-ConcCambValo_CompPrest_PerdCred12Me_PerdCredIndi_0|Compromisos de préstamos, Pérdidas crediticias esperadas durante 12 meses, Pérdidas crediticias esperadas evaluadas de forma individual</v>
      </c>
      <c r="N97" s="171" t="str">
        <f t="shared" ref="N97" si="72">M97</f>
        <v>IFRS7-ConcCambValo_CompPrest_PerdCred12Me_PerdCredIndi_0|Compromisos de préstamos, Pérdidas crediticias esperadas durante 12 meses, Pérdidas crediticias esperadas evaluadas de forma individual</v>
      </c>
      <c r="O97" s="172" t="str">
        <f t="shared" ref="O97" si="73">N97</f>
        <v>IFRS7-ConcCambValo_CompPrest_PerdCred12Me_PerdCredIndi_0|Compromisos de préstamos, Pérdidas crediticias esperadas durante 12 meses, Pérdidas crediticias esperadas evaluadas de forma individual</v>
      </c>
      <c r="P97" s="171" t="str">
        <f t="shared" ref="P97" si="74">O97</f>
        <v>IFRS7-ConcCambValo_CompPrest_PerdCred12Me_PerdCredIndi_0|Compromisos de préstamos, Pérdidas crediticias esperadas durante 12 meses, Pérdidas crediticias esperadas evaluadas de forma individual</v>
      </c>
      <c r="Q97" s="171" t="str">
        <f t="shared" ref="Q97" si="75">P97</f>
        <v>IFRS7-ConcCambValo_CompPrest_PerdCred12Me_PerdCredIndi_0|Compromisos de préstamos, Pérdidas crediticias esperadas durante 12 meses, Pérdidas crediticias esperadas evaluadas de forma individual</v>
      </c>
      <c r="R97" s="172" t="str">
        <f t="shared" ref="R97" si="76">Q97</f>
        <v>IFRS7-ConcCambValo_CompPrest_PerdCred12Me_PerdCredIndi_0|Compromisos de préstamos, Pérdidas crediticias esperadas durante 12 meses, Pérdidas crediticias esperadas evaluadas de forma individual</v>
      </c>
      <c r="S97" s="171" t="str">
        <f t="shared" ref="S97" si="77">R97</f>
        <v>IFRS7-ConcCambValo_CompPrest_PerdCred12Me_PerdCredIndi_0|Compromisos de préstamos, Pérdidas crediticias esperadas durante 12 meses, Pérdidas crediticias esperadas evaluadas de forma individual</v>
      </c>
      <c r="T97" s="171" t="str">
        <f t="shared" ref="T97" si="78">S97</f>
        <v>IFRS7-ConcCambValo_CompPrest_PerdCred12Me_PerdCredIndi_0|Compromisos de préstamos, Pérdidas crediticias esperadas durante 12 meses, Pérdidas crediticias esperadas evaluadas de forma individual</v>
      </c>
      <c r="U97" s="172" t="str">
        <f t="shared" ref="U97" si="79">T97</f>
        <v>IFRS7-ConcCambValo_CompPrest_PerdCred12Me_PerdCredIndi_0|Compromisos de préstamos, Pérdidas crediticias esperadas durante 12 meses, Pérdidas crediticias esperadas evaluadas de forma individual</v>
      </c>
    </row>
    <row r="98" spans="1:21" s="30" customFormat="1" ht="78" customHeight="1">
      <c r="A98" s="228"/>
      <c r="B98" s="229"/>
      <c r="C98" s="187"/>
      <c r="D98" s="187"/>
      <c r="E98" s="184"/>
      <c r="F98" s="198"/>
      <c r="G98" s="329" t="s">
        <v>737</v>
      </c>
      <c r="H98" s="330"/>
      <c r="I98" s="331"/>
      <c r="J98" s="329" t="s">
        <v>738</v>
      </c>
      <c r="K98" s="330"/>
      <c r="L98" s="331"/>
      <c r="M98" s="329" t="s">
        <v>739</v>
      </c>
      <c r="N98" s="330"/>
      <c r="O98" s="331"/>
      <c r="P98" s="329" t="s">
        <v>740</v>
      </c>
      <c r="Q98" s="330"/>
      <c r="R98" s="331"/>
      <c r="S98" s="329" t="s">
        <v>741</v>
      </c>
      <c r="T98" s="330"/>
      <c r="U98" s="332"/>
    </row>
    <row r="99" spans="1:21" s="30" customFormat="1" ht="57" hidden="1" customHeight="1">
      <c r="A99" s="62" t="s">
        <v>55</v>
      </c>
      <c r="B99" s="173"/>
      <c r="C99" s="174"/>
      <c r="D99" s="175"/>
      <c r="E99" s="73" t="s">
        <v>736</v>
      </c>
      <c r="F99" s="199"/>
      <c r="G99" s="201" t="s">
        <v>742</v>
      </c>
      <c r="H99" s="206" t="str">
        <f>G99</f>
        <v>full_ifrs-cor_2018-03-16.xsd#ifrs-full_FinancialInstrumentsNotCreditimpairedMember</v>
      </c>
      <c r="I99" s="204" t="str">
        <f>H99</f>
        <v>full_ifrs-cor_2018-03-16.xsd#ifrs-full_FinancialInstrumentsNotCreditimpairedMember</v>
      </c>
      <c r="J99" s="201" t="s">
        <v>743</v>
      </c>
      <c r="K99" s="206" t="str">
        <f t="shared" ref="K99" si="80">J99</f>
        <v>full_ifrs-cor_2018-03-16.xsd#ifrs-full_FinancialInstrumentsPurchasedOrOriginatedCreditimpairedMember</v>
      </c>
      <c r="L99" s="204" t="str">
        <f t="shared" ref="L99" si="81">K99</f>
        <v>full_ifrs-cor_2018-03-16.xsd#ifrs-full_FinancialInstrumentsPurchasedOrOriginatedCreditimpairedMember</v>
      </c>
      <c r="M99" s="201" t="s">
        <v>744</v>
      </c>
      <c r="N99" s="206" t="str">
        <f t="shared" ref="N99" si="82">M99</f>
        <v>full_ifrs-cor_2018-03-16.xsd#ifrs-full_FinancialInstrumentsCreditimpairedAfterPurchaseOrOriginationMember</v>
      </c>
      <c r="O99" s="204" t="str">
        <f t="shared" ref="O99" si="83">N99</f>
        <v>full_ifrs-cor_2018-03-16.xsd#ifrs-full_FinancialInstrumentsCreditimpairedAfterPurchaseOrOriginationMember</v>
      </c>
      <c r="P99" s="201" t="s">
        <v>745</v>
      </c>
      <c r="Q99" s="206" t="str">
        <f t="shared" ref="Q99" si="84">P99</f>
        <v>full_ifrs-cor_2018-03-16.xsd#ifrs-full_FinancialInstrumentsCreditimpairedMember</v>
      </c>
      <c r="R99" s="204" t="str">
        <f t="shared" ref="R99" si="85">Q99</f>
        <v>full_ifrs-cor_2018-03-16.xsd#ifrs-full_FinancialInstrumentsCreditimpairedMember</v>
      </c>
      <c r="S99" s="247" t="s">
        <v>746</v>
      </c>
      <c r="T99" s="206" t="str">
        <f t="shared" ref="T99" si="86">S99</f>
        <v>full_ifrs-cor_2018-03-16.xsd#ifrs-full_CreditImpairmentOfFinancialInstrumentsMember</v>
      </c>
      <c r="U99" s="230" t="str">
        <f t="shared" ref="U99" si="87">T99</f>
        <v>full_ifrs-cor_2018-03-16.xsd#ifrs-full_CreditImpairmentOfFinancialInstrumentsMember</v>
      </c>
    </row>
    <row r="100" spans="1:21" s="30" customFormat="1" ht="78" customHeight="1">
      <c r="A100" s="228"/>
      <c r="B100" s="229"/>
      <c r="C100" s="187"/>
      <c r="D100" s="187"/>
      <c r="E100" s="184"/>
      <c r="F100" s="198"/>
      <c r="G100" s="200" t="s">
        <v>730</v>
      </c>
      <c r="H100" s="205" t="s">
        <v>731</v>
      </c>
      <c r="I100" s="188" t="s">
        <v>732</v>
      </c>
      <c r="J100" s="200" t="s">
        <v>730</v>
      </c>
      <c r="K100" s="205" t="s">
        <v>731</v>
      </c>
      <c r="L100" s="188" t="s">
        <v>732</v>
      </c>
      <c r="M100" s="200" t="s">
        <v>730</v>
      </c>
      <c r="N100" s="205" t="s">
        <v>731</v>
      </c>
      <c r="O100" s="188" t="s">
        <v>732</v>
      </c>
      <c r="P100" s="200" t="s">
        <v>730</v>
      </c>
      <c r="Q100" s="205" t="s">
        <v>731</v>
      </c>
      <c r="R100" s="188" t="s">
        <v>732</v>
      </c>
      <c r="S100" s="248" t="s">
        <v>730</v>
      </c>
      <c r="T100" s="205" t="s">
        <v>731</v>
      </c>
      <c r="U100" s="231" t="s">
        <v>732</v>
      </c>
    </row>
    <row r="101" spans="1:21" s="30" customFormat="1" ht="57" hidden="1" customHeight="1">
      <c r="A101" s="62" t="s">
        <v>55</v>
      </c>
      <c r="B101" s="173"/>
      <c r="C101" s="174"/>
      <c r="D101" s="175"/>
      <c r="E101" s="73" t="s">
        <v>729</v>
      </c>
      <c r="F101" s="199"/>
      <c r="G101" s="201" t="s">
        <v>733</v>
      </c>
      <c r="H101" s="206" t="s">
        <v>734</v>
      </c>
      <c r="I101" s="204" t="s">
        <v>735</v>
      </c>
      <c r="J101" s="201" t="s">
        <v>733</v>
      </c>
      <c r="K101" s="206" t="s">
        <v>734</v>
      </c>
      <c r="L101" s="204" t="s">
        <v>735</v>
      </c>
      <c r="M101" s="201" t="s">
        <v>733</v>
      </c>
      <c r="N101" s="206" t="s">
        <v>734</v>
      </c>
      <c r="O101" s="204" t="s">
        <v>735</v>
      </c>
      <c r="P101" s="201" t="s">
        <v>733</v>
      </c>
      <c r="Q101" s="206" t="s">
        <v>734</v>
      </c>
      <c r="R101" s="204" t="s">
        <v>735</v>
      </c>
      <c r="S101" s="247" t="s">
        <v>733</v>
      </c>
      <c r="T101" s="206" t="s">
        <v>734</v>
      </c>
      <c r="U101" s="230" t="s">
        <v>735</v>
      </c>
    </row>
    <row r="102" spans="1:21" s="30" customFormat="1" ht="22.5" customHeight="1">
      <c r="A102" s="62"/>
      <c r="B102" s="173"/>
      <c r="C102" s="174"/>
      <c r="D102" s="175"/>
      <c r="E102" s="175"/>
      <c r="F102" s="299" t="s">
        <v>727</v>
      </c>
      <c r="G102" s="201"/>
      <c r="H102" s="206"/>
      <c r="I102" s="189"/>
      <c r="J102" s="201"/>
      <c r="K102" s="206"/>
      <c r="L102" s="189"/>
      <c r="M102" s="201"/>
      <c r="N102" s="206"/>
      <c r="O102" s="189"/>
      <c r="P102" s="201"/>
      <c r="Q102" s="206"/>
      <c r="R102" s="189"/>
      <c r="S102" s="247"/>
      <c r="T102" s="206"/>
      <c r="U102" s="176"/>
    </row>
    <row r="103" spans="1:21" s="30" customFormat="1" ht="33.75">
      <c r="A103" s="190"/>
      <c r="B103" s="177"/>
      <c r="C103" s="121"/>
      <c r="D103" s="178"/>
      <c r="E103" s="73"/>
      <c r="F103" s="197" t="s">
        <v>813</v>
      </c>
      <c r="G103" s="202"/>
      <c r="H103" s="207"/>
      <c r="I103" s="192"/>
      <c r="J103" s="202"/>
      <c r="K103" s="207"/>
      <c r="L103" s="192"/>
      <c r="M103" s="202"/>
      <c r="N103" s="207"/>
      <c r="O103" s="192"/>
      <c r="P103" s="202"/>
      <c r="Q103" s="207"/>
      <c r="R103" s="192"/>
      <c r="S103" s="245"/>
      <c r="T103" s="207"/>
      <c r="U103" s="232"/>
    </row>
    <row r="104" spans="1:21" s="30" customFormat="1" ht="21" hidden="1" customHeight="1">
      <c r="A104" s="190"/>
      <c r="B104" s="173"/>
      <c r="C104" s="73" t="s">
        <v>750</v>
      </c>
      <c r="D104" s="73" t="s">
        <v>4</v>
      </c>
      <c r="E104" s="73"/>
      <c r="F104" s="196" t="s">
        <v>762</v>
      </c>
      <c r="G104" s="278" t="str">
        <f>$G93</f>
        <v>Compromisos de préstamos</v>
      </c>
      <c r="H104" s="276" t="str">
        <f t="shared" ref="H104:U104" si="88">$G93</f>
        <v>Compromisos de préstamos</v>
      </c>
      <c r="I104" s="277" t="str">
        <f t="shared" si="88"/>
        <v>Compromisos de préstamos</v>
      </c>
      <c r="J104" s="278" t="str">
        <f t="shared" si="88"/>
        <v>Compromisos de préstamos</v>
      </c>
      <c r="K104" s="276" t="str">
        <f t="shared" si="88"/>
        <v>Compromisos de préstamos</v>
      </c>
      <c r="L104" s="277" t="str">
        <f t="shared" si="88"/>
        <v>Compromisos de préstamos</v>
      </c>
      <c r="M104" s="278"/>
      <c r="N104" s="276"/>
      <c r="O104" s="277" t="str">
        <f t="shared" si="88"/>
        <v>Compromisos de préstamos</v>
      </c>
      <c r="P104" s="278" t="str">
        <f t="shared" si="88"/>
        <v>Compromisos de préstamos</v>
      </c>
      <c r="Q104" s="276" t="str">
        <f t="shared" si="88"/>
        <v>Compromisos de préstamos</v>
      </c>
      <c r="R104" s="277" t="str">
        <f t="shared" si="88"/>
        <v>Compromisos de préstamos</v>
      </c>
      <c r="S104" s="278" t="str">
        <f t="shared" si="88"/>
        <v>Compromisos de préstamos</v>
      </c>
      <c r="T104" s="276" t="str">
        <f t="shared" si="88"/>
        <v>Compromisos de préstamos</v>
      </c>
      <c r="U104" s="279" t="str">
        <f t="shared" si="88"/>
        <v>Compromisos de préstamos</v>
      </c>
    </row>
    <row r="105" spans="1:21" s="30" customFormat="1" ht="21.75" hidden="1" customHeight="1">
      <c r="A105" s="190"/>
      <c r="B105" s="173"/>
      <c r="C105" s="73" t="s">
        <v>751</v>
      </c>
      <c r="D105" s="73" t="s">
        <v>4</v>
      </c>
      <c r="E105" s="73"/>
      <c r="F105" s="196" t="s">
        <v>763</v>
      </c>
      <c r="G105" s="278" t="str">
        <f>$G94</f>
        <v>Pérdidas crediticias esperadas durante 12 meses</v>
      </c>
      <c r="H105" s="276" t="str">
        <f t="shared" ref="H105:U105" si="89">$G94</f>
        <v>Pérdidas crediticias esperadas durante 12 meses</v>
      </c>
      <c r="I105" s="277" t="str">
        <f t="shared" si="89"/>
        <v>Pérdidas crediticias esperadas durante 12 meses</v>
      </c>
      <c r="J105" s="278" t="str">
        <f t="shared" si="89"/>
        <v>Pérdidas crediticias esperadas durante 12 meses</v>
      </c>
      <c r="K105" s="276" t="str">
        <f t="shared" si="89"/>
        <v>Pérdidas crediticias esperadas durante 12 meses</v>
      </c>
      <c r="L105" s="277" t="str">
        <f t="shared" si="89"/>
        <v>Pérdidas crediticias esperadas durante 12 meses</v>
      </c>
      <c r="M105" s="278"/>
      <c r="N105" s="276"/>
      <c r="O105" s="277" t="str">
        <f t="shared" si="89"/>
        <v>Pérdidas crediticias esperadas durante 12 meses</v>
      </c>
      <c r="P105" s="278" t="str">
        <f t="shared" si="89"/>
        <v>Pérdidas crediticias esperadas durante 12 meses</v>
      </c>
      <c r="Q105" s="276" t="str">
        <f t="shared" si="89"/>
        <v>Pérdidas crediticias esperadas durante 12 meses</v>
      </c>
      <c r="R105" s="277" t="str">
        <f t="shared" si="89"/>
        <v>Pérdidas crediticias esperadas durante 12 meses</v>
      </c>
      <c r="S105" s="278" t="str">
        <f t="shared" si="89"/>
        <v>Pérdidas crediticias esperadas durante 12 meses</v>
      </c>
      <c r="T105" s="276" t="str">
        <f t="shared" si="89"/>
        <v>Pérdidas crediticias esperadas durante 12 meses</v>
      </c>
      <c r="U105" s="279" t="str">
        <f t="shared" si="89"/>
        <v>Pérdidas crediticias esperadas durante 12 meses</v>
      </c>
    </row>
    <row r="106" spans="1:21" s="30" customFormat="1" ht="25.5" hidden="1" customHeight="1">
      <c r="A106" s="190"/>
      <c r="B106" s="173"/>
      <c r="C106" s="73" t="s">
        <v>752</v>
      </c>
      <c r="D106" s="73" t="s">
        <v>4</v>
      </c>
      <c r="E106" s="73"/>
      <c r="F106" s="196" t="s">
        <v>764</v>
      </c>
      <c r="G106" s="278" t="str">
        <f>$G95</f>
        <v>Pérdidas crediticias esperadas evaluadas de forma individual</v>
      </c>
      <c r="H106" s="276" t="str">
        <f t="shared" ref="H106:U106" si="90">$G95</f>
        <v>Pérdidas crediticias esperadas evaluadas de forma individual</v>
      </c>
      <c r="I106" s="277" t="str">
        <f t="shared" si="90"/>
        <v>Pérdidas crediticias esperadas evaluadas de forma individual</v>
      </c>
      <c r="J106" s="278" t="str">
        <f t="shared" si="90"/>
        <v>Pérdidas crediticias esperadas evaluadas de forma individual</v>
      </c>
      <c r="K106" s="276" t="str">
        <f t="shared" si="90"/>
        <v>Pérdidas crediticias esperadas evaluadas de forma individual</v>
      </c>
      <c r="L106" s="277" t="str">
        <f t="shared" si="90"/>
        <v>Pérdidas crediticias esperadas evaluadas de forma individual</v>
      </c>
      <c r="M106" s="278"/>
      <c r="N106" s="276"/>
      <c r="O106" s="277" t="str">
        <f t="shared" si="90"/>
        <v>Pérdidas crediticias esperadas evaluadas de forma individual</v>
      </c>
      <c r="P106" s="278" t="str">
        <f t="shared" si="90"/>
        <v>Pérdidas crediticias esperadas evaluadas de forma individual</v>
      </c>
      <c r="Q106" s="276" t="str">
        <f t="shared" si="90"/>
        <v>Pérdidas crediticias esperadas evaluadas de forma individual</v>
      </c>
      <c r="R106" s="277" t="str">
        <f t="shared" si="90"/>
        <v>Pérdidas crediticias esperadas evaluadas de forma individual</v>
      </c>
      <c r="S106" s="278" t="str">
        <f t="shared" si="90"/>
        <v>Pérdidas crediticias esperadas evaluadas de forma individual</v>
      </c>
      <c r="T106" s="276" t="str">
        <f t="shared" si="90"/>
        <v>Pérdidas crediticias esperadas evaluadas de forma individual</v>
      </c>
      <c r="U106" s="279" t="str">
        <f t="shared" si="90"/>
        <v>Pérdidas crediticias esperadas evaluadas de forma individual</v>
      </c>
    </row>
    <row r="107" spans="1:21" s="30" customFormat="1" ht="21" customHeight="1">
      <c r="A107" s="190" t="s">
        <v>48</v>
      </c>
      <c r="B107" s="173"/>
      <c r="C107" s="73" t="s">
        <v>756</v>
      </c>
      <c r="D107" s="73" t="s">
        <v>4</v>
      </c>
      <c r="E107" s="73"/>
      <c r="F107" s="237" t="s">
        <v>879</v>
      </c>
      <c r="G107" s="213"/>
      <c r="H107" s="214"/>
      <c r="I107" s="244">
        <f>G107-H107</f>
        <v>0</v>
      </c>
      <c r="J107" s="213"/>
      <c r="K107" s="214"/>
      <c r="L107" s="244">
        <f>J107-K107</f>
        <v>0</v>
      </c>
      <c r="M107" s="213"/>
      <c r="N107" s="214"/>
      <c r="O107" s="246">
        <f>M107-N107</f>
        <v>0</v>
      </c>
      <c r="P107" s="244">
        <f>J107+M107</f>
        <v>0</v>
      </c>
      <c r="Q107" s="244">
        <f>K107+N107</f>
        <v>0</v>
      </c>
      <c r="R107" s="249">
        <f>P107-Q107</f>
        <v>0</v>
      </c>
      <c r="S107" s="244">
        <f>G107+P107</f>
        <v>0</v>
      </c>
      <c r="T107" s="244">
        <f>H107+Q107</f>
        <v>0</v>
      </c>
      <c r="U107" s="251">
        <f>S107-T107</f>
        <v>0</v>
      </c>
    </row>
    <row r="108" spans="1:21" s="30" customFormat="1" ht="21.75" customHeight="1">
      <c r="A108" s="190"/>
      <c r="B108" s="173"/>
      <c r="C108" s="73"/>
      <c r="D108" s="73"/>
      <c r="E108" s="73"/>
      <c r="F108" s="237" t="s">
        <v>787</v>
      </c>
      <c r="G108" s="202"/>
      <c r="H108" s="207"/>
      <c r="I108" s="192"/>
      <c r="J108" s="202"/>
      <c r="K108" s="207"/>
      <c r="L108" s="192"/>
      <c r="M108" s="202"/>
      <c r="N108" s="207"/>
      <c r="O108" s="227"/>
      <c r="P108" s="245"/>
      <c r="Q108" s="207"/>
      <c r="R108" s="192"/>
      <c r="S108" s="245"/>
      <c r="T108" s="207"/>
      <c r="U108" s="179"/>
    </row>
    <row r="109" spans="1:21" s="30" customFormat="1" ht="25.5" customHeight="1">
      <c r="A109" s="190"/>
      <c r="B109" s="173"/>
      <c r="C109" s="73" t="s">
        <v>788</v>
      </c>
      <c r="D109" s="73" t="s">
        <v>4</v>
      </c>
      <c r="E109" s="73"/>
      <c r="F109" s="238" t="s">
        <v>818</v>
      </c>
      <c r="G109" s="213"/>
      <c r="H109" s="214"/>
      <c r="I109" s="244">
        <f t="shared" ref="I109:I114" si="91">G109-H109</f>
        <v>0</v>
      </c>
      <c r="J109" s="213"/>
      <c r="K109" s="214"/>
      <c r="L109" s="244">
        <f t="shared" ref="L109:L114" si="92">J109-K109</f>
        <v>0</v>
      </c>
      <c r="M109" s="213"/>
      <c r="N109" s="214"/>
      <c r="O109" s="246">
        <f t="shared" ref="O109:O114" si="93">M109-N109</f>
        <v>0</v>
      </c>
      <c r="P109" s="244">
        <f t="shared" ref="P109:P114" si="94">J109+M109</f>
        <v>0</v>
      </c>
      <c r="Q109" s="244">
        <f t="shared" ref="Q109:Q114" si="95">K109+N109</f>
        <v>0</v>
      </c>
      <c r="R109" s="249">
        <f t="shared" ref="R109:R114" si="96">P109-Q109</f>
        <v>0</v>
      </c>
      <c r="S109" s="244">
        <f t="shared" ref="S109:S114" si="97">G109+P109</f>
        <v>0</v>
      </c>
      <c r="T109" s="244">
        <f t="shared" ref="T109:T114" si="98">H109+Q109</f>
        <v>0</v>
      </c>
      <c r="U109" s="251">
        <f t="shared" ref="U109:U114" si="99">S109-T109</f>
        <v>0</v>
      </c>
    </row>
    <row r="110" spans="1:21" s="30" customFormat="1" ht="21.75" customHeight="1">
      <c r="A110" s="190"/>
      <c r="B110" s="173"/>
      <c r="C110" s="73" t="s">
        <v>789</v>
      </c>
      <c r="D110" s="73" t="s">
        <v>4</v>
      </c>
      <c r="E110" s="73"/>
      <c r="F110" s="238" t="s">
        <v>819</v>
      </c>
      <c r="G110" s="213"/>
      <c r="H110" s="214"/>
      <c r="I110" s="244">
        <f t="shared" si="91"/>
        <v>0</v>
      </c>
      <c r="J110" s="213"/>
      <c r="K110" s="214"/>
      <c r="L110" s="244">
        <f t="shared" si="92"/>
        <v>0</v>
      </c>
      <c r="M110" s="213"/>
      <c r="N110" s="214"/>
      <c r="O110" s="246">
        <f t="shared" si="93"/>
        <v>0</v>
      </c>
      <c r="P110" s="244">
        <f t="shared" si="94"/>
        <v>0</v>
      </c>
      <c r="Q110" s="244">
        <f t="shared" si="95"/>
        <v>0</v>
      </c>
      <c r="R110" s="249">
        <f t="shared" si="96"/>
        <v>0</v>
      </c>
      <c r="S110" s="244">
        <f t="shared" si="97"/>
        <v>0</v>
      </c>
      <c r="T110" s="244">
        <f t="shared" si="98"/>
        <v>0</v>
      </c>
      <c r="U110" s="251">
        <f t="shared" si="99"/>
        <v>0</v>
      </c>
    </row>
    <row r="111" spans="1:21" s="30" customFormat="1" ht="25.5" customHeight="1">
      <c r="A111" s="190"/>
      <c r="B111" s="173"/>
      <c r="C111" s="73" t="s">
        <v>790</v>
      </c>
      <c r="D111" s="73" t="s">
        <v>4</v>
      </c>
      <c r="E111" s="73"/>
      <c r="F111" s="238" t="s">
        <v>820</v>
      </c>
      <c r="G111" s="213"/>
      <c r="H111" s="214"/>
      <c r="I111" s="244">
        <f t="shared" si="91"/>
        <v>0</v>
      </c>
      <c r="J111" s="213"/>
      <c r="K111" s="214"/>
      <c r="L111" s="244">
        <f t="shared" si="92"/>
        <v>0</v>
      </c>
      <c r="M111" s="213"/>
      <c r="N111" s="214"/>
      <c r="O111" s="246">
        <f t="shared" si="93"/>
        <v>0</v>
      </c>
      <c r="P111" s="244">
        <f t="shared" si="94"/>
        <v>0</v>
      </c>
      <c r="Q111" s="244">
        <f t="shared" si="95"/>
        <v>0</v>
      </c>
      <c r="R111" s="249">
        <f t="shared" si="96"/>
        <v>0</v>
      </c>
      <c r="S111" s="244">
        <f t="shared" si="97"/>
        <v>0</v>
      </c>
      <c r="T111" s="244">
        <f t="shared" si="98"/>
        <v>0</v>
      </c>
      <c r="U111" s="251">
        <f t="shared" si="99"/>
        <v>0</v>
      </c>
    </row>
    <row r="112" spans="1:21" s="30" customFormat="1" ht="21" customHeight="1">
      <c r="A112" s="190"/>
      <c r="B112" s="173"/>
      <c r="C112" s="73" t="s">
        <v>791</v>
      </c>
      <c r="D112" s="73" t="s">
        <v>4</v>
      </c>
      <c r="E112" s="73"/>
      <c r="F112" s="238" t="s">
        <v>821</v>
      </c>
      <c r="G112" s="213"/>
      <c r="H112" s="214"/>
      <c r="I112" s="244">
        <f t="shared" si="91"/>
        <v>0</v>
      </c>
      <c r="J112" s="213"/>
      <c r="K112" s="214"/>
      <c r="L112" s="244">
        <f t="shared" si="92"/>
        <v>0</v>
      </c>
      <c r="M112" s="213"/>
      <c r="N112" s="214"/>
      <c r="O112" s="246">
        <f t="shared" si="93"/>
        <v>0</v>
      </c>
      <c r="P112" s="244">
        <f t="shared" si="94"/>
        <v>0</v>
      </c>
      <c r="Q112" s="244">
        <f t="shared" si="95"/>
        <v>0</v>
      </c>
      <c r="R112" s="249">
        <f t="shared" si="96"/>
        <v>0</v>
      </c>
      <c r="S112" s="244">
        <f t="shared" si="97"/>
        <v>0</v>
      </c>
      <c r="T112" s="244">
        <f t="shared" si="98"/>
        <v>0</v>
      </c>
      <c r="U112" s="251">
        <f t="shared" si="99"/>
        <v>0</v>
      </c>
    </row>
    <row r="113" spans="1:21" s="30" customFormat="1" ht="21.75" customHeight="1">
      <c r="A113" s="190"/>
      <c r="B113" s="173"/>
      <c r="C113" s="73" t="s">
        <v>792</v>
      </c>
      <c r="D113" s="73" t="s">
        <v>4</v>
      </c>
      <c r="E113" s="73"/>
      <c r="F113" s="238" t="s">
        <v>822</v>
      </c>
      <c r="G113" s="213"/>
      <c r="H113" s="214"/>
      <c r="I113" s="244">
        <f t="shared" si="91"/>
        <v>0</v>
      </c>
      <c r="J113" s="213"/>
      <c r="K113" s="214"/>
      <c r="L113" s="244">
        <f t="shared" si="92"/>
        <v>0</v>
      </c>
      <c r="M113" s="213"/>
      <c r="N113" s="214"/>
      <c r="O113" s="246">
        <f t="shared" si="93"/>
        <v>0</v>
      </c>
      <c r="P113" s="244">
        <f t="shared" si="94"/>
        <v>0</v>
      </c>
      <c r="Q113" s="244">
        <f t="shared" si="95"/>
        <v>0</v>
      </c>
      <c r="R113" s="249">
        <f t="shared" si="96"/>
        <v>0</v>
      </c>
      <c r="S113" s="244">
        <f t="shared" si="97"/>
        <v>0</v>
      </c>
      <c r="T113" s="244">
        <f t="shared" si="98"/>
        <v>0</v>
      </c>
      <c r="U113" s="251">
        <f t="shared" si="99"/>
        <v>0</v>
      </c>
    </row>
    <row r="114" spans="1:21" s="30" customFormat="1" ht="25.5" customHeight="1">
      <c r="A114" s="190"/>
      <c r="B114" s="173"/>
      <c r="C114" s="73" t="s">
        <v>793</v>
      </c>
      <c r="D114" s="73" t="s">
        <v>4</v>
      </c>
      <c r="E114" s="73"/>
      <c r="F114" s="238" t="s">
        <v>823</v>
      </c>
      <c r="G114" s="213"/>
      <c r="H114" s="214"/>
      <c r="I114" s="244">
        <f t="shared" si="91"/>
        <v>0</v>
      </c>
      <c r="J114" s="213"/>
      <c r="K114" s="214"/>
      <c r="L114" s="244">
        <f t="shared" si="92"/>
        <v>0</v>
      </c>
      <c r="M114" s="213"/>
      <c r="N114" s="214"/>
      <c r="O114" s="246">
        <f t="shared" si="93"/>
        <v>0</v>
      </c>
      <c r="P114" s="244">
        <f t="shared" si="94"/>
        <v>0</v>
      </c>
      <c r="Q114" s="244">
        <f t="shared" si="95"/>
        <v>0</v>
      </c>
      <c r="R114" s="249">
        <f t="shared" si="96"/>
        <v>0</v>
      </c>
      <c r="S114" s="244">
        <f t="shared" si="97"/>
        <v>0</v>
      </c>
      <c r="T114" s="244">
        <f t="shared" si="98"/>
        <v>0</v>
      </c>
      <c r="U114" s="251">
        <f t="shared" si="99"/>
        <v>0</v>
      </c>
    </row>
    <row r="115" spans="1:21" s="30" customFormat="1" ht="33" customHeight="1">
      <c r="A115" s="190"/>
      <c r="B115" s="173"/>
      <c r="C115" s="73"/>
      <c r="D115" s="73"/>
      <c r="E115" s="73"/>
      <c r="F115" s="239" t="s">
        <v>794</v>
      </c>
      <c r="G115" s="202"/>
      <c r="H115" s="207"/>
      <c r="I115" s="192"/>
      <c r="J115" s="202"/>
      <c r="K115" s="207"/>
      <c r="L115" s="192"/>
      <c r="M115" s="202"/>
      <c r="N115" s="207"/>
      <c r="O115" s="227"/>
      <c r="P115" s="245"/>
      <c r="Q115" s="207"/>
      <c r="R115" s="192"/>
      <c r="S115" s="245"/>
      <c r="T115" s="207"/>
      <c r="U115" s="179"/>
    </row>
    <row r="116" spans="1:21" s="30" customFormat="1" ht="21.75" customHeight="1">
      <c r="A116" s="190"/>
      <c r="B116" s="173"/>
      <c r="C116" s="73" t="s">
        <v>795</v>
      </c>
      <c r="D116" s="73" t="s">
        <v>4</v>
      </c>
      <c r="E116" s="73"/>
      <c r="F116" s="240" t="s">
        <v>824</v>
      </c>
      <c r="G116" s="213"/>
      <c r="H116" s="214"/>
      <c r="I116" s="244">
        <f t="shared" ref="I116:I120" si="100">G116-H116</f>
        <v>0</v>
      </c>
      <c r="J116" s="213"/>
      <c r="K116" s="214"/>
      <c r="L116" s="244">
        <f t="shared" ref="L116:L120" si="101">J116-K116</f>
        <v>0</v>
      </c>
      <c r="M116" s="213"/>
      <c r="N116" s="214"/>
      <c r="O116" s="246">
        <f t="shared" ref="O116:O120" si="102">M116-N116</f>
        <v>0</v>
      </c>
      <c r="P116" s="244">
        <f t="shared" ref="P116:P120" si="103">J116+M116</f>
        <v>0</v>
      </c>
      <c r="Q116" s="244">
        <f t="shared" ref="Q116:Q120" si="104">K116+N116</f>
        <v>0</v>
      </c>
      <c r="R116" s="249">
        <f t="shared" ref="R116:R120" si="105">P116-Q116</f>
        <v>0</v>
      </c>
      <c r="S116" s="244">
        <f t="shared" ref="S116:S120" si="106">G116+P116</f>
        <v>0</v>
      </c>
      <c r="T116" s="244">
        <f t="shared" ref="T116:T120" si="107">H116+Q116</f>
        <v>0</v>
      </c>
      <c r="U116" s="251">
        <f t="shared" ref="U116:U120" si="108">S116-T116</f>
        <v>0</v>
      </c>
    </row>
    <row r="117" spans="1:21" s="30" customFormat="1" ht="25.5" customHeight="1">
      <c r="A117" s="190"/>
      <c r="B117" s="173"/>
      <c r="C117" s="73" t="s">
        <v>796</v>
      </c>
      <c r="D117" s="73" t="s">
        <v>4</v>
      </c>
      <c r="E117" s="73"/>
      <c r="F117" s="240" t="s">
        <v>825</v>
      </c>
      <c r="G117" s="213"/>
      <c r="H117" s="214"/>
      <c r="I117" s="244">
        <f t="shared" si="100"/>
        <v>0</v>
      </c>
      <c r="J117" s="213"/>
      <c r="K117" s="214"/>
      <c r="L117" s="244">
        <f t="shared" si="101"/>
        <v>0</v>
      </c>
      <c r="M117" s="213"/>
      <c r="N117" s="214"/>
      <c r="O117" s="246">
        <f t="shared" si="102"/>
        <v>0</v>
      </c>
      <c r="P117" s="244">
        <f t="shared" si="103"/>
        <v>0</v>
      </c>
      <c r="Q117" s="244">
        <f t="shared" si="104"/>
        <v>0</v>
      </c>
      <c r="R117" s="249">
        <f t="shared" si="105"/>
        <v>0</v>
      </c>
      <c r="S117" s="244">
        <f t="shared" si="106"/>
        <v>0</v>
      </c>
      <c r="T117" s="244">
        <f t="shared" si="107"/>
        <v>0</v>
      </c>
      <c r="U117" s="251">
        <f t="shared" si="108"/>
        <v>0</v>
      </c>
    </row>
    <row r="118" spans="1:21" s="30" customFormat="1" ht="21.75" customHeight="1">
      <c r="A118" s="190"/>
      <c r="B118" s="173"/>
      <c r="C118" s="73" t="s">
        <v>797</v>
      </c>
      <c r="D118" s="73" t="s">
        <v>4</v>
      </c>
      <c r="E118" s="73"/>
      <c r="F118" s="241" t="s">
        <v>826</v>
      </c>
      <c r="G118" s="213"/>
      <c r="H118" s="214"/>
      <c r="I118" s="244">
        <f t="shared" si="100"/>
        <v>0</v>
      </c>
      <c r="J118" s="213"/>
      <c r="K118" s="214"/>
      <c r="L118" s="244">
        <f t="shared" si="101"/>
        <v>0</v>
      </c>
      <c r="M118" s="213"/>
      <c r="N118" s="214"/>
      <c r="O118" s="246">
        <f t="shared" si="102"/>
        <v>0</v>
      </c>
      <c r="P118" s="244">
        <f t="shared" si="103"/>
        <v>0</v>
      </c>
      <c r="Q118" s="244">
        <f t="shared" si="104"/>
        <v>0</v>
      </c>
      <c r="R118" s="249">
        <f t="shared" si="105"/>
        <v>0</v>
      </c>
      <c r="S118" s="244">
        <f t="shared" si="106"/>
        <v>0</v>
      </c>
      <c r="T118" s="244">
        <f t="shared" si="107"/>
        <v>0</v>
      </c>
      <c r="U118" s="251">
        <f t="shared" si="108"/>
        <v>0</v>
      </c>
    </row>
    <row r="119" spans="1:21" s="30" customFormat="1" ht="25.5" customHeight="1">
      <c r="A119" s="190"/>
      <c r="B119" s="173"/>
      <c r="C119" s="73" t="s">
        <v>798</v>
      </c>
      <c r="D119" s="73" t="s">
        <v>4</v>
      </c>
      <c r="E119" s="73"/>
      <c r="F119" s="237" t="s">
        <v>827</v>
      </c>
      <c r="G119" s="213"/>
      <c r="H119" s="214"/>
      <c r="I119" s="244">
        <f t="shared" si="100"/>
        <v>0</v>
      </c>
      <c r="J119" s="213"/>
      <c r="K119" s="214"/>
      <c r="L119" s="244">
        <f t="shared" si="101"/>
        <v>0</v>
      </c>
      <c r="M119" s="213"/>
      <c r="N119" s="214"/>
      <c r="O119" s="246">
        <f t="shared" si="102"/>
        <v>0</v>
      </c>
      <c r="P119" s="244">
        <f t="shared" si="103"/>
        <v>0</v>
      </c>
      <c r="Q119" s="244">
        <f t="shared" si="104"/>
        <v>0</v>
      </c>
      <c r="R119" s="249">
        <f t="shared" si="105"/>
        <v>0</v>
      </c>
      <c r="S119" s="244">
        <f t="shared" si="106"/>
        <v>0</v>
      </c>
      <c r="T119" s="244">
        <f t="shared" si="107"/>
        <v>0</v>
      </c>
      <c r="U119" s="251">
        <f t="shared" si="108"/>
        <v>0</v>
      </c>
    </row>
    <row r="120" spans="1:21" s="30" customFormat="1" ht="21" customHeight="1">
      <c r="A120" s="190"/>
      <c r="B120" s="173"/>
      <c r="C120" s="73" t="s">
        <v>756</v>
      </c>
      <c r="D120" s="73" t="s">
        <v>4</v>
      </c>
      <c r="E120" s="73"/>
      <c r="F120" s="237" t="s">
        <v>765</v>
      </c>
      <c r="G120" s="213"/>
      <c r="H120" s="214"/>
      <c r="I120" s="244">
        <f t="shared" si="100"/>
        <v>0</v>
      </c>
      <c r="J120" s="213"/>
      <c r="K120" s="214"/>
      <c r="L120" s="244">
        <f t="shared" si="101"/>
        <v>0</v>
      </c>
      <c r="M120" s="213"/>
      <c r="N120" s="214"/>
      <c r="O120" s="246">
        <f t="shared" si="102"/>
        <v>0</v>
      </c>
      <c r="P120" s="244">
        <f t="shared" si="103"/>
        <v>0</v>
      </c>
      <c r="Q120" s="244">
        <f t="shared" si="104"/>
        <v>0</v>
      </c>
      <c r="R120" s="249">
        <f t="shared" si="105"/>
        <v>0</v>
      </c>
      <c r="S120" s="244">
        <f t="shared" si="106"/>
        <v>0</v>
      </c>
      <c r="T120" s="244">
        <f t="shared" si="107"/>
        <v>0</v>
      </c>
      <c r="U120" s="251">
        <f t="shared" si="108"/>
        <v>0</v>
      </c>
    </row>
    <row r="121" spans="1:21" s="30" customFormat="1" ht="21" customHeight="1">
      <c r="A121" s="190"/>
      <c r="B121" s="173"/>
      <c r="C121" s="73"/>
      <c r="D121" s="73"/>
      <c r="E121" s="73"/>
      <c r="F121" s="237"/>
      <c r="G121" s="202"/>
      <c r="H121" s="207"/>
      <c r="I121" s="192"/>
      <c r="J121" s="202"/>
      <c r="K121" s="207"/>
      <c r="L121" s="192"/>
      <c r="M121" s="202"/>
      <c r="N121" s="207"/>
      <c r="O121" s="227"/>
      <c r="P121" s="245"/>
      <c r="Q121" s="207"/>
      <c r="R121" s="192"/>
      <c r="S121" s="245"/>
      <c r="T121" s="207"/>
      <c r="U121" s="179"/>
    </row>
    <row r="122" spans="1:21" s="30" customFormat="1" ht="21.75" customHeight="1">
      <c r="A122" s="190" t="s">
        <v>48</v>
      </c>
      <c r="B122" s="173"/>
      <c r="C122" s="73" t="s">
        <v>757</v>
      </c>
      <c r="D122" s="73" t="s">
        <v>4</v>
      </c>
      <c r="E122" s="73"/>
      <c r="F122" s="237" t="s">
        <v>880</v>
      </c>
      <c r="G122" s="213"/>
      <c r="H122" s="214"/>
      <c r="I122" s="244">
        <f>G122-H122</f>
        <v>0</v>
      </c>
      <c r="J122" s="213"/>
      <c r="K122" s="214"/>
      <c r="L122" s="244">
        <f>J122-K122</f>
        <v>0</v>
      </c>
      <c r="M122" s="213"/>
      <c r="N122" s="214"/>
      <c r="O122" s="246">
        <f>M122-N122</f>
        <v>0</v>
      </c>
      <c r="P122" s="244">
        <f>J122+M122</f>
        <v>0</v>
      </c>
      <c r="Q122" s="244">
        <f>K122+N122</f>
        <v>0</v>
      </c>
      <c r="R122" s="249">
        <f>P122-Q122</f>
        <v>0</v>
      </c>
      <c r="S122" s="244">
        <f>G122+P122</f>
        <v>0</v>
      </c>
      <c r="T122" s="244">
        <f>H122+Q122</f>
        <v>0</v>
      </c>
      <c r="U122" s="251">
        <f>S122-T122</f>
        <v>0</v>
      </c>
    </row>
    <row r="123" spans="1:21" s="30" customFormat="1" ht="25.5" customHeight="1">
      <c r="A123" s="190"/>
      <c r="B123" s="173"/>
      <c r="C123" s="73"/>
      <c r="D123" s="73"/>
      <c r="E123" s="73"/>
      <c r="F123" s="237" t="s">
        <v>799</v>
      </c>
      <c r="G123" s="202"/>
      <c r="H123" s="207"/>
      <c r="I123" s="192"/>
      <c r="J123" s="202"/>
      <c r="K123" s="207"/>
      <c r="L123" s="192"/>
      <c r="M123" s="202"/>
      <c r="N123" s="207"/>
      <c r="O123" s="227"/>
      <c r="P123" s="245"/>
      <c r="Q123" s="207"/>
      <c r="R123" s="192"/>
      <c r="S123" s="245"/>
      <c r="T123" s="207"/>
      <c r="U123" s="179"/>
    </row>
    <row r="124" spans="1:21" s="30" customFormat="1" ht="21" customHeight="1">
      <c r="A124" s="190"/>
      <c r="B124" s="173"/>
      <c r="C124" s="73" t="s">
        <v>800</v>
      </c>
      <c r="D124" s="73" t="s">
        <v>4</v>
      </c>
      <c r="E124" s="73"/>
      <c r="F124" s="238" t="s">
        <v>828</v>
      </c>
      <c r="G124" s="213"/>
      <c r="H124" s="214"/>
      <c r="I124" s="244">
        <f t="shared" ref="I124:I128" si="109">G124-H124</f>
        <v>0</v>
      </c>
      <c r="J124" s="213"/>
      <c r="K124" s="214"/>
      <c r="L124" s="244">
        <f t="shared" ref="L124:L128" si="110">J124-K124</f>
        <v>0</v>
      </c>
      <c r="M124" s="213"/>
      <c r="N124" s="214"/>
      <c r="O124" s="246">
        <f t="shared" ref="O124:O128" si="111">M124-N124</f>
        <v>0</v>
      </c>
      <c r="P124" s="244">
        <f t="shared" ref="P124:P128" si="112">J124+M124</f>
        <v>0</v>
      </c>
      <c r="Q124" s="244">
        <f t="shared" ref="Q124:Q128" si="113">K124+N124</f>
        <v>0</v>
      </c>
      <c r="R124" s="249">
        <f t="shared" ref="R124:R128" si="114">P124-Q124</f>
        <v>0</v>
      </c>
      <c r="S124" s="244">
        <f t="shared" ref="S124:S128" si="115">G124+P124</f>
        <v>0</v>
      </c>
      <c r="T124" s="244">
        <f t="shared" ref="T124:T128" si="116">H124+Q124</f>
        <v>0</v>
      </c>
      <c r="U124" s="251">
        <f t="shared" ref="U124:U128" si="117">S124-T124</f>
        <v>0</v>
      </c>
    </row>
    <row r="125" spans="1:21" s="30" customFormat="1" ht="21.75" customHeight="1">
      <c r="A125" s="190"/>
      <c r="B125" s="173"/>
      <c r="C125" s="73" t="s">
        <v>801</v>
      </c>
      <c r="D125" s="73" t="s">
        <v>4</v>
      </c>
      <c r="E125" s="73"/>
      <c r="F125" s="238" t="s">
        <v>829</v>
      </c>
      <c r="G125" s="213"/>
      <c r="H125" s="214"/>
      <c r="I125" s="244">
        <f t="shared" si="109"/>
        <v>0</v>
      </c>
      <c r="J125" s="213"/>
      <c r="K125" s="214"/>
      <c r="L125" s="244">
        <f t="shared" si="110"/>
        <v>0</v>
      </c>
      <c r="M125" s="213"/>
      <c r="N125" s="214"/>
      <c r="O125" s="246">
        <f t="shared" si="111"/>
        <v>0</v>
      </c>
      <c r="P125" s="244">
        <f t="shared" si="112"/>
        <v>0</v>
      </c>
      <c r="Q125" s="244">
        <f t="shared" si="113"/>
        <v>0</v>
      </c>
      <c r="R125" s="249">
        <f t="shared" si="114"/>
        <v>0</v>
      </c>
      <c r="S125" s="244">
        <f t="shared" si="115"/>
        <v>0</v>
      </c>
      <c r="T125" s="244">
        <f t="shared" si="116"/>
        <v>0</v>
      </c>
      <c r="U125" s="251">
        <f t="shared" si="117"/>
        <v>0</v>
      </c>
    </row>
    <row r="126" spans="1:21" s="30" customFormat="1" ht="25.5" customHeight="1">
      <c r="A126" s="190"/>
      <c r="B126" s="173"/>
      <c r="C126" s="73" t="s">
        <v>802</v>
      </c>
      <c r="D126" s="73" t="s">
        <v>4</v>
      </c>
      <c r="E126" s="73"/>
      <c r="F126" s="238" t="s">
        <v>830</v>
      </c>
      <c r="G126" s="213"/>
      <c r="H126" s="214"/>
      <c r="I126" s="244">
        <f t="shared" si="109"/>
        <v>0</v>
      </c>
      <c r="J126" s="213"/>
      <c r="K126" s="214"/>
      <c r="L126" s="244">
        <f t="shared" si="110"/>
        <v>0</v>
      </c>
      <c r="M126" s="213"/>
      <c r="N126" s="214"/>
      <c r="O126" s="246">
        <f t="shared" si="111"/>
        <v>0</v>
      </c>
      <c r="P126" s="244">
        <f t="shared" si="112"/>
        <v>0</v>
      </c>
      <c r="Q126" s="244">
        <f t="shared" si="113"/>
        <v>0</v>
      </c>
      <c r="R126" s="249">
        <f t="shared" si="114"/>
        <v>0</v>
      </c>
      <c r="S126" s="244">
        <f t="shared" si="115"/>
        <v>0</v>
      </c>
      <c r="T126" s="244">
        <f t="shared" si="116"/>
        <v>0</v>
      </c>
      <c r="U126" s="251">
        <f t="shared" si="117"/>
        <v>0</v>
      </c>
    </row>
    <row r="127" spans="1:21" s="30" customFormat="1" ht="21.75" customHeight="1">
      <c r="A127" s="190"/>
      <c r="B127" s="173"/>
      <c r="C127" s="73" t="s">
        <v>803</v>
      </c>
      <c r="D127" s="73" t="s">
        <v>4</v>
      </c>
      <c r="E127" s="73"/>
      <c r="F127" s="238" t="s">
        <v>831</v>
      </c>
      <c r="G127" s="213"/>
      <c r="H127" s="214"/>
      <c r="I127" s="244">
        <f t="shared" si="109"/>
        <v>0</v>
      </c>
      <c r="J127" s="213"/>
      <c r="K127" s="214"/>
      <c r="L127" s="244">
        <f t="shared" si="110"/>
        <v>0</v>
      </c>
      <c r="M127" s="213"/>
      <c r="N127" s="214"/>
      <c r="O127" s="246">
        <f t="shared" si="111"/>
        <v>0</v>
      </c>
      <c r="P127" s="244">
        <f t="shared" si="112"/>
        <v>0</v>
      </c>
      <c r="Q127" s="244">
        <f t="shared" si="113"/>
        <v>0</v>
      </c>
      <c r="R127" s="249">
        <f t="shared" si="114"/>
        <v>0</v>
      </c>
      <c r="S127" s="244">
        <f t="shared" si="115"/>
        <v>0</v>
      </c>
      <c r="T127" s="244">
        <f t="shared" si="116"/>
        <v>0</v>
      </c>
      <c r="U127" s="251">
        <f t="shared" si="117"/>
        <v>0</v>
      </c>
    </row>
    <row r="128" spans="1:21" s="30" customFormat="1" ht="25.5" customHeight="1">
      <c r="A128" s="190"/>
      <c r="B128" s="173"/>
      <c r="C128" s="73" t="s">
        <v>804</v>
      </c>
      <c r="D128" s="73" t="s">
        <v>4</v>
      </c>
      <c r="E128" s="73"/>
      <c r="F128" s="238" t="s">
        <v>832</v>
      </c>
      <c r="G128" s="213"/>
      <c r="H128" s="214"/>
      <c r="I128" s="244">
        <f t="shared" si="109"/>
        <v>0</v>
      </c>
      <c r="J128" s="213"/>
      <c r="K128" s="214"/>
      <c r="L128" s="244">
        <f t="shared" si="110"/>
        <v>0</v>
      </c>
      <c r="M128" s="213"/>
      <c r="N128" s="214"/>
      <c r="O128" s="246">
        <f t="shared" si="111"/>
        <v>0</v>
      </c>
      <c r="P128" s="244">
        <f t="shared" si="112"/>
        <v>0</v>
      </c>
      <c r="Q128" s="244">
        <f t="shared" si="113"/>
        <v>0</v>
      </c>
      <c r="R128" s="249">
        <f t="shared" si="114"/>
        <v>0</v>
      </c>
      <c r="S128" s="244">
        <f t="shared" si="115"/>
        <v>0</v>
      </c>
      <c r="T128" s="244">
        <f t="shared" si="116"/>
        <v>0</v>
      </c>
      <c r="U128" s="251">
        <f t="shared" si="117"/>
        <v>0</v>
      </c>
    </row>
    <row r="129" spans="1:21" s="30" customFormat="1" ht="21" customHeight="1">
      <c r="A129" s="190"/>
      <c r="B129" s="173"/>
      <c r="C129" s="73"/>
      <c r="D129" s="73"/>
      <c r="E129" s="73"/>
      <c r="F129" s="239" t="s">
        <v>805</v>
      </c>
      <c r="G129" s="202"/>
      <c r="H129" s="207"/>
      <c r="I129" s="192"/>
      <c r="J129" s="202"/>
      <c r="K129" s="207"/>
      <c r="L129" s="192"/>
      <c r="M129" s="202"/>
      <c r="N129" s="207"/>
      <c r="O129" s="227"/>
      <c r="P129" s="245"/>
      <c r="Q129" s="207"/>
      <c r="R129" s="192"/>
      <c r="S129" s="245"/>
      <c r="T129" s="207"/>
      <c r="U129" s="179"/>
    </row>
    <row r="130" spans="1:21" s="30" customFormat="1" ht="21.75" customHeight="1">
      <c r="A130" s="190"/>
      <c r="B130" s="173"/>
      <c r="C130" s="73" t="s">
        <v>806</v>
      </c>
      <c r="D130" s="73" t="s">
        <v>4</v>
      </c>
      <c r="E130" s="73"/>
      <c r="F130" s="240" t="s">
        <v>833</v>
      </c>
      <c r="G130" s="213"/>
      <c r="H130" s="214"/>
      <c r="I130" s="244">
        <f t="shared" ref="I130:I133" si="118">G130-H130</f>
        <v>0</v>
      </c>
      <c r="J130" s="213"/>
      <c r="K130" s="214"/>
      <c r="L130" s="244">
        <f t="shared" ref="L130:L133" si="119">J130-K130</f>
        <v>0</v>
      </c>
      <c r="M130" s="213"/>
      <c r="N130" s="214"/>
      <c r="O130" s="246">
        <f t="shared" ref="O130:O133" si="120">M130-N130</f>
        <v>0</v>
      </c>
      <c r="P130" s="244">
        <f t="shared" ref="P130:P134" si="121">J130+M130</f>
        <v>0</v>
      </c>
      <c r="Q130" s="244">
        <f t="shared" ref="Q130:Q134" si="122">K130+N130</f>
        <v>0</v>
      </c>
      <c r="R130" s="249">
        <f t="shared" ref="R130:R133" si="123">P130-Q130</f>
        <v>0</v>
      </c>
      <c r="S130" s="244">
        <f t="shared" ref="S130:S134" si="124">G130+P130</f>
        <v>0</v>
      </c>
      <c r="T130" s="244">
        <f t="shared" ref="T130:T134" si="125">H130+Q130</f>
        <v>0</v>
      </c>
      <c r="U130" s="251">
        <f t="shared" ref="U130:U133" si="126">S130-T130</f>
        <v>0</v>
      </c>
    </row>
    <row r="131" spans="1:21" s="30" customFormat="1" ht="25.5" customHeight="1">
      <c r="A131" s="190"/>
      <c r="B131" s="173"/>
      <c r="C131" s="73" t="s">
        <v>807</v>
      </c>
      <c r="D131" s="73" t="s">
        <v>4</v>
      </c>
      <c r="E131" s="73"/>
      <c r="F131" s="240" t="s">
        <v>834</v>
      </c>
      <c r="G131" s="213"/>
      <c r="H131" s="214"/>
      <c r="I131" s="244">
        <f t="shared" si="118"/>
        <v>0</v>
      </c>
      <c r="J131" s="213"/>
      <c r="K131" s="214"/>
      <c r="L131" s="244">
        <f t="shared" si="119"/>
        <v>0</v>
      </c>
      <c r="M131" s="213"/>
      <c r="N131" s="214"/>
      <c r="O131" s="246">
        <f t="shared" si="120"/>
        <v>0</v>
      </c>
      <c r="P131" s="244">
        <f t="shared" si="121"/>
        <v>0</v>
      </c>
      <c r="Q131" s="244">
        <f t="shared" si="122"/>
        <v>0</v>
      </c>
      <c r="R131" s="249">
        <f t="shared" si="123"/>
        <v>0</v>
      </c>
      <c r="S131" s="244">
        <f t="shared" si="124"/>
        <v>0</v>
      </c>
      <c r="T131" s="244">
        <f t="shared" si="125"/>
        <v>0</v>
      </c>
      <c r="U131" s="251">
        <f t="shared" si="126"/>
        <v>0</v>
      </c>
    </row>
    <row r="132" spans="1:21" s="30" customFormat="1" ht="21" customHeight="1">
      <c r="A132" s="190"/>
      <c r="B132" s="173"/>
      <c r="C132" s="73" t="s">
        <v>808</v>
      </c>
      <c r="D132" s="73" t="s">
        <v>4</v>
      </c>
      <c r="E132" s="73"/>
      <c r="F132" s="240" t="s">
        <v>835</v>
      </c>
      <c r="G132" s="213"/>
      <c r="H132" s="214"/>
      <c r="I132" s="244">
        <f t="shared" si="118"/>
        <v>0</v>
      </c>
      <c r="J132" s="213"/>
      <c r="K132" s="214"/>
      <c r="L132" s="244">
        <f t="shared" si="119"/>
        <v>0</v>
      </c>
      <c r="M132" s="213"/>
      <c r="N132" s="214"/>
      <c r="O132" s="246">
        <f t="shared" si="120"/>
        <v>0</v>
      </c>
      <c r="P132" s="244">
        <f t="shared" si="121"/>
        <v>0</v>
      </c>
      <c r="Q132" s="244">
        <f t="shared" si="122"/>
        <v>0</v>
      </c>
      <c r="R132" s="249">
        <f t="shared" si="123"/>
        <v>0</v>
      </c>
      <c r="S132" s="244">
        <f t="shared" si="124"/>
        <v>0</v>
      </c>
      <c r="T132" s="244">
        <f t="shared" si="125"/>
        <v>0</v>
      </c>
      <c r="U132" s="251">
        <f t="shared" si="126"/>
        <v>0</v>
      </c>
    </row>
    <row r="133" spans="1:21" s="30" customFormat="1" ht="21.75" customHeight="1">
      <c r="A133" s="190"/>
      <c r="B133" s="173"/>
      <c r="C133" s="73" t="s">
        <v>809</v>
      </c>
      <c r="D133" s="73" t="s">
        <v>4</v>
      </c>
      <c r="E133" s="73"/>
      <c r="F133" s="237" t="s">
        <v>817</v>
      </c>
      <c r="G133" s="213"/>
      <c r="H133" s="214"/>
      <c r="I133" s="244">
        <f t="shared" si="118"/>
        <v>0</v>
      </c>
      <c r="J133" s="213"/>
      <c r="K133" s="214"/>
      <c r="L133" s="244">
        <f t="shared" si="119"/>
        <v>0</v>
      </c>
      <c r="M133" s="213"/>
      <c r="N133" s="214"/>
      <c r="O133" s="246">
        <f t="shared" si="120"/>
        <v>0</v>
      </c>
      <c r="P133" s="244">
        <f t="shared" si="121"/>
        <v>0</v>
      </c>
      <c r="Q133" s="244">
        <f t="shared" si="122"/>
        <v>0</v>
      </c>
      <c r="R133" s="249">
        <f t="shared" si="123"/>
        <v>0</v>
      </c>
      <c r="S133" s="244">
        <f t="shared" si="124"/>
        <v>0</v>
      </c>
      <c r="T133" s="244">
        <f t="shared" si="125"/>
        <v>0</v>
      </c>
      <c r="U133" s="251">
        <f t="shared" si="126"/>
        <v>0</v>
      </c>
    </row>
    <row r="134" spans="1:21" s="30" customFormat="1" ht="25.5" customHeight="1">
      <c r="A134" s="190"/>
      <c r="B134" s="173"/>
      <c r="C134" s="73" t="s">
        <v>757</v>
      </c>
      <c r="D134" s="73" t="s">
        <v>4</v>
      </c>
      <c r="E134" s="73"/>
      <c r="F134" s="237" t="s">
        <v>782</v>
      </c>
      <c r="G134" s="213"/>
      <c r="H134" s="214"/>
      <c r="I134" s="244">
        <f>G134-H134</f>
        <v>0</v>
      </c>
      <c r="J134" s="213"/>
      <c r="K134" s="214"/>
      <c r="L134" s="244">
        <f>J134-K134</f>
        <v>0</v>
      </c>
      <c r="M134" s="213"/>
      <c r="N134" s="214"/>
      <c r="O134" s="246">
        <f>M134-N134</f>
        <v>0</v>
      </c>
      <c r="P134" s="244">
        <f t="shared" si="121"/>
        <v>0</v>
      </c>
      <c r="Q134" s="244">
        <f t="shared" si="122"/>
        <v>0</v>
      </c>
      <c r="R134" s="249">
        <f>P134-Q134</f>
        <v>0</v>
      </c>
      <c r="S134" s="244">
        <f t="shared" si="124"/>
        <v>0</v>
      </c>
      <c r="T134" s="244">
        <f t="shared" si="125"/>
        <v>0</v>
      </c>
      <c r="U134" s="251">
        <f>S134-T134</f>
        <v>0</v>
      </c>
    </row>
    <row r="135" spans="1:21" s="30" customFormat="1" ht="21.75" customHeight="1">
      <c r="A135" s="190"/>
      <c r="B135" s="173"/>
      <c r="C135" s="73" t="s">
        <v>810</v>
      </c>
      <c r="D135" s="73" t="s">
        <v>4</v>
      </c>
      <c r="E135" s="73"/>
      <c r="F135" s="196" t="s">
        <v>814</v>
      </c>
      <c r="G135" s="215"/>
      <c r="H135" s="216"/>
      <c r="I135" s="217"/>
      <c r="J135" s="215"/>
      <c r="K135" s="216"/>
      <c r="L135" s="217"/>
      <c r="M135" s="215"/>
      <c r="N135" s="216"/>
      <c r="O135" s="218"/>
      <c r="P135" s="217"/>
      <c r="Q135" s="216"/>
      <c r="R135" s="217"/>
      <c r="S135" s="215"/>
      <c r="T135" s="216"/>
      <c r="U135" s="233"/>
    </row>
    <row r="136" spans="1:21" s="30" customFormat="1" ht="25.5" customHeight="1">
      <c r="A136" s="190"/>
      <c r="B136" s="173"/>
      <c r="C136" s="73" t="s">
        <v>811</v>
      </c>
      <c r="D136" s="73" t="s">
        <v>4</v>
      </c>
      <c r="E136" s="73"/>
      <c r="F136" s="196" t="s">
        <v>815</v>
      </c>
      <c r="G136" s="215"/>
      <c r="H136" s="216"/>
      <c r="I136" s="217"/>
      <c r="J136" s="215"/>
      <c r="K136" s="216"/>
      <c r="L136" s="217"/>
      <c r="M136" s="215"/>
      <c r="N136" s="216"/>
      <c r="O136" s="218"/>
      <c r="P136" s="217"/>
      <c r="Q136" s="216"/>
      <c r="R136" s="217"/>
      <c r="S136" s="215"/>
      <c r="T136" s="216"/>
      <c r="U136" s="233"/>
    </row>
    <row r="137" spans="1:21" s="30" customFormat="1" ht="21.75" customHeight="1">
      <c r="A137" s="190"/>
      <c r="B137" s="173"/>
      <c r="C137" s="73" t="s">
        <v>812</v>
      </c>
      <c r="D137" s="73" t="s">
        <v>4</v>
      </c>
      <c r="E137" s="73"/>
      <c r="F137" s="196" t="s">
        <v>816</v>
      </c>
      <c r="G137" s="215"/>
      <c r="H137" s="216"/>
      <c r="I137" s="217"/>
      <c r="J137" s="215"/>
      <c r="K137" s="216"/>
      <c r="L137" s="217"/>
      <c r="M137" s="215"/>
      <c r="N137" s="216"/>
      <c r="O137" s="217"/>
      <c r="P137" s="215"/>
      <c r="Q137" s="216"/>
      <c r="R137" s="217"/>
      <c r="S137" s="215"/>
      <c r="T137" s="216"/>
      <c r="U137" s="233"/>
    </row>
    <row r="138" spans="1:21" s="30" customFormat="1" ht="15" customHeight="1">
      <c r="A138" s="190"/>
      <c r="B138" s="177"/>
      <c r="C138" s="121"/>
      <c r="D138" s="121"/>
      <c r="E138" s="121" t="s">
        <v>0</v>
      </c>
      <c r="F138" s="192" t="s">
        <v>0</v>
      </c>
      <c r="G138" s="202"/>
      <c r="H138" s="207"/>
      <c r="I138" s="192"/>
      <c r="J138" s="202"/>
      <c r="K138" s="207"/>
      <c r="L138" s="192"/>
      <c r="M138" s="202"/>
      <c r="N138" s="207"/>
      <c r="O138" s="192"/>
      <c r="P138" s="202"/>
      <c r="Q138" s="207"/>
      <c r="R138" s="192"/>
      <c r="S138" s="202"/>
      <c r="T138" s="207"/>
      <c r="U138" s="232"/>
    </row>
    <row r="139" spans="1:21" s="30" customFormat="1" ht="15" customHeight="1">
      <c r="A139" s="190"/>
      <c r="B139" s="177"/>
      <c r="C139" s="121"/>
      <c r="D139" s="121"/>
      <c r="E139" s="121"/>
      <c r="F139" s="192"/>
      <c r="G139" s="202"/>
      <c r="H139" s="207"/>
      <c r="I139" s="192"/>
      <c r="J139" s="202"/>
      <c r="K139" s="207"/>
      <c r="L139" s="192"/>
      <c r="M139" s="202"/>
      <c r="N139" s="207"/>
      <c r="O139" s="192"/>
      <c r="P139" s="202"/>
      <c r="Q139" s="207"/>
      <c r="R139" s="192"/>
      <c r="S139" s="202"/>
      <c r="T139" s="207"/>
      <c r="U139" s="232"/>
    </row>
    <row r="140" spans="1:21" s="30" customFormat="1" ht="15" customHeight="1">
      <c r="A140" s="190"/>
      <c r="B140" s="173"/>
      <c r="C140" s="174"/>
      <c r="D140" s="73"/>
      <c r="E140" s="73"/>
      <c r="F140" s="299" t="s">
        <v>728</v>
      </c>
      <c r="G140" s="202" t="s">
        <v>0</v>
      </c>
      <c r="H140" s="207" t="s">
        <v>0</v>
      </c>
      <c r="I140" s="192" t="s">
        <v>0</v>
      </c>
      <c r="J140" s="202" t="s">
        <v>0</v>
      </c>
      <c r="K140" s="207" t="s">
        <v>0</v>
      </c>
      <c r="L140" s="192" t="s">
        <v>0</v>
      </c>
      <c r="M140" s="202" t="s">
        <v>0</v>
      </c>
      <c r="N140" s="207" t="s">
        <v>0</v>
      </c>
      <c r="O140" s="192" t="s">
        <v>0</v>
      </c>
      <c r="P140" s="202" t="s">
        <v>0</v>
      </c>
      <c r="Q140" s="207" t="s">
        <v>0</v>
      </c>
      <c r="R140" s="192" t="s">
        <v>0</v>
      </c>
      <c r="S140" s="202" t="s">
        <v>0</v>
      </c>
      <c r="T140" s="207" t="s">
        <v>0</v>
      </c>
      <c r="U140" s="232" t="s">
        <v>0</v>
      </c>
    </row>
    <row r="141" spans="1:21" s="30" customFormat="1" ht="77.45" customHeight="1">
      <c r="A141" s="190"/>
      <c r="B141" s="177"/>
      <c r="C141" s="121"/>
      <c r="D141" s="178"/>
      <c r="E141" s="73"/>
      <c r="F141" s="197" t="s">
        <v>813</v>
      </c>
      <c r="G141" s="202"/>
      <c r="H141" s="207"/>
      <c r="I141" s="192"/>
      <c r="J141" s="202"/>
      <c r="K141" s="207"/>
      <c r="L141" s="192"/>
      <c r="M141" s="202"/>
      <c r="N141" s="207"/>
      <c r="O141" s="192"/>
      <c r="P141" s="202"/>
      <c r="Q141" s="207"/>
      <c r="R141" s="192"/>
      <c r="S141" s="202"/>
      <c r="T141" s="207"/>
      <c r="U141" s="232"/>
    </row>
    <row r="142" spans="1:21" s="30" customFormat="1" ht="48" customHeight="1">
      <c r="A142" s="190"/>
      <c r="B142" s="173"/>
      <c r="C142" s="73" t="s">
        <v>750</v>
      </c>
      <c r="D142" s="73" t="s">
        <v>47</v>
      </c>
      <c r="E142" s="73"/>
      <c r="F142" s="196" t="s">
        <v>762</v>
      </c>
      <c r="G142" s="278" t="str">
        <f>$G93</f>
        <v>Compromisos de préstamos</v>
      </c>
      <c r="H142" s="276" t="str">
        <f t="shared" ref="H142:U142" si="127">$G93</f>
        <v>Compromisos de préstamos</v>
      </c>
      <c r="I142" s="277" t="str">
        <f t="shared" si="127"/>
        <v>Compromisos de préstamos</v>
      </c>
      <c r="J142" s="278" t="str">
        <f t="shared" si="127"/>
        <v>Compromisos de préstamos</v>
      </c>
      <c r="K142" s="276" t="str">
        <f t="shared" si="127"/>
        <v>Compromisos de préstamos</v>
      </c>
      <c r="L142" s="277" t="str">
        <f t="shared" si="127"/>
        <v>Compromisos de préstamos</v>
      </c>
      <c r="M142" s="278" t="str">
        <f t="shared" si="127"/>
        <v>Compromisos de préstamos</v>
      </c>
      <c r="N142" s="276" t="str">
        <f t="shared" si="127"/>
        <v>Compromisos de préstamos</v>
      </c>
      <c r="O142" s="277" t="str">
        <f t="shared" si="127"/>
        <v>Compromisos de préstamos</v>
      </c>
      <c r="P142" s="278" t="str">
        <f t="shared" si="127"/>
        <v>Compromisos de préstamos</v>
      </c>
      <c r="Q142" s="276" t="str">
        <f t="shared" si="127"/>
        <v>Compromisos de préstamos</v>
      </c>
      <c r="R142" s="277" t="str">
        <f t="shared" si="127"/>
        <v>Compromisos de préstamos</v>
      </c>
      <c r="S142" s="278" t="str">
        <f t="shared" si="127"/>
        <v>Compromisos de préstamos</v>
      </c>
      <c r="T142" s="276" t="str">
        <f t="shared" si="127"/>
        <v>Compromisos de préstamos</v>
      </c>
      <c r="U142" s="279" t="str">
        <f t="shared" si="127"/>
        <v>Compromisos de préstamos</v>
      </c>
    </row>
    <row r="143" spans="1:21" s="30" customFormat="1" ht="51.6" customHeight="1">
      <c r="A143" s="190"/>
      <c r="B143" s="173"/>
      <c r="C143" s="73" t="s">
        <v>751</v>
      </c>
      <c r="D143" s="73" t="s">
        <v>47</v>
      </c>
      <c r="E143" s="73"/>
      <c r="F143" s="196" t="s">
        <v>763</v>
      </c>
      <c r="G143" s="278" t="str">
        <f>$G94</f>
        <v>Pérdidas crediticias esperadas durante 12 meses</v>
      </c>
      <c r="H143" s="276" t="str">
        <f t="shared" ref="H143:U143" si="128">$G94</f>
        <v>Pérdidas crediticias esperadas durante 12 meses</v>
      </c>
      <c r="I143" s="277" t="str">
        <f t="shared" si="128"/>
        <v>Pérdidas crediticias esperadas durante 12 meses</v>
      </c>
      <c r="J143" s="278" t="str">
        <f t="shared" si="128"/>
        <v>Pérdidas crediticias esperadas durante 12 meses</v>
      </c>
      <c r="K143" s="276" t="str">
        <f t="shared" si="128"/>
        <v>Pérdidas crediticias esperadas durante 12 meses</v>
      </c>
      <c r="L143" s="277" t="str">
        <f t="shared" si="128"/>
        <v>Pérdidas crediticias esperadas durante 12 meses</v>
      </c>
      <c r="M143" s="278" t="str">
        <f t="shared" si="128"/>
        <v>Pérdidas crediticias esperadas durante 12 meses</v>
      </c>
      <c r="N143" s="276" t="str">
        <f t="shared" si="128"/>
        <v>Pérdidas crediticias esperadas durante 12 meses</v>
      </c>
      <c r="O143" s="277" t="str">
        <f t="shared" si="128"/>
        <v>Pérdidas crediticias esperadas durante 12 meses</v>
      </c>
      <c r="P143" s="278" t="str">
        <f t="shared" si="128"/>
        <v>Pérdidas crediticias esperadas durante 12 meses</v>
      </c>
      <c r="Q143" s="276" t="str">
        <f t="shared" si="128"/>
        <v>Pérdidas crediticias esperadas durante 12 meses</v>
      </c>
      <c r="R143" s="277" t="str">
        <f t="shared" si="128"/>
        <v>Pérdidas crediticias esperadas durante 12 meses</v>
      </c>
      <c r="S143" s="278" t="str">
        <f t="shared" si="128"/>
        <v>Pérdidas crediticias esperadas durante 12 meses</v>
      </c>
      <c r="T143" s="276" t="str">
        <f t="shared" si="128"/>
        <v>Pérdidas crediticias esperadas durante 12 meses</v>
      </c>
      <c r="U143" s="279" t="str">
        <f t="shared" si="128"/>
        <v>Pérdidas crediticias esperadas durante 12 meses</v>
      </c>
    </row>
    <row r="144" spans="1:21" s="30" customFormat="1" ht="35.450000000000003" customHeight="1">
      <c r="A144" s="190"/>
      <c r="B144" s="173"/>
      <c r="C144" s="73" t="s">
        <v>752</v>
      </c>
      <c r="D144" s="73" t="s">
        <v>47</v>
      </c>
      <c r="E144" s="73"/>
      <c r="F144" s="196" t="s">
        <v>764</v>
      </c>
      <c r="G144" s="278" t="str">
        <f>$G95</f>
        <v>Pérdidas crediticias esperadas evaluadas de forma individual</v>
      </c>
      <c r="H144" s="276" t="str">
        <f t="shared" ref="H144:U144" si="129">$G95</f>
        <v>Pérdidas crediticias esperadas evaluadas de forma individual</v>
      </c>
      <c r="I144" s="277" t="str">
        <f t="shared" si="129"/>
        <v>Pérdidas crediticias esperadas evaluadas de forma individual</v>
      </c>
      <c r="J144" s="278" t="str">
        <f t="shared" si="129"/>
        <v>Pérdidas crediticias esperadas evaluadas de forma individual</v>
      </c>
      <c r="K144" s="276" t="str">
        <f t="shared" si="129"/>
        <v>Pérdidas crediticias esperadas evaluadas de forma individual</v>
      </c>
      <c r="L144" s="277" t="str">
        <f t="shared" si="129"/>
        <v>Pérdidas crediticias esperadas evaluadas de forma individual</v>
      </c>
      <c r="M144" s="278" t="str">
        <f t="shared" si="129"/>
        <v>Pérdidas crediticias esperadas evaluadas de forma individual</v>
      </c>
      <c r="N144" s="276" t="str">
        <f t="shared" si="129"/>
        <v>Pérdidas crediticias esperadas evaluadas de forma individual</v>
      </c>
      <c r="O144" s="277" t="str">
        <f t="shared" si="129"/>
        <v>Pérdidas crediticias esperadas evaluadas de forma individual</v>
      </c>
      <c r="P144" s="278" t="str">
        <f t="shared" si="129"/>
        <v>Pérdidas crediticias esperadas evaluadas de forma individual</v>
      </c>
      <c r="Q144" s="276" t="str">
        <f t="shared" si="129"/>
        <v>Pérdidas crediticias esperadas evaluadas de forma individual</v>
      </c>
      <c r="R144" s="277" t="str">
        <f t="shared" si="129"/>
        <v>Pérdidas crediticias esperadas evaluadas de forma individual</v>
      </c>
      <c r="S144" s="278" t="str">
        <f t="shared" si="129"/>
        <v>Pérdidas crediticias esperadas evaluadas de forma individual</v>
      </c>
      <c r="T144" s="276" t="str">
        <f t="shared" si="129"/>
        <v>Pérdidas crediticias esperadas evaluadas de forma individual</v>
      </c>
      <c r="U144" s="279" t="str">
        <f t="shared" si="129"/>
        <v>Pérdidas crediticias esperadas evaluadas de forma individual</v>
      </c>
    </row>
    <row r="145" spans="1:21" s="30" customFormat="1" ht="21" customHeight="1">
      <c r="A145" s="190" t="s">
        <v>48</v>
      </c>
      <c r="B145" s="173"/>
      <c r="C145" s="73" t="s">
        <v>756</v>
      </c>
      <c r="D145" s="73" t="s">
        <v>5</v>
      </c>
      <c r="E145" s="73"/>
      <c r="F145" s="237" t="s">
        <v>881</v>
      </c>
      <c r="G145" s="213"/>
      <c r="H145" s="214"/>
      <c r="I145" s="244">
        <f>G145-H145</f>
        <v>0</v>
      </c>
      <c r="J145" s="213"/>
      <c r="K145" s="214"/>
      <c r="L145" s="244">
        <f>J145-K145</f>
        <v>0</v>
      </c>
      <c r="M145" s="213"/>
      <c r="N145" s="214"/>
      <c r="O145" s="246">
        <f>M145-N145</f>
        <v>0</v>
      </c>
      <c r="P145" s="244">
        <f>J145+M145</f>
        <v>0</v>
      </c>
      <c r="Q145" s="244">
        <f>K145+N145</f>
        <v>0</v>
      </c>
      <c r="R145" s="249">
        <f>P145-Q145</f>
        <v>0</v>
      </c>
      <c r="S145" s="244">
        <f>G145+P145</f>
        <v>0</v>
      </c>
      <c r="T145" s="244">
        <f>H145+Q145</f>
        <v>0</v>
      </c>
      <c r="U145" s="251">
        <f>S145-T145</f>
        <v>0</v>
      </c>
    </row>
    <row r="146" spans="1:21" s="30" customFormat="1" ht="21.75" customHeight="1">
      <c r="A146" s="190"/>
      <c r="B146" s="173"/>
      <c r="C146" s="73"/>
      <c r="D146" s="73"/>
      <c r="E146" s="73"/>
      <c r="F146" s="237" t="s">
        <v>787</v>
      </c>
      <c r="G146" s="202"/>
      <c r="H146" s="207"/>
      <c r="I146" s="192"/>
      <c r="J146" s="202"/>
      <c r="K146" s="207"/>
      <c r="L146" s="192"/>
      <c r="M146" s="202"/>
      <c r="N146" s="207"/>
      <c r="O146" s="227"/>
      <c r="P146" s="245"/>
      <c r="Q146" s="207"/>
      <c r="R146" s="192"/>
      <c r="S146" s="245"/>
      <c r="T146" s="207"/>
      <c r="U146" s="179"/>
    </row>
    <row r="147" spans="1:21" s="30" customFormat="1" ht="25.5" customHeight="1">
      <c r="A147" s="190"/>
      <c r="B147" s="173"/>
      <c r="C147" s="73" t="s">
        <v>788</v>
      </c>
      <c r="D147" s="73" t="s">
        <v>47</v>
      </c>
      <c r="E147" s="73"/>
      <c r="F147" s="238" t="s">
        <v>818</v>
      </c>
      <c r="G147" s="213"/>
      <c r="H147" s="214"/>
      <c r="I147" s="244">
        <f t="shared" ref="I147:I152" si="130">G147-H147</f>
        <v>0</v>
      </c>
      <c r="J147" s="213"/>
      <c r="K147" s="214"/>
      <c r="L147" s="244">
        <f t="shared" ref="L147:L152" si="131">J147-K147</f>
        <v>0</v>
      </c>
      <c r="M147" s="213"/>
      <c r="N147" s="214"/>
      <c r="O147" s="246">
        <f t="shared" ref="O147:O152" si="132">M147-N147</f>
        <v>0</v>
      </c>
      <c r="P147" s="244">
        <f t="shared" ref="P147:P152" si="133">J147+M147</f>
        <v>0</v>
      </c>
      <c r="Q147" s="244">
        <f t="shared" ref="Q147:Q152" si="134">K147+N147</f>
        <v>0</v>
      </c>
      <c r="R147" s="249">
        <f t="shared" ref="R147:R152" si="135">P147-Q147</f>
        <v>0</v>
      </c>
      <c r="S147" s="244">
        <f t="shared" ref="S147:S152" si="136">G147+P147</f>
        <v>0</v>
      </c>
      <c r="T147" s="244">
        <f t="shared" ref="T147:T152" si="137">H147+Q147</f>
        <v>0</v>
      </c>
      <c r="U147" s="251">
        <f t="shared" ref="U147:U152" si="138">S147-T147</f>
        <v>0</v>
      </c>
    </row>
    <row r="148" spans="1:21" s="30" customFormat="1" ht="21.75" customHeight="1">
      <c r="A148" s="190"/>
      <c r="B148" s="173"/>
      <c r="C148" s="73" t="s">
        <v>789</v>
      </c>
      <c r="D148" s="73" t="s">
        <v>47</v>
      </c>
      <c r="E148" s="73"/>
      <c r="F148" s="238" t="s">
        <v>819</v>
      </c>
      <c r="G148" s="213"/>
      <c r="H148" s="214"/>
      <c r="I148" s="244">
        <f t="shared" si="130"/>
        <v>0</v>
      </c>
      <c r="J148" s="213"/>
      <c r="K148" s="214"/>
      <c r="L148" s="244">
        <f t="shared" si="131"/>
        <v>0</v>
      </c>
      <c r="M148" s="213"/>
      <c r="N148" s="214"/>
      <c r="O148" s="246">
        <f t="shared" si="132"/>
        <v>0</v>
      </c>
      <c r="P148" s="244">
        <f t="shared" si="133"/>
        <v>0</v>
      </c>
      <c r="Q148" s="244">
        <f t="shared" si="134"/>
        <v>0</v>
      </c>
      <c r="R148" s="249">
        <f t="shared" si="135"/>
        <v>0</v>
      </c>
      <c r="S148" s="244">
        <f t="shared" si="136"/>
        <v>0</v>
      </c>
      <c r="T148" s="244">
        <f t="shared" si="137"/>
        <v>0</v>
      </c>
      <c r="U148" s="251">
        <f t="shared" si="138"/>
        <v>0</v>
      </c>
    </row>
    <row r="149" spans="1:21" s="30" customFormat="1" ht="25.5" customHeight="1">
      <c r="A149" s="190"/>
      <c r="B149" s="173"/>
      <c r="C149" s="73" t="s">
        <v>790</v>
      </c>
      <c r="D149" s="73" t="s">
        <v>47</v>
      </c>
      <c r="E149" s="73"/>
      <c r="F149" s="238" t="s">
        <v>820</v>
      </c>
      <c r="G149" s="213"/>
      <c r="H149" s="214"/>
      <c r="I149" s="244">
        <f t="shared" si="130"/>
        <v>0</v>
      </c>
      <c r="J149" s="213"/>
      <c r="K149" s="214"/>
      <c r="L149" s="244">
        <f t="shared" si="131"/>
        <v>0</v>
      </c>
      <c r="M149" s="213"/>
      <c r="N149" s="214"/>
      <c r="O149" s="246">
        <f t="shared" si="132"/>
        <v>0</v>
      </c>
      <c r="P149" s="244">
        <f t="shared" si="133"/>
        <v>0</v>
      </c>
      <c r="Q149" s="244">
        <f t="shared" si="134"/>
        <v>0</v>
      </c>
      <c r="R149" s="249">
        <f t="shared" si="135"/>
        <v>0</v>
      </c>
      <c r="S149" s="244">
        <f t="shared" si="136"/>
        <v>0</v>
      </c>
      <c r="T149" s="244">
        <f t="shared" si="137"/>
        <v>0</v>
      </c>
      <c r="U149" s="251">
        <f t="shared" si="138"/>
        <v>0</v>
      </c>
    </row>
    <row r="150" spans="1:21" s="30" customFormat="1" ht="21" customHeight="1">
      <c r="A150" s="190"/>
      <c r="B150" s="173"/>
      <c r="C150" s="73" t="s">
        <v>791</v>
      </c>
      <c r="D150" s="73" t="s">
        <v>47</v>
      </c>
      <c r="E150" s="73"/>
      <c r="F150" s="238" t="s">
        <v>821</v>
      </c>
      <c r="G150" s="213"/>
      <c r="H150" s="214"/>
      <c r="I150" s="244">
        <f t="shared" si="130"/>
        <v>0</v>
      </c>
      <c r="J150" s="213"/>
      <c r="K150" s="214"/>
      <c r="L150" s="244">
        <f t="shared" si="131"/>
        <v>0</v>
      </c>
      <c r="M150" s="213"/>
      <c r="N150" s="214"/>
      <c r="O150" s="246">
        <f t="shared" si="132"/>
        <v>0</v>
      </c>
      <c r="P150" s="244">
        <f t="shared" si="133"/>
        <v>0</v>
      </c>
      <c r="Q150" s="244">
        <f t="shared" si="134"/>
        <v>0</v>
      </c>
      <c r="R150" s="249">
        <f t="shared" si="135"/>
        <v>0</v>
      </c>
      <c r="S150" s="244">
        <f t="shared" si="136"/>
        <v>0</v>
      </c>
      <c r="T150" s="244">
        <f t="shared" si="137"/>
        <v>0</v>
      </c>
      <c r="U150" s="251">
        <f t="shared" si="138"/>
        <v>0</v>
      </c>
    </row>
    <row r="151" spans="1:21" s="30" customFormat="1" ht="21.75" customHeight="1">
      <c r="A151" s="190"/>
      <c r="B151" s="173"/>
      <c r="C151" s="73" t="s">
        <v>792</v>
      </c>
      <c r="D151" s="73" t="s">
        <v>47</v>
      </c>
      <c r="E151" s="73"/>
      <c r="F151" s="238" t="s">
        <v>822</v>
      </c>
      <c r="G151" s="213"/>
      <c r="H151" s="214"/>
      <c r="I151" s="244">
        <f t="shared" si="130"/>
        <v>0</v>
      </c>
      <c r="J151" s="213"/>
      <c r="K151" s="214"/>
      <c r="L151" s="244">
        <f t="shared" si="131"/>
        <v>0</v>
      </c>
      <c r="M151" s="213"/>
      <c r="N151" s="214"/>
      <c r="O151" s="246">
        <f t="shared" si="132"/>
        <v>0</v>
      </c>
      <c r="P151" s="244">
        <f t="shared" si="133"/>
        <v>0</v>
      </c>
      <c r="Q151" s="244">
        <f t="shared" si="134"/>
        <v>0</v>
      </c>
      <c r="R151" s="249">
        <f t="shared" si="135"/>
        <v>0</v>
      </c>
      <c r="S151" s="244">
        <f t="shared" si="136"/>
        <v>0</v>
      </c>
      <c r="T151" s="244">
        <f t="shared" si="137"/>
        <v>0</v>
      </c>
      <c r="U151" s="251">
        <f t="shared" si="138"/>
        <v>0</v>
      </c>
    </row>
    <row r="152" spans="1:21" s="30" customFormat="1" ht="25.5" customHeight="1">
      <c r="A152" s="190"/>
      <c r="B152" s="173"/>
      <c r="C152" s="73" t="s">
        <v>793</v>
      </c>
      <c r="D152" s="73" t="s">
        <v>47</v>
      </c>
      <c r="E152" s="73"/>
      <c r="F152" s="238" t="s">
        <v>823</v>
      </c>
      <c r="G152" s="213"/>
      <c r="H152" s="214"/>
      <c r="I152" s="244">
        <f t="shared" si="130"/>
        <v>0</v>
      </c>
      <c r="J152" s="213"/>
      <c r="K152" s="214"/>
      <c r="L152" s="244">
        <f t="shared" si="131"/>
        <v>0</v>
      </c>
      <c r="M152" s="213"/>
      <c r="N152" s="214"/>
      <c r="O152" s="246">
        <f t="shared" si="132"/>
        <v>0</v>
      </c>
      <c r="P152" s="244">
        <f t="shared" si="133"/>
        <v>0</v>
      </c>
      <c r="Q152" s="244">
        <f t="shared" si="134"/>
        <v>0</v>
      </c>
      <c r="R152" s="249">
        <f t="shared" si="135"/>
        <v>0</v>
      </c>
      <c r="S152" s="244">
        <f t="shared" si="136"/>
        <v>0</v>
      </c>
      <c r="T152" s="244">
        <f t="shared" si="137"/>
        <v>0</v>
      </c>
      <c r="U152" s="251">
        <f t="shared" si="138"/>
        <v>0</v>
      </c>
    </row>
    <row r="153" spans="1:21" s="30" customFormat="1" ht="33" customHeight="1">
      <c r="A153" s="190"/>
      <c r="B153" s="173"/>
      <c r="C153" s="73"/>
      <c r="D153" s="73"/>
      <c r="E153" s="73"/>
      <c r="F153" s="239" t="s">
        <v>794</v>
      </c>
      <c r="G153" s="202"/>
      <c r="H153" s="207"/>
      <c r="I153" s="192"/>
      <c r="J153" s="202"/>
      <c r="K153" s="207"/>
      <c r="L153" s="192"/>
      <c r="M153" s="202"/>
      <c r="N153" s="207"/>
      <c r="O153" s="227"/>
      <c r="P153" s="245"/>
      <c r="Q153" s="207"/>
      <c r="R153" s="192"/>
      <c r="S153" s="245"/>
      <c r="T153" s="207"/>
      <c r="U153" s="179"/>
    </row>
    <row r="154" spans="1:21" s="30" customFormat="1" ht="21.75" customHeight="1">
      <c r="A154" s="190"/>
      <c r="B154" s="173"/>
      <c r="C154" s="73" t="s">
        <v>795</v>
      </c>
      <c r="D154" s="73" t="s">
        <v>47</v>
      </c>
      <c r="E154" s="73"/>
      <c r="F154" s="240" t="s">
        <v>824</v>
      </c>
      <c r="G154" s="213"/>
      <c r="H154" s="214"/>
      <c r="I154" s="244">
        <f t="shared" ref="I154:I158" si="139">G154-H154</f>
        <v>0</v>
      </c>
      <c r="J154" s="213"/>
      <c r="K154" s="214"/>
      <c r="L154" s="244">
        <f t="shared" ref="L154:L158" si="140">J154-K154</f>
        <v>0</v>
      </c>
      <c r="M154" s="213"/>
      <c r="N154" s="214"/>
      <c r="O154" s="246">
        <f t="shared" ref="O154:O158" si="141">M154-N154</f>
        <v>0</v>
      </c>
      <c r="P154" s="244">
        <f t="shared" ref="P154:P158" si="142">J154+M154</f>
        <v>0</v>
      </c>
      <c r="Q154" s="244">
        <f t="shared" ref="Q154:Q158" si="143">K154+N154</f>
        <v>0</v>
      </c>
      <c r="R154" s="249">
        <f t="shared" ref="R154:R158" si="144">P154-Q154</f>
        <v>0</v>
      </c>
      <c r="S154" s="244">
        <f t="shared" ref="S154:S158" si="145">G154+P154</f>
        <v>0</v>
      </c>
      <c r="T154" s="244">
        <f t="shared" ref="T154:T158" si="146">H154+Q154</f>
        <v>0</v>
      </c>
      <c r="U154" s="251">
        <f t="shared" ref="U154:U158" si="147">S154-T154</f>
        <v>0</v>
      </c>
    </row>
    <row r="155" spans="1:21" s="30" customFormat="1" ht="25.5" customHeight="1">
      <c r="A155" s="190"/>
      <c r="B155" s="173"/>
      <c r="C155" s="73" t="s">
        <v>796</v>
      </c>
      <c r="D155" s="73" t="s">
        <v>47</v>
      </c>
      <c r="E155" s="73"/>
      <c r="F155" s="240" t="s">
        <v>825</v>
      </c>
      <c r="G155" s="213"/>
      <c r="H155" s="214"/>
      <c r="I155" s="244">
        <f t="shared" si="139"/>
        <v>0</v>
      </c>
      <c r="J155" s="213"/>
      <c r="K155" s="214"/>
      <c r="L155" s="244">
        <f t="shared" si="140"/>
        <v>0</v>
      </c>
      <c r="M155" s="213"/>
      <c r="N155" s="214"/>
      <c r="O155" s="246">
        <f t="shared" si="141"/>
        <v>0</v>
      </c>
      <c r="P155" s="244">
        <f t="shared" si="142"/>
        <v>0</v>
      </c>
      <c r="Q155" s="244">
        <f t="shared" si="143"/>
        <v>0</v>
      </c>
      <c r="R155" s="249">
        <f t="shared" si="144"/>
        <v>0</v>
      </c>
      <c r="S155" s="244">
        <f t="shared" si="145"/>
        <v>0</v>
      </c>
      <c r="T155" s="244">
        <f t="shared" si="146"/>
        <v>0</v>
      </c>
      <c r="U155" s="251">
        <f t="shared" si="147"/>
        <v>0</v>
      </c>
    </row>
    <row r="156" spans="1:21" s="30" customFormat="1" ht="21.75" customHeight="1">
      <c r="A156" s="190"/>
      <c r="B156" s="173"/>
      <c r="C156" s="73" t="s">
        <v>797</v>
      </c>
      <c r="D156" s="73" t="s">
        <v>47</v>
      </c>
      <c r="E156" s="73"/>
      <c r="F156" s="241" t="s">
        <v>826</v>
      </c>
      <c r="G156" s="213"/>
      <c r="H156" s="214"/>
      <c r="I156" s="244">
        <f t="shared" si="139"/>
        <v>0</v>
      </c>
      <c r="J156" s="213"/>
      <c r="K156" s="214"/>
      <c r="L156" s="244">
        <f t="shared" si="140"/>
        <v>0</v>
      </c>
      <c r="M156" s="213"/>
      <c r="N156" s="214"/>
      <c r="O156" s="246">
        <f t="shared" si="141"/>
        <v>0</v>
      </c>
      <c r="P156" s="244">
        <f t="shared" si="142"/>
        <v>0</v>
      </c>
      <c r="Q156" s="244">
        <f t="shared" si="143"/>
        <v>0</v>
      </c>
      <c r="R156" s="249">
        <f t="shared" si="144"/>
        <v>0</v>
      </c>
      <c r="S156" s="244">
        <f t="shared" si="145"/>
        <v>0</v>
      </c>
      <c r="T156" s="244">
        <f t="shared" si="146"/>
        <v>0</v>
      </c>
      <c r="U156" s="251">
        <f t="shared" si="147"/>
        <v>0</v>
      </c>
    </row>
    <row r="157" spans="1:21" s="30" customFormat="1" ht="25.5" customHeight="1">
      <c r="A157" s="190"/>
      <c r="B157" s="173"/>
      <c r="C157" s="73" t="s">
        <v>798</v>
      </c>
      <c r="D157" s="73" t="s">
        <v>47</v>
      </c>
      <c r="E157" s="73"/>
      <c r="F157" s="237" t="s">
        <v>827</v>
      </c>
      <c r="G157" s="213"/>
      <c r="H157" s="214"/>
      <c r="I157" s="244">
        <f t="shared" si="139"/>
        <v>0</v>
      </c>
      <c r="J157" s="213"/>
      <c r="K157" s="214"/>
      <c r="L157" s="244">
        <f t="shared" si="140"/>
        <v>0</v>
      </c>
      <c r="M157" s="213"/>
      <c r="N157" s="214"/>
      <c r="O157" s="246">
        <f t="shared" si="141"/>
        <v>0</v>
      </c>
      <c r="P157" s="244">
        <f t="shared" si="142"/>
        <v>0</v>
      </c>
      <c r="Q157" s="244">
        <f t="shared" si="143"/>
        <v>0</v>
      </c>
      <c r="R157" s="249">
        <f t="shared" si="144"/>
        <v>0</v>
      </c>
      <c r="S157" s="244">
        <f t="shared" si="145"/>
        <v>0</v>
      </c>
      <c r="T157" s="244">
        <f t="shared" si="146"/>
        <v>0</v>
      </c>
      <c r="U157" s="251">
        <f t="shared" si="147"/>
        <v>0</v>
      </c>
    </row>
    <row r="158" spans="1:21" s="30" customFormat="1" ht="21" customHeight="1">
      <c r="A158" s="190" t="s">
        <v>48</v>
      </c>
      <c r="B158" s="173"/>
      <c r="C158" s="73" t="s">
        <v>756</v>
      </c>
      <c r="D158" s="73" t="s">
        <v>4</v>
      </c>
      <c r="E158" s="73"/>
      <c r="F158" s="237" t="s">
        <v>879</v>
      </c>
      <c r="G158" s="213"/>
      <c r="H158" s="214"/>
      <c r="I158" s="244">
        <f t="shared" si="139"/>
        <v>0</v>
      </c>
      <c r="J158" s="213"/>
      <c r="K158" s="214"/>
      <c r="L158" s="244">
        <f t="shared" si="140"/>
        <v>0</v>
      </c>
      <c r="M158" s="213"/>
      <c r="N158" s="214"/>
      <c r="O158" s="246">
        <f t="shared" si="141"/>
        <v>0</v>
      </c>
      <c r="P158" s="244">
        <f t="shared" si="142"/>
        <v>0</v>
      </c>
      <c r="Q158" s="244">
        <f t="shared" si="143"/>
        <v>0</v>
      </c>
      <c r="R158" s="249">
        <f t="shared" si="144"/>
        <v>0</v>
      </c>
      <c r="S158" s="244">
        <f t="shared" si="145"/>
        <v>0</v>
      </c>
      <c r="T158" s="244">
        <f t="shared" si="146"/>
        <v>0</v>
      </c>
      <c r="U158" s="251">
        <f t="shared" si="147"/>
        <v>0</v>
      </c>
    </row>
    <row r="159" spans="1:21" s="30" customFormat="1" ht="21" customHeight="1">
      <c r="A159" s="190"/>
      <c r="B159" s="173"/>
      <c r="C159" s="73"/>
      <c r="D159" s="73"/>
      <c r="E159" s="73"/>
      <c r="F159" s="237"/>
      <c r="G159" s="202"/>
      <c r="H159" s="207"/>
      <c r="I159" s="192"/>
      <c r="J159" s="202"/>
      <c r="K159" s="207"/>
      <c r="L159" s="192"/>
      <c r="M159" s="202"/>
      <c r="N159" s="207"/>
      <c r="O159" s="227"/>
      <c r="P159" s="245"/>
      <c r="Q159" s="207"/>
      <c r="R159" s="192"/>
      <c r="S159" s="245"/>
      <c r="T159" s="207"/>
      <c r="U159" s="179"/>
    </row>
    <row r="160" spans="1:21" s="30" customFormat="1" ht="21.75" customHeight="1">
      <c r="A160" s="190" t="s">
        <v>48</v>
      </c>
      <c r="B160" s="173"/>
      <c r="C160" s="73" t="s">
        <v>757</v>
      </c>
      <c r="D160" s="73" t="s">
        <v>5</v>
      </c>
      <c r="E160" s="73"/>
      <c r="F160" s="237" t="s">
        <v>882</v>
      </c>
      <c r="G160" s="213"/>
      <c r="H160" s="214"/>
      <c r="I160" s="244">
        <f>G160-H160</f>
        <v>0</v>
      </c>
      <c r="J160" s="213"/>
      <c r="K160" s="214"/>
      <c r="L160" s="244">
        <f>J160-K160</f>
        <v>0</v>
      </c>
      <c r="M160" s="213"/>
      <c r="N160" s="214"/>
      <c r="O160" s="246">
        <f>M160-N160</f>
        <v>0</v>
      </c>
      <c r="P160" s="244">
        <f>J160+M160</f>
        <v>0</v>
      </c>
      <c r="Q160" s="244">
        <f>K160+N160</f>
        <v>0</v>
      </c>
      <c r="R160" s="249">
        <f>P160-Q160</f>
        <v>0</v>
      </c>
      <c r="S160" s="244">
        <f>G160+P160</f>
        <v>0</v>
      </c>
      <c r="T160" s="244">
        <f>H160+Q160</f>
        <v>0</v>
      </c>
      <c r="U160" s="251">
        <f>S160-T160</f>
        <v>0</v>
      </c>
    </row>
    <row r="161" spans="1:21" s="30" customFormat="1" ht="25.5" customHeight="1">
      <c r="A161" s="190"/>
      <c r="B161" s="173"/>
      <c r="C161" s="73"/>
      <c r="D161" s="73"/>
      <c r="E161" s="73"/>
      <c r="F161" s="237" t="s">
        <v>799</v>
      </c>
      <c r="G161" s="202"/>
      <c r="H161" s="207"/>
      <c r="I161" s="192"/>
      <c r="J161" s="202"/>
      <c r="K161" s="207"/>
      <c r="L161" s="192"/>
      <c r="M161" s="202"/>
      <c r="N161" s="207"/>
      <c r="O161" s="227"/>
      <c r="P161" s="245"/>
      <c r="Q161" s="207"/>
      <c r="R161" s="192"/>
      <c r="S161" s="245"/>
      <c r="T161" s="207"/>
      <c r="U161" s="179"/>
    </row>
    <row r="162" spans="1:21" s="30" customFormat="1" ht="21" customHeight="1">
      <c r="A162" s="190"/>
      <c r="B162" s="173"/>
      <c r="C162" s="73" t="s">
        <v>800</v>
      </c>
      <c r="D162" s="73" t="s">
        <v>47</v>
      </c>
      <c r="E162" s="73"/>
      <c r="F162" s="238" t="s">
        <v>828</v>
      </c>
      <c r="G162" s="213"/>
      <c r="H162" s="214"/>
      <c r="I162" s="244">
        <f t="shared" ref="I162:I166" si="148">G162-H162</f>
        <v>0</v>
      </c>
      <c r="J162" s="213"/>
      <c r="K162" s="214"/>
      <c r="L162" s="244">
        <f t="shared" ref="L162:L166" si="149">J162-K162</f>
        <v>0</v>
      </c>
      <c r="M162" s="213"/>
      <c r="N162" s="214"/>
      <c r="O162" s="246">
        <f t="shared" ref="O162:O166" si="150">M162-N162</f>
        <v>0</v>
      </c>
      <c r="P162" s="244">
        <f t="shared" ref="P162:P166" si="151">J162+M162</f>
        <v>0</v>
      </c>
      <c r="Q162" s="244">
        <f t="shared" ref="Q162:Q166" si="152">K162+N162</f>
        <v>0</v>
      </c>
      <c r="R162" s="249">
        <f t="shared" ref="R162:R166" si="153">P162-Q162</f>
        <v>0</v>
      </c>
      <c r="S162" s="244">
        <f t="shared" ref="S162:S166" si="154">G162+P162</f>
        <v>0</v>
      </c>
      <c r="T162" s="244">
        <f t="shared" ref="T162:T166" si="155">H162+Q162</f>
        <v>0</v>
      </c>
      <c r="U162" s="251">
        <f t="shared" ref="U162:U166" si="156">S162-T162</f>
        <v>0</v>
      </c>
    </row>
    <row r="163" spans="1:21" s="30" customFormat="1" ht="21.75" customHeight="1">
      <c r="A163" s="190"/>
      <c r="B163" s="173"/>
      <c r="C163" s="73" t="s">
        <v>801</v>
      </c>
      <c r="D163" s="73" t="s">
        <v>47</v>
      </c>
      <c r="E163" s="73"/>
      <c r="F163" s="238" t="s">
        <v>829</v>
      </c>
      <c r="G163" s="213"/>
      <c r="H163" s="214"/>
      <c r="I163" s="244">
        <f t="shared" si="148"/>
        <v>0</v>
      </c>
      <c r="J163" s="213"/>
      <c r="K163" s="214"/>
      <c r="L163" s="244">
        <f t="shared" si="149"/>
        <v>0</v>
      </c>
      <c r="M163" s="213"/>
      <c r="N163" s="214"/>
      <c r="O163" s="246">
        <f t="shared" si="150"/>
        <v>0</v>
      </c>
      <c r="P163" s="244">
        <f t="shared" si="151"/>
        <v>0</v>
      </c>
      <c r="Q163" s="244">
        <f t="shared" si="152"/>
        <v>0</v>
      </c>
      <c r="R163" s="249">
        <f t="shared" si="153"/>
        <v>0</v>
      </c>
      <c r="S163" s="244">
        <f t="shared" si="154"/>
        <v>0</v>
      </c>
      <c r="T163" s="244">
        <f t="shared" si="155"/>
        <v>0</v>
      </c>
      <c r="U163" s="251">
        <f t="shared" si="156"/>
        <v>0</v>
      </c>
    </row>
    <row r="164" spans="1:21" s="30" customFormat="1" ht="25.5" customHeight="1">
      <c r="A164" s="190"/>
      <c r="B164" s="173"/>
      <c r="C164" s="73" t="s">
        <v>802</v>
      </c>
      <c r="D164" s="73" t="s">
        <v>47</v>
      </c>
      <c r="E164" s="73"/>
      <c r="F164" s="238" t="s">
        <v>830</v>
      </c>
      <c r="G164" s="213"/>
      <c r="H164" s="214"/>
      <c r="I164" s="244">
        <f t="shared" si="148"/>
        <v>0</v>
      </c>
      <c r="J164" s="213"/>
      <c r="K164" s="214"/>
      <c r="L164" s="244">
        <f t="shared" si="149"/>
        <v>0</v>
      </c>
      <c r="M164" s="213"/>
      <c r="N164" s="214"/>
      <c r="O164" s="246">
        <f t="shared" si="150"/>
        <v>0</v>
      </c>
      <c r="P164" s="244">
        <f t="shared" si="151"/>
        <v>0</v>
      </c>
      <c r="Q164" s="244">
        <f t="shared" si="152"/>
        <v>0</v>
      </c>
      <c r="R164" s="249">
        <f t="shared" si="153"/>
        <v>0</v>
      </c>
      <c r="S164" s="244">
        <f t="shared" si="154"/>
        <v>0</v>
      </c>
      <c r="T164" s="244">
        <f t="shared" si="155"/>
        <v>0</v>
      </c>
      <c r="U164" s="251">
        <f t="shared" si="156"/>
        <v>0</v>
      </c>
    </row>
    <row r="165" spans="1:21" s="30" customFormat="1" ht="21.75" customHeight="1">
      <c r="A165" s="190"/>
      <c r="B165" s="173"/>
      <c r="C165" s="73" t="s">
        <v>803</v>
      </c>
      <c r="D165" s="73" t="s">
        <v>47</v>
      </c>
      <c r="E165" s="73"/>
      <c r="F165" s="238" t="s">
        <v>831</v>
      </c>
      <c r="G165" s="213"/>
      <c r="H165" s="214"/>
      <c r="I165" s="244">
        <f t="shared" si="148"/>
        <v>0</v>
      </c>
      <c r="J165" s="213"/>
      <c r="K165" s="214"/>
      <c r="L165" s="244">
        <f t="shared" si="149"/>
        <v>0</v>
      </c>
      <c r="M165" s="213"/>
      <c r="N165" s="214"/>
      <c r="O165" s="246">
        <f t="shared" si="150"/>
        <v>0</v>
      </c>
      <c r="P165" s="244">
        <f t="shared" si="151"/>
        <v>0</v>
      </c>
      <c r="Q165" s="244">
        <f t="shared" si="152"/>
        <v>0</v>
      </c>
      <c r="R165" s="249">
        <f t="shared" si="153"/>
        <v>0</v>
      </c>
      <c r="S165" s="244">
        <f t="shared" si="154"/>
        <v>0</v>
      </c>
      <c r="T165" s="244">
        <f t="shared" si="155"/>
        <v>0</v>
      </c>
      <c r="U165" s="251">
        <f t="shared" si="156"/>
        <v>0</v>
      </c>
    </row>
    <row r="166" spans="1:21" s="30" customFormat="1" ht="25.5" customHeight="1">
      <c r="A166" s="190"/>
      <c r="B166" s="173"/>
      <c r="C166" s="73" t="s">
        <v>804</v>
      </c>
      <c r="D166" s="73" t="s">
        <v>47</v>
      </c>
      <c r="E166" s="73"/>
      <c r="F166" s="238" t="s">
        <v>832</v>
      </c>
      <c r="G166" s="213"/>
      <c r="H166" s="214"/>
      <c r="I166" s="244">
        <f t="shared" si="148"/>
        <v>0</v>
      </c>
      <c r="J166" s="213"/>
      <c r="K166" s="214"/>
      <c r="L166" s="244">
        <f t="shared" si="149"/>
        <v>0</v>
      </c>
      <c r="M166" s="213"/>
      <c r="N166" s="214"/>
      <c r="O166" s="246">
        <f t="shared" si="150"/>
        <v>0</v>
      </c>
      <c r="P166" s="244">
        <f t="shared" si="151"/>
        <v>0</v>
      </c>
      <c r="Q166" s="244">
        <f t="shared" si="152"/>
        <v>0</v>
      </c>
      <c r="R166" s="249">
        <f t="shared" si="153"/>
        <v>0</v>
      </c>
      <c r="S166" s="244">
        <f t="shared" si="154"/>
        <v>0</v>
      </c>
      <c r="T166" s="244">
        <f t="shared" si="155"/>
        <v>0</v>
      </c>
      <c r="U166" s="251">
        <f t="shared" si="156"/>
        <v>0</v>
      </c>
    </row>
    <row r="167" spans="1:21" s="30" customFormat="1" ht="21" customHeight="1">
      <c r="A167" s="190"/>
      <c r="B167" s="173"/>
      <c r="C167" s="73"/>
      <c r="D167" s="73"/>
      <c r="E167" s="73"/>
      <c r="F167" s="239" t="s">
        <v>805</v>
      </c>
      <c r="G167" s="202"/>
      <c r="H167" s="207"/>
      <c r="I167" s="192"/>
      <c r="J167" s="202"/>
      <c r="K167" s="207"/>
      <c r="L167" s="192"/>
      <c r="M167" s="202"/>
      <c r="N167" s="207"/>
      <c r="O167" s="227"/>
      <c r="P167" s="245"/>
      <c r="Q167" s="207"/>
      <c r="R167" s="192"/>
      <c r="S167" s="245"/>
      <c r="T167" s="207"/>
      <c r="U167" s="179"/>
    </row>
    <row r="168" spans="1:21" s="30" customFormat="1" ht="21.75" customHeight="1">
      <c r="A168" s="190"/>
      <c r="B168" s="173"/>
      <c r="C168" s="73" t="s">
        <v>806</v>
      </c>
      <c r="D168" s="73" t="s">
        <v>47</v>
      </c>
      <c r="E168" s="73"/>
      <c r="F168" s="240" t="s">
        <v>833</v>
      </c>
      <c r="G168" s="213"/>
      <c r="H168" s="214"/>
      <c r="I168" s="244">
        <f t="shared" ref="I168:I171" si="157">G168-H168</f>
        <v>0</v>
      </c>
      <c r="J168" s="213"/>
      <c r="K168" s="214"/>
      <c r="L168" s="244">
        <f t="shared" ref="L168:L171" si="158">J168-K168</f>
        <v>0</v>
      </c>
      <c r="M168" s="213"/>
      <c r="N168" s="214"/>
      <c r="O168" s="246">
        <f t="shared" ref="O168:O171" si="159">M168-N168</f>
        <v>0</v>
      </c>
      <c r="P168" s="244">
        <f t="shared" ref="P168:P172" si="160">J168+M168</f>
        <v>0</v>
      </c>
      <c r="Q168" s="244">
        <f t="shared" ref="Q168:Q172" si="161">K168+N168</f>
        <v>0</v>
      </c>
      <c r="R168" s="249">
        <f t="shared" ref="R168:R171" si="162">P168-Q168</f>
        <v>0</v>
      </c>
      <c r="S168" s="244">
        <f t="shared" ref="S168:S172" si="163">G168+P168</f>
        <v>0</v>
      </c>
      <c r="T168" s="244">
        <f t="shared" ref="T168:T172" si="164">H168+Q168</f>
        <v>0</v>
      </c>
      <c r="U168" s="251">
        <f t="shared" ref="U168:U171" si="165">S168-T168</f>
        <v>0</v>
      </c>
    </row>
    <row r="169" spans="1:21" s="30" customFormat="1" ht="25.5" customHeight="1">
      <c r="A169" s="190"/>
      <c r="B169" s="173"/>
      <c r="C169" s="73" t="s">
        <v>807</v>
      </c>
      <c r="D169" s="73" t="s">
        <v>47</v>
      </c>
      <c r="E169" s="73"/>
      <c r="F169" s="240" t="s">
        <v>834</v>
      </c>
      <c r="G169" s="213"/>
      <c r="H169" s="214"/>
      <c r="I169" s="244">
        <f t="shared" si="157"/>
        <v>0</v>
      </c>
      <c r="J169" s="213"/>
      <c r="K169" s="214"/>
      <c r="L169" s="244">
        <f t="shared" si="158"/>
        <v>0</v>
      </c>
      <c r="M169" s="213"/>
      <c r="N169" s="214"/>
      <c r="O169" s="246">
        <f t="shared" si="159"/>
        <v>0</v>
      </c>
      <c r="P169" s="244">
        <f t="shared" si="160"/>
        <v>0</v>
      </c>
      <c r="Q169" s="244">
        <f t="shared" si="161"/>
        <v>0</v>
      </c>
      <c r="R169" s="249">
        <f t="shared" si="162"/>
        <v>0</v>
      </c>
      <c r="S169" s="244">
        <f t="shared" si="163"/>
        <v>0</v>
      </c>
      <c r="T169" s="244">
        <f t="shared" si="164"/>
        <v>0</v>
      </c>
      <c r="U169" s="251">
        <f t="shared" si="165"/>
        <v>0</v>
      </c>
    </row>
    <row r="170" spans="1:21" s="30" customFormat="1" ht="21" customHeight="1">
      <c r="A170" s="190"/>
      <c r="B170" s="173"/>
      <c r="C170" s="73" t="s">
        <v>808</v>
      </c>
      <c r="D170" s="73" t="s">
        <v>47</v>
      </c>
      <c r="E170" s="73"/>
      <c r="F170" s="240" t="s">
        <v>835</v>
      </c>
      <c r="G170" s="213"/>
      <c r="H170" s="214"/>
      <c r="I170" s="244">
        <f t="shared" si="157"/>
        <v>0</v>
      </c>
      <c r="J170" s="213"/>
      <c r="K170" s="214"/>
      <c r="L170" s="244">
        <f t="shared" si="158"/>
        <v>0</v>
      </c>
      <c r="M170" s="213"/>
      <c r="N170" s="214"/>
      <c r="O170" s="246">
        <f t="shared" si="159"/>
        <v>0</v>
      </c>
      <c r="P170" s="244">
        <f t="shared" si="160"/>
        <v>0</v>
      </c>
      <c r="Q170" s="244">
        <f t="shared" si="161"/>
        <v>0</v>
      </c>
      <c r="R170" s="249">
        <f t="shared" si="162"/>
        <v>0</v>
      </c>
      <c r="S170" s="244">
        <f t="shared" si="163"/>
        <v>0</v>
      </c>
      <c r="T170" s="244">
        <f t="shared" si="164"/>
        <v>0</v>
      </c>
      <c r="U170" s="251">
        <f t="shared" si="165"/>
        <v>0</v>
      </c>
    </row>
    <row r="171" spans="1:21" s="30" customFormat="1" ht="21.75" customHeight="1">
      <c r="A171" s="190"/>
      <c r="B171" s="173"/>
      <c r="C171" s="73" t="s">
        <v>809</v>
      </c>
      <c r="D171" s="73" t="s">
        <v>47</v>
      </c>
      <c r="E171" s="73"/>
      <c r="F171" s="237" t="s">
        <v>817</v>
      </c>
      <c r="G171" s="213"/>
      <c r="H171" s="214"/>
      <c r="I171" s="244">
        <f t="shared" si="157"/>
        <v>0</v>
      </c>
      <c r="J171" s="213"/>
      <c r="K171" s="214"/>
      <c r="L171" s="244">
        <f t="shared" si="158"/>
        <v>0</v>
      </c>
      <c r="M171" s="213"/>
      <c r="N171" s="214"/>
      <c r="O171" s="246">
        <f t="shared" si="159"/>
        <v>0</v>
      </c>
      <c r="P171" s="244">
        <f t="shared" si="160"/>
        <v>0</v>
      </c>
      <c r="Q171" s="244">
        <f t="shared" si="161"/>
        <v>0</v>
      </c>
      <c r="R171" s="249">
        <f t="shared" si="162"/>
        <v>0</v>
      </c>
      <c r="S171" s="244">
        <f t="shared" si="163"/>
        <v>0</v>
      </c>
      <c r="T171" s="244">
        <f t="shared" si="164"/>
        <v>0</v>
      </c>
      <c r="U171" s="251">
        <f t="shared" si="165"/>
        <v>0</v>
      </c>
    </row>
    <row r="172" spans="1:21" s="30" customFormat="1" ht="25.5" customHeight="1">
      <c r="A172" s="190" t="s">
        <v>48</v>
      </c>
      <c r="B172" s="173"/>
      <c r="C172" s="73" t="s">
        <v>757</v>
      </c>
      <c r="D172" s="73" t="s">
        <v>4</v>
      </c>
      <c r="E172" s="73"/>
      <c r="F172" s="237" t="s">
        <v>880</v>
      </c>
      <c r="G172" s="213"/>
      <c r="H172" s="214"/>
      <c r="I172" s="244">
        <f>G172-H172</f>
        <v>0</v>
      </c>
      <c r="J172" s="213"/>
      <c r="K172" s="214"/>
      <c r="L172" s="244">
        <f>J172-K172</f>
        <v>0</v>
      </c>
      <c r="M172" s="213"/>
      <c r="N172" s="214"/>
      <c r="O172" s="246">
        <f>M172-N172</f>
        <v>0</v>
      </c>
      <c r="P172" s="244">
        <f t="shared" si="160"/>
        <v>0</v>
      </c>
      <c r="Q172" s="244">
        <f t="shared" si="161"/>
        <v>0</v>
      </c>
      <c r="R172" s="249">
        <f>P172-Q172</f>
        <v>0</v>
      </c>
      <c r="S172" s="244">
        <f t="shared" si="163"/>
        <v>0</v>
      </c>
      <c r="T172" s="244">
        <f t="shared" si="164"/>
        <v>0</v>
      </c>
      <c r="U172" s="251">
        <f>S172-T172</f>
        <v>0</v>
      </c>
    </row>
    <row r="173" spans="1:21" s="30" customFormat="1" ht="21.75" customHeight="1">
      <c r="A173" s="190"/>
      <c r="B173" s="173"/>
      <c r="C173" s="73" t="s">
        <v>810</v>
      </c>
      <c r="D173" s="73" t="s">
        <v>47</v>
      </c>
      <c r="E173" s="73"/>
      <c r="F173" s="196" t="s">
        <v>814</v>
      </c>
      <c r="G173" s="215"/>
      <c r="H173" s="216"/>
      <c r="I173" s="217"/>
      <c r="J173" s="215"/>
      <c r="K173" s="216"/>
      <c r="L173" s="217"/>
      <c r="M173" s="215"/>
      <c r="N173" s="216"/>
      <c r="O173" s="218"/>
      <c r="P173" s="217"/>
      <c r="Q173" s="216"/>
      <c r="R173" s="217"/>
      <c r="S173" s="215"/>
      <c r="T173" s="216"/>
      <c r="U173" s="233"/>
    </row>
    <row r="174" spans="1:21" s="30" customFormat="1" ht="25.5" customHeight="1">
      <c r="A174" s="190"/>
      <c r="B174" s="173"/>
      <c r="C174" s="73" t="s">
        <v>811</v>
      </c>
      <c r="D174" s="73" t="s">
        <v>47</v>
      </c>
      <c r="E174" s="73"/>
      <c r="F174" s="196" t="s">
        <v>815</v>
      </c>
      <c r="G174" s="215"/>
      <c r="H174" s="216"/>
      <c r="I174" s="217"/>
      <c r="J174" s="215"/>
      <c r="K174" s="216"/>
      <c r="L174" s="217"/>
      <c r="M174" s="215"/>
      <c r="N174" s="216"/>
      <c r="O174" s="218"/>
      <c r="P174" s="217"/>
      <c r="Q174" s="216"/>
      <c r="R174" s="217"/>
      <c r="S174" s="215"/>
      <c r="T174" s="216"/>
      <c r="U174" s="233"/>
    </row>
    <row r="175" spans="1:21" s="30" customFormat="1" ht="21.75" customHeight="1">
      <c r="A175" s="190"/>
      <c r="B175" s="173"/>
      <c r="C175" s="73" t="s">
        <v>812</v>
      </c>
      <c r="D175" s="73" t="s">
        <v>47</v>
      </c>
      <c r="E175" s="73"/>
      <c r="F175" s="196" t="s">
        <v>816</v>
      </c>
      <c r="G175" s="215"/>
      <c r="H175" s="216"/>
      <c r="I175" s="217"/>
      <c r="J175" s="215"/>
      <c r="K175" s="216"/>
      <c r="L175" s="217"/>
      <c r="M175" s="215"/>
      <c r="N175" s="216"/>
      <c r="O175" s="217"/>
      <c r="P175" s="215"/>
      <c r="Q175" s="216"/>
      <c r="R175" s="217"/>
      <c r="S175" s="215"/>
      <c r="T175" s="216"/>
      <c r="U175" s="233"/>
    </row>
    <row r="176" spans="1:21" ht="15.75" thickBot="1">
      <c r="A176" s="190"/>
      <c r="B176" s="180"/>
      <c r="C176" s="181"/>
      <c r="D176" s="181"/>
      <c r="E176" s="181" t="s">
        <v>0</v>
      </c>
      <c r="F176" s="234" t="s">
        <v>0</v>
      </c>
      <c r="G176" s="235"/>
      <c r="H176" s="236"/>
      <c r="I176" s="234"/>
      <c r="J176" s="235"/>
      <c r="K176" s="236"/>
      <c r="L176" s="234"/>
      <c r="M176" s="235"/>
      <c r="N176" s="236"/>
      <c r="O176" s="234"/>
      <c r="P176" s="235"/>
      <c r="Q176" s="236"/>
      <c r="R176" s="234"/>
      <c r="S176" s="235"/>
      <c r="T176" s="236"/>
      <c r="U176" s="182"/>
    </row>
    <row r="177" spans="1:21" ht="15.75" thickBot="1"/>
    <row r="178" spans="1:21" s="30" customFormat="1" ht="52.9" customHeight="1">
      <c r="A178" s="183" t="s">
        <v>54</v>
      </c>
      <c r="B178" s="211"/>
      <c r="C178" s="212"/>
      <c r="D178" s="212"/>
      <c r="E178" s="212"/>
      <c r="F178" s="210" t="s">
        <v>786</v>
      </c>
      <c r="G178" s="345" t="s">
        <v>749</v>
      </c>
      <c r="H178" s="346"/>
      <c r="I178" s="346"/>
      <c r="J178" s="346"/>
      <c r="K178" s="346"/>
      <c r="L178" s="346"/>
      <c r="M178" s="346"/>
      <c r="N178" s="346"/>
      <c r="O178" s="346"/>
      <c r="P178" s="346"/>
      <c r="Q178" s="346"/>
      <c r="R178" s="346"/>
      <c r="S178" s="346"/>
      <c r="T178" s="346"/>
      <c r="U178" s="347"/>
    </row>
    <row r="179" spans="1:21" s="209" customFormat="1" ht="49.9" customHeight="1">
      <c r="A179" s="62" t="s">
        <v>55</v>
      </c>
      <c r="B179" s="219"/>
      <c r="C179" s="220"/>
      <c r="D179" s="220" t="s">
        <v>785</v>
      </c>
      <c r="E179" s="221" t="s">
        <v>747</v>
      </c>
      <c r="F179" s="222"/>
      <c r="G179" s="223" t="s">
        <v>748</v>
      </c>
      <c r="H179" s="224" t="str">
        <f>G179</f>
        <v>full_ifrs-cor_2014-03-05.xsd#ifrs-full_ClassesOfFinancialInstrumentsMember</v>
      </c>
      <c r="I179" s="225" t="str">
        <f t="shared" ref="I179:U179" si="166">H179</f>
        <v>full_ifrs-cor_2014-03-05.xsd#ifrs-full_ClassesOfFinancialInstrumentsMember</v>
      </c>
      <c r="J179" s="226" t="str">
        <f t="shared" si="166"/>
        <v>full_ifrs-cor_2014-03-05.xsd#ifrs-full_ClassesOfFinancialInstrumentsMember</v>
      </c>
      <c r="K179" s="224" t="str">
        <f t="shared" si="166"/>
        <v>full_ifrs-cor_2014-03-05.xsd#ifrs-full_ClassesOfFinancialInstrumentsMember</v>
      </c>
      <c r="L179" s="225" t="str">
        <f t="shared" si="166"/>
        <v>full_ifrs-cor_2014-03-05.xsd#ifrs-full_ClassesOfFinancialInstrumentsMember</v>
      </c>
      <c r="M179" s="226" t="str">
        <f t="shared" si="166"/>
        <v>full_ifrs-cor_2014-03-05.xsd#ifrs-full_ClassesOfFinancialInstrumentsMember</v>
      </c>
      <c r="N179" s="224" t="str">
        <f t="shared" si="166"/>
        <v>full_ifrs-cor_2014-03-05.xsd#ifrs-full_ClassesOfFinancialInstrumentsMember</v>
      </c>
      <c r="O179" s="225" t="str">
        <f t="shared" si="166"/>
        <v>full_ifrs-cor_2014-03-05.xsd#ifrs-full_ClassesOfFinancialInstrumentsMember</v>
      </c>
      <c r="P179" s="226" t="str">
        <f t="shared" si="166"/>
        <v>full_ifrs-cor_2014-03-05.xsd#ifrs-full_ClassesOfFinancialInstrumentsMember</v>
      </c>
      <c r="Q179" s="224" t="str">
        <f t="shared" si="166"/>
        <v>full_ifrs-cor_2014-03-05.xsd#ifrs-full_ClassesOfFinancialInstrumentsMember</v>
      </c>
      <c r="R179" s="225" t="str">
        <f t="shared" si="166"/>
        <v>full_ifrs-cor_2014-03-05.xsd#ifrs-full_ClassesOfFinancialInstrumentsMember</v>
      </c>
      <c r="S179" s="226" t="str">
        <f t="shared" si="166"/>
        <v>full_ifrs-cor_2014-03-05.xsd#ifrs-full_ClassesOfFinancialInstrumentsMember</v>
      </c>
      <c r="T179" s="224" t="str">
        <f t="shared" si="166"/>
        <v>full_ifrs-cor_2014-03-05.xsd#ifrs-full_ClassesOfFinancialInstrumentsMember</v>
      </c>
      <c r="U179" s="225" t="str">
        <f t="shared" si="166"/>
        <v>full_ifrs-cor_2014-03-05.xsd#ifrs-full_ClassesOfFinancialInstrumentsMember</v>
      </c>
    </row>
    <row r="180" spans="1:21" s="30" customFormat="1" ht="78" customHeight="1">
      <c r="A180" s="185"/>
      <c r="B180" s="186"/>
      <c r="C180" s="187"/>
      <c r="D180" s="187"/>
      <c r="E180" s="184"/>
      <c r="F180" s="198"/>
      <c r="G180" s="329" t="s">
        <v>737</v>
      </c>
      <c r="H180" s="330"/>
      <c r="I180" s="331"/>
      <c r="J180" s="329" t="s">
        <v>738</v>
      </c>
      <c r="K180" s="330"/>
      <c r="L180" s="331"/>
      <c r="M180" s="329" t="s">
        <v>739</v>
      </c>
      <c r="N180" s="330"/>
      <c r="O180" s="331"/>
      <c r="P180" s="329" t="s">
        <v>740</v>
      </c>
      <c r="Q180" s="330"/>
      <c r="R180" s="331"/>
      <c r="S180" s="329" t="s">
        <v>741</v>
      </c>
      <c r="T180" s="330"/>
      <c r="U180" s="331"/>
    </row>
    <row r="181" spans="1:21" s="30" customFormat="1" ht="57" hidden="1" customHeight="1">
      <c r="A181" s="62" t="s">
        <v>55</v>
      </c>
      <c r="B181" s="72"/>
      <c r="C181" s="174"/>
      <c r="D181" s="175"/>
      <c r="E181" s="73" t="s">
        <v>736</v>
      </c>
      <c r="F181" s="199"/>
      <c r="G181" s="201" t="s">
        <v>742</v>
      </c>
      <c r="H181" s="206" t="str">
        <f>G181</f>
        <v>full_ifrs-cor_2018-03-16.xsd#ifrs-full_FinancialInstrumentsNotCreditimpairedMember</v>
      </c>
      <c r="I181" s="204" t="str">
        <f>H181</f>
        <v>full_ifrs-cor_2018-03-16.xsd#ifrs-full_FinancialInstrumentsNotCreditimpairedMember</v>
      </c>
      <c r="J181" s="201" t="s">
        <v>743</v>
      </c>
      <c r="K181" s="206" t="str">
        <f t="shared" ref="K181:L181" si="167">J181</f>
        <v>full_ifrs-cor_2018-03-16.xsd#ifrs-full_FinancialInstrumentsPurchasedOrOriginatedCreditimpairedMember</v>
      </c>
      <c r="L181" s="204" t="str">
        <f t="shared" si="167"/>
        <v>full_ifrs-cor_2018-03-16.xsd#ifrs-full_FinancialInstrumentsPurchasedOrOriginatedCreditimpairedMember</v>
      </c>
      <c r="M181" s="201" t="s">
        <v>744</v>
      </c>
      <c r="N181" s="206" t="str">
        <f t="shared" ref="N181:O181" si="168">M181</f>
        <v>full_ifrs-cor_2018-03-16.xsd#ifrs-full_FinancialInstrumentsCreditimpairedAfterPurchaseOrOriginationMember</v>
      </c>
      <c r="O181" s="204" t="str">
        <f t="shared" si="168"/>
        <v>full_ifrs-cor_2018-03-16.xsd#ifrs-full_FinancialInstrumentsCreditimpairedAfterPurchaseOrOriginationMember</v>
      </c>
      <c r="P181" s="201" t="s">
        <v>745</v>
      </c>
      <c r="Q181" s="206" t="str">
        <f t="shared" ref="Q181:R181" si="169">P181</f>
        <v>full_ifrs-cor_2018-03-16.xsd#ifrs-full_FinancialInstrumentsCreditimpairedMember</v>
      </c>
      <c r="R181" s="204" t="str">
        <f t="shared" si="169"/>
        <v>full_ifrs-cor_2018-03-16.xsd#ifrs-full_FinancialInstrumentsCreditimpairedMember</v>
      </c>
      <c r="S181" s="201" t="s">
        <v>746</v>
      </c>
      <c r="T181" s="206" t="str">
        <f t="shared" ref="T181:U181" si="170">S181</f>
        <v>full_ifrs-cor_2018-03-16.xsd#ifrs-full_CreditImpairmentOfFinancialInstrumentsMember</v>
      </c>
      <c r="U181" s="204" t="str">
        <f t="shared" si="170"/>
        <v>full_ifrs-cor_2018-03-16.xsd#ifrs-full_CreditImpairmentOfFinancialInstrumentsMember</v>
      </c>
    </row>
    <row r="182" spans="1:21" s="30" customFormat="1" ht="78" customHeight="1">
      <c r="A182" s="185"/>
      <c r="B182" s="186"/>
      <c r="C182" s="187"/>
      <c r="D182" s="187"/>
      <c r="E182" s="184"/>
      <c r="F182" s="198"/>
      <c r="G182" s="200" t="s">
        <v>730</v>
      </c>
      <c r="H182" s="205" t="s">
        <v>731</v>
      </c>
      <c r="I182" s="188" t="s">
        <v>732</v>
      </c>
      <c r="J182" s="200" t="s">
        <v>730</v>
      </c>
      <c r="K182" s="205" t="s">
        <v>731</v>
      </c>
      <c r="L182" s="188" t="s">
        <v>732</v>
      </c>
      <c r="M182" s="200" t="s">
        <v>730</v>
      </c>
      <c r="N182" s="205" t="s">
        <v>731</v>
      </c>
      <c r="O182" s="188" t="s">
        <v>732</v>
      </c>
      <c r="P182" s="200" t="s">
        <v>730</v>
      </c>
      <c r="Q182" s="205" t="s">
        <v>731</v>
      </c>
      <c r="R182" s="188" t="s">
        <v>732</v>
      </c>
      <c r="S182" s="200" t="s">
        <v>730</v>
      </c>
      <c r="T182" s="205" t="s">
        <v>731</v>
      </c>
      <c r="U182" s="188" t="s">
        <v>732</v>
      </c>
    </row>
    <row r="183" spans="1:21" s="30" customFormat="1" ht="57" hidden="1" customHeight="1">
      <c r="A183" s="62" t="s">
        <v>55</v>
      </c>
      <c r="B183" s="72"/>
      <c r="C183" s="174"/>
      <c r="D183" s="175"/>
      <c r="E183" s="73" t="s">
        <v>729</v>
      </c>
      <c r="F183" s="199"/>
      <c r="G183" s="201" t="s">
        <v>733</v>
      </c>
      <c r="H183" s="206" t="s">
        <v>734</v>
      </c>
      <c r="I183" s="204" t="s">
        <v>735</v>
      </c>
      <c r="J183" s="201" t="s">
        <v>733</v>
      </c>
      <c r="K183" s="206" t="s">
        <v>734</v>
      </c>
      <c r="L183" s="204" t="s">
        <v>735</v>
      </c>
      <c r="M183" s="201" t="s">
        <v>733</v>
      </c>
      <c r="N183" s="206" t="s">
        <v>734</v>
      </c>
      <c r="O183" s="204" t="s">
        <v>735</v>
      </c>
      <c r="P183" s="201" t="s">
        <v>733</v>
      </c>
      <c r="Q183" s="206" t="s">
        <v>734</v>
      </c>
      <c r="R183" s="204" t="s">
        <v>735</v>
      </c>
      <c r="S183" s="201" t="s">
        <v>733</v>
      </c>
      <c r="T183" s="206" t="s">
        <v>734</v>
      </c>
      <c r="U183" s="204" t="s">
        <v>735</v>
      </c>
    </row>
    <row r="184" spans="1:21" s="30" customFormat="1" ht="22.5" customHeight="1">
      <c r="A184" s="62"/>
      <c r="B184" s="72"/>
      <c r="C184" s="174"/>
      <c r="D184" s="175"/>
      <c r="E184" s="175"/>
      <c r="F184" s="299" t="s">
        <v>727</v>
      </c>
      <c r="G184" s="201"/>
      <c r="H184" s="206"/>
      <c r="I184" s="189"/>
      <c r="J184" s="201"/>
      <c r="K184" s="206"/>
      <c r="L184" s="189"/>
      <c r="M184" s="201"/>
      <c r="N184" s="206"/>
      <c r="O184" s="189"/>
      <c r="P184" s="201"/>
      <c r="Q184" s="206"/>
      <c r="R184" s="189"/>
      <c r="S184" s="201"/>
      <c r="T184" s="206"/>
      <c r="U184" s="189"/>
    </row>
    <row r="185" spans="1:21" s="30" customFormat="1" ht="68.45" customHeight="1">
      <c r="A185" s="190"/>
      <c r="B185" s="191"/>
      <c r="C185" s="121"/>
      <c r="D185" s="178"/>
      <c r="E185" s="73"/>
      <c r="F185" s="197" t="s">
        <v>813</v>
      </c>
      <c r="G185" s="202"/>
      <c r="H185" s="207"/>
      <c r="I185" s="192"/>
      <c r="J185" s="202"/>
      <c r="K185" s="207"/>
      <c r="L185" s="192"/>
      <c r="M185" s="202"/>
      <c r="N185" s="207"/>
      <c r="O185" s="192"/>
      <c r="P185" s="202"/>
      <c r="Q185" s="207"/>
      <c r="R185" s="192"/>
      <c r="S185" s="202"/>
      <c r="T185" s="207"/>
      <c r="U185" s="227"/>
    </row>
    <row r="186" spans="1:21" s="30" customFormat="1" ht="43.15" customHeight="1">
      <c r="A186" s="190"/>
      <c r="B186" s="72"/>
      <c r="C186" s="73" t="s">
        <v>750</v>
      </c>
      <c r="D186" s="73" t="s">
        <v>4</v>
      </c>
      <c r="E186" s="73"/>
      <c r="F186" s="196" t="s">
        <v>762</v>
      </c>
      <c r="G186" s="254" t="s">
        <v>766</v>
      </c>
      <c r="H186" s="255"/>
      <c r="I186" s="256"/>
      <c r="J186" s="254"/>
      <c r="K186" s="255"/>
      <c r="L186" s="256"/>
      <c r="M186" s="254"/>
      <c r="N186" s="255"/>
      <c r="O186" s="256"/>
      <c r="P186" s="254"/>
      <c r="Q186" s="255"/>
      <c r="R186" s="256"/>
      <c r="S186" s="254"/>
      <c r="T186" s="255"/>
      <c r="U186" s="257"/>
    </row>
    <row r="187" spans="1:21" s="30" customFormat="1" ht="43.15" customHeight="1">
      <c r="A187" s="190"/>
      <c r="B187" s="72"/>
      <c r="C187" s="73" t="s">
        <v>751</v>
      </c>
      <c r="D187" s="73" t="s">
        <v>4</v>
      </c>
      <c r="E187" s="73"/>
      <c r="F187" s="196" t="s">
        <v>763</v>
      </c>
      <c r="G187" s="254" t="s">
        <v>778</v>
      </c>
      <c r="H187" s="255"/>
      <c r="I187" s="256"/>
      <c r="J187" s="254"/>
      <c r="K187" s="255"/>
      <c r="L187" s="256"/>
      <c r="M187" s="254"/>
      <c r="N187" s="255"/>
      <c r="O187" s="256"/>
      <c r="P187" s="254"/>
      <c r="Q187" s="255"/>
      <c r="R187" s="256"/>
      <c r="S187" s="254"/>
      <c r="T187" s="255"/>
      <c r="U187" s="257"/>
    </row>
    <row r="188" spans="1:21" s="30" customFormat="1" ht="25.5" customHeight="1">
      <c r="A188" s="190"/>
      <c r="B188" s="72"/>
      <c r="C188" s="73" t="s">
        <v>752</v>
      </c>
      <c r="D188" s="73" t="s">
        <v>4</v>
      </c>
      <c r="E188" s="73"/>
      <c r="F188" s="196" t="s">
        <v>764</v>
      </c>
      <c r="G188" s="254" t="s">
        <v>780</v>
      </c>
      <c r="H188" s="255"/>
      <c r="I188" s="256"/>
      <c r="J188" s="254"/>
      <c r="K188" s="255"/>
      <c r="L188" s="256"/>
      <c r="M188" s="254"/>
      <c r="N188" s="255"/>
      <c r="O188" s="256"/>
      <c r="P188" s="254"/>
      <c r="Q188" s="255"/>
      <c r="R188" s="256"/>
      <c r="S188" s="254"/>
      <c r="T188" s="255"/>
      <c r="U188" s="257"/>
    </row>
    <row r="189" spans="1:21" s="30" customFormat="1" ht="21" customHeight="1">
      <c r="A189" s="190" t="s">
        <v>48</v>
      </c>
      <c r="B189" s="72"/>
      <c r="C189" s="73" t="s">
        <v>756</v>
      </c>
      <c r="D189" s="73" t="s">
        <v>4</v>
      </c>
      <c r="E189" s="73"/>
      <c r="F189" s="237" t="s">
        <v>879</v>
      </c>
      <c r="G189" s="280"/>
      <c r="H189" s="281"/>
      <c r="I189" s="244">
        <f>G189-H189</f>
        <v>0</v>
      </c>
      <c r="J189" s="280"/>
      <c r="K189" s="281"/>
      <c r="L189" s="244">
        <f>J189-K189</f>
        <v>0</v>
      </c>
      <c r="M189" s="280"/>
      <c r="N189" s="281"/>
      <c r="O189" s="246">
        <f>M189-N189</f>
        <v>0</v>
      </c>
      <c r="P189" s="244">
        <f>J189+M189</f>
        <v>0</v>
      </c>
      <c r="Q189" s="244">
        <f>K189+N189</f>
        <v>0</v>
      </c>
      <c r="R189" s="249">
        <f>P189-Q189</f>
        <v>0</v>
      </c>
      <c r="S189" s="244">
        <f>G189+P189</f>
        <v>0</v>
      </c>
      <c r="T189" s="244">
        <f>H189+Q189</f>
        <v>0</v>
      </c>
      <c r="U189" s="246">
        <f>S189-T189</f>
        <v>0</v>
      </c>
    </row>
    <row r="190" spans="1:21" s="30" customFormat="1" ht="21.75" customHeight="1">
      <c r="A190" s="190"/>
      <c r="B190" s="72"/>
      <c r="C190" s="73"/>
      <c r="D190" s="73"/>
      <c r="E190" s="73"/>
      <c r="F190" s="237" t="s">
        <v>787</v>
      </c>
      <c r="G190" s="202"/>
      <c r="H190" s="207"/>
      <c r="I190" s="192"/>
      <c r="J190" s="202"/>
      <c r="K190" s="207"/>
      <c r="L190" s="192"/>
      <c r="M190" s="202"/>
      <c r="N190" s="207"/>
      <c r="O190" s="227"/>
      <c r="P190" s="245"/>
      <c r="Q190" s="207"/>
      <c r="R190" s="192"/>
      <c r="S190" s="245"/>
      <c r="T190" s="207"/>
      <c r="U190" s="227"/>
    </row>
    <row r="191" spans="1:21" s="30" customFormat="1" ht="25.5" customHeight="1">
      <c r="A191" s="190"/>
      <c r="B191" s="72"/>
      <c r="C191" s="73" t="s">
        <v>788</v>
      </c>
      <c r="D191" s="73" t="s">
        <v>4</v>
      </c>
      <c r="E191" s="73"/>
      <c r="F191" s="238" t="s">
        <v>818</v>
      </c>
      <c r="G191" s="280"/>
      <c r="H191" s="281"/>
      <c r="I191" s="244">
        <f t="shared" ref="I191:I196" si="171">G191-H191</f>
        <v>0</v>
      </c>
      <c r="J191" s="280"/>
      <c r="K191" s="281"/>
      <c r="L191" s="244">
        <f t="shared" ref="L191:L196" si="172">J191-K191</f>
        <v>0</v>
      </c>
      <c r="M191" s="280"/>
      <c r="N191" s="281"/>
      <c r="O191" s="246">
        <f t="shared" ref="O191:O196" si="173">M191-N191</f>
        <v>0</v>
      </c>
      <c r="P191" s="244">
        <f t="shared" ref="P191:Q196" si="174">J191+M191</f>
        <v>0</v>
      </c>
      <c r="Q191" s="244">
        <f t="shared" si="174"/>
        <v>0</v>
      </c>
      <c r="R191" s="249">
        <f t="shared" ref="R191:R196" si="175">P191-Q191</f>
        <v>0</v>
      </c>
      <c r="S191" s="244">
        <f t="shared" ref="S191:T196" si="176">G191+P191</f>
        <v>0</v>
      </c>
      <c r="T191" s="244">
        <f t="shared" si="176"/>
        <v>0</v>
      </c>
      <c r="U191" s="246">
        <f t="shared" ref="U191:U196" si="177">S191-T191</f>
        <v>0</v>
      </c>
    </row>
    <row r="192" spans="1:21" s="30" customFormat="1" ht="21.75" customHeight="1">
      <c r="A192" s="190"/>
      <c r="B192" s="72"/>
      <c r="C192" s="73" t="s">
        <v>789</v>
      </c>
      <c r="D192" s="73" t="s">
        <v>4</v>
      </c>
      <c r="E192" s="73"/>
      <c r="F192" s="238" t="s">
        <v>819</v>
      </c>
      <c r="G192" s="280"/>
      <c r="H192" s="281"/>
      <c r="I192" s="244">
        <f t="shared" si="171"/>
        <v>0</v>
      </c>
      <c r="J192" s="280"/>
      <c r="K192" s="281"/>
      <c r="L192" s="244">
        <f t="shared" si="172"/>
        <v>0</v>
      </c>
      <c r="M192" s="280"/>
      <c r="N192" s="281"/>
      <c r="O192" s="246">
        <f t="shared" si="173"/>
        <v>0</v>
      </c>
      <c r="P192" s="244">
        <f t="shared" si="174"/>
        <v>0</v>
      </c>
      <c r="Q192" s="244">
        <f t="shared" si="174"/>
        <v>0</v>
      </c>
      <c r="R192" s="249">
        <f t="shared" si="175"/>
        <v>0</v>
      </c>
      <c r="S192" s="244">
        <f t="shared" si="176"/>
        <v>0</v>
      </c>
      <c r="T192" s="244">
        <f t="shared" si="176"/>
        <v>0</v>
      </c>
      <c r="U192" s="246">
        <f t="shared" si="177"/>
        <v>0</v>
      </c>
    </row>
    <row r="193" spans="1:21" s="30" customFormat="1" ht="25.5" customHeight="1">
      <c r="A193" s="190"/>
      <c r="B193" s="72"/>
      <c r="C193" s="73" t="s">
        <v>790</v>
      </c>
      <c r="D193" s="73" t="s">
        <v>4</v>
      </c>
      <c r="E193" s="73"/>
      <c r="F193" s="238" t="s">
        <v>820</v>
      </c>
      <c r="G193" s="280"/>
      <c r="H193" s="281"/>
      <c r="I193" s="244">
        <f t="shared" si="171"/>
        <v>0</v>
      </c>
      <c r="J193" s="280"/>
      <c r="K193" s="281"/>
      <c r="L193" s="244">
        <f t="shared" si="172"/>
        <v>0</v>
      </c>
      <c r="M193" s="280"/>
      <c r="N193" s="281"/>
      <c r="O193" s="246">
        <f t="shared" si="173"/>
        <v>0</v>
      </c>
      <c r="P193" s="244">
        <f t="shared" si="174"/>
        <v>0</v>
      </c>
      <c r="Q193" s="244">
        <f t="shared" si="174"/>
        <v>0</v>
      </c>
      <c r="R193" s="249">
        <f t="shared" si="175"/>
        <v>0</v>
      </c>
      <c r="S193" s="244">
        <f t="shared" si="176"/>
        <v>0</v>
      </c>
      <c r="T193" s="244">
        <f t="shared" si="176"/>
        <v>0</v>
      </c>
      <c r="U193" s="246">
        <f t="shared" si="177"/>
        <v>0</v>
      </c>
    </row>
    <row r="194" spans="1:21" s="30" customFormat="1" ht="21" customHeight="1">
      <c r="A194" s="190"/>
      <c r="B194" s="72"/>
      <c r="C194" s="73" t="s">
        <v>791</v>
      </c>
      <c r="D194" s="73" t="s">
        <v>4</v>
      </c>
      <c r="E194" s="73"/>
      <c r="F194" s="238" t="s">
        <v>821</v>
      </c>
      <c r="G194" s="280"/>
      <c r="H194" s="281"/>
      <c r="I194" s="244">
        <f t="shared" si="171"/>
        <v>0</v>
      </c>
      <c r="J194" s="280"/>
      <c r="K194" s="281"/>
      <c r="L194" s="244">
        <f t="shared" si="172"/>
        <v>0</v>
      </c>
      <c r="M194" s="280"/>
      <c r="N194" s="281"/>
      <c r="O194" s="246">
        <f t="shared" si="173"/>
        <v>0</v>
      </c>
      <c r="P194" s="244">
        <f t="shared" si="174"/>
        <v>0</v>
      </c>
      <c r="Q194" s="244">
        <f t="shared" si="174"/>
        <v>0</v>
      </c>
      <c r="R194" s="249">
        <f t="shared" si="175"/>
        <v>0</v>
      </c>
      <c r="S194" s="244">
        <f t="shared" si="176"/>
        <v>0</v>
      </c>
      <c r="T194" s="244">
        <f t="shared" si="176"/>
        <v>0</v>
      </c>
      <c r="U194" s="246">
        <f t="shared" si="177"/>
        <v>0</v>
      </c>
    </row>
    <row r="195" spans="1:21" s="30" customFormat="1" ht="21.75" customHeight="1">
      <c r="A195" s="190"/>
      <c r="B195" s="72"/>
      <c r="C195" s="73" t="s">
        <v>792</v>
      </c>
      <c r="D195" s="73" t="s">
        <v>4</v>
      </c>
      <c r="E195" s="73"/>
      <c r="F195" s="238" t="s">
        <v>822</v>
      </c>
      <c r="G195" s="280"/>
      <c r="H195" s="281"/>
      <c r="I195" s="244">
        <f t="shared" si="171"/>
        <v>0</v>
      </c>
      <c r="J195" s="280"/>
      <c r="K195" s="281"/>
      <c r="L195" s="244">
        <f t="shared" si="172"/>
        <v>0</v>
      </c>
      <c r="M195" s="280"/>
      <c r="N195" s="281"/>
      <c r="O195" s="246">
        <f t="shared" si="173"/>
        <v>0</v>
      </c>
      <c r="P195" s="244">
        <f t="shared" si="174"/>
        <v>0</v>
      </c>
      <c r="Q195" s="244">
        <f t="shared" si="174"/>
        <v>0</v>
      </c>
      <c r="R195" s="249">
        <f t="shared" si="175"/>
        <v>0</v>
      </c>
      <c r="S195" s="244">
        <f t="shared" si="176"/>
        <v>0</v>
      </c>
      <c r="T195" s="244">
        <f t="shared" si="176"/>
        <v>0</v>
      </c>
      <c r="U195" s="246">
        <f t="shared" si="177"/>
        <v>0</v>
      </c>
    </row>
    <row r="196" spans="1:21" s="30" customFormat="1" ht="25.5" customHeight="1">
      <c r="A196" s="190"/>
      <c r="B196" s="72"/>
      <c r="C196" s="73" t="s">
        <v>793</v>
      </c>
      <c r="D196" s="73" t="s">
        <v>4</v>
      </c>
      <c r="E196" s="73"/>
      <c r="F196" s="238" t="s">
        <v>823</v>
      </c>
      <c r="G196" s="280"/>
      <c r="H196" s="281"/>
      <c r="I196" s="244">
        <f t="shared" si="171"/>
        <v>0</v>
      </c>
      <c r="J196" s="280"/>
      <c r="K196" s="281"/>
      <c r="L196" s="244">
        <f t="shared" si="172"/>
        <v>0</v>
      </c>
      <c r="M196" s="280"/>
      <c r="N196" s="281"/>
      <c r="O196" s="246">
        <f t="shared" si="173"/>
        <v>0</v>
      </c>
      <c r="P196" s="244">
        <f t="shared" si="174"/>
        <v>0</v>
      </c>
      <c r="Q196" s="244">
        <f t="shared" si="174"/>
        <v>0</v>
      </c>
      <c r="R196" s="249">
        <f t="shared" si="175"/>
        <v>0</v>
      </c>
      <c r="S196" s="244">
        <f t="shared" si="176"/>
        <v>0</v>
      </c>
      <c r="T196" s="244">
        <f t="shared" si="176"/>
        <v>0</v>
      </c>
      <c r="U196" s="246">
        <f t="shared" si="177"/>
        <v>0</v>
      </c>
    </row>
    <row r="197" spans="1:21" s="30" customFormat="1" ht="33" customHeight="1">
      <c r="A197" s="190"/>
      <c r="B197" s="72"/>
      <c r="C197" s="73"/>
      <c r="D197" s="73"/>
      <c r="E197" s="73"/>
      <c r="F197" s="239" t="s">
        <v>794</v>
      </c>
      <c r="G197" s="202"/>
      <c r="H197" s="207"/>
      <c r="I197" s="192"/>
      <c r="J197" s="202"/>
      <c r="K197" s="207"/>
      <c r="L197" s="192"/>
      <c r="M197" s="202"/>
      <c r="N197" s="207"/>
      <c r="O197" s="227"/>
      <c r="P197" s="245"/>
      <c r="Q197" s="207"/>
      <c r="R197" s="192"/>
      <c r="S197" s="245"/>
      <c r="T197" s="207"/>
      <c r="U197" s="250"/>
    </row>
    <row r="198" spans="1:21" s="30" customFormat="1" ht="21.75" customHeight="1">
      <c r="A198" s="190"/>
      <c r="B198" s="72"/>
      <c r="C198" s="73" t="s">
        <v>795</v>
      </c>
      <c r="D198" s="73" t="s">
        <v>4</v>
      </c>
      <c r="E198" s="73"/>
      <c r="F198" s="240" t="s">
        <v>824</v>
      </c>
      <c r="G198" s="280"/>
      <c r="H198" s="281"/>
      <c r="I198" s="244">
        <f t="shared" ref="I198:I202" si="178">G198-H198</f>
        <v>0</v>
      </c>
      <c r="J198" s="280"/>
      <c r="K198" s="281"/>
      <c r="L198" s="244">
        <f t="shared" ref="L198:L202" si="179">J198-K198</f>
        <v>0</v>
      </c>
      <c r="M198" s="280"/>
      <c r="N198" s="281"/>
      <c r="O198" s="246">
        <f t="shared" ref="O198:O202" si="180">M198-N198</f>
        <v>0</v>
      </c>
      <c r="P198" s="244">
        <f t="shared" ref="P198:Q202" si="181">J198+M198</f>
        <v>0</v>
      </c>
      <c r="Q198" s="244">
        <f t="shared" si="181"/>
        <v>0</v>
      </c>
      <c r="R198" s="249">
        <f t="shared" ref="R198:R202" si="182">P198-Q198</f>
        <v>0</v>
      </c>
      <c r="S198" s="244">
        <f t="shared" ref="S198:T202" si="183">G198+P198</f>
        <v>0</v>
      </c>
      <c r="T198" s="244">
        <f t="shared" si="183"/>
        <v>0</v>
      </c>
      <c r="U198" s="246">
        <f t="shared" ref="U198:U202" si="184">S198-T198</f>
        <v>0</v>
      </c>
    </row>
    <row r="199" spans="1:21" s="30" customFormat="1" ht="25.5" customHeight="1">
      <c r="A199" s="190"/>
      <c r="B199" s="72"/>
      <c r="C199" s="73" t="s">
        <v>796</v>
      </c>
      <c r="D199" s="73" t="s">
        <v>4</v>
      </c>
      <c r="E199" s="73"/>
      <c r="F199" s="240" t="s">
        <v>825</v>
      </c>
      <c r="G199" s="280"/>
      <c r="H199" s="281"/>
      <c r="I199" s="244">
        <f t="shared" si="178"/>
        <v>0</v>
      </c>
      <c r="J199" s="280"/>
      <c r="K199" s="281"/>
      <c r="L199" s="244">
        <f t="shared" si="179"/>
        <v>0</v>
      </c>
      <c r="M199" s="280"/>
      <c r="N199" s="281"/>
      <c r="O199" s="246">
        <f t="shared" si="180"/>
        <v>0</v>
      </c>
      <c r="P199" s="244">
        <f t="shared" si="181"/>
        <v>0</v>
      </c>
      <c r="Q199" s="244">
        <f t="shared" si="181"/>
        <v>0</v>
      </c>
      <c r="R199" s="249">
        <f t="shared" si="182"/>
        <v>0</v>
      </c>
      <c r="S199" s="244">
        <f t="shared" si="183"/>
        <v>0</v>
      </c>
      <c r="T199" s="244">
        <f t="shared" si="183"/>
        <v>0</v>
      </c>
      <c r="U199" s="246">
        <f t="shared" si="184"/>
        <v>0</v>
      </c>
    </row>
    <row r="200" spans="1:21" s="30" customFormat="1" ht="21.75" customHeight="1">
      <c r="A200" s="190"/>
      <c r="B200" s="72"/>
      <c r="C200" s="73" t="s">
        <v>797</v>
      </c>
      <c r="D200" s="73" t="s">
        <v>4</v>
      </c>
      <c r="E200" s="73"/>
      <c r="F200" s="241" t="s">
        <v>826</v>
      </c>
      <c r="G200" s="280"/>
      <c r="H200" s="281"/>
      <c r="I200" s="244">
        <f t="shared" si="178"/>
        <v>0</v>
      </c>
      <c r="J200" s="280"/>
      <c r="K200" s="281"/>
      <c r="L200" s="244">
        <f t="shared" si="179"/>
        <v>0</v>
      </c>
      <c r="M200" s="280"/>
      <c r="N200" s="281"/>
      <c r="O200" s="246">
        <f t="shared" si="180"/>
        <v>0</v>
      </c>
      <c r="P200" s="244">
        <f t="shared" si="181"/>
        <v>0</v>
      </c>
      <c r="Q200" s="244">
        <f t="shared" si="181"/>
        <v>0</v>
      </c>
      <c r="R200" s="249">
        <f t="shared" si="182"/>
        <v>0</v>
      </c>
      <c r="S200" s="244">
        <f t="shared" si="183"/>
        <v>0</v>
      </c>
      <c r="T200" s="244">
        <f t="shared" si="183"/>
        <v>0</v>
      </c>
      <c r="U200" s="246">
        <f t="shared" si="184"/>
        <v>0</v>
      </c>
    </row>
    <row r="201" spans="1:21" s="30" customFormat="1" ht="25.5" customHeight="1">
      <c r="A201" s="190"/>
      <c r="B201" s="72"/>
      <c r="C201" s="73" t="s">
        <v>798</v>
      </c>
      <c r="D201" s="73" t="s">
        <v>4</v>
      </c>
      <c r="E201" s="73"/>
      <c r="F201" s="237" t="s">
        <v>827</v>
      </c>
      <c r="G201" s="280"/>
      <c r="H201" s="281"/>
      <c r="I201" s="244">
        <f t="shared" si="178"/>
        <v>0</v>
      </c>
      <c r="J201" s="280"/>
      <c r="K201" s="281"/>
      <c r="L201" s="244">
        <f t="shared" si="179"/>
        <v>0</v>
      </c>
      <c r="M201" s="280"/>
      <c r="N201" s="281"/>
      <c r="O201" s="246">
        <f t="shared" si="180"/>
        <v>0</v>
      </c>
      <c r="P201" s="244">
        <f t="shared" si="181"/>
        <v>0</v>
      </c>
      <c r="Q201" s="244">
        <f t="shared" si="181"/>
        <v>0</v>
      </c>
      <c r="R201" s="249">
        <f t="shared" si="182"/>
        <v>0</v>
      </c>
      <c r="S201" s="244">
        <f t="shared" si="183"/>
        <v>0</v>
      </c>
      <c r="T201" s="244">
        <f t="shared" si="183"/>
        <v>0</v>
      </c>
      <c r="U201" s="246">
        <f t="shared" si="184"/>
        <v>0</v>
      </c>
    </row>
    <row r="202" spans="1:21" s="30" customFormat="1" ht="21" customHeight="1">
      <c r="A202" s="190"/>
      <c r="B202" s="72"/>
      <c r="C202" s="73" t="s">
        <v>756</v>
      </c>
      <c r="D202" s="73" t="s">
        <v>4</v>
      </c>
      <c r="E202" s="73"/>
      <c r="F202" s="237" t="s">
        <v>765</v>
      </c>
      <c r="G202" s="280"/>
      <c r="H202" s="281"/>
      <c r="I202" s="244">
        <f t="shared" si="178"/>
        <v>0</v>
      </c>
      <c r="J202" s="280"/>
      <c r="K202" s="281"/>
      <c r="L202" s="244">
        <f t="shared" si="179"/>
        <v>0</v>
      </c>
      <c r="M202" s="280"/>
      <c r="N202" s="281"/>
      <c r="O202" s="246">
        <f t="shared" si="180"/>
        <v>0</v>
      </c>
      <c r="P202" s="244">
        <f t="shared" si="181"/>
        <v>0</v>
      </c>
      <c r="Q202" s="244">
        <f t="shared" si="181"/>
        <v>0</v>
      </c>
      <c r="R202" s="249">
        <f t="shared" si="182"/>
        <v>0</v>
      </c>
      <c r="S202" s="244">
        <f t="shared" si="183"/>
        <v>0</v>
      </c>
      <c r="T202" s="244">
        <f t="shared" si="183"/>
        <v>0</v>
      </c>
      <c r="U202" s="246">
        <f t="shared" si="184"/>
        <v>0</v>
      </c>
    </row>
    <row r="203" spans="1:21" s="30" customFormat="1" ht="21" customHeight="1">
      <c r="A203" s="190"/>
      <c r="B203" s="72"/>
      <c r="C203" s="73"/>
      <c r="D203" s="73"/>
      <c r="E203" s="73"/>
      <c r="F203" s="237"/>
      <c r="G203" s="202"/>
      <c r="H203" s="207"/>
      <c r="I203" s="192"/>
      <c r="J203" s="202"/>
      <c r="K203" s="207"/>
      <c r="L203" s="192"/>
      <c r="M203" s="202"/>
      <c r="N203" s="207"/>
      <c r="O203" s="227"/>
      <c r="P203" s="245"/>
      <c r="Q203" s="207"/>
      <c r="R203" s="192"/>
      <c r="S203" s="245"/>
      <c r="T203" s="207"/>
      <c r="U203" s="227"/>
    </row>
    <row r="204" spans="1:21" s="30" customFormat="1" ht="21.75" customHeight="1">
      <c r="A204" s="190" t="s">
        <v>48</v>
      </c>
      <c r="B204" s="72"/>
      <c r="C204" s="73" t="s">
        <v>757</v>
      </c>
      <c r="D204" s="73" t="s">
        <v>4</v>
      </c>
      <c r="E204" s="73"/>
      <c r="F204" s="237" t="s">
        <v>880</v>
      </c>
      <c r="G204" s="280"/>
      <c r="H204" s="281"/>
      <c r="I204" s="244">
        <f>G204-H204</f>
        <v>0</v>
      </c>
      <c r="J204" s="280"/>
      <c r="K204" s="281"/>
      <c r="L204" s="244">
        <f>J204-K204</f>
        <v>0</v>
      </c>
      <c r="M204" s="280"/>
      <c r="N204" s="281"/>
      <c r="O204" s="246">
        <f>M204-N204</f>
        <v>0</v>
      </c>
      <c r="P204" s="244">
        <f>J204+M204</f>
        <v>0</v>
      </c>
      <c r="Q204" s="244">
        <f>K204+N204</f>
        <v>0</v>
      </c>
      <c r="R204" s="249">
        <f>P204-Q204</f>
        <v>0</v>
      </c>
      <c r="S204" s="244">
        <f>G204+P204</f>
        <v>0</v>
      </c>
      <c r="T204" s="244">
        <f>H204+Q204</f>
        <v>0</v>
      </c>
      <c r="U204" s="246">
        <f>S204-T204</f>
        <v>0</v>
      </c>
    </row>
    <row r="205" spans="1:21" s="30" customFormat="1" ht="25.5" customHeight="1">
      <c r="A205" s="190"/>
      <c r="B205" s="72"/>
      <c r="C205" s="73"/>
      <c r="D205" s="73"/>
      <c r="E205" s="73"/>
      <c r="F205" s="237" t="s">
        <v>799</v>
      </c>
      <c r="G205" s="202"/>
      <c r="H205" s="207"/>
      <c r="I205" s="192"/>
      <c r="J205" s="202"/>
      <c r="K205" s="207"/>
      <c r="L205" s="192"/>
      <c r="M205" s="202"/>
      <c r="N205" s="207"/>
      <c r="O205" s="227"/>
      <c r="P205" s="245"/>
      <c r="Q205" s="207"/>
      <c r="R205" s="192"/>
      <c r="S205" s="245"/>
      <c r="T205" s="207"/>
      <c r="U205" s="227"/>
    </row>
    <row r="206" spans="1:21" s="30" customFormat="1" ht="21" customHeight="1">
      <c r="A206" s="190"/>
      <c r="B206" s="72"/>
      <c r="C206" s="73" t="s">
        <v>800</v>
      </c>
      <c r="D206" s="73" t="s">
        <v>4</v>
      </c>
      <c r="E206" s="73"/>
      <c r="F206" s="238" t="s">
        <v>828</v>
      </c>
      <c r="G206" s="280"/>
      <c r="H206" s="281"/>
      <c r="I206" s="244">
        <f t="shared" ref="I206:I210" si="185">G206-H206</f>
        <v>0</v>
      </c>
      <c r="J206" s="280"/>
      <c r="K206" s="281"/>
      <c r="L206" s="244">
        <f t="shared" ref="L206:L210" si="186">J206-K206</f>
        <v>0</v>
      </c>
      <c r="M206" s="280"/>
      <c r="N206" s="281"/>
      <c r="O206" s="246">
        <f t="shared" ref="O206:O210" si="187">M206-N206</f>
        <v>0</v>
      </c>
      <c r="P206" s="244">
        <f t="shared" ref="P206:Q210" si="188">J206+M206</f>
        <v>0</v>
      </c>
      <c r="Q206" s="244">
        <f t="shared" si="188"/>
        <v>0</v>
      </c>
      <c r="R206" s="249">
        <f t="shared" ref="R206:R210" si="189">P206-Q206</f>
        <v>0</v>
      </c>
      <c r="S206" s="244">
        <f t="shared" ref="S206:T210" si="190">G206+P206</f>
        <v>0</v>
      </c>
      <c r="T206" s="244">
        <f t="shared" si="190"/>
        <v>0</v>
      </c>
      <c r="U206" s="246">
        <f t="shared" ref="U206:U210" si="191">S206-T206</f>
        <v>0</v>
      </c>
    </row>
    <row r="207" spans="1:21" s="30" customFormat="1" ht="21.75" customHeight="1">
      <c r="A207" s="190"/>
      <c r="B207" s="72"/>
      <c r="C207" s="73" t="s">
        <v>801</v>
      </c>
      <c r="D207" s="73" t="s">
        <v>4</v>
      </c>
      <c r="E207" s="73"/>
      <c r="F207" s="238" t="s">
        <v>829</v>
      </c>
      <c r="G207" s="280"/>
      <c r="H207" s="281"/>
      <c r="I207" s="244">
        <f t="shared" si="185"/>
        <v>0</v>
      </c>
      <c r="J207" s="280"/>
      <c r="K207" s="281"/>
      <c r="L207" s="244">
        <f t="shared" si="186"/>
        <v>0</v>
      </c>
      <c r="M207" s="280"/>
      <c r="N207" s="281"/>
      <c r="O207" s="246">
        <f t="shared" si="187"/>
        <v>0</v>
      </c>
      <c r="P207" s="244">
        <f t="shared" si="188"/>
        <v>0</v>
      </c>
      <c r="Q207" s="244">
        <f t="shared" si="188"/>
        <v>0</v>
      </c>
      <c r="R207" s="249">
        <f t="shared" si="189"/>
        <v>0</v>
      </c>
      <c r="S207" s="244">
        <f t="shared" si="190"/>
        <v>0</v>
      </c>
      <c r="T207" s="244">
        <f t="shared" si="190"/>
        <v>0</v>
      </c>
      <c r="U207" s="246">
        <f t="shared" si="191"/>
        <v>0</v>
      </c>
    </row>
    <row r="208" spans="1:21" s="30" customFormat="1" ht="25.5" customHeight="1">
      <c r="A208" s="190"/>
      <c r="B208" s="72"/>
      <c r="C208" s="73" t="s">
        <v>802</v>
      </c>
      <c r="D208" s="73" t="s">
        <v>4</v>
      </c>
      <c r="E208" s="73"/>
      <c r="F208" s="238" t="s">
        <v>830</v>
      </c>
      <c r="G208" s="280"/>
      <c r="H208" s="281"/>
      <c r="I208" s="244">
        <f t="shared" si="185"/>
        <v>0</v>
      </c>
      <c r="J208" s="280"/>
      <c r="K208" s="281"/>
      <c r="L208" s="244">
        <f t="shared" si="186"/>
        <v>0</v>
      </c>
      <c r="M208" s="280"/>
      <c r="N208" s="281"/>
      <c r="O208" s="246">
        <f t="shared" si="187"/>
        <v>0</v>
      </c>
      <c r="P208" s="244">
        <f t="shared" si="188"/>
        <v>0</v>
      </c>
      <c r="Q208" s="244">
        <f t="shared" si="188"/>
        <v>0</v>
      </c>
      <c r="R208" s="249">
        <f t="shared" si="189"/>
        <v>0</v>
      </c>
      <c r="S208" s="244">
        <f t="shared" si="190"/>
        <v>0</v>
      </c>
      <c r="T208" s="244">
        <f t="shared" si="190"/>
        <v>0</v>
      </c>
      <c r="U208" s="246">
        <f t="shared" si="191"/>
        <v>0</v>
      </c>
    </row>
    <row r="209" spans="1:21" s="30" customFormat="1" ht="21.75" customHeight="1">
      <c r="A209" s="190"/>
      <c r="B209" s="72"/>
      <c r="C209" s="73" t="s">
        <v>803</v>
      </c>
      <c r="D209" s="73" t="s">
        <v>4</v>
      </c>
      <c r="E209" s="73"/>
      <c r="F209" s="238" t="s">
        <v>831</v>
      </c>
      <c r="G209" s="280"/>
      <c r="H209" s="281"/>
      <c r="I209" s="244">
        <f t="shared" si="185"/>
        <v>0</v>
      </c>
      <c r="J209" s="280"/>
      <c r="K209" s="281"/>
      <c r="L209" s="244">
        <f t="shared" si="186"/>
        <v>0</v>
      </c>
      <c r="M209" s="280"/>
      <c r="N209" s="281"/>
      <c r="O209" s="246">
        <f t="shared" si="187"/>
        <v>0</v>
      </c>
      <c r="P209" s="244">
        <f t="shared" si="188"/>
        <v>0</v>
      </c>
      <c r="Q209" s="244">
        <f t="shared" si="188"/>
        <v>0</v>
      </c>
      <c r="R209" s="249">
        <f t="shared" si="189"/>
        <v>0</v>
      </c>
      <c r="S209" s="244">
        <f t="shared" si="190"/>
        <v>0</v>
      </c>
      <c r="T209" s="244">
        <f t="shared" si="190"/>
        <v>0</v>
      </c>
      <c r="U209" s="246">
        <f t="shared" si="191"/>
        <v>0</v>
      </c>
    </row>
    <row r="210" spans="1:21" s="30" customFormat="1" ht="25.5" customHeight="1">
      <c r="A210" s="190"/>
      <c r="B210" s="72"/>
      <c r="C210" s="73" t="s">
        <v>804</v>
      </c>
      <c r="D210" s="73" t="s">
        <v>4</v>
      </c>
      <c r="E210" s="73"/>
      <c r="F210" s="238" t="s">
        <v>832</v>
      </c>
      <c r="G210" s="280"/>
      <c r="H210" s="281"/>
      <c r="I210" s="244">
        <f t="shared" si="185"/>
        <v>0</v>
      </c>
      <c r="J210" s="280"/>
      <c r="K210" s="281"/>
      <c r="L210" s="244">
        <f t="shared" si="186"/>
        <v>0</v>
      </c>
      <c r="M210" s="280"/>
      <c r="N210" s="281"/>
      <c r="O210" s="246">
        <f t="shared" si="187"/>
        <v>0</v>
      </c>
      <c r="P210" s="244">
        <f t="shared" si="188"/>
        <v>0</v>
      </c>
      <c r="Q210" s="244">
        <f t="shared" si="188"/>
        <v>0</v>
      </c>
      <c r="R210" s="249">
        <f t="shared" si="189"/>
        <v>0</v>
      </c>
      <c r="S210" s="244">
        <f t="shared" si="190"/>
        <v>0</v>
      </c>
      <c r="T210" s="244">
        <f t="shared" si="190"/>
        <v>0</v>
      </c>
      <c r="U210" s="246">
        <f t="shared" si="191"/>
        <v>0</v>
      </c>
    </row>
    <row r="211" spans="1:21" s="30" customFormat="1" ht="21" customHeight="1">
      <c r="A211" s="190"/>
      <c r="B211" s="72"/>
      <c r="C211" s="73"/>
      <c r="D211" s="73"/>
      <c r="E211" s="73"/>
      <c r="F211" s="239" t="s">
        <v>805</v>
      </c>
      <c r="G211" s="202"/>
      <c r="H211" s="207"/>
      <c r="I211" s="192"/>
      <c r="J211" s="202"/>
      <c r="K211" s="207"/>
      <c r="L211" s="192"/>
      <c r="M211" s="202"/>
      <c r="N211" s="207"/>
      <c r="O211" s="227"/>
      <c r="P211" s="245"/>
      <c r="Q211" s="207"/>
      <c r="R211" s="192"/>
      <c r="S211" s="245"/>
      <c r="T211" s="207"/>
      <c r="U211" s="227"/>
    </row>
    <row r="212" spans="1:21" s="30" customFormat="1" ht="21.75" customHeight="1">
      <c r="A212" s="190"/>
      <c r="B212" s="72"/>
      <c r="C212" s="73" t="s">
        <v>806</v>
      </c>
      <c r="D212" s="73" t="s">
        <v>4</v>
      </c>
      <c r="E212" s="73"/>
      <c r="F212" s="240" t="s">
        <v>833</v>
      </c>
      <c r="G212" s="280"/>
      <c r="H212" s="281"/>
      <c r="I212" s="244">
        <f t="shared" ref="I212:I215" si="192">G212-H212</f>
        <v>0</v>
      </c>
      <c r="J212" s="280"/>
      <c r="K212" s="281"/>
      <c r="L212" s="244">
        <f t="shared" ref="L212:L215" si="193">J212-K212</f>
        <v>0</v>
      </c>
      <c r="M212" s="280"/>
      <c r="N212" s="281"/>
      <c r="O212" s="246">
        <f t="shared" ref="O212:O215" si="194">M212-N212</f>
        <v>0</v>
      </c>
      <c r="P212" s="244">
        <f t="shared" ref="P212:Q216" si="195">J212+M212</f>
        <v>0</v>
      </c>
      <c r="Q212" s="244">
        <f t="shared" si="195"/>
        <v>0</v>
      </c>
      <c r="R212" s="249">
        <f t="shared" ref="R212:R215" si="196">P212-Q212</f>
        <v>0</v>
      </c>
      <c r="S212" s="244">
        <f t="shared" ref="S212:T216" si="197">G212+P212</f>
        <v>0</v>
      </c>
      <c r="T212" s="244">
        <f t="shared" si="197"/>
        <v>0</v>
      </c>
      <c r="U212" s="246">
        <f t="shared" ref="U212:U215" si="198">S212-T212</f>
        <v>0</v>
      </c>
    </row>
    <row r="213" spans="1:21" s="30" customFormat="1" ht="25.5" customHeight="1">
      <c r="A213" s="190"/>
      <c r="B213" s="72"/>
      <c r="C213" s="73" t="s">
        <v>807</v>
      </c>
      <c r="D213" s="73" t="s">
        <v>4</v>
      </c>
      <c r="E213" s="73"/>
      <c r="F213" s="240" t="s">
        <v>834</v>
      </c>
      <c r="G213" s="280"/>
      <c r="H213" s="281"/>
      <c r="I213" s="244">
        <f t="shared" si="192"/>
        <v>0</v>
      </c>
      <c r="J213" s="280"/>
      <c r="K213" s="281"/>
      <c r="L213" s="244">
        <f t="shared" si="193"/>
        <v>0</v>
      </c>
      <c r="M213" s="280"/>
      <c r="N213" s="281"/>
      <c r="O213" s="246">
        <f t="shared" si="194"/>
        <v>0</v>
      </c>
      <c r="P213" s="244">
        <f t="shared" si="195"/>
        <v>0</v>
      </c>
      <c r="Q213" s="244">
        <f t="shared" si="195"/>
        <v>0</v>
      </c>
      <c r="R213" s="249">
        <f t="shared" si="196"/>
        <v>0</v>
      </c>
      <c r="S213" s="244">
        <f t="shared" si="197"/>
        <v>0</v>
      </c>
      <c r="T213" s="244">
        <f t="shared" si="197"/>
        <v>0</v>
      </c>
      <c r="U213" s="246">
        <f t="shared" si="198"/>
        <v>0</v>
      </c>
    </row>
    <row r="214" spans="1:21" s="30" customFormat="1" ht="21" customHeight="1">
      <c r="A214" s="190"/>
      <c r="B214" s="72"/>
      <c r="C214" s="73" t="s">
        <v>808</v>
      </c>
      <c r="D214" s="73" t="s">
        <v>4</v>
      </c>
      <c r="E214" s="73"/>
      <c r="F214" s="240" t="s">
        <v>835</v>
      </c>
      <c r="G214" s="280"/>
      <c r="H214" s="281"/>
      <c r="I214" s="244">
        <f t="shared" si="192"/>
        <v>0</v>
      </c>
      <c r="J214" s="280"/>
      <c r="K214" s="281"/>
      <c r="L214" s="244">
        <f t="shared" si="193"/>
        <v>0</v>
      </c>
      <c r="M214" s="280"/>
      <c r="N214" s="281"/>
      <c r="O214" s="246">
        <f t="shared" si="194"/>
        <v>0</v>
      </c>
      <c r="P214" s="244">
        <f t="shared" si="195"/>
        <v>0</v>
      </c>
      <c r="Q214" s="244">
        <f t="shared" si="195"/>
        <v>0</v>
      </c>
      <c r="R214" s="249">
        <f t="shared" si="196"/>
        <v>0</v>
      </c>
      <c r="S214" s="244">
        <f t="shared" si="197"/>
        <v>0</v>
      </c>
      <c r="T214" s="244">
        <f t="shared" si="197"/>
        <v>0</v>
      </c>
      <c r="U214" s="246">
        <f t="shared" si="198"/>
        <v>0</v>
      </c>
    </row>
    <row r="215" spans="1:21" s="30" customFormat="1" ht="21.75" customHeight="1">
      <c r="A215" s="190"/>
      <c r="B215" s="72"/>
      <c r="C215" s="73" t="s">
        <v>809</v>
      </c>
      <c r="D215" s="73" t="s">
        <v>4</v>
      </c>
      <c r="E215" s="73"/>
      <c r="F215" s="237" t="s">
        <v>817</v>
      </c>
      <c r="G215" s="280"/>
      <c r="H215" s="281"/>
      <c r="I215" s="244">
        <f t="shared" si="192"/>
        <v>0</v>
      </c>
      <c r="J215" s="280"/>
      <c r="K215" s="281"/>
      <c r="L215" s="244">
        <f t="shared" si="193"/>
        <v>0</v>
      </c>
      <c r="M215" s="280"/>
      <c r="N215" s="281"/>
      <c r="O215" s="246">
        <f t="shared" si="194"/>
        <v>0</v>
      </c>
      <c r="P215" s="244">
        <f t="shared" si="195"/>
        <v>0</v>
      </c>
      <c r="Q215" s="244">
        <f t="shared" si="195"/>
        <v>0</v>
      </c>
      <c r="R215" s="249">
        <f t="shared" si="196"/>
        <v>0</v>
      </c>
      <c r="S215" s="244">
        <f t="shared" si="197"/>
        <v>0</v>
      </c>
      <c r="T215" s="244">
        <f t="shared" si="197"/>
        <v>0</v>
      </c>
      <c r="U215" s="246">
        <f t="shared" si="198"/>
        <v>0</v>
      </c>
    </row>
    <row r="216" spans="1:21" s="30" customFormat="1" ht="25.5" customHeight="1">
      <c r="A216" s="190"/>
      <c r="B216" s="72"/>
      <c r="C216" s="73" t="s">
        <v>757</v>
      </c>
      <c r="D216" s="73" t="s">
        <v>4</v>
      </c>
      <c r="E216" s="73"/>
      <c r="F216" s="237" t="s">
        <v>782</v>
      </c>
      <c r="G216" s="280"/>
      <c r="H216" s="281"/>
      <c r="I216" s="244">
        <f>G216-H216</f>
        <v>0</v>
      </c>
      <c r="J216" s="280"/>
      <c r="K216" s="281"/>
      <c r="L216" s="244">
        <f>J216-K216</f>
        <v>0</v>
      </c>
      <c r="M216" s="280"/>
      <c r="N216" s="281"/>
      <c r="O216" s="246">
        <f>M216-N216</f>
        <v>0</v>
      </c>
      <c r="P216" s="244">
        <f t="shared" si="195"/>
        <v>0</v>
      </c>
      <c r="Q216" s="244">
        <f t="shared" si="195"/>
        <v>0</v>
      </c>
      <c r="R216" s="249">
        <f>P216-Q216</f>
        <v>0</v>
      </c>
      <c r="S216" s="244">
        <f t="shared" si="197"/>
        <v>0</v>
      </c>
      <c r="T216" s="244">
        <f t="shared" si="197"/>
        <v>0</v>
      </c>
      <c r="U216" s="246">
        <f>S216-T216</f>
        <v>0</v>
      </c>
    </row>
    <row r="217" spans="1:21" s="30" customFormat="1" ht="21.75" customHeight="1">
      <c r="A217" s="190"/>
      <c r="B217" s="72"/>
      <c r="C217" s="73" t="s">
        <v>810</v>
      </c>
      <c r="D217" s="73" t="s">
        <v>4</v>
      </c>
      <c r="E217" s="73"/>
      <c r="F217" s="196" t="s">
        <v>814</v>
      </c>
      <c r="G217" s="282"/>
      <c r="H217" s="283"/>
      <c r="I217" s="284"/>
      <c r="J217" s="282"/>
      <c r="K217" s="283"/>
      <c r="L217" s="284"/>
      <c r="M217" s="282"/>
      <c r="N217" s="283"/>
      <c r="O217" s="285"/>
      <c r="P217" s="284"/>
      <c r="Q217" s="283"/>
      <c r="R217" s="284"/>
      <c r="S217" s="282"/>
      <c r="T217" s="283"/>
      <c r="U217" s="285"/>
    </row>
    <row r="218" spans="1:21" s="30" customFormat="1" ht="25.5" customHeight="1">
      <c r="A218" s="190"/>
      <c r="B218" s="72"/>
      <c r="C218" s="73" t="s">
        <v>811</v>
      </c>
      <c r="D218" s="73" t="s">
        <v>4</v>
      </c>
      <c r="E218" s="73"/>
      <c r="F218" s="196" t="s">
        <v>815</v>
      </c>
      <c r="G218" s="282"/>
      <c r="H218" s="283"/>
      <c r="I218" s="284"/>
      <c r="J218" s="282"/>
      <c r="K218" s="283"/>
      <c r="L218" s="284"/>
      <c r="M218" s="282"/>
      <c r="N218" s="283"/>
      <c r="O218" s="285"/>
      <c r="P218" s="284"/>
      <c r="Q218" s="283"/>
      <c r="R218" s="284"/>
      <c r="S218" s="282"/>
      <c r="T218" s="283"/>
      <c r="U218" s="285"/>
    </row>
    <row r="219" spans="1:21" s="30" customFormat="1" ht="21.75" customHeight="1">
      <c r="A219" s="190"/>
      <c r="B219" s="72"/>
      <c r="C219" s="73" t="s">
        <v>812</v>
      </c>
      <c r="D219" s="73" t="s">
        <v>4</v>
      </c>
      <c r="E219" s="73"/>
      <c r="F219" s="196" t="s">
        <v>816</v>
      </c>
      <c r="G219" s="282"/>
      <c r="H219" s="283"/>
      <c r="I219" s="284"/>
      <c r="J219" s="282"/>
      <c r="K219" s="283"/>
      <c r="L219" s="284"/>
      <c r="M219" s="282"/>
      <c r="N219" s="283"/>
      <c r="O219" s="284"/>
      <c r="P219" s="282"/>
      <c r="Q219" s="283"/>
      <c r="R219" s="284"/>
      <c r="S219" s="282"/>
      <c r="T219" s="283"/>
      <c r="U219" s="285"/>
    </row>
    <row r="220" spans="1:21" s="30" customFormat="1" ht="15" customHeight="1">
      <c r="A220" s="190"/>
      <c r="B220" s="191"/>
      <c r="C220" s="121"/>
      <c r="D220" s="121"/>
      <c r="E220" s="121" t="s">
        <v>0</v>
      </c>
      <c r="F220" s="192" t="s">
        <v>0</v>
      </c>
      <c r="G220" s="202"/>
      <c r="H220" s="207"/>
      <c r="I220" s="192"/>
      <c r="J220" s="202"/>
      <c r="K220" s="207"/>
      <c r="L220" s="192"/>
      <c r="M220" s="202"/>
      <c r="N220" s="207"/>
      <c r="O220" s="192"/>
      <c r="P220" s="202"/>
      <c r="Q220" s="207"/>
      <c r="R220" s="192"/>
      <c r="S220" s="202"/>
      <c r="T220" s="207"/>
      <c r="U220" s="227"/>
    </row>
    <row r="221" spans="1:21" s="30" customFormat="1" ht="15" customHeight="1">
      <c r="A221" s="190"/>
      <c r="B221" s="191"/>
      <c r="C221" s="121"/>
      <c r="D221" s="121"/>
      <c r="E221" s="121"/>
      <c r="F221" s="192"/>
      <c r="G221" s="202"/>
      <c r="H221" s="207"/>
      <c r="I221" s="192"/>
      <c r="J221" s="202"/>
      <c r="K221" s="207"/>
      <c r="L221" s="192"/>
      <c r="M221" s="202"/>
      <c r="N221" s="207"/>
      <c r="O221" s="192"/>
      <c r="P221" s="202"/>
      <c r="Q221" s="207"/>
      <c r="R221" s="192"/>
      <c r="S221" s="202"/>
      <c r="T221" s="207"/>
      <c r="U221" s="227"/>
    </row>
    <row r="222" spans="1:21" s="30" customFormat="1" ht="15" customHeight="1">
      <c r="A222" s="190"/>
      <c r="B222" s="72"/>
      <c r="C222" s="174"/>
      <c r="D222" s="73"/>
      <c r="E222" s="73"/>
      <c r="F222" s="299" t="s">
        <v>728</v>
      </c>
      <c r="G222" s="202" t="s">
        <v>0</v>
      </c>
      <c r="H222" s="207" t="s">
        <v>0</v>
      </c>
      <c r="I222" s="192" t="s">
        <v>0</v>
      </c>
      <c r="J222" s="202" t="s">
        <v>0</v>
      </c>
      <c r="K222" s="207" t="s">
        <v>0</v>
      </c>
      <c r="L222" s="192" t="s">
        <v>0</v>
      </c>
      <c r="M222" s="202" t="s">
        <v>0</v>
      </c>
      <c r="N222" s="207" t="s">
        <v>0</v>
      </c>
      <c r="O222" s="192" t="s">
        <v>0</v>
      </c>
      <c r="P222" s="202" t="s">
        <v>0</v>
      </c>
      <c r="Q222" s="207" t="s">
        <v>0</v>
      </c>
      <c r="R222" s="192" t="s">
        <v>0</v>
      </c>
      <c r="S222" s="202" t="s">
        <v>0</v>
      </c>
      <c r="T222" s="207" t="s">
        <v>0</v>
      </c>
      <c r="U222" s="227" t="s">
        <v>0</v>
      </c>
    </row>
    <row r="223" spans="1:21" s="30" customFormat="1" ht="33.75">
      <c r="A223" s="190"/>
      <c r="B223" s="191"/>
      <c r="C223" s="121"/>
      <c r="D223" s="178"/>
      <c r="E223" s="73"/>
      <c r="F223" s="197" t="s">
        <v>813</v>
      </c>
      <c r="G223" s="202"/>
      <c r="H223" s="207"/>
      <c r="I223" s="192"/>
      <c r="J223" s="202"/>
      <c r="K223" s="207"/>
      <c r="L223" s="192"/>
      <c r="M223" s="202"/>
      <c r="N223" s="207"/>
      <c r="O223" s="192"/>
      <c r="P223" s="202"/>
      <c r="Q223" s="207"/>
      <c r="R223" s="192"/>
      <c r="S223" s="202"/>
      <c r="T223" s="207"/>
      <c r="U223" s="227"/>
    </row>
    <row r="224" spans="1:21" s="30" customFormat="1" ht="21" customHeight="1">
      <c r="A224" s="190"/>
      <c r="B224" s="72"/>
      <c r="C224" s="73" t="s">
        <v>750</v>
      </c>
      <c r="D224" s="73" t="s">
        <v>47</v>
      </c>
      <c r="E224" s="73"/>
      <c r="F224" s="196" t="s">
        <v>762</v>
      </c>
      <c r="G224" s="254"/>
      <c r="H224" s="255"/>
      <c r="I224" s="256"/>
      <c r="J224" s="254"/>
      <c r="K224" s="255"/>
      <c r="L224" s="256"/>
      <c r="M224" s="254"/>
      <c r="N224" s="255"/>
      <c r="O224" s="256"/>
      <c r="P224" s="254"/>
      <c r="Q224" s="255"/>
      <c r="R224" s="256"/>
      <c r="S224" s="254"/>
      <c r="T224" s="255"/>
      <c r="U224" s="257"/>
    </row>
    <row r="225" spans="1:21" s="30" customFormat="1" ht="21.75" customHeight="1">
      <c r="A225" s="190"/>
      <c r="B225" s="72"/>
      <c r="C225" s="73" t="s">
        <v>751</v>
      </c>
      <c r="D225" s="73" t="s">
        <v>47</v>
      </c>
      <c r="E225" s="73"/>
      <c r="F225" s="196" t="s">
        <v>763</v>
      </c>
      <c r="G225" s="254"/>
      <c r="H225" s="255"/>
      <c r="I225" s="256"/>
      <c r="J225" s="254"/>
      <c r="K225" s="255"/>
      <c r="L225" s="256"/>
      <c r="M225" s="254"/>
      <c r="N225" s="255"/>
      <c r="O225" s="256"/>
      <c r="P225" s="254"/>
      <c r="Q225" s="255"/>
      <c r="R225" s="256"/>
      <c r="S225" s="254"/>
      <c r="T225" s="255"/>
      <c r="U225" s="257"/>
    </row>
    <row r="226" spans="1:21" s="30" customFormat="1" ht="25.5" customHeight="1">
      <c r="A226" s="190"/>
      <c r="B226" s="72"/>
      <c r="C226" s="73" t="s">
        <v>752</v>
      </c>
      <c r="D226" s="73" t="s">
        <v>47</v>
      </c>
      <c r="E226" s="73"/>
      <c r="F226" s="196" t="s">
        <v>764</v>
      </c>
      <c r="G226" s="254"/>
      <c r="H226" s="255"/>
      <c r="I226" s="256"/>
      <c r="J226" s="254"/>
      <c r="K226" s="255"/>
      <c r="L226" s="256"/>
      <c r="M226" s="254"/>
      <c r="N226" s="255"/>
      <c r="O226" s="256"/>
      <c r="P226" s="254"/>
      <c r="Q226" s="255"/>
      <c r="R226" s="256"/>
      <c r="S226" s="254"/>
      <c r="T226" s="255"/>
      <c r="U226" s="257"/>
    </row>
    <row r="227" spans="1:21" s="30" customFormat="1" ht="21" customHeight="1">
      <c r="A227" s="190" t="s">
        <v>48</v>
      </c>
      <c r="B227" s="72"/>
      <c r="C227" s="73" t="s">
        <v>756</v>
      </c>
      <c r="D227" s="73" t="s">
        <v>5</v>
      </c>
      <c r="E227" s="73"/>
      <c r="F227" s="237" t="s">
        <v>881</v>
      </c>
      <c r="G227" s="280"/>
      <c r="H227" s="281"/>
      <c r="I227" s="244">
        <f>G227-H227</f>
        <v>0</v>
      </c>
      <c r="J227" s="280"/>
      <c r="K227" s="281"/>
      <c r="L227" s="244">
        <f>J227-K227</f>
        <v>0</v>
      </c>
      <c r="M227" s="280"/>
      <c r="N227" s="281"/>
      <c r="O227" s="246">
        <f>M227-N227</f>
        <v>0</v>
      </c>
      <c r="P227" s="244">
        <f>J227+M227</f>
        <v>0</v>
      </c>
      <c r="Q227" s="244">
        <f>K227+N227</f>
        <v>0</v>
      </c>
      <c r="R227" s="249">
        <f>P227-Q227</f>
        <v>0</v>
      </c>
      <c r="S227" s="244">
        <f>G227+P227</f>
        <v>0</v>
      </c>
      <c r="T227" s="244">
        <f>H227+Q227</f>
        <v>0</v>
      </c>
      <c r="U227" s="246">
        <f>S227-T227</f>
        <v>0</v>
      </c>
    </row>
    <row r="228" spans="1:21" s="30" customFormat="1" ht="21.75" customHeight="1">
      <c r="A228" s="190"/>
      <c r="B228" s="72"/>
      <c r="C228" s="73"/>
      <c r="D228" s="73"/>
      <c r="E228" s="73"/>
      <c r="F228" s="237" t="s">
        <v>787</v>
      </c>
      <c r="G228" s="202"/>
      <c r="H228" s="207"/>
      <c r="I228" s="192"/>
      <c r="J228" s="202"/>
      <c r="K228" s="207"/>
      <c r="L228" s="192"/>
      <c r="M228" s="202"/>
      <c r="N228" s="207"/>
      <c r="O228" s="227"/>
      <c r="P228" s="245"/>
      <c r="Q228" s="207"/>
      <c r="R228" s="192"/>
      <c r="S228" s="245"/>
      <c r="T228" s="207"/>
      <c r="U228" s="227"/>
    </row>
    <row r="229" spans="1:21" s="30" customFormat="1" ht="25.5" customHeight="1">
      <c r="A229" s="190"/>
      <c r="B229" s="72"/>
      <c r="C229" s="73" t="s">
        <v>788</v>
      </c>
      <c r="D229" s="73" t="s">
        <v>47</v>
      </c>
      <c r="E229" s="73"/>
      <c r="F229" s="238" t="s">
        <v>818</v>
      </c>
      <c r="G229" s="280"/>
      <c r="H229" s="281"/>
      <c r="I229" s="244">
        <f t="shared" ref="I229:I234" si="199">G229-H229</f>
        <v>0</v>
      </c>
      <c r="J229" s="280"/>
      <c r="K229" s="281"/>
      <c r="L229" s="244">
        <f t="shared" ref="L229:L234" si="200">J229-K229</f>
        <v>0</v>
      </c>
      <c r="M229" s="280"/>
      <c r="N229" s="281"/>
      <c r="O229" s="246">
        <f t="shared" ref="O229:O234" si="201">M229-N229</f>
        <v>0</v>
      </c>
      <c r="P229" s="244">
        <f t="shared" ref="P229:P234" si="202">J229+M229</f>
        <v>0</v>
      </c>
      <c r="Q229" s="244">
        <f t="shared" ref="Q229:Q234" si="203">K229+N229</f>
        <v>0</v>
      </c>
      <c r="R229" s="249">
        <f t="shared" ref="R229:R234" si="204">P229-Q229</f>
        <v>0</v>
      </c>
      <c r="S229" s="244">
        <f t="shared" ref="S229:S234" si="205">G229+P229</f>
        <v>0</v>
      </c>
      <c r="T229" s="244">
        <f t="shared" ref="T229:T234" si="206">H229+Q229</f>
        <v>0</v>
      </c>
      <c r="U229" s="246">
        <f t="shared" ref="U229:U234" si="207">S229-T229</f>
        <v>0</v>
      </c>
    </row>
    <row r="230" spans="1:21" s="30" customFormat="1" ht="21.75" customHeight="1">
      <c r="A230" s="190"/>
      <c r="B230" s="72"/>
      <c r="C230" s="73" t="s">
        <v>789</v>
      </c>
      <c r="D230" s="73" t="s">
        <v>47</v>
      </c>
      <c r="E230" s="73"/>
      <c r="F230" s="238" t="s">
        <v>819</v>
      </c>
      <c r="G230" s="280"/>
      <c r="H230" s="281"/>
      <c r="I230" s="244">
        <f t="shared" si="199"/>
        <v>0</v>
      </c>
      <c r="J230" s="280"/>
      <c r="K230" s="281"/>
      <c r="L230" s="244">
        <f t="shared" si="200"/>
        <v>0</v>
      </c>
      <c r="M230" s="280"/>
      <c r="N230" s="281"/>
      <c r="O230" s="246">
        <f t="shared" si="201"/>
        <v>0</v>
      </c>
      <c r="P230" s="244">
        <f t="shared" si="202"/>
        <v>0</v>
      </c>
      <c r="Q230" s="244">
        <f t="shared" si="203"/>
        <v>0</v>
      </c>
      <c r="R230" s="249">
        <f t="shared" si="204"/>
        <v>0</v>
      </c>
      <c r="S230" s="244">
        <f t="shared" si="205"/>
        <v>0</v>
      </c>
      <c r="T230" s="244">
        <f t="shared" si="206"/>
        <v>0</v>
      </c>
      <c r="U230" s="246">
        <f t="shared" si="207"/>
        <v>0</v>
      </c>
    </row>
    <row r="231" spans="1:21" s="30" customFormat="1" ht="25.5" customHeight="1">
      <c r="A231" s="190"/>
      <c r="B231" s="72"/>
      <c r="C231" s="73" t="s">
        <v>790</v>
      </c>
      <c r="D231" s="73" t="s">
        <v>47</v>
      </c>
      <c r="E231" s="73"/>
      <c r="F231" s="238" t="s">
        <v>820</v>
      </c>
      <c r="G231" s="280"/>
      <c r="H231" s="281"/>
      <c r="I231" s="244">
        <f t="shared" si="199"/>
        <v>0</v>
      </c>
      <c r="J231" s="280"/>
      <c r="K231" s="281"/>
      <c r="L231" s="244">
        <f t="shared" si="200"/>
        <v>0</v>
      </c>
      <c r="M231" s="280"/>
      <c r="N231" s="281"/>
      <c r="O231" s="246">
        <f t="shared" si="201"/>
        <v>0</v>
      </c>
      <c r="P231" s="244">
        <f t="shared" si="202"/>
        <v>0</v>
      </c>
      <c r="Q231" s="244">
        <f t="shared" si="203"/>
        <v>0</v>
      </c>
      <c r="R231" s="249">
        <f t="shared" si="204"/>
        <v>0</v>
      </c>
      <c r="S231" s="244">
        <f t="shared" si="205"/>
        <v>0</v>
      </c>
      <c r="T231" s="244">
        <f t="shared" si="206"/>
        <v>0</v>
      </c>
      <c r="U231" s="246">
        <f t="shared" si="207"/>
        <v>0</v>
      </c>
    </row>
    <row r="232" spans="1:21" s="30" customFormat="1" ht="21" customHeight="1">
      <c r="A232" s="190"/>
      <c r="B232" s="72"/>
      <c r="C232" s="73" t="s">
        <v>791</v>
      </c>
      <c r="D232" s="73" t="s">
        <v>47</v>
      </c>
      <c r="E232" s="73"/>
      <c r="F232" s="238" t="s">
        <v>821</v>
      </c>
      <c r="G232" s="280"/>
      <c r="H232" s="281"/>
      <c r="I232" s="244">
        <f t="shared" si="199"/>
        <v>0</v>
      </c>
      <c r="J232" s="280"/>
      <c r="K232" s="281"/>
      <c r="L232" s="244">
        <f t="shared" si="200"/>
        <v>0</v>
      </c>
      <c r="M232" s="280"/>
      <c r="N232" s="281"/>
      <c r="O232" s="246">
        <f t="shared" si="201"/>
        <v>0</v>
      </c>
      <c r="P232" s="244">
        <f t="shared" si="202"/>
        <v>0</v>
      </c>
      <c r="Q232" s="244">
        <f t="shared" si="203"/>
        <v>0</v>
      </c>
      <c r="R232" s="249">
        <f t="shared" si="204"/>
        <v>0</v>
      </c>
      <c r="S232" s="244">
        <f t="shared" si="205"/>
        <v>0</v>
      </c>
      <c r="T232" s="244">
        <f t="shared" si="206"/>
        <v>0</v>
      </c>
      <c r="U232" s="246">
        <f t="shared" si="207"/>
        <v>0</v>
      </c>
    </row>
    <row r="233" spans="1:21" s="30" customFormat="1" ht="21.75" customHeight="1">
      <c r="A233" s="190"/>
      <c r="B233" s="72"/>
      <c r="C233" s="73" t="s">
        <v>792</v>
      </c>
      <c r="D233" s="73" t="s">
        <v>47</v>
      </c>
      <c r="E233" s="73"/>
      <c r="F233" s="238" t="s">
        <v>822</v>
      </c>
      <c r="G233" s="280"/>
      <c r="H233" s="281"/>
      <c r="I233" s="244">
        <f t="shared" si="199"/>
        <v>0</v>
      </c>
      <c r="J233" s="280"/>
      <c r="K233" s="281"/>
      <c r="L233" s="244">
        <f t="shared" si="200"/>
        <v>0</v>
      </c>
      <c r="M233" s="280"/>
      <c r="N233" s="281"/>
      <c r="O233" s="246">
        <f t="shared" si="201"/>
        <v>0</v>
      </c>
      <c r="P233" s="244">
        <f t="shared" si="202"/>
        <v>0</v>
      </c>
      <c r="Q233" s="244">
        <f t="shared" si="203"/>
        <v>0</v>
      </c>
      <c r="R233" s="249">
        <f t="shared" si="204"/>
        <v>0</v>
      </c>
      <c r="S233" s="244">
        <f t="shared" si="205"/>
        <v>0</v>
      </c>
      <c r="T233" s="244">
        <f t="shared" si="206"/>
        <v>0</v>
      </c>
      <c r="U233" s="246">
        <f t="shared" si="207"/>
        <v>0</v>
      </c>
    </row>
    <row r="234" spans="1:21" s="30" customFormat="1" ht="25.5" customHeight="1">
      <c r="A234" s="190"/>
      <c r="B234" s="72"/>
      <c r="C234" s="73" t="s">
        <v>793</v>
      </c>
      <c r="D234" s="73" t="s">
        <v>47</v>
      </c>
      <c r="E234" s="73"/>
      <c r="F234" s="238" t="s">
        <v>823</v>
      </c>
      <c r="G234" s="280"/>
      <c r="H234" s="281"/>
      <c r="I234" s="244">
        <f t="shared" si="199"/>
        <v>0</v>
      </c>
      <c r="J234" s="280"/>
      <c r="K234" s="281"/>
      <c r="L234" s="244">
        <f t="shared" si="200"/>
        <v>0</v>
      </c>
      <c r="M234" s="280"/>
      <c r="N234" s="281"/>
      <c r="O234" s="246">
        <f t="shared" si="201"/>
        <v>0</v>
      </c>
      <c r="P234" s="244">
        <f t="shared" si="202"/>
        <v>0</v>
      </c>
      <c r="Q234" s="244">
        <f t="shared" si="203"/>
        <v>0</v>
      </c>
      <c r="R234" s="249">
        <f t="shared" si="204"/>
        <v>0</v>
      </c>
      <c r="S234" s="244">
        <f t="shared" si="205"/>
        <v>0</v>
      </c>
      <c r="T234" s="244">
        <f t="shared" si="206"/>
        <v>0</v>
      </c>
      <c r="U234" s="246">
        <f t="shared" si="207"/>
        <v>0</v>
      </c>
    </row>
    <row r="235" spans="1:21" s="30" customFormat="1" ht="33" customHeight="1">
      <c r="A235" s="190"/>
      <c r="B235" s="72"/>
      <c r="C235" s="73"/>
      <c r="D235" s="73"/>
      <c r="E235" s="73"/>
      <c r="F235" s="239" t="s">
        <v>794</v>
      </c>
      <c r="G235" s="202"/>
      <c r="H235" s="207"/>
      <c r="I235" s="192"/>
      <c r="J235" s="202"/>
      <c r="K235" s="207"/>
      <c r="L235" s="192"/>
      <c r="M235" s="202"/>
      <c r="N235" s="207"/>
      <c r="O235" s="227"/>
      <c r="P235" s="245"/>
      <c r="Q235" s="207"/>
      <c r="R235" s="192"/>
      <c r="S235" s="245"/>
      <c r="T235" s="207"/>
      <c r="U235" s="250"/>
    </row>
    <row r="236" spans="1:21" s="30" customFormat="1" ht="21.75" customHeight="1">
      <c r="A236" s="190"/>
      <c r="B236" s="72"/>
      <c r="C236" s="73" t="s">
        <v>795</v>
      </c>
      <c r="D236" s="73" t="s">
        <v>47</v>
      </c>
      <c r="E236" s="73"/>
      <c r="F236" s="240" t="s">
        <v>824</v>
      </c>
      <c r="G236" s="280"/>
      <c r="H236" s="281"/>
      <c r="I236" s="244">
        <f t="shared" ref="I236:I240" si="208">G236-H236</f>
        <v>0</v>
      </c>
      <c r="J236" s="280"/>
      <c r="K236" s="281"/>
      <c r="L236" s="244">
        <f t="shared" ref="L236:L240" si="209">J236-K236</f>
        <v>0</v>
      </c>
      <c r="M236" s="280"/>
      <c r="N236" s="281"/>
      <c r="O236" s="246">
        <f t="shared" ref="O236:O240" si="210">M236-N236</f>
        <v>0</v>
      </c>
      <c r="P236" s="244">
        <f t="shared" ref="P236:P240" si="211">J236+M236</f>
        <v>0</v>
      </c>
      <c r="Q236" s="244">
        <f t="shared" ref="Q236:Q240" si="212">K236+N236</f>
        <v>0</v>
      </c>
      <c r="R236" s="249">
        <f t="shared" ref="R236:R240" si="213">P236-Q236</f>
        <v>0</v>
      </c>
      <c r="S236" s="244">
        <f t="shared" ref="S236:S240" si="214">G236+P236</f>
        <v>0</v>
      </c>
      <c r="T236" s="244">
        <f t="shared" ref="T236:T240" si="215">H236+Q236</f>
        <v>0</v>
      </c>
      <c r="U236" s="246">
        <f t="shared" ref="U236:U240" si="216">S236-T236</f>
        <v>0</v>
      </c>
    </row>
    <row r="237" spans="1:21" s="30" customFormat="1" ht="25.5" customHeight="1">
      <c r="A237" s="190"/>
      <c r="B237" s="72"/>
      <c r="C237" s="73" t="s">
        <v>796</v>
      </c>
      <c r="D237" s="73" t="s">
        <v>47</v>
      </c>
      <c r="E237" s="73"/>
      <c r="F237" s="240" t="s">
        <v>825</v>
      </c>
      <c r="G237" s="280"/>
      <c r="H237" s="281"/>
      <c r="I237" s="244">
        <f t="shared" si="208"/>
        <v>0</v>
      </c>
      <c r="J237" s="280"/>
      <c r="K237" s="281"/>
      <c r="L237" s="244">
        <f t="shared" si="209"/>
        <v>0</v>
      </c>
      <c r="M237" s="280"/>
      <c r="N237" s="281"/>
      <c r="O237" s="246">
        <f t="shared" si="210"/>
        <v>0</v>
      </c>
      <c r="P237" s="244">
        <f t="shared" si="211"/>
        <v>0</v>
      </c>
      <c r="Q237" s="244">
        <f t="shared" si="212"/>
        <v>0</v>
      </c>
      <c r="R237" s="249">
        <f t="shared" si="213"/>
        <v>0</v>
      </c>
      <c r="S237" s="244">
        <f t="shared" si="214"/>
        <v>0</v>
      </c>
      <c r="T237" s="244">
        <f t="shared" si="215"/>
        <v>0</v>
      </c>
      <c r="U237" s="246">
        <f t="shared" si="216"/>
        <v>0</v>
      </c>
    </row>
    <row r="238" spans="1:21" s="30" customFormat="1" ht="21.75" customHeight="1">
      <c r="A238" s="190"/>
      <c r="B238" s="72"/>
      <c r="C238" s="73" t="s">
        <v>797</v>
      </c>
      <c r="D238" s="73" t="s">
        <v>47</v>
      </c>
      <c r="E238" s="73"/>
      <c r="F238" s="241" t="s">
        <v>826</v>
      </c>
      <c r="G238" s="280"/>
      <c r="H238" s="281"/>
      <c r="I238" s="244">
        <f t="shared" si="208"/>
        <v>0</v>
      </c>
      <c r="J238" s="280"/>
      <c r="K238" s="281"/>
      <c r="L238" s="244">
        <f t="shared" si="209"/>
        <v>0</v>
      </c>
      <c r="M238" s="280"/>
      <c r="N238" s="281"/>
      <c r="O238" s="246">
        <f t="shared" si="210"/>
        <v>0</v>
      </c>
      <c r="P238" s="244">
        <f t="shared" si="211"/>
        <v>0</v>
      </c>
      <c r="Q238" s="244">
        <f t="shared" si="212"/>
        <v>0</v>
      </c>
      <c r="R238" s="249">
        <f t="shared" si="213"/>
        <v>0</v>
      </c>
      <c r="S238" s="244">
        <f t="shared" si="214"/>
        <v>0</v>
      </c>
      <c r="T238" s="244">
        <f t="shared" si="215"/>
        <v>0</v>
      </c>
      <c r="U238" s="246">
        <f t="shared" si="216"/>
        <v>0</v>
      </c>
    </row>
    <row r="239" spans="1:21" s="30" customFormat="1" ht="25.5" customHeight="1">
      <c r="A239" s="190"/>
      <c r="B239" s="72"/>
      <c r="C239" s="73" t="s">
        <v>798</v>
      </c>
      <c r="D239" s="73" t="s">
        <v>47</v>
      </c>
      <c r="E239" s="73"/>
      <c r="F239" s="237" t="s">
        <v>827</v>
      </c>
      <c r="G239" s="280"/>
      <c r="H239" s="281"/>
      <c r="I239" s="244">
        <f t="shared" si="208"/>
        <v>0</v>
      </c>
      <c r="J239" s="280"/>
      <c r="K239" s="281"/>
      <c r="L239" s="244">
        <f t="shared" si="209"/>
        <v>0</v>
      </c>
      <c r="M239" s="280"/>
      <c r="N239" s="281"/>
      <c r="O239" s="246">
        <f t="shared" si="210"/>
        <v>0</v>
      </c>
      <c r="P239" s="244">
        <f t="shared" si="211"/>
        <v>0</v>
      </c>
      <c r="Q239" s="244">
        <f t="shared" si="212"/>
        <v>0</v>
      </c>
      <c r="R239" s="249">
        <f t="shared" si="213"/>
        <v>0</v>
      </c>
      <c r="S239" s="244">
        <f t="shared" si="214"/>
        <v>0</v>
      </c>
      <c r="T239" s="244">
        <f t="shared" si="215"/>
        <v>0</v>
      </c>
      <c r="U239" s="246">
        <f t="shared" si="216"/>
        <v>0</v>
      </c>
    </row>
    <row r="240" spans="1:21" s="30" customFormat="1" ht="21" customHeight="1">
      <c r="A240" s="190" t="s">
        <v>48</v>
      </c>
      <c r="B240" s="72"/>
      <c r="C240" s="73" t="s">
        <v>756</v>
      </c>
      <c r="D240" s="73" t="s">
        <v>4</v>
      </c>
      <c r="E240" s="73"/>
      <c r="F240" s="237" t="s">
        <v>879</v>
      </c>
      <c r="G240" s="280"/>
      <c r="H240" s="281"/>
      <c r="I240" s="244">
        <f t="shared" si="208"/>
        <v>0</v>
      </c>
      <c r="J240" s="280"/>
      <c r="K240" s="281"/>
      <c r="L240" s="244">
        <f t="shared" si="209"/>
        <v>0</v>
      </c>
      <c r="M240" s="280"/>
      <c r="N240" s="281"/>
      <c r="O240" s="246">
        <f t="shared" si="210"/>
        <v>0</v>
      </c>
      <c r="P240" s="244">
        <f t="shared" si="211"/>
        <v>0</v>
      </c>
      <c r="Q240" s="244">
        <f t="shared" si="212"/>
        <v>0</v>
      </c>
      <c r="R240" s="249">
        <f t="shared" si="213"/>
        <v>0</v>
      </c>
      <c r="S240" s="244">
        <f t="shared" si="214"/>
        <v>0</v>
      </c>
      <c r="T240" s="244">
        <f t="shared" si="215"/>
        <v>0</v>
      </c>
      <c r="U240" s="246">
        <f t="shared" si="216"/>
        <v>0</v>
      </c>
    </row>
    <row r="241" spans="1:21" s="30" customFormat="1" ht="21" customHeight="1">
      <c r="A241" s="190"/>
      <c r="B241" s="72"/>
      <c r="C241" s="73"/>
      <c r="D241" s="73"/>
      <c r="E241" s="73"/>
      <c r="F241" s="237"/>
      <c r="G241" s="202"/>
      <c r="H241" s="207"/>
      <c r="I241" s="192"/>
      <c r="J241" s="202"/>
      <c r="K241" s="207"/>
      <c r="L241" s="192"/>
      <c r="M241" s="202"/>
      <c r="N241" s="207"/>
      <c r="O241" s="227"/>
      <c r="P241" s="245"/>
      <c r="Q241" s="207"/>
      <c r="R241" s="192"/>
      <c r="S241" s="245"/>
      <c r="T241" s="207"/>
      <c r="U241" s="227"/>
    </row>
    <row r="242" spans="1:21" s="30" customFormat="1" ht="21.75" customHeight="1">
      <c r="A242" s="190" t="s">
        <v>48</v>
      </c>
      <c r="B242" s="72"/>
      <c r="C242" s="73" t="s">
        <v>757</v>
      </c>
      <c r="D242" s="73" t="s">
        <v>5</v>
      </c>
      <c r="E242" s="73"/>
      <c r="F242" s="237" t="s">
        <v>882</v>
      </c>
      <c r="G242" s="280"/>
      <c r="H242" s="281"/>
      <c r="I242" s="244">
        <f>G242-H242</f>
        <v>0</v>
      </c>
      <c r="J242" s="280"/>
      <c r="K242" s="281"/>
      <c r="L242" s="244">
        <f>J242-K242</f>
        <v>0</v>
      </c>
      <c r="M242" s="280"/>
      <c r="N242" s="281"/>
      <c r="O242" s="246">
        <f>M242-N242</f>
        <v>0</v>
      </c>
      <c r="P242" s="244">
        <f>J242+M242</f>
        <v>0</v>
      </c>
      <c r="Q242" s="244">
        <f>K242+N242</f>
        <v>0</v>
      </c>
      <c r="R242" s="249">
        <f>P242-Q242</f>
        <v>0</v>
      </c>
      <c r="S242" s="244">
        <f>G242+P242</f>
        <v>0</v>
      </c>
      <c r="T242" s="244">
        <f>H242+Q242</f>
        <v>0</v>
      </c>
      <c r="U242" s="246">
        <f>S242-T242</f>
        <v>0</v>
      </c>
    </row>
    <row r="243" spans="1:21" s="30" customFormat="1" ht="25.5" customHeight="1">
      <c r="A243" s="190"/>
      <c r="B243" s="72"/>
      <c r="C243" s="73"/>
      <c r="D243" s="73"/>
      <c r="E243" s="73"/>
      <c r="F243" s="237" t="s">
        <v>799</v>
      </c>
      <c r="G243" s="202"/>
      <c r="H243" s="207"/>
      <c r="I243" s="192"/>
      <c r="J243" s="202"/>
      <c r="K243" s="207"/>
      <c r="L243" s="192"/>
      <c r="M243" s="202"/>
      <c r="N243" s="207"/>
      <c r="O243" s="227"/>
      <c r="P243" s="245"/>
      <c r="Q243" s="207"/>
      <c r="R243" s="192"/>
      <c r="S243" s="245"/>
      <c r="T243" s="207"/>
      <c r="U243" s="227"/>
    </row>
    <row r="244" spans="1:21" s="30" customFormat="1" ht="21" customHeight="1">
      <c r="A244" s="190"/>
      <c r="B244" s="72"/>
      <c r="C244" s="73" t="s">
        <v>800</v>
      </c>
      <c r="D244" s="73" t="s">
        <v>47</v>
      </c>
      <c r="E244" s="73"/>
      <c r="F244" s="238" t="s">
        <v>828</v>
      </c>
      <c r="G244" s="280"/>
      <c r="H244" s="281"/>
      <c r="I244" s="244">
        <f t="shared" ref="I244:I248" si="217">G244-H244</f>
        <v>0</v>
      </c>
      <c r="J244" s="280"/>
      <c r="K244" s="281"/>
      <c r="L244" s="244">
        <f t="shared" ref="L244:L248" si="218">J244-K244</f>
        <v>0</v>
      </c>
      <c r="M244" s="280"/>
      <c r="N244" s="281"/>
      <c r="O244" s="246">
        <f t="shared" ref="O244:O248" si="219">M244-N244</f>
        <v>0</v>
      </c>
      <c r="P244" s="244">
        <f t="shared" ref="P244:P248" si="220">J244+M244</f>
        <v>0</v>
      </c>
      <c r="Q244" s="244">
        <f t="shared" ref="Q244:Q248" si="221">K244+N244</f>
        <v>0</v>
      </c>
      <c r="R244" s="249">
        <f t="shared" ref="R244:R248" si="222">P244-Q244</f>
        <v>0</v>
      </c>
      <c r="S244" s="244">
        <f t="shared" ref="S244:S248" si="223">G244+P244</f>
        <v>0</v>
      </c>
      <c r="T244" s="244">
        <f t="shared" ref="T244:T248" si="224">H244+Q244</f>
        <v>0</v>
      </c>
      <c r="U244" s="246">
        <f t="shared" ref="U244:U248" si="225">S244-T244</f>
        <v>0</v>
      </c>
    </row>
    <row r="245" spans="1:21" s="30" customFormat="1" ht="21.75" customHeight="1">
      <c r="A245" s="190"/>
      <c r="B245" s="72"/>
      <c r="C245" s="73" t="s">
        <v>801</v>
      </c>
      <c r="D245" s="73" t="s">
        <v>47</v>
      </c>
      <c r="E245" s="73"/>
      <c r="F245" s="238" t="s">
        <v>829</v>
      </c>
      <c r="G245" s="280"/>
      <c r="H245" s="281"/>
      <c r="I245" s="244">
        <f t="shared" si="217"/>
        <v>0</v>
      </c>
      <c r="J245" s="280"/>
      <c r="K245" s="281"/>
      <c r="L245" s="244">
        <f t="shared" si="218"/>
        <v>0</v>
      </c>
      <c r="M245" s="280"/>
      <c r="N245" s="281"/>
      <c r="O245" s="246">
        <f t="shared" si="219"/>
        <v>0</v>
      </c>
      <c r="P245" s="244">
        <f t="shared" si="220"/>
        <v>0</v>
      </c>
      <c r="Q245" s="244">
        <f t="shared" si="221"/>
        <v>0</v>
      </c>
      <c r="R245" s="249">
        <f t="shared" si="222"/>
        <v>0</v>
      </c>
      <c r="S245" s="244">
        <f t="shared" si="223"/>
        <v>0</v>
      </c>
      <c r="T245" s="244">
        <f t="shared" si="224"/>
        <v>0</v>
      </c>
      <c r="U245" s="246">
        <f t="shared" si="225"/>
        <v>0</v>
      </c>
    </row>
    <row r="246" spans="1:21" s="30" customFormat="1" ht="25.5" customHeight="1">
      <c r="A246" s="190"/>
      <c r="B246" s="72"/>
      <c r="C246" s="73" t="s">
        <v>802</v>
      </c>
      <c r="D246" s="73" t="s">
        <v>47</v>
      </c>
      <c r="E246" s="73"/>
      <c r="F246" s="238" t="s">
        <v>830</v>
      </c>
      <c r="G246" s="280"/>
      <c r="H246" s="281"/>
      <c r="I246" s="244">
        <f t="shared" si="217"/>
        <v>0</v>
      </c>
      <c r="J246" s="280"/>
      <c r="K246" s="281"/>
      <c r="L246" s="244">
        <f t="shared" si="218"/>
        <v>0</v>
      </c>
      <c r="M246" s="280"/>
      <c r="N246" s="281"/>
      <c r="O246" s="246">
        <f t="shared" si="219"/>
        <v>0</v>
      </c>
      <c r="P246" s="244">
        <f t="shared" si="220"/>
        <v>0</v>
      </c>
      <c r="Q246" s="244">
        <f t="shared" si="221"/>
        <v>0</v>
      </c>
      <c r="R246" s="249">
        <f t="shared" si="222"/>
        <v>0</v>
      </c>
      <c r="S246" s="244">
        <f t="shared" si="223"/>
        <v>0</v>
      </c>
      <c r="T246" s="244">
        <f t="shared" si="224"/>
        <v>0</v>
      </c>
      <c r="U246" s="246">
        <f t="shared" si="225"/>
        <v>0</v>
      </c>
    </row>
    <row r="247" spans="1:21" s="30" customFormat="1" ht="21.75" customHeight="1">
      <c r="A247" s="190"/>
      <c r="B247" s="72"/>
      <c r="C247" s="73" t="s">
        <v>803</v>
      </c>
      <c r="D247" s="73" t="s">
        <v>47</v>
      </c>
      <c r="E247" s="73"/>
      <c r="F247" s="238" t="s">
        <v>831</v>
      </c>
      <c r="G247" s="280"/>
      <c r="H247" s="281"/>
      <c r="I247" s="244">
        <f t="shared" si="217"/>
        <v>0</v>
      </c>
      <c r="J247" s="280"/>
      <c r="K247" s="281"/>
      <c r="L247" s="244">
        <f t="shared" si="218"/>
        <v>0</v>
      </c>
      <c r="M247" s="280"/>
      <c r="N247" s="281"/>
      <c r="O247" s="246">
        <f t="shared" si="219"/>
        <v>0</v>
      </c>
      <c r="P247" s="244">
        <f t="shared" si="220"/>
        <v>0</v>
      </c>
      <c r="Q247" s="244">
        <f t="shared" si="221"/>
        <v>0</v>
      </c>
      <c r="R247" s="249">
        <f t="shared" si="222"/>
        <v>0</v>
      </c>
      <c r="S247" s="244">
        <f t="shared" si="223"/>
        <v>0</v>
      </c>
      <c r="T247" s="244">
        <f t="shared" si="224"/>
        <v>0</v>
      </c>
      <c r="U247" s="246">
        <f t="shared" si="225"/>
        <v>0</v>
      </c>
    </row>
    <row r="248" spans="1:21" s="30" customFormat="1" ht="25.5" customHeight="1">
      <c r="A248" s="190"/>
      <c r="B248" s="72"/>
      <c r="C248" s="73" t="s">
        <v>804</v>
      </c>
      <c r="D248" s="73" t="s">
        <v>47</v>
      </c>
      <c r="E248" s="73"/>
      <c r="F248" s="238" t="s">
        <v>832</v>
      </c>
      <c r="G248" s="280"/>
      <c r="H248" s="281"/>
      <c r="I248" s="244">
        <f t="shared" si="217"/>
        <v>0</v>
      </c>
      <c r="J248" s="280"/>
      <c r="K248" s="281"/>
      <c r="L248" s="244">
        <f t="shared" si="218"/>
        <v>0</v>
      </c>
      <c r="M248" s="280"/>
      <c r="N248" s="281"/>
      <c r="O248" s="246">
        <f t="shared" si="219"/>
        <v>0</v>
      </c>
      <c r="P248" s="244">
        <f t="shared" si="220"/>
        <v>0</v>
      </c>
      <c r="Q248" s="244">
        <f t="shared" si="221"/>
        <v>0</v>
      </c>
      <c r="R248" s="249">
        <f t="shared" si="222"/>
        <v>0</v>
      </c>
      <c r="S248" s="244">
        <f t="shared" si="223"/>
        <v>0</v>
      </c>
      <c r="T248" s="244">
        <f t="shared" si="224"/>
        <v>0</v>
      </c>
      <c r="U248" s="246">
        <f t="shared" si="225"/>
        <v>0</v>
      </c>
    </row>
    <row r="249" spans="1:21" s="30" customFormat="1" ht="21" customHeight="1">
      <c r="A249" s="190"/>
      <c r="B249" s="72"/>
      <c r="C249" s="73"/>
      <c r="D249" s="73"/>
      <c r="E249" s="73"/>
      <c r="F249" s="239" t="s">
        <v>805</v>
      </c>
      <c r="G249" s="202"/>
      <c r="H249" s="207"/>
      <c r="I249" s="192"/>
      <c r="J249" s="202"/>
      <c r="K249" s="207"/>
      <c r="L249" s="192"/>
      <c r="M249" s="202"/>
      <c r="N249" s="207"/>
      <c r="O249" s="227"/>
      <c r="P249" s="245"/>
      <c r="Q249" s="207"/>
      <c r="R249" s="192"/>
      <c r="S249" s="245"/>
      <c r="T249" s="207"/>
      <c r="U249" s="227"/>
    </row>
    <row r="250" spans="1:21" s="30" customFormat="1" ht="21.75" customHeight="1">
      <c r="A250" s="190"/>
      <c r="B250" s="72"/>
      <c r="C250" s="73" t="s">
        <v>806</v>
      </c>
      <c r="D250" s="73" t="s">
        <v>47</v>
      </c>
      <c r="E250" s="73"/>
      <c r="F250" s="240" t="s">
        <v>833</v>
      </c>
      <c r="G250" s="280"/>
      <c r="H250" s="281"/>
      <c r="I250" s="244">
        <f t="shared" ref="I250:I253" si="226">G250-H250</f>
        <v>0</v>
      </c>
      <c r="J250" s="280"/>
      <c r="K250" s="281"/>
      <c r="L250" s="244">
        <f t="shared" ref="L250:L253" si="227">J250-K250</f>
        <v>0</v>
      </c>
      <c r="M250" s="280"/>
      <c r="N250" s="281"/>
      <c r="O250" s="246">
        <f t="shared" ref="O250:O253" si="228">M250-N250</f>
        <v>0</v>
      </c>
      <c r="P250" s="244">
        <f t="shared" ref="P250:P254" si="229">J250+M250</f>
        <v>0</v>
      </c>
      <c r="Q250" s="244">
        <f t="shared" ref="Q250:Q254" si="230">K250+N250</f>
        <v>0</v>
      </c>
      <c r="R250" s="249">
        <f t="shared" ref="R250:R253" si="231">P250-Q250</f>
        <v>0</v>
      </c>
      <c r="S250" s="244">
        <f t="shared" ref="S250:S254" si="232">G250+P250</f>
        <v>0</v>
      </c>
      <c r="T250" s="244">
        <f t="shared" ref="T250:T254" si="233">H250+Q250</f>
        <v>0</v>
      </c>
      <c r="U250" s="246">
        <f t="shared" ref="U250:U253" si="234">S250-T250</f>
        <v>0</v>
      </c>
    </row>
    <row r="251" spans="1:21" s="30" customFormat="1" ht="25.5" customHeight="1">
      <c r="A251" s="190"/>
      <c r="B251" s="72"/>
      <c r="C251" s="73" t="s">
        <v>807</v>
      </c>
      <c r="D251" s="73" t="s">
        <v>47</v>
      </c>
      <c r="E251" s="73"/>
      <c r="F251" s="240" t="s">
        <v>834</v>
      </c>
      <c r="G251" s="280"/>
      <c r="H251" s="281"/>
      <c r="I251" s="244">
        <f t="shared" si="226"/>
        <v>0</v>
      </c>
      <c r="J251" s="280"/>
      <c r="K251" s="281"/>
      <c r="L251" s="244">
        <f t="shared" si="227"/>
        <v>0</v>
      </c>
      <c r="M251" s="280"/>
      <c r="N251" s="281"/>
      <c r="O251" s="246">
        <f t="shared" si="228"/>
        <v>0</v>
      </c>
      <c r="P251" s="244">
        <f t="shared" si="229"/>
        <v>0</v>
      </c>
      <c r="Q251" s="244">
        <f t="shared" si="230"/>
        <v>0</v>
      </c>
      <c r="R251" s="249">
        <f t="shared" si="231"/>
        <v>0</v>
      </c>
      <c r="S251" s="244">
        <f t="shared" si="232"/>
        <v>0</v>
      </c>
      <c r="T251" s="244">
        <f t="shared" si="233"/>
        <v>0</v>
      </c>
      <c r="U251" s="246">
        <f t="shared" si="234"/>
        <v>0</v>
      </c>
    </row>
    <row r="252" spans="1:21" s="30" customFormat="1" ht="21" customHeight="1">
      <c r="A252" s="190"/>
      <c r="B252" s="72"/>
      <c r="C252" s="73" t="s">
        <v>808</v>
      </c>
      <c r="D252" s="73" t="s">
        <v>47</v>
      </c>
      <c r="E252" s="73"/>
      <c r="F252" s="240" t="s">
        <v>835</v>
      </c>
      <c r="G252" s="280"/>
      <c r="H252" s="281"/>
      <c r="I252" s="244">
        <f t="shared" si="226"/>
        <v>0</v>
      </c>
      <c r="J252" s="280"/>
      <c r="K252" s="281"/>
      <c r="L252" s="244">
        <f t="shared" si="227"/>
        <v>0</v>
      </c>
      <c r="M252" s="280"/>
      <c r="N252" s="281"/>
      <c r="O252" s="246">
        <f t="shared" si="228"/>
        <v>0</v>
      </c>
      <c r="P252" s="244">
        <f t="shared" si="229"/>
        <v>0</v>
      </c>
      <c r="Q252" s="244">
        <f t="shared" si="230"/>
        <v>0</v>
      </c>
      <c r="R252" s="249">
        <f t="shared" si="231"/>
        <v>0</v>
      </c>
      <c r="S252" s="244">
        <f t="shared" si="232"/>
        <v>0</v>
      </c>
      <c r="T252" s="244">
        <f t="shared" si="233"/>
        <v>0</v>
      </c>
      <c r="U252" s="246">
        <f t="shared" si="234"/>
        <v>0</v>
      </c>
    </row>
    <row r="253" spans="1:21" s="30" customFormat="1" ht="21.75" customHeight="1">
      <c r="A253" s="190"/>
      <c r="B253" s="72"/>
      <c r="C253" s="73" t="s">
        <v>809</v>
      </c>
      <c r="D253" s="73" t="s">
        <v>47</v>
      </c>
      <c r="E253" s="73"/>
      <c r="F253" s="237" t="s">
        <v>817</v>
      </c>
      <c r="G253" s="280"/>
      <c r="H253" s="281"/>
      <c r="I253" s="244">
        <f t="shared" si="226"/>
        <v>0</v>
      </c>
      <c r="J253" s="280"/>
      <c r="K253" s="281"/>
      <c r="L253" s="244">
        <f t="shared" si="227"/>
        <v>0</v>
      </c>
      <c r="M253" s="280"/>
      <c r="N253" s="281"/>
      <c r="O253" s="246">
        <f t="shared" si="228"/>
        <v>0</v>
      </c>
      <c r="P253" s="244">
        <f t="shared" si="229"/>
        <v>0</v>
      </c>
      <c r="Q253" s="244">
        <f t="shared" si="230"/>
        <v>0</v>
      </c>
      <c r="R253" s="249">
        <f t="shared" si="231"/>
        <v>0</v>
      </c>
      <c r="S253" s="244">
        <f t="shared" si="232"/>
        <v>0</v>
      </c>
      <c r="T253" s="244">
        <f t="shared" si="233"/>
        <v>0</v>
      </c>
      <c r="U253" s="246">
        <f t="shared" si="234"/>
        <v>0</v>
      </c>
    </row>
    <row r="254" spans="1:21" s="30" customFormat="1" ht="25.5" customHeight="1">
      <c r="A254" s="190" t="s">
        <v>48</v>
      </c>
      <c r="B254" s="72"/>
      <c r="C254" s="73" t="s">
        <v>757</v>
      </c>
      <c r="D254" s="73" t="s">
        <v>4</v>
      </c>
      <c r="E254" s="73"/>
      <c r="F254" s="237" t="s">
        <v>880</v>
      </c>
      <c r="G254" s="280"/>
      <c r="H254" s="281"/>
      <c r="I254" s="244">
        <f>G254-H254</f>
        <v>0</v>
      </c>
      <c r="J254" s="280"/>
      <c r="K254" s="281"/>
      <c r="L254" s="244">
        <f>J254-K254</f>
        <v>0</v>
      </c>
      <c r="M254" s="280"/>
      <c r="N254" s="281"/>
      <c r="O254" s="246">
        <f>M254-N254</f>
        <v>0</v>
      </c>
      <c r="P254" s="244">
        <f t="shared" si="229"/>
        <v>0</v>
      </c>
      <c r="Q254" s="244">
        <f t="shared" si="230"/>
        <v>0</v>
      </c>
      <c r="R254" s="249">
        <f>P254-Q254</f>
        <v>0</v>
      </c>
      <c r="S254" s="244">
        <f t="shared" si="232"/>
        <v>0</v>
      </c>
      <c r="T254" s="244">
        <f t="shared" si="233"/>
        <v>0</v>
      </c>
      <c r="U254" s="246">
        <f>S254-T254</f>
        <v>0</v>
      </c>
    </row>
    <row r="255" spans="1:21" s="30" customFormat="1" ht="21.75" customHeight="1">
      <c r="A255" s="190"/>
      <c r="B255" s="72"/>
      <c r="C255" s="73" t="s">
        <v>810</v>
      </c>
      <c r="D255" s="73" t="s">
        <v>47</v>
      </c>
      <c r="E255" s="73"/>
      <c r="F255" s="196" t="s">
        <v>814</v>
      </c>
      <c r="G255" s="282"/>
      <c r="H255" s="283"/>
      <c r="I255" s="284"/>
      <c r="J255" s="282"/>
      <c r="K255" s="283"/>
      <c r="L255" s="284"/>
      <c r="M255" s="282"/>
      <c r="N255" s="283"/>
      <c r="O255" s="285"/>
      <c r="P255" s="284"/>
      <c r="Q255" s="283"/>
      <c r="R255" s="284"/>
      <c r="S255" s="282"/>
      <c r="T255" s="283"/>
      <c r="U255" s="285"/>
    </row>
    <row r="256" spans="1:21" s="30" customFormat="1" ht="25.5" customHeight="1">
      <c r="A256" s="190"/>
      <c r="B256" s="72"/>
      <c r="C256" s="73" t="s">
        <v>811</v>
      </c>
      <c r="D256" s="73" t="s">
        <v>47</v>
      </c>
      <c r="E256" s="73"/>
      <c r="F256" s="196" t="s">
        <v>815</v>
      </c>
      <c r="G256" s="282"/>
      <c r="H256" s="283"/>
      <c r="I256" s="284"/>
      <c r="J256" s="282"/>
      <c r="K256" s="283"/>
      <c r="L256" s="284"/>
      <c r="M256" s="282"/>
      <c r="N256" s="283"/>
      <c r="O256" s="285"/>
      <c r="P256" s="284"/>
      <c r="Q256" s="283"/>
      <c r="R256" s="284"/>
      <c r="S256" s="282"/>
      <c r="T256" s="283"/>
      <c r="U256" s="285"/>
    </row>
    <row r="257" spans="1:21" s="30" customFormat="1" ht="21.75" customHeight="1">
      <c r="A257" s="190"/>
      <c r="B257" s="72"/>
      <c r="C257" s="73" t="s">
        <v>812</v>
      </c>
      <c r="D257" s="73" t="s">
        <v>47</v>
      </c>
      <c r="E257" s="73"/>
      <c r="F257" s="196" t="s">
        <v>816</v>
      </c>
      <c r="G257" s="282"/>
      <c r="H257" s="283"/>
      <c r="I257" s="284"/>
      <c r="J257" s="282"/>
      <c r="K257" s="283"/>
      <c r="L257" s="284"/>
      <c r="M257" s="282"/>
      <c r="N257" s="283"/>
      <c r="O257" s="284"/>
      <c r="P257" s="282"/>
      <c r="Q257" s="283"/>
      <c r="R257" s="284"/>
      <c r="S257" s="282"/>
      <c r="T257" s="283"/>
      <c r="U257" s="285"/>
    </row>
    <row r="258" spans="1:21" ht="15.75" thickBot="1">
      <c r="A258" s="190"/>
      <c r="B258" s="193"/>
      <c r="C258" s="194"/>
      <c r="D258" s="194"/>
      <c r="E258" s="194" t="s">
        <v>0</v>
      </c>
      <c r="F258" s="195" t="s">
        <v>0</v>
      </c>
      <c r="G258" s="203"/>
      <c r="H258" s="208"/>
      <c r="I258" s="195"/>
      <c r="J258" s="203"/>
      <c r="K258" s="208"/>
      <c r="L258" s="195"/>
      <c r="M258" s="203"/>
      <c r="N258" s="208"/>
      <c r="O258" s="195"/>
      <c r="P258" s="203"/>
      <c r="Q258" s="208"/>
      <c r="R258" s="195"/>
      <c r="S258" s="203"/>
      <c r="T258" s="208"/>
      <c r="U258" s="195"/>
    </row>
  </sheetData>
  <mergeCells count="26">
    <mergeCell ref="F92:I92"/>
    <mergeCell ref="G93:I93"/>
    <mergeCell ref="G94:I94"/>
    <mergeCell ref="G95:I95"/>
    <mergeCell ref="G96:U96"/>
    <mergeCell ref="G98:I98"/>
    <mergeCell ref="J98:L98"/>
    <mergeCell ref="M98:O98"/>
    <mergeCell ref="P98:R98"/>
    <mergeCell ref="S98:U98"/>
    <mergeCell ref="G178:U178"/>
    <mergeCell ref="G180:I180"/>
    <mergeCell ref="J180:L180"/>
    <mergeCell ref="M180:O180"/>
    <mergeCell ref="P180:R180"/>
    <mergeCell ref="S180:U180"/>
    <mergeCell ref="F6:I6"/>
    <mergeCell ref="G7:I7"/>
    <mergeCell ref="G8:I8"/>
    <mergeCell ref="G9:I9"/>
    <mergeCell ref="G10:U10"/>
    <mergeCell ref="G12:I12"/>
    <mergeCell ref="J12:L12"/>
    <mergeCell ref="M12:O12"/>
    <mergeCell ref="P12:R12"/>
    <mergeCell ref="S12:U12"/>
  </mergeCells>
  <conditionalFormatting sqref="G10">
    <cfRule type="expression" dxfId="19" priority="3">
      <formula>ISERROR(G11)</formula>
    </cfRule>
  </conditionalFormatting>
  <conditionalFormatting sqref="G96">
    <cfRule type="expression" dxfId="18" priority="1">
      <formula>ISERROR(G97)</formula>
    </cfRule>
  </conditionalFormatting>
  <pageMargins left="0.7" right="0.7" top="0.75" bottom="0.75" header="0.3" footer="0.3"/>
  <pageSetup paperSize="9" orientation="portrait" horizontalDpi="300" verticalDpi="300" r:id="rId1"/>
  <extLst>
    <ext xmlns:x14="http://schemas.microsoft.com/office/spreadsheetml/2009/9/main" uri="{78C0D931-6437-407d-A8EE-F0AAD7539E65}">
      <x14:conditionalFormattings>
        <x14:conditionalFormatting xmlns:xm="http://schemas.microsoft.com/office/excel/2006/main">
          <x14:cfRule type="expression" priority="12" id="{19AF57FF-C601-42CF-9083-1E11AABF7862}">
            <xm:f>ISERROR(VLOOKUP($G7,Hoja1!$C$1:$C$12,1,FALSE))</xm:f>
            <x14:dxf>
              <font>
                <color rgb="FFFFFF00"/>
              </font>
              <fill>
                <patternFill>
                  <bgColor rgb="FFFF0000"/>
                </patternFill>
              </fill>
            </x14:dxf>
          </x14:cfRule>
          <xm:sqref>G7</xm:sqref>
        </x14:conditionalFormatting>
        <x14:conditionalFormatting xmlns:xm="http://schemas.microsoft.com/office/excel/2006/main">
          <x14:cfRule type="expression" priority="11" id="{E7CA597B-E13D-4AEA-BA52-8D682F559F9E}">
            <xm:f>ISERROR(VLOOKUP(G8,Hoja1!$D$1:$D$2,1,FALSE))</xm:f>
            <x14:dxf>
              <font>
                <color rgb="FFFFFF66"/>
              </font>
              <fill>
                <patternFill>
                  <bgColor rgb="FFFF0000"/>
                </patternFill>
              </fill>
            </x14:dxf>
          </x14:cfRule>
          <xm:sqref>G8</xm:sqref>
        </x14:conditionalFormatting>
        <x14:conditionalFormatting xmlns:xm="http://schemas.microsoft.com/office/excel/2006/main">
          <x14:cfRule type="expression" priority="10" id="{521C789E-D1DB-470D-B2AC-2CC9DD0AE527}">
            <xm:f>ISERROR(VLOOKUP(G9,Hoja1!$E$1:$E$2,1,FALSE))</xm:f>
            <x14:dxf>
              <font>
                <color rgb="FFFFFF00"/>
              </font>
              <fill>
                <patternFill>
                  <bgColor rgb="FFFF0000"/>
                </patternFill>
              </fill>
            </x14:dxf>
          </x14:cfRule>
          <xm:sqref>G9</xm:sqref>
        </x14:conditionalFormatting>
        <x14:conditionalFormatting xmlns:xm="http://schemas.microsoft.com/office/excel/2006/main">
          <x14:cfRule type="expression" priority="9" id="{64DE17E3-81A2-40B0-9A36-32DC568E1BBE}">
            <xm:f>ISERROR(VLOOKUP($G93,Hoja1!$C$1:$C$12,1,FALSE))</xm:f>
            <x14:dxf>
              <font>
                <color rgb="FFFFFF00"/>
              </font>
              <fill>
                <patternFill>
                  <bgColor rgb="FFFF0000"/>
                </patternFill>
              </fill>
            </x14:dxf>
          </x14:cfRule>
          <xm:sqref>G93</xm:sqref>
        </x14:conditionalFormatting>
        <x14:conditionalFormatting xmlns:xm="http://schemas.microsoft.com/office/excel/2006/main">
          <x14:cfRule type="expression" priority="8" id="{D3310903-4AD2-4E29-9721-7A221C251D51}">
            <xm:f>ISERROR(VLOOKUP(G94,Hoja1!$D$1:$D$2,1,FALSE))</xm:f>
            <x14:dxf>
              <font>
                <color rgb="FFFFFF66"/>
              </font>
              <fill>
                <patternFill>
                  <bgColor rgb="FFFF0000"/>
                </patternFill>
              </fill>
            </x14:dxf>
          </x14:cfRule>
          <xm:sqref>G94</xm:sqref>
        </x14:conditionalFormatting>
        <x14:conditionalFormatting xmlns:xm="http://schemas.microsoft.com/office/excel/2006/main">
          <x14:cfRule type="expression" priority="7" id="{3C59C570-6A84-4779-BE2F-987450D76C69}">
            <xm:f>ISERROR(VLOOKUP(G95,Hoja1!$E$1:$E$2,1,FALSE))</xm:f>
            <x14:dxf>
              <font>
                <color rgb="FFFFFF00"/>
              </font>
              <fill>
                <patternFill>
                  <bgColor rgb="FFFF0000"/>
                </patternFill>
              </fill>
            </x14:dxf>
          </x14:cfRule>
          <xm:sqref>G95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800-000000000000}">
          <x14:formula1>
            <xm:f>Hoja1!$F$1:$F$2</xm:f>
          </x14:formula1>
          <xm:sqref>G4</xm:sqref>
        </x14:dataValidation>
        <x14:dataValidation type="list" allowBlank="1" showInputMessage="1" showErrorMessage="1" xr:uid="{00000000-0002-0000-0800-000001000000}">
          <x14:formula1>
            <xm:f>Hoja1!$C$1:$C$12</xm:f>
          </x14:formula1>
          <xm:sqref>G7 G186:U186 G224:U224 G93</xm:sqref>
        </x14:dataValidation>
        <x14:dataValidation type="list" allowBlank="1" showInputMessage="1" showErrorMessage="1" xr:uid="{00000000-0002-0000-0800-000002000000}">
          <x14:formula1>
            <xm:f>Hoja1!$D$1:$D$2</xm:f>
          </x14:formula1>
          <xm:sqref>G8 G187:U187 G225:U225 G94</xm:sqref>
        </x14:dataValidation>
        <x14:dataValidation type="list" allowBlank="1" showInputMessage="1" showErrorMessage="1" xr:uid="{00000000-0002-0000-0800-000003000000}">
          <x14:formula1>
            <xm:f>Hoja1!$E$1:$E$2</xm:f>
          </x14:formula1>
          <xm:sqref>G9 G188:U188 G226:U226 G95</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0">
    <tabColor theme="0" tint="-0.14999847407452621"/>
  </sheetPr>
  <dimension ref="A1:U102"/>
  <sheetViews>
    <sheetView topLeftCell="A73" zoomScale="112" zoomScaleNormal="112" workbookViewId="0">
      <selection activeCell="M36" sqref="M36"/>
    </sheetView>
  </sheetViews>
  <sheetFormatPr baseColWidth="10" defaultRowHeight="15"/>
  <cols>
    <col min="1" max="1" width="2.7109375" customWidth="1"/>
    <col min="2" max="2" width="3.28515625" customWidth="1"/>
    <col min="3" max="3" width="2.7109375" customWidth="1"/>
    <col min="4" max="4" width="5.42578125" customWidth="1"/>
    <col min="5" max="5" width="2.7109375" customWidth="1"/>
    <col min="6" max="6" width="90.7109375" customWidth="1"/>
    <col min="7" max="21" width="20.28515625" customWidth="1"/>
  </cols>
  <sheetData>
    <row r="1" spans="1:21" ht="54.95" customHeight="1" thickBot="1"/>
    <row r="2" spans="1:21" ht="177" customHeight="1" thickBot="1">
      <c r="F2" s="162" t="s">
        <v>724</v>
      </c>
    </row>
    <row r="3" spans="1:21" ht="15.75" thickBot="1"/>
    <row r="4" spans="1:21" ht="16.5" thickBot="1">
      <c r="F4" s="263" t="s">
        <v>725</v>
      </c>
      <c r="G4" s="264" t="s">
        <v>726</v>
      </c>
    </row>
    <row r="5" spans="1:21" ht="16.5" thickBot="1">
      <c r="F5" s="286"/>
    </row>
    <row r="6" spans="1:21" ht="15.75" thickBot="1">
      <c r="B6" s="265"/>
      <c r="C6" s="266"/>
      <c r="D6" s="266"/>
      <c r="E6" s="266"/>
      <c r="F6" s="333" t="s">
        <v>862</v>
      </c>
      <c r="G6" s="334"/>
      <c r="H6" s="334"/>
      <c r="I6" s="335"/>
      <c r="J6" s="266"/>
      <c r="K6" s="266"/>
      <c r="L6" s="266"/>
      <c r="M6" s="266"/>
      <c r="N6" s="266"/>
      <c r="O6" s="266"/>
      <c r="P6" s="266"/>
      <c r="Q6" s="266"/>
      <c r="R6" s="266"/>
      <c r="S6" s="266"/>
      <c r="T6" s="266"/>
      <c r="U6" s="267"/>
    </row>
    <row r="7" spans="1:21">
      <c r="B7" s="268"/>
      <c r="F7" s="269" t="s">
        <v>762</v>
      </c>
      <c r="G7" s="336" t="s">
        <v>767</v>
      </c>
      <c r="H7" s="337"/>
      <c r="I7" s="338"/>
      <c r="U7" s="270"/>
    </row>
    <row r="8" spans="1:21">
      <c r="B8" s="268"/>
      <c r="F8" s="271" t="s">
        <v>763</v>
      </c>
      <c r="G8" s="339" t="s">
        <v>778</v>
      </c>
      <c r="H8" s="340"/>
      <c r="I8" s="341"/>
      <c r="U8" s="270"/>
    </row>
    <row r="9" spans="1:21" ht="15.75" thickBot="1">
      <c r="B9" s="268"/>
      <c r="F9" s="272" t="s">
        <v>764</v>
      </c>
      <c r="G9" s="339" t="s">
        <v>780</v>
      </c>
      <c r="H9" s="340"/>
      <c r="I9" s="341"/>
      <c r="U9" s="270"/>
    </row>
    <row r="10" spans="1:21" s="30" customFormat="1" ht="25.5" customHeight="1" thickBot="1">
      <c r="A10" s="163" t="s">
        <v>54</v>
      </c>
      <c r="B10" s="164"/>
      <c r="C10" s="165"/>
      <c r="D10" s="165"/>
      <c r="E10" s="165"/>
      <c r="F10" s="166" t="s">
        <v>942</v>
      </c>
      <c r="G10" s="342" t="str">
        <f>IF(ISERROR(CONCATENATE(VLOOKUP($G7,Hoja1!$C$1:$G$12,5,FALSE),"_",VLOOKUP($G8,Hoja1!$D$1:$H$2,5,FALSE),"_",VLOOKUP($G9,Hoja1!$E$1:$I$2,5,FALSE))),"Elija un valor para cada elemento en el bloque superior o elimine este bloque",CONCATENATE($G7,", ",$G8,", ",$G9))</f>
        <v>Contratos Garantía Financiera, Pérdidas crediticias esperadas durante 12 meses, Pérdidas crediticias esperadas evaluadas de forma individual</v>
      </c>
      <c r="H10" s="343"/>
      <c r="I10" s="343"/>
      <c r="J10" s="343"/>
      <c r="K10" s="343"/>
      <c r="L10" s="343"/>
      <c r="M10" s="343"/>
      <c r="N10" s="343"/>
      <c r="O10" s="343"/>
      <c r="P10" s="343"/>
      <c r="Q10" s="343"/>
      <c r="R10" s="343"/>
      <c r="S10" s="343"/>
      <c r="T10" s="343"/>
      <c r="U10" s="344"/>
    </row>
    <row r="11" spans="1:21" s="30" customFormat="1" ht="158.25" hidden="1" customHeight="1">
      <c r="A11" s="163" t="s">
        <v>55</v>
      </c>
      <c r="B11" s="167"/>
      <c r="C11" s="168"/>
      <c r="D11" s="168" t="s">
        <v>783</v>
      </c>
      <c r="E11" s="169" t="s">
        <v>747</v>
      </c>
      <c r="F11" s="170"/>
      <c r="G11" s="171" t="str">
        <f>CONCATENATE("IFRS7-ExpoRiesCred_",VLOOKUP($G7,Hoja1!$C$1:$G$12,5,FALSE),"_",VLOOKUP($G8,Hoja1!$D$1:$H$2,5,FALSE),"_",VLOOKUP($G9,Hoja1!$E$1:$I$2,5,FALSE),"_0","|",$G10)</f>
        <v>IFRS7-ExpoRiesCred_ContGaraFina_PerdCred12Me_PerdCredIndi_0|Contratos Garantía Financiera, Pérdidas crediticias esperadas durante 12 meses, Pérdidas crediticias esperadas evaluadas de forma individual</v>
      </c>
      <c r="H11" s="171" t="str">
        <f>G11</f>
        <v>IFRS7-ExpoRiesCred_ContGaraFina_PerdCred12Me_PerdCredIndi_0|Contratos Garantía Financiera, Pérdidas crediticias esperadas durante 12 meses, Pérdidas crediticias esperadas evaluadas de forma individual</v>
      </c>
      <c r="I11" s="172" t="str">
        <f t="shared" ref="I11:U11" si="0">H11</f>
        <v>IFRS7-ExpoRiesCred_ContGaraFina_PerdCred12Me_PerdCredIndi_0|Contratos Garantía Financiera, Pérdidas crediticias esperadas durante 12 meses, Pérdidas crediticias esperadas evaluadas de forma individual</v>
      </c>
      <c r="J11" s="171" t="str">
        <f t="shared" si="0"/>
        <v>IFRS7-ExpoRiesCred_ContGaraFina_PerdCred12Me_PerdCredIndi_0|Contratos Garantía Financiera, Pérdidas crediticias esperadas durante 12 meses, Pérdidas crediticias esperadas evaluadas de forma individual</v>
      </c>
      <c r="K11" s="171" t="str">
        <f t="shared" si="0"/>
        <v>IFRS7-ExpoRiesCred_ContGaraFina_PerdCred12Me_PerdCredIndi_0|Contratos Garantía Financiera, Pérdidas crediticias esperadas durante 12 meses, Pérdidas crediticias esperadas evaluadas de forma individual</v>
      </c>
      <c r="L11" s="172" t="str">
        <f t="shared" si="0"/>
        <v>IFRS7-ExpoRiesCred_ContGaraFina_PerdCred12Me_PerdCredIndi_0|Contratos Garantía Financiera, Pérdidas crediticias esperadas durante 12 meses, Pérdidas crediticias esperadas evaluadas de forma individual</v>
      </c>
      <c r="M11" s="171" t="str">
        <f t="shared" si="0"/>
        <v>IFRS7-ExpoRiesCred_ContGaraFina_PerdCred12Me_PerdCredIndi_0|Contratos Garantía Financiera, Pérdidas crediticias esperadas durante 12 meses, Pérdidas crediticias esperadas evaluadas de forma individual</v>
      </c>
      <c r="N11" s="171" t="str">
        <f t="shared" si="0"/>
        <v>IFRS7-ExpoRiesCred_ContGaraFina_PerdCred12Me_PerdCredIndi_0|Contratos Garantía Financiera, Pérdidas crediticias esperadas durante 12 meses, Pérdidas crediticias esperadas evaluadas de forma individual</v>
      </c>
      <c r="O11" s="172" t="str">
        <f t="shared" si="0"/>
        <v>IFRS7-ExpoRiesCred_ContGaraFina_PerdCred12Me_PerdCredIndi_0|Contratos Garantía Financiera, Pérdidas crediticias esperadas durante 12 meses, Pérdidas crediticias esperadas evaluadas de forma individual</v>
      </c>
      <c r="P11" s="171" t="str">
        <f t="shared" si="0"/>
        <v>IFRS7-ExpoRiesCred_ContGaraFina_PerdCred12Me_PerdCredIndi_0|Contratos Garantía Financiera, Pérdidas crediticias esperadas durante 12 meses, Pérdidas crediticias esperadas evaluadas de forma individual</v>
      </c>
      <c r="Q11" s="171" t="str">
        <f t="shared" si="0"/>
        <v>IFRS7-ExpoRiesCred_ContGaraFina_PerdCred12Me_PerdCredIndi_0|Contratos Garantía Financiera, Pérdidas crediticias esperadas durante 12 meses, Pérdidas crediticias esperadas evaluadas de forma individual</v>
      </c>
      <c r="R11" s="172" t="str">
        <f t="shared" si="0"/>
        <v>IFRS7-ExpoRiesCred_ContGaraFina_PerdCred12Me_PerdCredIndi_0|Contratos Garantía Financiera, Pérdidas crediticias esperadas durante 12 meses, Pérdidas crediticias esperadas evaluadas de forma individual</v>
      </c>
      <c r="S11" s="171" t="str">
        <f t="shared" si="0"/>
        <v>IFRS7-ExpoRiesCred_ContGaraFina_PerdCred12Me_PerdCredIndi_0|Contratos Garantía Financiera, Pérdidas crediticias esperadas durante 12 meses, Pérdidas crediticias esperadas evaluadas de forma individual</v>
      </c>
      <c r="T11" s="171" t="str">
        <f t="shared" si="0"/>
        <v>IFRS7-ExpoRiesCred_ContGaraFina_PerdCred12Me_PerdCredIndi_0|Contratos Garantía Financiera, Pérdidas crediticias esperadas durante 12 meses, Pérdidas crediticias esperadas evaluadas de forma individual</v>
      </c>
      <c r="U11" s="172" t="str">
        <f t="shared" si="0"/>
        <v>IFRS7-ExpoRiesCred_ContGaraFina_PerdCred12Me_PerdCredIndi_0|Contratos Garantía Financiera, Pérdidas crediticias esperadas durante 12 meses, Pérdidas crediticias esperadas evaluadas de forma individual</v>
      </c>
    </row>
    <row r="12" spans="1:21" s="30" customFormat="1" ht="78" customHeight="1">
      <c r="A12" s="228"/>
      <c r="B12" s="229"/>
      <c r="C12" s="187"/>
      <c r="D12" s="187"/>
      <c r="E12" s="184"/>
      <c r="F12" s="198"/>
      <c r="G12" s="329" t="s">
        <v>737</v>
      </c>
      <c r="H12" s="330"/>
      <c r="I12" s="331"/>
      <c r="J12" s="329" t="s">
        <v>738</v>
      </c>
      <c r="K12" s="330"/>
      <c r="L12" s="331"/>
      <c r="M12" s="329" t="s">
        <v>739</v>
      </c>
      <c r="N12" s="330"/>
      <c r="O12" s="331"/>
      <c r="P12" s="329" t="s">
        <v>740</v>
      </c>
      <c r="Q12" s="330"/>
      <c r="R12" s="331"/>
      <c r="S12" s="329" t="s">
        <v>741</v>
      </c>
      <c r="T12" s="330"/>
      <c r="U12" s="332"/>
    </row>
    <row r="13" spans="1:21" s="30" customFormat="1" ht="57" hidden="1" customHeight="1">
      <c r="A13" s="62" t="s">
        <v>55</v>
      </c>
      <c r="B13" s="173"/>
      <c r="C13" s="174"/>
      <c r="D13" s="175"/>
      <c r="E13" s="73" t="s">
        <v>736</v>
      </c>
      <c r="F13" s="199"/>
      <c r="G13" s="201" t="s">
        <v>742</v>
      </c>
      <c r="H13" s="206" t="str">
        <f>G13</f>
        <v>full_ifrs-cor_2018-03-16.xsd#ifrs-full_FinancialInstrumentsNotCreditimpairedMember</v>
      </c>
      <c r="I13" s="204" t="str">
        <f>H13</f>
        <v>full_ifrs-cor_2018-03-16.xsd#ifrs-full_FinancialInstrumentsNotCreditimpairedMember</v>
      </c>
      <c r="J13" s="201" t="s">
        <v>743</v>
      </c>
      <c r="K13" s="206" t="str">
        <f t="shared" ref="K13:L13" si="1">J13</f>
        <v>full_ifrs-cor_2018-03-16.xsd#ifrs-full_FinancialInstrumentsPurchasedOrOriginatedCreditimpairedMember</v>
      </c>
      <c r="L13" s="204" t="str">
        <f t="shared" si="1"/>
        <v>full_ifrs-cor_2018-03-16.xsd#ifrs-full_FinancialInstrumentsPurchasedOrOriginatedCreditimpairedMember</v>
      </c>
      <c r="M13" s="201" t="s">
        <v>744</v>
      </c>
      <c r="N13" s="206" t="str">
        <f t="shared" ref="N13:O13" si="2">M13</f>
        <v>full_ifrs-cor_2018-03-16.xsd#ifrs-full_FinancialInstrumentsCreditimpairedAfterPurchaseOrOriginationMember</v>
      </c>
      <c r="O13" s="204" t="str">
        <f t="shared" si="2"/>
        <v>full_ifrs-cor_2018-03-16.xsd#ifrs-full_FinancialInstrumentsCreditimpairedAfterPurchaseOrOriginationMember</v>
      </c>
      <c r="P13" s="201" t="s">
        <v>745</v>
      </c>
      <c r="Q13" s="206" t="str">
        <f t="shared" ref="Q13:R13" si="3">P13</f>
        <v>full_ifrs-cor_2018-03-16.xsd#ifrs-full_FinancialInstrumentsCreditimpairedMember</v>
      </c>
      <c r="R13" s="204" t="str">
        <f t="shared" si="3"/>
        <v>full_ifrs-cor_2018-03-16.xsd#ifrs-full_FinancialInstrumentsCreditimpairedMember</v>
      </c>
      <c r="S13" s="201" t="s">
        <v>746</v>
      </c>
      <c r="T13" s="206" t="str">
        <f t="shared" ref="T13:U13" si="4">S13</f>
        <v>full_ifrs-cor_2018-03-16.xsd#ifrs-full_CreditImpairmentOfFinancialInstrumentsMember</v>
      </c>
      <c r="U13" s="230" t="str">
        <f t="shared" si="4"/>
        <v>full_ifrs-cor_2018-03-16.xsd#ifrs-full_CreditImpairmentOfFinancialInstrumentsMember</v>
      </c>
    </row>
    <row r="14" spans="1:21" s="30" customFormat="1" ht="78" customHeight="1">
      <c r="A14" s="228"/>
      <c r="B14" s="229"/>
      <c r="C14" s="187"/>
      <c r="D14" s="187"/>
      <c r="E14" s="184"/>
      <c r="F14" s="198"/>
      <c r="G14" s="200" t="s">
        <v>730</v>
      </c>
      <c r="H14" s="205" t="s">
        <v>731</v>
      </c>
      <c r="I14" s="188" t="s">
        <v>732</v>
      </c>
      <c r="J14" s="200" t="s">
        <v>730</v>
      </c>
      <c r="K14" s="205" t="s">
        <v>731</v>
      </c>
      <c r="L14" s="188" t="s">
        <v>732</v>
      </c>
      <c r="M14" s="200" t="s">
        <v>730</v>
      </c>
      <c r="N14" s="205" t="s">
        <v>731</v>
      </c>
      <c r="O14" s="188" t="s">
        <v>732</v>
      </c>
      <c r="P14" s="200" t="s">
        <v>730</v>
      </c>
      <c r="Q14" s="205" t="s">
        <v>731</v>
      </c>
      <c r="R14" s="188" t="s">
        <v>732</v>
      </c>
      <c r="S14" s="200" t="s">
        <v>730</v>
      </c>
      <c r="T14" s="205" t="s">
        <v>731</v>
      </c>
      <c r="U14" s="231" t="s">
        <v>732</v>
      </c>
    </row>
    <row r="15" spans="1:21" s="30" customFormat="1" ht="57" hidden="1" customHeight="1">
      <c r="A15" s="62" t="s">
        <v>55</v>
      </c>
      <c r="B15" s="173"/>
      <c r="C15" s="174"/>
      <c r="D15" s="175"/>
      <c r="E15" s="73" t="s">
        <v>729</v>
      </c>
      <c r="F15" s="199"/>
      <c r="G15" s="201" t="s">
        <v>733</v>
      </c>
      <c r="H15" s="206" t="s">
        <v>734</v>
      </c>
      <c r="I15" s="204" t="s">
        <v>735</v>
      </c>
      <c r="J15" s="201" t="s">
        <v>733</v>
      </c>
      <c r="K15" s="206" t="s">
        <v>734</v>
      </c>
      <c r="L15" s="204" t="s">
        <v>735</v>
      </c>
      <c r="M15" s="201" t="s">
        <v>733</v>
      </c>
      <c r="N15" s="206" t="s">
        <v>734</v>
      </c>
      <c r="O15" s="204" t="s">
        <v>735</v>
      </c>
      <c r="P15" s="201" t="s">
        <v>733</v>
      </c>
      <c r="Q15" s="206" t="s">
        <v>734</v>
      </c>
      <c r="R15" s="204" t="s">
        <v>735</v>
      </c>
      <c r="S15" s="201" t="s">
        <v>733</v>
      </c>
      <c r="T15" s="206" t="s">
        <v>734</v>
      </c>
      <c r="U15" s="230" t="s">
        <v>735</v>
      </c>
    </row>
    <row r="16" spans="1:21" s="30" customFormat="1" ht="22.5" customHeight="1">
      <c r="A16" s="62"/>
      <c r="B16" s="173"/>
      <c r="C16" s="174"/>
      <c r="D16" s="175"/>
      <c r="E16" s="175"/>
      <c r="F16" s="299" t="s">
        <v>727</v>
      </c>
      <c r="G16" s="201"/>
      <c r="H16" s="206"/>
      <c r="I16" s="189"/>
      <c r="J16" s="201"/>
      <c r="K16" s="206"/>
      <c r="L16" s="189"/>
      <c r="M16" s="201"/>
      <c r="N16" s="206"/>
      <c r="O16" s="189"/>
      <c r="P16" s="201"/>
      <c r="Q16" s="206"/>
      <c r="R16" s="189"/>
      <c r="S16" s="201"/>
      <c r="T16" s="206"/>
      <c r="U16" s="176"/>
    </row>
    <row r="17" spans="1:21" s="30" customFormat="1" ht="15" customHeight="1">
      <c r="A17" s="190"/>
      <c r="B17" s="177"/>
      <c r="C17" s="121"/>
      <c r="D17" s="178"/>
      <c r="E17" s="73"/>
      <c r="F17" s="197" t="s">
        <v>758</v>
      </c>
      <c r="G17" s="202"/>
      <c r="H17" s="207"/>
      <c r="I17" s="192"/>
      <c r="J17" s="202"/>
      <c r="K17" s="207"/>
      <c r="L17" s="192"/>
      <c r="M17" s="202"/>
      <c r="N17" s="207"/>
      <c r="O17" s="192"/>
      <c r="P17" s="202"/>
      <c r="Q17" s="207"/>
      <c r="R17" s="192"/>
      <c r="S17" s="202"/>
      <c r="T17" s="207"/>
      <c r="U17" s="232"/>
    </row>
    <row r="18" spans="1:21" s="30" customFormat="1" ht="21" hidden="1" customHeight="1">
      <c r="A18" s="190"/>
      <c r="B18" s="173"/>
      <c r="C18" s="73" t="s">
        <v>750</v>
      </c>
      <c r="D18" s="73" t="s">
        <v>4</v>
      </c>
      <c r="E18" s="73"/>
      <c r="F18" s="196" t="s">
        <v>762</v>
      </c>
      <c r="G18" s="278" t="str">
        <f>$G7</f>
        <v>Contratos Garantía Financiera</v>
      </c>
      <c r="H18" s="276" t="str">
        <f t="shared" ref="H18:U20" si="5">$G7</f>
        <v>Contratos Garantía Financiera</v>
      </c>
      <c r="I18" s="277" t="str">
        <f t="shared" si="5"/>
        <v>Contratos Garantía Financiera</v>
      </c>
      <c r="J18" s="278" t="str">
        <f t="shared" si="5"/>
        <v>Contratos Garantía Financiera</v>
      </c>
      <c r="K18" s="276" t="str">
        <f t="shared" si="5"/>
        <v>Contratos Garantía Financiera</v>
      </c>
      <c r="L18" s="277" t="str">
        <f t="shared" si="5"/>
        <v>Contratos Garantía Financiera</v>
      </c>
      <c r="M18" s="278" t="str">
        <f t="shared" si="5"/>
        <v>Contratos Garantía Financiera</v>
      </c>
      <c r="N18" s="276" t="str">
        <f t="shared" si="5"/>
        <v>Contratos Garantía Financiera</v>
      </c>
      <c r="O18" s="277" t="str">
        <f t="shared" si="5"/>
        <v>Contratos Garantía Financiera</v>
      </c>
      <c r="P18" s="278" t="str">
        <f t="shared" si="5"/>
        <v>Contratos Garantía Financiera</v>
      </c>
      <c r="Q18" s="276" t="str">
        <f t="shared" si="5"/>
        <v>Contratos Garantía Financiera</v>
      </c>
      <c r="R18" s="277" t="str">
        <f t="shared" si="5"/>
        <v>Contratos Garantía Financiera</v>
      </c>
      <c r="S18" s="278" t="str">
        <f t="shared" si="5"/>
        <v>Contratos Garantía Financiera</v>
      </c>
      <c r="T18" s="276" t="str">
        <f t="shared" si="5"/>
        <v>Contratos Garantía Financiera</v>
      </c>
      <c r="U18" s="279" t="str">
        <f t="shared" si="5"/>
        <v>Contratos Garantía Financiera</v>
      </c>
    </row>
    <row r="19" spans="1:21" s="30" customFormat="1" ht="21.75" hidden="1" customHeight="1">
      <c r="A19" s="190"/>
      <c r="B19" s="173"/>
      <c r="C19" s="73" t="s">
        <v>751</v>
      </c>
      <c r="D19" s="73" t="s">
        <v>4</v>
      </c>
      <c r="E19" s="73"/>
      <c r="F19" s="196" t="s">
        <v>763</v>
      </c>
      <c r="G19" s="278" t="str">
        <f>$G8</f>
        <v>Pérdidas crediticias esperadas durante 12 meses</v>
      </c>
      <c r="H19" s="276" t="str">
        <f t="shared" si="5"/>
        <v>Pérdidas crediticias esperadas durante 12 meses</v>
      </c>
      <c r="I19" s="277" t="str">
        <f t="shared" si="5"/>
        <v>Pérdidas crediticias esperadas durante 12 meses</v>
      </c>
      <c r="J19" s="278" t="str">
        <f t="shared" si="5"/>
        <v>Pérdidas crediticias esperadas durante 12 meses</v>
      </c>
      <c r="K19" s="276" t="str">
        <f t="shared" si="5"/>
        <v>Pérdidas crediticias esperadas durante 12 meses</v>
      </c>
      <c r="L19" s="277" t="str">
        <f t="shared" si="5"/>
        <v>Pérdidas crediticias esperadas durante 12 meses</v>
      </c>
      <c r="M19" s="278" t="str">
        <f t="shared" si="5"/>
        <v>Pérdidas crediticias esperadas durante 12 meses</v>
      </c>
      <c r="N19" s="276" t="str">
        <f t="shared" si="5"/>
        <v>Pérdidas crediticias esperadas durante 12 meses</v>
      </c>
      <c r="O19" s="277" t="str">
        <f t="shared" si="5"/>
        <v>Pérdidas crediticias esperadas durante 12 meses</v>
      </c>
      <c r="P19" s="278" t="str">
        <f t="shared" si="5"/>
        <v>Pérdidas crediticias esperadas durante 12 meses</v>
      </c>
      <c r="Q19" s="276" t="str">
        <f t="shared" si="5"/>
        <v>Pérdidas crediticias esperadas durante 12 meses</v>
      </c>
      <c r="R19" s="277" t="str">
        <f t="shared" si="5"/>
        <v>Pérdidas crediticias esperadas durante 12 meses</v>
      </c>
      <c r="S19" s="278" t="str">
        <f t="shared" si="5"/>
        <v>Pérdidas crediticias esperadas durante 12 meses</v>
      </c>
      <c r="T19" s="276" t="str">
        <f t="shared" si="5"/>
        <v>Pérdidas crediticias esperadas durante 12 meses</v>
      </c>
      <c r="U19" s="279" t="str">
        <f t="shared" si="5"/>
        <v>Pérdidas crediticias esperadas durante 12 meses</v>
      </c>
    </row>
    <row r="20" spans="1:21" s="30" customFormat="1" ht="25.5" hidden="1" customHeight="1">
      <c r="A20" s="190"/>
      <c r="B20" s="173"/>
      <c r="C20" s="73" t="s">
        <v>752</v>
      </c>
      <c r="D20" s="73" t="s">
        <v>4</v>
      </c>
      <c r="E20" s="73"/>
      <c r="F20" s="196" t="s">
        <v>764</v>
      </c>
      <c r="G20" s="278" t="str">
        <f>$G9</f>
        <v>Pérdidas crediticias esperadas evaluadas de forma individual</v>
      </c>
      <c r="H20" s="276" t="str">
        <f t="shared" si="5"/>
        <v>Pérdidas crediticias esperadas evaluadas de forma individual</v>
      </c>
      <c r="I20" s="277" t="str">
        <f t="shared" si="5"/>
        <v>Pérdidas crediticias esperadas evaluadas de forma individual</v>
      </c>
      <c r="J20" s="278" t="str">
        <f t="shared" si="5"/>
        <v>Pérdidas crediticias esperadas evaluadas de forma individual</v>
      </c>
      <c r="K20" s="276" t="str">
        <f t="shared" si="5"/>
        <v>Pérdidas crediticias esperadas evaluadas de forma individual</v>
      </c>
      <c r="L20" s="277" t="str">
        <f t="shared" si="5"/>
        <v>Pérdidas crediticias esperadas evaluadas de forma individual</v>
      </c>
      <c r="M20" s="278" t="str">
        <f t="shared" si="5"/>
        <v>Pérdidas crediticias esperadas evaluadas de forma individual</v>
      </c>
      <c r="N20" s="276" t="str">
        <f t="shared" si="5"/>
        <v>Pérdidas crediticias esperadas evaluadas de forma individual</v>
      </c>
      <c r="O20" s="277" t="str">
        <f t="shared" si="5"/>
        <v>Pérdidas crediticias esperadas evaluadas de forma individual</v>
      </c>
      <c r="P20" s="278" t="str">
        <f t="shared" si="5"/>
        <v>Pérdidas crediticias esperadas evaluadas de forma individual</v>
      </c>
      <c r="Q20" s="276" t="str">
        <f t="shared" si="5"/>
        <v>Pérdidas crediticias esperadas evaluadas de forma individual</v>
      </c>
      <c r="R20" s="277" t="str">
        <f t="shared" si="5"/>
        <v>Pérdidas crediticias esperadas evaluadas de forma individual</v>
      </c>
      <c r="S20" s="278" t="str">
        <f t="shared" si="5"/>
        <v>Pérdidas crediticias esperadas evaluadas de forma individual</v>
      </c>
      <c r="T20" s="276" t="str">
        <f t="shared" si="5"/>
        <v>Pérdidas crediticias esperadas evaluadas de forma individual</v>
      </c>
      <c r="U20" s="279" t="str">
        <f t="shared" si="5"/>
        <v>Pérdidas crediticias esperadas evaluadas de forma individual</v>
      </c>
    </row>
    <row r="21" spans="1:21" s="30" customFormat="1" ht="21" customHeight="1">
      <c r="A21" s="190"/>
      <c r="B21" s="173"/>
      <c r="C21" s="73" t="s">
        <v>753</v>
      </c>
      <c r="D21" s="73" t="s">
        <v>4</v>
      </c>
      <c r="E21" s="73"/>
      <c r="F21" s="196" t="s">
        <v>759</v>
      </c>
      <c r="G21" s="215"/>
      <c r="H21" s="216"/>
      <c r="I21" s="217"/>
      <c r="J21" s="215"/>
      <c r="K21" s="216"/>
      <c r="L21" s="217"/>
      <c r="M21" s="215"/>
      <c r="N21" s="216"/>
      <c r="O21" s="217"/>
      <c r="P21" s="215"/>
      <c r="Q21" s="216"/>
      <c r="R21" s="217"/>
      <c r="S21" s="215"/>
      <c r="T21" s="216"/>
      <c r="U21" s="233"/>
    </row>
    <row r="22" spans="1:21" s="30" customFormat="1" ht="21.75" customHeight="1">
      <c r="A22" s="190"/>
      <c r="B22" s="173"/>
      <c r="C22" s="73" t="s">
        <v>754</v>
      </c>
      <c r="D22" s="73" t="s">
        <v>4</v>
      </c>
      <c r="E22" s="73"/>
      <c r="F22" s="196" t="s">
        <v>760</v>
      </c>
      <c r="G22" s="215"/>
      <c r="H22" s="216"/>
      <c r="I22" s="217"/>
      <c r="J22" s="215"/>
      <c r="K22" s="216"/>
      <c r="L22" s="217"/>
      <c r="M22" s="215"/>
      <c r="N22" s="216"/>
      <c r="O22" s="217"/>
      <c r="P22" s="215"/>
      <c r="Q22" s="216"/>
      <c r="R22" s="217"/>
      <c r="S22" s="215"/>
      <c r="T22" s="216"/>
      <c r="U22" s="233"/>
    </row>
    <row r="23" spans="1:21" s="30" customFormat="1" ht="25.5" customHeight="1">
      <c r="A23" s="190"/>
      <c r="B23" s="173"/>
      <c r="C23" s="73" t="s">
        <v>755</v>
      </c>
      <c r="D23" s="73" t="s">
        <v>4</v>
      </c>
      <c r="E23" s="73"/>
      <c r="F23" s="196" t="s">
        <v>761</v>
      </c>
      <c r="G23" s="215"/>
      <c r="H23" s="216"/>
      <c r="I23" s="217"/>
      <c r="J23" s="215"/>
      <c r="K23" s="216"/>
      <c r="L23" s="217"/>
      <c r="M23" s="215"/>
      <c r="N23" s="216"/>
      <c r="O23" s="217"/>
      <c r="P23" s="215"/>
      <c r="Q23" s="216"/>
      <c r="R23" s="217"/>
      <c r="S23" s="215"/>
      <c r="T23" s="216"/>
      <c r="U23" s="233"/>
    </row>
    <row r="24" spans="1:21" s="30" customFormat="1" ht="21.75" customHeight="1">
      <c r="A24" s="190"/>
      <c r="B24" s="173"/>
      <c r="C24" s="73" t="s">
        <v>756</v>
      </c>
      <c r="D24" s="73" t="s">
        <v>4</v>
      </c>
      <c r="E24" s="73"/>
      <c r="F24" s="196" t="s">
        <v>765</v>
      </c>
      <c r="G24" s="213"/>
      <c r="H24" s="214"/>
      <c r="I24" s="244">
        <f t="shared" ref="I24:I25" si="6">G24-H24</f>
        <v>0</v>
      </c>
      <c r="J24" s="213"/>
      <c r="K24" s="214"/>
      <c r="L24" s="244">
        <f t="shared" ref="L24:L25" si="7">J24-K24</f>
        <v>0</v>
      </c>
      <c r="M24" s="213"/>
      <c r="N24" s="214"/>
      <c r="O24" s="246">
        <f t="shared" ref="O24:O25" si="8">M24-N24</f>
        <v>0</v>
      </c>
      <c r="P24" s="244">
        <f t="shared" ref="P24:Q25" si="9">J24+M24</f>
        <v>0</v>
      </c>
      <c r="Q24" s="244">
        <f t="shared" si="9"/>
        <v>0</v>
      </c>
      <c r="R24" s="249">
        <f t="shared" ref="R24:R25" si="10">P24-Q24</f>
        <v>0</v>
      </c>
      <c r="S24" s="244">
        <f t="shared" ref="S24:T25" si="11">G24+P24</f>
        <v>0</v>
      </c>
      <c r="T24" s="244">
        <f t="shared" si="11"/>
        <v>0</v>
      </c>
      <c r="U24" s="251">
        <f t="shared" ref="U24:U25" si="12">S24-T24</f>
        <v>0</v>
      </c>
    </row>
    <row r="25" spans="1:21" s="30" customFormat="1" ht="25.5" customHeight="1">
      <c r="A25" s="190"/>
      <c r="B25" s="173"/>
      <c r="C25" s="73" t="s">
        <v>757</v>
      </c>
      <c r="D25" s="73" t="s">
        <v>4</v>
      </c>
      <c r="E25" s="73"/>
      <c r="F25" s="196" t="s">
        <v>782</v>
      </c>
      <c r="G25" s="213"/>
      <c r="H25" s="214"/>
      <c r="I25" s="244">
        <f t="shared" si="6"/>
        <v>0</v>
      </c>
      <c r="J25" s="213"/>
      <c r="K25" s="214"/>
      <c r="L25" s="244">
        <f t="shared" si="7"/>
        <v>0</v>
      </c>
      <c r="M25" s="213"/>
      <c r="N25" s="214"/>
      <c r="O25" s="246">
        <f t="shared" si="8"/>
        <v>0</v>
      </c>
      <c r="P25" s="244">
        <f t="shared" si="9"/>
        <v>0</v>
      </c>
      <c r="Q25" s="244">
        <f t="shared" si="9"/>
        <v>0</v>
      </c>
      <c r="R25" s="249">
        <f t="shared" si="10"/>
        <v>0</v>
      </c>
      <c r="S25" s="244">
        <f t="shared" si="11"/>
        <v>0</v>
      </c>
      <c r="T25" s="244">
        <f t="shared" si="11"/>
        <v>0</v>
      </c>
      <c r="U25" s="251">
        <f t="shared" si="12"/>
        <v>0</v>
      </c>
    </row>
    <row r="26" spans="1:21" s="30" customFormat="1" ht="15" customHeight="1">
      <c r="A26" s="190"/>
      <c r="B26" s="177"/>
      <c r="C26" s="121"/>
      <c r="D26" s="121"/>
      <c r="E26" s="121" t="s">
        <v>0</v>
      </c>
      <c r="F26" s="192" t="s">
        <v>0</v>
      </c>
      <c r="G26" s="202"/>
      <c r="H26" s="207"/>
      <c r="I26" s="192"/>
      <c r="J26" s="202"/>
      <c r="K26" s="207"/>
      <c r="L26" s="192"/>
      <c r="M26" s="202"/>
      <c r="N26" s="207"/>
      <c r="O26" s="192"/>
      <c r="P26" s="202"/>
      <c r="Q26" s="207"/>
      <c r="R26" s="192"/>
      <c r="S26" s="202"/>
      <c r="T26" s="207"/>
      <c r="U26" s="232"/>
    </row>
    <row r="27" spans="1:21" s="30" customFormat="1" ht="15" customHeight="1">
      <c r="A27" s="190"/>
      <c r="B27" s="177"/>
      <c r="C27" s="121"/>
      <c r="D27" s="121"/>
      <c r="E27" s="121"/>
      <c r="F27" s="192"/>
      <c r="G27" s="202"/>
      <c r="H27" s="207"/>
      <c r="I27" s="192"/>
      <c r="J27" s="202"/>
      <c r="K27" s="207"/>
      <c r="L27" s="192"/>
      <c r="M27" s="202"/>
      <c r="N27" s="207"/>
      <c r="O27" s="192"/>
      <c r="P27" s="202"/>
      <c r="Q27" s="207"/>
      <c r="R27" s="192"/>
      <c r="S27" s="202"/>
      <c r="T27" s="207"/>
      <c r="U27" s="232"/>
    </row>
    <row r="28" spans="1:21" s="30" customFormat="1" ht="15" customHeight="1">
      <c r="A28" s="190"/>
      <c r="B28" s="173"/>
      <c r="C28" s="174"/>
      <c r="D28" s="73"/>
      <c r="E28" s="73"/>
      <c r="F28" s="299" t="s">
        <v>728</v>
      </c>
      <c r="G28" s="202" t="s">
        <v>0</v>
      </c>
      <c r="H28" s="207" t="s">
        <v>0</v>
      </c>
      <c r="I28" s="192" t="s">
        <v>0</v>
      </c>
      <c r="J28" s="202" t="s">
        <v>0</v>
      </c>
      <c r="K28" s="207" t="s">
        <v>0</v>
      </c>
      <c r="L28" s="192" t="s">
        <v>0</v>
      </c>
      <c r="M28" s="202" t="s">
        <v>0</v>
      </c>
      <c r="N28" s="207" t="s">
        <v>0</v>
      </c>
      <c r="O28" s="192" t="s">
        <v>0</v>
      </c>
      <c r="P28" s="202" t="s">
        <v>0</v>
      </c>
      <c r="Q28" s="207" t="s">
        <v>0</v>
      </c>
      <c r="R28" s="192" t="s">
        <v>0</v>
      </c>
      <c r="S28" s="202" t="s">
        <v>0</v>
      </c>
      <c r="T28" s="207" t="s">
        <v>0</v>
      </c>
      <c r="U28" s="232" t="s">
        <v>0</v>
      </c>
    </row>
    <row r="29" spans="1:21" s="30" customFormat="1" ht="15" customHeight="1">
      <c r="A29" s="190"/>
      <c r="B29" s="177"/>
      <c r="C29" s="121"/>
      <c r="D29" s="178"/>
      <c r="E29" s="73"/>
      <c r="F29" s="197" t="s">
        <v>758</v>
      </c>
      <c r="G29" s="202"/>
      <c r="H29" s="207"/>
      <c r="I29" s="192"/>
      <c r="J29" s="202"/>
      <c r="K29" s="207"/>
      <c r="L29" s="192"/>
      <c r="M29" s="202"/>
      <c r="N29" s="207"/>
      <c r="O29" s="192"/>
      <c r="P29" s="202"/>
      <c r="Q29" s="207"/>
      <c r="R29" s="192"/>
      <c r="S29" s="202"/>
      <c r="T29" s="207"/>
      <c r="U29" s="232"/>
    </row>
    <row r="30" spans="1:21" s="30" customFormat="1" ht="21" hidden="1" customHeight="1">
      <c r="A30" s="190"/>
      <c r="B30" s="173"/>
      <c r="C30" s="73" t="s">
        <v>750</v>
      </c>
      <c r="D30" s="73" t="s">
        <v>47</v>
      </c>
      <c r="E30" s="73"/>
      <c r="F30" s="196" t="s">
        <v>762</v>
      </c>
      <c r="G30" s="278" t="str">
        <f>$G7</f>
        <v>Contratos Garantía Financiera</v>
      </c>
      <c r="H30" s="276" t="str">
        <f t="shared" ref="H30:U30" si="13">$G7</f>
        <v>Contratos Garantía Financiera</v>
      </c>
      <c r="I30" s="277" t="str">
        <f t="shared" si="13"/>
        <v>Contratos Garantía Financiera</v>
      </c>
      <c r="J30" s="278" t="str">
        <f t="shared" si="13"/>
        <v>Contratos Garantía Financiera</v>
      </c>
      <c r="K30" s="276" t="str">
        <f t="shared" si="13"/>
        <v>Contratos Garantía Financiera</v>
      </c>
      <c r="L30" s="277" t="str">
        <f t="shared" si="13"/>
        <v>Contratos Garantía Financiera</v>
      </c>
      <c r="M30" s="278" t="str">
        <f t="shared" si="13"/>
        <v>Contratos Garantía Financiera</v>
      </c>
      <c r="N30" s="276" t="str">
        <f t="shared" si="13"/>
        <v>Contratos Garantía Financiera</v>
      </c>
      <c r="O30" s="277" t="str">
        <f t="shared" si="13"/>
        <v>Contratos Garantía Financiera</v>
      </c>
      <c r="P30" s="278" t="str">
        <f t="shared" si="13"/>
        <v>Contratos Garantía Financiera</v>
      </c>
      <c r="Q30" s="276" t="str">
        <f t="shared" si="13"/>
        <v>Contratos Garantía Financiera</v>
      </c>
      <c r="R30" s="277" t="str">
        <f t="shared" si="13"/>
        <v>Contratos Garantía Financiera</v>
      </c>
      <c r="S30" s="278" t="str">
        <f t="shared" si="13"/>
        <v>Contratos Garantía Financiera</v>
      </c>
      <c r="T30" s="276" t="str">
        <f t="shared" si="13"/>
        <v>Contratos Garantía Financiera</v>
      </c>
      <c r="U30" s="279" t="str">
        <f t="shared" si="13"/>
        <v>Contratos Garantía Financiera</v>
      </c>
    </row>
    <row r="31" spans="1:21" s="30" customFormat="1" ht="21.75" hidden="1" customHeight="1">
      <c r="A31" s="190"/>
      <c r="B31" s="173"/>
      <c r="C31" s="73" t="s">
        <v>751</v>
      </c>
      <c r="D31" s="73" t="s">
        <v>47</v>
      </c>
      <c r="E31" s="73"/>
      <c r="F31" s="196" t="s">
        <v>763</v>
      </c>
      <c r="G31" s="278" t="str">
        <f>$G8</f>
        <v>Pérdidas crediticias esperadas durante 12 meses</v>
      </c>
      <c r="H31" s="276" t="str">
        <f t="shared" ref="H31:U31" si="14">$G8</f>
        <v>Pérdidas crediticias esperadas durante 12 meses</v>
      </c>
      <c r="I31" s="277" t="str">
        <f t="shared" si="14"/>
        <v>Pérdidas crediticias esperadas durante 12 meses</v>
      </c>
      <c r="J31" s="278" t="str">
        <f t="shared" si="14"/>
        <v>Pérdidas crediticias esperadas durante 12 meses</v>
      </c>
      <c r="K31" s="276" t="str">
        <f t="shared" si="14"/>
        <v>Pérdidas crediticias esperadas durante 12 meses</v>
      </c>
      <c r="L31" s="277" t="str">
        <f t="shared" si="14"/>
        <v>Pérdidas crediticias esperadas durante 12 meses</v>
      </c>
      <c r="M31" s="278" t="str">
        <f t="shared" si="14"/>
        <v>Pérdidas crediticias esperadas durante 12 meses</v>
      </c>
      <c r="N31" s="276" t="str">
        <f t="shared" si="14"/>
        <v>Pérdidas crediticias esperadas durante 12 meses</v>
      </c>
      <c r="O31" s="277" t="str">
        <f t="shared" si="14"/>
        <v>Pérdidas crediticias esperadas durante 12 meses</v>
      </c>
      <c r="P31" s="278" t="str">
        <f t="shared" si="14"/>
        <v>Pérdidas crediticias esperadas durante 12 meses</v>
      </c>
      <c r="Q31" s="276" t="str">
        <f t="shared" si="14"/>
        <v>Pérdidas crediticias esperadas durante 12 meses</v>
      </c>
      <c r="R31" s="277" t="str">
        <f t="shared" si="14"/>
        <v>Pérdidas crediticias esperadas durante 12 meses</v>
      </c>
      <c r="S31" s="278" t="str">
        <f t="shared" si="14"/>
        <v>Pérdidas crediticias esperadas durante 12 meses</v>
      </c>
      <c r="T31" s="276" t="str">
        <f t="shared" si="14"/>
        <v>Pérdidas crediticias esperadas durante 12 meses</v>
      </c>
      <c r="U31" s="279" t="str">
        <f t="shared" si="14"/>
        <v>Pérdidas crediticias esperadas durante 12 meses</v>
      </c>
    </row>
    <row r="32" spans="1:21" s="30" customFormat="1" ht="25.5" hidden="1" customHeight="1">
      <c r="A32" s="190"/>
      <c r="B32" s="173"/>
      <c r="C32" s="73" t="s">
        <v>752</v>
      </c>
      <c r="D32" s="73" t="s">
        <v>47</v>
      </c>
      <c r="E32" s="73"/>
      <c r="F32" s="196" t="s">
        <v>764</v>
      </c>
      <c r="G32" s="278" t="str">
        <f>$G9</f>
        <v>Pérdidas crediticias esperadas evaluadas de forma individual</v>
      </c>
      <c r="H32" s="276" t="str">
        <f t="shared" ref="H32:U32" si="15">$G9</f>
        <v>Pérdidas crediticias esperadas evaluadas de forma individual</v>
      </c>
      <c r="I32" s="277" t="str">
        <f t="shared" si="15"/>
        <v>Pérdidas crediticias esperadas evaluadas de forma individual</v>
      </c>
      <c r="J32" s="278" t="str">
        <f t="shared" si="15"/>
        <v>Pérdidas crediticias esperadas evaluadas de forma individual</v>
      </c>
      <c r="K32" s="276" t="str">
        <f t="shared" si="15"/>
        <v>Pérdidas crediticias esperadas evaluadas de forma individual</v>
      </c>
      <c r="L32" s="277" t="str">
        <f t="shared" si="15"/>
        <v>Pérdidas crediticias esperadas evaluadas de forma individual</v>
      </c>
      <c r="M32" s="278" t="str">
        <f t="shared" si="15"/>
        <v>Pérdidas crediticias esperadas evaluadas de forma individual</v>
      </c>
      <c r="N32" s="276" t="str">
        <f t="shared" si="15"/>
        <v>Pérdidas crediticias esperadas evaluadas de forma individual</v>
      </c>
      <c r="O32" s="277" t="str">
        <f t="shared" si="15"/>
        <v>Pérdidas crediticias esperadas evaluadas de forma individual</v>
      </c>
      <c r="P32" s="278" t="str">
        <f t="shared" si="15"/>
        <v>Pérdidas crediticias esperadas evaluadas de forma individual</v>
      </c>
      <c r="Q32" s="276" t="str">
        <f t="shared" si="15"/>
        <v>Pérdidas crediticias esperadas evaluadas de forma individual</v>
      </c>
      <c r="R32" s="277" t="str">
        <f t="shared" si="15"/>
        <v>Pérdidas crediticias esperadas evaluadas de forma individual</v>
      </c>
      <c r="S32" s="278" t="str">
        <f t="shared" si="15"/>
        <v>Pérdidas crediticias esperadas evaluadas de forma individual</v>
      </c>
      <c r="T32" s="276" t="str">
        <f t="shared" si="15"/>
        <v>Pérdidas crediticias esperadas evaluadas de forma individual</v>
      </c>
      <c r="U32" s="279" t="str">
        <f t="shared" si="15"/>
        <v>Pérdidas crediticias esperadas evaluadas de forma individual</v>
      </c>
    </row>
    <row r="33" spans="1:21" s="30" customFormat="1" ht="21" customHeight="1">
      <c r="A33" s="190"/>
      <c r="B33" s="173"/>
      <c r="C33" s="73" t="s">
        <v>753</v>
      </c>
      <c r="D33" s="73" t="s">
        <v>47</v>
      </c>
      <c r="E33" s="73"/>
      <c r="F33" s="196" t="s">
        <v>759</v>
      </c>
      <c r="G33" s="215"/>
      <c r="H33" s="216"/>
      <c r="I33" s="217"/>
      <c r="J33" s="215"/>
      <c r="K33" s="216"/>
      <c r="L33" s="217"/>
      <c r="M33" s="215"/>
      <c r="N33" s="216"/>
      <c r="O33" s="217"/>
      <c r="P33" s="215"/>
      <c r="Q33" s="216"/>
      <c r="R33" s="217"/>
      <c r="S33" s="215"/>
      <c r="T33" s="216"/>
      <c r="U33" s="233"/>
    </row>
    <row r="34" spans="1:21" s="30" customFormat="1" ht="21.75" customHeight="1">
      <c r="A34" s="190"/>
      <c r="B34" s="173"/>
      <c r="C34" s="73" t="s">
        <v>754</v>
      </c>
      <c r="D34" s="73" t="s">
        <v>47</v>
      </c>
      <c r="E34" s="73"/>
      <c r="F34" s="196" t="s">
        <v>760</v>
      </c>
      <c r="G34" s="215"/>
      <c r="H34" s="216"/>
      <c r="I34" s="217"/>
      <c r="J34" s="215"/>
      <c r="K34" s="216"/>
      <c r="L34" s="217"/>
      <c r="M34" s="215"/>
      <c r="N34" s="216"/>
      <c r="O34" s="217"/>
      <c r="P34" s="215"/>
      <c r="Q34" s="216"/>
      <c r="R34" s="217"/>
      <c r="S34" s="215"/>
      <c r="T34" s="216"/>
      <c r="U34" s="233"/>
    </row>
    <row r="35" spans="1:21" s="30" customFormat="1" ht="25.5" customHeight="1">
      <c r="A35" s="190"/>
      <c r="B35" s="173"/>
      <c r="C35" s="73" t="s">
        <v>755</v>
      </c>
      <c r="D35" s="73" t="s">
        <v>47</v>
      </c>
      <c r="E35" s="73"/>
      <c r="F35" s="196" t="s">
        <v>761</v>
      </c>
      <c r="G35" s="215"/>
      <c r="H35" s="216"/>
      <c r="I35" s="217"/>
      <c r="J35" s="215"/>
      <c r="K35" s="216"/>
      <c r="L35" s="217"/>
      <c r="M35" s="215"/>
      <c r="N35" s="216"/>
      <c r="O35" s="217"/>
      <c r="P35" s="215"/>
      <c r="Q35" s="216"/>
      <c r="R35" s="217"/>
      <c r="S35" s="215"/>
      <c r="T35" s="216"/>
      <c r="U35" s="233"/>
    </row>
    <row r="36" spans="1:21" s="30" customFormat="1" ht="21.75" customHeight="1">
      <c r="A36" s="190" t="s">
        <v>48</v>
      </c>
      <c r="B36" s="173"/>
      <c r="C36" s="73" t="s">
        <v>756</v>
      </c>
      <c r="D36" s="73" t="s">
        <v>4</v>
      </c>
      <c r="E36" s="73"/>
      <c r="F36" s="196" t="s">
        <v>765</v>
      </c>
      <c r="G36" s="213"/>
      <c r="H36" s="214"/>
      <c r="I36" s="244">
        <f t="shared" ref="I36:I37" si="16">G36-H36</f>
        <v>0</v>
      </c>
      <c r="J36" s="213"/>
      <c r="K36" s="214"/>
      <c r="L36" s="244">
        <f t="shared" ref="L36:L37" si="17">J36-K36</f>
        <v>0</v>
      </c>
      <c r="M36" s="213"/>
      <c r="N36" s="214"/>
      <c r="O36" s="246">
        <f t="shared" ref="O36:O37" si="18">M36-N36</f>
        <v>0</v>
      </c>
      <c r="P36" s="244">
        <f t="shared" ref="P36:P37" si="19">J36+M36</f>
        <v>0</v>
      </c>
      <c r="Q36" s="244">
        <f t="shared" ref="Q36:Q37" si="20">K36+N36</f>
        <v>0</v>
      </c>
      <c r="R36" s="249">
        <f t="shared" ref="R36:R37" si="21">P36-Q36</f>
        <v>0</v>
      </c>
      <c r="S36" s="244">
        <f t="shared" ref="S36:S37" si="22">G36+P36</f>
        <v>0</v>
      </c>
      <c r="T36" s="244">
        <f t="shared" ref="T36:T37" si="23">H36+Q36</f>
        <v>0</v>
      </c>
      <c r="U36" s="251">
        <f t="shared" ref="U36:U37" si="24">S36-T36</f>
        <v>0</v>
      </c>
    </row>
    <row r="37" spans="1:21" s="30" customFormat="1" ht="25.5" customHeight="1">
      <c r="A37" s="190" t="s">
        <v>48</v>
      </c>
      <c r="B37" s="173"/>
      <c r="C37" s="73" t="s">
        <v>757</v>
      </c>
      <c r="D37" s="73" t="s">
        <v>4</v>
      </c>
      <c r="E37" s="73"/>
      <c r="F37" s="196" t="s">
        <v>782</v>
      </c>
      <c r="G37" s="213"/>
      <c r="H37" s="214"/>
      <c r="I37" s="244">
        <f t="shared" si="16"/>
        <v>0</v>
      </c>
      <c r="J37" s="213"/>
      <c r="K37" s="214"/>
      <c r="L37" s="244">
        <f t="shared" si="17"/>
        <v>0</v>
      </c>
      <c r="M37" s="213"/>
      <c r="N37" s="214"/>
      <c r="O37" s="246">
        <f t="shared" si="18"/>
        <v>0</v>
      </c>
      <c r="P37" s="244">
        <f t="shared" si="19"/>
        <v>0</v>
      </c>
      <c r="Q37" s="244">
        <f t="shared" si="20"/>
        <v>0</v>
      </c>
      <c r="R37" s="249">
        <f t="shared" si="21"/>
        <v>0</v>
      </c>
      <c r="S37" s="244">
        <f t="shared" si="22"/>
        <v>0</v>
      </c>
      <c r="T37" s="244">
        <f t="shared" si="23"/>
        <v>0</v>
      </c>
      <c r="U37" s="251">
        <f t="shared" si="24"/>
        <v>0</v>
      </c>
    </row>
    <row r="38" spans="1:21" ht="15.75" thickBot="1">
      <c r="A38" s="190"/>
      <c r="B38" s="180"/>
      <c r="C38" s="181"/>
      <c r="D38" s="181"/>
      <c r="E38" s="181" t="s">
        <v>0</v>
      </c>
      <c r="F38" s="234" t="s">
        <v>0</v>
      </c>
      <c r="G38" s="235"/>
      <c r="H38" s="236"/>
      <c r="I38" s="234"/>
      <c r="J38" s="235"/>
      <c r="K38" s="236"/>
      <c r="L38" s="234"/>
      <c r="M38" s="235"/>
      <c r="N38" s="236"/>
      <c r="O38" s="234"/>
      <c r="P38" s="235"/>
      <c r="Q38" s="236"/>
      <c r="R38" s="234"/>
      <c r="S38" s="235"/>
      <c r="T38" s="236"/>
      <c r="U38" s="182"/>
    </row>
    <row r="39" spans="1:21" ht="15.75" thickBot="1"/>
    <row r="40" spans="1:21" ht="15.75" thickBot="1">
      <c r="B40" s="265"/>
      <c r="C40" s="266"/>
      <c r="D40" s="266"/>
      <c r="E40" s="266"/>
      <c r="F40" s="333" t="s">
        <v>862</v>
      </c>
      <c r="G40" s="334"/>
      <c r="H40" s="334"/>
      <c r="I40" s="335"/>
      <c r="J40" s="266"/>
      <c r="K40" s="266"/>
      <c r="L40" s="266"/>
      <c r="M40" s="266"/>
      <c r="N40" s="266"/>
      <c r="O40" s="266"/>
      <c r="P40" s="266"/>
      <c r="Q40" s="266"/>
      <c r="R40" s="266"/>
      <c r="S40" s="266"/>
      <c r="T40" s="266"/>
      <c r="U40" s="267"/>
    </row>
    <row r="41" spans="1:21">
      <c r="B41" s="268"/>
      <c r="F41" s="269" t="s">
        <v>762</v>
      </c>
      <c r="G41" s="336" t="s">
        <v>768</v>
      </c>
      <c r="H41" s="337"/>
      <c r="I41" s="338"/>
      <c r="U41" s="270"/>
    </row>
    <row r="42" spans="1:21">
      <c r="B42" s="268"/>
      <c r="F42" s="271" t="s">
        <v>763</v>
      </c>
      <c r="G42" s="339" t="s">
        <v>778</v>
      </c>
      <c r="H42" s="340"/>
      <c r="I42" s="341"/>
      <c r="U42" s="270"/>
    </row>
    <row r="43" spans="1:21" ht="15.75" thickBot="1">
      <c r="B43" s="268"/>
      <c r="F43" s="272" t="s">
        <v>764</v>
      </c>
      <c r="G43" s="339" t="s">
        <v>781</v>
      </c>
      <c r="H43" s="340"/>
      <c r="I43" s="341"/>
      <c r="U43" s="270"/>
    </row>
    <row r="44" spans="1:21" s="30" customFormat="1" ht="25.5" customHeight="1" thickBot="1">
      <c r="A44" s="163" t="s">
        <v>54</v>
      </c>
      <c r="B44" s="164"/>
      <c r="C44" s="165"/>
      <c r="D44" s="165"/>
      <c r="E44" s="165"/>
      <c r="F44" s="166" t="s">
        <v>784</v>
      </c>
      <c r="G44" s="342" t="str">
        <f>IF(ISERROR(CONCATENATE(VLOOKUP($G41,Hoja1!$C$1:$G$12,5,FALSE),"_",VLOOKUP($G42,Hoja1!$D$1:$H$2,5,FALSE),"_",VLOOKUP($G43,Hoja1!$E$1:$I$2,5,FALSE))),"Elija un valor para cada elemento en el bloque superior o elimine este bloque",CONCATENATE($G41,", ",$G42,", ",$G43))</f>
        <v>Deudores por operaciones de crédito, Pérdidas crediticias esperadas durante 12 meses, Pérdidas crediticias esperadas evaluadas de forma colectiva</v>
      </c>
      <c r="H44" s="343"/>
      <c r="I44" s="343"/>
      <c r="J44" s="343"/>
      <c r="K44" s="343"/>
      <c r="L44" s="343"/>
      <c r="M44" s="343"/>
      <c r="N44" s="343"/>
      <c r="O44" s="343"/>
      <c r="P44" s="343"/>
      <c r="Q44" s="343"/>
      <c r="R44" s="343"/>
      <c r="S44" s="343"/>
      <c r="T44" s="343"/>
      <c r="U44" s="344"/>
    </row>
    <row r="45" spans="1:21" s="30" customFormat="1" ht="158.25" hidden="1" customHeight="1">
      <c r="A45" s="163" t="s">
        <v>55</v>
      </c>
      <c r="B45" s="167"/>
      <c r="C45" s="168"/>
      <c r="D45" s="168" t="s">
        <v>783</v>
      </c>
      <c r="E45" s="169" t="s">
        <v>747</v>
      </c>
      <c r="F45" s="170"/>
      <c r="G45" s="171" t="str">
        <f>CONCATENATE("IFRS7-ExpoRiesCred_",VLOOKUP($G41,Hoja1!$C$1:$G$12,5,FALSE),"_",VLOOKUP($G42,Hoja1!$D$1:$H$2,5,FALSE),"_",VLOOKUP($G43,Hoja1!$E$1:$I$2,5,FALSE),"_0","|",$G44)</f>
        <v>IFRS7-ExpoRiesCred_DeudOperCred_PerdCred12Me_PerdCredCole_0|Deudores por operaciones de crédito, Pérdidas crediticias esperadas durante 12 meses, Pérdidas crediticias esperadas evaluadas de forma colectiva</v>
      </c>
      <c r="H45" s="171" t="str">
        <f>G45</f>
        <v>IFRS7-ExpoRiesCred_DeudOperCred_PerdCred12Me_PerdCredCole_0|Deudores por operaciones de crédito, Pérdidas crediticias esperadas durante 12 meses, Pérdidas crediticias esperadas evaluadas de forma colectiva</v>
      </c>
      <c r="I45" s="172" t="str">
        <f t="shared" ref="I45" si="25">H45</f>
        <v>IFRS7-ExpoRiesCred_DeudOperCred_PerdCred12Me_PerdCredCole_0|Deudores por operaciones de crédito, Pérdidas crediticias esperadas durante 12 meses, Pérdidas crediticias esperadas evaluadas de forma colectiva</v>
      </c>
      <c r="J45" s="171" t="str">
        <f t="shared" ref="J45" si="26">I45</f>
        <v>IFRS7-ExpoRiesCred_DeudOperCred_PerdCred12Me_PerdCredCole_0|Deudores por operaciones de crédito, Pérdidas crediticias esperadas durante 12 meses, Pérdidas crediticias esperadas evaluadas de forma colectiva</v>
      </c>
      <c r="K45" s="171" t="str">
        <f t="shared" ref="K45" si="27">J45</f>
        <v>IFRS7-ExpoRiesCred_DeudOperCred_PerdCred12Me_PerdCredCole_0|Deudores por operaciones de crédito, Pérdidas crediticias esperadas durante 12 meses, Pérdidas crediticias esperadas evaluadas de forma colectiva</v>
      </c>
      <c r="L45" s="172" t="str">
        <f t="shared" ref="L45" si="28">K45</f>
        <v>IFRS7-ExpoRiesCred_DeudOperCred_PerdCred12Me_PerdCredCole_0|Deudores por operaciones de crédito, Pérdidas crediticias esperadas durante 12 meses, Pérdidas crediticias esperadas evaluadas de forma colectiva</v>
      </c>
      <c r="M45" s="171" t="str">
        <f t="shared" ref="M45" si="29">L45</f>
        <v>IFRS7-ExpoRiesCred_DeudOperCred_PerdCred12Me_PerdCredCole_0|Deudores por operaciones de crédito, Pérdidas crediticias esperadas durante 12 meses, Pérdidas crediticias esperadas evaluadas de forma colectiva</v>
      </c>
      <c r="N45" s="171" t="str">
        <f t="shared" ref="N45" si="30">M45</f>
        <v>IFRS7-ExpoRiesCred_DeudOperCred_PerdCred12Me_PerdCredCole_0|Deudores por operaciones de crédito, Pérdidas crediticias esperadas durante 12 meses, Pérdidas crediticias esperadas evaluadas de forma colectiva</v>
      </c>
      <c r="O45" s="172" t="str">
        <f t="shared" ref="O45" si="31">N45</f>
        <v>IFRS7-ExpoRiesCred_DeudOperCred_PerdCred12Me_PerdCredCole_0|Deudores por operaciones de crédito, Pérdidas crediticias esperadas durante 12 meses, Pérdidas crediticias esperadas evaluadas de forma colectiva</v>
      </c>
      <c r="P45" s="171" t="str">
        <f t="shared" ref="P45" si="32">O45</f>
        <v>IFRS7-ExpoRiesCred_DeudOperCred_PerdCred12Me_PerdCredCole_0|Deudores por operaciones de crédito, Pérdidas crediticias esperadas durante 12 meses, Pérdidas crediticias esperadas evaluadas de forma colectiva</v>
      </c>
      <c r="Q45" s="171" t="str">
        <f t="shared" ref="Q45" si="33">P45</f>
        <v>IFRS7-ExpoRiesCred_DeudOperCred_PerdCred12Me_PerdCredCole_0|Deudores por operaciones de crédito, Pérdidas crediticias esperadas durante 12 meses, Pérdidas crediticias esperadas evaluadas de forma colectiva</v>
      </c>
      <c r="R45" s="172" t="str">
        <f t="shared" ref="R45" si="34">Q45</f>
        <v>IFRS7-ExpoRiesCred_DeudOperCred_PerdCred12Me_PerdCredCole_0|Deudores por operaciones de crédito, Pérdidas crediticias esperadas durante 12 meses, Pérdidas crediticias esperadas evaluadas de forma colectiva</v>
      </c>
      <c r="S45" s="171" t="str">
        <f t="shared" ref="S45" si="35">R45</f>
        <v>IFRS7-ExpoRiesCred_DeudOperCred_PerdCred12Me_PerdCredCole_0|Deudores por operaciones de crédito, Pérdidas crediticias esperadas durante 12 meses, Pérdidas crediticias esperadas evaluadas de forma colectiva</v>
      </c>
      <c r="T45" s="171" t="str">
        <f t="shared" ref="T45" si="36">S45</f>
        <v>IFRS7-ExpoRiesCred_DeudOperCred_PerdCred12Me_PerdCredCole_0|Deudores por operaciones de crédito, Pérdidas crediticias esperadas durante 12 meses, Pérdidas crediticias esperadas evaluadas de forma colectiva</v>
      </c>
      <c r="U45" s="172" t="str">
        <f t="shared" ref="U45" si="37">T45</f>
        <v>IFRS7-ExpoRiesCred_DeudOperCred_PerdCred12Me_PerdCredCole_0|Deudores por operaciones de crédito, Pérdidas crediticias esperadas durante 12 meses, Pérdidas crediticias esperadas evaluadas de forma colectiva</v>
      </c>
    </row>
    <row r="46" spans="1:21" s="30" customFormat="1" ht="78" customHeight="1">
      <c r="A46" s="228"/>
      <c r="B46" s="229"/>
      <c r="C46" s="187"/>
      <c r="D46" s="187"/>
      <c r="E46" s="184"/>
      <c r="F46" s="198"/>
      <c r="G46" s="329" t="s">
        <v>737</v>
      </c>
      <c r="H46" s="330"/>
      <c r="I46" s="331"/>
      <c r="J46" s="329" t="s">
        <v>738</v>
      </c>
      <c r="K46" s="330"/>
      <c r="L46" s="331"/>
      <c r="M46" s="329" t="s">
        <v>739</v>
      </c>
      <c r="N46" s="330"/>
      <c r="O46" s="331"/>
      <c r="P46" s="329" t="s">
        <v>740</v>
      </c>
      <c r="Q46" s="330"/>
      <c r="R46" s="331"/>
      <c r="S46" s="329" t="s">
        <v>741</v>
      </c>
      <c r="T46" s="330"/>
      <c r="U46" s="332"/>
    </row>
    <row r="47" spans="1:21" s="30" customFormat="1" ht="57" hidden="1" customHeight="1">
      <c r="A47" s="62" t="s">
        <v>55</v>
      </c>
      <c r="B47" s="173"/>
      <c r="C47" s="174"/>
      <c r="D47" s="175"/>
      <c r="E47" s="73" t="s">
        <v>736</v>
      </c>
      <c r="F47" s="199"/>
      <c r="G47" s="201" t="s">
        <v>742</v>
      </c>
      <c r="H47" s="206" t="str">
        <f>G47</f>
        <v>full_ifrs-cor_2018-03-16.xsd#ifrs-full_FinancialInstrumentsNotCreditimpairedMember</v>
      </c>
      <c r="I47" s="204" t="str">
        <f>H47</f>
        <v>full_ifrs-cor_2018-03-16.xsd#ifrs-full_FinancialInstrumentsNotCreditimpairedMember</v>
      </c>
      <c r="J47" s="201" t="s">
        <v>743</v>
      </c>
      <c r="K47" s="206" t="str">
        <f t="shared" ref="K47" si="38">J47</f>
        <v>full_ifrs-cor_2018-03-16.xsd#ifrs-full_FinancialInstrumentsPurchasedOrOriginatedCreditimpairedMember</v>
      </c>
      <c r="L47" s="204" t="str">
        <f t="shared" ref="L47" si="39">K47</f>
        <v>full_ifrs-cor_2018-03-16.xsd#ifrs-full_FinancialInstrumentsPurchasedOrOriginatedCreditimpairedMember</v>
      </c>
      <c r="M47" s="201" t="s">
        <v>744</v>
      </c>
      <c r="N47" s="206" t="str">
        <f t="shared" ref="N47" si="40">M47</f>
        <v>full_ifrs-cor_2018-03-16.xsd#ifrs-full_FinancialInstrumentsCreditimpairedAfterPurchaseOrOriginationMember</v>
      </c>
      <c r="O47" s="204" t="str">
        <f t="shared" ref="O47" si="41">N47</f>
        <v>full_ifrs-cor_2018-03-16.xsd#ifrs-full_FinancialInstrumentsCreditimpairedAfterPurchaseOrOriginationMember</v>
      </c>
      <c r="P47" s="201" t="s">
        <v>745</v>
      </c>
      <c r="Q47" s="206" t="str">
        <f t="shared" ref="Q47" si="42">P47</f>
        <v>full_ifrs-cor_2018-03-16.xsd#ifrs-full_FinancialInstrumentsCreditimpairedMember</v>
      </c>
      <c r="R47" s="204" t="str">
        <f t="shared" ref="R47" si="43">Q47</f>
        <v>full_ifrs-cor_2018-03-16.xsd#ifrs-full_FinancialInstrumentsCreditimpairedMember</v>
      </c>
      <c r="S47" s="201" t="s">
        <v>746</v>
      </c>
      <c r="T47" s="206" t="str">
        <f t="shared" ref="T47" si="44">S47</f>
        <v>full_ifrs-cor_2018-03-16.xsd#ifrs-full_CreditImpairmentOfFinancialInstrumentsMember</v>
      </c>
      <c r="U47" s="230" t="str">
        <f t="shared" ref="U47" si="45">T47</f>
        <v>full_ifrs-cor_2018-03-16.xsd#ifrs-full_CreditImpairmentOfFinancialInstrumentsMember</v>
      </c>
    </row>
    <row r="48" spans="1:21" s="30" customFormat="1" ht="78" customHeight="1">
      <c r="A48" s="228"/>
      <c r="B48" s="229"/>
      <c r="C48" s="187"/>
      <c r="D48" s="187"/>
      <c r="E48" s="184"/>
      <c r="F48" s="198"/>
      <c r="G48" s="200" t="s">
        <v>730</v>
      </c>
      <c r="H48" s="205" t="s">
        <v>731</v>
      </c>
      <c r="I48" s="188" t="s">
        <v>732</v>
      </c>
      <c r="J48" s="200" t="s">
        <v>730</v>
      </c>
      <c r="K48" s="205" t="s">
        <v>731</v>
      </c>
      <c r="L48" s="188" t="s">
        <v>732</v>
      </c>
      <c r="M48" s="200" t="s">
        <v>730</v>
      </c>
      <c r="N48" s="205" t="s">
        <v>731</v>
      </c>
      <c r="O48" s="188" t="s">
        <v>732</v>
      </c>
      <c r="P48" s="200" t="s">
        <v>730</v>
      </c>
      <c r="Q48" s="205" t="s">
        <v>731</v>
      </c>
      <c r="R48" s="188" t="s">
        <v>732</v>
      </c>
      <c r="S48" s="200" t="s">
        <v>730</v>
      </c>
      <c r="T48" s="205" t="s">
        <v>731</v>
      </c>
      <c r="U48" s="231" t="s">
        <v>732</v>
      </c>
    </row>
    <row r="49" spans="1:21" s="30" customFormat="1" ht="57" hidden="1" customHeight="1">
      <c r="A49" s="62" t="s">
        <v>55</v>
      </c>
      <c r="B49" s="173"/>
      <c r="C49" s="174"/>
      <c r="D49" s="175"/>
      <c r="E49" s="73" t="s">
        <v>729</v>
      </c>
      <c r="F49" s="199"/>
      <c r="G49" s="201" t="s">
        <v>733</v>
      </c>
      <c r="H49" s="206" t="s">
        <v>734</v>
      </c>
      <c r="I49" s="204" t="s">
        <v>735</v>
      </c>
      <c r="J49" s="201" t="s">
        <v>733</v>
      </c>
      <c r="K49" s="206" t="s">
        <v>734</v>
      </c>
      <c r="L49" s="204" t="s">
        <v>735</v>
      </c>
      <c r="M49" s="201" t="s">
        <v>733</v>
      </c>
      <c r="N49" s="206" t="s">
        <v>734</v>
      </c>
      <c r="O49" s="204" t="s">
        <v>735</v>
      </c>
      <c r="P49" s="201" t="s">
        <v>733</v>
      </c>
      <c r="Q49" s="206" t="s">
        <v>734</v>
      </c>
      <c r="R49" s="204" t="s">
        <v>735</v>
      </c>
      <c r="S49" s="201" t="s">
        <v>733</v>
      </c>
      <c r="T49" s="206" t="s">
        <v>734</v>
      </c>
      <c r="U49" s="230" t="s">
        <v>735</v>
      </c>
    </row>
    <row r="50" spans="1:21" s="30" customFormat="1" ht="22.5" customHeight="1">
      <c r="A50" s="62"/>
      <c r="B50" s="173"/>
      <c r="C50" s="174"/>
      <c r="D50" s="175"/>
      <c r="E50" s="175"/>
      <c r="F50" s="299" t="s">
        <v>727</v>
      </c>
      <c r="G50" s="201"/>
      <c r="H50" s="206"/>
      <c r="I50" s="189"/>
      <c r="J50" s="201"/>
      <c r="K50" s="206"/>
      <c r="L50" s="189"/>
      <c r="M50" s="201"/>
      <c r="N50" s="206"/>
      <c r="O50" s="189"/>
      <c r="P50" s="201"/>
      <c r="Q50" s="206"/>
      <c r="R50" s="189"/>
      <c r="S50" s="201"/>
      <c r="T50" s="206"/>
      <c r="U50" s="176"/>
    </row>
    <row r="51" spans="1:21" s="30" customFormat="1" ht="15" customHeight="1">
      <c r="A51" s="190"/>
      <c r="B51" s="177"/>
      <c r="C51" s="121"/>
      <c r="D51" s="178"/>
      <c r="E51" s="73"/>
      <c r="F51" s="197" t="s">
        <v>758</v>
      </c>
      <c r="G51" s="202"/>
      <c r="H51" s="207"/>
      <c r="I51" s="192"/>
      <c r="J51" s="202"/>
      <c r="K51" s="207"/>
      <c r="L51" s="192"/>
      <c r="M51" s="202"/>
      <c r="N51" s="207"/>
      <c r="O51" s="192"/>
      <c r="P51" s="202"/>
      <c r="Q51" s="207"/>
      <c r="R51" s="192"/>
      <c r="S51" s="202"/>
      <c r="T51" s="207"/>
      <c r="U51" s="232"/>
    </row>
    <row r="52" spans="1:21" s="30" customFormat="1" ht="21" hidden="1" customHeight="1">
      <c r="A52" s="190"/>
      <c r="B52" s="173"/>
      <c r="C52" s="73" t="s">
        <v>750</v>
      </c>
      <c r="D52" s="73" t="s">
        <v>4</v>
      </c>
      <c r="E52" s="73"/>
      <c r="F52" s="196" t="s">
        <v>762</v>
      </c>
      <c r="G52" s="278" t="str">
        <f>$G41</f>
        <v>Deudores por operaciones de crédito</v>
      </c>
      <c r="H52" s="276" t="str">
        <f t="shared" ref="H52:U52" si="46">$G41</f>
        <v>Deudores por operaciones de crédito</v>
      </c>
      <c r="I52" s="277" t="str">
        <f t="shared" si="46"/>
        <v>Deudores por operaciones de crédito</v>
      </c>
      <c r="J52" s="278" t="str">
        <f t="shared" si="46"/>
        <v>Deudores por operaciones de crédito</v>
      </c>
      <c r="K52" s="276" t="str">
        <f t="shared" si="46"/>
        <v>Deudores por operaciones de crédito</v>
      </c>
      <c r="L52" s="277" t="str">
        <f t="shared" si="46"/>
        <v>Deudores por operaciones de crédito</v>
      </c>
      <c r="M52" s="278" t="str">
        <f t="shared" si="46"/>
        <v>Deudores por operaciones de crédito</v>
      </c>
      <c r="N52" s="276" t="str">
        <f t="shared" si="46"/>
        <v>Deudores por operaciones de crédito</v>
      </c>
      <c r="O52" s="277" t="str">
        <f t="shared" si="46"/>
        <v>Deudores por operaciones de crédito</v>
      </c>
      <c r="P52" s="278" t="str">
        <f t="shared" si="46"/>
        <v>Deudores por operaciones de crédito</v>
      </c>
      <c r="Q52" s="276" t="str">
        <f t="shared" si="46"/>
        <v>Deudores por operaciones de crédito</v>
      </c>
      <c r="R52" s="277" t="str">
        <f t="shared" si="46"/>
        <v>Deudores por operaciones de crédito</v>
      </c>
      <c r="S52" s="278" t="str">
        <f t="shared" si="46"/>
        <v>Deudores por operaciones de crédito</v>
      </c>
      <c r="T52" s="276" t="str">
        <f t="shared" si="46"/>
        <v>Deudores por operaciones de crédito</v>
      </c>
      <c r="U52" s="279" t="str">
        <f t="shared" si="46"/>
        <v>Deudores por operaciones de crédito</v>
      </c>
    </row>
    <row r="53" spans="1:21" s="30" customFormat="1" ht="21.75" hidden="1" customHeight="1">
      <c r="A53" s="190"/>
      <c r="B53" s="173"/>
      <c r="C53" s="73" t="s">
        <v>751</v>
      </c>
      <c r="D53" s="73" t="s">
        <v>4</v>
      </c>
      <c r="E53" s="73"/>
      <c r="F53" s="196" t="s">
        <v>763</v>
      </c>
      <c r="G53" s="278" t="str">
        <f>$G42</f>
        <v>Pérdidas crediticias esperadas durante 12 meses</v>
      </c>
      <c r="H53" s="276" t="str">
        <f t="shared" ref="H53:U53" si="47">$G42</f>
        <v>Pérdidas crediticias esperadas durante 12 meses</v>
      </c>
      <c r="I53" s="277" t="str">
        <f t="shared" si="47"/>
        <v>Pérdidas crediticias esperadas durante 12 meses</v>
      </c>
      <c r="J53" s="278" t="str">
        <f t="shared" si="47"/>
        <v>Pérdidas crediticias esperadas durante 12 meses</v>
      </c>
      <c r="K53" s="276" t="str">
        <f t="shared" si="47"/>
        <v>Pérdidas crediticias esperadas durante 12 meses</v>
      </c>
      <c r="L53" s="277" t="str">
        <f t="shared" si="47"/>
        <v>Pérdidas crediticias esperadas durante 12 meses</v>
      </c>
      <c r="M53" s="278" t="str">
        <f t="shared" si="47"/>
        <v>Pérdidas crediticias esperadas durante 12 meses</v>
      </c>
      <c r="N53" s="276" t="str">
        <f t="shared" si="47"/>
        <v>Pérdidas crediticias esperadas durante 12 meses</v>
      </c>
      <c r="O53" s="277" t="str">
        <f t="shared" si="47"/>
        <v>Pérdidas crediticias esperadas durante 12 meses</v>
      </c>
      <c r="P53" s="278" t="str">
        <f t="shared" si="47"/>
        <v>Pérdidas crediticias esperadas durante 12 meses</v>
      </c>
      <c r="Q53" s="276" t="str">
        <f t="shared" si="47"/>
        <v>Pérdidas crediticias esperadas durante 12 meses</v>
      </c>
      <c r="R53" s="277" t="str">
        <f t="shared" si="47"/>
        <v>Pérdidas crediticias esperadas durante 12 meses</v>
      </c>
      <c r="S53" s="278" t="str">
        <f t="shared" si="47"/>
        <v>Pérdidas crediticias esperadas durante 12 meses</v>
      </c>
      <c r="T53" s="276" t="str">
        <f t="shared" si="47"/>
        <v>Pérdidas crediticias esperadas durante 12 meses</v>
      </c>
      <c r="U53" s="279" t="str">
        <f t="shared" si="47"/>
        <v>Pérdidas crediticias esperadas durante 12 meses</v>
      </c>
    </row>
    <row r="54" spans="1:21" s="30" customFormat="1" ht="25.5" hidden="1" customHeight="1">
      <c r="A54" s="190"/>
      <c r="B54" s="173"/>
      <c r="C54" s="73" t="s">
        <v>752</v>
      </c>
      <c r="D54" s="73" t="s">
        <v>4</v>
      </c>
      <c r="E54" s="73"/>
      <c r="F54" s="196" t="s">
        <v>764</v>
      </c>
      <c r="G54" s="278" t="str">
        <f>$G43</f>
        <v>Pérdidas crediticias esperadas evaluadas de forma colectiva</v>
      </c>
      <c r="H54" s="276" t="str">
        <f t="shared" ref="H54:U54" si="48">$G43</f>
        <v>Pérdidas crediticias esperadas evaluadas de forma colectiva</v>
      </c>
      <c r="I54" s="277" t="str">
        <f t="shared" si="48"/>
        <v>Pérdidas crediticias esperadas evaluadas de forma colectiva</v>
      </c>
      <c r="J54" s="278" t="str">
        <f t="shared" si="48"/>
        <v>Pérdidas crediticias esperadas evaluadas de forma colectiva</v>
      </c>
      <c r="K54" s="276" t="str">
        <f t="shared" si="48"/>
        <v>Pérdidas crediticias esperadas evaluadas de forma colectiva</v>
      </c>
      <c r="L54" s="277" t="str">
        <f t="shared" si="48"/>
        <v>Pérdidas crediticias esperadas evaluadas de forma colectiva</v>
      </c>
      <c r="M54" s="278" t="str">
        <f t="shared" si="48"/>
        <v>Pérdidas crediticias esperadas evaluadas de forma colectiva</v>
      </c>
      <c r="N54" s="276" t="str">
        <f t="shared" si="48"/>
        <v>Pérdidas crediticias esperadas evaluadas de forma colectiva</v>
      </c>
      <c r="O54" s="277" t="str">
        <f t="shared" si="48"/>
        <v>Pérdidas crediticias esperadas evaluadas de forma colectiva</v>
      </c>
      <c r="P54" s="278" t="str">
        <f t="shared" si="48"/>
        <v>Pérdidas crediticias esperadas evaluadas de forma colectiva</v>
      </c>
      <c r="Q54" s="276" t="str">
        <f t="shared" si="48"/>
        <v>Pérdidas crediticias esperadas evaluadas de forma colectiva</v>
      </c>
      <c r="R54" s="277" t="str">
        <f t="shared" si="48"/>
        <v>Pérdidas crediticias esperadas evaluadas de forma colectiva</v>
      </c>
      <c r="S54" s="278" t="str">
        <f t="shared" si="48"/>
        <v>Pérdidas crediticias esperadas evaluadas de forma colectiva</v>
      </c>
      <c r="T54" s="276" t="str">
        <f t="shared" si="48"/>
        <v>Pérdidas crediticias esperadas evaluadas de forma colectiva</v>
      </c>
      <c r="U54" s="279" t="str">
        <f t="shared" si="48"/>
        <v>Pérdidas crediticias esperadas evaluadas de forma colectiva</v>
      </c>
    </row>
    <row r="55" spans="1:21" s="30" customFormat="1" ht="21" customHeight="1">
      <c r="A55" s="190"/>
      <c r="B55" s="173"/>
      <c r="C55" s="73" t="s">
        <v>753</v>
      </c>
      <c r="D55" s="73" t="s">
        <v>4</v>
      </c>
      <c r="E55" s="73"/>
      <c r="F55" s="196" t="s">
        <v>759</v>
      </c>
      <c r="G55" s="215"/>
      <c r="H55" s="216"/>
      <c r="I55" s="217"/>
      <c r="J55" s="215"/>
      <c r="K55" s="216"/>
      <c r="L55" s="217"/>
      <c r="M55" s="215"/>
      <c r="N55" s="216"/>
      <c r="O55" s="217"/>
      <c r="P55" s="215"/>
      <c r="Q55" s="216"/>
      <c r="R55" s="217"/>
      <c r="S55" s="215"/>
      <c r="T55" s="216"/>
      <c r="U55" s="233"/>
    </row>
    <row r="56" spans="1:21" s="30" customFormat="1" ht="21.75" customHeight="1">
      <c r="A56" s="190"/>
      <c r="B56" s="173"/>
      <c r="C56" s="73" t="s">
        <v>754</v>
      </c>
      <c r="D56" s="73" t="s">
        <v>4</v>
      </c>
      <c r="E56" s="73"/>
      <c r="F56" s="196" t="s">
        <v>760</v>
      </c>
      <c r="G56" s="215"/>
      <c r="H56" s="216"/>
      <c r="I56" s="217"/>
      <c r="J56" s="215"/>
      <c r="K56" s="216"/>
      <c r="L56" s="217"/>
      <c r="M56" s="215"/>
      <c r="N56" s="216"/>
      <c r="O56" s="217"/>
      <c r="P56" s="215"/>
      <c r="Q56" s="216"/>
      <c r="R56" s="217"/>
      <c r="S56" s="215"/>
      <c r="T56" s="216"/>
      <c r="U56" s="233"/>
    </row>
    <row r="57" spans="1:21" s="30" customFormat="1" ht="25.5" customHeight="1">
      <c r="A57" s="190"/>
      <c r="B57" s="173"/>
      <c r="C57" s="73" t="s">
        <v>755</v>
      </c>
      <c r="D57" s="73" t="s">
        <v>4</v>
      </c>
      <c r="E57" s="73"/>
      <c r="F57" s="196" t="s">
        <v>761</v>
      </c>
      <c r="G57" s="215"/>
      <c r="H57" s="216"/>
      <c r="I57" s="217"/>
      <c r="J57" s="215"/>
      <c r="K57" s="216"/>
      <c r="L57" s="217"/>
      <c r="M57" s="215"/>
      <c r="N57" s="216"/>
      <c r="O57" s="217"/>
      <c r="P57" s="215"/>
      <c r="Q57" s="216"/>
      <c r="R57" s="217"/>
      <c r="S57" s="215"/>
      <c r="T57" s="216"/>
      <c r="U57" s="233"/>
    </row>
    <row r="58" spans="1:21" s="30" customFormat="1" ht="21.75" customHeight="1">
      <c r="A58" s="190"/>
      <c r="B58" s="173"/>
      <c r="C58" s="73" t="s">
        <v>756</v>
      </c>
      <c r="D58" s="73" t="s">
        <v>4</v>
      </c>
      <c r="E58" s="73"/>
      <c r="F58" s="196" t="s">
        <v>765</v>
      </c>
      <c r="G58" s="213"/>
      <c r="H58" s="214"/>
      <c r="I58" s="244">
        <f t="shared" ref="I58:I59" si="49">G58-H58</f>
        <v>0</v>
      </c>
      <c r="J58" s="213"/>
      <c r="K58" s="214"/>
      <c r="L58" s="244">
        <f t="shared" ref="L58:L59" si="50">J58-K58</f>
        <v>0</v>
      </c>
      <c r="M58" s="213"/>
      <c r="N58" s="214"/>
      <c r="O58" s="246">
        <f t="shared" ref="O58:O59" si="51">M58-N58</f>
        <v>0</v>
      </c>
      <c r="P58" s="244">
        <f t="shared" ref="P58:P59" si="52">J58+M58</f>
        <v>0</v>
      </c>
      <c r="Q58" s="244">
        <f t="shared" ref="Q58:Q59" si="53">K58+N58</f>
        <v>0</v>
      </c>
      <c r="R58" s="249">
        <f t="shared" ref="R58:R59" si="54">P58-Q58</f>
        <v>0</v>
      </c>
      <c r="S58" s="244">
        <f t="shared" ref="S58:S59" si="55">G58+P58</f>
        <v>0</v>
      </c>
      <c r="T58" s="244">
        <f t="shared" ref="T58:T59" si="56">H58+Q58</f>
        <v>0</v>
      </c>
      <c r="U58" s="251">
        <f t="shared" ref="U58:U59" si="57">S58-T58</f>
        <v>0</v>
      </c>
    </row>
    <row r="59" spans="1:21" s="30" customFormat="1" ht="25.5" customHeight="1">
      <c r="A59" s="190"/>
      <c r="B59" s="173"/>
      <c r="C59" s="73" t="s">
        <v>757</v>
      </c>
      <c r="D59" s="73" t="s">
        <v>4</v>
      </c>
      <c r="E59" s="73"/>
      <c r="F59" s="196" t="s">
        <v>782</v>
      </c>
      <c r="G59" s="213"/>
      <c r="H59" s="214"/>
      <c r="I59" s="244">
        <f t="shared" si="49"/>
        <v>0</v>
      </c>
      <c r="J59" s="213"/>
      <c r="K59" s="214"/>
      <c r="L59" s="244">
        <f t="shared" si="50"/>
        <v>0</v>
      </c>
      <c r="M59" s="213"/>
      <c r="N59" s="214"/>
      <c r="O59" s="246">
        <f t="shared" si="51"/>
        <v>0</v>
      </c>
      <c r="P59" s="244">
        <f t="shared" si="52"/>
        <v>0</v>
      </c>
      <c r="Q59" s="244">
        <f t="shared" si="53"/>
        <v>0</v>
      </c>
      <c r="R59" s="249">
        <f t="shared" si="54"/>
        <v>0</v>
      </c>
      <c r="S59" s="244">
        <f t="shared" si="55"/>
        <v>0</v>
      </c>
      <c r="T59" s="244">
        <f t="shared" si="56"/>
        <v>0</v>
      </c>
      <c r="U59" s="251">
        <f t="shared" si="57"/>
        <v>0</v>
      </c>
    </row>
    <row r="60" spans="1:21" s="30" customFormat="1" ht="15" customHeight="1">
      <c r="A60" s="190"/>
      <c r="B60" s="177"/>
      <c r="C60" s="121"/>
      <c r="D60" s="121"/>
      <c r="E60" s="121" t="s">
        <v>0</v>
      </c>
      <c r="F60" s="192" t="s">
        <v>0</v>
      </c>
      <c r="G60" s="202"/>
      <c r="H60" s="207"/>
      <c r="I60" s="192"/>
      <c r="J60" s="202"/>
      <c r="K60" s="207"/>
      <c r="L60" s="192"/>
      <c r="M60" s="202"/>
      <c r="N60" s="207"/>
      <c r="O60" s="192"/>
      <c r="P60" s="202"/>
      <c r="Q60" s="207"/>
      <c r="R60" s="192"/>
      <c r="S60" s="202"/>
      <c r="T60" s="207"/>
      <c r="U60" s="232"/>
    </row>
    <row r="61" spans="1:21" s="30" customFormat="1" ht="15" customHeight="1">
      <c r="A61" s="190"/>
      <c r="B61" s="177"/>
      <c r="C61" s="121"/>
      <c r="D61" s="121"/>
      <c r="E61" s="121"/>
      <c r="F61" s="192"/>
      <c r="G61" s="202"/>
      <c r="H61" s="207"/>
      <c r="I61" s="192"/>
      <c r="J61" s="202"/>
      <c r="K61" s="207"/>
      <c r="L61" s="192"/>
      <c r="M61" s="202"/>
      <c r="N61" s="207"/>
      <c r="O61" s="192"/>
      <c r="P61" s="202"/>
      <c r="Q61" s="207"/>
      <c r="R61" s="192"/>
      <c r="S61" s="202"/>
      <c r="T61" s="207"/>
      <c r="U61" s="232"/>
    </row>
    <row r="62" spans="1:21" s="30" customFormat="1" ht="15" customHeight="1">
      <c r="A62" s="190"/>
      <c r="B62" s="173"/>
      <c r="C62" s="174"/>
      <c r="D62" s="73"/>
      <c r="E62" s="73"/>
      <c r="F62" s="299" t="s">
        <v>728</v>
      </c>
      <c r="G62" s="202" t="s">
        <v>0</v>
      </c>
      <c r="H62" s="207" t="s">
        <v>0</v>
      </c>
      <c r="I62" s="192" t="s">
        <v>0</v>
      </c>
      <c r="J62" s="202" t="s">
        <v>0</v>
      </c>
      <c r="K62" s="207" t="s">
        <v>0</v>
      </c>
      <c r="L62" s="192" t="s">
        <v>0</v>
      </c>
      <c r="M62" s="202" t="s">
        <v>0</v>
      </c>
      <c r="N62" s="207" t="s">
        <v>0</v>
      </c>
      <c r="O62" s="192" t="s">
        <v>0</v>
      </c>
      <c r="P62" s="202" t="s">
        <v>0</v>
      </c>
      <c r="Q62" s="207" t="s">
        <v>0</v>
      </c>
      <c r="R62" s="192" t="s">
        <v>0</v>
      </c>
      <c r="S62" s="202" t="s">
        <v>0</v>
      </c>
      <c r="T62" s="207" t="s">
        <v>0</v>
      </c>
      <c r="U62" s="232" t="s">
        <v>0</v>
      </c>
    </row>
    <row r="63" spans="1:21" s="30" customFormat="1" ht="15" customHeight="1">
      <c r="A63" s="190"/>
      <c r="B63" s="177"/>
      <c r="C63" s="121"/>
      <c r="D63" s="178"/>
      <c r="E63" s="73"/>
      <c r="F63" s="197" t="s">
        <v>758</v>
      </c>
      <c r="G63" s="202"/>
      <c r="H63" s="207"/>
      <c r="I63" s="192"/>
      <c r="J63" s="202"/>
      <c r="K63" s="207"/>
      <c r="L63" s="192"/>
      <c r="M63" s="202"/>
      <c r="N63" s="207"/>
      <c r="O63" s="192"/>
      <c r="P63" s="202"/>
      <c r="Q63" s="207"/>
      <c r="R63" s="192"/>
      <c r="S63" s="202"/>
      <c r="T63" s="207"/>
      <c r="U63" s="232"/>
    </row>
    <row r="64" spans="1:21" s="30" customFormat="1" ht="21" hidden="1" customHeight="1">
      <c r="A64" s="190"/>
      <c r="B64" s="173"/>
      <c r="C64" s="73" t="s">
        <v>750</v>
      </c>
      <c r="D64" s="73" t="s">
        <v>47</v>
      </c>
      <c r="E64" s="73"/>
      <c r="F64" s="196" t="s">
        <v>762</v>
      </c>
      <c r="G64" s="278" t="str">
        <f>$G41</f>
        <v>Deudores por operaciones de crédito</v>
      </c>
      <c r="H64" s="276" t="str">
        <f t="shared" ref="H64:U64" si="58">$G41</f>
        <v>Deudores por operaciones de crédito</v>
      </c>
      <c r="I64" s="277" t="str">
        <f t="shared" si="58"/>
        <v>Deudores por operaciones de crédito</v>
      </c>
      <c r="J64" s="278" t="str">
        <f t="shared" si="58"/>
        <v>Deudores por operaciones de crédito</v>
      </c>
      <c r="K64" s="276" t="str">
        <f t="shared" si="58"/>
        <v>Deudores por operaciones de crédito</v>
      </c>
      <c r="L64" s="277" t="str">
        <f t="shared" si="58"/>
        <v>Deudores por operaciones de crédito</v>
      </c>
      <c r="M64" s="278" t="str">
        <f t="shared" si="58"/>
        <v>Deudores por operaciones de crédito</v>
      </c>
      <c r="N64" s="276" t="str">
        <f t="shared" si="58"/>
        <v>Deudores por operaciones de crédito</v>
      </c>
      <c r="O64" s="277" t="str">
        <f t="shared" si="58"/>
        <v>Deudores por operaciones de crédito</v>
      </c>
      <c r="P64" s="278" t="str">
        <f t="shared" si="58"/>
        <v>Deudores por operaciones de crédito</v>
      </c>
      <c r="Q64" s="276" t="str">
        <f t="shared" si="58"/>
        <v>Deudores por operaciones de crédito</v>
      </c>
      <c r="R64" s="277" t="str">
        <f t="shared" si="58"/>
        <v>Deudores por operaciones de crédito</v>
      </c>
      <c r="S64" s="278" t="str">
        <f t="shared" si="58"/>
        <v>Deudores por operaciones de crédito</v>
      </c>
      <c r="T64" s="276" t="str">
        <f t="shared" si="58"/>
        <v>Deudores por operaciones de crédito</v>
      </c>
      <c r="U64" s="279" t="str">
        <f t="shared" si="58"/>
        <v>Deudores por operaciones de crédito</v>
      </c>
    </row>
    <row r="65" spans="1:21" s="30" customFormat="1" ht="21.75" hidden="1" customHeight="1">
      <c r="A65" s="190"/>
      <c r="B65" s="173"/>
      <c r="C65" s="73" t="s">
        <v>751</v>
      </c>
      <c r="D65" s="73" t="s">
        <v>47</v>
      </c>
      <c r="E65" s="73"/>
      <c r="F65" s="196" t="s">
        <v>763</v>
      </c>
      <c r="G65" s="278" t="str">
        <f>$G42</f>
        <v>Pérdidas crediticias esperadas durante 12 meses</v>
      </c>
      <c r="H65" s="276" t="str">
        <f t="shared" ref="H65:U65" si="59">$G42</f>
        <v>Pérdidas crediticias esperadas durante 12 meses</v>
      </c>
      <c r="I65" s="277" t="str">
        <f t="shared" si="59"/>
        <v>Pérdidas crediticias esperadas durante 12 meses</v>
      </c>
      <c r="J65" s="278" t="str">
        <f t="shared" si="59"/>
        <v>Pérdidas crediticias esperadas durante 12 meses</v>
      </c>
      <c r="K65" s="276" t="str">
        <f t="shared" si="59"/>
        <v>Pérdidas crediticias esperadas durante 12 meses</v>
      </c>
      <c r="L65" s="277" t="str">
        <f t="shared" si="59"/>
        <v>Pérdidas crediticias esperadas durante 12 meses</v>
      </c>
      <c r="M65" s="278" t="str">
        <f t="shared" si="59"/>
        <v>Pérdidas crediticias esperadas durante 12 meses</v>
      </c>
      <c r="N65" s="276" t="str">
        <f t="shared" si="59"/>
        <v>Pérdidas crediticias esperadas durante 12 meses</v>
      </c>
      <c r="O65" s="277" t="str">
        <f t="shared" si="59"/>
        <v>Pérdidas crediticias esperadas durante 12 meses</v>
      </c>
      <c r="P65" s="278" t="str">
        <f t="shared" si="59"/>
        <v>Pérdidas crediticias esperadas durante 12 meses</v>
      </c>
      <c r="Q65" s="276" t="str">
        <f t="shared" si="59"/>
        <v>Pérdidas crediticias esperadas durante 12 meses</v>
      </c>
      <c r="R65" s="277" t="str">
        <f t="shared" si="59"/>
        <v>Pérdidas crediticias esperadas durante 12 meses</v>
      </c>
      <c r="S65" s="278" t="str">
        <f t="shared" si="59"/>
        <v>Pérdidas crediticias esperadas durante 12 meses</v>
      </c>
      <c r="T65" s="276" t="str">
        <f t="shared" si="59"/>
        <v>Pérdidas crediticias esperadas durante 12 meses</v>
      </c>
      <c r="U65" s="279" t="str">
        <f t="shared" si="59"/>
        <v>Pérdidas crediticias esperadas durante 12 meses</v>
      </c>
    </row>
    <row r="66" spans="1:21" s="30" customFormat="1" ht="25.5" hidden="1" customHeight="1">
      <c r="A66" s="190"/>
      <c r="B66" s="173"/>
      <c r="C66" s="73" t="s">
        <v>752</v>
      </c>
      <c r="D66" s="73" t="s">
        <v>47</v>
      </c>
      <c r="E66" s="73"/>
      <c r="F66" s="196" t="s">
        <v>764</v>
      </c>
      <c r="G66" s="278" t="str">
        <f>$G43</f>
        <v>Pérdidas crediticias esperadas evaluadas de forma colectiva</v>
      </c>
      <c r="H66" s="276" t="str">
        <f t="shared" ref="H66:U66" si="60">$G43</f>
        <v>Pérdidas crediticias esperadas evaluadas de forma colectiva</v>
      </c>
      <c r="I66" s="277" t="str">
        <f t="shared" si="60"/>
        <v>Pérdidas crediticias esperadas evaluadas de forma colectiva</v>
      </c>
      <c r="J66" s="278" t="str">
        <f t="shared" si="60"/>
        <v>Pérdidas crediticias esperadas evaluadas de forma colectiva</v>
      </c>
      <c r="K66" s="276" t="str">
        <f t="shared" si="60"/>
        <v>Pérdidas crediticias esperadas evaluadas de forma colectiva</v>
      </c>
      <c r="L66" s="277" t="str">
        <f t="shared" si="60"/>
        <v>Pérdidas crediticias esperadas evaluadas de forma colectiva</v>
      </c>
      <c r="M66" s="278" t="str">
        <f t="shared" si="60"/>
        <v>Pérdidas crediticias esperadas evaluadas de forma colectiva</v>
      </c>
      <c r="N66" s="276" t="str">
        <f t="shared" si="60"/>
        <v>Pérdidas crediticias esperadas evaluadas de forma colectiva</v>
      </c>
      <c r="O66" s="277" t="str">
        <f t="shared" si="60"/>
        <v>Pérdidas crediticias esperadas evaluadas de forma colectiva</v>
      </c>
      <c r="P66" s="278" t="str">
        <f t="shared" si="60"/>
        <v>Pérdidas crediticias esperadas evaluadas de forma colectiva</v>
      </c>
      <c r="Q66" s="276" t="str">
        <f t="shared" si="60"/>
        <v>Pérdidas crediticias esperadas evaluadas de forma colectiva</v>
      </c>
      <c r="R66" s="277" t="str">
        <f t="shared" si="60"/>
        <v>Pérdidas crediticias esperadas evaluadas de forma colectiva</v>
      </c>
      <c r="S66" s="278" t="str">
        <f t="shared" si="60"/>
        <v>Pérdidas crediticias esperadas evaluadas de forma colectiva</v>
      </c>
      <c r="T66" s="276" t="str">
        <f t="shared" si="60"/>
        <v>Pérdidas crediticias esperadas evaluadas de forma colectiva</v>
      </c>
      <c r="U66" s="279" t="str">
        <f t="shared" si="60"/>
        <v>Pérdidas crediticias esperadas evaluadas de forma colectiva</v>
      </c>
    </row>
    <row r="67" spans="1:21" s="30" customFormat="1" ht="21" customHeight="1">
      <c r="A67" s="190"/>
      <c r="B67" s="173"/>
      <c r="C67" s="73" t="s">
        <v>753</v>
      </c>
      <c r="D67" s="73" t="s">
        <v>47</v>
      </c>
      <c r="E67" s="73"/>
      <c r="F67" s="196" t="s">
        <v>759</v>
      </c>
      <c r="G67" s="215"/>
      <c r="H67" s="216"/>
      <c r="I67" s="217"/>
      <c r="J67" s="215"/>
      <c r="K67" s="216"/>
      <c r="L67" s="217"/>
      <c r="M67" s="215"/>
      <c r="N67" s="216"/>
      <c r="O67" s="217"/>
      <c r="P67" s="215"/>
      <c r="Q67" s="216"/>
      <c r="R67" s="217"/>
      <c r="S67" s="215"/>
      <c r="T67" s="216"/>
      <c r="U67" s="233"/>
    </row>
    <row r="68" spans="1:21" s="30" customFormat="1" ht="21.75" customHeight="1">
      <c r="A68" s="190"/>
      <c r="B68" s="173"/>
      <c r="C68" s="73" t="s">
        <v>754</v>
      </c>
      <c r="D68" s="73" t="s">
        <v>47</v>
      </c>
      <c r="E68" s="73"/>
      <c r="F68" s="196" t="s">
        <v>760</v>
      </c>
      <c r="G68" s="215"/>
      <c r="H68" s="216"/>
      <c r="I68" s="217"/>
      <c r="J68" s="215"/>
      <c r="K68" s="216"/>
      <c r="L68" s="217"/>
      <c r="M68" s="215"/>
      <c r="N68" s="216"/>
      <c r="O68" s="217"/>
      <c r="P68" s="215"/>
      <c r="Q68" s="216"/>
      <c r="R68" s="217"/>
      <c r="S68" s="215"/>
      <c r="T68" s="216"/>
      <c r="U68" s="233"/>
    </row>
    <row r="69" spans="1:21" s="30" customFormat="1" ht="25.5" customHeight="1">
      <c r="A69" s="190"/>
      <c r="B69" s="173"/>
      <c r="C69" s="73" t="s">
        <v>755</v>
      </c>
      <c r="D69" s="73" t="s">
        <v>47</v>
      </c>
      <c r="E69" s="73"/>
      <c r="F69" s="196" t="s">
        <v>761</v>
      </c>
      <c r="G69" s="215"/>
      <c r="H69" s="216"/>
      <c r="I69" s="217"/>
      <c r="J69" s="215"/>
      <c r="K69" s="216"/>
      <c r="L69" s="217"/>
      <c r="M69" s="215"/>
      <c r="N69" s="216"/>
      <c r="O69" s="217"/>
      <c r="P69" s="215"/>
      <c r="Q69" s="216"/>
      <c r="R69" s="217"/>
      <c r="S69" s="215"/>
      <c r="T69" s="216"/>
      <c r="U69" s="233"/>
    </row>
    <row r="70" spans="1:21" s="30" customFormat="1" ht="21.75" customHeight="1">
      <c r="A70" s="190" t="s">
        <v>48</v>
      </c>
      <c r="B70" s="173"/>
      <c r="C70" s="73" t="s">
        <v>756</v>
      </c>
      <c r="D70" s="73" t="s">
        <v>4</v>
      </c>
      <c r="E70" s="73"/>
      <c r="F70" s="196" t="s">
        <v>765</v>
      </c>
      <c r="G70" s="213"/>
      <c r="H70" s="214"/>
      <c r="I70" s="244">
        <f t="shared" ref="I70:I71" si="61">G70-H70</f>
        <v>0</v>
      </c>
      <c r="J70" s="213"/>
      <c r="K70" s="214"/>
      <c r="L70" s="244">
        <f t="shared" ref="L70:L71" si="62">J70-K70</f>
        <v>0</v>
      </c>
      <c r="M70" s="213"/>
      <c r="N70" s="214"/>
      <c r="O70" s="246">
        <f t="shared" ref="O70:O71" si="63">M70-N70</f>
        <v>0</v>
      </c>
      <c r="P70" s="244">
        <f t="shared" ref="P70:P71" si="64">J70+M70</f>
        <v>0</v>
      </c>
      <c r="Q70" s="244">
        <f t="shared" ref="Q70:Q71" si="65">K70+N70</f>
        <v>0</v>
      </c>
      <c r="R70" s="249">
        <f t="shared" ref="R70:R71" si="66">P70-Q70</f>
        <v>0</v>
      </c>
      <c r="S70" s="244">
        <f t="shared" ref="S70:S71" si="67">G70+P70</f>
        <v>0</v>
      </c>
      <c r="T70" s="244">
        <f t="shared" ref="T70:T71" si="68">H70+Q70</f>
        <v>0</v>
      </c>
      <c r="U70" s="251">
        <f t="shared" ref="U70:U71" si="69">S70-T70</f>
        <v>0</v>
      </c>
    </row>
    <row r="71" spans="1:21" s="30" customFormat="1" ht="25.5" customHeight="1">
      <c r="A71" s="190" t="s">
        <v>48</v>
      </c>
      <c r="B71" s="173"/>
      <c r="C71" s="73" t="s">
        <v>757</v>
      </c>
      <c r="D71" s="73" t="s">
        <v>4</v>
      </c>
      <c r="E71" s="73"/>
      <c r="F71" s="196" t="s">
        <v>782</v>
      </c>
      <c r="G71" s="213"/>
      <c r="H71" s="214"/>
      <c r="I71" s="244">
        <f t="shared" si="61"/>
        <v>0</v>
      </c>
      <c r="J71" s="213"/>
      <c r="K71" s="214"/>
      <c r="L71" s="244">
        <f t="shared" si="62"/>
        <v>0</v>
      </c>
      <c r="M71" s="213"/>
      <c r="N71" s="214"/>
      <c r="O71" s="246">
        <f t="shared" si="63"/>
        <v>0</v>
      </c>
      <c r="P71" s="244">
        <f t="shared" si="64"/>
        <v>0</v>
      </c>
      <c r="Q71" s="244">
        <f t="shared" si="65"/>
        <v>0</v>
      </c>
      <c r="R71" s="249">
        <f t="shared" si="66"/>
        <v>0</v>
      </c>
      <c r="S71" s="244">
        <f t="shared" si="67"/>
        <v>0</v>
      </c>
      <c r="T71" s="244">
        <f t="shared" si="68"/>
        <v>0</v>
      </c>
      <c r="U71" s="251">
        <f t="shared" si="69"/>
        <v>0</v>
      </c>
    </row>
    <row r="72" spans="1:21" ht="15.75" thickBot="1">
      <c r="A72" s="190"/>
      <c r="B72" s="180"/>
      <c r="C72" s="181"/>
      <c r="D72" s="181"/>
      <c r="E72" s="181" t="s">
        <v>0</v>
      </c>
      <c r="F72" s="234" t="s">
        <v>0</v>
      </c>
      <c r="G72" s="235"/>
      <c r="H72" s="236"/>
      <c r="I72" s="234"/>
      <c r="J72" s="235"/>
      <c r="K72" s="236"/>
      <c r="L72" s="234"/>
      <c r="M72" s="235"/>
      <c r="N72" s="236"/>
      <c r="O72" s="234"/>
      <c r="P72" s="235"/>
      <c r="Q72" s="236"/>
      <c r="R72" s="234"/>
      <c r="S72" s="235"/>
      <c r="T72" s="236"/>
      <c r="U72" s="182"/>
    </row>
    <row r="73" spans="1:21" ht="15.75" thickBot="1"/>
    <row r="74" spans="1:21" s="30" customFormat="1" ht="25.5" customHeight="1">
      <c r="A74" s="183" t="s">
        <v>54</v>
      </c>
      <c r="B74" s="211"/>
      <c r="C74" s="212"/>
      <c r="D74" s="212"/>
      <c r="E74" s="212"/>
      <c r="F74" s="210" t="s">
        <v>784</v>
      </c>
      <c r="G74" s="345" t="s">
        <v>749</v>
      </c>
      <c r="H74" s="346"/>
      <c r="I74" s="346"/>
      <c r="J74" s="346"/>
      <c r="K74" s="346"/>
      <c r="L74" s="346"/>
      <c r="M74" s="346"/>
      <c r="N74" s="346"/>
      <c r="O74" s="346"/>
      <c r="P74" s="346"/>
      <c r="Q74" s="346"/>
      <c r="R74" s="346"/>
      <c r="S74" s="346"/>
      <c r="T74" s="346"/>
      <c r="U74" s="347"/>
    </row>
    <row r="75" spans="1:21" s="209" customFormat="1" ht="158.25" hidden="1" customHeight="1">
      <c r="A75" s="62" t="s">
        <v>55</v>
      </c>
      <c r="B75" s="219"/>
      <c r="C75" s="220"/>
      <c r="D75" s="220" t="s">
        <v>783</v>
      </c>
      <c r="E75" s="221" t="s">
        <v>747</v>
      </c>
      <c r="F75" s="222"/>
      <c r="G75" s="223" t="s">
        <v>748</v>
      </c>
      <c r="H75" s="224" t="str">
        <f>G75</f>
        <v>full_ifrs-cor_2014-03-05.xsd#ifrs-full_ClassesOfFinancialInstrumentsMember</v>
      </c>
      <c r="I75" s="225" t="str">
        <f t="shared" ref="I75:U75" si="70">H75</f>
        <v>full_ifrs-cor_2014-03-05.xsd#ifrs-full_ClassesOfFinancialInstrumentsMember</v>
      </c>
      <c r="J75" s="226" t="str">
        <f t="shared" si="70"/>
        <v>full_ifrs-cor_2014-03-05.xsd#ifrs-full_ClassesOfFinancialInstrumentsMember</v>
      </c>
      <c r="K75" s="224" t="str">
        <f t="shared" si="70"/>
        <v>full_ifrs-cor_2014-03-05.xsd#ifrs-full_ClassesOfFinancialInstrumentsMember</v>
      </c>
      <c r="L75" s="225" t="str">
        <f t="shared" si="70"/>
        <v>full_ifrs-cor_2014-03-05.xsd#ifrs-full_ClassesOfFinancialInstrumentsMember</v>
      </c>
      <c r="M75" s="226" t="str">
        <f t="shared" si="70"/>
        <v>full_ifrs-cor_2014-03-05.xsd#ifrs-full_ClassesOfFinancialInstrumentsMember</v>
      </c>
      <c r="N75" s="224" t="str">
        <f t="shared" si="70"/>
        <v>full_ifrs-cor_2014-03-05.xsd#ifrs-full_ClassesOfFinancialInstrumentsMember</v>
      </c>
      <c r="O75" s="225" t="str">
        <f t="shared" si="70"/>
        <v>full_ifrs-cor_2014-03-05.xsd#ifrs-full_ClassesOfFinancialInstrumentsMember</v>
      </c>
      <c r="P75" s="226" t="str">
        <f t="shared" si="70"/>
        <v>full_ifrs-cor_2014-03-05.xsd#ifrs-full_ClassesOfFinancialInstrumentsMember</v>
      </c>
      <c r="Q75" s="224" t="str">
        <f t="shared" si="70"/>
        <v>full_ifrs-cor_2014-03-05.xsd#ifrs-full_ClassesOfFinancialInstrumentsMember</v>
      </c>
      <c r="R75" s="225" t="str">
        <f t="shared" si="70"/>
        <v>full_ifrs-cor_2014-03-05.xsd#ifrs-full_ClassesOfFinancialInstrumentsMember</v>
      </c>
      <c r="S75" s="226" t="str">
        <f t="shared" si="70"/>
        <v>full_ifrs-cor_2014-03-05.xsd#ifrs-full_ClassesOfFinancialInstrumentsMember</v>
      </c>
      <c r="T75" s="224" t="str">
        <f t="shared" si="70"/>
        <v>full_ifrs-cor_2014-03-05.xsd#ifrs-full_ClassesOfFinancialInstrumentsMember</v>
      </c>
      <c r="U75" s="225" t="str">
        <f t="shared" si="70"/>
        <v>full_ifrs-cor_2014-03-05.xsd#ifrs-full_ClassesOfFinancialInstrumentsMember</v>
      </c>
    </row>
    <row r="76" spans="1:21" s="30" customFormat="1" ht="78" customHeight="1">
      <c r="A76" s="185"/>
      <c r="B76" s="186"/>
      <c r="C76" s="187"/>
      <c r="D76" s="187"/>
      <c r="E76" s="184"/>
      <c r="F76" s="198"/>
      <c r="G76" s="329" t="s">
        <v>737</v>
      </c>
      <c r="H76" s="330"/>
      <c r="I76" s="331"/>
      <c r="J76" s="329" t="s">
        <v>738</v>
      </c>
      <c r="K76" s="330"/>
      <c r="L76" s="331"/>
      <c r="M76" s="329" t="s">
        <v>739</v>
      </c>
      <c r="N76" s="330"/>
      <c r="O76" s="331"/>
      <c r="P76" s="329" t="s">
        <v>740</v>
      </c>
      <c r="Q76" s="330"/>
      <c r="R76" s="331"/>
      <c r="S76" s="329" t="s">
        <v>741</v>
      </c>
      <c r="T76" s="330"/>
      <c r="U76" s="331"/>
    </row>
    <row r="77" spans="1:21" s="30" customFormat="1" ht="57" hidden="1" customHeight="1">
      <c r="A77" s="62" t="s">
        <v>55</v>
      </c>
      <c r="B77" s="72"/>
      <c r="C77" s="174"/>
      <c r="D77" s="175"/>
      <c r="E77" s="73" t="s">
        <v>736</v>
      </c>
      <c r="F77" s="199"/>
      <c r="G77" s="201" t="s">
        <v>742</v>
      </c>
      <c r="H77" s="206" t="str">
        <f>G77</f>
        <v>full_ifrs-cor_2018-03-16.xsd#ifrs-full_FinancialInstrumentsNotCreditimpairedMember</v>
      </c>
      <c r="I77" s="204" t="str">
        <f>H77</f>
        <v>full_ifrs-cor_2018-03-16.xsd#ifrs-full_FinancialInstrumentsNotCreditimpairedMember</v>
      </c>
      <c r="J77" s="201" t="s">
        <v>743</v>
      </c>
      <c r="K77" s="206" t="str">
        <f t="shared" ref="K77:L77" si="71">J77</f>
        <v>full_ifrs-cor_2018-03-16.xsd#ifrs-full_FinancialInstrumentsPurchasedOrOriginatedCreditimpairedMember</v>
      </c>
      <c r="L77" s="204" t="str">
        <f t="shared" si="71"/>
        <v>full_ifrs-cor_2018-03-16.xsd#ifrs-full_FinancialInstrumentsPurchasedOrOriginatedCreditimpairedMember</v>
      </c>
      <c r="M77" s="201" t="s">
        <v>744</v>
      </c>
      <c r="N77" s="206" t="str">
        <f t="shared" ref="N77:O77" si="72">M77</f>
        <v>full_ifrs-cor_2018-03-16.xsd#ifrs-full_FinancialInstrumentsCreditimpairedAfterPurchaseOrOriginationMember</v>
      </c>
      <c r="O77" s="204" t="str">
        <f t="shared" si="72"/>
        <v>full_ifrs-cor_2018-03-16.xsd#ifrs-full_FinancialInstrumentsCreditimpairedAfterPurchaseOrOriginationMember</v>
      </c>
      <c r="P77" s="201" t="s">
        <v>745</v>
      </c>
      <c r="Q77" s="206" t="str">
        <f t="shared" ref="Q77:R77" si="73">P77</f>
        <v>full_ifrs-cor_2018-03-16.xsd#ifrs-full_FinancialInstrumentsCreditimpairedMember</v>
      </c>
      <c r="R77" s="204" t="str">
        <f t="shared" si="73"/>
        <v>full_ifrs-cor_2018-03-16.xsd#ifrs-full_FinancialInstrumentsCreditimpairedMember</v>
      </c>
      <c r="S77" s="201" t="s">
        <v>746</v>
      </c>
      <c r="T77" s="206" t="str">
        <f t="shared" ref="T77:U77" si="74">S77</f>
        <v>full_ifrs-cor_2018-03-16.xsd#ifrs-full_CreditImpairmentOfFinancialInstrumentsMember</v>
      </c>
      <c r="U77" s="204" t="str">
        <f t="shared" si="74"/>
        <v>full_ifrs-cor_2018-03-16.xsd#ifrs-full_CreditImpairmentOfFinancialInstrumentsMember</v>
      </c>
    </row>
    <row r="78" spans="1:21" s="30" customFormat="1" ht="78" customHeight="1">
      <c r="A78" s="185"/>
      <c r="B78" s="186"/>
      <c r="C78" s="187"/>
      <c r="D78" s="187"/>
      <c r="E78" s="184"/>
      <c r="F78" s="198"/>
      <c r="G78" s="200" t="s">
        <v>730</v>
      </c>
      <c r="H78" s="205" t="s">
        <v>731</v>
      </c>
      <c r="I78" s="188" t="s">
        <v>732</v>
      </c>
      <c r="J78" s="200" t="s">
        <v>730</v>
      </c>
      <c r="K78" s="205" t="s">
        <v>731</v>
      </c>
      <c r="L78" s="188" t="s">
        <v>732</v>
      </c>
      <c r="M78" s="200" t="s">
        <v>730</v>
      </c>
      <c r="N78" s="205" t="s">
        <v>731</v>
      </c>
      <c r="O78" s="188" t="s">
        <v>732</v>
      </c>
      <c r="P78" s="200" t="s">
        <v>730</v>
      </c>
      <c r="Q78" s="205" t="s">
        <v>731</v>
      </c>
      <c r="R78" s="188" t="s">
        <v>732</v>
      </c>
      <c r="S78" s="200" t="s">
        <v>730</v>
      </c>
      <c r="T78" s="205" t="s">
        <v>731</v>
      </c>
      <c r="U78" s="188" t="s">
        <v>732</v>
      </c>
    </row>
    <row r="79" spans="1:21" s="30" customFormat="1" ht="57" hidden="1" customHeight="1">
      <c r="A79" s="62" t="s">
        <v>55</v>
      </c>
      <c r="B79" s="72"/>
      <c r="C79" s="174"/>
      <c r="D79" s="175"/>
      <c r="E79" s="73" t="s">
        <v>729</v>
      </c>
      <c r="F79" s="199"/>
      <c r="G79" s="201" t="s">
        <v>733</v>
      </c>
      <c r="H79" s="206" t="s">
        <v>734</v>
      </c>
      <c r="I79" s="204" t="s">
        <v>735</v>
      </c>
      <c r="J79" s="201" t="s">
        <v>733</v>
      </c>
      <c r="K79" s="206" t="s">
        <v>734</v>
      </c>
      <c r="L79" s="204" t="s">
        <v>735</v>
      </c>
      <c r="M79" s="201" t="s">
        <v>733</v>
      </c>
      <c r="N79" s="206" t="s">
        <v>734</v>
      </c>
      <c r="O79" s="204" t="s">
        <v>735</v>
      </c>
      <c r="P79" s="201" t="s">
        <v>733</v>
      </c>
      <c r="Q79" s="206" t="s">
        <v>734</v>
      </c>
      <c r="R79" s="204" t="s">
        <v>735</v>
      </c>
      <c r="S79" s="201" t="s">
        <v>733</v>
      </c>
      <c r="T79" s="206" t="s">
        <v>734</v>
      </c>
      <c r="U79" s="204" t="s">
        <v>735</v>
      </c>
    </row>
    <row r="80" spans="1:21" s="30" customFormat="1" ht="22.5" customHeight="1">
      <c r="A80" s="62"/>
      <c r="B80" s="72"/>
      <c r="C80" s="174"/>
      <c r="D80" s="175"/>
      <c r="E80" s="175"/>
      <c r="F80" s="299" t="s">
        <v>727</v>
      </c>
      <c r="G80" s="201"/>
      <c r="H80" s="206"/>
      <c r="I80" s="189"/>
      <c r="J80" s="201"/>
      <c r="K80" s="206"/>
      <c r="L80" s="189"/>
      <c r="M80" s="201"/>
      <c r="N80" s="206"/>
      <c r="O80" s="189"/>
      <c r="P80" s="201"/>
      <c r="Q80" s="206"/>
      <c r="R80" s="189"/>
      <c r="S80" s="201"/>
      <c r="T80" s="206"/>
      <c r="U80" s="189"/>
    </row>
    <row r="81" spans="1:21" s="30" customFormat="1" ht="15" customHeight="1">
      <c r="A81" s="190"/>
      <c r="B81" s="191"/>
      <c r="C81" s="121"/>
      <c r="D81" s="178"/>
      <c r="E81" s="73"/>
      <c r="F81" s="197" t="s">
        <v>758</v>
      </c>
      <c r="G81" s="202"/>
      <c r="H81" s="207"/>
      <c r="I81" s="192"/>
      <c r="J81" s="202"/>
      <c r="K81" s="207"/>
      <c r="L81" s="192"/>
      <c r="M81" s="202"/>
      <c r="N81" s="207"/>
      <c r="O81" s="192"/>
      <c r="P81" s="202"/>
      <c r="Q81" s="207"/>
      <c r="R81" s="192"/>
      <c r="S81" s="202"/>
      <c r="T81" s="207"/>
      <c r="U81" s="227"/>
    </row>
    <row r="82" spans="1:21" s="30" customFormat="1" ht="21" customHeight="1">
      <c r="A82" s="190"/>
      <c r="B82" s="72"/>
      <c r="C82" s="73" t="s">
        <v>750</v>
      </c>
      <c r="D82" s="73" t="s">
        <v>4</v>
      </c>
      <c r="E82" s="73"/>
      <c r="F82" s="196" t="s">
        <v>762</v>
      </c>
      <c r="G82" s="254"/>
      <c r="H82" s="255"/>
      <c r="I82" s="256"/>
      <c r="J82" s="254"/>
      <c r="K82" s="255"/>
      <c r="L82" s="256"/>
      <c r="M82" s="254"/>
      <c r="N82" s="255"/>
      <c r="O82" s="256"/>
      <c r="P82" s="254"/>
      <c r="Q82" s="255"/>
      <c r="R82" s="256"/>
      <c r="S82" s="254"/>
      <c r="T82" s="255"/>
      <c r="U82" s="257"/>
    </row>
    <row r="83" spans="1:21" s="30" customFormat="1" ht="21.75" customHeight="1">
      <c r="A83" s="190"/>
      <c r="B83" s="72"/>
      <c r="C83" s="73" t="s">
        <v>751</v>
      </c>
      <c r="D83" s="73" t="s">
        <v>4</v>
      </c>
      <c r="E83" s="73"/>
      <c r="F83" s="196" t="s">
        <v>763</v>
      </c>
      <c r="G83" s="254"/>
      <c r="H83" s="255"/>
      <c r="I83" s="256"/>
      <c r="J83" s="254"/>
      <c r="K83" s="255"/>
      <c r="L83" s="256"/>
      <c r="M83" s="254"/>
      <c r="N83" s="255"/>
      <c r="O83" s="256"/>
      <c r="P83" s="254"/>
      <c r="Q83" s="255"/>
      <c r="R83" s="256"/>
      <c r="S83" s="254"/>
      <c r="T83" s="255"/>
      <c r="U83" s="257"/>
    </row>
    <row r="84" spans="1:21" s="30" customFormat="1" ht="25.5" customHeight="1">
      <c r="A84" s="190"/>
      <c r="B84" s="72"/>
      <c r="C84" s="73" t="s">
        <v>752</v>
      </c>
      <c r="D84" s="73" t="s">
        <v>4</v>
      </c>
      <c r="E84" s="73"/>
      <c r="F84" s="196" t="s">
        <v>764</v>
      </c>
      <c r="G84" s="254"/>
      <c r="H84" s="255"/>
      <c r="I84" s="256"/>
      <c r="J84" s="254"/>
      <c r="K84" s="255"/>
      <c r="L84" s="256"/>
      <c r="M84" s="254"/>
      <c r="N84" s="255"/>
      <c r="O84" s="256"/>
      <c r="P84" s="254"/>
      <c r="Q84" s="255"/>
      <c r="R84" s="256"/>
      <c r="S84" s="254"/>
      <c r="T84" s="255"/>
      <c r="U84" s="257"/>
    </row>
    <row r="85" spans="1:21" s="30" customFormat="1" ht="21" customHeight="1">
      <c r="A85" s="190"/>
      <c r="B85" s="72"/>
      <c r="C85" s="73" t="s">
        <v>753</v>
      </c>
      <c r="D85" s="73" t="s">
        <v>4</v>
      </c>
      <c r="E85" s="73"/>
      <c r="F85" s="196" t="s">
        <v>759</v>
      </c>
      <c r="G85" s="215"/>
      <c r="H85" s="216"/>
      <c r="I85" s="217"/>
      <c r="J85" s="215"/>
      <c r="K85" s="216"/>
      <c r="L85" s="217"/>
      <c r="M85" s="215"/>
      <c r="N85" s="216"/>
      <c r="O85" s="217"/>
      <c r="P85" s="215"/>
      <c r="Q85" s="216"/>
      <c r="R85" s="217"/>
      <c r="S85" s="215"/>
      <c r="T85" s="216"/>
      <c r="U85" s="218"/>
    </row>
    <row r="86" spans="1:21" s="30" customFormat="1" ht="21.75" customHeight="1">
      <c r="A86" s="190"/>
      <c r="B86" s="72"/>
      <c r="C86" s="73" t="s">
        <v>754</v>
      </c>
      <c r="D86" s="73" t="s">
        <v>4</v>
      </c>
      <c r="E86" s="73"/>
      <c r="F86" s="196" t="s">
        <v>760</v>
      </c>
      <c r="G86" s="215"/>
      <c r="H86" s="216"/>
      <c r="I86" s="217"/>
      <c r="J86" s="215"/>
      <c r="K86" s="216"/>
      <c r="L86" s="217"/>
      <c r="M86" s="215"/>
      <c r="N86" s="216"/>
      <c r="O86" s="217"/>
      <c r="P86" s="215"/>
      <c r="Q86" s="216"/>
      <c r="R86" s="217"/>
      <c r="S86" s="215"/>
      <c r="T86" s="216"/>
      <c r="U86" s="218"/>
    </row>
    <row r="87" spans="1:21" s="30" customFormat="1" ht="25.5" customHeight="1">
      <c r="A87" s="190"/>
      <c r="B87" s="72"/>
      <c r="C87" s="73" t="s">
        <v>755</v>
      </c>
      <c r="D87" s="73" t="s">
        <v>4</v>
      </c>
      <c r="E87" s="73"/>
      <c r="F87" s="196" t="s">
        <v>761</v>
      </c>
      <c r="G87" s="215"/>
      <c r="H87" s="216"/>
      <c r="I87" s="217"/>
      <c r="J87" s="215"/>
      <c r="K87" s="216"/>
      <c r="L87" s="217"/>
      <c r="M87" s="215"/>
      <c r="N87" s="216"/>
      <c r="O87" s="217"/>
      <c r="P87" s="215"/>
      <c r="Q87" s="216"/>
      <c r="R87" s="217"/>
      <c r="S87" s="215"/>
      <c r="T87" s="216"/>
      <c r="U87" s="218"/>
    </row>
    <row r="88" spans="1:21" s="30" customFormat="1" ht="21.75" customHeight="1">
      <c r="A88" s="190"/>
      <c r="B88" s="72"/>
      <c r="C88" s="73" t="s">
        <v>756</v>
      </c>
      <c r="D88" s="73" t="s">
        <v>4</v>
      </c>
      <c r="E88" s="73"/>
      <c r="F88" s="196" t="s">
        <v>765</v>
      </c>
      <c r="G88" s="213"/>
      <c r="H88" s="214"/>
      <c r="I88" s="244">
        <f t="shared" ref="I88:I89" si="75">G88-H88</f>
        <v>0</v>
      </c>
      <c r="J88" s="213"/>
      <c r="K88" s="214"/>
      <c r="L88" s="244">
        <f t="shared" ref="L88:L89" si="76">J88-K88</f>
        <v>0</v>
      </c>
      <c r="M88" s="213"/>
      <c r="N88" s="214"/>
      <c r="O88" s="246">
        <f t="shared" ref="O88:O89" si="77">M88-N88</f>
        <v>0</v>
      </c>
      <c r="P88" s="244">
        <f t="shared" ref="P88:Q89" si="78">J88+M88</f>
        <v>0</v>
      </c>
      <c r="Q88" s="244">
        <f t="shared" si="78"/>
        <v>0</v>
      </c>
      <c r="R88" s="249">
        <f t="shared" ref="R88:R89" si="79">P88-Q88</f>
        <v>0</v>
      </c>
      <c r="S88" s="244">
        <f t="shared" ref="S88:T89" si="80">G88+P88</f>
        <v>0</v>
      </c>
      <c r="T88" s="244">
        <f t="shared" si="80"/>
        <v>0</v>
      </c>
      <c r="U88" s="246">
        <f t="shared" ref="U88:U89" si="81">S88-T88</f>
        <v>0</v>
      </c>
    </row>
    <row r="89" spans="1:21" s="30" customFormat="1" ht="25.5" customHeight="1">
      <c r="A89" s="190"/>
      <c r="B89" s="72"/>
      <c r="C89" s="73" t="s">
        <v>757</v>
      </c>
      <c r="D89" s="73" t="s">
        <v>4</v>
      </c>
      <c r="E89" s="73"/>
      <c r="F89" s="196" t="s">
        <v>782</v>
      </c>
      <c r="G89" s="213"/>
      <c r="H89" s="214"/>
      <c r="I89" s="244">
        <f t="shared" si="75"/>
        <v>0</v>
      </c>
      <c r="J89" s="213"/>
      <c r="K89" s="214"/>
      <c r="L89" s="244">
        <f t="shared" si="76"/>
        <v>0</v>
      </c>
      <c r="M89" s="213"/>
      <c r="N89" s="214"/>
      <c r="O89" s="246">
        <f t="shared" si="77"/>
        <v>0</v>
      </c>
      <c r="P89" s="244">
        <f t="shared" si="78"/>
        <v>0</v>
      </c>
      <c r="Q89" s="244">
        <f t="shared" si="78"/>
        <v>0</v>
      </c>
      <c r="R89" s="249">
        <f t="shared" si="79"/>
        <v>0</v>
      </c>
      <c r="S89" s="244">
        <f t="shared" si="80"/>
        <v>0</v>
      </c>
      <c r="T89" s="244">
        <f t="shared" si="80"/>
        <v>0</v>
      </c>
      <c r="U89" s="246">
        <f t="shared" si="81"/>
        <v>0</v>
      </c>
    </row>
    <row r="90" spans="1:21" s="30" customFormat="1" ht="15" customHeight="1">
      <c r="A90" s="190"/>
      <c r="B90" s="191"/>
      <c r="C90" s="121"/>
      <c r="D90" s="121"/>
      <c r="E90" s="121" t="s">
        <v>0</v>
      </c>
      <c r="F90" s="192" t="s">
        <v>0</v>
      </c>
      <c r="G90" s="202"/>
      <c r="H90" s="207"/>
      <c r="I90" s="192"/>
      <c r="J90" s="202"/>
      <c r="K90" s="207"/>
      <c r="L90" s="192"/>
      <c r="M90" s="202"/>
      <c r="N90" s="207"/>
      <c r="O90" s="192"/>
      <c r="P90" s="202"/>
      <c r="Q90" s="207"/>
      <c r="R90" s="192"/>
      <c r="S90" s="202"/>
      <c r="T90" s="207"/>
      <c r="U90" s="227"/>
    </row>
    <row r="91" spans="1:21" s="30" customFormat="1" ht="15" customHeight="1">
      <c r="A91" s="190"/>
      <c r="B91" s="191"/>
      <c r="C91" s="121"/>
      <c r="D91" s="121"/>
      <c r="E91" s="121"/>
      <c r="F91" s="192"/>
      <c r="G91" s="202"/>
      <c r="H91" s="207"/>
      <c r="I91" s="192"/>
      <c r="J91" s="202"/>
      <c r="K91" s="207"/>
      <c r="L91" s="192"/>
      <c r="M91" s="202"/>
      <c r="N91" s="207"/>
      <c r="O91" s="192"/>
      <c r="P91" s="202"/>
      <c r="Q91" s="207"/>
      <c r="R91" s="192"/>
      <c r="S91" s="202"/>
      <c r="T91" s="207"/>
      <c r="U91" s="227"/>
    </row>
    <row r="92" spans="1:21" s="30" customFormat="1" ht="15" customHeight="1">
      <c r="A92" s="190"/>
      <c r="B92" s="72"/>
      <c r="C92" s="174"/>
      <c r="D92" s="73"/>
      <c r="E92" s="73"/>
      <c r="F92" s="299" t="s">
        <v>728</v>
      </c>
      <c r="G92" s="202" t="s">
        <v>0</v>
      </c>
      <c r="H92" s="207" t="s">
        <v>0</v>
      </c>
      <c r="I92" s="192" t="s">
        <v>0</v>
      </c>
      <c r="J92" s="202" t="s">
        <v>0</v>
      </c>
      <c r="K92" s="207" t="s">
        <v>0</v>
      </c>
      <c r="L92" s="192" t="s">
        <v>0</v>
      </c>
      <c r="M92" s="202" t="s">
        <v>0</v>
      </c>
      <c r="N92" s="207" t="s">
        <v>0</v>
      </c>
      <c r="O92" s="192" t="s">
        <v>0</v>
      </c>
      <c r="P92" s="202" t="s">
        <v>0</v>
      </c>
      <c r="Q92" s="207" t="s">
        <v>0</v>
      </c>
      <c r="R92" s="192" t="s">
        <v>0</v>
      </c>
      <c r="S92" s="202" t="s">
        <v>0</v>
      </c>
      <c r="T92" s="207" t="s">
        <v>0</v>
      </c>
      <c r="U92" s="227" t="s">
        <v>0</v>
      </c>
    </row>
    <row r="93" spans="1:21" s="30" customFormat="1" ht="15" customHeight="1">
      <c r="A93" s="190"/>
      <c r="B93" s="191"/>
      <c r="C93" s="121"/>
      <c r="D93" s="178"/>
      <c r="E93" s="73"/>
      <c r="F93" s="197" t="s">
        <v>758</v>
      </c>
      <c r="G93" s="202"/>
      <c r="H93" s="207"/>
      <c r="I93" s="192"/>
      <c r="J93" s="202"/>
      <c r="K93" s="207"/>
      <c r="L93" s="192"/>
      <c r="M93" s="202"/>
      <c r="N93" s="207"/>
      <c r="O93" s="192"/>
      <c r="P93" s="202"/>
      <c r="Q93" s="207"/>
      <c r="R93" s="192"/>
      <c r="S93" s="202"/>
      <c r="T93" s="207"/>
      <c r="U93" s="227"/>
    </row>
    <row r="94" spans="1:21" s="30" customFormat="1" ht="21" customHeight="1">
      <c r="A94" s="190"/>
      <c r="B94" s="72"/>
      <c r="C94" s="73" t="s">
        <v>750</v>
      </c>
      <c r="D94" s="73" t="s">
        <v>47</v>
      </c>
      <c r="E94" s="73"/>
      <c r="F94" s="196" t="s">
        <v>762</v>
      </c>
      <c r="G94" s="254"/>
      <c r="H94" s="255"/>
      <c r="I94" s="256"/>
      <c r="J94" s="254"/>
      <c r="K94" s="255"/>
      <c r="L94" s="256"/>
      <c r="M94" s="254"/>
      <c r="N94" s="255"/>
      <c r="O94" s="256"/>
      <c r="P94" s="254"/>
      <c r="Q94" s="255"/>
      <c r="R94" s="256"/>
      <c r="S94" s="254"/>
      <c r="T94" s="255"/>
      <c r="U94" s="257"/>
    </row>
    <row r="95" spans="1:21" s="30" customFormat="1" ht="21.75" customHeight="1">
      <c r="A95" s="190"/>
      <c r="B95" s="72"/>
      <c r="C95" s="73" t="s">
        <v>751</v>
      </c>
      <c r="D95" s="73" t="s">
        <v>47</v>
      </c>
      <c r="E95" s="73"/>
      <c r="F95" s="196" t="s">
        <v>763</v>
      </c>
      <c r="G95" s="254"/>
      <c r="H95" s="255"/>
      <c r="I95" s="256"/>
      <c r="J95" s="254"/>
      <c r="K95" s="255"/>
      <c r="L95" s="256"/>
      <c r="M95" s="254"/>
      <c r="N95" s="255"/>
      <c r="O95" s="256"/>
      <c r="P95" s="254"/>
      <c r="Q95" s="255"/>
      <c r="R95" s="256"/>
      <c r="S95" s="254"/>
      <c r="T95" s="255"/>
      <c r="U95" s="257"/>
    </row>
    <row r="96" spans="1:21" s="30" customFormat="1" ht="25.5" customHeight="1">
      <c r="A96" s="190"/>
      <c r="B96" s="72"/>
      <c r="C96" s="73" t="s">
        <v>752</v>
      </c>
      <c r="D96" s="73" t="s">
        <v>47</v>
      </c>
      <c r="E96" s="73"/>
      <c r="F96" s="196" t="s">
        <v>764</v>
      </c>
      <c r="G96" s="254"/>
      <c r="H96" s="255"/>
      <c r="I96" s="256"/>
      <c r="J96" s="254"/>
      <c r="K96" s="255"/>
      <c r="L96" s="256"/>
      <c r="M96" s="254"/>
      <c r="N96" s="255"/>
      <c r="O96" s="256"/>
      <c r="P96" s="254"/>
      <c r="Q96" s="255"/>
      <c r="R96" s="256"/>
      <c r="S96" s="254"/>
      <c r="T96" s="255"/>
      <c r="U96" s="257"/>
    </row>
    <row r="97" spans="1:21" s="30" customFormat="1" ht="21" customHeight="1">
      <c r="A97" s="190"/>
      <c r="B97" s="72"/>
      <c r="C97" s="73" t="s">
        <v>753</v>
      </c>
      <c r="D97" s="73" t="s">
        <v>47</v>
      </c>
      <c r="E97" s="73"/>
      <c r="F97" s="196" t="s">
        <v>759</v>
      </c>
      <c r="G97" s="215"/>
      <c r="H97" s="216"/>
      <c r="I97" s="217"/>
      <c r="J97" s="215"/>
      <c r="K97" s="216"/>
      <c r="L97" s="217"/>
      <c r="M97" s="215"/>
      <c r="N97" s="216"/>
      <c r="O97" s="217"/>
      <c r="P97" s="215"/>
      <c r="Q97" s="216"/>
      <c r="R97" s="217"/>
      <c r="S97" s="215"/>
      <c r="T97" s="216"/>
      <c r="U97" s="218"/>
    </row>
    <row r="98" spans="1:21" s="30" customFormat="1" ht="21.75" customHeight="1">
      <c r="A98" s="190"/>
      <c r="B98" s="72"/>
      <c r="C98" s="73" t="s">
        <v>754</v>
      </c>
      <c r="D98" s="73" t="s">
        <v>47</v>
      </c>
      <c r="E98" s="73"/>
      <c r="F98" s="196" t="s">
        <v>760</v>
      </c>
      <c r="G98" s="215"/>
      <c r="H98" s="216"/>
      <c r="I98" s="217"/>
      <c r="J98" s="215"/>
      <c r="K98" s="216"/>
      <c r="L98" s="217"/>
      <c r="M98" s="215"/>
      <c r="N98" s="216"/>
      <c r="O98" s="217"/>
      <c r="P98" s="215"/>
      <c r="Q98" s="216"/>
      <c r="R98" s="217"/>
      <c r="S98" s="215"/>
      <c r="T98" s="216"/>
      <c r="U98" s="218"/>
    </row>
    <row r="99" spans="1:21" s="30" customFormat="1" ht="25.5" customHeight="1">
      <c r="A99" s="190"/>
      <c r="B99" s="72"/>
      <c r="C99" s="73" t="s">
        <v>755</v>
      </c>
      <c r="D99" s="73" t="s">
        <v>47</v>
      </c>
      <c r="E99" s="73"/>
      <c r="F99" s="196" t="s">
        <v>761</v>
      </c>
      <c r="G99" s="215"/>
      <c r="H99" s="216"/>
      <c r="I99" s="217"/>
      <c r="J99" s="215"/>
      <c r="K99" s="216"/>
      <c r="L99" s="217"/>
      <c r="M99" s="215"/>
      <c r="N99" s="216"/>
      <c r="O99" s="217"/>
      <c r="P99" s="215"/>
      <c r="Q99" s="216"/>
      <c r="R99" s="217"/>
      <c r="S99" s="215"/>
      <c r="T99" s="216"/>
      <c r="U99" s="218"/>
    </row>
    <row r="100" spans="1:21" s="30" customFormat="1" ht="21.75" customHeight="1">
      <c r="A100" s="190" t="s">
        <v>48</v>
      </c>
      <c r="B100" s="72"/>
      <c r="C100" s="73" t="s">
        <v>756</v>
      </c>
      <c r="D100" s="73" t="s">
        <v>4</v>
      </c>
      <c r="E100" s="73"/>
      <c r="F100" s="196" t="s">
        <v>765</v>
      </c>
      <c r="G100" s="213"/>
      <c r="H100" s="214"/>
      <c r="I100" s="244">
        <f t="shared" ref="I100:I101" si="82">G100-H100</f>
        <v>0</v>
      </c>
      <c r="J100" s="213"/>
      <c r="K100" s="214"/>
      <c r="L100" s="244">
        <f t="shared" ref="L100:L101" si="83">J100-K100</f>
        <v>0</v>
      </c>
      <c r="M100" s="213"/>
      <c r="N100" s="214"/>
      <c r="O100" s="246">
        <f t="shared" ref="O100:O101" si="84">M100-N100</f>
        <v>0</v>
      </c>
      <c r="P100" s="244">
        <f t="shared" ref="P100:Q101" si="85">J100+M100</f>
        <v>0</v>
      </c>
      <c r="Q100" s="244">
        <f t="shared" si="85"/>
        <v>0</v>
      </c>
      <c r="R100" s="249">
        <f t="shared" ref="R100:R101" si="86">P100-Q100</f>
        <v>0</v>
      </c>
      <c r="S100" s="244">
        <f t="shared" ref="S100:T101" si="87">G100+P100</f>
        <v>0</v>
      </c>
      <c r="T100" s="244">
        <f t="shared" si="87"/>
        <v>0</v>
      </c>
      <c r="U100" s="246">
        <f t="shared" ref="U100:U101" si="88">S100-T100</f>
        <v>0</v>
      </c>
    </row>
    <row r="101" spans="1:21" s="30" customFormat="1" ht="25.5" customHeight="1">
      <c r="A101" s="190" t="s">
        <v>48</v>
      </c>
      <c r="B101" s="72"/>
      <c r="C101" s="73" t="s">
        <v>757</v>
      </c>
      <c r="D101" s="73" t="s">
        <v>4</v>
      </c>
      <c r="E101" s="73"/>
      <c r="F101" s="196" t="s">
        <v>782</v>
      </c>
      <c r="G101" s="213"/>
      <c r="H101" s="214"/>
      <c r="I101" s="244">
        <f t="shared" si="82"/>
        <v>0</v>
      </c>
      <c r="J101" s="213"/>
      <c r="K101" s="214"/>
      <c r="L101" s="244">
        <f t="shared" si="83"/>
        <v>0</v>
      </c>
      <c r="M101" s="213"/>
      <c r="N101" s="214"/>
      <c r="O101" s="246">
        <f t="shared" si="84"/>
        <v>0</v>
      </c>
      <c r="P101" s="244">
        <f t="shared" si="85"/>
        <v>0</v>
      </c>
      <c r="Q101" s="244">
        <f t="shared" si="85"/>
        <v>0</v>
      </c>
      <c r="R101" s="249">
        <f t="shared" si="86"/>
        <v>0</v>
      </c>
      <c r="S101" s="244">
        <f t="shared" si="87"/>
        <v>0</v>
      </c>
      <c r="T101" s="244">
        <f t="shared" si="87"/>
        <v>0</v>
      </c>
      <c r="U101" s="246">
        <f t="shared" si="88"/>
        <v>0</v>
      </c>
    </row>
    <row r="102" spans="1:21" ht="15.75" thickBot="1">
      <c r="A102" s="190"/>
      <c r="B102" s="193"/>
      <c r="C102" s="194"/>
      <c r="D102" s="194"/>
      <c r="E102" s="194" t="s">
        <v>0</v>
      </c>
      <c r="F102" s="195" t="s">
        <v>0</v>
      </c>
      <c r="G102" s="203"/>
      <c r="H102" s="208"/>
      <c r="I102" s="195"/>
      <c r="J102" s="203"/>
      <c r="K102" s="208"/>
      <c r="L102" s="195"/>
      <c r="M102" s="203"/>
      <c r="N102" s="208"/>
      <c r="O102" s="195"/>
      <c r="P102" s="203"/>
      <c r="Q102" s="208"/>
      <c r="R102" s="195"/>
      <c r="S102" s="203"/>
      <c r="T102" s="208"/>
      <c r="U102" s="195"/>
    </row>
  </sheetData>
  <mergeCells count="26">
    <mergeCell ref="F6:I6"/>
    <mergeCell ref="G7:I7"/>
    <mergeCell ref="G8:I8"/>
    <mergeCell ref="G9:I9"/>
    <mergeCell ref="G10:U10"/>
    <mergeCell ref="G74:U74"/>
    <mergeCell ref="G12:I12"/>
    <mergeCell ref="J12:L12"/>
    <mergeCell ref="M12:O12"/>
    <mergeCell ref="P12:R12"/>
    <mergeCell ref="S12:U12"/>
    <mergeCell ref="G42:I42"/>
    <mergeCell ref="G41:I41"/>
    <mergeCell ref="G43:I43"/>
    <mergeCell ref="G44:U44"/>
    <mergeCell ref="G46:I46"/>
    <mergeCell ref="J46:L46"/>
    <mergeCell ref="M46:O46"/>
    <mergeCell ref="P46:R46"/>
    <mergeCell ref="S46:U46"/>
    <mergeCell ref="F40:I40"/>
    <mergeCell ref="G76:I76"/>
    <mergeCell ref="J76:L76"/>
    <mergeCell ref="M76:O76"/>
    <mergeCell ref="P76:R76"/>
    <mergeCell ref="S76:U76"/>
  </mergeCells>
  <conditionalFormatting sqref="G10">
    <cfRule type="expression" dxfId="11" priority="2">
      <formula>ISERROR(G11)</formula>
    </cfRule>
  </conditionalFormatting>
  <conditionalFormatting sqref="G44">
    <cfRule type="expression" dxfId="10" priority="1">
      <formula>ISERROR(G45)</formula>
    </cfRule>
  </conditionalFormatting>
  <pageMargins left="0.7" right="0.7" top="0.75" bottom="0.75" header="0.3" footer="0.3"/>
  <pageSetup paperSize="9" orientation="portrait" horizontalDpi="300" verticalDpi="300" r:id="rId1"/>
  <extLst>
    <ext xmlns:x14="http://schemas.microsoft.com/office/spreadsheetml/2009/9/main" uri="{78C0D931-6437-407d-A8EE-F0AAD7539E65}">
      <x14:conditionalFormattings>
        <x14:conditionalFormatting xmlns:xm="http://schemas.microsoft.com/office/excel/2006/main">
          <x14:cfRule type="expression" priority="14" id="{DCED8F5B-2465-4358-A24E-544E61340216}">
            <xm:f>ISERROR(VLOOKUP($G7,Hoja1!$C$1:$C$12,1,FALSE))</xm:f>
            <x14:dxf>
              <font>
                <color rgb="FFFFFF00"/>
              </font>
              <fill>
                <patternFill>
                  <bgColor rgb="FFFF0000"/>
                </patternFill>
              </fill>
            </x14:dxf>
          </x14:cfRule>
          <xm:sqref>G7</xm:sqref>
        </x14:conditionalFormatting>
        <x14:conditionalFormatting xmlns:xm="http://schemas.microsoft.com/office/excel/2006/main">
          <x14:cfRule type="expression" priority="13" id="{64E23E93-2E37-4CF5-ACBF-FB84CEE8412B}">
            <xm:f>ISERROR(VLOOKUP(G8,Hoja1!$D$1:$D$2,1,FALSE))</xm:f>
            <x14:dxf>
              <font>
                <color rgb="FFFFFF66"/>
              </font>
              <fill>
                <patternFill>
                  <bgColor rgb="FFFF0000"/>
                </patternFill>
              </fill>
            </x14:dxf>
          </x14:cfRule>
          <xm:sqref>G8</xm:sqref>
        </x14:conditionalFormatting>
        <x14:conditionalFormatting xmlns:xm="http://schemas.microsoft.com/office/excel/2006/main">
          <x14:cfRule type="expression" priority="12" id="{72E7EAD5-991C-424F-AE6A-8E134B6684F6}">
            <xm:f>ISERROR(VLOOKUP(G9,Hoja1!$E$1:$E$2,1,FALSE))</xm:f>
            <x14:dxf>
              <font>
                <color rgb="FFFFFF00"/>
              </font>
              <fill>
                <patternFill>
                  <bgColor rgb="FFFF0000"/>
                </patternFill>
              </fill>
            </x14:dxf>
          </x14:cfRule>
          <xm:sqref>G9</xm:sqref>
        </x14:conditionalFormatting>
        <x14:conditionalFormatting xmlns:xm="http://schemas.microsoft.com/office/excel/2006/main">
          <x14:cfRule type="expression" priority="7" id="{444C7225-55BD-4E9D-BAF0-2D3B35C1C743}">
            <xm:f>ISERROR(VLOOKUP($G41,Hoja1!$C$1:$C$12,1,FALSE))</xm:f>
            <x14:dxf>
              <font>
                <color rgb="FFFFFF00"/>
              </font>
              <fill>
                <patternFill>
                  <bgColor rgb="FFFF0000"/>
                </patternFill>
              </fill>
            </x14:dxf>
          </x14:cfRule>
          <xm:sqref>G41</xm:sqref>
        </x14:conditionalFormatting>
        <x14:conditionalFormatting xmlns:xm="http://schemas.microsoft.com/office/excel/2006/main">
          <x14:cfRule type="expression" priority="6" id="{08C6B456-B92E-4FD9-8B3C-5E9182C7C074}">
            <xm:f>ISERROR(VLOOKUP(G42,Hoja1!$D$1:$D$2,1,FALSE))</xm:f>
            <x14:dxf>
              <font>
                <color rgb="FFFFFF66"/>
              </font>
              <fill>
                <patternFill>
                  <bgColor rgb="FFFF0000"/>
                </patternFill>
              </fill>
            </x14:dxf>
          </x14:cfRule>
          <xm:sqref>G42</xm:sqref>
        </x14:conditionalFormatting>
        <x14:conditionalFormatting xmlns:xm="http://schemas.microsoft.com/office/excel/2006/main">
          <x14:cfRule type="expression" priority="5" id="{0DC62039-12AB-4DEF-8650-8085A886DAEA}">
            <xm:f>ISERROR(VLOOKUP(G43,Hoja1!$E$1:$E$2,1,FALSE))</xm:f>
            <x14:dxf>
              <font>
                <color rgb="FFFFFF00"/>
              </font>
              <fill>
                <patternFill>
                  <bgColor rgb="FFFF0000"/>
                </patternFill>
              </fill>
            </x14:dxf>
          </x14:cfRule>
          <xm:sqref>G43</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900-000000000000}">
          <x14:formula1>
            <xm:f>Hoja1!$C$1:$C$12</xm:f>
          </x14:formula1>
          <xm:sqref>G7 G82:U82 G94:U94 G41</xm:sqref>
        </x14:dataValidation>
        <x14:dataValidation type="list" allowBlank="1" showInputMessage="1" showErrorMessage="1" xr:uid="{00000000-0002-0000-0900-000001000000}">
          <x14:formula1>
            <xm:f>Hoja1!$D$1:$D$2</xm:f>
          </x14:formula1>
          <xm:sqref>G8 G83:U83 G95:U95 G42</xm:sqref>
        </x14:dataValidation>
        <x14:dataValidation type="list" allowBlank="1" showInputMessage="1" showErrorMessage="1" xr:uid="{00000000-0002-0000-0900-000002000000}">
          <x14:formula1>
            <xm:f>Hoja1!$E$1:$E$2</xm:f>
          </x14:formula1>
          <xm:sqref>G9 G84:U84 G96:U96 G43</xm:sqref>
        </x14:dataValidation>
        <x14:dataValidation type="list" allowBlank="1" showInputMessage="1" showErrorMessage="1" xr:uid="{00000000-0002-0000-0900-000003000000}">
          <x14:formula1>
            <xm:f>Hoja1!$F$1:$F$2</xm:f>
          </x14:formula1>
          <xm:sqref>G4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2">
    <tabColor rgb="FF00B0F0"/>
  </sheetPr>
  <dimension ref="A1:U68"/>
  <sheetViews>
    <sheetView topLeftCell="A27" zoomScale="96" zoomScaleNormal="96" workbookViewId="0">
      <selection activeCell="G46" sqref="G46"/>
    </sheetView>
  </sheetViews>
  <sheetFormatPr baseColWidth="10" defaultRowHeight="15"/>
  <cols>
    <col min="1" max="1" width="2.7109375" customWidth="1"/>
    <col min="2" max="2" width="3.28515625" customWidth="1"/>
    <col min="3" max="3" width="59" bestFit="1" customWidth="1"/>
    <col min="4" max="4" width="5.42578125" customWidth="1"/>
    <col min="5" max="5" width="2.7109375" customWidth="1"/>
    <col min="6" max="6" width="90.7109375" customWidth="1"/>
    <col min="7" max="21" width="20.28515625" customWidth="1"/>
  </cols>
  <sheetData>
    <row r="1" spans="1:21" ht="54.95" customHeight="1" thickBot="1"/>
    <row r="2" spans="1:21" ht="177" customHeight="1" thickBot="1">
      <c r="F2" s="162" t="s">
        <v>724</v>
      </c>
      <c r="H2" s="318"/>
    </row>
    <row r="3" spans="1:21" ht="15.75" thickBot="1"/>
    <row r="4" spans="1:21" ht="16.5" thickBot="1">
      <c r="F4" s="263" t="s">
        <v>725</v>
      </c>
      <c r="G4" s="264" t="s">
        <v>726</v>
      </c>
    </row>
    <row r="5" spans="1:21" ht="16.5" thickBot="1">
      <c r="F5" s="286"/>
    </row>
    <row r="6" spans="1:21">
      <c r="B6" s="265"/>
      <c r="C6" s="266"/>
      <c r="D6" s="266"/>
      <c r="E6" s="266"/>
      <c r="F6" s="354" t="s">
        <v>862</v>
      </c>
      <c r="G6" s="355"/>
      <c r="H6" s="355"/>
      <c r="I6" s="356"/>
      <c r="J6" s="266"/>
      <c r="K6" s="266"/>
      <c r="L6" s="266"/>
      <c r="M6" s="266"/>
      <c r="N6" s="266"/>
      <c r="O6" s="266"/>
      <c r="P6" s="266"/>
      <c r="Q6" s="266"/>
      <c r="R6" s="266"/>
      <c r="S6" s="266"/>
      <c r="T6" s="266"/>
      <c r="U6" s="267"/>
    </row>
    <row r="7" spans="1:21" ht="15.75" thickBot="1">
      <c r="B7" s="268"/>
      <c r="F7" s="269" t="s">
        <v>762</v>
      </c>
      <c r="G7" s="339" t="s">
        <v>767</v>
      </c>
      <c r="H7" s="340"/>
      <c r="I7" s="341"/>
      <c r="U7" s="270"/>
    </row>
    <row r="8" spans="1:21" s="30" customFormat="1" ht="25.5" customHeight="1">
      <c r="A8" s="163" t="s">
        <v>54</v>
      </c>
      <c r="B8" s="164"/>
      <c r="C8" s="165"/>
      <c r="D8" s="165"/>
      <c r="E8" s="165"/>
      <c r="F8" s="166" t="s">
        <v>943</v>
      </c>
      <c r="G8" s="357" t="str">
        <f>IF(G7="","Seleccione un valor de la lista superior o elimine este bloque",G7)</f>
        <v>Contratos Garantía Financiera</v>
      </c>
      <c r="H8" s="358"/>
      <c r="I8" s="358"/>
      <c r="J8" s="358"/>
      <c r="K8" s="358"/>
      <c r="L8" s="358"/>
      <c r="M8" s="358"/>
      <c r="N8" s="358"/>
      <c r="O8" s="358"/>
      <c r="P8" s="358"/>
      <c r="Q8" s="358"/>
      <c r="R8" s="358"/>
      <c r="S8" s="358"/>
      <c r="T8" s="358"/>
      <c r="U8" s="359"/>
    </row>
    <row r="9" spans="1:21" s="30" customFormat="1" ht="158.25" hidden="1" customHeight="1">
      <c r="A9" s="163" t="s">
        <v>55</v>
      </c>
      <c r="B9" s="167"/>
      <c r="C9" s="168"/>
      <c r="D9" s="168" t="s">
        <v>836</v>
      </c>
      <c r="E9" s="169" t="s">
        <v>747</v>
      </c>
      <c r="F9" s="170"/>
      <c r="G9" s="171" t="str">
        <f>CONCATENATE("IFRS7-InfoMatrProv_",VLOOKUP($G7,Hoja1!$C$1:$G$12,5,FALSE),"_0","|",$G8)</f>
        <v>IFRS7-InfoMatrProv_ContGaraFina_0|Contratos Garantía Financiera</v>
      </c>
      <c r="H9" s="171" t="str">
        <f>G9</f>
        <v>IFRS7-InfoMatrProv_ContGaraFina_0|Contratos Garantía Financiera</v>
      </c>
      <c r="I9" s="172" t="str">
        <f t="shared" ref="I9:U9" si="0">H9</f>
        <v>IFRS7-InfoMatrProv_ContGaraFina_0|Contratos Garantía Financiera</v>
      </c>
      <c r="J9" s="171" t="str">
        <f t="shared" si="0"/>
        <v>IFRS7-InfoMatrProv_ContGaraFina_0|Contratos Garantía Financiera</v>
      </c>
      <c r="K9" s="171" t="str">
        <f t="shared" si="0"/>
        <v>IFRS7-InfoMatrProv_ContGaraFina_0|Contratos Garantía Financiera</v>
      </c>
      <c r="L9" s="172" t="str">
        <f t="shared" si="0"/>
        <v>IFRS7-InfoMatrProv_ContGaraFina_0|Contratos Garantía Financiera</v>
      </c>
      <c r="M9" s="171" t="str">
        <f t="shared" si="0"/>
        <v>IFRS7-InfoMatrProv_ContGaraFina_0|Contratos Garantía Financiera</v>
      </c>
      <c r="N9" s="171" t="str">
        <f t="shared" si="0"/>
        <v>IFRS7-InfoMatrProv_ContGaraFina_0|Contratos Garantía Financiera</v>
      </c>
      <c r="O9" s="172" t="str">
        <f t="shared" si="0"/>
        <v>IFRS7-InfoMatrProv_ContGaraFina_0|Contratos Garantía Financiera</v>
      </c>
      <c r="P9" s="171" t="str">
        <f t="shared" si="0"/>
        <v>IFRS7-InfoMatrProv_ContGaraFina_0|Contratos Garantía Financiera</v>
      </c>
      <c r="Q9" s="171" t="str">
        <f t="shared" si="0"/>
        <v>IFRS7-InfoMatrProv_ContGaraFina_0|Contratos Garantía Financiera</v>
      </c>
      <c r="R9" s="172" t="str">
        <f t="shared" si="0"/>
        <v>IFRS7-InfoMatrProv_ContGaraFina_0|Contratos Garantía Financiera</v>
      </c>
      <c r="S9" s="171" t="str">
        <f t="shared" si="0"/>
        <v>IFRS7-InfoMatrProv_ContGaraFina_0|Contratos Garantía Financiera</v>
      </c>
      <c r="T9" s="171" t="str">
        <f t="shared" si="0"/>
        <v>IFRS7-InfoMatrProv_ContGaraFina_0|Contratos Garantía Financiera</v>
      </c>
      <c r="U9" s="172" t="str">
        <f t="shared" si="0"/>
        <v>IFRS7-InfoMatrProv_ContGaraFina_0|Contratos Garantía Financiera</v>
      </c>
    </row>
    <row r="10" spans="1:21" s="30" customFormat="1" ht="78" customHeight="1">
      <c r="A10" s="228"/>
      <c r="B10" s="229"/>
      <c r="C10" s="187"/>
      <c r="D10" s="187"/>
      <c r="E10" s="184"/>
      <c r="F10" s="198"/>
      <c r="G10" s="329" t="s">
        <v>839</v>
      </c>
      <c r="H10" s="330"/>
      <c r="I10" s="331"/>
      <c r="J10" s="329" t="s">
        <v>841</v>
      </c>
      <c r="K10" s="330"/>
      <c r="L10" s="331"/>
      <c r="M10" s="329" t="s">
        <v>843</v>
      </c>
      <c r="N10" s="330"/>
      <c r="O10" s="331"/>
      <c r="P10" s="329" t="s">
        <v>845</v>
      </c>
      <c r="Q10" s="330"/>
      <c r="R10" s="331"/>
      <c r="S10" s="329" t="s">
        <v>847</v>
      </c>
      <c r="T10" s="330"/>
      <c r="U10" s="332"/>
    </row>
    <row r="11" spans="1:21" s="30" customFormat="1" ht="57" hidden="1" customHeight="1">
      <c r="A11" s="62" t="s">
        <v>55</v>
      </c>
      <c r="B11" s="173"/>
      <c r="C11" s="174"/>
      <c r="D11" s="175"/>
      <c r="E11" s="73" t="s">
        <v>837</v>
      </c>
      <c r="F11" s="199"/>
      <c r="G11" s="201" t="s">
        <v>838</v>
      </c>
      <c r="H11" s="206" t="str">
        <f>G11</f>
        <v>full_ifrs-cor_2018-03-16.xsd#ifrs-full_CurrentMember</v>
      </c>
      <c r="I11" s="204" t="str">
        <f>H11</f>
        <v>full_ifrs-cor_2018-03-16.xsd#ifrs-full_CurrentMember</v>
      </c>
      <c r="J11" s="201" t="s">
        <v>840</v>
      </c>
      <c r="K11" s="206" t="str">
        <f t="shared" ref="K11:L11" si="1">J11</f>
        <v>full_ifrs-cor_2014-03-05.xsd#ifrs-full_LaterThanOneMonthAndNotLaterThanTwoMonthsMember</v>
      </c>
      <c r="L11" s="204" t="str">
        <f t="shared" si="1"/>
        <v>full_ifrs-cor_2014-03-05.xsd#ifrs-full_LaterThanOneMonthAndNotLaterThanTwoMonthsMember</v>
      </c>
      <c r="M11" s="201" t="s">
        <v>842</v>
      </c>
      <c r="N11" s="206" t="str">
        <f t="shared" ref="N11:O11" si="2">M11</f>
        <v>full_ifrs-cor_2014-03-05.xsd#ifrs-full_LaterThanTwoMonthsAndNotLaterThanThreeMonthsMember</v>
      </c>
      <c r="O11" s="204" t="str">
        <f t="shared" si="2"/>
        <v>full_ifrs-cor_2014-03-05.xsd#ifrs-full_LaterThanTwoMonthsAndNotLaterThanThreeMonthsMember</v>
      </c>
      <c r="P11" s="201" t="s">
        <v>844</v>
      </c>
      <c r="Q11" s="206" t="str">
        <f t="shared" ref="Q11:R11" si="3">P11</f>
        <v>full_ifrs-cor_2018-03-16.xsd#ifrs-full_LaterThanThreeMonthsMember</v>
      </c>
      <c r="R11" s="204" t="str">
        <f t="shared" si="3"/>
        <v>full_ifrs-cor_2018-03-16.xsd#ifrs-full_LaterThanThreeMonthsMember</v>
      </c>
      <c r="S11" s="201" t="s">
        <v>846</v>
      </c>
      <c r="T11" s="206" t="str">
        <f t="shared" ref="T11:U11" si="4">S11</f>
        <v>full_ifrs-cor_2018-03-16.xsd#ifrs-full_PastDueStatusMember</v>
      </c>
      <c r="U11" s="230" t="str">
        <f t="shared" si="4"/>
        <v>full_ifrs-cor_2018-03-16.xsd#ifrs-full_PastDueStatusMember</v>
      </c>
    </row>
    <row r="12" spans="1:21" s="30" customFormat="1" ht="78" customHeight="1">
      <c r="A12" s="228"/>
      <c r="B12" s="229"/>
      <c r="C12" s="187"/>
      <c r="D12" s="187"/>
      <c r="E12" s="184"/>
      <c r="F12" s="198"/>
      <c r="G12" s="200" t="s">
        <v>730</v>
      </c>
      <c r="H12" s="205" t="s">
        <v>731</v>
      </c>
      <c r="I12" s="188" t="s">
        <v>732</v>
      </c>
      <c r="J12" s="200" t="s">
        <v>730</v>
      </c>
      <c r="K12" s="205" t="s">
        <v>731</v>
      </c>
      <c r="L12" s="188" t="s">
        <v>732</v>
      </c>
      <c r="M12" s="200" t="s">
        <v>730</v>
      </c>
      <c r="N12" s="205" t="s">
        <v>731</v>
      </c>
      <c r="O12" s="188" t="s">
        <v>732</v>
      </c>
      <c r="P12" s="200" t="s">
        <v>730</v>
      </c>
      <c r="Q12" s="205" t="s">
        <v>731</v>
      </c>
      <c r="R12" s="188" t="s">
        <v>732</v>
      </c>
      <c r="S12" s="200" t="s">
        <v>730</v>
      </c>
      <c r="T12" s="205" t="s">
        <v>731</v>
      </c>
      <c r="U12" s="231" t="s">
        <v>732</v>
      </c>
    </row>
    <row r="13" spans="1:21" s="30" customFormat="1" ht="57" hidden="1" customHeight="1">
      <c r="A13" s="62" t="s">
        <v>55</v>
      </c>
      <c r="B13" s="173"/>
      <c r="C13" s="174"/>
      <c r="D13" s="175"/>
      <c r="E13" s="73" t="s">
        <v>729</v>
      </c>
      <c r="F13" s="199"/>
      <c r="G13" s="201" t="s">
        <v>733</v>
      </c>
      <c r="H13" s="206" t="s">
        <v>734</v>
      </c>
      <c r="I13" s="204" t="s">
        <v>735</v>
      </c>
      <c r="J13" s="201" t="s">
        <v>733</v>
      </c>
      <c r="K13" s="206" t="s">
        <v>734</v>
      </c>
      <c r="L13" s="204" t="s">
        <v>735</v>
      </c>
      <c r="M13" s="201" t="s">
        <v>733</v>
      </c>
      <c r="N13" s="206" t="s">
        <v>734</v>
      </c>
      <c r="O13" s="204" t="s">
        <v>735</v>
      </c>
      <c r="P13" s="201" t="s">
        <v>733</v>
      </c>
      <c r="Q13" s="206" t="s">
        <v>734</v>
      </c>
      <c r="R13" s="204" t="s">
        <v>735</v>
      </c>
      <c r="S13" s="201" t="s">
        <v>733</v>
      </c>
      <c r="T13" s="206" t="s">
        <v>734</v>
      </c>
      <c r="U13" s="230" t="s">
        <v>735</v>
      </c>
    </row>
    <row r="14" spans="1:21" s="30" customFormat="1" ht="22.5" customHeight="1">
      <c r="A14" s="62"/>
      <c r="B14" s="173"/>
      <c r="C14" s="174"/>
      <c r="D14" s="175"/>
      <c r="E14" s="175"/>
      <c r="F14" s="299" t="s">
        <v>727</v>
      </c>
      <c r="G14" s="201"/>
      <c r="H14" s="206"/>
      <c r="I14" s="189"/>
      <c r="J14" s="201"/>
      <c r="K14" s="206"/>
      <c r="L14" s="189"/>
      <c r="M14" s="201"/>
      <c r="N14" s="206"/>
      <c r="O14" s="189"/>
      <c r="P14" s="201"/>
      <c r="Q14" s="206"/>
      <c r="R14" s="189"/>
      <c r="S14" s="201"/>
      <c r="T14" s="206"/>
      <c r="U14" s="176"/>
    </row>
    <row r="15" spans="1:21" s="30" customFormat="1" ht="15" customHeight="1">
      <c r="A15" s="190"/>
      <c r="B15" s="177"/>
      <c r="C15" s="121"/>
      <c r="D15" s="178"/>
      <c r="E15" s="73"/>
      <c r="F15" s="197" t="s">
        <v>900</v>
      </c>
      <c r="G15" s="202"/>
      <c r="H15" s="207"/>
      <c r="I15" s="192"/>
      <c r="J15" s="202"/>
      <c r="K15" s="207"/>
      <c r="L15" s="192"/>
      <c r="M15" s="202"/>
      <c r="N15" s="207"/>
      <c r="O15" s="192"/>
      <c r="P15" s="202"/>
      <c r="Q15" s="207"/>
      <c r="R15" s="192"/>
      <c r="S15" s="202"/>
      <c r="T15" s="207"/>
      <c r="U15" s="232"/>
    </row>
    <row r="16" spans="1:21" s="30" customFormat="1" ht="15" customHeight="1">
      <c r="A16" s="190"/>
      <c r="B16" s="173"/>
      <c r="C16" s="73" t="s">
        <v>750</v>
      </c>
      <c r="D16" s="73" t="s">
        <v>4</v>
      </c>
      <c r="E16" s="73"/>
      <c r="F16" s="196" t="s">
        <v>762</v>
      </c>
      <c r="G16" s="278" t="str">
        <f>$G7</f>
        <v>Contratos Garantía Financiera</v>
      </c>
      <c r="H16" s="276" t="str">
        <f t="shared" ref="H16:U16" si="5">$G7</f>
        <v>Contratos Garantía Financiera</v>
      </c>
      <c r="I16" s="277" t="str">
        <f t="shared" si="5"/>
        <v>Contratos Garantía Financiera</v>
      </c>
      <c r="J16" s="278" t="str">
        <f t="shared" si="5"/>
        <v>Contratos Garantía Financiera</v>
      </c>
      <c r="K16" s="276" t="str">
        <f t="shared" si="5"/>
        <v>Contratos Garantía Financiera</v>
      </c>
      <c r="L16" s="277" t="str">
        <f t="shared" si="5"/>
        <v>Contratos Garantía Financiera</v>
      </c>
      <c r="M16" s="278" t="str">
        <f t="shared" si="5"/>
        <v>Contratos Garantía Financiera</v>
      </c>
      <c r="N16" s="276" t="str">
        <f t="shared" si="5"/>
        <v>Contratos Garantía Financiera</v>
      </c>
      <c r="O16" s="277" t="str">
        <f t="shared" si="5"/>
        <v>Contratos Garantía Financiera</v>
      </c>
      <c r="P16" s="278" t="str">
        <f t="shared" si="5"/>
        <v>Contratos Garantía Financiera</v>
      </c>
      <c r="Q16" s="276" t="str">
        <f t="shared" si="5"/>
        <v>Contratos Garantía Financiera</v>
      </c>
      <c r="R16" s="277" t="str">
        <f t="shared" si="5"/>
        <v>Contratos Garantía Financiera</v>
      </c>
      <c r="S16" s="278" t="str">
        <f t="shared" si="5"/>
        <v>Contratos Garantía Financiera</v>
      </c>
      <c r="T16" s="276" t="str">
        <f t="shared" si="5"/>
        <v>Contratos Garantía Financiera</v>
      </c>
      <c r="U16" s="279" t="str">
        <f t="shared" si="5"/>
        <v>Contratos Garantía Financiera</v>
      </c>
    </row>
    <row r="17" spans="1:21" s="30" customFormat="1" ht="21.75" customHeight="1">
      <c r="A17" s="190"/>
      <c r="B17" s="173"/>
      <c r="C17" s="73" t="s">
        <v>756</v>
      </c>
      <c r="D17" s="73" t="s">
        <v>4</v>
      </c>
      <c r="E17" s="73"/>
      <c r="F17" s="196" t="s">
        <v>765</v>
      </c>
      <c r="G17" s="213"/>
      <c r="H17" s="214"/>
      <c r="I17" s="244">
        <f>G17-H17</f>
        <v>0</v>
      </c>
      <c r="J17" s="213"/>
      <c r="K17" s="214"/>
      <c r="L17" s="244">
        <f>J17-K17</f>
        <v>0</v>
      </c>
      <c r="M17" s="213"/>
      <c r="N17" s="214"/>
      <c r="O17" s="244">
        <f>M17-N17</f>
        <v>0</v>
      </c>
      <c r="P17" s="213"/>
      <c r="Q17" s="214"/>
      <c r="R17" s="244">
        <f>P17-Q17</f>
        <v>0</v>
      </c>
      <c r="S17" s="244">
        <f>G17+J17+M17+P17</f>
        <v>0</v>
      </c>
      <c r="T17" s="252">
        <f t="shared" ref="T17:U18" si="6">H17+K17+N17+Q17</f>
        <v>0</v>
      </c>
      <c r="U17" s="253">
        <f t="shared" si="6"/>
        <v>0</v>
      </c>
    </row>
    <row r="18" spans="1:21" s="30" customFormat="1" ht="25.5" customHeight="1">
      <c r="A18" s="190"/>
      <c r="B18" s="173"/>
      <c r="C18" s="73" t="s">
        <v>848</v>
      </c>
      <c r="D18" s="73" t="s">
        <v>4</v>
      </c>
      <c r="E18" s="73"/>
      <c r="F18" s="196" t="s">
        <v>849</v>
      </c>
      <c r="G18" s="300"/>
      <c r="H18" s="301"/>
      <c r="I18" s="302">
        <f>G18-H18</f>
        <v>0</v>
      </c>
      <c r="J18" s="300"/>
      <c r="K18" s="301"/>
      <c r="L18" s="302">
        <f>J18-K18</f>
        <v>0</v>
      </c>
      <c r="M18" s="300"/>
      <c r="N18" s="301"/>
      <c r="O18" s="302">
        <f>M18-N18</f>
        <v>0</v>
      </c>
      <c r="P18" s="300"/>
      <c r="Q18" s="301"/>
      <c r="R18" s="302">
        <f>P18-Q18</f>
        <v>0</v>
      </c>
      <c r="S18" s="302">
        <f>G18+J18+M18+P18</f>
        <v>0</v>
      </c>
      <c r="T18" s="303">
        <f t="shared" si="6"/>
        <v>0</v>
      </c>
      <c r="U18" s="304">
        <f t="shared" si="6"/>
        <v>0</v>
      </c>
    </row>
    <row r="19" spans="1:21" s="30" customFormat="1" ht="15" customHeight="1">
      <c r="A19" s="190"/>
      <c r="B19" s="177"/>
      <c r="C19" s="121"/>
      <c r="D19" s="121"/>
      <c r="E19" s="121" t="s">
        <v>0</v>
      </c>
      <c r="F19" s="192" t="s">
        <v>0</v>
      </c>
      <c r="G19" s="202"/>
      <c r="H19" s="207"/>
      <c r="I19" s="192"/>
      <c r="J19" s="202"/>
      <c r="K19" s="207"/>
      <c r="L19" s="192"/>
      <c r="M19" s="202"/>
      <c r="N19" s="207"/>
      <c r="O19" s="192"/>
      <c r="P19" s="202"/>
      <c r="Q19" s="207"/>
      <c r="R19" s="192"/>
      <c r="S19" s="202"/>
      <c r="T19" s="207"/>
      <c r="U19" s="232"/>
    </row>
    <row r="20" spans="1:21" s="30" customFormat="1" ht="15" customHeight="1">
      <c r="A20" s="190"/>
      <c r="B20" s="177"/>
      <c r="C20" s="121"/>
      <c r="D20" s="121"/>
      <c r="E20" s="121"/>
      <c r="F20" s="192"/>
      <c r="G20" s="202"/>
      <c r="H20" s="207"/>
      <c r="I20" s="192"/>
      <c r="J20" s="202"/>
      <c r="K20" s="207"/>
      <c r="L20" s="192"/>
      <c r="M20" s="202"/>
      <c r="N20" s="207"/>
      <c r="O20" s="192"/>
      <c r="P20" s="202"/>
      <c r="Q20" s="207"/>
      <c r="R20" s="192"/>
      <c r="S20" s="202"/>
      <c r="T20" s="207"/>
      <c r="U20" s="232"/>
    </row>
    <row r="21" spans="1:21" s="30" customFormat="1" ht="15" customHeight="1">
      <c r="A21" s="190"/>
      <c r="B21" s="173"/>
      <c r="C21" s="174"/>
      <c r="D21" s="73"/>
      <c r="E21" s="73"/>
      <c r="F21" s="299" t="s">
        <v>728</v>
      </c>
      <c r="G21" s="202" t="s">
        <v>0</v>
      </c>
      <c r="H21" s="207" t="s">
        <v>0</v>
      </c>
      <c r="I21" s="192" t="s">
        <v>0</v>
      </c>
      <c r="J21" s="202" t="s">
        <v>0</v>
      </c>
      <c r="K21" s="207" t="s">
        <v>0</v>
      </c>
      <c r="L21" s="192" t="s">
        <v>0</v>
      </c>
      <c r="M21" s="202" t="s">
        <v>0</v>
      </c>
      <c r="N21" s="207" t="s">
        <v>0</v>
      </c>
      <c r="O21" s="192" t="s">
        <v>0</v>
      </c>
      <c r="P21" s="202" t="s">
        <v>0</v>
      </c>
      <c r="Q21" s="207" t="s">
        <v>0</v>
      </c>
      <c r="R21" s="192" t="s">
        <v>0</v>
      </c>
      <c r="S21" s="202" t="s">
        <v>0</v>
      </c>
      <c r="T21" s="207" t="s">
        <v>0</v>
      </c>
      <c r="U21" s="232" t="s">
        <v>0</v>
      </c>
    </row>
    <row r="22" spans="1:21" s="30" customFormat="1" ht="15" customHeight="1">
      <c r="A22" s="190"/>
      <c r="B22" s="177"/>
      <c r="C22" s="121"/>
      <c r="D22" s="178"/>
      <c r="E22" s="73"/>
      <c r="F22" s="197" t="s">
        <v>900</v>
      </c>
      <c r="G22" s="202"/>
      <c r="H22" s="207"/>
      <c r="I22" s="192"/>
      <c r="J22" s="202"/>
      <c r="K22" s="207"/>
      <c r="L22" s="192"/>
      <c r="M22" s="202"/>
      <c r="N22" s="207"/>
      <c r="O22" s="192"/>
      <c r="P22" s="202"/>
      <c r="Q22" s="207"/>
      <c r="R22" s="192"/>
      <c r="S22" s="202"/>
      <c r="T22" s="207"/>
      <c r="U22" s="232"/>
    </row>
    <row r="23" spans="1:21" s="30" customFormat="1" ht="21" hidden="1" customHeight="1">
      <c r="A23" s="190"/>
      <c r="B23" s="173"/>
      <c r="C23" s="73" t="s">
        <v>750</v>
      </c>
      <c r="D23" s="73" t="s">
        <v>47</v>
      </c>
      <c r="E23" s="73"/>
      <c r="F23" s="196" t="s">
        <v>762</v>
      </c>
      <c r="G23" s="278" t="str">
        <f>$G7</f>
        <v>Contratos Garantía Financiera</v>
      </c>
      <c r="H23" s="278" t="str">
        <f t="shared" ref="H23:U23" si="7">$G7</f>
        <v>Contratos Garantía Financiera</v>
      </c>
      <c r="I23" s="278" t="str">
        <f t="shared" si="7"/>
        <v>Contratos Garantía Financiera</v>
      </c>
      <c r="J23" s="278" t="str">
        <f t="shared" si="7"/>
        <v>Contratos Garantía Financiera</v>
      </c>
      <c r="K23" s="278" t="str">
        <f t="shared" si="7"/>
        <v>Contratos Garantía Financiera</v>
      </c>
      <c r="L23" s="278" t="str">
        <f t="shared" ref="L23" si="8">$G7</f>
        <v>Contratos Garantía Financiera</v>
      </c>
      <c r="M23" s="278" t="str">
        <f t="shared" si="7"/>
        <v>Contratos Garantía Financiera</v>
      </c>
      <c r="N23" s="278" t="str">
        <f t="shared" si="7"/>
        <v>Contratos Garantía Financiera</v>
      </c>
      <c r="O23" s="278" t="str">
        <f t="shared" ref="O23" si="9">$G7</f>
        <v>Contratos Garantía Financiera</v>
      </c>
      <c r="P23" s="278" t="str">
        <f t="shared" si="7"/>
        <v>Contratos Garantía Financiera</v>
      </c>
      <c r="Q23" s="278" t="str">
        <f t="shared" si="7"/>
        <v>Contratos Garantía Financiera</v>
      </c>
      <c r="R23" s="278" t="str">
        <f t="shared" ref="R23" si="10">$G7</f>
        <v>Contratos Garantía Financiera</v>
      </c>
      <c r="S23" s="278" t="str">
        <f t="shared" si="7"/>
        <v>Contratos Garantía Financiera</v>
      </c>
      <c r="T23" s="278" t="str">
        <f t="shared" si="7"/>
        <v>Contratos Garantía Financiera</v>
      </c>
      <c r="U23" s="278" t="str">
        <f t="shared" si="7"/>
        <v>Contratos Garantía Financiera</v>
      </c>
    </row>
    <row r="24" spans="1:21" s="30" customFormat="1" ht="21.75" customHeight="1">
      <c r="A24" s="190" t="s">
        <v>48</v>
      </c>
      <c r="B24" s="173"/>
      <c r="C24" s="73" t="s">
        <v>756</v>
      </c>
      <c r="D24" s="73" t="s">
        <v>4</v>
      </c>
      <c r="E24" s="73"/>
      <c r="F24" s="196" t="s">
        <v>765</v>
      </c>
      <c r="G24" s="213"/>
      <c r="H24" s="214"/>
      <c r="I24" s="244">
        <f>G24-H24</f>
        <v>0</v>
      </c>
      <c r="J24" s="213"/>
      <c r="K24" s="214"/>
      <c r="L24" s="244">
        <f>J24-K24</f>
        <v>0</v>
      </c>
      <c r="M24" s="213"/>
      <c r="N24" s="214"/>
      <c r="O24" s="244">
        <f>M24-N24</f>
        <v>0</v>
      </c>
      <c r="P24" s="213"/>
      <c r="Q24" s="214"/>
      <c r="R24" s="244">
        <f>P24-Q24</f>
        <v>0</v>
      </c>
      <c r="S24" s="244">
        <f>G24+J24+M24+P24</f>
        <v>0</v>
      </c>
      <c r="T24" s="252">
        <f t="shared" ref="T24:T25" si="11">H24+K24+N24+Q24</f>
        <v>0</v>
      </c>
      <c r="U24" s="253">
        <f t="shared" ref="U24:U25" si="12">I24+L24+O24+R24</f>
        <v>0</v>
      </c>
    </row>
    <row r="25" spans="1:21" s="30" customFormat="1" ht="25.5" customHeight="1">
      <c r="A25" s="190" t="s">
        <v>48</v>
      </c>
      <c r="B25" s="173"/>
      <c r="C25" s="73" t="s">
        <v>848</v>
      </c>
      <c r="D25" s="73" t="s">
        <v>4</v>
      </c>
      <c r="E25" s="73"/>
      <c r="F25" s="196" t="s">
        <v>849</v>
      </c>
      <c r="G25" s="300"/>
      <c r="H25" s="301"/>
      <c r="I25" s="302">
        <f>G25-H25</f>
        <v>0</v>
      </c>
      <c r="J25" s="300"/>
      <c r="K25" s="301"/>
      <c r="L25" s="302">
        <f>J25-K25</f>
        <v>0</v>
      </c>
      <c r="M25" s="300"/>
      <c r="N25" s="301"/>
      <c r="O25" s="302">
        <f>M25-N25</f>
        <v>0</v>
      </c>
      <c r="P25" s="300"/>
      <c r="Q25" s="301"/>
      <c r="R25" s="302">
        <f>P25-Q25</f>
        <v>0</v>
      </c>
      <c r="S25" s="302">
        <f>G25+J25+M25+P25</f>
        <v>0</v>
      </c>
      <c r="T25" s="303">
        <f t="shared" si="11"/>
        <v>0</v>
      </c>
      <c r="U25" s="304">
        <f t="shared" si="12"/>
        <v>0</v>
      </c>
    </row>
    <row r="26" spans="1:21" ht="15.75" thickBot="1">
      <c r="A26" s="190"/>
      <c r="B26" s="180"/>
      <c r="C26" s="181"/>
      <c r="D26" s="181"/>
      <c r="E26" s="181" t="s">
        <v>0</v>
      </c>
      <c r="F26" s="234" t="s">
        <v>0</v>
      </c>
      <c r="G26" s="235"/>
      <c r="H26" s="236"/>
      <c r="I26" s="234"/>
      <c r="J26" s="235"/>
      <c r="K26" s="236"/>
      <c r="L26" s="234"/>
      <c r="M26" s="235"/>
      <c r="N26" s="236"/>
      <c r="O26" s="234"/>
      <c r="P26" s="235"/>
      <c r="Q26" s="236"/>
      <c r="R26" s="234"/>
      <c r="S26" s="235"/>
      <c r="T26" s="236"/>
      <c r="U26" s="182"/>
    </row>
    <row r="27" spans="1:21" ht="15.75" thickBot="1"/>
    <row r="28" spans="1:21">
      <c r="B28" s="265"/>
      <c r="C28" s="266"/>
      <c r="D28" s="266"/>
      <c r="E28" s="266"/>
      <c r="F28" s="354" t="s">
        <v>862</v>
      </c>
      <c r="G28" s="355"/>
      <c r="H28" s="355"/>
      <c r="I28" s="356"/>
      <c r="J28" s="266"/>
      <c r="K28" s="266"/>
      <c r="L28" s="266"/>
      <c r="M28" s="266"/>
      <c r="N28" s="266"/>
      <c r="O28" s="266"/>
      <c r="P28" s="266"/>
      <c r="Q28" s="266"/>
      <c r="R28" s="266"/>
      <c r="S28" s="266"/>
      <c r="T28" s="266"/>
      <c r="U28" s="267"/>
    </row>
    <row r="29" spans="1:21" ht="15.75" thickBot="1">
      <c r="B29" s="268"/>
      <c r="F29" s="269" t="s">
        <v>762</v>
      </c>
      <c r="G29" s="339" t="s">
        <v>767</v>
      </c>
      <c r="H29" s="340"/>
      <c r="I29" s="341"/>
      <c r="U29" s="270"/>
    </row>
    <row r="30" spans="1:21" s="30" customFormat="1" ht="25.5" customHeight="1">
      <c r="A30" s="163" t="s">
        <v>54</v>
      </c>
      <c r="B30" s="164"/>
      <c r="C30" s="165"/>
      <c r="D30" s="165"/>
      <c r="E30" s="165"/>
      <c r="F30" s="166" t="s">
        <v>850</v>
      </c>
      <c r="G30" s="357" t="str">
        <f>IF(G29="","Seleccione un valor de la lista superior o elimine este bloque",G29)</f>
        <v>Contratos Garantía Financiera</v>
      </c>
      <c r="H30" s="358"/>
      <c r="I30" s="358"/>
      <c r="J30" s="358"/>
      <c r="K30" s="358"/>
      <c r="L30" s="358"/>
      <c r="M30" s="358"/>
      <c r="N30" s="358"/>
      <c r="O30" s="358"/>
      <c r="P30" s="358"/>
      <c r="Q30" s="358"/>
      <c r="R30" s="358"/>
      <c r="S30" s="358"/>
      <c r="T30" s="358"/>
      <c r="U30" s="359"/>
    </row>
    <row r="31" spans="1:21" s="30" customFormat="1" ht="158.25" hidden="1" customHeight="1">
      <c r="A31" s="163" t="s">
        <v>55</v>
      </c>
      <c r="B31" s="167"/>
      <c r="C31" s="168"/>
      <c r="D31" s="168" t="s">
        <v>836</v>
      </c>
      <c r="E31" s="169" t="s">
        <v>747</v>
      </c>
      <c r="F31" s="170"/>
      <c r="G31" s="171" t="str">
        <f>CONCATENATE("IFRS7-InfoMatrProv_",VLOOKUP($G29,Hoja1!$C$1:$G$12,5,FALSE),"_0","|",$G30)</f>
        <v>IFRS7-InfoMatrProv_ContGaraFina_0|Contratos Garantía Financiera</v>
      </c>
      <c r="H31" s="171" t="str">
        <f>G31</f>
        <v>IFRS7-InfoMatrProv_ContGaraFina_0|Contratos Garantía Financiera</v>
      </c>
      <c r="I31" s="172" t="str">
        <f t="shared" ref="I31" si="13">H31</f>
        <v>IFRS7-InfoMatrProv_ContGaraFina_0|Contratos Garantía Financiera</v>
      </c>
      <c r="J31" s="171" t="str">
        <f t="shared" ref="J31" si="14">I31</f>
        <v>IFRS7-InfoMatrProv_ContGaraFina_0|Contratos Garantía Financiera</v>
      </c>
      <c r="K31" s="171" t="str">
        <f t="shared" ref="K31" si="15">J31</f>
        <v>IFRS7-InfoMatrProv_ContGaraFina_0|Contratos Garantía Financiera</v>
      </c>
      <c r="L31" s="172" t="str">
        <f t="shared" ref="L31" si="16">K31</f>
        <v>IFRS7-InfoMatrProv_ContGaraFina_0|Contratos Garantía Financiera</v>
      </c>
      <c r="M31" s="171" t="str">
        <f t="shared" ref="M31" si="17">L31</f>
        <v>IFRS7-InfoMatrProv_ContGaraFina_0|Contratos Garantía Financiera</v>
      </c>
      <c r="N31" s="171" t="str">
        <f t="shared" ref="N31" si="18">M31</f>
        <v>IFRS7-InfoMatrProv_ContGaraFina_0|Contratos Garantía Financiera</v>
      </c>
      <c r="O31" s="172" t="str">
        <f t="shared" ref="O31" si="19">N31</f>
        <v>IFRS7-InfoMatrProv_ContGaraFina_0|Contratos Garantía Financiera</v>
      </c>
      <c r="P31" s="171" t="str">
        <f t="shared" ref="P31" si="20">O31</f>
        <v>IFRS7-InfoMatrProv_ContGaraFina_0|Contratos Garantía Financiera</v>
      </c>
      <c r="Q31" s="171" t="str">
        <f t="shared" ref="Q31" si="21">P31</f>
        <v>IFRS7-InfoMatrProv_ContGaraFina_0|Contratos Garantía Financiera</v>
      </c>
      <c r="R31" s="172" t="str">
        <f t="shared" ref="R31" si="22">Q31</f>
        <v>IFRS7-InfoMatrProv_ContGaraFina_0|Contratos Garantía Financiera</v>
      </c>
      <c r="S31" s="171" t="str">
        <f t="shared" ref="S31" si="23">R31</f>
        <v>IFRS7-InfoMatrProv_ContGaraFina_0|Contratos Garantía Financiera</v>
      </c>
      <c r="T31" s="171" t="str">
        <f t="shared" ref="T31" si="24">S31</f>
        <v>IFRS7-InfoMatrProv_ContGaraFina_0|Contratos Garantía Financiera</v>
      </c>
      <c r="U31" s="172" t="str">
        <f t="shared" ref="U31" si="25">T31</f>
        <v>IFRS7-InfoMatrProv_ContGaraFina_0|Contratos Garantía Financiera</v>
      </c>
    </row>
    <row r="32" spans="1:21" s="30" customFormat="1" ht="78" customHeight="1">
      <c r="A32" s="228"/>
      <c r="B32" s="229"/>
      <c r="C32" s="187"/>
      <c r="D32" s="187"/>
      <c r="E32" s="184"/>
      <c r="F32" s="198"/>
      <c r="G32" s="329" t="s">
        <v>839</v>
      </c>
      <c r="H32" s="330"/>
      <c r="I32" s="331"/>
      <c r="J32" s="329" t="s">
        <v>841</v>
      </c>
      <c r="K32" s="330"/>
      <c r="L32" s="331"/>
      <c r="M32" s="329" t="s">
        <v>843</v>
      </c>
      <c r="N32" s="330"/>
      <c r="O32" s="331"/>
      <c r="P32" s="329" t="s">
        <v>845</v>
      </c>
      <c r="Q32" s="330"/>
      <c r="R32" s="331"/>
      <c r="S32" s="329" t="s">
        <v>847</v>
      </c>
      <c r="T32" s="330"/>
      <c r="U32" s="332"/>
    </row>
    <row r="33" spans="1:21" s="30" customFormat="1" ht="57" hidden="1" customHeight="1">
      <c r="A33" s="62" t="s">
        <v>55</v>
      </c>
      <c r="B33" s="173"/>
      <c r="C33" s="174"/>
      <c r="D33" s="175"/>
      <c r="E33" s="73" t="s">
        <v>837</v>
      </c>
      <c r="F33" s="199"/>
      <c r="G33" s="201" t="s">
        <v>838</v>
      </c>
      <c r="H33" s="206" t="str">
        <f>G33</f>
        <v>full_ifrs-cor_2018-03-16.xsd#ifrs-full_CurrentMember</v>
      </c>
      <c r="I33" s="204" t="str">
        <f>H33</f>
        <v>full_ifrs-cor_2018-03-16.xsd#ifrs-full_CurrentMember</v>
      </c>
      <c r="J33" s="201" t="s">
        <v>840</v>
      </c>
      <c r="K33" s="206" t="str">
        <f t="shared" ref="K33" si="26">J33</f>
        <v>full_ifrs-cor_2014-03-05.xsd#ifrs-full_LaterThanOneMonthAndNotLaterThanTwoMonthsMember</v>
      </c>
      <c r="L33" s="204" t="str">
        <f t="shared" ref="L33" si="27">K33</f>
        <v>full_ifrs-cor_2014-03-05.xsd#ifrs-full_LaterThanOneMonthAndNotLaterThanTwoMonthsMember</v>
      </c>
      <c r="M33" s="201" t="s">
        <v>842</v>
      </c>
      <c r="N33" s="206" t="str">
        <f t="shared" ref="N33" si="28">M33</f>
        <v>full_ifrs-cor_2014-03-05.xsd#ifrs-full_LaterThanTwoMonthsAndNotLaterThanThreeMonthsMember</v>
      </c>
      <c r="O33" s="204" t="str">
        <f t="shared" ref="O33" si="29">N33</f>
        <v>full_ifrs-cor_2014-03-05.xsd#ifrs-full_LaterThanTwoMonthsAndNotLaterThanThreeMonthsMember</v>
      </c>
      <c r="P33" s="201" t="s">
        <v>844</v>
      </c>
      <c r="Q33" s="206" t="str">
        <f t="shared" ref="Q33" si="30">P33</f>
        <v>full_ifrs-cor_2018-03-16.xsd#ifrs-full_LaterThanThreeMonthsMember</v>
      </c>
      <c r="R33" s="204" t="str">
        <f t="shared" ref="R33" si="31">Q33</f>
        <v>full_ifrs-cor_2018-03-16.xsd#ifrs-full_LaterThanThreeMonthsMember</v>
      </c>
      <c r="S33" s="201" t="s">
        <v>846</v>
      </c>
      <c r="T33" s="206" t="str">
        <f t="shared" ref="T33" si="32">S33</f>
        <v>full_ifrs-cor_2018-03-16.xsd#ifrs-full_PastDueStatusMember</v>
      </c>
      <c r="U33" s="230" t="str">
        <f t="shared" ref="U33" si="33">T33</f>
        <v>full_ifrs-cor_2018-03-16.xsd#ifrs-full_PastDueStatusMember</v>
      </c>
    </row>
    <row r="34" spans="1:21" s="30" customFormat="1" ht="78" customHeight="1">
      <c r="A34" s="228"/>
      <c r="B34" s="229"/>
      <c r="C34" s="187"/>
      <c r="D34" s="187"/>
      <c r="E34" s="184"/>
      <c r="F34" s="198"/>
      <c r="G34" s="200" t="s">
        <v>730</v>
      </c>
      <c r="H34" s="205" t="s">
        <v>731</v>
      </c>
      <c r="I34" s="188" t="s">
        <v>732</v>
      </c>
      <c r="J34" s="200" t="s">
        <v>730</v>
      </c>
      <c r="K34" s="205" t="s">
        <v>731</v>
      </c>
      <c r="L34" s="188" t="s">
        <v>732</v>
      </c>
      <c r="M34" s="200" t="s">
        <v>730</v>
      </c>
      <c r="N34" s="205" t="s">
        <v>731</v>
      </c>
      <c r="O34" s="188" t="s">
        <v>732</v>
      </c>
      <c r="P34" s="200" t="s">
        <v>730</v>
      </c>
      <c r="Q34" s="205" t="s">
        <v>731</v>
      </c>
      <c r="R34" s="188" t="s">
        <v>732</v>
      </c>
      <c r="S34" s="200" t="s">
        <v>730</v>
      </c>
      <c r="T34" s="205" t="s">
        <v>731</v>
      </c>
      <c r="U34" s="231" t="s">
        <v>732</v>
      </c>
    </row>
    <row r="35" spans="1:21" s="30" customFormat="1" ht="57" hidden="1" customHeight="1">
      <c r="A35" s="62" t="s">
        <v>55</v>
      </c>
      <c r="B35" s="173"/>
      <c r="C35" s="174"/>
      <c r="D35" s="175"/>
      <c r="E35" s="73" t="s">
        <v>729</v>
      </c>
      <c r="F35" s="199"/>
      <c r="G35" s="201" t="s">
        <v>733</v>
      </c>
      <c r="H35" s="206" t="s">
        <v>734</v>
      </c>
      <c r="I35" s="204" t="s">
        <v>735</v>
      </c>
      <c r="J35" s="201" t="s">
        <v>733</v>
      </c>
      <c r="K35" s="206" t="s">
        <v>734</v>
      </c>
      <c r="L35" s="204" t="s">
        <v>735</v>
      </c>
      <c r="M35" s="201" t="s">
        <v>733</v>
      </c>
      <c r="N35" s="206" t="s">
        <v>734</v>
      </c>
      <c r="O35" s="204" t="s">
        <v>735</v>
      </c>
      <c r="P35" s="201" t="s">
        <v>733</v>
      </c>
      <c r="Q35" s="206" t="s">
        <v>734</v>
      </c>
      <c r="R35" s="204" t="s">
        <v>735</v>
      </c>
      <c r="S35" s="201" t="s">
        <v>733</v>
      </c>
      <c r="T35" s="206" t="s">
        <v>734</v>
      </c>
      <c r="U35" s="230" t="s">
        <v>735</v>
      </c>
    </row>
    <row r="36" spans="1:21" s="30" customFormat="1" ht="22.5" customHeight="1">
      <c r="A36" s="62"/>
      <c r="B36" s="173"/>
      <c r="C36" s="174"/>
      <c r="D36" s="175"/>
      <c r="E36" s="175"/>
      <c r="F36" s="299" t="s">
        <v>727</v>
      </c>
      <c r="G36" s="201"/>
      <c r="H36" s="206"/>
      <c r="I36" s="189"/>
      <c r="J36" s="201"/>
      <c r="K36" s="206"/>
      <c r="L36" s="189"/>
      <c r="M36" s="201"/>
      <c r="N36" s="206"/>
      <c r="O36" s="189"/>
      <c r="P36" s="201"/>
      <c r="Q36" s="206"/>
      <c r="R36" s="189"/>
      <c r="S36" s="201"/>
      <c r="T36" s="206"/>
      <c r="U36" s="176"/>
    </row>
    <row r="37" spans="1:21" s="30" customFormat="1" ht="15" customHeight="1">
      <c r="A37" s="190"/>
      <c r="B37" s="177"/>
      <c r="C37" s="121"/>
      <c r="D37" s="178"/>
      <c r="E37" s="73"/>
      <c r="F37" s="197" t="s">
        <v>900</v>
      </c>
      <c r="G37" s="202"/>
      <c r="H37" s="207"/>
      <c r="I37" s="192"/>
      <c r="J37" s="202"/>
      <c r="K37" s="207"/>
      <c r="L37" s="192"/>
      <c r="M37" s="202"/>
      <c r="N37" s="207"/>
      <c r="O37" s="192"/>
      <c r="P37" s="202"/>
      <c r="Q37" s="207"/>
      <c r="R37" s="192"/>
      <c r="S37" s="202"/>
      <c r="T37" s="207"/>
      <c r="U37" s="232"/>
    </row>
    <row r="38" spans="1:21" s="30" customFormat="1" ht="21" hidden="1" customHeight="1">
      <c r="A38" s="190"/>
      <c r="B38" s="173"/>
      <c r="C38" s="73" t="s">
        <v>750</v>
      </c>
      <c r="D38" s="73" t="s">
        <v>4</v>
      </c>
      <c r="E38" s="73"/>
      <c r="F38" s="196" t="s">
        <v>762</v>
      </c>
      <c r="G38" s="278" t="str">
        <f>$G29</f>
        <v>Contratos Garantía Financiera</v>
      </c>
      <c r="H38" s="276" t="str">
        <f t="shared" ref="H38:U38" si="34">$G29</f>
        <v>Contratos Garantía Financiera</v>
      </c>
      <c r="I38" s="277" t="str">
        <f t="shared" si="34"/>
        <v>Contratos Garantía Financiera</v>
      </c>
      <c r="J38" s="278" t="str">
        <f t="shared" si="34"/>
        <v>Contratos Garantía Financiera</v>
      </c>
      <c r="K38" s="276" t="str">
        <f t="shared" si="34"/>
        <v>Contratos Garantía Financiera</v>
      </c>
      <c r="L38" s="277" t="str">
        <f t="shared" si="34"/>
        <v>Contratos Garantía Financiera</v>
      </c>
      <c r="M38" s="278" t="str">
        <f t="shared" si="34"/>
        <v>Contratos Garantía Financiera</v>
      </c>
      <c r="N38" s="276" t="str">
        <f t="shared" si="34"/>
        <v>Contratos Garantía Financiera</v>
      </c>
      <c r="O38" s="277" t="str">
        <f t="shared" si="34"/>
        <v>Contratos Garantía Financiera</v>
      </c>
      <c r="P38" s="278" t="str">
        <f t="shared" si="34"/>
        <v>Contratos Garantía Financiera</v>
      </c>
      <c r="Q38" s="276" t="str">
        <f t="shared" si="34"/>
        <v>Contratos Garantía Financiera</v>
      </c>
      <c r="R38" s="277" t="str">
        <f t="shared" si="34"/>
        <v>Contratos Garantía Financiera</v>
      </c>
      <c r="S38" s="278" t="str">
        <f t="shared" si="34"/>
        <v>Contratos Garantía Financiera</v>
      </c>
      <c r="T38" s="276" t="str">
        <f t="shared" si="34"/>
        <v>Contratos Garantía Financiera</v>
      </c>
      <c r="U38" s="279" t="str">
        <f t="shared" si="34"/>
        <v>Contratos Garantía Financiera</v>
      </c>
    </row>
    <row r="39" spans="1:21" s="30" customFormat="1" ht="21.75" customHeight="1">
      <c r="A39" s="190"/>
      <c r="B39" s="173"/>
      <c r="C39" s="73" t="s">
        <v>756</v>
      </c>
      <c r="D39" s="73" t="s">
        <v>4</v>
      </c>
      <c r="E39" s="73"/>
      <c r="F39" s="196" t="s">
        <v>765</v>
      </c>
      <c r="G39" s="319"/>
      <c r="H39" s="214"/>
      <c r="I39" s="244">
        <f>G39-H39</f>
        <v>0</v>
      </c>
      <c r="J39" s="213"/>
      <c r="K39" s="214"/>
      <c r="L39" s="244">
        <f>J39-K39</f>
        <v>0</v>
      </c>
      <c r="M39" s="213"/>
      <c r="N39" s="214"/>
      <c r="O39" s="244">
        <f>M39-N39</f>
        <v>0</v>
      </c>
      <c r="P39" s="213"/>
      <c r="Q39" s="214"/>
      <c r="R39" s="244">
        <f>P39-Q39</f>
        <v>0</v>
      </c>
      <c r="S39" s="244">
        <f>G39+J39+M39+P39</f>
        <v>0</v>
      </c>
      <c r="T39" s="252">
        <f t="shared" ref="T39:T40" si="35">H39+K39+N39+Q39</f>
        <v>0</v>
      </c>
      <c r="U39" s="253">
        <f t="shared" ref="U39:U40" si="36">I39+L39+O39+R39</f>
        <v>0</v>
      </c>
    </row>
    <row r="40" spans="1:21" s="30" customFormat="1" ht="25.5" customHeight="1">
      <c r="A40" s="190"/>
      <c r="B40" s="173"/>
      <c r="C40" s="73" t="s">
        <v>848</v>
      </c>
      <c r="D40" s="73" t="s">
        <v>4</v>
      </c>
      <c r="E40" s="73"/>
      <c r="F40" s="196" t="s">
        <v>849</v>
      </c>
      <c r="G40" s="300"/>
      <c r="H40" s="301"/>
      <c r="I40" s="302">
        <f>G40-H40</f>
        <v>0</v>
      </c>
      <c r="J40" s="300"/>
      <c r="K40" s="301"/>
      <c r="L40" s="302">
        <f>J40-K40</f>
        <v>0</v>
      </c>
      <c r="M40" s="300"/>
      <c r="N40" s="301"/>
      <c r="O40" s="302">
        <f>M40-N40</f>
        <v>0</v>
      </c>
      <c r="P40" s="300"/>
      <c r="Q40" s="301"/>
      <c r="R40" s="302">
        <f>P40-Q40</f>
        <v>0</v>
      </c>
      <c r="S40" s="302">
        <f>G40+J40+M40+P40</f>
        <v>0</v>
      </c>
      <c r="T40" s="303">
        <f t="shared" si="35"/>
        <v>0</v>
      </c>
      <c r="U40" s="304">
        <f t="shared" si="36"/>
        <v>0</v>
      </c>
    </row>
    <row r="41" spans="1:21" s="30" customFormat="1" ht="15" customHeight="1">
      <c r="A41" s="190"/>
      <c r="B41" s="177"/>
      <c r="C41" s="121"/>
      <c r="D41" s="121"/>
      <c r="E41" s="121" t="s">
        <v>0</v>
      </c>
      <c r="F41" s="192" t="s">
        <v>0</v>
      </c>
      <c r="G41" s="202"/>
      <c r="H41" s="207"/>
      <c r="I41" s="192"/>
      <c r="J41" s="202"/>
      <c r="K41" s="207"/>
      <c r="L41" s="192"/>
      <c r="M41" s="202"/>
      <c r="N41" s="207"/>
      <c r="O41" s="192"/>
      <c r="P41" s="202"/>
      <c r="Q41" s="207"/>
      <c r="R41" s="192"/>
      <c r="S41" s="202"/>
      <c r="T41" s="207"/>
      <c r="U41" s="232"/>
    </row>
    <row r="42" spans="1:21" s="30" customFormat="1" ht="15" customHeight="1">
      <c r="A42" s="190"/>
      <c r="B42" s="177"/>
      <c r="C42" s="121"/>
      <c r="D42" s="121"/>
      <c r="E42" s="121"/>
      <c r="F42" s="192"/>
      <c r="G42" s="202"/>
      <c r="H42" s="207"/>
      <c r="I42" s="192"/>
      <c r="J42" s="202"/>
      <c r="K42" s="207"/>
      <c r="L42" s="192"/>
      <c r="M42" s="202"/>
      <c r="N42" s="207"/>
      <c r="O42" s="192"/>
      <c r="P42" s="202"/>
      <c r="Q42" s="207"/>
      <c r="R42" s="192"/>
      <c r="S42" s="202"/>
      <c r="T42" s="207"/>
      <c r="U42" s="232"/>
    </row>
    <row r="43" spans="1:21" s="30" customFormat="1" ht="15" customHeight="1">
      <c r="A43" s="190"/>
      <c r="B43" s="173"/>
      <c r="C43" s="174"/>
      <c r="D43" s="73"/>
      <c r="E43" s="73"/>
      <c r="F43" s="299" t="s">
        <v>728</v>
      </c>
      <c r="G43" s="202" t="s">
        <v>0</v>
      </c>
      <c r="H43" s="207" t="s">
        <v>0</v>
      </c>
      <c r="I43" s="192" t="s">
        <v>0</v>
      </c>
      <c r="J43" s="202" t="s">
        <v>0</v>
      </c>
      <c r="K43" s="207" t="s">
        <v>0</v>
      </c>
      <c r="L43" s="192" t="s">
        <v>0</v>
      </c>
      <c r="M43" s="202" t="s">
        <v>0</v>
      </c>
      <c r="N43" s="207" t="s">
        <v>0</v>
      </c>
      <c r="O43" s="192" t="s">
        <v>0</v>
      </c>
      <c r="P43" s="202" t="s">
        <v>0</v>
      </c>
      <c r="Q43" s="207" t="s">
        <v>0</v>
      </c>
      <c r="R43" s="192" t="s">
        <v>0</v>
      </c>
      <c r="S43" s="202" t="s">
        <v>0</v>
      </c>
      <c r="T43" s="207" t="s">
        <v>0</v>
      </c>
      <c r="U43" s="232" t="s">
        <v>0</v>
      </c>
    </row>
    <row r="44" spans="1:21" s="30" customFormat="1" ht="15" customHeight="1">
      <c r="A44" s="190"/>
      <c r="B44" s="177"/>
      <c r="C44" s="121"/>
      <c r="D44" s="178"/>
      <c r="E44" s="73"/>
      <c r="F44" s="197" t="s">
        <v>900</v>
      </c>
      <c r="G44" s="202"/>
      <c r="H44" s="207"/>
      <c r="I44" s="192"/>
      <c r="J44" s="202"/>
      <c r="K44" s="207"/>
      <c r="L44" s="192"/>
      <c r="M44" s="202"/>
      <c r="N44" s="207"/>
      <c r="O44" s="192"/>
      <c r="P44" s="202"/>
      <c r="Q44" s="207"/>
      <c r="R44" s="192"/>
      <c r="S44" s="202"/>
      <c r="T44" s="207"/>
      <c r="U44" s="232"/>
    </row>
    <row r="45" spans="1:21" s="30" customFormat="1" ht="21" hidden="1" customHeight="1">
      <c r="A45" s="190"/>
      <c r="B45" s="173"/>
      <c r="C45" s="73" t="s">
        <v>750</v>
      </c>
      <c r="D45" s="73" t="s">
        <v>47</v>
      </c>
      <c r="E45" s="73"/>
      <c r="F45" s="196" t="s">
        <v>762</v>
      </c>
      <c r="G45" s="278" t="str">
        <f>$G29</f>
        <v>Contratos Garantía Financiera</v>
      </c>
      <c r="H45" s="278" t="str">
        <f t="shared" ref="H45:U45" si="37">$G29</f>
        <v>Contratos Garantía Financiera</v>
      </c>
      <c r="I45" s="278" t="str">
        <f t="shared" si="37"/>
        <v>Contratos Garantía Financiera</v>
      </c>
      <c r="J45" s="278" t="str">
        <f t="shared" si="37"/>
        <v>Contratos Garantía Financiera</v>
      </c>
      <c r="K45" s="278" t="str">
        <f t="shared" si="37"/>
        <v>Contratos Garantía Financiera</v>
      </c>
      <c r="L45" s="278" t="str">
        <f t="shared" si="37"/>
        <v>Contratos Garantía Financiera</v>
      </c>
      <c r="M45" s="278" t="str">
        <f t="shared" si="37"/>
        <v>Contratos Garantía Financiera</v>
      </c>
      <c r="N45" s="278" t="str">
        <f t="shared" si="37"/>
        <v>Contratos Garantía Financiera</v>
      </c>
      <c r="O45" s="278" t="str">
        <f t="shared" si="37"/>
        <v>Contratos Garantía Financiera</v>
      </c>
      <c r="P45" s="278" t="str">
        <f t="shared" si="37"/>
        <v>Contratos Garantía Financiera</v>
      </c>
      <c r="Q45" s="278" t="str">
        <f t="shared" si="37"/>
        <v>Contratos Garantía Financiera</v>
      </c>
      <c r="R45" s="278" t="str">
        <f t="shared" si="37"/>
        <v>Contratos Garantía Financiera</v>
      </c>
      <c r="S45" s="278" t="str">
        <f t="shared" si="37"/>
        <v>Contratos Garantía Financiera</v>
      </c>
      <c r="T45" s="278" t="str">
        <f t="shared" si="37"/>
        <v>Contratos Garantía Financiera</v>
      </c>
      <c r="U45" s="278" t="str">
        <f t="shared" si="37"/>
        <v>Contratos Garantía Financiera</v>
      </c>
    </row>
    <row r="46" spans="1:21" s="30" customFormat="1" ht="21.75" customHeight="1">
      <c r="A46" s="190" t="s">
        <v>48</v>
      </c>
      <c r="B46" s="173"/>
      <c r="C46" s="73" t="s">
        <v>756</v>
      </c>
      <c r="D46" s="73" t="s">
        <v>4</v>
      </c>
      <c r="E46" s="73"/>
      <c r="F46" s="196" t="s">
        <v>765</v>
      </c>
      <c r="G46" s="213"/>
      <c r="H46" s="214"/>
      <c r="I46" s="244">
        <f>G46-H46</f>
        <v>0</v>
      </c>
      <c r="J46" s="213"/>
      <c r="K46" s="214"/>
      <c r="L46" s="244">
        <f>J46-K46</f>
        <v>0</v>
      </c>
      <c r="M46" s="213"/>
      <c r="N46" s="214"/>
      <c r="O46" s="244">
        <f>M46-N46</f>
        <v>0</v>
      </c>
      <c r="P46" s="213"/>
      <c r="Q46" s="214"/>
      <c r="R46" s="244">
        <f>P46-Q46</f>
        <v>0</v>
      </c>
      <c r="S46" s="244">
        <f>G46+J46+M46+P46</f>
        <v>0</v>
      </c>
      <c r="T46" s="252">
        <f t="shared" ref="T46:T47" si="38">H46+K46+N46+Q46</f>
        <v>0</v>
      </c>
      <c r="U46" s="253">
        <f t="shared" ref="U46:U47" si="39">I46+L46+O46+R46</f>
        <v>0</v>
      </c>
    </row>
    <row r="47" spans="1:21" s="30" customFormat="1" ht="25.5" customHeight="1">
      <c r="A47" s="190" t="s">
        <v>48</v>
      </c>
      <c r="B47" s="173"/>
      <c r="C47" s="73" t="s">
        <v>848</v>
      </c>
      <c r="D47" s="73" t="s">
        <v>4</v>
      </c>
      <c r="E47" s="73"/>
      <c r="F47" s="196" t="s">
        <v>849</v>
      </c>
      <c r="G47" s="300"/>
      <c r="H47" s="301"/>
      <c r="I47" s="302">
        <f>G47-H47</f>
        <v>0</v>
      </c>
      <c r="J47" s="300"/>
      <c r="K47" s="301"/>
      <c r="L47" s="302">
        <f>J47-K47</f>
        <v>0</v>
      </c>
      <c r="M47" s="300"/>
      <c r="N47" s="301"/>
      <c r="O47" s="302">
        <f>M47-N47</f>
        <v>0</v>
      </c>
      <c r="P47" s="300"/>
      <c r="Q47" s="301"/>
      <c r="R47" s="302">
        <f>P47-Q47</f>
        <v>0</v>
      </c>
      <c r="S47" s="302">
        <f>G47+J47+M47+P47</f>
        <v>0</v>
      </c>
      <c r="T47" s="303">
        <f t="shared" si="38"/>
        <v>0</v>
      </c>
      <c r="U47" s="304">
        <f t="shared" si="39"/>
        <v>0</v>
      </c>
    </row>
    <row r="48" spans="1:21" ht="15.75" thickBot="1">
      <c r="A48" s="190"/>
      <c r="B48" s="180"/>
      <c r="C48" s="181"/>
      <c r="D48" s="181"/>
      <c r="E48" s="181" t="s">
        <v>0</v>
      </c>
      <c r="F48" s="234" t="s">
        <v>0</v>
      </c>
      <c r="G48" s="235"/>
      <c r="H48" s="236"/>
      <c r="I48" s="234"/>
      <c r="J48" s="235"/>
      <c r="K48" s="236"/>
      <c r="L48" s="234"/>
      <c r="M48" s="235"/>
      <c r="N48" s="236"/>
      <c r="O48" s="234"/>
      <c r="P48" s="235"/>
      <c r="Q48" s="236"/>
      <c r="R48" s="234"/>
      <c r="S48" s="235"/>
      <c r="T48" s="236"/>
      <c r="U48" s="182"/>
    </row>
    <row r="49" spans="1:21" ht="15.75" thickBot="1"/>
    <row r="50" spans="1:21" s="30" customFormat="1" ht="25.5" customHeight="1">
      <c r="A50" s="183" t="s">
        <v>54</v>
      </c>
      <c r="B50" s="211"/>
      <c r="C50" s="212"/>
      <c r="D50" s="212"/>
      <c r="E50" s="212"/>
      <c r="F50" s="210" t="s">
        <v>850</v>
      </c>
      <c r="G50" s="345" t="s">
        <v>749</v>
      </c>
      <c r="H50" s="346"/>
      <c r="I50" s="346"/>
      <c r="J50" s="346"/>
      <c r="K50" s="346"/>
      <c r="L50" s="346"/>
      <c r="M50" s="346"/>
      <c r="N50" s="346"/>
      <c r="O50" s="346"/>
      <c r="P50" s="346"/>
      <c r="Q50" s="346"/>
      <c r="R50" s="346"/>
      <c r="S50" s="346"/>
      <c r="T50" s="346"/>
      <c r="U50" s="347"/>
    </row>
    <row r="51" spans="1:21" s="209" customFormat="1" ht="158.25" hidden="1" customHeight="1">
      <c r="A51" s="62" t="s">
        <v>55</v>
      </c>
      <c r="B51" s="219"/>
      <c r="C51" s="220"/>
      <c r="D51" s="220" t="s">
        <v>836</v>
      </c>
      <c r="E51" s="221" t="s">
        <v>747</v>
      </c>
      <c r="F51" s="222"/>
      <c r="G51" s="223" t="s">
        <v>748</v>
      </c>
      <c r="H51" s="224" t="str">
        <f>G51</f>
        <v>full_ifrs-cor_2014-03-05.xsd#ifrs-full_ClassesOfFinancialInstrumentsMember</v>
      </c>
      <c r="I51" s="225" t="str">
        <f t="shared" ref="I51:U51" si="40">H51</f>
        <v>full_ifrs-cor_2014-03-05.xsd#ifrs-full_ClassesOfFinancialInstrumentsMember</v>
      </c>
      <c r="J51" s="226" t="str">
        <f t="shared" si="40"/>
        <v>full_ifrs-cor_2014-03-05.xsd#ifrs-full_ClassesOfFinancialInstrumentsMember</v>
      </c>
      <c r="K51" s="224" t="str">
        <f t="shared" si="40"/>
        <v>full_ifrs-cor_2014-03-05.xsd#ifrs-full_ClassesOfFinancialInstrumentsMember</v>
      </c>
      <c r="L51" s="225" t="str">
        <f t="shared" si="40"/>
        <v>full_ifrs-cor_2014-03-05.xsd#ifrs-full_ClassesOfFinancialInstrumentsMember</v>
      </c>
      <c r="M51" s="226" t="str">
        <f t="shared" si="40"/>
        <v>full_ifrs-cor_2014-03-05.xsd#ifrs-full_ClassesOfFinancialInstrumentsMember</v>
      </c>
      <c r="N51" s="224" t="str">
        <f t="shared" si="40"/>
        <v>full_ifrs-cor_2014-03-05.xsd#ifrs-full_ClassesOfFinancialInstrumentsMember</v>
      </c>
      <c r="O51" s="225" t="str">
        <f t="shared" si="40"/>
        <v>full_ifrs-cor_2014-03-05.xsd#ifrs-full_ClassesOfFinancialInstrumentsMember</v>
      </c>
      <c r="P51" s="226" t="str">
        <f t="shared" si="40"/>
        <v>full_ifrs-cor_2014-03-05.xsd#ifrs-full_ClassesOfFinancialInstrumentsMember</v>
      </c>
      <c r="Q51" s="224" t="str">
        <f t="shared" si="40"/>
        <v>full_ifrs-cor_2014-03-05.xsd#ifrs-full_ClassesOfFinancialInstrumentsMember</v>
      </c>
      <c r="R51" s="225" t="str">
        <f t="shared" si="40"/>
        <v>full_ifrs-cor_2014-03-05.xsd#ifrs-full_ClassesOfFinancialInstrumentsMember</v>
      </c>
      <c r="S51" s="226" t="str">
        <f t="shared" si="40"/>
        <v>full_ifrs-cor_2014-03-05.xsd#ifrs-full_ClassesOfFinancialInstrumentsMember</v>
      </c>
      <c r="T51" s="224" t="str">
        <f t="shared" si="40"/>
        <v>full_ifrs-cor_2014-03-05.xsd#ifrs-full_ClassesOfFinancialInstrumentsMember</v>
      </c>
      <c r="U51" s="225" t="str">
        <f t="shared" si="40"/>
        <v>full_ifrs-cor_2014-03-05.xsd#ifrs-full_ClassesOfFinancialInstrumentsMember</v>
      </c>
    </row>
    <row r="52" spans="1:21" s="30" customFormat="1" ht="78" customHeight="1">
      <c r="A52" s="185"/>
      <c r="B52" s="186"/>
      <c r="C52" s="187"/>
      <c r="D52" s="187"/>
      <c r="E52" s="184"/>
      <c r="F52" s="198"/>
      <c r="G52" s="329" t="s">
        <v>839</v>
      </c>
      <c r="H52" s="330"/>
      <c r="I52" s="331"/>
      <c r="J52" s="329" t="s">
        <v>841</v>
      </c>
      <c r="K52" s="330"/>
      <c r="L52" s="331"/>
      <c r="M52" s="329" t="s">
        <v>843</v>
      </c>
      <c r="N52" s="330"/>
      <c r="O52" s="331"/>
      <c r="P52" s="329" t="s">
        <v>845</v>
      </c>
      <c r="Q52" s="330"/>
      <c r="R52" s="331"/>
      <c r="S52" s="329" t="s">
        <v>847</v>
      </c>
      <c r="T52" s="330"/>
      <c r="U52" s="331"/>
    </row>
    <row r="53" spans="1:21" s="30" customFormat="1" ht="57" hidden="1" customHeight="1">
      <c r="A53" s="62" t="s">
        <v>55</v>
      </c>
      <c r="B53" s="72"/>
      <c r="C53" s="174"/>
      <c r="D53" s="175"/>
      <c r="E53" s="73" t="s">
        <v>837</v>
      </c>
      <c r="F53" s="199"/>
      <c r="G53" s="201" t="s">
        <v>838</v>
      </c>
      <c r="H53" s="206" t="str">
        <f>G53</f>
        <v>full_ifrs-cor_2018-03-16.xsd#ifrs-full_CurrentMember</v>
      </c>
      <c r="I53" s="204" t="str">
        <f>H53</f>
        <v>full_ifrs-cor_2018-03-16.xsd#ifrs-full_CurrentMember</v>
      </c>
      <c r="J53" s="201" t="s">
        <v>840</v>
      </c>
      <c r="K53" s="206" t="str">
        <f t="shared" ref="K53:L53" si="41">J53</f>
        <v>full_ifrs-cor_2014-03-05.xsd#ifrs-full_LaterThanOneMonthAndNotLaterThanTwoMonthsMember</v>
      </c>
      <c r="L53" s="204" t="str">
        <f t="shared" si="41"/>
        <v>full_ifrs-cor_2014-03-05.xsd#ifrs-full_LaterThanOneMonthAndNotLaterThanTwoMonthsMember</v>
      </c>
      <c r="M53" s="201" t="s">
        <v>842</v>
      </c>
      <c r="N53" s="206" t="str">
        <f t="shared" ref="N53:O53" si="42">M53</f>
        <v>full_ifrs-cor_2014-03-05.xsd#ifrs-full_LaterThanTwoMonthsAndNotLaterThanThreeMonthsMember</v>
      </c>
      <c r="O53" s="204" t="str">
        <f t="shared" si="42"/>
        <v>full_ifrs-cor_2014-03-05.xsd#ifrs-full_LaterThanTwoMonthsAndNotLaterThanThreeMonthsMember</v>
      </c>
      <c r="P53" s="201" t="s">
        <v>844</v>
      </c>
      <c r="Q53" s="206" t="str">
        <f t="shared" ref="Q53:R53" si="43">P53</f>
        <v>full_ifrs-cor_2018-03-16.xsd#ifrs-full_LaterThanThreeMonthsMember</v>
      </c>
      <c r="R53" s="204" t="str">
        <f t="shared" si="43"/>
        <v>full_ifrs-cor_2018-03-16.xsd#ifrs-full_LaterThanThreeMonthsMember</v>
      </c>
      <c r="S53" s="201" t="s">
        <v>846</v>
      </c>
      <c r="T53" s="206" t="str">
        <f t="shared" ref="T53:U53" si="44">S53</f>
        <v>full_ifrs-cor_2018-03-16.xsd#ifrs-full_PastDueStatusMember</v>
      </c>
      <c r="U53" s="204" t="str">
        <f t="shared" si="44"/>
        <v>full_ifrs-cor_2018-03-16.xsd#ifrs-full_PastDueStatusMember</v>
      </c>
    </row>
    <row r="54" spans="1:21" s="30" customFormat="1" ht="78" customHeight="1">
      <c r="A54" s="185"/>
      <c r="B54" s="186"/>
      <c r="C54" s="187"/>
      <c r="D54" s="187"/>
      <c r="E54" s="184"/>
      <c r="F54" s="198"/>
      <c r="G54" s="200" t="s">
        <v>730</v>
      </c>
      <c r="H54" s="205" t="s">
        <v>731</v>
      </c>
      <c r="I54" s="188" t="s">
        <v>732</v>
      </c>
      <c r="J54" s="200" t="s">
        <v>730</v>
      </c>
      <c r="K54" s="205" t="s">
        <v>731</v>
      </c>
      <c r="L54" s="188" t="s">
        <v>732</v>
      </c>
      <c r="M54" s="200" t="s">
        <v>730</v>
      </c>
      <c r="N54" s="205" t="s">
        <v>731</v>
      </c>
      <c r="O54" s="188" t="s">
        <v>732</v>
      </c>
      <c r="P54" s="200" t="s">
        <v>730</v>
      </c>
      <c r="Q54" s="205" t="s">
        <v>731</v>
      </c>
      <c r="R54" s="188" t="s">
        <v>732</v>
      </c>
      <c r="S54" s="200" t="s">
        <v>730</v>
      </c>
      <c r="T54" s="205" t="s">
        <v>731</v>
      </c>
      <c r="U54" s="188" t="s">
        <v>732</v>
      </c>
    </row>
    <row r="55" spans="1:21" s="30" customFormat="1" ht="57" hidden="1" customHeight="1">
      <c r="A55" s="62" t="s">
        <v>55</v>
      </c>
      <c r="B55" s="72"/>
      <c r="C55" s="174"/>
      <c r="D55" s="175"/>
      <c r="E55" s="73" t="s">
        <v>729</v>
      </c>
      <c r="F55" s="199"/>
      <c r="G55" s="201" t="s">
        <v>733</v>
      </c>
      <c r="H55" s="206" t="s">
        <v>734</v>
      </c>
      <c r="I55" s="204" t="s">
        <v>735</v>
      </c>
      <c r="J55" s="201" t="s">
        <v>733</v>
      </c>
      <c r="K55" s="206" t="s">
        <v>734</v>
      </c>
      <c r="L55" s="204" t="s">
        <v>735</v>
      </c>
      <c r="M55" s="201" t="s">
        <v>733</v>
      </c>
      <c r="N55" s="206" t="s">
        <v>734</v>
      </c>
      <c r="O55" s="204" t="s">
        <v>735</v>
      </c>
      <c r="P55" s="201" t="s">
        <v>733</v>
      </c>
      <c r="Q55" s="206" t="s">
        <v>734</v>
      </c>
      <c r="R55" s="204" t="s">
        <v>735</v>
      </c>
      <c r="S55" s="201" t="s">
        <v>733</v>
      </c>
      <c r="T55" s="206" t="s">
        <v>734</v>
      </c>
      <c r="U55" s="204" t="s">
        <v>735</v>
      </c>
    </row>
    <row r="56" spans="1:21" s="30" customFormat="1" ht="22.5" customHeight="1">
      <c r="A56" s="62"/>
      <c r="B56" s="72"/>
      <c r="C56" s="174"/>
      <c r="D56" s="175"/>
      <c r="E56" s="175"/>
      <c r="F56" s="299" t="s">
        <v>727</v>
      </c>
      <c r="G56" s="201"/>
      <c r="H56" s="206"/>
      <c r="I56" s="189"/>
      <c r="J56" s="201"/>
      <c r="K56" s="206"/>
      <c r="L56" s="189"/>
      <c r="M56" s="201"/>
      <c r="N56" s="206"/>
      <c r="O56" s="189"/>
      <c r="P56" s="201"/>
      <c r="Q56" s="206"/>
      <c r="R56" s="189"/>
      <c r="S56" s="201"/>
      <c r="T56" s="206"/>
      <c r="U56" s="189"/>
    </row>
    <row r="57" spans="1:21" s="30" customFormat="1" ht="15" customHeight="1">
      <c r="A57" s="190"/>
      <c r="B57" s="191"/>
      <c r="C57" s="121"/>
      <c r="D57" s="178"/>
      <c r="E57" s="73"/>
      <c r="F57" s="197" t="s">
        <v>900</v>
      </c>
      <c r="G57" s="202"/>
      <c r="H57" s="207"/>
      <c r="I57" s="192"/>
      <c r="J57" s="202"/>
      <c r="K57" s="207"/>
      <c r="L57" s="192"/>
      <c r="M57" s="202"/>
      <c r="N57" s="207"/>
      <c r="O57" s="192"/>
      <c r="P57" s="202"/>
      <c r="Q57" s="207"/>
      <c r="R57" s="192"/>
      <c r="S57" s="202"/>
      <c r="T57" s="207"/>
      <c r="U57" s="227"/>
    </row>
    <row r="58" spans="1:21" s="30" customFormat="1" ht="21" customHeight="1">
      <c r="A58" s="190"/>
      <c r="B58" s="72"/>
      <c r="C58" s="73" t="s">
        <v>750</v>
      </c>
      <c r="D58" s="73" t="s">
        <v>4</v>
      </c>
      <c r="E58" s="73"/>
      <c r="F58" s="196" t="s">
        <v>762</v>
      </c>
      <c r="G58" s="254"/>
      <c r="H58" s="255"/>
      <c r="I58" s="256"/>
      <c r="J58" s="254"/>
      <c r="K58" s="255"/>
      <c r="L58" s="256"/>
      <c r="M58" s="254"/>
      <c r="N58" s="255"/>
      <c r="O58" s="256"/>
      <c r="P58" s="254"/>
      <c r="Q58" s="255"/>
      <c r="R58" s="257"/>
      <c r="S58" s="256"/>
      <c r="T58" s="255"/>
      <c r="U58" s="257"/>
    </row>
    <row r="59" spans="1:21" s="30" customFormat="1" ht="21.75" customHeight="1">
      <c r="A59" s="190"/>
      <c r="B59" s="72"/>
      <c r="C59" s="73" t="s">
        <v>756</v>
      </c>
      <c r="D59" s="73" t="s">
        <v>4</v>
      </c>
      <c r="E59" s="73"/>
      <c r="F59" s="196" t="s">
        <v>765</v>
      </c>
      <c r="G59" s="213"/>
      <c r="H59" s="214"/>
      <c r="I59" s="244">
        <f>G59-H59</f>
        <v>0</v>
      </c>
      <c r="J59" s="213"/>
      <c r="K59" s="214"/>
      <c r="L59" s="244">
        <f>J59-K59</f>
        <v>0</v>
      </c>
      <c r="M59" s="213"/>
      <c r="N59" s="214"/>
      <c r="O59" s="244">
        <f>M59-N59</f>
        <v>0</v>
      </c>
      <c r="P59" s="213"/>
      <c r="Q59" s="214"/>
      <c r="R59" s="244">
        <f>P59-Q59</f>
        <v>0</v>
      </c>
      <c r="S59" s="244">
        <f>G59+J59+M59+P59</f>
        <v>0</v>
      </c>
      <c r="T59" s="252">
        <f t="shared" ref="T59:T60" si="45">H59+K59+N59+Q59</f>
        <v>0</v>
      </c>
      <c r="U59" s="246">
        <f t="shared" ref="U59:U60" si="46">I59+L59+O59+R59</f>
        <v>0</v>
      </c>
    </row>
    <row r="60" spans="1:21" s="30" customFormat="1" ht="25.5" customHeight="1">
      <c r="A60" s="190"/>
      <c r="B60" s="72"/>
      <c r="C60" s="73" t="s">
        <v>848</v>
      </c>
      <c r="D60" s="73" t="s">
        <v>4</v>
      </c>
      <c r="E60" s="73"/>
      <c r="F60" s="196" t="s">
        <v>849</v>
      </c>
      <c r="G60" s="300"/>
      <c r="H60" s="301"/>
      <c r="I60" s="302">
        <f>G60-H60</f>
        <v>0</v>
      </c>
      <c r="J60" s="300"/>
      <c r="K60" s="301"/>
      <c r="L60" s="302">
        <f>J60-K60</f>
        <v>0</v>
      </c>
      <c r="M60" s="300"/>
      <c r="N60" s="301"/>
      <c r="O60" s="302">
        <f>M60-N60</f>
        <v>0</v>
      </c>
      <c r="P60" s="300"/>
      <c r="Q60" s="301"/>
      <c r="R60" s="302">
        <f>P60-Q60</f>
        <v>0</v>
      </c>
      <c r="S60" s="302">
        <f>G60+J60+M60+P60</f>
        <v>0</v>
      </c>
      <c r="T60" s="303">
        <f t="shared" si="45"/>
        <v>0</v>
      </c>
      <c r="U60" s="304">
        <f t="shared" si="46"/>
        <v>0</v>
      </c>
    </row>
    <row r="61" spans="1:21" s="30" customFormat="1" ht="15" customHeight="1">
      <c r="A61" s="190"/>
      <c r="B61" s="191"/>
      <c r="C61" s="121"/>
      <c r="D61" s="121"/>
      <c r="E61" s="121" t="s">
        <v>0</v>
      </c>
      <c r="F61" s="192" t="s">
        <v>0</v>
      </c>
      <c r="G61" s="202"/>
      <c r="H61" s="207"/>
      <c r="I61" s="192"/>
      <c r="J61" s="202"/>
      <c r="K61" s="207"/>
      <c r="L61" s="192"/>
      <c r="M61" s="202"/>
      <c r="N61" s="207"/>
      <c r="O61" s="192"/>
      <c r="P61" s="202"/>
      <c r="Q61" s="207"/>
      <c r="R61" s="227"/>
      <c r="S61" s="245"/>
      <c r="T61" s="207"/>
      <c r="U61" s="227"/>
    </row>
    <row r="62" spans="1:21" s="30" customFormat="1" ht="15" customHeight="1">
      <c r="A62" s="190"/>
      <c r="B62" s="191"/>
      <c r="C62" s="121"/>
      <c r="D62" s="121"/>
      <c r="E62" s="121"/>
      <c r="F62" s="192"/>
      <c r="G62" s="202"/>
      <c r="H62" s="207"/>
      <c r="I62" s="192"/>
      <c r="J62" s="202"/>
      <c r="K62" s="207"/>
      <c r="L62" s="192"/>
      <c r="M62" s="202"/>
      <c r="N62" s="207"/>
      <c r="O62" s="192"/>
      <c r="P62" s="202"/>
      <c r="Q62" s="207"/>
      <c r="R62" s="227"/>
      <c r="S62" s="245"/>
      <c r="T62" s="207"/>
      <c r="U62" s="227"/>
    </row>
    <row r="63" spans="1:21" s="30" customFormat="1" ht="15" customHeight="1">
      <c r="A63" s="190"/>
      <c r="B63" s="72"/>
      <c r="C63" s="174"/>
      <c r="D63" s="73"/>
      <c r="E63" s="73"/>
      <c r="F63" s="299" t="s">
        <v>728</v>
      </c>
      <c r="G63" s="202" t="s">
        <v>0</v>
      </c>
      <c r="H63" s="207" t="s">
        <v>0</v>
      </c>
      <c r="I63" s="192" t="s">
        <v>0</v>
      </c>
      <c r="J63" s="202" t="s">
        <v>0</v>
      </c>
      <c r="K63" s="207" t="s">
        <v>0</v>
      </c>
      <c r="L63" s="192" t="s">
        <v>0</v>
      </c>
      <c r="M63" s="202" t="s">
        <v>0</v>
      </c>
      <c r="N63" s="207" t="s">
        <v>0</v>
      </c>
      <c r="O63" s="192" t="s">
        <v>0</v>
      </c>
      <c r="P63" s="202" t="s">
        <v>0</v>
      </c>
      <c r="Q63" s="207" t="s">
        <v>0</v>
      </c>
      <c r="R63" s="227" t="s">
        <v>0</v>
      </c>
      <c r="S63" s="245" t="s">
        <v>0</v>
      </c>
      <c r="T63" s="207" t="s">
        <v>0</v>
      </c>
      <c r="U63" s="227" t="s">
        <v>0</v>
      </c>
    </row>
    <row r="64" spans="1:21" s="30" customFormat="1" ht="15" customHeight="1">
      <c r="A64" s="190"/>
      <c r="B64" s="191"/>
      <c r="C64" s="121"/>
      <c r="D64" s="178"/>
      <c r="E64" s="73"/>
      <c r="F64" s="197" t="s">
        <v>900</v>
      </c>
      <c r="G64" s="202"/>
      <c r="H64" s="207"/>
      <c r="I64" s="192"/>
      <c r="J64" s="202"/>
      <c r="K64" s="207"/>
      <c r="L64" s="192"/>
      <c r="M64" s="202"/>
      <c r="N64" s="207"/>
      <c r="O64" s="192"/>
      <c r="P64" s="202"/>
      <c r="Q64" s="207"/>
      <c r="R64" s="227"/>
      <c r="S64" s="245"/>
      <c r="T64" s="207"/>
      <c r="U64" s="227"/>
    </row>
    <row r="65" spans="1:21" s="30" customFormat="1" ht="21" customHeight="1">
      <c r="A65" s="190"/>
      <c r="B65" s="72"/>
      <c r="C65" s="73" t="s">
        <v>750</v>
      </c>
      <c r="D65" s="73" t="s">
        <v>47</v>
      </c>
      <c r="E65" s="73"/>
      <c r="F65" s="196" t="s">
        <v>762</v>
      </c>
      <c r="G65" s="254"/>
      <c r="H65" s="255"/>
      <c r="I65" s="256"/>
      <c r="J65" s="254"/>
      <c r="K65" s="255"/>
      <c r="L65" s="256"/>
      <c r="M65" s="254"/>
      <c r="N65" s="255"/>
      <c r="O65" s="256"/>
      <c r="P65" s="254"/>
      <c r="Q65" s="255"/>
      <c r="R65" s="257"/>
      <c r="S65" s="256"/>
      <c r="T65" s="255"/>
      <c r="U65" s="257"/>
    </row>
    <row r="66" spans="1:21" s="30" customFormat="1" ht="21.75" customHeight="1">
      <c r="A66" s="190" t="s">
        <v>48</v>
      </c>
      <c r="B66" s="72"/>
      <c r="C66" s="73" t="s">
        <v>756</v>
      </c>
      <c r="D66" s="73" t="s">
        <v>4</v>
      </c>
      <c r="E66" s="73"/>
      <c r="F66" s="196" t="s">
        <v>765</v>
      </c>
      <c r="G66" s="213"/>
      <c r="H66" s="214"/>
      <c r="I66" s="244">
        <f>G66-H66</f>
        <v>0</v>
      </c>
      <c r="J66" s="213"/>
      <c r="K66" s="214"/>
      <c r="L66" s="244">
        <f>J66-K66</f>
        <v>0</v>
      </c>
      <c r="M66" s="213"/>
      <c r="N66" s="214"/>
      <c r="O66" s="244">
        <f>M66-N66</f>
        <v>0</v>
      </c>
      <c r="P66" s="213"/>
      <c r="Q66" s="214"/>
      <c r="R66" s="244">
        <f>P66-Q66</f>
        <v>0</v>
      </c>
      <c r="S66" s="244">
        <f>G66+J66+M66+P66</f>
        <v>0</v>
      </c>
      <c r="T66" s="252">
        <f t="shared" ref="T66:T67" si="47">H66+K66+N66+Q66</f>
        <v>0</v>
      </c>
      <c r="U66" s="246">
        <f t="shared" ref="U66:U67" si="48">I66+L66+O66+R66</f>
        <v>0</v>
      </c>
    </row>
    <row r="67" spans="1:21" s="30" customFormat="1" ht="25.5" customHeight="1">
      <c r="A67" s="190" t="s">
        <v>48</v>
      </c>
      <c r="B67" s="72"/>
      <c r="C67" s="73" t="s">
        <v>848</v>
      </c>
      <c r="D67" s="73" t="s">
        <v>4</v>
      </c>
      <c r="E67" s="73"/>
      <c r="F67" s="196" t="s">
        <v>849</v>
      </c>
      <c r="G67" s="300"/>
      <c r="H67" s="301"/>
      <c r="I67" s="302">
        <f>G67-H67</f>
        <v>0</v>
      </c>
      <c r="J67" s="300"/>
      <c r="K67" s="301"/>
      <c r="L67" s="302">
        <f>J67-K67</f>
        <v>0</v>
      </c>
      <c r="M67" s="300"/>
      <c r="N67" s="301"/>
      <c r="O67" s="302">
        <f>M67-N67</f>
        <v>0</v>
      </c>
      <c r="P67" s="300"/>
      <c r="Q67" s="301"/>
      <c r="R67" s="302">
        <f>P67-Q67</f>
        <v>0</v>
      </c>
      <c r="S67" s="302">
        <f>G67+J67+M67+P67</f>
        <v>0</v>
      </c>
      <c r="T67" s="303">
        <f t="shared" si="47"/>
        <v>0</v>
      </c>
      <c r="U67" s="304">
        <f t="shared" si="48"/>
        <v>0</v>
      </c>
    </row>
    <row r="68" spans="1:21" ht="15.75" thickBot="1">
      <c r="A68" s="190"/>
      <c r="B68" s="193"/>
      <c r="C68" s="194"/>
      <c r="D68" s="194"/>
      <c r="E68" s="194" t="s">
        <v>0</v>
      </c>
      <c r="F68" s="195" t="s">
        <v>0</v>
      </c>
      <c r="G68" s="203"/>
      <c r="H68" s="208"/>
      <c r="I68" s="195"/>
      <c r="J68" s="203"/>
      <c r="K68" s="208"/>
      <c r="L68" s="195"/>
      <c r="M68" s="203"/>
      <c r="N68" s="208"/>
      <c r="O68" s="195"/>
      <c r="P68" s="203"/>
      <c r="Q68" s="208"/>
      <c r="R68" s="195"/>
      <c r="S68" s="203"/>
      <c r="T68" s="208"/>
      <c r="U68" s="195"/>
    </row>
  </sheetData>
  <mergeCells count="22">
    <mergeCell ref="F6:I6"/>
    <mergeCell ref="G7:I7"/>
    <mergeCell ref="G8:U8"/>
    <mergeCell ref="G10:I10"/>
    <mergeCell ref="J10:L10"/>
    <mergeCell ref="M10:O10"/>
    <mergeCell ref="P10:R10"/>
    <mergeCell ref="S10:U10"/>
    <mergeCell ref="G50:U50"/>
    <mergeCell ref="G52:I52"/>
    <mergeCell ref="J52:L52"/>
    <mergeCell ref="M52:O52"/>
    <mergeCell ref="P52:R52"/>
    <mergeCell ref="S52:U52"/>
    <mergeCell ref="F28:I28"/>
    <mergeCell ref="G29:I29"/>
    <mergeCell ref="G30:U30"/>
    <mergeCell ref="G32:I32"/>
    <mergeCell ref="J32:L32"/>
    <mergeCell ref="M32:O32"/>
    <mergeCell ref="P32:R32"/>
    <mergeCell ref="S32:U32"/>
  </mergeCells>
  <conditionalFormatting sqref="G8">
    <cfRule type="expression" dxfId="3" priority="5">
      <formula>ISERROR(G9)</formula>
    </cfRule>
  </conditionalFormatting>
  <conditionalFormatting sqref="G30">
    <cfRule type="expression" dxfId="2" priority="3">
      <formula>ISERROR(G31)</formula>
    </cfRule>
  </conditionalFormatting>
  <pageMargins left="0.7" right="0.7" top="0.75" bottom="0.75" header="0.3" footer="0.3"/>
  <pageSetup paperSize="9" orientation="portrait" horizontalDpi="300" verticalDpi="300" r:id="rId1"/>
  <extLst>
    <ext xmlns:x14="http://schemas.microsoft.com/office/spreadsheetml/2009/9/main" uri="{78C0D931-6437-407d-A8EE-F0AAD7539E65}">
      <x14:conditionalFormattings>
        <x14:conditionalFormatting xmlns:xm="http://schemas.microsoft.com/office/excel/2006/main">
          <x14:cfRule type="expression" priority="7" id="{0297C4AF-E53B-4817-83E9-FEBDA6D601C0}">
            <xm:f>ISERROR(VLOOKUP($G7,Hoja1!$C$1:$C$12,1,FALSE))</xm:f>
            <x14:dxf>
              <font>
                <color rgb="FFFFFF00"/>
              </font>
              <fill>
                <patternFill>
                  <bgColor rgb="FFFF0000"/>
                </patternFill>
              </fill>
            </x14:dxf>
          </x14:cfRule>
          <xm:sqref>G7</xm:sqref>
        </x14:conditionalFormatting>
        <x14:conditionalFormatting xmlns:xm="http://schemas.microsoft.com/office/excel/2006/main">
          <x14:cfRule type="expression" priority="4" id="{F18041AF-1052-41C5-A253-D459D16FC82A}">
            <xm:f>ISERROR(VLOOKUP($G29,Hoja1!$C$1:$C$12,1,FALSE))</xm:f>
            <x14:dxf>
              <font>
                <color rgb="FFFFFF00"/>
              </font>
              <fill>
                <patternFill>
                  <bgColor rgb="FFFF0000"/>
                </patternFill>
              </fill>
            </x14:dxf>
          </x14:cfRule>
          <xm:sqref>G29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0000000}">
          <x14:formula1>
            <xm:f>Hoja1!$C$1:$C$12</xm:f>
          </x14:formula1>
          <xm:sqref>G58:U58 G65:U65 G7 G29</xm:sqref>
        </x14:dataValidation>
        <x14:dataValidation type="list" allowBlank="1" showInputMessage="1" showErrorMessage="1" xr:uid="{00000000-0002-0000-0A00-000001000000}">
          <x14:formula1>
            <xm:f>Hoja1!$F$1:$F$2</xm:f>
          </x14:formula1>
          <xm:sqref>G4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9"/>
  <dimension ref="A1:K249"/>
  <sheetViews>
    <sheetView workbookViewId="0">
      <selection activeCell="F3" sqref="F3"/>
    </sheetView>
  </sheetViews>
  <sheetFormatPr baseColWidth="10" defaultRowHeight="15"/>
  <cols>
    <col min="1" max="1" width="35" customWidth="1"/>
    <col min="2" max="2" width="35.28515625" customWidth="1"/>
    <col min="3" max="5" width="20.7109375" customWidth="1"/>
    <col min="6" max="6" width="3.85546875" bestFit="1" customWidth="1"/>
    <col min="7" max="7" width="14.28515625" bestFit="1" customWidth="1"/>
    <col min="8" max="8" width="14.140625" bestFit="1" customWidth="1"/>
    <col min="9" max="9" width="13.28515625" bestFit="1" customWidth="1"/>
  </cols>
  <sheetData>
    <row r="1" spans="1:11">
      <c r="A1" t="s">
        <v>143</v>
      </c>
      <c r="B1" t="s">
        <v>374</v>
      </c>
      <c r="C1" s="142" t="s">
        <v>766</v>
      </c>
      <c r="D1" s="142" t="s">
        <v>778</v>
      </c>
      <c r="E1" s="142" t="s">
        <v>780</v>
      </c>
      <c r="F1" s="142" t="s">
        <v>956</v>
      </c>
      <c r="G1" s="142" t="s">
        <v>863</v>
      </c>
      <c r="H1" s="142" t="s">
        <v>875</v>
      </c>
      <c r="I1" s="142" t="s">
        <v>877</v>
      </c>
      <c r="J1" t="s">
        <v>915</v>
      </c>
      <c r="K1" t="s">
        <v>919</v>
      </c>
    </row>
    <row r="2" spans="1:11">
      <c r="A2" t="s">
        <v>852</v>
      </c>
      <c r="B2" t="s">
        <v>373</v>
      </c>
      <c r="C2" s="142" t="s">
        <v>767</v>
      </c>
      <c r="D2" s="142" t="s">
        <v>779</v>
      </c>
      <c r="E2" s="142" t="s">
        <v>781</v>
      </c>
      <c r="F2" s="142" t="s">
        <v>957</v>
      </c>
      <c r="G2" s="142" t="s">
        <v>864</v>
      </c>
      <c r="H2" s="142" t="s">
        <v>876</v>
      </c>
      <c r="I2" s="142" t="s">
        <v>878</v>
      </c>
      <c r="J2" t="s">
        <v>916</v>
      </c>
      <c r="K2" t="s">
        <v>920</v>
      </c>
    </row>
    <row r="3" spans="1:11">
      <c r="A3" t="s">
        <v>103</v>
      </c>
      <c r="B3" t="s">
        <v>481</v>
      </c>
      <c r="C3" s="142" t="s">
        <v>768</v>
      </c>
      <c r="G3" t="s">
        <v>865</v>
      </c>
      <c r="J3" t="s">
        <v>917</v>
      </c>
      <c r="K3" t="s">
        <v>921</v>
      </c>
    </row>
    <row r="4" spans="1:11">
      <c r="A4" t="s">
        <v>104</v>
      </c>
      <c r="B4" t="s">
        <v>343</v>
      </c>
      <c r="C4" s="142" t="s">
        <v>769</v>
      </c>
      <c r="G4" t="s">
        <v>866</v>
      </c>
    </row>
    <row r="5" spans="1:11">
      <c r="A5" t="s">
        <v>105</v>
      </c>
      <c r="B5" t="s">
        <v>344</v>
      </c>
      <c r="C5" s="142" t="s">
        <v>770</v>
      </c>
      <c r="G5" t="s">
        <v>867</v>
      </c>
    </row>
    <row r="6" spans="1:11">
      <c r="A6" t="s">
        <v>106</v>
      </c>
      <c r="B6" t="s">
        <v>345</v>
      </c>
      <c r="C6" s="142" t="s">
        <v>771</v>
      </c>
      <c r="G6" t="s">
        <v>868</v>
      </c>
    </row>
    <row r="7" spans="1:11">
      <c r="A7" t="s">
        <v>648</v>
      </c>
      <c r="B7" t="s">
        <v>346</v>
      </c>
      <c r="C7" s="142" t="s">
        <v>772</v>
      </c>
      <c r="G7" t="s">
        <v>869</v>
      </c>
    </row>
    <row r="8" spans="1:11">
      <c r="A8" t="s">
        <v>107</v>
      </c>
      <c r="B8" t="s">
        <v>347</v>
      </c>
      <c r="C8" s="142" t="s">
        <v>773</v>
      </c>
      <c r="G8" t="s">
        <v>870</v>
      </c>
    </row>
    <row r="9" spans="1:11">
      <c r="A9" t="s">
        <v>108</v>
      </c>
      <c r="B9" t="s">
        <v>348</v>
      </c>
      <c r="C9" s="142" t="s">
        <v>774</v>
      </c>
      <c r="G9" t="s">
        <v>871</v>
      </c>
    </row>
    <row r="10" spans="1:11">
      <c r="A10" t="s">
        <v>109</v>
      </c>
      <c r="B10" t="s">
        <v>349</v>
      </c>
      <c r="C10" s="142" t="s">
        <v>775</v>
      </c>
      <c r="G10" t="s">
        <v>872</v>
      </c>
    </row>
    <row r="11" spans="1:11">
      <c r="A11" t="s">
        <v>110</v>
      </c>
      <c r="B11" t="s">
        <v>350</v>
      </c>
      <c r="C11" s="142" t="s">
        <v>776</v>
      </c>
      <c r="G11" t="s">
        <v>873</v>
      </c>
    </row>
    <row r="12" spans="1:11">
      <c r="A12" t="s">
        <v>111</v>
      </c>
      <c r="B12" t="s">
        <v>351</v>
      </c>
      <c r="C12" s="142" t="s">
        <v>777</v>
      </c>
      <c r="G12" t="s">
        <v>874</v>
      </c>
    </row>
    <row r="13" spans="1:11">
      <c r="A13" t="s">
        <v>112</v>
      </c>
      <c r="B13" t="s">
        <v>352</v>
      </c>
    </row>
    <row r="14" spans="1:11">
      <c r="A14" t="s">
        <v>113</v>
      </c>
      <c r="B14" t="s">
        <v>353</v>
      </c>
    </row>
    <row r="15" spans="1:11">
      <c r="A15" t="s">
        <v>114</v>
      </c>
      <c r="B15" t="s">
        <v>354</v>
      </c>
    </row>
    <row r="16" spans="1:11">
      <c r="A16" t="s">
        <v>115</v>
      </c>
      <c r="B16" t="s">
        <v>355</v>
      </c>
    </row>
    <row r="17" spans="1:2">
      <c r="A17" t="s">
        <v>116</v>
      </c>
      <c r="B17" t="s">
        <v>356</v>
      </c>
    </row>
    <row r="18" spans="1:2">
      <c r="A18" t="s">
        <v>117</v>
      </c>
      <c r="B18" t="s">
        <v>357</v>
      </c>
    </row>
    <row r="19" spans="1:2">
      <c r="A19" t="s">
        <v>118</v>
      </c>
      <c r="B19" t="s">
        <v>358</v>
      </c>
    </row>
    <row r="20" spans="1:2">
      <c r="A20" t="s">
        <v>119</v>
      </c>
      <c r="B20" t="s">
        <v>359</v>
      </c>
    </row>
    <row r="21" spans="1:2">
      <c r="A21" t="s">
        <v>120</v>
      </c>
      <c r="B21" t="s">
        <v>360</v>
      </c>
    </row>
    <row r="22" spans="1:2">
      <c r="A22" t="s">
        <v>121</v>
      </c>
      <c r="B22" t="s">
        <v>361</v>
      </c>
    </row>
    <row r="23" spans="1:2">
      <c r="A23" t="s">
        <v>122</v>
      </c>
      <c r="B23" t="s">
        <v>362</v>
      </c>
    </row>
    <row r="24" spans="1:2">
      <c r="A24" t="s">
        <v>123</v>
      </c>
      <c r="B24" t="s">
        <v>363</v>
      </c>
    </row>
    <row r="25" spans="1:2">
      <c r="A25" t="s">
        <v>124</v>
      </c>
      <c r="B25" t="s">
        <v>364</v>
      </c>
    </row>
    <row r="26" spans="1:2">
      <c r="A26" t="s">
        <v>125</v>
      </c>
      <c r="B26" t="s">
        <v>365</v>
      </c>
    </row>
    <row r="27" spans="1:2">
      <c r="A27" t="s">
        <v>126</v>
      </c>
      <c r="B27" t="s">
        <v>366</v>
      </c>
    </row>
    <row r="28" spans="1:2">
      <c r="A28" t="s">
        <v>127</v>
      </c>
      <c r="B28" t="s">
        <v>855</v>
      </c>
    </row>
    <row r="29" spans="1:2">
      <c r="A29" t="s">
        <v>128</v>
      </c>
      <c r="B29" t="s">
        <v>367</v>
      </c>
    </row>
    <row r="30" spans="1:2">
      <c r="A30" t="s">
        <v>649</v>
      </c>
      <c r="B30" t="s">
        <v>368</v>
      </c>
    </row>
    <row r="31" spans="1:2">
      <c r="A31" t="s">
        <v>129</v>
      </c>
      <c r="B31" t="s">
        <v>369</v>
      </c>
    </row>
    <row r="32" spans="1:2">
      <c r="A32" t="s">
        <v>130</v>
      </c>
      <c r="B32" t="s">
        <v>370</v>
      </c>
    </row>
    <row r="33" spans="1:2">
      <c r="A33" t="s">
        <v>131</v>
      </c>
      <c r="B33" t="s">
        <v>371</v>
      </c>
    </row>
    <row r="34" spans="1:2">
      <c r="A34" t="s">
        <v>132</v>
      </c>
      <c r="B34" t="s">
        <v>372</v>
      </c>
    </row>
    <row r="35" spans="1:2">
      <c r="A35" t="s">
        <v>133</v>
      </c>
      <c r="B35" t="s">
        <v>375</v>
      </c>
    </row>
    <row r="36" spans="1:2">
      <c r="A36" t="s">
        <v>134</v>
      </c>
      <c r="B36" t="s">
        <v>376</v>
      </c>
    </row>
    <row r="37" spans="1:2">
      <c r="A37" t="s">
        <v>135</v>
      </c>
      <c r="B37" t="s">
        <v>377</v>
      </c>
    </row>
    <row r="38" spans="1:2">
      <c r="A38" t="s">
        <v>136</v>
      </c>
      <c r="B38" t="s">
        <v>378</v>
      </c>
    </row>
    <row r="39" spans="1:2">
      <c r="A39" t="s">
        <v>137</v>
      </c>
      <c r="B39" t="s">
        <v>379</v>
      </c>
    </row>
    <row r="40" spans="1:2">
      <c r="A40" t="s">
        <v>138</v>
      </c>
      <c r="B40" t="s">
        <v>380</v>
      </c>
    </row>
    <row r="41" spans="1:2">
      <c r="A41" t="s">
        <v>139</v>
      </c>
      <c r="B41" t="s">
        <v>381</v>
      </c>
    </row>
    <row r="42" spans="1:2">
      <c r="A42" t="s">
        <v>140</v>
      </c>
      <c r="B42" t="s">
        <v>382</v>
      </c>
    </row>
    <row r="43" spans="1:2">
      <c r="A43" t="s">
        <v>141</v>
      </c>
      <c r="B43" t="s">
        <v>383</v>
      </c>
    </row>
    <row r="44" spans="1:2">
      <c r="A44" t="s">
        <v>142</v>
      </c>
      <c r="B44" t="s">
        <v>384</v>
      </c>
    </row>
    <row r="45" spans="1:2">
      <c r="A45" t="s">
        <v>144</v>
      </c>
      <c r="B45" t="s">
        <v>385</v>
      </c>
    </row>
    <row r="46" spans="1:2">
      <c r="A46" t="s">
        <v>650</v>
      </c>
      <c r="B46" t="s">
        <v>386</v>
      </c>
    </row>
    <row r="47" spans="1:2">
      <c r="A47" t="s">
        <v>145</v>
      </c>
      <c r="B47" t="s">
        <v>387</v>
      </c>
    </row>
    <row r="48" spans="1:2">
      <c r="A48" t="s">
        <v>146</v>
      </c>
      <c r="B48" t="s">
        <v>388</v>
      </c>
    </row>
    <row r="49" spans="1:2">
      <c r="A49" t="s">
        <v>147</v>
      </c>
      <c r="B49" t="s">
        <v>389</v>
      </c>
    </row>
    <row r="50" spans="1:2">
      <c r="A50" t="s">
        <v>148</v>
      </c>
      <c r="B50" t="s">
        <v>390</v>
      </c>
    </row>
    <row r="51" spans="1:2">
      <c r="A51" t="s">
        <v>149</v>
      </c>
      <c r="B51" t="s">
        <v>391</v>
      </c>
    </row>
    <row r="52" spans="1:2">
      <c r="A52" t="s">
        <v>150</v>
      </c>
      <c r="B52" t="s">
        <v>392</v>
      </c>
    </row>
    <row r="53" spans="1:2">
      <c r="A53" t="s">
        <v>151</v>
      </c>
      <c r="B53" t="s">
        <v>393</v>
      </c>
    </row>
    <row r="54" spans="1:2">
      <c r="A54" t="s">
        <v>152</v>
      </c>
      <c r="B54" t="s">
        <v>394</v>
      </c>
    </row>
    <row r="55" spans="1:2">
      <c r="A55" t="s">
        <v>153</v>
      </c>
      <c r="B55" t="s">
        <v>395</v>
      </c>
    </row>
    <row r="56" spans="1:2">
      <c r="A56" t="s">
        <v>651</v>
      </c>
      <c r="B56" t="s">
        <v>396</v>
      </c>
    </row>
    <row r="57" spans="1:2">
      <c r="A57" t="s">
        <v>154</v>
      </c>
      <c r="B57" t="s">
        <v>397</v>
      </c>
    </row>
    <row r="58" spans="1:2">
      <c r="A58" t="s">
        <v>155</v>
      </c>
      <c r="B58" t="s">
        <v>398</v>
      </c>
    </row>
    <row r="59" spans="1:2">
      <c r="A59" t="s">
        <v>156</v>
      </c>
      <c r="B59" t="s">
        <v>399</v>
      </c>
    </row>
    <row r="60" spans="1:2">
      <c r="A60" t="s">
        <v>157</v>
      </c>
      <c r="B60" t="s">
        <v>671</v>
      </c>
    </row>
    <row r="61" spans="1:2">
      <c r="A61" t="s">
        <v>158</v>
      </c>
      <c r="B61" t="s">
        <v>400</v>
      </c>
    </row>
    <row r="62" spans="1:2">
      <c r="A62" t="s">
        <v>159</v>
      </c>
      <c r="B62" t="s">
        <v>401</v>
      </c>
    </row>
    <row r="63" spans="1:2">
      <c r="A63" t="s">
        <v>160</v>
      </c>
      <c r="B63" t="s">
        <v>672</v>
      </c>
    </row>
    <row r="64" spans="1:2">
      <c r="A64" t="s">
        <v>161</v>
      </c>
      <c r="B64" t="s">
        <v>402</v>
      </c>
    </row>
    <row r="65" spans="1:2">
      <c r="A65" t="s">
        <v>162</v>
      </c>
      <c r="B65" t="s">
        <v>403</v>
      </c>
    </row>
    <row r="66" spans="1:2">
      <c r="A66" t="s">
        <v>163</v>
      </c>
      <c r="B66" t="s">
        <v>404</v>
      </c>
    </row>
    <row r="67" spans="1:2">
      <c r="A67" t="s">
        <v>164</v>
      </c>
      <c r="B67" t="s">
        <v>405</v>
      </c>
    </row>
    <row r="68" spans="1:2">
      <c r="A68" t="s">
        <v>165</v>
      </c>
      <c r="B68" t="s">
        <v>406</v>
      </c>
    </row>
    <row r="69" spans="1:2">
      <c r="A69" t="s">
        <v>166</v>
      </c>
      <c r="B69" t="s">
        <v>407</v>
      </c>
    </row>
    <row r="70" spans="1:2">
      <c r="A70" t="s">
        <v>853</v>
      </c>
      <c r="B70" t="s">
        <v>408</v>
      </c>
    </row>
    <row r="71" spans="1:2">
      <c r="A71" t="s">
        <v>167</v>
      </c>
      <c r="B71" t="s">
        <v>409</v>
      </c>
    </row>
    <row r="72" spans="1:2">
      <c r="A72" t="s">
        <v>168</v>
      </c>
      <c r="B72" t="s">
        <v>410</v>
      </c>
    </row>
    <row r="73" spans="1:2">
      <c r="A73" t="s">
        <v>169</v>
      </c>
      <c r="B73" t="s">
        <v>411</v>
      </c>
    </row>
    <row r="74" spans="1:2">
      <c r="A74" t="s">
        <v>170</v>
      </c>
      <c r="B74" t="s">
        <v>412</v>
      </c>
    </row>
    <row r="75" spans="1:2">
      <c r="A75" t="s">
        <v>171</v>
      </c>
      <c r="B75" t="s">
        <v>413</v>
      </c>
    </row>
    <row r="76" spans="1:2">
      <c r="A76" t="s">
        <v>172</v>
      </c>
      <c r="B76" t="s">
        <v>414</v>
      </c>
    </row>
    <row r="77" spans="1:2">
      <c r="A77" t="s">
        <v>173</v>
      </c>
      <c r="B77" t="s">
        <v>415</v>
      </c>
    </row>
    <row r="78" spans="1:2">
      <c r="A78" t="s">
        <v>174</v>
      </c>
      <c r="B78" t="s">
        <v>416</v>
      </c>
    </row>
    <row r="79" spans="1:2">
      <c r="A79" t="s">
        <v>175</v>
      </c>
      <c r="B79" t="s">
        <v>417</v>
      </c>
    </row>
    <row r="80" spans="1:2">
      <c r="A80" t="s">
        <v>176</v>
      </c>
      <c r="B80" t="s">
        <v>418</v>
      </c>
    </row>
    <row r="81" spans="1:2">
      <c r="A81" t="s">
        <v>177</v>
      </c>
      <c r="B81" t="s">
        <v>419</v>
      </c>
    </row>
    <row r="82" spans="1:2">
      <c r="A82" t="s">
        <v>178</v>
      </c>
      <c r="B82" t="s">
        <v>420</v>
      </c>
    </row>
    <row r="83" spans="1:2">
      <c r="A83" t="s">
        <v>179</v>
      </c>
      <c r="B83" t="s">
        <v>421</v>
      </c>
    </row>
    <row r="84" spans="1:2">
      <c r="A84" t="s">
        <v>180</v>
      </c>
      <c r="B84" t="s">
        <v>422</v>
      </c>
    </row>
    <row r="85" spans="1:2">
      <c r="A85" t="s">
        <v>181</v>
      </c>
      <c r="B85" t="s">
        <v>423</v>
      </c>
    </row>
    <row r="86" spans="1:2">
      <c r="A86" t="s">
        <v>182</v>
      </c>
      <c r="B86" t="s">
        <v>424</v>
      </c>
    </row>
    <row r="87" spans="1:2">
      <c r="A87" t="s">
        <v>183</v>
      </c>
      <c r="B87" t="s">
        <v>425</v>
      </c>
    </row>
    <row r="88" spans="1:2">
      <c r="A88" t="s">
        <v>184</v>
      </c>
      <c r="B88" t="s">
        <v>426</v>
      </c>
    </row>
    <row r="89" spans="1:2">
      <c r="A89" t="s">
        <v>185</v>
      </c>
      <c r="B89" t="s">
        <v>427</v>
      </c>
    </row>
    <row r="90" spans="1:2">
      <c r="A90" t="s">
        <v>186</v>
      </c>
      <c r="B90" t="s">
        <v>428</v>
      </c>
    </row>
    <row r="91" spans="1:2">
      <c r="A91" t="s">
        <v>187</v>
      </c>
      <c r="B91" t="s">
        <v>429</v>
      </c>
    </row>
    <row r="92" spans="1:2">
      <c r="A92" t="s">
        <v>188</v>
      </c>
      <c r="B92" t="s">
        <v>673</v>
      </c>
    </row>
    <row r="93" spans="1:2">
      <c r="A93" t="s">
        <v>189</v>
      </c>
      <c r="B93" t="s">
        <v>430</v>
      </c>
    </row>
    <row r="94" spans="1:2">
      <c r="A94" t="s">
        <v>190</v>
      </c>
      <c r="B94" t="s">
        <v>431</v>
      </c>
    </row>
    <row r="95" spans="1:2">
      <c r="A95" t="s">
        <v>191</v>
      </c>
      <c r="B95" t="s">
        <v>432</v>
      </c>
    </row>
    <row r="96" spans="1:2">
      <c r="A96" t="s">
        <v>192</v>
      </c>
      <c r="B96" t="s">
        <v>433</v>
      </c>
    </row>
    <row r="97" spans="1:2">
      <c r="A97" t="s">
        <v>193</v>
      </c>
      <c r="B97" t="s">
        <v>856</v>
      </c>
    </row>
    <row r="98" spans="1:2">
      <c r="A98" t="s">
        <v>194</v>
      </c>
      <c r="B98" t="s">
        <v>434</v>
      </c>
    </row>
    <row r="99" spans="1:2">
      <c r="A99" t="s">
        <v>195</v>
      </c>
      <c r="B99" t="s">
        <v>435</v>
      </c>
    </row>
    <row r="100" spans="1:2">
      <c r="A100" t="s">
        <v>196</v>
      </c>
      <c r="B100" t="s">
        <v>436</v>
      </c>
    </row>
    <row r="101" spans="1:2">
      <c r="A101" t="s">
        <v>197</v>
      </c>
      <c r="B101" t="s">
        <v>437</v>
      </c>
    </row>
    <row r="102" spans="1:2">
      <c r="A102" t="s">
        <v>198</v>
      </c>
      <c r="B102" t="s">
        <v>438</v>
      </c>
    </row>
    <row r="103" spans="1:2">
      <c r="A103" t="s">
        <v>199</v>
      </c>
      <c r="B103" t="s">
        <v>439</v>
      </c>
    </row>
    <row r="104" spans="1:2">
      <c r="A104" t="s">
        <v>200</v>
      </c>
      <c r="B104" t="s">
        <v>440</v>
      </c>
    </row>
    <row r="105" spans="1:2">
      <c r="A105" t="s">
        <v>201</v>
      </c>
      <c r="B105" t="s">
        <v>441</v>
      </c>
    </row>
    <row r="106" spans="1:2">
      <c r="A106" t="s">
        <v>202</v>
      </c>
      <c r="B106" t="s">
        <v>442</v>
      </c>
    </row>
    <row r="107" spans="1:2">
      <c r="A107" t="s">
        <v>203</v>
      </c>
      <c r="B107" t="s">
        <v>443</v>
      </c>
    </row>
    <row r="108" spans="1:2">
      <c r="A108" t="s">
        <v>204</v>
      </c>
      <c r="B108" t="s">
        <v>444</v>
      </c>
    </row>
    <row r="109" spans="1:2">
      <c r="A109" t="s">
        <v>205</v>
      </c>
      <c r="B109" t="s">
        <v>445</v>
      </c>
    </row>
    <row r="110" spans="1:2">
      <c r="A110" t="s">
        <v>206</v>
      </c>
      <c r="B110" t="s">
        <v>446</v>
      </c>
    </row>
    <row r="111" spans="1:2">
      <c r="A111" t="s">
        <v>207</v>
      </c>
      <c r="B111" t="s">
        <v>447</v>
      </c>
    </row>
    <row r="112" spans="1:2">
      <c r="A112" t="s">
        <v>208</v>
      </c>
      <c r="B112" t="s">
        <v>448</v>
      </c>
    </row>
    <row r="113" spans="1:2">
      <c r="A113" t="s">
        <v>209</v>
      </c>
      <c r="B113" t="s">
        <v>674</v>
      </c>
    </row>
    <row r="114" spans="1:2">
      <c r="A114" t="s">
        <v>210</v>
      </c>
      <c r="B114" t="s">
        <v>449</v>
      </c>
    </row>
    <row r="115" spans="1:2">
      <c r="A115" t="s">
        <v>211</v>
      </c>
      <c r="B115" t="s">
        <v>450</v>
      </c>
    </row>
    <row r="116" spans="1:2">
      <c r="A116" t="s">
        <v>212</v>
      </c>
      <c r="B116" t="s">
        <v>451</v>
      </c>
    </row>
    <row r="117" spans="1:2">
      <c r="A117" t="s">
        <v>213</v>
      </c>
      <c r="B117" t="s">
        <v>452</v>
      </c>
    </row>
    <row r="118" spans="1:2">
      <c r="A118" t="s">
        <v>214</v>
      </c>
      <c r="B118" t="s">
        <v>453</v>
      </c>
    </row>
    <row r="119" spans="1:2">
      <c r="A119" t="s">
        <v>215</v>
      </c>
      <c r="B119" t="s">
        <v>454</v>
      </c>
    </row>
    <row r="120" spans="1:2">
      <c r="A120" t="s">
        <v>216</v>
      </c>
      <c r="B120" t="s">
        <v>857</v>
      </c>
    </row>
    <row r="121" spans="1:2">
      <c r="A121" t="s">
        <v>217</v>
      </c>
      <c r="B121" t="s">
        <v>455</v>
      </c>
    </row>
    <row r="122" spans="1:2">
      <c r="A122" t="s">
        <v>218</v>
      </c>
      <c r="B122" t="s">
        <v>456</v>
      </c>
    </row>
    <row r="123" spans="1:2">
      <c r="A123" t="s">
        <v>219</v>
      </c>
      <c r="B123" t="s">
        <v>457</v>
      </c>
    </row>
    <row r="124" spans="1:2">
      <c r="A124" t="s">
        <v>220</v>
      </c>
      <c r="B124" t="s">
        <v>458</v>
      </c>
    </row>
    <row r="125" spans="1:2">
      <c r="A125" t="s">
        <v>221</v>
      </c>
      <c r="B125" t="s">
        <v>459</v>
      </c>
    </row>
    <row r="126" spans="1:2">
      <c r="A126" t="s">
        <v>222</v>
      </c>
      <c r="B126" t="s">
        <v>460</v>
      </c>
    </row>
    <row r="127" spans="1:2">
      <c r="A127" t="s">
        <v>223</v>
      </c>
      <c r="B127" t="s">
        <v>461</v>
      </c>
    </row>
    <row r="128" spans="1:2">
      <c r="A128" t="s">
        <v>224</v>
      </c>
      <c r="B128" t="s">
        <v>462</v>
      </c>
    </row>
    <row r="129" spans="1:2">
      <c r="A129" t="s">
        <v>225</v>
      </c>
      <c r="B129" t="s">
        <v>463</v>
      </c>
    </row>
    <row r="130" spans="1:2">
      <c r="A130" t="s">
        <v>226</v>
      </c>
      <c r="B130" t="s">
        <v>464</v>
      </c>
    </row>
    <row r="131" spans="1:2">
      <c r="A131" t="s">
        <v>227</v>
      </c>
      <c r="B131" t="s">
        <v>465</v>
      </c>
    </row>
    <row r="132" spans="1:2">
      <c r="A132" t="s">
        <v>228</v>
      </c>
      <c r="B132" t="s">
        <v>466</v>
      </c>
    </row>
    <row r="133" spans="1:2">
      <c r="A133" t="s">
        <v>229</v>
      </c>
      <c r="B133" t="s">
        <v>467</v>
      </c>
    </row>
    <row r="134" spans="1:2">
      <c r="A134" t="s">
        <v>230</v>
      </c>
      <c r="B134" t="s">
        <v>468</v>
      </c>
    </row>
    <row r="135" spans="1:2">
      <c r="A135" t="s">
        <v>231</v>
      </c>
      <c r="B135" t="s">
        <v>858</v>
      </c>
    </row>
    <row r="136" spans="1:2">
      <c r="A136" t="s">
        <v>232</v>
      </c>
      <c r="B136" t="s">
        <v>469</v>
      </c>
    </row>
    <row r="137" spans="1:2">
      <c r="A137" t="s">
        <v>233</v>
      </c>
      <c r="B137" t="s">
        <v>470</v>
      </c>
    </row>
    <row r="138" spans="1:2">
      <c r="A138" t="s">
        <v>234</v>
      </c>
      <c r="B138" t="s">
        <v>471</v>
      </c>
    </row>
    <row r="139" spans="1:2">
      <c r="A139" t="s">
        <v>235</v>
      </c>
      <c r="B139" t="s">
        <v>472</v>
      </c>
    </row>
    <row r="140" spans="1:2">
      <c r="A140" t="s">
        <v>236</v>
      </c>
      <c r="B140" t="s">
        <v>473</v>
      </c>
    </row>
    <row r="141" spans="1:2">
      <c r="A141" t="s">
        <v>237</v>
      </c>
      <c r="B141" t="s">
        <v>859</v>
      </c>
    </row>
    <row r="142" spans="1:2">
      <c r="A142" t="s">
        <v>238</v>
      </c>
      <c r="B142" t="s">
        <v>474</v>
      </c>
    </row>
    <row r="143" spans="1:2">
      <c r="A143" t="s">
        <v>239</v>
      </c>
      <c r="B143" t="s">
        <v>647</v>
      </c>
    </row>
    <row r="144" spans="1:2">
      <c r="A144" t="s">
        <v>240</v>
      </c>
      <c r="B144" t="s">
        <v>475</v>
      </c>
    </row>
    <row r="145" spans="1:2">
      <c r="A145" t="s">
        <v>241</v>
      </c>
      <c r="B145" t="s">
        <v>476</v>
      </c>
    </row>
    <row r="146" spans="1:2">
      <c r="A146" t="s">
        <v>242</v>
      </c>
      <c r="B146" t="s">
        <v>477</v>
      </c>
    </row>
    <row r="147" spans="1:2">
      <c r="A147" t="s">
        <v>243</v>
      </c>
      <c r="B147" t="s">
        <v>478</v>
      </c>
    </row>
    <row r="148" spans="1:2">
      <c r="A148" t="s">
        <v>244</v>
      </c>
      <c r="B148" t="s">
        <v>479</v>
      </c>
    </row>
    <row r="149" spans="1:2">
      <c r="A149" t="s">
        <v>245</v>
      </c>
      <c r="B149" t="s">
        <v>480</v>
      </c>
    </row>
    <row r="150" spans="1:2">
      <c r="A150" t="s">
        <v>246</v>
      </c>
      <c r="B150" t="s">
        <v>482</v>
      </c>
    </row>
    <row r="151" spans="1:2">
      <c r="A151" t="s">
        <v>247</v>
      </c>
      <c r="B151" t="s">
        <v>483</v>
      </c>
    </row>
    <row r="152" spans="1:2">
      <c r="A152" t="s">
        <v>248</v>
      </c>
      <c r="B152" t="s">
        <v>484</v>
      </c>
    </row>
    <row r="153" spans="1:2">
      <c r="A153" t="s">
        <v>249</v>
      </c>
      <c r="B153" t="s">
        <v>860</v>
      </c>
    </row>
    <row r="154" spans="1:2">
      <c r="A154" t="s">
        <v>250</v>
      </c>
      <c r="B154" t="s">
        <v>485</v>
      </c>
    </row>
    <row r="155" spans="1:2">
      <c r="A155" t="s">
        <v>251</v>
      </c>
      <c r="B155" t="s">
        <v>675</v>
      </c>
    </row>
    <row r="156" spans="1:2">
      <c r="A156" t="s">
        <v>252</v>
      </c>
      <c r="B156" t="s">
        <v>486</v>
      </c>
    </row>
    <row r="157" spans="1:2">
      <c r="A157" t="s">
        <v>253</v>
      </c>
      <c r="B157" t="s">
        <v>487</v>
      </c>
    </row>
    <row r="158" spans="1:2">
      <c r="A158" t="s">
        <v>254</v>
      </c>
      <c r="B158" t="s">
        <v>488</v>
      </c>
    </row>
    <row r="159" spans="1:2">
      <c r="A159" t="s">
        <v>255</v>
      </c>
      <c r="B159" t="s">
        <v>489</v>
      </c>
    </row>
    <row r="160" spans="1:2">
      <c r="A160" t="s">
        <v>256</v>
      </c>
      <c r="B160" t="s">
        <v>490</v>
      </c>
    </row>
    <row r="161" spans="1:2">
      <c r="A161" t="s">
        <v>257</v>
      </c>
      <c r="B161" t="s">
        <v>491</v>
      </c>
    </row>
    <row r="162" spans="1:2">
      <c r="A162" t="s">
        <v>258</v>
      </c>
      <c r="B162" t="s">
        <v>492</v>
      </c>
    </row>
    <row r="163" spans="1:2">
      <c r="A163" t="s">
        <v>259</v>
      </c>
      <c r="B163" t="s">
        <v>493</v>
      </c>
    </row>
    <row r="164" spans="1:2">
      <c r="A164" t="s">
        <v>260</v>
      </c>
      <c r="B164" t="s">
        <v>494</v>
      </c>
    </row>
    <row r="165" spans="1:2">
      <c r="A165" t="s">
        <v>261</v>
      </c>
      <c r="B165" t="s">
        <v>495</v>
      </c>
    </row>
    <row r="166" spans="1:2">
      <c r="A166" t="s">
        <v>262</v>
      </c>
      <c r="B166" t="s">
        <v>496</v>
      </c>
    </row>
    <row r="167" spans="1:2">
      <c r="A167" t="s">
        <v>263</v>
      </c>
      <c r="B167" t="s">
        <v>497</v>
      </c>
    </row>
    <row r="168" spans="1:2">
      <c r="A168" t="s">
        <v>264</v>
      </c>
      <c r="B168" t="s">
        <v>498</v>
      </c>
    </row>
    <row r="169" spans="1:2">
      <c r="A169" t="s">
        <v>265</v>
      </c>
      <c r="B169" t="s">
        <v>499</v>
      </c>
    </row>
    <row r="170" spans="1:2">
      <c r="A170" t="s">
        <v>266</v>
      </c>
      <c r="B170" t="s">
        <v>500</v>
      </c>
    </row>
    <row r="171" spans="1:2">
      <c r="A171" t="s">
        <v>267</v>
      </c>
      <c r="B171" t="s">
        <v>501</v>
      </c>
    </row>
    <row r="172" spans="1:2">
      <c r="A172" t="s">
        <v>268</v>
      </c>
      <c r="B172" t="s">
        <v>502</v>
      </c>
    </row>
    <row r="173" spans="1:2">
      <c r="A173" t="s">
        <v>269</v>
      </c>
      <c r="B173" t="s">
        <v>503</v>
      </c>
    </row>
    <row r="174" spans="1:2">
      <c r="A174" t="s">
        <v>270</v>
      </c>
      <c r="B174" t="s">
        <v>504</v>
      </c>
    </row>
    <row r="175" spans="1:2">
      <c r="A175" t="s">
        <v>271</v>
      </c>
      <c r="B175" t="s">
        <v>505</v>
      </c>
    </row>
    <row r="176" spans="1:2">
      <c r="A176" t="s">
        <v>272</v>
      </c>
      <c r="B176" t="s">
        <v>506</v>
      </c>
    </row>
    <row r="177" spans="1:2">
      <c r="A177" t="s">
        <v>273</v>
      </c>
      <c r="B177" t="s">
        <v>507</v>
      </c>
    </row>
    <row r="178" spans="1:2">
      <c r="A178" t="s">
        <v>274</v>
      </c>
      <c r="B178" t="s">
        <v>508</v>
      </c>
    </row>
    <row r="179" spans="1:2">
      <c r="A179" t="s">
        <v>275</v>
      </c>
      <c r="B179" t="s">
        <v>509</v>
      </c>
    </row>
    <row r="180" spans="1:2">
      <c r="A180" t="s">
        <v>276</v>
      </c>
      <c r="B180" t="s">
        <v>676</v>
      </c>
    </row>
    <row r="181" spans="1:2">
      <c r="A181" t="s">
        <v>277</v>
      </c>
    </row>
    <row r="182" spans="1:2">
      <c r="A182" t="s">
        <v>278</v>
      </c>
    </row>
    <row r="183" spans="1:2">
      <c r="A183" t="s">
        <v>279</v>
      </c>
    </row>
    <row r="184" spans="1:2">
      <c r="A184" t="s">
        <v>280</v>
      </c>
    </row>
    <row r="185" spans="1:2">
      <c r="A185" t="s">
        <v>281</v>
      </c>
    </row>
    <row r="186" spans="1:2">
      <c r="A186" t="s">
        <v>282</v>
      </c>
    </row>
    <row r="187" spans="1:2">
      <c r="A187" t="s">
        <v>283</v>
      </c>
    </row>
    <row r="188" spans="1:2">
      <c r="A188" t="s">
        <v>284</v>
      </c>
    </row>
    <row r="189" spans="1:2">
      <c r="A189" t="s">
        <v>652</v>
      </c>
    </row>
    <row r="190" spans="1:2">
      <c r="A190" t="s">
        <v>285</v>
      </c>
    </row>
    <row r="191" spans="1:2">
      <c r="A191" t="s">
        <v>286</v>
      </c>
    </row>
    <row r="192" spans="1:2">
      <c r="A192" t="s">
        <v>287</v>
      </c>
    </row>
    <row r="193" spans="1:1">
      <c r="A193" t="s">
        <v>288</v>
      </c>
    </row>
    <row r="194" spans="1:1">
      <c r="A194" t="s">
        <v>289</v>
      </c>
    </row>
    <row r="195" spans="1:1">
      <c r="A195" t="s">
        <v>290</v>
      </c>
    </row>
    <row r="196" spans="1:1">
      <c r="A196" t="s">
        <v>291</v>
      </c>
    </row>
    <row r="197" spans="1:1">
      <c r="A197" t="s">
        <v>292</v>
      </c>
    </row>
    <row r="198" spans="1:1">
      <c r="A198" t="s">
        <v>293</v>
      </c>
    </row>
    <row r="199" spans="1:1">
      <c r="A199" t="s">
        <v>294</v>
      </c>
    </row>
    <row r="200" spans="1:1">
      <c r="A200" t="s">
        <v>295</v>
      </c>
    </row>
    <row r="201" spans="1:1">
      <c r="A201" t="s">
        <v>296</v>
      </c>
    </row>
    <row r="202" spans="1:1">
      <c r="A202" t="s">
        <v>297</v>
      </c>
    </row>
    <row r="203" spans="1:1">
      <c r="A203" t="s">
        <v>298</v>
      </c>
    </row>
    <row r="204" spans="1:1">
      <c r="A204" t="s">
        <v>299</v>
      </c>
    </row>
    <row r="205" spans="1:1">
      <c r="A205" t="s">
        <v>300</v>
      </c>
    </row>
    <row r="206" spans="1:1">
      <c r="A206" t="s">
        <v>301</v>
      </c>
    </row>
    <row r="207" spans="1:1">
      <c r="A207" t="s">
        <v>302</v>
      </c>
    </row>
    <row r="208" spans="1:1">
      <c r="A208" t="s">
        <v>303</v>
      </c>
    </row>
    <row r="209" spans="1:1">
      <c r="A209" t="s">
        <v>304</v>
      </c>
    </row>
    <row r="210" spans="1:1">
      <c r="A210" t="s">
        <v>305</v>
      </c>
    </row>
    <row r="211" spans="1:1">
      <c r="A211" t="s">
        <v>306</v>
      </c>
    </row>
    <row r="212" spans="1:1">
      <c r="A212" t="s">
        <v>307</v>
      </c>
    </row>
    <row r="213" spans="1:1">
      <c r="A213" t="s">
        <v>854</v>
      </c>
    </row>
    <row r="214" spans="1:1">
      <c r="A214" t="s">
        <v>308</v>
      </c>
    </row>
    <row r="215" spans="1:1">
      <c r="A215" t="s">
        <v>309</v>
      </c>
    </row>
    <row r="216" spans="1:1">
      <c r="A216" t="s">
        <v>310</v>
      </c>
    </row>
    <row r="217" spans="1:1">
      <c r="A217" t="s">
        <v>311</v>
      </c>
    </row>
    <row r="218" spans="1:1">
      <c r="A218" t="s">
        <v>312</v>
      </c>
    </row>
    <row r="219" spans="1:1">
      <c r="A219" t="s">
        <v>313</v>
      </c>
    </row>
    <row r="220" spans="1:1">
      <c r="A220" t="s">
        <v>314</v>
      </c>
    </row>
    <row r="221" spans="1:1">
      <c r="A221" t="s">
        <v>315</v>
      </c>
    </row>
    <row r="222" spans="1:1">
      <c r="A222" t="s">
        <v>316</v>
      </c>
    </row>
    <row r="223" spans="1:1">
      <c r="A223" t="s">
        <v>317</v>
      </c>
    </row>
    <row r="224" spans="1:1">
      <c r="A224" t="s">
        <v>318</v>
      </c>
    </row>
    <row r="225" spans="1:1">
      <c r="A225" t="s">
        <v>319</v>
      </c>
    </row>
    <row r="226" spans="1:1">
      <c r="A226" t="s">
        <v>320</v>
      </c>
    </row>
    <row r="227" spans="1:1">
      <c r="A227" t="s">
        <v>321</v>
      </c>
    </row>
    <row r="228" spans="1:1">
      <c r="A228" t="s">
        <v>322</v>
      </c>
    </row>
    <row r="229" spans="1:1">
      <c r="A229" t="s">
        <v>323</v>
      </c>
    </row>
    <row r="230" spans="1:1">
      <c r="A230" t="s">
        <v>324</v>
      </c>
    </row>
    <row r="231" spans="1:1">
      <c r="A231" t="s">
        <v>325</v>
      </c>
    </row>
    <row r="232" spans="1:1">
      <c r="A232" t="s">
        <v>326</v>
      </c>
    </row>
    <row r="233" spans="1:1">
      <c r="A233" t="s">
        <v>327</v>
      </c>
    </row>
    <row r="234" spans="1:1">
      <c r="A234" t="s">
        <v>328</v>
      </c>
    </row>
    <row r="235" spans="1:1">
      <c r="A235" t="s">
        <v>329</v>
      </c>
    </row>
    <row r="236" spans="1:1">
      <c r="A236" t="s">
        <v>330</v>
      </c>
    </row>
    <row r="237" spans="1:1">
      <c r="A237" t="s">
        <v>331</v>
      </c>
    </row>
    <row r="238" spans="1:1">
      <c r="A238" t="s">
        <v>332</v>
      </c>
    </row>
    <row r="239" spans="1:1">
      <c r="A239" t="s">
        <v>653</v>
      </c>
    </row>
    <row r="240" spans="1:1">
      <c r="A240" t="s">
        <v>333</v>
      </c>
    </row>
    <row r="241" spans="1:1">
      <c r="A241" t="s">
        <v>334</v>
      </c>
    </row>
    <row r="242" spans="1:1">
      <c r="A242" t="s">
        <v>335</v>
      </c>
    </row>
    <row r="243" spans="1:1">
      <c r="A243" t="s">
        <v>336</v>
      </c>
    </row>
    <row r="244" spans="1:1">
      <c r="A244" t="s">
        <v>337</v>
      </c>
    </row>
    <row r="245" spans="1:1">
      <c r="A245" t="s">
        <v>338</v>
      </c>
    </row>
    <row r="246" spans="1:1">
      <c r="A246" t="s">
        <v>339</v>
      </c>
    </row>
    <row r="247" spans="1:1">
      <c r="A247" t="s">
        <v>340</v>
      </c>
    </row>
    <row r="248" spans="1:1">
      <c r="A248" t="s">
        <v>341</v>
      </c>
    </row>
    <row r="249" spans="1:1">
      <c r="A249" t="s">
        <v>342</v>
      </c>
    </row>
  </sheetData>
  <sortState xmlns:xlrd2="http://schemas.microsoft.com/office/spreadsheetml/2017/richdata2" ref="B5:B179">
    <sortCondition ref="B5"/>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12</vt:i4>
      </vt:variant>
    </vt:vector>
  </HeadingPairs>
  <TitlesOfParts>
    <vt:vector size="12" baseType="lpstr">
      <vt:lpstr>IFRS7-Cuadros</vt:lpstr>
      <vt:lpstr>IFRS7-ObligConBanc</vt:lpstr>
      <vt:lpstr>IFRS7-ObligConPubl</vt:lpstr>
      <vt:lpstr>IFRS7-RestFina</vt:lpstr>
      <vt:lpstr>IFRS7-DeudCuenCobr</vt:lpstr>
      <vt:lpstr>IFRS7-EstrDeLaCart</vt:lpstr>
      <vt:lpstr>IFRS7-CartProtCobr</vt:lpstr>
      <vt:lpstr>IFRS7-NumeMontOper</vt:lpstr>
      <vt:lpstr>IFRS7-ConcCambValo</vt:lpstr>
      <vt:lpstr>IFRS7-ExpoRiesCred</vt:lpstr>
      <vt:lpstr>IFRS7-InfoMatrProv</vt:lpstr>
      <vt:lpstr>Hoja1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San Martin (DBNeTCorp)</dc:creator>
  <cp:lastModifiedBy>Waldo González</cp:lastModifiedBy>
  <dcterms:created xsi:type="dcterms:W3CDTF">2013-03-21T17:58:38Z</dcterms:created>
  <dcterms:modified xsi:type="dcterms:W3CDTF">2024-06-25T14:22:35Z</dcterms:modified>
</cp:coreProperties>
</file>