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aime\Desktop\Jaime\TESTING\Testing CI 2020\XLS PRuebas svs-cl-ci-2021-01-04\xls\"/>
    </mc:Choice>
  </mc:AlternateContent>
  <xr:revisionPtr revIDLastSave="0" documentId="13_ncr:1_{8A911F5E-FC17-447C-B8B0-5B6493AA8877}" xr6:coauthVersionLast="46" xr6:coauthVersionMax="46" xr10:uidLastSave="{00000000-0000-0000-0000-000000000000}"/>
  <bookViews>
    <workbookView xWindow="-120" yWindow="-120" windowWidth="20730" windowHeight="11160" tabRatio="691" firstSheet="1" activeTab="4" xr2:uid="{00000000-000D-0000-FFFF-FFFF00000000}"/>
  </bookViews>
  <sheets>
    <sheet name="IFRS13-Cuadros" sheetId="1" r:id="rId1"/>
    <sheet name="IFRS13-InfoMedValoJust" sheetId="15" r:id="rId2"/>
    <sheet name="IFRS13-InfoMedValoJustA" sheetId="18" r:id="rId3"/>
    <sheet name="IFRS13-InfoMedValoJustB" sheetId="20" r:id="rId4"/>
    <sheet name="IFRS13-InfoMedValoJustF" sheetId="24" r:id="rId5"/>
    <sheet name="Hoja1" sheetId="25" state="hidden" r:id="rId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6" i="20" l="1"/>
  <c r="G46" i="20"/>
  <c r="I46" i="20" s="1"/>
  <c r="I45" i="20"/>
  <c r="I44" i="20"/>
  <c r="H42" i="20"/>
  <c r="H53" i="20" s="1"/>
  <c r="H54" i="20" s="1"/>
  <c r="G42" i="20"/>
  <c r="G53" i="20" s="1"/>
  <c r="G54" i="20" s="1"/>
  <c r="I41" i="20"/>
  <c r="I40" i="20"/>
  <c r="H22" i="20"/>
  <c r="G22" i="20"/>
  <c r="H18" i="20"/>
  <c r="H29" i="20" s="1"/>
  <c r="G18" i="20"/>
  <c r="I21" i="20"/>
  <c r="I20" i="20"/>
  <c r="I17" i="20"/>
  <c r="I16" i="20"/>
  <c r="H47" i="18"/>
  <c r="H54" i="18" s="1"/>
  <c r="H55" i="18" s="1"/>
  <c r="G47" i="18"/>
  <c r="I47" i="18" s="1"/>
  <c r="I46" i="18"/>
  <c r="I45" i="18"/>
  <c r="H43" i="18"/>
  <c r="G43" i="18"/>
  <c r="I43" i="18" s="1"/>
  <c r="I42" i="18"/>
  <c r="I41" i="18"/>
  <c r="H22" i="18"/>
  <c r="G22" i="18"/>
  <c r="I22" i="18" s="1"/>
  <c r="H18" i="18"/>
  <c r="G18" i="18"/>
  <c r="I18" i="18" s="1"/>
  <c r="I21" i="18"/>
  <c r="I20" i="18"/>
  <c r="I17" i="18"/>
  <c r="I16" i="18"/>
  <c r="I14" i="18"/>
  <c r="H50" i="15"/>
  <c r="G50" i="15"/>
  <c r="I49" i="15"/>
  <c r="I48" i="15"/>
  <c r="H46" i="15"/>
  <c r="H57" i="15" s="1"/>
  <c r="H58" i="15" s="1"/>
  <c r="G46" i="15"/>
  <c r="I46" i="15" s="1"/>
  <c r="I45" i="15"/>
  <c r="I44" i="15"/>
  <c r="H24" i="15"/>
  <c r="G24" i="15"/>
  <c r="H20" i="15"/>
  <c r="H31" i="15" s="1"/>
  <c r="G20" i="15"/>
  <c r="I23" i="15"/>
  <c r="I22" i="15"/>
  <c r="I19" i="15"/>
  <c r="I18" i="15"/>
  <c r="G31" i="15" l="1"/>
  <c r="I18" i="20"/>
  <c r="I22" i="20"/>
  <c r="I50" i="15"/>
  <c r="G54" i="18"/>
  <c r="G55" i="18" s="1"/>
  <c r="I55" i="18" s="1"/>
  <c r="G57" i="15"/>
  <c r="G58" i="15" s="1"/>
  <c r="I58" i="15" s="1"/>
  <c r="H29" i="18"/>
  <c r="I42" i="20"/>
  <c r="I54" i="20"/>
  <c r="G29" i="20"/>
  <c r="G29" i="18"/>
  <c r="I24" i="15"/>
  <c r="I20" i="15"/>
  <c r="I23" i="20"/>
  <c r="I52" i="20" l="1"/>
  <c r="I51" i="20"/>
  <c r="I50" i="20"/>
  <c r="I49" i="20"/>
  <c r="I48" i="20"/>
  <c r="I47" i="20"/>
  <c r="I53" i="20" s="1"/>
  <c r="I38" i="20"/>
  <c r="I28" i="20"/>
  <c r="I27" i="20"/>
  <c r="I26" i="20"/>
  <c r="I25" i="20"/>
  <c r="I24" i="20"/>
  <c r="I14" i="20"/>
  <c r="I53" i="18"/>
  <c r="I52" i="18"/>
  <c r="I51" i="18"/>
  <c r="I50" i="18"/>
  <c r="I49" i="18"/>
  <c r="I48" i="18"/>
  <c r="I39" i="18"/>
  <c r="I28" i="18"/>
  <c r="I27" i="18"/>
  <c r="I26" i="18"/>
  <c r="I25" i="18"/>
  <c r="I24" i="18"/>
  <c r="I23" i="18"/>
  <c r="I56" i="15"/>
  <c r="I55" i="15"/>
  <c r="I54" i="15"/>
  <c r="I53" i="15"/>
  <c r="I52" i="15"/>
  <c r="I51" i="15"/>
  <c r="I57" i="15" s="1"/>
  <c r="I42" i="15"/>
  <c r="I30" i="15"/>
  <c r="I29" i="15"/>
  <c r="I28" i="15"/>
  <c r="I27" i="15"/>
  <c r="I26" i="15"/>
  <c r="I25" i="15"/>
  <c r="I16" i="15"/>
  <c r="I54" i="18" l="1"/>
  <c r="I29" i="18"/>
  <c r="I31" i="15"/>
  <c r="I29" i="20"/>
  <c r="H6" i="24"/>
  <c r="G6" i="24"/>
  <c r="H30" i="20" l="1"/>
  <c r="G30" i="20"/>
  <c r="H57" i="18"/>
  <c r="G57" i="18"/>
  <c r="H30" i="18"/>
  <c r="G30" i="18"/>
  <c r="H60" i="15"/>
  <c r="G60" i="15"/>
  <c r="H32" i="15"/>
  <c r="G32" i="15"/>
  <c r="I57" i="18" l="1"/>
  <c r="I60" i="15"/>
  <c r="I32" i="15"/>
  <c r="I30" i="18"/>
  <c r="I30" i="20"/>
  <c r="H6" i="20"/>
  <c r="G6" i="20"/>
  <c r="H5" i="18"/>
  <c r="G5" i="18"/>
  <c r="H6" i="15"/>
  <c r="G6" i="15"/>
</calcChain>
</file>

<file path=xl/sharedStrings.xml><?xml version="1.0" encoding="utf-8"?>
<sst xmlns="http://schemas.openxmlformats.org/spreadsheetml/2006/main" count="1546" uniqueCount="456">
  <si>
    <t xml:space="preserve"> </t>
  </si>
  <si>
    <r>
      <t xml:space="preserve">INSTRUCCIONES DE LLENADO
</t>
    </r>
    <r>
      <rPr>
        <sz val="10"/>
        <rFont val="Calibri"/>
        <family val="2"/>
      </rPr>
      <t xml:space="preserve">Esta dimensión puede ser extendida agregando columnas (miembros) adicionales a las definidas por taxonomía.
-Las columnas marcadas con línea punteada roja y con fondo verde indican las posiciones donde es posible agregar elementos.                                                                                                                                                                                                                                                                                             </t>
    </r>
    <r>
      <rPr>
        <sz val="10"/>
        <color indexed="10"/>
        <rFont val="Calibri"/>
        <family val="2"/>
      </rPr>
      <t xml:space="preserve">-Si se presiona el botón </t>
    </r>
    <r>
      <rPr>
        <b/>
        <sz val="10"/>
        <color indexed="10"/>
        <rFont val="Calibri"/>
        <family val="2"/>
      </rPr>
      <t>'Copiar Columna'</t>
    </r>
    <r>
      <rPr>
        <sz val="10"/>
        <color indexed="10"/>
        <rFont val="Calibri"/>
        <family val="2"/>
      </rPr>
      <t xml:space="preserve"> se copiará una columna  a la derecha de la columna actualmente seleccionada. </t>
    </r>
    <r>
      <rPr>
        <sz val="10"/>
        <rFont val="Calibri"/>
        <family val="2"/>
      </rPr>
      <t xml:space="preserve">
-Edite las columnas</t>
    </r>
    <r>
      <rPr>
        <b/>
        <sz val="10"/>
        <rFont val="Calibri"/>
        <family val="2"/>
      </rPr>
      <t xml:space="preserve"> coloreadas verde </t>
    </r>
    <r>
      <rPr>
        <sz val="10"/>
        <rFont val="Calibri"/>
        <family val="2"/>
      </rPr>
      <t xml:space="preserve">de acuerdo a sus necesidades.
-Las columnas verdes pueden ser editadas, eliminadas o duplicadas, así puede agregar mas detalle donde corresponda. Asegúrese de copiar la columna completa si desea duplicar un elemento (Se recomienda utilizar el botón 'Copiar Columna').
-Las columnas marcadas en plomo </t>
    </r>
    <r>
      <rPr>
        <b/>
        <sz val="10"/>
        <rFont val="Calibri"/>
        <family val="2"/>
      </rPr>
      <t>no deben ser editadas, eliminadas ni movidas.</t>
    </r>
  </si>
  <si>
    <t>Elimine la(s) columnas en verde que no apliquen para usted</t>
  </si>
  <si>
    <t>ACT</t>
  </si>
  <si>
    <t>ANT</t>
  </si>
  <si>
    <t>INI</t>
  </si>
  <si>
    <r>
      <t xml:space="preserve">INSTRUCCIONES DE LLENADO
</t>
    </r>
    <r>
      <rPr>
        <sz val="10"/>
        <rFont val="Calibri"/>
        <family val="2"/>
      </rPr>
      <t xml:space="preserve">Esta dimensión puede ser extendida agregando columnas (miembros) adicionales a las definidas por taxonomía.
-Las tabla  marcada con línea punteada roja y con fondo verde indican las posiciones donde es posible agregar elementos. Esta tabla puede ser copiada  debajo de este cuadro si se desean agregar mas columnas.
-Para cada columna creada (verde) debe escribirse una descripción (en rojo).
-Las tablas marcadas en plomo </t>
    </r>
    <r>
      <rPr>
        <b/>
        <sz val="10"/>
        <rFont val="Calibri"/>
        <family val="2"/>
      </rPr>
      <t>no deben ser editadas, eliminadas ni movidas.</t>
    </r>
  </si>
  <si>
    <t>DIMENUE</t>
  </si>
  <si>
    <t>DIMEAVA</t>
  </si>
  <si>
    <t>Información a revelar sobre medición del valor razonable de activos [partidas]</t>
  </si>
  <si>
    <t>Conciliación de los cambios en la medición del valor razonable, activos [resumen]</t>
  </si>
  <si>
    <t>Cambios en la medición del valor razonable, activos [resumen]</t>
  </si>
  <si>
    <t>Activos [miembro]</t>
  </si>
  <si>
    <t>Pasivos [miembro]</t>
  </si>
  <si>
    <t>Instrumentos de patrimonio propio de la entidad [miembro]</t>
  </si>
  <si>
    <t>Información a revelar sobre la medición del valor razonable de pasivos [partidas]</t>
  </si>
  <si>
    <t>Conciliación de los cambios en la medición del valor razonable, pasivos [resumen]</t>
  </si>
  <si>
    <t>Cambios en la medición del valor razonable, pasivos [resumen]</t>
  </si>
  <si>
    <t>Información a revelar sobre medición del valor razonable del patrimonio [partidas]</t>
  </si>
  <si>
    <t>Conciliación de los cambios en la medición del valor razonable, instrumentos de patrimonio propio de la entidad [resumen]</t>
  </si>
  <si>
    <t>Cambios en la medición del valor razonable, instrumentos de patrimonio propio de la entidad [resumen]</t>
  </si>
  <si>
    <t>Pasivo medido al valor razonable y emitido con mejoras crediticias de terceros inseparables [miembro]</t>
  </si>
  <si>
    <t>Información a revelar sobre medición del valor razonable [bloque de texto]</t>
  </si>
  <si>
    <t>Información a revelar sobre medición del valor razonable de activos [bloque de texto]</t>
  </si>
  <si>
    <t>Información a revelar sobre medición del valor razonable de activos [tabla]</t>
  </si>
  <si>
    <t>Información a revelar sobre la medición del valor razonable de pasivos [bloque de texto]</t>
  </si>
  <si>
    <t>Información a revelar sobre la medición del valor razonable de pasivos [tabla]</t>
  </si>
  <si>
    <t>Información a revelar sobre medición del valor razonable del patrimonio [bloque de texto]</t>
  </si>
  <si>
    <t>Información a revelar sobre medición del valor razonable del patrimonio [tabla]</t>
  </si>
  <si>
    <t>Información a revelar sobre datos de entrada no observables significativos utilizados en la medición del valor razonable de activos [bloque de texto]</t>
  </si>
  <si>
    <t>Información a revelar sobre datos de entrada no observables significativos utilizados en la medición del valor razonable de pasivos [bloque de texto]</t>
  </si>
  <si>
    <t>Información a revelar sobre datos de entrada no observables significativos utilizados en la medición del valor razonable del patrimonio [bloque de texto]</t>
  </si>
  <si>
    <t>Información a revelar sobre pasivos medidos al valor razonable y emitidos con inseparables mejoras crediticias de terceros [bloque de texto]</t>
  </si>
  <si>
    <t>Información a revelar sobre pasivos medidos al valor razonable y emitido con inseparables mejoras crediticias de terceros [tabla]</t>
  </si>
  <si>
    <t>Información a revelar sobre pasivos medidos al valor razonable y emitidos con inseparables mejoras crediticias de terceros [partidas]</t>
  </si>
  <si>
    <t>Compras, medición del valor razonable, activos  [Número]</t>
  </si>
  <si>
    <t>Ventas, medición del valor razonable, activos  [Número]</t>
  </si>
  <si>
    <t>Emisiones, medición del valor razonable, activos  [Número]</t>
  </si>
  <si>
    <t>Liquidaciones, medición del valor razonable, activos  [Número]</t>
  </si>
  <si>
    <t>Transferencias al Nivel 3 de la jerarquía del valor razonable, activos  [Número]</t>
  </si>
  <si>
    <t>Transferencias fuera del Nivel 3 de la jerarquía del valor razonable, activos  [Número]</t>
  </si>
  <si>
    <t>Incrementos (disminuciones) de la medición del valor razonable, activos  [Número]</t>
  </si>
  <si>
    <t>Compras, medición del valor razonable, pasivos  [Número]</t>
  </si>
  <si>
    <t>Ventas, medición del valor razonable, pasivos  [Número]</t>
  </si>
  <si>
    <t>Emisiones, medición del valor razonable, pasivos  [Número]</t>
  </si>
  <si>
    <t>Liquidaciones, medición del valor razonable, pasivos  [Número]</t>
  </si>
  <si>
    <t>Transferencia al Nivel 3 de la jerarquía del valor razonable, pasivos  [Número]</t>
  </si>
  <si>
    <t>Transferencias fuera del Nivel 3 de la jerarquía del valor razonable, pasivos  [Número]</t>
  </si>
  <si>
    <t>Incrementos (disminuciones) de la medición del valor razonable, pasivos  [Número]</t>
  </si>
  <si>
    <t>Patrimonio  [Número]</t>
  </si>
  <si>
    <t>Compras, medición del valor razonable, instrumentos de patrimonio propio de la entidad  [Número]</t>
  </si>
  <si>
    <t>Ventas, medición del valor razonable, instrumentos de patrimonio propio de la entidad  [Número]</t>
  </si>
  <si>
    <t>Emisiones, medición del valor razonable, instrumentos de patrimonio propio de la entidad  [Número]</t>
  </si>
  <si>
    <t>Liquidaciones, medición del valor razonable, instrumentos de patrimonio propio de la entidad  [Número]</t>
  </si>
  <si>
    <t>Transferencias al Nivel 3 de la jerarquía del valor razonable, instrumentos de patrimonio propio de la entidad  [Número]</t>
  </si>
  <si>
    <t>Transferencias fuera del Nivel 3 de la jerarquía del valor razonable, instrumentos de patrimonio propio de la entidad  [Número]</t>
  </si>
  <si>
    <t>Incrementos (disminuciones) de la medición del valor razonable, instrumentos de patrimonio propio de la entidad  [Número]</t>
  </si>
  <si>
    <t>Descripción de la existencia de la mejora crediticia de terceros [texto]</t>
  </si>
  <si>
    <t>Descripción de si las mejoras crediticias de terceros se reflejan en la medición del valor razonable [texto]</t>
  </si>
  <si>
    <t>Periodo Anterior</t>
  </si>
  <si>
    <t>Periodo Actual</t>
  </si>
  <si>
    <t>AAN</t>
  </si>
  <si>
    <t>Activos  - Saldo Final Periodo de Reporte[Número]</t>
  </si>
  <si>
    <t>Agregar columna opcional</t>
  </si>
  <si>
    <t>Activos biológicos</t>
  </si>
  <si>
    <t>Activos no corrientes mantenidos para la venta</t>
  </si>
  <si>
    <t>Derivados</t>
  </si>
  <si>
    <t>Inversiones en fondos de cobertura</t>
  </si>
  <si>
    <t>Otros valores o títulos de patrimonio</t>
  </si>
  <si>
    <t>Propiedades de inversión</t>
  </si>
  <si>
    <t>Propiedades, planta y equipos</t>
  </si>
  <si>
    <t>Títulos de deuda</t>
  </si>
  <si>
    <t>Valores o títulos de patrimonio para negociar</t>
  </si>
  <si>
    <t>Medición a valor razonable no recurrente</t>
  </si>
  <si>
    <t>Mediciones a valor razonable recurrentes</t>
  </si>
  <si>
    <t>No medidos al valor razonable en el estado de situación financiera sino para los que se revela el valor razonable</t>
  </si>
  <si>
    <t>Nivel 1 de la jerarquía del valor razonable</t>
  </si>
  <si>
    <t>Nivel 2 de la jerarquía del valor razonable</t>
  </si>
  <si>
    <t>Nivel 3 de la jerarquía del valor razonable</t>
  </si>
  <si>
    <t>Cargar hoja:</t>
  </si>
  <si>
    <t>SI</t>
  </si>
  <si>
    <t>NO</t>
  </si>
  <si>
    <t>full_ifrs-cor_2015-03-11.xsd#ifrs-full_DisclosureOfFairValueMeasurementExplanatory</t>
  </si>
  <si>
    <t>full_ifrs-cor_2015-03-11.xsd#ifrs-full_DisclosureOfFairValueMeasurementOfAssetsExplanatory</t>
  </si>
  <si>
    <t>full_ifrs-cor_2015-03-11.xsd#ifrs-full_DisclosureOfFairValueMeasurementOfLiabilitiesExplanatory</t>
  </si>
  <si>
    <t>full_ifrs-cor_2015-03-11.xsd#ifrs-full_DisclosureOfFairValueMeasurementOfEquityExplanatory</t>
  </si>
  <si>
    <t>full_ifrs-cor_2015-03-11.xsd#ifrs-full_DisclosureOfSignificantUnobservableInputsUsedInFairValueMeasurementOfAssetsExplanatory</t>
  </si>
  <si>
    <t>full_ifrs-cor_2015-03-11.xsd#ifrs-full_DisclosureOfSignificantUnobservableInputsUsedInFairValueMeasurementOfLiabilitiesExplanatory</t>
  </si>
  <si>
    <t>full_ifrs-cor_2015-03-11.xsd#ifrs-full_DisclosureOfSignificantUnobservableInputsUsedInFairValueMeasurementOfEquityExplanatory</t>
  </si>
  <si>
    <t>full_ifrs-cor_2015-03-11.xsd#ifrs-full_DisclosureOfLiabilitiesMeasuredAtFairValueAndIssuedWithInseparableThirdpartyCreditEnhancementExplanatory</t>
  </si>
  <si>
    <t>full_ifrs-cor_2015-03-11.xsd#ifrs-full_DisclosureOfFairValueMeasurementOfAssetsTable</t>
  </si>
  <si>
    <t>full_ifrs-cor_2015-03-11.xsd#ifrs-full_ClassesOfAssetsMember</t>
  </si>
  <si>
    <t>full_ifrs-cor_2015-03-11.xsd#ifrs-full_GainsLossesRecognisedInProfitOrLossFairValueMeasurementAssets</t>
  </si>
  <si>
    <t>full_ifrs-cor_2015-03-11.xsd#ifrs-full_GainsLossesRecognisedInOtherComprehensiveIncomeFairValueMeasurementAssets</t>
  </si>
  <si>
    <t>full_ifrs-cor_2015-03-11.xsd#ifrs-full_PurchasesFairValueMeasurementAssets</t>
  </si>
  <si>
    <t>full_ifrs-cor_2015-03-11.xsd#ifrs-full_SalesFairValueMeasurementAssets</t>
  </si>
  <si>
    <t>full_ifrs-cor_2015-03-11.xsd#ifrs-full_IssuesFairValueMeasurementAssets</t>
  </si>
  <si>
    <t>full_ifrs-cor_2015-03-11.xsd#ifrs-full_SettlementsFairValueMeasurementAssets</t>
  </si>
  <si>
    <t>full_ifrs-cor_2015-03-11.xsd#ifrs-full_TransfersIntoLevel3OfFairValueHierarchyAssets</t>
  </si>
  <si>
    <t>full_ifrs-cor_2015-03-11.xsd#ifrs-full_TransfersOutOfLevel3OfFairValueHierarchyAssets</t>
  </si>
  <si>
    <t>full_ifrs-cor_2015-03-11.xsd#ifrs-full_IncreaseDecreaseInFairValueMeasurementAssets</t>
  </si>
  <si>
    <t>full_ifrs-cor_2015-03-11.xsd#ifrs-full_DisclosureOfFairValueMeasurementOfLiabilitiesTable</t>
  </si>
  <si>
    <t>full_ifrs-cor_2015-03-11.xsd#ifrs-full_LiabilitiesMember</t>
  </si>
  <si>
    <t>full_ifrs-cor_2015-03-11.xsd#ifrs-full_GainsLossesRecognisedInProfitOrLossFairValueMeasurementLiabilities</t>
  </si>
  <si>
    <t>full_ifrs-cor_2015-03-11.xsd#ifrs-full_GainsLossesRecognisedInOtherComprehensiveIncomeFairValueMeasurementLiabilities</t>
  </si>
  <si>
    <t>full_ifrs-cor_2015-03-11.xsd#ifrs-full_PurchasesFairValueMeasurementLiabilities</t>
  </si>
  <si>
    <t>full_ifrs-cor_2015-03-11.xsd#ifrs-full_SalesFairValueMeasurementLiabilities</t>
  </si>
  <si>
    <t>full_ifrs-cor_2015-03-11.xsd#ifrs-full_IssuesFairValueMeasurementLiabilities</t>
  </si>
  <si>
    <t>full_ifrs-cor_2015-03-11.xsd#ifrs-full_SettlementsFairValueMeasurementLiabilities</t>
  </si>
  <si>
    <t>full_ifrs-cor_2015-03-11.xsd#ifrs-full_TransfersIntoLevel3OfFairValueHierarchyLiabilities</t>
  </si>
  <si>
    <t>full_ifrs-cor_2015-03-11.xsd#ifrs-full_TransfersOutOfLevel3OfFairValueHierarchyLiabilities</t>
  </si>
  <si>
    <t>full_ifrs-cor_2015-03-11.xsd#ifrs-full_IncreaseDecreaseInFairValueMeasurementLiabilities</t>
  </si>
  <si>
    <t>full_ifrs-cor_2015-03-11.xsd#ifrs-full_DisclosureOfFairValueMeasurementOfEquityTable</t>
  </si>
  <si>
    <t>full_ifrs-cor_2015-03-11.xsd#ifrs-full_EntitysOwnEquityInstrumentsMember</t>
  </si>
  <si>
    <t>full_ifrs-cor_2015-03-11.xsd#ifrs-full_GainsLossesRecognisedInProfitOrLossFairValueMeasurementEntitysOwnEquityInstruments</t>
  </si>
  <si>
    <t>full_ifrs-cor_2015-03-11.xsd#ifrs-full_GainsLossesRecognisedInOtherComprehensiveIncomeFairValueMeasurementEntitysOwnEquityInstruments</t>
  </si>
  <si>
    <t>full_ifrs-cor_2015-03-11.xsd#ifrs-full_PurchasesFairValueMeasurementEntitysOwnEquityInstruments</t>
  </si>
  <si>
    <t>full_ifrs-cor_2015-03-11.xsd#ifrs-full_SalesFairValueMeasurementEntitysOwnEquityInstruments</t>
  </si>
  <si>
    <t>full_ifrs-cor_2015-03-11.xsd#ifrs-full_IssuesFairValueMeasurementEntitysOwnEquityInstruments</t>
  </si>
  <si>
    <t>full_ifrs-cor_2015-03-11.xsd#ifrs-full_SettlementsFairValueMeasurementEntitysOwnEquityInstruments</t>
  </si>
  <si>
    <t>full_ifrs-cor_2015-03-11.xsd#ifrs-full_TransfersIntoLevel3OfFairValueHierarchyEntitysOwnEquityInstruments</t>
  </si>
  <si>
    <t>full_ifrs-cor_2015-03-11.xsd#ifrs-full_TransfersOutOfLevel3OfFairValueHierarchyEntitysOwnEquityInstruments</t>
  </si>
  <si>
    <t>full_ifrs-cor_2015-03-11.xsd#ifrs-full_IncreaseDecreaseInFairValueMeasurementEntitysOwnEquityInstruments</t>
  </si>
  <si>
    <t>full_ifrs-cor_2015-03-11.xsd#ifrs-full_LiabilitiesMeasuredAtFairValueAndIssuedWithInseparableThirdpartyCreditEnhancementMember</t>
  </si>
  <si>
    <t>full_ifrs-cor_2015-03-11.xsd#ifrs-full_DescriptionOfExistenceOfThirdpartyCreditEnhancement</t>
  </si>
  <si>
    <t>full_ifrs-cor_2015-03-11.xsd#ifrs-full_DescriptionOfWhetherThirdpartyCreditEnhancementIsReflectedInFairValueMeasurement</t>
  </si>
  <si>
    <t>cl-ci_cor_2016-01-11.xsd#cl-ci_InformacionARevelarSobreMedicionValorRazonableActivosEje</t>
  </si>
  <si>
    <t>cl-ci_cor_2016-01-11.xsd#cl-ci_TipoActivo</t>
  </si>
  <si>
    <t>cl-ci_cor_2016-01-11.xsd#cl-ci_TipoMedicion</t>
  </si>
  <si>
    <t>cl-ci_cor_2016-01-11.xsd#cl-ci_JerarquiaMedicion</t>
  </si>
  <si>
    <t>cl-ci_cor_2016-01-11.xsd#cl-ci_ActivosNota</t>
  </si>
  <si>
    <t>cl-ci_cor_2016-01-11.xsd#cl-ci_InformacionARevelarSobreMedicionValorRazonablePasivosEje</t>
  </si>
  <si>
    <t>cl-ci_cor_2016-01-11.xsd#cl-ci_TipoPasivo</t>
  </si>
  <si>
    <t>cl-ci_cor_2016-01-11.xsd#cl-ci_PasivosNota</t>
  </si>
  <si>
    <t>cl-ci_cor_2016-01-11.xsd#cl-ci_InformacionARrevelarSobreMedicionValorRazonablePatrimonioEje</t>
  </si>
  <si>
    <t>cl-ci_cor_2016-01-11.xsd#cl-ci_PatrimonioNota</t>
  </si>
  <si>
    <t>full_ifrs-cor_2015-03-11.xsd#ifrs-full_LiabilitiesMeasuredAtFairValueAndIssuedWithInseparableThirdpartyCreditEnhancementAxis</t>
  </si>
  <si>
    <t>full_ifrs-cor_2015-03-11.xsd#ifrs-full_DisclosureOfLiabilitiesMeasuredAtFairValueAndIssuedWithInseparableThirdpartyCreditEnhancementTable</t>
  </si>
  <si>
    <t xml:space="preserve">        Descripción de la razones para la medición del valor razonable, activos [Texto]</t>
  </si>
  <si>
    <t>full_ifrs-cor_2015-03-11.xsd#ifrs-full_DescriptionOfReasonsForFairValueMeasurementAssets</t>
  </si>
  <si>
    <t>full_ifrs-cor_2015-03-11.xsd#ifrs-full_TransfersOutOfLevel1IntoLevel2OfFairValueHierarchyAssets</t>
  </si>
  <si>
    <t xml:space="preserve">        Transferencias desde el Nivel 1 al Nivel 2 de la jerarquía del valor razonable, activos mantenidos al final del periodo sobre el que se informa [Número]</t>
  </si>
  <si>
    <t xml:space="preserve">        Descripción de las razones para transferencias desde el Nivel 1 al Nivel 2 de la jerarquía del valor razonable, activos [Texto]</t>
  </si>
  <si>
    <t>full_ifrs-cor_2015-03-11.xsd#ifrs-full_DescriptionOfReasonsForTransfersOutOfLevel1IntoLevel2OfFairValueHierarchyAssets</t>
  </si>
  <si>
    <t>full_ifrs-cor_2015-03-11.xsd#ifrs-full_TransfersOutOfLevel2IntoLevel1OfFairValueHierarchyAssets</t>
  </si>
  <si>
    <t xml:space="preserve">        Transferencias desde el Nivel 2 al Nivel 1 de la jerarquía del valor razonable, activos mantenidos al final del periodo sobre el que se informa [Número]</t>
  </si>
  <si>
    <t xml:space="preserve">        Descripción de las razones para transferencias desde el Nivel 2 al Nivel 1 de la jerarquía del valor razonable, activos [Texto]</t>
  </si>
  <si>
    <t>full_ifrs-cor_2015-03-11.xsd#ifrs-full_DescriptionOfReasonsForTransfersOutOfLevel2IntoLevel1OfFairValueHierarchyAssets</t>
  </si>
  <si>
    <t xml:space="preserve">        Descripción de la política para determinar cuándo se atribuye que han tenido lugar transferencias entre niveles, activos [Texto]</t>
  </si>
  <si>
    <t>full_ifrs-cor_2015-03-11.xsd#ifrs-full_DescriptionOfPolicyForDeterminingWhenTransfersBetweenLevelsAreDeemedToHaveOccurredAssets</t>
  </si>
  <si>
    <t xml:space="preserve">        Descripción de las técnicas de valoración utilizadas en la medición del valor razonable, activos [Texto]</t>
  </si>
  <si>
    <t>full_ifrs-cor_2015-03-11.xsd#ifrs-full_DescriptionOfValuationTechniquesUsedInFairValueMeasurementAssets</t>
  </si>
  <si>
    <t xml:space="preserve">        Descripción de los datos de entrada utilizados en la medición del valor razonable, activos [Texto]</t>
  </si>
  <si>
    <t>full_ifrs-cor_2015-03-11.xsd#ifrs-full_DescriptionOfInputsUsedInFairValueMeasurementAssets</t>
  </si>
  <si>
    <t xml:space="preserve">        Descripción del cambio en la técnica de valoración utilizada para la medición del valor razonable, activos [Texto]</t>
  </si>
  <si>
    <t>full_ifrs-cor_2015-03-11.xsd#ifrs-full_DescriptionOfChangeInValuationTechniqueUsedInFairValueMeasurementAssets</t>
  </si>
  <si>
    <t xml:space="preserve">        Descripción de las razones del cambio en una técnica de valoración utilizada para la medición del valor razonable, activos [Texto]</t>
  </si>
  <si>
    <t>full_ifrs-cor_2015-03-11.xsd#ifrs-full_DescriptionOfReasonsForChangeInValuationTechniqueUsedInFairValueMeasurementAssets</t>
  </si>
  <si>
    <t xml:space="preserve">        Descripción de las partidas del resultado del periodo en las que se reconocen las ganancias (pérdidas), medición del valor razonable, activos [Texto]</t>
  </si>
  <si>
    <t>full_ifrs-cor_2015-03-11.xsd#ifrs-full_DescriptionOfLineItemsInProfitOrLossWhereGainsLossesAreRecognisedFairValueMeasurementAssets</t>
  </si>
  <si>
    <t xml:space="preserve">        Descripción de las partidas de otro resultado integral en las que se reconocen las ganancias (pérdidas), medición del valor razonable, activos [Texto]</t>
  </si>
  <si>
    <t>full_ifrs-cor_2015-03-11.xsd#ifrs-full_DescriptionOfLineItemsInOtherComprehensiveIncomeWhereGainsLossesAreRecognisedFairValueMeasurementAssets</t>
  </si>
  <si>
    <t xml:space="preserve">        Descripción de las razones para transferencias al Nivel 3 de la jerarquía del valor razonable, activos [Texto]</t>
  </si>
  <si>
    <t>full_ifrs-cor_2015-03-11.xsd#ifrs-full_DescriptionOfReasonsForTransfersIntoLevel3OfFairValueHierarchyAssets</t>
  </si>
  <si>
    <t xml:space="preserve">        Descripción de las razones para transferencias desde el Nivel 3 de la jerarquía del valor razonable, activos [Texto]</t>
  </si>
  <si>
    <t>full_ifrs-cor_2015-03-11.xsd#ifrs-full_DescriptionOfReasonsForTransfersOutOfLevel3OfFairValueHierarchyAssets</t>
  </si>
  <si>
    <t>full_ifrs-cor_2015-03-11.xsd#ifrs-full_GainsLossesRecognisedInProfitOrLossAttributableToChangeInUnrealisedGainsOrLossesForAssetsHeldAtEndOfPeriodFairValueMeasurement</t>
  </si>
  <si>
    <t xml:space="preserve">        Ganancias (pérdidas) reconocidas en el resultado del periodo atribuible a cambios en ganancias o pérdidas no realizadas por activos mantenidos al final del periodo, medición del valor razonable [Número]</t>
  </si>
  <si>
    <t xml:space="preserve">        Descripción de las partidas del resultado del periodo en las que se reconocen las ganancias (pérdidas) atribuibles al cambio en ganancias o pérdidas no realizadas por activos mantenidos al final de periodo, medición del valor razonable [Texto]</t>
  </si>
  <si>
    <t>full_ifrs-cor_2015-03-11.xsd#ifrs-full_DescriptionOfLineItemsInProfitOrLossWhereGainsLossesAttributableToChangeInUnrealisedGainsOrLossesForAssetsHeldAtEndOfPeriodAreRecognisedFairValueMeasurement</t>
  </si>
  <si>
    <t xml:space="preserve">        Descripción de los procesos de valoración utilizados en la medición del valor razonable, activos [Texto]</t>
  </si>
  <si>
    <t>full_ifrs-cor_2015-03-11.xsd#ifrs-full_DescriptionOfValuationProcessesUsedInFairValueMeasurementAssets</t>
  </si>
  <si>
    <t xml:space="preserve">          Descripción del grupo dentro de la entidad que decide las políticas de valoración y procedimientos de la entidad, activos [Texto]</t>
  </si>
  <si>
    <t>full_ifrs-cor_2015-03-11.xsd#ifrs-full_DescriptionOfGroupWithinEntityThatDecidesEntitysValuationPoliciesAndProceduresAssets</t>
  </si>
  <si>
    <t xml:space="preserve">          Descripción de a qué grupo dentro de la entidad que decide las políticas de valoración e informes de procedimientos de la entidad, activos [Texto]</t>
  </si>
  <si>
    <t>full_ifrs-cor_2015-03-11.xsd#ifrs-full_DescriptionOfToWhomGroupWithinEntityThatDecidesEntitysValuationPoliciesAndProceduresReportsAssets</t>
  </si>
  <si>
    <t xml:space="preserve">          Descripción de los procedimientos de información interna para tratar y evaluar las mediciones del valor razonable, activos [Texto]</t>
  </si>
  <si>
    <t>full_ifrs-cor_2015-03-11.xsd#ifrs-full_DescriptionOfInternalReportingProceduresForDiscussingAndAssessingFairValueMeasurementsAssets</t>
  </si>
  <si>
    <t xml:space="preserve">          Descripción de la frecuencia y métodos para comprobar procedimientos de modelos de fijación de precios, activos [Texto]</t>
  </si>
  <si>
    <t>full_ifrs-cor_2015-03-11.xsd#ifrs-full_DescriptionOfFrequencyAndMethodsForTestingProceduresOfPricingModelsAssets</t>
  </si>
  <si>
    <t xml:space="preserve">          Descripción del proceso para analizar cambios en las mediciones del valor razonable, activos [Texto]</t>
  </si>
  <si>
    <t>full_ifrs-cor_2015-03-11.xsd#ifrs-full_DescriptionOfProcessForAnalysingChangesInFairValueMeasurementsAssets</t>
  </si>
  <si>
    <t xml:space="preserve">          Descripción de la forma en que la entidad determinó que la información de terceros utilizada en la medición del valor razonable se desarrolló de acuerdo con la NIIF 13, activos [Texto]</t>
  </si>
  <si>
    <t>full_ifrs-cor_2015-03-11.xsd#ifrs-full_DescriptionOfHowEntityDeterminedThatThirdpartyInformationUsedInFairValueMeasurementWasDevelopedInAccordanceWithIFRS13Assets</t>
  </si>
  <si>
    <t xml:space="preserve">          Descripción de los métodos utilizados para desarrollar y corroborar datos de entrada no observables utilizados en la medición del valor razonable, activos [Texto]</t>
  </si>
  <si>
    <t>full_ifrs-cor_2015-03-11.xsd#ifrs-full_DescriptionOfMethodsUsedToDevelopAndSubstantiateUnobservableInputsUsedInFairValueMeasurementAssets</t>
  </si>
  <si>
    <t xml:space="preserve">        Descripción del hecho de que el mayor y mejor uso de un activo no financiero difiere del uso actual [Texto]</t>
  </si>
  <si>
    <t>full_ifrs-cor_2015-03-11.xsd#ifrs-full_DescriptionOfFactThatHighestAndBestUseOfNonfinancialAssetDiffersFromCurrentUse</t>
  </si>
  <si>
    <t xml:space="preserve">        Descripción de la razón por la que se están utilizando activos no financieros de forma diferente de su mayor y mejor uso [Texto]</t>
  </si>
  <si>
    <t>full_ifrs-cor_2015-03-11.xsd#ifrs-full_DescriptionOfReasonWhyNonfinancialAssetIsBeingUsedInMannerDifferentFromHighestAndBestUse</t>
  </si>
  <si>
    <t xml:space="preserve">        Información a revelar suficiente para permitir la conciliación de determinadas clases de mediciones del valor razonable de partidas en el estado de situación financiera, activos [bloque de texto]  </t>
  </si>
  <si>
    <t>full_ifrs-cor_2015-03-11.xsd#ifrs-full_DisclosureOfInformationSufficientToPermitReconciliationOfClassesDeterminedForFairValueMeasurementToLineItemsInStatementOfFinancialPositionAssetsExplanatory</t>
  </si>
  <si>
    <t xml:space="preserve">        Descripción de la decisión de política contable para utilizar la excepción de la NIIF 13.48, activos [Texto]</t>
  </si>
  <si>
    <t>full_ifrs-cor_2015-03-11.xsd#ifrs-full_DescriptionOfAccountingPolicyDecisionToUseExceptionInIFRS1348Assets</t>
  </si>
  <si>
    <t xml:space="preserve">        Descripción de la naturaleza de clases de activos medidos al valor razonable [Texto]</t>
  </si>
  <si>
    <t>full_ifrs-cor_2015-03-11.xsd#ifrs-full_DescriptionOfNatureOfClassOfAssetsMeasuredAtFairValue</t>
  </si>
  <si>
    <t xml:space="preserve">        Descripción de la forma en que la información de terceros se tuvo en cuenta al medir el valor razonable, activos [Texto]</t>
  </si>
  <si>
    <t>full_ifrs-cor_2015-03-11.xsd#ifrs-full_DescriptionOfHowThirdpartyInformationWasTakenIntoAccountWhenMeasuringFairValueAssets</t>
  </si>
  <si>
    <t xml:space="preserve">        Descripción de la razones para la medición del valor razonable, pasivos [Texto]</t>
  </si>
  <si>
    <t>full_ifrs-cor_2015-03-11.xsd#ifrs-full_DescriptionOfReasonsForFairValueMeasurementLiabilities</t>
  </si>
  <si>
    <t>full_ifrs-cor_2015-03-11.xsd#ifrs-full_TransfersOutOfLevel1IntoLevel2OfFairValueHierarchyLiabilities</t>
  </si>
  <si>
    <t xml:space="preserve">        Transferencias desde el Nivel 1 al Nivel 2 de la jerarquía del valor razonable, pasivos mantenidos al final del periodo sobre el que se informa [Número]</t>
  </si>
  <si>
    <t xml:space="preserve">        Descripción de las razones para transferencias desde el Nivel 1 al Nivel 2 de la jerarquía del valor razonable, pasivos [Texto]</t>
  </si>
  <si>
    <t>full_ifrs-cor_2015-03-11.xsd#ifrs-full_DescriptionOfReasonsForTransfersOutOfLevel1IntoLevel2OfFairValueHierarchyLiabilities</t>
  </si>
  <si>
    <t>full_ifrs-cor_2015-03-11.xsd#ifrs-full_TransfersOutOfLevel2IntoLevel1OfFairValueHierarchyLiabilities</t>
  </si>
  <si>
    <t xml:space="preserve">        Transferencias desde el Nivel 2 al Nivel 1 de la jerarquía del valor razonable, pasivos mantenidos al final del periodo sobre el que se informa [Número]</t>
  </si>
  <si>
    <t xml:space="preserve">        Descripción de las razones para transferencias desde el Nivel 2 al Nivel 1 de la jerarquía del valor razonable, pasivos [Texto]</t>
  </si>
  <si>
    <t>full_ifrs-cor_2015-03-11.xsd#ifrs-full_DescriptionOfReasonsForTransfersOutOfLevel2IntoLevel1OfFairValueHierarchyLiabilities</t>
  </si>
  <si>
    <t xml:space="preserve">        Descripción de la política para determinar cuándo se atribuye que han tenido lugar transferencias entre niveles, pasivos [Texto]</t>
  </si>
  <si>
    <t>full_ifrs-cor_2015-03-11.xsd#ifrs-full_DescriptionOfPolicyForDeterminingWhenTransfersBetweenLevelsAreDeemedToHaveOccurredLiabilities</t>
  </si>
  <si>
    <t xml:space="preserve">        Descripción de las técnicas de valoración utilizadas en la medición del valor razonable, pasivos [Texto]</t>
  </si>
  <si>
    <t>full_ifrs-cor_2015-03-11.xsd#ifrs-full_DescriptionOfValuationTechniquesUsedInFairValueMeasurementLiabilities</t>
  </si>
  <si>
    <t xml:space="preserve">        Descripción de los datos de entrada utilizados en la medición del valor razonable, pasivos [Texto]</t>
  </si>
  <si>
    <t>full_ifrs-cor_2015-03-11.xsd#ifrs-full_DescriptionOfInputsUsedInFairValueMeasurementLiabilities</t>
  </si>
  <si>
    <t xml:space="preserve">        Descripción del cambio en la técnica de valoración utilizada para la medición del valor razonable, pasivos [Texto]</t>
  </si>
  <si>
    <t>full_ifrs-cor_2015-03-11.xsd#ifrs-full_DescriptionOfChangeInValuationTechniqueUsedInFairValueMeasurementLiabilities</t>
  </si>
  <si>
    <t xml:space="preserve">        Descripción de las razones del cambio en una técnica de valoración utilizada para la medición del valor razonable, pasivos [Texto]</t>
  </si>
  <si>
    <t>full_ifrs-cor_2015-03-11.xsd#ifrs-full_DescriptionOfReasonsForChangeInValuationTechniqueUsedInFairValueMeasurementLiabilities</t>
  </si>
  <si>
    <t xml:space="preserve">        Descripción de las partidas del resultado del periodo en las que se reconocen las ganancias (pérdidas), medición del valor razonable, pasivos [Texto]</t>
  </si>
  <si>
    <t>full_ifrs-cor_2015-03-11.xsd#ifrs-full_DescriptionOfLineItemsInProfitOrLossWhereGainsLossesAreRecognisedFairValueMeasurementLiabilities</t>
  </si>
  <si>
    <t xml:space="preserve">        Descripción de las partidas de otro resultado integral en las que se reconocen las ganancias (pérdidas), medición del valor razonable, pasivos [Texto]</t>
  </si>
  <si>
    <t>full_ifrs-cor_2015-03-11.xsd#ifrs-full_DescriptionOfLineItemsInOtherComprehensiveIncomeWhereGainsLossesAreRecognisedFairValueMeasurementLiabilities</t>
  </si>
  <si>
    <t xml:space="preserve">        Descripción de las razones para transferencias al Nivel 3 de la jerarquía del valor razonable, pasivos [Texto]</t>
  </si>
  <si>
    <t>full_ifrs-cor_2015-03-11.xsd#ifrs-full_DescriptionOfReasonsForTransfersIntoLevel3OfFairValueHierarchyLiabilities</t>
  </si>
  <si>
    <t xml:space="preserve">        Descripción de las razones para transferencias desde el Nivel 3 de la jerarquía del valor razonable, pasivos [Texto]</t>
  </si>
  <si>
    <t>full_ifrs-cor_2015-03-11.xsd#ifrs-full_DescriptionOfReasonsForTransfersOutOfLevel3OfFairValueHierarchyLiabilities</t>
  </si>
  <si>
    <t>full_ifrs-cor_2015-03-11.xsd#ifrs-full_GainsLossesRecognisedInProfitOrLossAttributableToChangeInUnrealisedGainsOrLossesForLiabilitiesHeldAtEndOfPeriodFairValueMeasurement</t>
  </si>
  <si>
    <t xml:space="preserve">        Ganancias (pérdidas) reconocidas en el resultado del periodo atribuible a cambios en ganancias o pérdidas no realizadas por pasivos mantenidos al final del periodo, medición del valor razonable [Número]</t>
  </si>
  <si>
    <t xml:space="preserve">        Descripción de las partidas del resultado del periodo en las que se reconocen las ganancias (pérdidas) atribuibles al cambio en ganancias o pérdidas no realizadas por pasivos mantenidos al final de periodo, medición del valor razonable [Texto]</t>
  </si>
  <si>
    <t>full_ifrs-cor_2015-03-11.xsd#ifrs-full_DescriptionOfLineItemsInProfitOrLossWhereGainsLossesAttributableToChangeInUnrealisedGainsOrLossesForLiabilitiesHeldAtEndOfPeriodAreRecognisedFairValueMeasurement</t>
  </si>
  <si>
    <t xml:space="preserve">        Descripción de los procesos de valoración utilizados en la medición del valor razonable, pasivos [Texto]</t>
  </si>
  <si>
    <t>full_ifrs-cor_2015-03-11.xsd#ifrs-full_DescriptionOfValuationProcessesUsedInFairValueMeasurementLiabilities</t>
  </si>
  <si>
    <t xml:space="preserve">          Descripción del grupo dentro de la entidad que decide las políticas de valoración y procedimientos de la entidad, pasivos [Texto]</t>
  </si>
  <si>
    <t>full_ifrs-cor_2015-03-11.xsd#ifrs-full_DescriptionOfGroupWithinEntityThatDecidesEntitysValuationPoliciesAndProceduresLiabilities</t>
  </si>
  <si>
    <t xml:space="preserve">          Descripción de a qué grupo dentro de la entidad que decide las políticas de valoración e informes de procedimientos de la entidad, pasivos [Texto]</t>
  </si>
  <si>
    <t>full_ifrs-cor_2015-03-11.xsd#ifrs-full_DescriptionOfToWhomGroupWithinEntityThatDecidesEntitysValuationPoliciesAndProceduresReportsLiabilities</t>
  </si>
  <si>
    <t xml:space="preserve">          Descripción de los procedimientos de información interna para tratar y evaluar las mediciones del valor razonable, pasivos [Texto]</t>
  </si>
  <si>
    <t>full_ifrs-cor_2015-03-11.xsd#ifrs-full_DescriptionOfInternalReportingProceduresForDiscussingAndAssessingFairValueMeasurementsLiabilities</t>
  </si>
  <si>
    <t xml:space="preserve">          Descripción de la frecuencia y métodos para comprobar procedimientos de modelos de fijación de precios, pasivos [Texto]</t>
  </si>
  <si>
    <t>full_ifrs-cor_2015-03-11.xsd#ifrs-full_DescriptionOfFrequencyAndMethodsForTestingProceduresOfPricingModelsLiabilities</t>
  </si>
  <si>
    <t xml:space="preserve">          Descripción del proceso para analizar cambios en las mediciones del valor razonable, pasivos [Texto]</t>
  </si>
  <si>
    <t>full_ifrs-cor_2015-03-11.xsd#ifrs-full_DescriptionOfProcessForAnalysingChangesInFairValueMeasurementsLiabilities</t>
  </si>
  <si>
    <t xml:space="preserve">          Descripción de la forma en que la entidad determinó que la información de terceros utilizada en la medición del valor razonable se desarrolló de acuerdo con la NIIF 13, pasivos [Texto]</t>
  </si>
  <si>
    <t>full_ifrs-cor_2015-03-11.xsd#ifrs-full_DescriptionOfHowEntityDeterminedThatThirdpartyInformationUsedInFairValueMeasurementWasDevelopedInAccordanceWithIFRS13Liabilities</t>
  </si>
  <si>
    <t xml:space="preserve">          Descripción de los métodos utilizados para desarrollar y corroborar datos de entrada no observables utilizados en la medición del valor razonable, pasivos [Texto]</t>
  </si>
  <si>
    <t>full_ifrs-cor_2015-03-11.xsd#ifrs-full_DescriptionOfMethodsUsedToDevelopAndSubstantiateUnobservableInputsUsedInFairValueMeasurementLiabilities</t>
  </si>
  <si>
    <t xml:space="preserve">        Información a revelar suficiente para permitir la conciliación de determinadas clases de mediciones del valor razonable de partidas en el estado de situación financiera, pasivos [bloque de texto]  </t>
  </si>
  <si>
    <t>full_ifrs-cor_2015-03-11.xsd#ifrs-full_DisclosureOfInformationSufficientToPermitReconciliationOfClassesDeterminedForFairValueMeasurementToLineItemsInStatementOfFinancialPositionLiabilitiesExplanatory</t>
  </si>
  <si>
    <t xml:space="preserve">        Descripción de la decisión de política contable para utilizar la excepción de la NIIF 13.48, pasivos [Texto]</t>
  </si>
  <si>
    <t>full_ifrs-cor_2015-03-11.xsd#ifrs-full_DescriptionOfAccountingPolicyDecisionToUseExceptionInIFRS1348Liabilities</t>
  </si>
  <si>
    <t xml:space="preserve">        Descripción de la naturaleza de clases de pasivos medidos al valor razonable [Texto]</t>
  </si>
  <si>
    <t>full_ifrs-cor_2015-03-11.xsd#ifrs-full_DescriptionOfNatureOfClassOfLiabilitiesMeasuredAtFairValue</t>
  </si>
  <si>
    <t xml:space="preserve">        Descripción de la forma en que la información de terceros se tuvo en cuenta al medir el valor razonable, pasivos [Texto]</t>
  </si>
  <si>
    <t>full_ifrs-cor_2015-03-11.xsd#ifrs-full_DescriptionOfHowThirdpartyInformationWasTakenIntoAccountWhenMeasuringFairValueLiabilities</t>
  </si>
  <si>
    <t xml:space="preserve">        Descripción de la razones para la medición del valor razonable, instrumentos de patrimonio propio de la entidad [Texto]</t>
  </si>
  <si>
    <t>full_ifrs-cor_2015-03-11.xsd#ifrs-full_DescriptionOfReasonsForFairValueMeasurementEntitysOwnEquityInstruments</t>
  </si>
  <si>
    <t>full_ifrs-cor_2015-03-11.xsd#ifrs-full_TransfersOutOfLevel1IntoLevel2OfFairValueHierarchyEntitysOwnEquityInstruments</t>
  </si>
  <si>
    <t xml:space="preserve">        Transferencias desde el Nivel 1 al Nivel 2 de la jerarquía del valor razonable, instrumentos de patrimonio propio de la entidad mantenidos al final del periodo sobre el que se informa [Número]</t>
  </si>
  <si>
    <t xml:space="preserve">        Descripción de las razones para transferencias desde el Nivel 1 al Nivel 2 de la jerarquía del valor razonable, instrumentos de patrimonio propio de la entidad [Texto]</t>
  </si>
  <si>
    <t>full_ifrs-cor_2015-03-11.xsd#ifrs-full_DescriptionOfReasonsForTransfersOutOfLevel1IntoLevel2OfFairValueHierarchyEntitysOwnEquityInstruments</t>
  </si>
  <si>
    <t>full_ifrs-cor_2015-03-11.xsd#ifrs-full_TransfersOutOfLevel2IntoLevel1OfFairValueHierarchyEntitysOwnEquityInstruments</t>
  </si>
  <si>
    <t xml:space="preserve">        Transferencias desde el Nivel 2 al Nivel 1 de la jerarquía del valor razonable, instrumentos de patrimonio propio de la entidad mantenidos al final del periodo sobre el que se informa [Número]</t>
  </si>
  <si>
    <t xml:space="preserve">        Descripción de las razones para transferencias desde el Nivel 2 al Nivel 1 de la jerarquía del valor razonable, instrumentos de patrimonio propio de la entidad [Texto]</t>
  </si>
  <si>
    <t>full_ifrs-cor_2015-03-11.xsd#ifrs-full_DescriptionOfReasonsForTransfersOutOfLevel2IntoLevel1OfFairValueHierarchyEntitysOwnEquityInstruments</t>
  </si>
  <si>
    <t xml:space="preserve">        Descripción de la política para determinar cuándo se atribuye que han tenido lugar transferencias entre niveles, instrumentos de patrimonio propio de la entidad [Texto]</t>
  </si>
  <si>
    <t>full_ifrs-cor_2015-03-11.xsd#ifrs-full_DescriptionOfPolicyForDeterminingWhenTransfersBetweenLevelsAreDeemedToHaveOccurredEntitysOwnEquityInstruments</t>
  </si>
  <si>
    <t xml:space="preserve">        Descripción de las técnicas de valoración utilizadas en la medición del valor razonable, instrumentos de patrimonio propio de la entidad [Texto]</t>
  </si>
  <si>
    <t>full_ifrs-cor_2015-03-11.xsd#ifrs-full_DescriptionOfValuationTechniquesUsedInFairValueMeasurementEntitysOwnEquityInstruments</t>
  </si>
  <si>
    <t xml:space="preserve">        Descripción de los datos de entrada utilizados en la medición del valor razonable, instrumentos de patrimonio propio de la entidad [Texto]</t>
  </si>
  <si>
    <t>full_ifrs-cor_2015-03-11.xsd#ifrs-full_DescriptionOfInputsUsedInFairValueMeasurementEntitysOwnEquityInstruments</t>
  </si>
  <si>
    <t xml:space="preserve">        Descripción del cambio en la técnica de valoración utilizada para la medición del valor razonable, instrumentos de patrimonio propio de la entidad [Texto]</t>
  </si>
  <si>
    <t>full_ifrs-cor_2015-03-11.xsd#ifrs-full_DescriptionOfChangeInValuationTechniqueUsedInFairValueMeasurementEntitysOwnEquityInstruments</t>
  </si>
  <si>
    <t xml:space="preserve">        Descripción de las razones del cambio en una técnica de valoración utilizada para la medición del valor razonable, instrumentos de patrimonio propio de la entidad [Texto]</t>
  </si>
  <si>
    <t>full_ifrs-cor_2015-03-11.xsd#ifrs-full_DescriptionOfReasonsForChangeInValuationTechniqueUsedInFairValueMeasurementEntitysOwnEquityInstruments</t>
  </si>
  <si>
    <t xml:space="preserve">        Descripción de las partidas del resultado del periodo en las que se reconocen las ganancias (pérdidas), medición del valor razonable, instrumentos de patrimonio propio de la entidad [Texto]</t>
  </si>
  <si>
    <t>full_ifrs-cor_2015-03-11.xsd#ifrs-full_DescriptionOfLineItemsInProfitOrLossWhereGainsLossesAreRecognisedFairValueMeasurementEntitysOwnEquityInstruments</t>
  </si>
  <si>
    <t xml:space="preserve">        Descripción de las partidas otro resultado integral en las que se reconocen las ganancias (pérdidas), medición del valor razonable, instrumentos de patrimonio propio de la entidad [Texto]</t>
  </si>
  <si>
    <t>full_ifrs-cor_2015-03-11.xsd#ifrs-full_DescriptionOfLineItemsInOtherComprehensiveIncomeWhereGainsLossesAreRecognisedFairValueMeasurementEntitysOwnEquityInstruments</t>
  </si>
  <si>
    <t xml:space="preserve">        Descripción de las razones para transferencias al Nivel 3 de la jerarquía del valor razonable, instrumentos de patrimonio propio de la entidad [Texto]</t>
  </si>
  <si>
    <t>full_ifrs-cor_2015-03-11.xsd#ifrs-full_DescriptionOfReasonsForTransfersIntoLevel3OfFairValueHierarchyEntitysOwnEquityInstruments</t>
  </si>
  <si>
    <t xml:space="preserve">        Descripción de las razones para transferencias desde el Nivel 3 de la jerarquía del valor razonable, instrumentos de patrimonio propio de la entidad [Texto]</t>
  </si>
  <si>
    <t>full_ifrs-cor_2015-03-11.xsd#ifrs-full_DescriptionOfReasonsForTransfersOutOfLevel3OfFairValueHierarchyEntitysOwnEquityInstruments</t>
  </si>
  <si>
    <t>full_ifrs-cor_2015-03-11.xsd#ifrs-full_GainsLossesRecognisedInProfitOrLossAttributableToChangeInUnrealisedGainsOrLossesForEntitysOwnEquityInstrumentsHeldAtEndOfPeriodFairValueMeasurement</t>
  </si>
  <si>
    <t xml:space="preserve">        Ganancias (pérdidas) reconocidas en el resultado del periodo atribuible a cambios en ganancias o pérdidas no realizadas por instrumentos de patrimonio propio de la entidad mantenidos al final del periodo, medición del valor razonable [Número]</t>
  </si>
  <si>
    <t xml:space="preserve">        Descripción de las partidas del resultado del periodo en las que se reconocen las ganancias (pérdidas) atribuibles al cambio en ganancias o pérdidas no realizadas por instrumentos de patrimonio propio de la entidad mantenidos al final de periodo, medición del valor razonable [Texto]</t>
  </si>
  <si>
    <t>full_ifrs-cor_2015-03-11.xsd#ifrs-full_DescriptionOfLineItemsInProfitOrLossWhereGainsLossesAttributableToChangeInUnrealisedGainsOrLossesForEntitysOwnEquityInstrumentsHeldAtEndOfPeriodAreRecognisedFairValueMeasurement</t>
  </si>
  <si>
    <t xml:space="preserve">        Descripción de los procesos de valoración utilizados en la medición del valor razonable, instrumentos de patrimonio propio de la entidad [Texto]</t>
  </si>
  <si>
    <t>full_ifrs-cor_2015-03-11.xsd#ifrs-full_DescriptionOfValuationProcessesUsedInFairValueMeasurementEntitysOwnEquityInstruments</t>
  </si>
  <si>
    <t xml:space="preserve">          Descripción del grupo dentro de la entidad que decide las políticas de valoración y procedimientos de la entidad, instrumentos de patrimonio propio de la entidad [Texto]</t>
  </si>
  <si>
    <t>full_ifrs-cor_2015-03-11.xsd#ifrs-full_DescriptionOfGroupWithinEntityThatDecidesEntitysValuationPoliciesAndProceduresEntitysOwnEquityInstruments</t>
  </si>
  <si>
    <t xml:space="preserve">          Descripción de a qué grupo dentro de la entidad que decide las políticas de valoración e informes de procedimientos de la entidad, instrumentos de patrimonio propio de la entidad [Texto]</t>
  </si>
  <si>
    <t>full_ifrs-cor_2015-03-11.xsd#ifrs-full_DescriptionOfToWhomGroupWithinEntityThatDecidesEntitysValuationPoliciesAndProceduresReportsEntitysOwnEquityInstruments</t>
  </si>
  <si>
    <t xml:space="preserve">          Descripción de los procedimientos de información interna para tratar y evaluar las mediciones del valor razonable, instrumentos de patrimonio propio de la entidad [Texto]</t>
  </si>
  <si>
    <t>full_ifrs-cor_2015-03-11.xsd#ifrs-full_DescriptionOfInternalReportingProceduresForDiscussingAndAssessingFairValueMeasurementsEntitysOwnEquityInstruments</t>
  </si>
  <si>
    <t xml:space="preserve">          Descripción de la frecuencia y métodos para comprobar procedimientos de modelos de fijación de precios, instrumentos de patrimonio propio de la entidad [Texto]</t>
  </si>
  <si>
    <t>full_ifrs-cor_2015-03-11.xsd#ifrs-full_DescriptionOfFrequencyAndMethodsForTestingProceduresOfPricingModelsEntitysOwnEquityInstruments</t>
  </si>
  <si>
    <t xml:space="preserve">          Descripción del proceso para analizar cambios en las mediciones del valor razonable, instrumentos de patrimonio propio de la entidad [Texto]</t>
  </si>
  <si>
    <t>full_ifrs-cor_2015-03-11.xsd#ifrs-full_DescriptionOfProcessForAnalysingChangesInFairValueMeasurementsEntitysOwnEquityInstruments</t>
  </si>
  <si>
    <t xml:space="preserve">          Descripción de la forma en que la entidad determinó que la información de terceros utilizada en la medición del valor razonable se desarrolló de acuerdo con la NIIF 13, instrumentos de patrimonio propio de la entidad [Texto]</t>
  </si>
  <si>
    <t>full_ifrs-cor_2015-03-11.xsd#ifrs-full_DescriptionOfHowEntityDeterminedThatThirdpartyInformationUsedInFairValueMeasurementWasDevelopedInAccordanceWithIFRS13EntitysOwnEquityInstruments</t>
  </si>
  <si>
    <t xml:space="preserve">          Descripción de los métodos utilizados para desarrollar y corroborar datos de entrada no observables utilizados en la medición del valor razonable, instrumentos de patrimonio propio de la entidad [Texto]</t>
  </si>
  <si>
    <t>full_ifrs-cor_2015-03-11.xsd#ifrs-full_DescriptionOfMethodsUsedToDevelopAndSubstantiateUnobservableInputsUsedInFairValueMeasurementEntitysOwnEquityInstruments</t>
  </si>
  <si>
    <t xml:space="preserve">        Información a revelar suficiente para permitir la conciliación de determinadas clases de mediciones del valor razonable de partidas en el estado de situación financiera, instrumentos de patrimonio propio de la entidad [bloque de texto]  </t>
  </si>
  <si>
    <t>full_ifrs-cor_2015-03-11.xsd#ifrs-full_DisclosureOfInformationSufficientToPermitReconciliationOfClassesDeterminedForFairValueMeasurementToLineItemsInStatementOfFinancialPositionEntitysOwnEquityInstrumentsExplanatory</t>
  </si>
  <si>
    <t xml:space="preserve">        Descripción de la naturaleza de clases de instrumentos de patrimonio propio de la entidad medidos a valor razonable [Texto]</t>
  </si>
  <si>
    <t>full_ifrs-cor_2015-03-11.xsd#ifrs-full_DescriptionOfNatureOfClassOfEntitysOwnEquityInstrumentsMeasuredAtFairValue</t>
  </si>
  <si>
    <t xml:space="preserve">        Descripción de la forma en que la información de terceros se tuvo en cuenta al medir el valor razonable, instrumentos de patrimonio propio de la entidad [Texto]</t>
  </si>
  <si>
    <t>full_ifrs-cor_2015-03-11.xsd#ifrs-full_DescriptionOfHowThirdpartyInformationWasTakenIntoAccountWhenMeasuringFairValueEntitysOwnEquityInstruments</t>
  </si>
  <si>
    <t>Tipo de activo [Lista]</t>
  </si>
  <si>
    <t>Tipo de medición [Lista]</t>
  </si>
  <si>
    <t>Jerarquía de medición [Lista]</t>
  </si>
  <si>
    <t>Tipo de pasivo [Texto]</t>
  </si>
  <si>
    <t>Pasivos  - Saldo Final Periodo de Reporte[Número]</t>
  </si>
  <si>
    <t>10.0</t>
  </si>
  <si>
    <t>pre_cl-ci_ifrs-13_2019-03-27_role-823000</t>
  </si>
  <si>
    <t>full_ifrs-cor_2019-03-27.xsd#ifrs-full_GainsLossesRecognisedInProfitOrLossOnExchangeDifferencesFairValueMeasurementAssets</t>
  </si>
  <si>
    <t>full_ifrs-cor_2019-03-27.xsd#ifrs-full_GainsLossesRecognisedInProfitOrLossExcludingExchangeDifferencesFairValueMeasurementAssets</t>
  </si>
  <si>
    <t>Ganancias (pérdidas) reconocidas en el resultado del periodo, medición del valor razonable, activos [resumen]</t>
  </si>
  <si>
    <t>Ganancias (pérdidas) reconocidas en otro resultado integral, medición del valor razonable, activos [resumen]</t>
  </si>
  <si>
    <t>full_ifrs-cor_2019-03-27.xsd#ifrs-full_GainsLossesRecognisedInOtherComprehensiveIncomeOnExchangeDifferencesFairValueMeasurementAssets</t>
  </si>
  <si>
    <t>full_ifrs-cor_2019-03-27.xsd#ifrs-full_GainsLossesRecognisedInOtherComprehensiveIncomeExcludingExchangeDifferencesFairValueMeasurementAssets</t>
  </si>
  <si>
    <t>Ganancias (pérdidas) reconocidas en el resultado del periodo, medición del valor razonable, pasivos [resumen]</t>
  </si>
  <si>
    <t>Ganancias (pérdidas) reconocidas en otro resultado integral, medición del valor razonable, pasivos [resumen]</t>
  </si>
  <si>
    <t>full_ifrs-cor_2019-03-27.xsd#ifrs-full_GainsLossesRecognisedInProfitOrLossOnExchangeDifferencesFairValueMeasurementLiabilities</t>
  </si>
  <si>
    <t>full_ifrs-cor_2019-03-27.xsd#ifrs-full_GainsLossesRecognisedInProfitOrLossExcludingExchangeDifferencesFairValueMeasurementLiabilities</t>
  </si>
  <si>
    <t>full_ifrs-cor_2019-03-27.xsd#ifrs-full_GainsLossesRecognisedInOtherComprehensiveIncomeOnExchangeDifferencesFairValueMeasurementLiabilities</t>
  </si>
  <si>
    <t>full_ifrs-cor_2019-03-27.xsd#ifrs-full_GainsLossesRecognisedInOtherComprehensiveIncomeExcludingExchangeDifferencesFairValueMeasurementLiabilities</t>
  </si>
  <si>
    <t>Pérdidas (ganancias) reconocidas en el resultado del periodo sobre diferencias de cambio, medición del valor razonable, pasivos [Número]</t>
  </si>
  <si>
    <t>Pérdidas (ganancias) reconocidas en el resultado del periodo excluyendo diferencias de cambio, medición del valor razonable, pasivos [Número]</t>
  </si>
  <si>
    <t>Ganancias (pérdidas) reconocidas en el resultado del periodo, medición del valor razonable, pasivos [Número]</t>
  </si>
  <si>
    <t>Pérdidas (ganancias) reconocidas en otro resultado integral sobre diferencias de cambio, medición del valor razonable, pasivos [Número]</t>
  </si>
  <si>
    <t>Pérdidas (ganancias) reconocidas en otro resultado integral excluyendo diferencias de cambio, medición del valor razonable, pasivos [Número]</t>
  </si>
  <si>
    <t>Ganancias (pérdidas) reconocidas en otro resultado integral, medición del valor razonable, pasivos [Número]</t>
  </si>
  <si>
    <t>Ganancias (pérdidas) reconocidas en el resultado del periodo, medición del valor razonable, instrumentos de patrimonio propio de la entidad [resumen]</t>
  </si>
  <si>
    <t>Ganancias (pérdidas) reconocidas en otro resultado integral, medición del valor razonable, instrumentos de patrimonio propio de la entidad [resumen]</t>
  </si>
  <si>
    <t>full_ifrs-cor_2019-03-27.xsd#ifrs-full_GainsLossesRecognisedInProfitOrLossOnExchangeDifferencesFairValueMeasurementEntitysOwnEquityInstruments</t>
  </si>
  <si>
    <t>full_ifrs-cor_2019-03-27.xsd#ifrs-full_GainsLossesRecognisedInProfitOrLossExcludingExchangeDifferencesFairValueMeasurementEntitysOwnEquityInstruments</t>
  </si>
  <si>
    <t>full_ifrs-cor_2019-03-27.xsd#ifrs-full_GainsLossesRecognisedInOtherComprehensiveIncomeOnExchangeDifferencesFairValueMeasurementEntitysOwnEquityInstruments</t>
  </si>
  <si>
    <t>full_ifrs-cor_2019-03-27.xsd#ifrs-full_GainsLossesRecognisedInOtherComprehensiveIncomeExcludingExchangeDifferencesFairValueMeasurementEntitysOwnEquityInstruments</t>
  </si>
  <si>
    <t>full_ifrs-cor_2019-03-27.xsd#ifrs-full_StatementThatThereWereNoTransfersBetweenLevel1AndLevel2OfFairValueHierarchyLiabilities</t>
  </si>
  <si>
    <t>full_ifrs-cor_2019-03-27.xsd#ifrs-full_StatementThatThereWereNoTransfersBetweenLevel1Level2OrLevel3OfFairValueHierarchyLiabilities</t>
  </si>
  <si>
    <t>full_ifrs-cor_2019-03-27.xsd#ifrs-full_StatementThatThereWereNoTransfersBetweenLevel1AndLevel2OfFairValueHierarchyEntitysOwnEquityInstruments</t>
  </si>
  <si>
    <t>full_ifrs-cor_2019-03-27.xsd#ifrs-full_StatementThatThereWereNoTransfersBetweenLevel1Level2OrLevel3OfFairValueHierarchyEntitysOwnEquityInstruments</t>
  </si>
  <si>
    <t>full_ifrs-cor_2019-03-27.xsd#ifrs-full_StatementThatThereWereNoTransfersBetweenLevel1AndLevel2OfFairValueHierarchyAssets</t>
  </si>
  <si>
    <t>full_ifrs-cor_2019-03-27.xsd#ifrs-full_StatementThatThereWereNoTransfersBetweenLevel1Level2OrLevel3OfFairValueHierarchyAssets</t>
  </si>
  <si>
    <t>Declaración de que no hubo transferencias entre el Nivel 1 y el Nivel 2 de la jerarquía del valor razonable, activos [Texto]</t>
  </si>
  <si>
    <t>Declaración de que no hubo transferencias entre el Nivel 1, el Nivel 2 o el Nivel 3 de la jerarquía del valor razonable, activos [Texto]</t>
  </si>
  <si>
    <t>Declaración de que no hubo transferencias entre el Nivel 1 y el Nivel 2 de la jerarquía del valor razonable, pasivos [Texto]</t>
  </si>
  <si>
    <t>Declaración de que no hubo transferencias entre el Nivel 1, el Nivel 2 o el Nivel 3 de la jerarquía del valor razonable, pasivos [Texto]</t>
  </si>
  <si>
    <t>Declaración de que no hubo transferencias el Nivel 1 y el Nivel 2 de la jerarquía del valor razonable, instrumentos de patrimonio propio de la entidad [Texto]</t>
  </si>
  <si>
    <t>Declaración de que no había transferencias entre el Nivel 1, el Nivel 2 o el Nivel 3 de la jerarquía del valor razonable, instrumentos de patrimonio propio de la entidad [Texto]</t>
  </si>
  <si>
    <t>Activos - Saldo al inicio del periodo(31/12/2019) [Número]</t>
  </si>
  <si>
    <t>Activos - Saldo al inicio del periodo(31/12/2018) [Número]</t>
  </si>
  <si>
    <t>Activos - Saldo al 31/12/2019 [Número]</t>
  </si>
  <si>
    <t>Fila de cuadratura con saldo inicial al 31-12-2019</t>
  </si>
  <si>
    <t>Pasivos  - Saldo al inicio del periodo(31/12/2019) [Número]</t>
  </si>
  <si>
    <t>Pasivos  - Saldo al inicio del periodo(31/12/2018) [Número]</t>
  </si>
  <si>
    <t>Pasivos - Saldo al 31/12/2019 [Número]</t>
  </si>
  <si>
    <t>Pasivos  - Saldo al (31/12/2019) [Número]</t>
  </si>
  <si>
    <t>Ganancias (pérdidas) reconocidas en el resultado del periodo sobre diferencias de cambio, medición del valor razonable, activos [Número]</t>
  </si>
  <si>
    <t>Ganancias (pérdidas) reconocidas en el resultado del periodo excluyendo diferencias de cambio, medición del valor razonable, activos [Número]</t>
  </si>
  <si>
    <t>Ganancias (pérdidas) reconocidas en el resultado del periodo, medición del valor razonable, activos [Número]</t>
  </si>
  <si>
    <t>Ganancias (pérdidas) reconocidas en otro resultado integral sobre diferencias de cambio, medición del valor razonable, activos [Número]</t>
  </si>
  <si>
    <t>Ganancias (pérdidas) reconocidas en otro resultado integral excluyendo diferencias de cambio, medición del valor razonable, activos [Número]</t>
  </si>
  <si>
    <t>Ganancias (pérdidas) reconocidas en otro resultado integral, medición del valor razonable, activos [Número]</t>
  </si>
  <si>
    <t>Pérdidas (ganancias) reconocidas en el resultado del periodo sobre diferencias de cambio, medición del valor razonable, instrumentos de patrimonio propio de la entidad [Número]</t>
  </si>
  <si>
    <t>Pérdidas (ganancias) reconocidas en el resultado del periodo excluyendo diferencias de cambio, medición del valor razonable, instrumentos de patrimonio propio de la entidad [Número]</t>
  </si>
  <si>
    <t>Ganancias (pérdidas) reconocidas en el resultado del periodo, medición del valor razonable, instrumentos de patrimonio propio de la entidad [Número]</t>
  </si>
  <si>
    <t>Pérdidas (ganancias) reconocidas en otro resultado integral sobre diferencias de cambio, medición del valor razonable, instrumentos de patrimonio propio de la entidad [Número]</t>
  </si>
  <si>
    <t>Pérdidas (ganancias) reconocidas en otro resultado integral excluyendo diferencias de cambio, medición del valor razonable, instrumentos de patrimonio propio de la entidad [Número]</t>
  </si>
  <si>
    <t>Ganancias (pérdidas) reconocidas en otro resultado integral, medición del valor razonable, instrumentos de patrimonio propio de la entidad [Número]</t>
  </si>
  <si>
    <t>a</t>
  </si>
  <si>
    <t>b</t>
  </si>
  <si>
    <t>c</t>
  </si>
  <si>
    <t>d</t>
  </si>
  <si>
    <t>e</t>
  </si>
  <si>
    <t>f</t>
  </si>
  <si>
    <t>g</t>
  </si>
  <si>
    <t>h</t>
  </si>
  <si>
    <t>i</t>
  </si>
  <si>
    <t>j</t>
  </si>
  <si>
    <t>k</t>
  </si>
  <si>
    <t>l</t>
  </si>
  <si>
    <t>m</t>
  </si>
  <si>
    <t>n</t>
  </si>
  <si>
    <t>o</t>
  </si>
  <si>
    <t>p</t>
  </si>
  <si>
    <t>q</t>
  </si>
  <si>
    <t>r</t>
  </si>
  <si>
    <t>s</t>
  </si>
  <si>
    <t>t</t>
  </si>
  <si>
    <t>u</t>
  </si>
  <si>
    <t>v</t>
  </si>
  <si>
    <t>w</t>
  </si>
  <si>
    <t>x</t>
  </si>
  <si>
    <t>z</t>
  </si>
  <si>
    <t>y</t>
  </si>
  <si>
    <t>aaa</t>
  </si>
  <si>
    <t>bbbb</t>
  </si>
  <si>
    <t>rrr</t>
  </si>
  <si>
    <t>eee</t>
  </si>
  <si>
    <t>sss</t>
  </si>
  <si>
    <t>fff</t>
  </si>
  <si>
    <t>gggg</t>
  </si>
  <si>
    <t>hhh</t>
  </si>
  <si>
    <t>iiii</t>
  </si>
  <si>
    <t>jjjj</t>
  </si>
  <si>
    <t>kkk</t>
  </si>
  <si>
    <t>llll</t>
  </si>
  <si>
    <t>mmmm</t>
  </si>
  <si>
    <t>nnn</t>
  </si>
  <si>
    <t>oooo</t>
  </si>
  <si>
    <t>pppp</t>
  </si>
  <si>
    <t>qqqq</t>
  </si>
  <si>
    <t>sssss</t>
  </si>
  <si>
    <t>ttt</t>
  </si>
  <si>
    <t>uuu</t>
  </si>
  <si>
    <t>vvv</t>
  </si>
  <si>
    <t>www</t>
  </si>
  <si>
    <t>xxxx</t>
  </si>
  <si>
    <t>yyyy</t>
  </si>
  <si>
    <t>zzzz</t>
  </si>
  <si>
    <t>aaaaaaaa</t>
  </si>
  <si>
    <t>bbbbbbbbbb</t>
  </si>
  <si>
    <t>ccccccccccc</t>
  </si>
  <si>
    <t>dddddddddddd</t>
  </si>
  <si>
    <t>eeeeeeeeeeee</t>
  </si>
  <si>
    <t>fffffffffffff</t>
  </si>
  <si>
    <t>gggggggggggg</t>
  </si>
  <si>
    <t>hhhhhhhhhh</t>
  </si>
  <si>
    <t>test1</t>
  </si>
  <si>
    <t>test 2</t>
  </si>
  <si>
    <t>test3</t>
  </si>
  <si>
    <t>test4</t>
  </si>
  <si>
    <t>yesyt5</t>
  </si>
  <si>
    <t>yetst6</t>
  </si>
  <si>
    <t>test7</t>
  </si>
  <si>
    <t>test8</t>
  </si>
  <si>
    <t>test9</t>
  </si>
  <si>
    <t>test10</t>
  </si>
  <si>
    <t>test11</t>
  </si>
  <si>
    <t>test12</t>
  </si>
  <si>
    <t>test13</t>
  </si>
  <si>
    <t>test14</t>
  </si>
  <si>
    <t>test15</t>
  </si>
  <si>
    <t>test116</t>
  </si>
  <si>
    <t>teste17</t>
  </si>
  <si>
    <t>test18</t>
  </si>
  <si>
    <t>test19</t>
  </si>
  <si>
    <t>test20</t>
  </si>
  <si>
    <t>test21</t>
  </si>
  <si>
    <t>test22</t>
  </si>
  <si>
    <t>test24</t>
  </si>
  <si>
    <t>test166</t>
  </si>
  <si>
    <t>test26</t>
  </si>
  <si>
    <t>test27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</si>
</sst>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scheme val="minor"/>
    </font>
    <font>
      <sz val="8"/>
      <name val="ＭＳ Ｐゴシック"/>
      <family val="3"/>
      <charset val="128"/>
    </font>
    <font>
      <sz val="9"/>
      <name val="Verdana"/>
      <family val="2"/>
    </font>
    <font>
      <b/>
      <sz val="9"/>
      <name val="Verdana"/>
      <family val="2"/>
    </font>
    <font>
      <sz val="11"/>
      <color indexed="9"/>
      <name val="Czcionka tekstu podstawowego"/>
      <family val="2"/>
      <charset val="238"/>
    </font>
    <font>
      <sz val="8"/>
      <color theme="1"/>
      <name val="Calibri"/>
      <family val="2"/>
      <scheme val="minor"/>
    </font>
    <font>
      <sz val="9"/>
      <color rgb="FFFF0000"/>
      <name val="Verdana"/>
      <family val="2"/>
    </font>
    <font>
      <sz val="9"/>
      <color indexed="9"/>
      <name val="Verdana"/>
      <family val="2"/>
    </font>
    <font>
      <b/>
      <sz val="9"/>
      <color indexed="9"/>
      <name val="Verdana"/>
      <family val="2"/>
    </font>
    <font>
      <sz val="11"/>
      <name val="Calibri"/>
      <family val="2"/>
      <scheme val="minor"/>
    </font>
    <font>
      <sz val="9"/>
      <color theme="1"/>
      <name val="Verdana"/>
      <family val="2"/>
    </font>
    <font>
      <b/>
      <sz val="18"/>
      <name val="Calibri"/>
      <family val="2"/>
      <scheme val="minor"/>
    </font>
    <font>
      <sz val="10"/>
      <name val="Calibri"/>
      <family val="2"/>
    </font>
    <font>
      <sz val="10"/>
      <color indexed="10"/>
      <name val="Calibri"/>
      <family val="2"/>
    </font>
    <font>
      <b/>
      <sz val="10"/>
      <color indexed="10"/>
      <name val="Calibri"/>
      <family val="2"/>
    </font>
    <font>
      <b/>
      <sz val="10"/>
      <name val="Calibri"/>
      <family val="2"/>
    </font>
    <font>
      <b/>
      <sz val="12"/>
      <name val="Calibri"/>
      <family val="2"/>
      <scheme val="minor"/>
    </font>
    <font>
      <u/>
      <sz val="9.9"/>
      <color theme="10"/>
      <name val="Calibri"/>
      <family val="2"/>
    </font>
    <font>
      <sz val="11"/>
      <color indexed="10"/>
      <name val="Calibri"/>
      <family val="2"/>
    </font>
    <font>
      <sz val="8"/>
      <name val="Verdana"/>
      <family val="2"/>
    </font>
    <font>
      <sz val="11"/>
      <color theme="0"/>
      <name val="Calibri"/>
      <family val="2"/>
      <scheme val="minor"/>
    </font>
    <font>
      <b/>
      <sz val="18"/>
      <name val="Calibri"/>
      <family val="2"/>
    </font>
    <font>
      <b/>
      <sz val="11"/>
      <name val="Verdana"/>
      <family val="2"/>
    </font>
    <font>
      <b/>
      <sz val="9"/>
      <color rgb="FFFF0000"/>
      <name val="Verdana"/>
      <family val="2"/>
    </font>
    <font>
      <b/>
      <sz val="8"/>
      <name val="Verdana"/>
      <family val="2"/>
    </font>
    <font>
      <sz val="11"/>
      <name val="Calibri"/>
      <family val="2"/>
    </font>
  </fonts>
  <fills count="18">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indexed="30"/>
      </patternFill>
    </fill>
    <fill>
      <patternFill patternType="solid">
        <fgColor rgb="FFFFC000"/>
        <bgColor indexed="64"/>
      </patternFill>
    </fill>
    <fill>
      <patternFill patternType="solid">
        <fgColor theme="0" tint="-0.499984740745262"/>
        <bgColor indexed="64"/>
      </patternFill>
    </fill>
    <fill>
      <patternFill patternType="solid">
        <fgColor theme="4" tint="0.59996337778862885"/>
        <bgColor indexed="64"/>
      </patternFill>
    </fill>
    <fill>
      <patternFill patternType="solid">
        <fgColor rgb="FFFFFFCC"/>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indexed="26"/>
        <bgColor indexed="64"/>
      </patternFill>
    </fill>
    <fill>
      <patternFill patternType="solid">
        <fgColor theme="6" tint="0.59999389629810485"/>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8" tint="-0.249977111117893"/>
        <bgColor indexed="64"/>
      </patternFill>
    </fill>
    <fill>
      <patternFill patternType="solid">
        <fgColor rgb="FF00B0F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ck">
        <color indexed="64"/>
      </right>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Dashed">
        <color indexed="10"/>
      </left>
      <right/>
      <top/>
      <bottom/>
      <diagonal/>
    </border>
    <border>
      <left style="mediumDashed">
        <color rgb="FFFF0000"/>
      </left>
      <right style="mediumDashed">
        <color rgb="FFFF0000"/>
      </right>
      <top style="mediumDashed">
        <color rgb="FFFF0000"/>
      </top>
      <bottom style="thin">
        <color indexed="64"/>
      </bottom>
      <diagonal/>
    </border>
    <border>
      <left style="mediumDashed">
        <color rgb="FFFF0000"/>
      </left>
      <right style="mediumDashed">
        <color rgb="FFFF0000"/>
      </right>
      <top style="thin">
        <color indexed="64"/>
      </top>
      <bottom/>
      <diagonal/>
    </border>
    <border>
      <left style="thin">
        <color indexed="64"/>
      </left>
      <right/>
      <top style="medium">
        <color indexed="64"/>
      </top>
      <bottom/>
      <diagonal/>
    </border>
    <border>
      <left/>
      <right style="medium">
        <color indexed="64"/>
      </right>
      <top/>
      <bottom/>
      <diagonal/>
    </border>
    <border>
      <left style="mediumDashed">
        <color rgb="FFFF0000"/>
      </left>
      <right style="mediumDashed">
        <color rgb="FFFF0000"/>
      </right>
      <top style="mediumDashed">
        <color rgb="FFFF0000"/>
      </top>
      <bottom style="medium">
        <color indexed="64"/>
      </bottom>
      <diagonal/>
    </border>
    <border>
      <left style="mediumDashed">
        <color rgb="FFFF0000"/>
      </left>
      <right style="mediumDashed">
        <color rgb="FFFF0000"/>
      </right>
      <top/>
      <bottom/>
      <diagonal/>
    </border>
  </borders>
  <cellStyleXfs count="5">
    <xf numFmtId="0" fontId="0" fillId="0" borderId="0"/>
    <xf numFmtId="0" fontId="1" fillId="0" borderId="0" applyNumberFormat="0" applyFill="0" applyBorder="0">
      <alignment vertical="center"/>
    </xf>
    <xf numFmtId="0" fontId="4" fillId="4" borderId="0" applyNumberFormat="0" applyBorder="0" applyAlignment="0" applyProtection="0"/>
    <xf numFmtId="0" fontId="1" fillId="0" borderId="0" applyNumberFormat="0" applyFill="0" applyBorder="0">
      <alignment vertical="center"/>
    </xf>
    <xf numFmtId="0" fontId="17" fillId="0" borderId="0" applyNumberFormat="0" applyFill="0" applyBorder="0" applyAlignment="0" applyProtection="0">
      <alignment vertical="top"/>
      <protection locked="0"/>
    </xf>
  </cellStyleXfs>
  <cellXfs count="122">
    <xf numFmtId="0" fontId="0" fillId="0" borderId="0" xfId="0"/>
    <xf numFmtId="0" fontId="2" fillId="2" borderId="0" xfId="0" applyFont="1" applyFill="1" applyBorder="1" applyAlignment="1">
      <alignment horizontal="left" vertical="center" wrapText="1" indent="3"/>
    </xf>
    <xf numFmtId="0" fontId="3" fillId="2" borderId="0" xfId="0" applyFont="1" applyFill="1" applyBorder="1" applyAlignment="1">
      <alignment horizontal="left" vertical="center" indent="3"/>
    </xf>
    <xf numFmtId="0" fontId="3" fillId="2" borderId="0" xfId="0" applyFont="1" applyFill="1" applyBorder="1" applyAlignment="1">
      <alignment horizontal="left" vertical="center" wrapText="1" indent="3"/>
    </xf>
    <xf numFmtId="0" fontId="2" fillId="2" borderId="8" xfId="0" applyFont="1" applyFill="1" applyBorder="1" applyAlignment="1">
      <alignment horizontal="left" vertical="center" indent="3"/>
    </xf>
    <xf numFmtId="0" fontId="6" fillId="0" borderId="0" xfId="0" applyNumberFormat="1" applyFont="1" applyBorder="1" applyAlignment="1">
      <alignment horizontal="center" vertical="center"/>
    </xf>
    <xf numFmtId="0" fontId="6" fillId="6" borderId="10" xfId="2" applyNumberFormat="1" applyFont="1" applyFill="1" applyBorder="1" applyAlignment="1">
      <alignment horizontal="center" vertical="center" wrapText="1"/>
    </xf>
    <xf numFmtId="0" fontId="6" fillId="6" borderId="12" xfId="2" applyNumberFormat="1" applyFont="1" applyFill="1" applyBorder="1" applyAlignment="1">
      <alignment horizontal="center" vertical="center" wrapText="1"/>
    </xf>
    <xf numFmtId="0" fontId="7" fillId="6" borderId="12" xfId="2" applyNumberFormat="1" applyFont="1" applyFill="1" applyBorder="1" applyAlignment="1">
      <alignment horizontal="center" vertical="center" wrapText="1"/>
    </xf>
    <xf numFmtId="0" fontId="8" fillId="6" borderId="12" xfId="2" applyNumberFormat="1" applyFont="1" applyFill="1" applyBorder="1" applyAlignment="1">
      <alignment horizontal="center" vertical="center" wrapText="1"/>
    </xf>
    <xf numFmtId="0" fontId="2" fillId="0" borderId="0" xfId="0" applyFont="1" applyAlignment="1">
      <alignment horizontal="center" vertical="center" wrapText="1"/>
    </xf>
    <xf numFmtId="0" fontId="2" fillId="7" borderId="5" xfId="3" applyFont="1" applyFill="1" applyBorder="1">
      <alignment vertical="center"/>
    </xf>
    <xf numFmtId="0" fontId="3" fillId="7" borderId="0" xfId="3" applyFont="1" applyFill="1" applyBorder="1" applyAlignment="1">
      <alignment vertical="center"/>
    </xf>
    <xf numFmtId="0" fontId="2" fillId="7" borderId="0" xfId="3" applyFont="1" applyFill="1" applyBorder="1">
      <alignment vertical="center"/>
    </xf>
    <xf numFmtId="0" fontId="2" fillId="7" borderId="3" xfId="3" applyFont="1" applyFill="1" applyBorder="1" applyAlignment="1">
      <alignment horizontal="center" vertical="center" wrapText="1"/>
    </xf>
    <xf numFmtId="0" fontId="0" fillId="2" borderId="0" xfId="0" applyFill="1"/>
    <xf numFmtId="0" fontId="2" fillId="7" borderId="4" xfId="3" applyFont="1" applyFill="1" applyBorder="1" applyAlignment="1">
      <alignment vertical="center" wrapText="1"/>
    </xf>
    <xf numFmtId="0" fontId="2" fillId="0" borderId="0" xfId="0" applyFont="1" applyAlignment="1"/>
    <xf numFmtId="0" fontId="2" fillId="2" borderId="5" xfId="0" applyFont="1" applyFill="1" applyBorder="1" applyAlignment="1">
      <alignment horizontal="left" vertical="center"/>
    </xf>
    <xf numFmtId="0" fontId="2" fillId="2" borderId="0" xfId="0" applyFont="1" applyFill="1" applyBorder="1" applyAlignment="1">
      <alignment horizontal="left" vertical="center"/>
    </xf>
    <xf numFmtId="0" fontId="2" fillId="2" borderId="0" xfId="2" applyNumberFormat="1" applyFont="1" applyFill="1" applyBorder="1" applyAlignment="1">
      <alignment horizontal="left" vertical="center"/>
    </xf>
    <xf numFmtId="0" fontId="10" fillId="2" borderId="0" xfId="0" applyFont="1" applyFill="1" applyBorder="1" applyAlignment="1">
      <alignment horizontal="left" vertical="center"/>
    </xf>
    <xf numFmtId="0" fontId="2" fillId="2" borderId="2" xfId="0" applyFont="1" applyFill="1" applyBorder="1" applyAlignment="1"/>
    <xf numFmtId="0" fontId="2" fillId="2" borderId="3" xfId="0" applyFont="1" applyFill="1" applyBorder="1" applyAlignment="1"/>
    <xf numFmtId="0" fontId="10" fillId="2" borderId="3" xfId="0" applyFont="1" applyFill="1" applyBorder="1" applyAlignment="1"/>
    <xf numFmtId="0" fontId="2" fillId="7" borderId="3" xfId="3" applyFont="1" applyFill="1" applyBorder="1" applyAlignment="1">
      <alignment vertical="center"/>
    </xf>
    <xf numFmtId="0" fontId="2" fillId="2" borderId="7" xfId="0" applyFont="1" applyFill="1" applyBorder="1" applyAlignment="1">
      <alignment horizontal="left" vertical="center"/>
    </xf>
    <xf numFmtId="0" fontId="2" fillId="2" borderId="8" xfId="0" applyFont="1" applyFill="1" applyBorder="1" applyAlignment="1">
      <alignment horizontal="left" vertical="center"/>
    </xf>
    <xf numFmtId="0" fontId="11" fillId="8" borderId="13" xfId="0" applyFont="1" applyFill="1" applyBorder="1" applyAlignment="1">
      <alignment horizontal="center" vertical="center" wrapText="1"/>
    </xf>
    <xf numFmtId="0" fontId="16" fillId="8" borderId="13" xfId="0" applyFont="1" applyFill="1" applyBorder="1" applyAlignment="1">
      <alignment horizontal="center" vertical="center" wrapText="1"/>
    </xf>
    <xf numFmtId="0" fontId="18" fillId="0" borderId="0" xfId="0" applyFont="1"/>
    <xf numFmtId="3" fontId="2" fillId="2" borderId="2" xfId="1" applyNumberFormat="1" applyFont="1" applyFill="1" applyBorder="1">
      <alignment vertical="center"/>
    </xf>
    <xf numFmtId="3" fontId="2" fillId="2" borderId="3" xfId="1" applyNumberFormat="1" applyFont="1" applyFill="1" applyBorder="1">
      <alignment vertical="center"/>
    </xf>
    <xf numFmtId="3" fontId="2" fillId="2" borderId="4" xfId="1" applyNumberFormat="1" applyFont="1" applyFill="1" applyBorder="1">
      <alignment vertical="center"/>
    </xf>
    <xf numFmtId="3" fontId="2" fillId="2" borderId="5" xfId="1" applyNumberFormat="1" applyFont="1" applyFill="1" applyBorder="1">
      <alignment vertical="center"/>
    </xf>
    <xf numFmtId="3" fontId="2" fillId="2" borderId="0" xfId="1" applyNumberFormat="1" applyFont="1" applyFill="1" applyBorder="1">
      <alignment vertical="center"/>
    </xf>
    <xf numFmtId="3" fontId="2" fillId="2" borderId="6" xfId="1" applyNumberFormat="1" applyFont="1" applyFill="1" applyBorder="1">
      <alignment vertical="center"/>
    </xf>
    <xf numFmtId="3" fontId="2" fillId="2" borderId="7" xfId="1" applyNumberFormat="1" applyFont="1" applyFill="1" applyBorder="1">
      <alignment vertical="center"/>
    </xf>
    <xf numFmtId="3" fontId="2" fillId="2" borderId="8" xfId="1" applyNumberFormat="1" applyFont="1" applyFill="1" applyBorder="1">
      <alignment vertical="center"/>
    </xf>
    <xf numFmtId="3" fontId="2" fillId="2" borderId="9" xfId="1" applyNumberFormat="1" applyFont="1" applyFill="1" applyBorder="1">
      <alignment vertical="center"/>
    </xf>
    <xf numFmtId="3" fontId="17" fillId="9" borderId="0" xfId="4" applyNumberFormat="1" applyFill="1" applyBorder="1" applyAlignment="1" applyProtection="1">
      <alignment vertical="center"/>
    </xf>
    <xf numFmtId="3" fontId="17" fillId="10" borderId="0" xfId="4" applyNumberFormat="1" applyFill="1" applyBorder="1" applyAlignment="1" applyProtection="1">
      <alignment horizontal="left" vertical="center" wrapText="1"/>
    </xf>
    <xf numFmtId="0" fontId="21" fillId="11" borderId="13" xfId="0" applyFont="1" applyFill="1" applyBorder="1" applyAlignment="1">
      <alignment horizontal="center" vertical="center" wrapText="1"/>
    </xf>
    <xf numFmtId="0" fontId="0" fillId="0" borderId="14" xfId="0" applyBorder="1"/>
    <xf numFmtId="0" fontId="20" fillId="6" borderId="15" xfId="0" applyFont="1" applyFill="1" applyBorder="1" applyProtection="1">
      <protection locked="0"/>
    </xf>
    <xf numFmtId="0" fontId="20" fillId="6" borderId="16" xfId="0" applyFont="1" applyFill="1" applyBorder="1" applyAlignment="1" applyProtection="1">
      <alignment horizontal="center" vertical="center"/>
      <protection locked="0"/>
    </xf>
    <xf numFmtId="0" fontId="20" fillId="6" borderId="0" xfId="0" applyFont="1" applyFill="1" applyBorder="1" applyProtection="1">
      <protection locked="0"/>
    </xf>
    <xf numFmtId="0" fontId="0" fillId="7" borderId="0" xfId="0" applyFill="1" applyProtection="1">
      <protection locked="0"/>
    </xf>
    <xf numFmtId="0" fontId="0" fillId="7" borderId="5" xfId="0" applyFill="1" applyBorder="1" applyProtection="1">
      <protection locked="0"/>
    </xf>
    <xf numFmtId="0" fontId="0" fillId="0" borderId="19" xfId="0" applyBorder="1"/>
    <xf numFmtId="0" fontId="2" fillId="2" borderId="5" xfId="3" applyFont="1" applyFill="1" applyBorder="1" applyProtection="1">
      <alignment vertical="center"/>
      <protection locked="0"/>
    </xf>
    <xf numFmtId="0" fontId="2" fillId="2" borderId="0" xfId="3" applyFont="1" applyFill="1" applyBorder="1" applyAlignment="1" applyProtection="1">
      <alignment vertical="center"/>
      <protection locked="0"/>
    </xf>
    <xf numFmtId="0" fontId="3" fillId="2" borderId="0" xfId="3" applyFont="1" applyFill="1" applyBorder="1" applyAlignment="1" applyProtection="1">
      <alignment horizontal="left" vertical="center" wrapText="1"/>
      <protection locked="0"/>
    </xf>
    <xf numFmtId="0" fontId="2" fillId="2" borderId="0" xfId="3" applyFont="1" applyFill="1" applyBorder="1" applyAlignment="1" applyProtection="1">
      <alignment horizontal="left" vertical="center" wrapText="1" indent="1"/>
      <protection locked="0"/>
    </xf>
    <xf numFmtId="0" fontId="18" fillId="0" borderId="19" xfId="0" applyNumberFormat="1" applyFont="1" applyBorder="1" applyAlignment="1">
      <alignment horizontal="center" vertical="center"/>
    </xf>
    <xf numFmtId="0" fontId="2" fillId="2" borderId="7" xfId="3" applyFont="1" applyFill="1" applyBorder="1" applyProtection="1">
      <alignment vertical="center"/>
      <protection locked="0"/>
    </xf>
    <xf numFmtId="0" fontId="2" fillId="2" borderId="8" xfId="3" applyFont="1" applyFill="1" applyBorder="1" applyAlignment="1" applyProtection="1">
      <alignment vertical="center"/>
      <protection locked="0"/>
    </xf>
    <xf numFmtId="0" fontId="2" fillId="2" borderId="8" xfId="3" applyFont="1" applyFill="1" applyBorder="1" applyAlignment="1" applyProtection="1">
      <alignment horizontal="left" vertical="center" wrapText="1" indent="1"/>
      <protection locked="0"/>
    </xf>
    <xf numFmtId="0" fontId="20" fillId="6" borderId="17" xfId="0" applyFont="1" applyFill="1" applyBorder="1" applyAlignment="1">
      <alignment vertical="center" wrapText="1"/>
    </xf>
    <xf numFmtId="0" fontId="20" fillId="6" borderId="18" xfId="0" applyFont="1" applyFill="1" applyBorder="1" applyAlignment="1">
      <alignment vertical="center" wrapText="1"/>
    </xf>
    <xf numFmtId="0" fontId="20" fillId="6" borderId="15" xfId="0" applyFont="1" applyFill="1" applyBorder="1" applyAlignment="1" applyProtection="1">
      <alignment horizontal="center" vertical="center"/>
      <protection locked="0"/>
    </xf>
    <xf numFmtId="0" fontId="0" fillId="0" borderId="14" xfId="0" applyBorder="1" applyAlignment="1">
      <alignment vertical="center"/>
    </xf>
    <xf numFmtId="0" fontId="2" fillId="2" borderId="6" xfId="3" applyFont="1" applyFill="1" applyBorder="1" applyAlignment="1" applyProtection="1">
      <alignment vertical="center"/>
      <protection locked="0"/>
    </xf>
    <xf numFmtId="0" fontId="2" fillId="2" borderId="9" xfId="3" applyFont="1" applyFill="1" applyBorder="1" applyAlignment="1" applyProtection="1">
      <alignment vertical="center"/>
      <protection locked="0"/>
    </xf>
    <xf numFmtId="0" fontId="2" fillId="2" borderId="0" xfId="3" applyFont="1" applyFill="1" applyBorder="1" applyAlignment="1" applyProtection="1">
      <alignment horizontal="left" vertical="center" wrapText="1"/>
      <protection locked="0"/>
    </xf>
    <xf numFmtId="3" fontId="17" fillId="3" borderId="0" xfId="4" applyNumberFormat="1" applyFill="1" applyBorder="1" applyAlignment="1" applyProtection="1">
      <alignment vertical="center" wrapText="1"/>
    </xf>
    <xf numFmtId="0" fontId="3" fillId="2" borderId="0" xfId="3" applyFont="1" applyFill="1" applyBorder="1" applyAlignment="1" applyProtection="1">
      <alignment horizontal="left" vertical="center" wrapText="1" indent="1"/>
      <protection locked="0"/>
    </xf>
    <xf numFmtId="0" fontId="19" fillId="2" borderId="0" xfId="3" applyNumberFormat="1" applyFont="1" applyFill="1" applyBorder="1" applyAlignment="1" applyProtection="1">
      <alignment vertical="center"/>
      <protection locked="0"/>
    </xf>
    <xf numFmtId="0" fontId="19" fillId="2" borderId="0" xfId="3" applyFont="1" applyFill="1" applyBorder="1" applyAlignment="1" applyProtection="1">
      <alignment vertical="center"/>
      <protection locked="0"/>
    </xf>
    <xf numFmtId="0" fontId="19" fillId="2" borderId="4" xfId="3" applyFont="1" applyFill="1" applyBorder="1" applyAlignment="1" applyProtection="1">
      <alignment vertical="center"/>
      <protection locked="0"/>
    </xf>
    <xf numFmtId="0" fontId="19" fillId="2" borderId="6" xfId="3" applyNumberFormat="1" applyFont="1" applyFill="1" applyBorder="1" applyAlignment="1" applyProtection="1">
      <alignment vertical="center"/>
      <protection locked="0"/>
    </xf>
    <xf numFmtId="0" fontId="22" fillId="2" borderId="8" xfId="3" applyFont="1" applyFill="1" applyBorder="1" applyAlignment="1" applyProtection="1">
      <alignment horizontal="left" vertical="center" wrapText="1"/>
      <protection locked="0"/>
    </xf>
    <xf numFmtId="0" fontId="2" fillId="3" borderId="1" xfId="0" applyNumberFormat="1" applyFont="1" applyFill="1" applyBorder="1" applyAlignment="1">
      <alignment horizontal="left" vertical="center" indent="3"/>
    </xf>
    <xf numFmtId="0" fontId="2" fillId="3" borderId="11" xfId="0" applyNumberFormat="1" applyFont="1" applyFill="1" applyBorder="1" applyAlignment="1" applyProtection="1"/>
    <xf numFmtId="0" fontId="2" fillId="2" borderId="6" xfId="0" applyFont="1" applyFill="1" applyBorder="1" applyAlignment="1">
      <alignment horizontal="left" vertical="center"/>
    </xf>
    <xf numFmtId="0" fontId="3" fillId="2" borderId="0" xfId="0" applyFont="1" applyFill="1" applyBorder="1" applyAlignment="1">
      <alignment horizontal="left" vertical="center" wrapText="1"/>
    </xf>
    <xf numFmtId="0" fontId="2" fillId="2" borderId="11" xfId="0" applyFont="1" applyFill="1" applyBorder="1" applyAlignment="1">
      <alignment horizontal="left" vertical="center"/>
    </xf>
    <xf numFmtId="0" fontId="7" fillId="6" borderId="1" xfId="2" applyNumberFormat="1" applyFont="1" applyFill="1" applyBorder="1" applyAlignment="1">
      <alignment horizontal="center" vertical="center" wrapText="1"/>
    </xf>
    <xf numFmtId="0" fontId="20" fillId="6" borderId="18" xfId="0" applyFont="1" applyFill="1" applyBorder="1" applyAlignment="1">
      <alignment horizontal="center" vertical="center" wrapText="1"/>
    </xf>
    <xf numFmtId="0" fontId="23" fillId="12" borderId="20" xfId="2" applyNumberFormat="1" applyFont="1" applyFill="1" applyBorder="1" applyAlignment="1">
      <alignment horizontal="center" vertical="center" wrapText="1"/>
    </xf>
    <xf numFmtId="0" fontId="9" fillId="12" borderId="21" xfId="3" applyFont="1" applyFill="1" applyBorder="1" applyAlignment="1">
      <alignment horizontal="center" vertical="center" wrapText="1"/>
    </xf>
    <xf numFmtId="3" fontId="19" fillId="3" borderId="1" xfId="3" applyNumberFormat="1" applyFont="1" applyFill="1" applyBorder="1" applyAlignment="1" applyProtection="1">
      <alignment vertical="center"/>
      <protection locked="0"/>
    </xf>
    <xf numFmtId="3" fontId="19" fillId="13" borderId="1" xfId="3" applyNumberFormat="1" applyFont="1" applyFill="1" applyBorder="1" applyAlignment="1" applyProtection="1">
      <alignment vertical="center"/>
      <protection locked="0"/>
    </xf>
    <xf numFmtId="0" fontId="2" fillId="2" borderId="6" xfId="0" applyNumberFormat="1" applyFont="1" applyFill="1" applyBorder="1" applyAlignment="1" applyProtection="1"/>
    <xf numFmtId="0" fontId="2" fillId="2" borderId="3" xfId="0" applyNumberFormat="1" applyFont="1" applyFill="1" applyBorder="1" applyAlignment="1" applyProtection="1"/>
    <xf numFmtId="0" fontId="2" fillId="2" borderId="0" xfId="0" applyNumberFormat="1" applyFont="1" applyFill="1" applyBorder="1" applyAlignment="1" applyProtection="1"/>
    <xf numFmtId="0" fontId="2" fillId="2" borderId="5" xfId="0" applyFont="1" applyFill="1" applyBorder="1" applyAlignment="1"/>
    <xf numFmtId="0" fontId="2" fillId="2" borderId="0" xfId="0" applyFont="1" applyFill="1" applyBorder="1" applyAlignment="1"/>
    <xf numFmtId="0" fontId="10" fillId="2" borderId="0" xfId="0" applyFont="1" applyFill="1" applyBorder="1" applyAlignment="1"/>
    <xf numFmtId="0" fontId="2" fillId="7" borderId="0" xfId="3" applyFont="1" applyFill="1" applyBorder="1" applyAlignment="1">
      <alignment vertical="center"/>
    </xf>
    <xf numFmtId="0" fontId="0" fillId="0" borderId="0" xfId="0" applyBorder="1"/>
    <xf numFmtId="0" fontId="0" fillId="7" borderId="15" xfId="0" applyFill="1" applyBorder="1" applyProtection="1">
      <protection locked="0"/>
    </xf>
    <xf numFmtId="0" fontId="0" fillId="7" borderId="22" xfId="0" applyFill="1" applyBorder="1" applyProtection="1">
      <protection locked="0"/>
    </xf>
    <xf numFmtId="0" fontId="0" fillId="0" borderId="23" xfId="0" applyBorder="1"/>
    <xf numFmtId="0" fontId="9" fillId="12" borderId="25" xfId="3" applyFont="1" applyFill="1" applyBorder="1" applyAlignment="1">
      <alignment horizontal="center" vertical="center" wrapText="1"/>
    </xf>
    <xf numFmtId="0" fontId="23" fillId="12" borderId="24" xfId="2" applyNumberFormat="1" applyFont="1" applyFill="1" applyBorder="1" applyAlignment="1">
      <alignment horizontal="center" vertical="center" wrapText="1"/>
    </xf>
    <xf numFmtId="0" fontId="16" fillId="14" borderId="13" xfId="0" applyFont="1" applyFill="1" applyBorder="1" applyAlignment="1">
      <alignment horizontal="right" vertical="center" wrapText="1"/>
    </xf>
    <xf numFmtId="0" fontId="0" fillId="14" borderId="18" xfId="0" applyFill="1" applyBorder="1" applyAlignment="1">
      <alignment vertical="center"/>
    </xf>
    <xf numFmtId="3" fontId="2" fillId="2" borderId="0" xfId="1" applyNumberFormat="1" applyFont="1" applyFill="1" applyBorder="1" applyAlignment="1">
      <alignment vertical="center" wrapText="1"/>
    </xf>
    <xf numFmtId="0" fontId="2" fillId="2" borderId="12" xfId="0" applyFont="1" applyFill="1" applyBorder="1" applyAlignment="1">
      <alignment horizontal="left" vertical="center"/>
    </xf>
    <xf numFmtId="0" fontId="3" fillId="2" borderId="1" xfId="3" applyFont="1" applyFill="1" applyBorder="1" applyAlignment="1" applyProtection="1">
      <alignment horizontal="left" vertical="center" wrapText="1"/>
      <protection locked="0"/>
    </xf>
    <xf numFmtId="3" fontId="0" fillId="5" borderId="1" xfId="0" applyNumberFormat="1" applyFill="1" applyBorder="1"/>
    <xf numFmtId="3" fontId="19" fillId="15" borderId="1" xfId="3" applyNumberFormat="1" applyFont="1" applyFill="1" applyBorder="1" applyAlignment="1" applyProtection="1">
      <alignment vertical="center"/>
      <protection locked="0"/>
    </xf>
    <xf numFmtId="3" fontId="19" fillId="0" borderId="1" xfId="3" applyNumberFormat="1" applyFont="1" applyFill="1" applyBorder="1" applyAlignment="1" applyProtection="1">
      <alignment vertical="center"/>
      <protection locked="0"/>
    </xf>
    <xf numFmtId="0" fontId="17" fillId="16" borderId="0" xfId="4" applyFill="1" applyAlignment="1" applyProtection="1"/>
    <xf numFmtId="0" fontId="0" fillId="15" borderId="10" xfId="0" applyFill="1" applyBorder="1"/>
    <xf numFmtId="0" fontId="5" fillId="15" borderId="11" xfId="0" applyFont="1" applyFill="1" applyBorder="1"/>
    <xf numFmtId="3" fontId="24" fillId="13" borderId="1" xfId="3" applyNumberFormat="1" applyFont="1" applyFill="1" applyBorder="1" applyAlignment="1" applyProtection="1">
      <alignment vertical="center"/>
      <protection locked="0"/>
    </xf>
    <xf numFmtId="3" fontId="0" fillId="5" borderId="1" xfId="0" applyNumberFormat="1" applyFont="1" applyFill="1" applyBorder="1"/>
    <xf numFmtId="0" fontId="9" fillId="0" borderId="0" xfId="0" applyFont="1"/>
    <xf numFmtId="0" fontId="25" fillId="0" borderId="0" xfId="0" applyFont="1"/>
    <xf numFmtId="0" fontId="9" fillId="0" borderId="14" xfId="0" applyFont="1" applyBorder="1"/>
    <xf numFmtId="0" fontId="9" fillId="0" borderId="14" xfId="0" applyFont="1" applyBorder="1" applyAlignment="1">
      <alignment vertical="center"/>
    </xf>
    <xf numFmtId="0" fontId="9" fillId="0" borderId="19" xfId="0" applyFont="1" applyBorder="1"/>
    <xf numFmtId="0" fontId="25" fillId="0" borderId="19" xfId="0" applyNumberFormat="1" applyFont="1" applyBorder="1" applyAlignment="1">
      <alignment horizontal="center" vertical="center"/>
    </xf>
    <xf numFmtId="3" fontId="2" fillId="17" borderId="0" xfId="1" applyNumberFormat="1" applyFont="1" applyFill="1" applyBorder="1">
      <alignment vertical="center"/>
    </xf>
    <xf numFmtId="0" fontId="2" fillId="17" borderId="0" xfId="3" applyFont="1" applyFill="1" applyBorder="1" applyAlignment="1" applyProtection="1">
      <alignment vertical="center"/>
      <protection locked="0"/>
    </xf>
    <xf numFmtId="0" fontId="3" fillId="17" borderId="0" xfId="3" applyFont="1" applyFill="1" applyBorder="1" applyAlignment="1" applyProtection="1">
      <alignment horizontal="left" vertical="center" wrapText="1" indent="1"/>
      <protection locked="0"/>
    </xf>
    <xf numFmtId="0" fontId="2" fillId="17" borderId="0" xfId="3" applyFont="1" applyFill="1" applyBorder="1" applyAlignment="1" applyProtection="1">
      <alignment horizontal="left" vertical="center" wrapText="1" indent="1"/>
      <protection locked="0"/>
    </xf>
    <xf numFmtId="0" fontId="2" fillId="17" borderId="0" xfId="3" applyFont="1" applyFill="1" applyBorder="1" applyAlignment="1" applyProtection="1">
      <alignment horizontal="left" vertical="center" wrapText="1" indent="2"/>
      <protection locked="0"/>
    </xf>
    <xf numFmtId="3" fontId="19" fillId="15" borderId="1" xfId="3" applyNumberFormat="1" applyFont="1" applyFill="1" applyBorder="1" applyProtection="1">
      <alignment vertical="center"/>
      <protection locked="0"/>
    </xf>
    <xf numFmtId="3" fontId="19" fillId="0" borderId="1" xfId="3" applyNumberFormat="1" applyFont="1" applyFill="1" applyBorder="1" applyProtection="1">
      <alignment vertical="center"/>
      <protection locked="0"/>
    </xf>
  </cellXfs>
  <cellStyles count="5">
    <cellStyle name="60% - akcent 1" xfId="2" xr:uid="{00000000-0005-0000-0000-000000000000}"/>
    <cellStyle name="Hipervínculo" xfId="4" builtinId="8"/>
    <cellStyle name="Normal" xfId="0" builtinId="0"/>
    <cellStyle name="Normal 10" xfId="1" xr:uid="{00000000-0005-0000-0000-000003000000}"/>
    <cellStyle name="Normal 12" xfId="3" xr:uid="{00000000-0005-0000-0000-000004000000}"/>
  </cellStyles>
  <dxfs count="6">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s>
  <tableStyles count="0" defaultTableStyle="TableStyleMedium2" defaultPivotStyle="PivotStyleLight16"/>
  <colors>
    <mruColors>
      <color rgb="FFFF66CC"/>
      <color rgb="FFFF99FF"/>
      <color rgb="FF2F81E5"/>
      <color rgb="FFAB7811"/>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1966383</xdr:colOff>
      <xdr:row>0</xdr:row>
      <xdr:rowOff>809625</xdr:rowOff>
    </xdr:to>
    <xdr:pic>
      <xdr:nvPicPr>
        <xdr:cNvPr id="6" name="4 Imagen">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871258"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2328333</xdr:colOff>
      <xdr:row>0</xdr:row>
      <xdr:rowOff>83608</xdr:rowOff>
    </xdr:from>
    <xdr:to>
      <xdr:col>5</xdr:col>
      <xdr:colOff>5936737</xdr:colOff>
      <xdr:row>1</xdr:row>
      <xdr:rowOff>10108</xdr:rowOff>
    </xdr:to>
    <xdr:sp macro="" textlink="">
      <xdr:nvSpPr>
        <xdr:cNvPr id="7" name="6 CuadroTexto">
          <a:extLst>
            <a:ext uri="{FF2B5EF4-FFF2-40B4-BE49-F238E27FC236}">
              <a16:creationId xmlns:a16="http://schemas.microsoft.com/office/drawing/2014/main" id="{00000000-0008-0000-0000-000007000000}"/>
            </a:ext>
          </a:extLst>
        </xdr:cNvPr>
        <xdr:cNvSpPr txBox="1"/>
      </xdr:nvSpPr>
      <xdr:spPr>
        <a:xfrm>
          <a:off x="3233208" y="83608"/>
          <a:ext cx="3608404" cy="1260000"/>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s-CL" sz="1100" b="1" i="0">
              <a:solidFill>
                <a:schemeClr val="tx1"/>
              </a:solidFill>
              <a:effectLst/>
              <a:latin typeface="+mn-lt"/>
              <a:ea typeface="+mn-ea"/>
              <a:cs typeface="+mn-cs"/>
            </a:rPr>
            <a:t>IMPORTANTE</a:t>
          </a:r>
          <a:r>
            <a:rPr lang="es-CL" sz="1100" b="0" i="0">
              <a:solidFill>
                <a:schemeClr val="tx1"/>
              </a:solidFill>
              <a:effectLst/>
              <a:latin typeface="+mn-lt"/>
              <a:ea typeface="+mn-ea"/>
              <a:cs typeface="+mn-cs"/>
            </a:rPr>
            <a:t>: El presente documento esta protegido por el registro de </a:t>
          </a:r>
          <a:r>
            <a:rPr lang="es-CL" sz="1100" b="0" i="0" u="none">
              <a:solidFill>
                <a:schemeClr val="tx1"/>
              </a:solidFill>
              <a:effectLst/>
              <a:latin typeface="+mn-lt"/>
              <a:ea typeface="+mn-ea"/>
              <a:cs typeface="+mn-cs"/>
            </a:rPr>
            <a:t>propiedad</a:t>
          </a:r>
          <a:r>
            <a:rPr lang="es-CL" sz="1100" b="0" i="0" u="none" baseline="0">
              <a:solidFill>
                <a:schemeClr val="tx1"/>
              </a:solidFill>
              <a:effectLst/>
              <a:latin typeface="+mn-lt"/>
              <a:ea typeface="+mn-ea"/>
              <a:cs typeface="+mn-cs"/>
            </a:rPr>
            <a:t> </a:t>
          </a:r>
          <a:r>
            <a:rPr lang="es-CL" sz="1100" b="0" i="0" u="none">
              <a:solidFill>
                <a:schemeClr val="tx1"/>
              </a:solidFill>
              <a:effectLst/>
              <a:latin typeface="+mn-lt"/>
              <a:ea typeface="+mn-ea"/>
              <a:cs typeface="+mn-cs"/>
            </a:rPr>
            <a:t>intelectual </a:t>
          </a:r>
          <a:r>
            <a:rPr lang="es-CL" sz="1100" b="0" i="0">
              <a:solidFill>
                <a:schemeClr val="tx1"/>
              </a:solidFill>
              <a:effectLst/>
              <a:latin typeface="+mn-lt"/>
              <a:ea typeface="+mn-ea"/>
              <a:cs typeface="+mn-cs"/>
            </a:rPr>
            <a:t> No. 132.246, del Departamento de Derechos Intelectuales de Chile.  Este documento no puede ser utilizado por personas no autorizadas ni distribuido sin autorización expresa y por escrito de DBNeT S.A.</a:t>
          </a:r>
          <a:endParaRPr lang="es-CL" sz="1100">
            <a:solidFill>
              <a:schemeClr val="tx1"/>
            </a:solidFill>
          </a:endParaRPr>
        </a:p>
      </xdr:txBody>
    </xdr:sp>
    <xdr:clientData/>
  </xdr:twoCellAnchor>
  <xdr:twoCellAnchor>
    <xdr:from>
      <xdr:col>1</xdr:col>
      <xdr:colOff>122767</xdr:colOff>
      <xdr:row>0</xdr:row>
      <xdr:rowOff>1000124</xdr:rowOff>
    </xdr:from>
    <xdr:to>
      <xdr:col>5</xdr:col>
      <xdr:colOff>474633</xdr:colOff>
      <xdr:row>1</xdr:row>
      <xdr:rowOff>98624</xdr:rowOff>
    </xdr:to>
    <xdr:sp macro="[0]!Guarda_Hojas_CSV" textlink="">
      <xdr:nvSpPr>
        <xdr:cNvPr id="8" name="7 Rectángulo redondeado">
          <a:extLst>
            <a:ext uri="{FF2B5EF4-FFF2-40B4-BE49-F238E27FC236}">
              <a16:creationId xmlns:a16="http://schemas.microsoft.com/office/drawing/2014/main" id="{00000000-0008-0000-0000-000008000000}"/>
            </a:ext>
          </a:extLst>
        </xdr:cNvPr>
        <xdr:cNvSpPr/>
      </xdr:nvSpPr>
      <xdr:spPr>
        <a:xfrm>
          <a:off x="303742" y="1000124"/>
          <a:ext cx="1075766"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642408</xdr:colOff>
      <xdr:row>0</xdr:row>
      <xdr:rowOff>1000124</xdr:rowOff>
    </xdr:from>
    <xdr:to>
      <xdr:col>5</xdr:col>
      <xdr:colOff>1722408</xdr:colOff>
      <xdr:row>1</xdr:row>
      <xdr:rowOff>98624</xdr:rowOff>
    </xdr:to>
    <xdr:sp macro="[0]!Guarda_Hojas_ZIP" textlink="">
      <xdr:nvSpPr>
        <xdr:cNvPr id="9" name="8 Rectángulo redondeado">
          <a:extLst>
            <a:ext uri="{FF2B5EF4-FFF2-40B4-BE49-F238E27FC236}">
              <a16:creationId xmlns:a16="http://schemas.microsoft.com/office/drawing/2014/main" id="{00000000-0008-0000-0000-000009000000}"/>
            </a:ext>
          </a:extLst>
        </xdr:cNvPr>
        <xdr:cNvSpPr/>
      </xdr:nvSpPr>
      <xdr:spPr>
        <a:xfrm>
          <a:off x="1547283" y="1000124"/>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119062</xdr:colOff>
      <xdr:row>0</xdr:row>
      <xdr:rowOff>142875</xdr:rowOff>
    </xdr:from>
    <xdr:to>
      <xdr:col>5</xdr:col>
      <xdr:colOff>1190594</xdr:colOff>
      <xdr:row>0</xdr:row>
      <xdr:rowOff>574875</xdr:rowOff>
    </xdr:to>
    <xdr:sp macro="[0]!Guarda_Hojas_CSV" textlink="">
      <xdr:nvSpPr>
        <xdr:cNvPr id="4" name="3 Rectángulo redondeado">
          <a:extLst>
            <a:ext uri="{FF2B5EF4-FFF2-40B4-BE49-F238E27FC236}">
              <a16:creationId xmlns:a16="http://schemas.microsoft.com/office/drawing/2014/main" id="{00000000-0008-0000-0100-000004000000}"/>
            </a:ext>
          </a:extLst>
        </xdr:cNvPr>
        <xdr:cNvSpPr/>
      </xdr:nvSpPr>
      <xdr:spPr>
        <a:xfrm>
          <a:off x="1297781" y="142875"/>
          <a:ext cx="1071532"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1358369</xdr:colOff>
      <xdr:row>0</xdr:row>
      <xdr:rowOff>142875</xdr:rowOff>
    </xdr:from>
    <xdr:to>
      <xdr:col>5</xdr:col>
      <xdr:colOff>2438369</xdr:colOff>
      <xdr:row>0</xdr:row>
      <xdr:rowOff>574875</xdr:rowOff>
    </xdr:to>
    <xdr:sp macro="[0]!Guarda_Hojas_ZIP" textlink="">
      <xdr:nvSpPr>
        <xdr:cNvPr id="5" name="4 Rectángulo redondeado">
          <a:extLst>
            <a:ext uri="{FF2B5EF4-FFF2-40B4-BE49-F238E27FC236}">
              <a16:creationId xmlns:a16="http://schemas.microsoft.com/office/drawing/2014/main" id="{00000000-0008-0000-0100-000005000000}"/>
            </a:ext>
          </a:extLst>
        </xdr:cNvPr>
        <xdr:cNvSpPr/>
      </xdr:nvSpPr>
      <xdr:spPr>
        <a:xfrm>
          <a:off x="2537088" y="142875"/>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twoCellAnchor>
    <xdr:from>
      <xdr:col>7</xdr:col>
      <xdr:colOff>369794</xdr:colOff>
      <xdr:row>1</xdr:row>
      <xdr:rowOff>1109383</xdr:rowOff>
    </xdr:from>
    <xdr:to>
      <xdr:col>7</xdr:col>
      <xdr:colOff>717177</xdr:colOff>
      <xdr:row>1</xdr:row>
      <xdr:rowOff>2028265</xdr:rowOff>
    </xdr:to>
    <xdr:sp macro="" textlink="">
      <xdr:nvSpPr>
        <xdr:cNvPr id="6" name="5 Flecha abajo">
          <a:extLst>
            <a:ext uri="{FF2B5EF4-FFF2-40B4-BE49-F238E27FC236}">
              <a16:creationId xmlns:a16="http://schemas.microsoft.com/office/drawing/2014/main" id="{00000000-0008-0000-0100-000006000000}"/>
            </a:ext>
          </a:extLst>
        </xdr:cNvPr>
        <xdr:cNvSpPr/>
      </xdr:nvSpPr>
      <xdr:spPr>
        <a:xfrm>
          <a:off x="8819029" y="1871383"/>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918882</xdr:colOff>
      <xdr:row>1</xdr:row>
      <xdr:rowOff>358588</xdr:rowOff>
    </xdr:from>
    <xdr:to>
      <xdr:col>8</xdr:col>
      <xdr:colOff>280147</xdr:colOff>
      <xdr:row>1</xdr:row>
      <xdr:rowOff>1030941</xdr:rowOff>
    </xdr:to>
    <xdr:sp macro="" textlink="">
      <xdr:nvSpPr>
        <xdr:cNvPr id="7" name="6 Rectángulo redondeado">
          <a:extLst>
            <a:ext uri="{FF2B5EF4-FFF2-40B4-BE49-F238E27FC236}">
              <a16:creationId xmlns:a16="http://schemas.microsoft.com/office/drawing/2014/main" id="{00000000-0008-0000-0100-000007000000}"/>
            </a:ext>
          </a:extLst>
        </xdr:cNvPr>
        <xdr:cNvSpPr/>
      </xdr:nvSpPr>
      <xdr:spPr>
        <a:xfrm>
          <a:off x="8314764" y="1120588"/>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editAs="absolute">
    <xdr:from>
      <xdr:col>5</xdr:col>
      <xdr:colOff>4594411</xdr:colOff>
      <xdr:row>0</xdr:row>
      <xdr:rowOff>156882</xdr:rowOff>
    </xdr:from>
    <xdr:to>
      <xdr:col>6</xdr:col>
      <xdr:colOff>46614</xdr:colOff>
      <xdr:row>0</xdr:row>
      <xdr:rowOff>549788</xdr:rowOff>
    </xdr:to>
    <xdr:sp macro="[0]!Copiar_columna" textlink="">
      <xdr:nvSpPr>
        <xdr:cNvPr id="8" name="7 Rectángulo redondeado">
          <a:extLst>
            <a:ext uri="{FF2B5EF4-FFF2-40B4-BE49-F238E27FC236}">
              <a16:creationId xmlns:a16="http://schemas.microsoft.com/office/drawing/2014/main" id="{00000000-0008-0000-0100-000008000000}"/>
            </a:ext>
          </a:extLst>
        </xdr:cNvPr>
        <xdr:cNvSpPr>
          <a:spLocks/>
        </xdr:cNvSpPr>
      </xdr:nvSpPr>
      <xdr:spPr>
        <a:xfrm>
          <a:off x="5782235" y="156882"/>
          <a:ext cx="1660261"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59531</xdr:colOff>
      <xdr:row>0</xdr:row>
      <xdr:rowOff>166688</xdr:rowOff>
    </xdr:from>
    <xdr:to>
      <xdr:col>5</xdr:col>
      <xdr:colOff>1131063</xdr:colOff>
      <xdr:row>0</xdr:row>
      <xdr:rowOff>598688</xdr:rowOff>
    </xdr:to>
    <xdr:sp macro="[0]!Guarda_Hojas_CSV" textlink="">
      <xdr:nvSpPr>
        <xdr:cNvPr id="2" name="1 Rectángulo redondeado">
          <a:extLst>
            <a:ext uri="{FF2B5EF4-FFF2-40B4-BE49-F238E27FC236}">
              <a16:creationId xmlns:a16="http://schemas.microsoft.com/office/drawing/2014/main" id="{00000000-0008-0000-0200-000002000000}"/>
            </a:ext>
          </a:extLst>
        </xdr:cNvPr>
        <xdr:cNvSpPr/>
      </xdr:nvSpPr>
      <xdr:spPr>
        <a:xfrm>
          <a:off x="1238250" y="166688"/>
          <a:ext cx="1071532"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1310744</xdr:colOff>
      <xdr:row>0</xdr:row>
      <xdr:rowOff>166688</xdr:rowOff>
    </xdr:from>
    <xdr:to>
      <xdr:col>5</xdr:col>
      <xdr:colOff>2390744</xdr:colOff>
      <xdr:row>0</xdr:row>
      <xdr:rowOff>598688</xdr:rowOff>
    </xdr:to>
    <xdr:sp macro="[0]!Guarda_Hojas_ZIP" textlink="">
      <xdr:nvSpPr>
        <xdr:cNvPr id="3" name="2 Rectángulo redondeado">
          <a:extLst>
            <a:ext uri="{FF2B5EF4-FFF2-40B4-BE49-F238E27FC236}">
              <a16:creationId xmlns:a16="http://schemas.microsoft.com/office/drawing/2014/main" id="{00000000-0008-0000-0200-000003000000}"/>
            </a:ext>
          </a:extLst>
        </xdr:cNvPr>
        <xdr:cNvSpPr/>
      </xdr:nvSpPr>
      <xdr:spPr>
        <a:xfrm>
          <a:off x="2489463" y="166688"/>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twoCellAnchor>
    <xdr:from>
      <xdr:col>7</xdr:col>
      <xdr:colOff>262965</xdr:colOff>
      <xdr:row>1</xdr:row>
      <xdr:rowOff>1131795</xdr:rowOff>
    </xdr:from>
    <xdr:to>
      <xdr:col>7</xdr:col>
      <xdr:colOff>610348</xdr:colOff>
      <xdr:row>1</xdr:row>
      <xdr:rowOff>2050677</xdr:rowOff>
    </xdr:to>
    <xdr:sp macro="" textlink="">
      <xdr:nvSpPr>
        <xdr:cNvPr id="4" name="3 Flecha abajo">
          <a:extLst>
            <a:ext uri="{FF2B5EF4-FFF2-40B4-BE49-F238E27FC236}">
              <a16:creationId xmlns:a16="http://schemas.microsoft.com/office/drawing/2014/main" id="{00000000-0008-0000-0200-000004000000}"/>
            </a:ext>
          </a:extLst>
        </xdr:cNvPr>
        <xdr:cNvSpPr/>
      </xdr:nvSpPr>
      <xdr:spPr>
        <a:xfrm>
          <a:off x="8702115" y="1893795"/>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809625</xdr:colOff>
      <xdr:row>1</xdr:row>
      <xdr:rowOff>381000</xdr:rowOff>
    </xdr:from>
    <xdr:to>
      <xdr:col>8</xdr:col>
      <xdr:colOff>175746</xdr:colOff>
      <xdr:row>1</xdr:row>
      <xdr:rowOff>1053353</xdr:rowOff>
    </xdr:to>
    <xdr:sp macro="" textlink="">
      <xdr:nvSpPr>
        <xdr:cNvPr id="5" name="4 Rectángulo redondeado">
          <a:extLst>
            <a:ext uri="{FF2B5EF4-FFF2-40B4-BE49-F238E27FC236}">
              <a16:creationId xmlns:a16="http://schemas.microsoft.com/office/drawing/2014/main" id="{00000000-0008-0000-0200-000005000000}"/>
            </a:ext>
          </a:extLst>
        </xdr:cNvPr>
        <xdr:cNvSpPr/>
      </xdr:nvSpPr>
      <xdr:spPr>
        <a:xfrm>
          <a:off x="8201025" y="1143000"/>
          <a:ext cx="146162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editAs="absolute">
    <xdr:from>
      <xdr:col>5</xdr:col>
      <xdr:colOff>4562475</xdr:colOff>
      <xdr:row>0</xdr:row>
      <xdr:rowOff>152400</xdr:rowOff>
    </xdr:from>
    <xdr:to>
      <xdr:col>6</xdr:col>
      <xdr:colOff>12436</xdr:colOff>
      <xdr:row>0</xdr:row>
      <xdr:rowOff>545306</xdr:rowOff>
    </xdr:to>
    <xdr:sp macro="[0]!Copiar_columna" textlink="">
      <xdr:nvSpPr>
        <xdr:cNvPr id="6" name="5 Rectángulo redondeado">
          <a:extLst>
            <a:ext uri="{FF2B5EF4-FFF2-40B4-BE49-F238E27FC236}">
              <a16:creationId xmlns:a16="http://schemas.microsoft.com/office/drawing/2014/main" id="{00000000-0008-0000-0200-000006000000}"/>
            </a:ext>
          </a:extLst>
        </xdr:cNvPr>
        <xdr:cNvSpPr>
          <a:spLocks/>
        </xdr:cNvSpPr>
      </xdr:nvSpPr>
      <xdr:spPr>
        <a:xfrm>
          <a:off x="5743575" y="152400"/>
          <a:ext cx="1660261"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83343</xdr:colOff>
      <xdr:row>0</xdr:row>
      <xdr:rowOff>202406</xdr:rowOff>
    </xdr:from>
    <xdr:to>
      <xdr:col>5</xdr:col>
      <xdr:colOff>1154875</xdr:colOff>
      <xdr:row>0</xdr:row>
      <xdr:rowOff>634406</xdr:rowOff>
    </xdr:to>
    <xdr:sp macro="[0]!Guarda_Hojas_CSV" textlink="">
      <xdr:nvSpPr>
        <xdr:cNvPr id="2" name="1 Rectángulo redondeado">
          <a:extLst>
            <a:ext uri="{FF2B5EF4-FFF2-40B4-BE49-F238E27FC236}">
              <a16:creationId xmlns:a16="http://schemas.microsoft.com/office/drawing/2014/main" id="{00000000-0008-0000-0300-000002000000}"/>
            </a:ext>
          </a:extLst>
        </xdr:cNvPr>
        <xdr:cNvSpPr/>
      </xdr:nvSpPr>
      <xdr:spPr>
        <a:xfrm>
          <a:off x="1262062" y="202406"/>
          <a:ext cx="1071532"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1322650</xdr:colOff>
      <xdr:row>0</xdr:row>
      <xdr:rowOff>202406</xdr:rowOff>
    </xdr:from>
    <xdr:to>
      <xdr:col>5</xdr:col>
      <xdr:colOff>2402650</xdr:colOff>
      <xdr:row>0</xdr:row>
      <xdr:rowOff>634406</xdr:rowOff>
    </xdr:to>
    <xdr:sp macro="[0]!Guarda_Hojas_ZIP" textlink="">
      <xdr:nvSpPr>
        <xdr:cNvPr id="3" name="2 Rectángulo redondeado">
          <a:extLst>
            <a:ext uri="{FF2B5EF4-FFF2-40B4-BE49-F238E27FC236}">
              <a16:creationId xmlns:a16="http://schemas.microsoft.com/office/drawing/2014/main" id="{00000000-0008-0000-0300-000003000000}"/>
            </a:ext>
          </a:extLst>
        </xdr:cNvPr>
        <xdr:cNvSpPr/>
      </xdr:nvSpPr>
      <xdr:spPr>
        <a:xfrm>
          <a:off x="2501369" y="202406"/>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twoCellAnchor>
    <xdr:from>
      <xdr:col>7</xdr:col>
      <xdr:colOff>272490</xdr:colOff>
      <xdr:row>1</xdr:row>
      <xdr:rowOff>1227045</xdr:rowOff>
    </xdr:from>
    <xdr:to>
      <xdr:col>7</xdr:col>
      <xdr:colOff>619873</xdr:colOff>
      <xdr:row>1</xdr:row>
      <xdr:rowOff>2145927</xdr:rowOff>
    </xdr:to>
    <xdr:sp macro="" textlink="">
      <xdr:nvSpPr>
        <xdr:cNvPr id="4" name="3 Flecha abajo">
          <a:extLst>
            <a:ext uri="{FF2B5EF4-FFF2-40B4-BE49-F238E27FC236}">
              <a16:creationId xmlns:a16="http://schemas.microsoft.com/office/drawing/2014/main" id="{00000000-0008-0000-0300-000004000000}"/>
            </a:ext>
          </a:extLst>
        </xdr:cNvPr>
        <xdr:cNvSpPr/>
      </xdr:nvSpPr>
      <xdr:spPr>
        <a:xfrm>
          <a:off x="8711640" y="1989045"/>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819150</xdr:colOff>
      <xdr:row>1</xdr:row>
      <xdr:rowOff>476250</xdr:rowOff>
    </xdr:from>
    <xdr:to>
      <xdr:col>8</xdr:col>
      <xdr:colOff>185271</xdr:colOff>
      <xdr:row>1</xdr:row>
      <xdr:rowOff>1148603</xdr:rowOff>
    </xdr:to>
    <xdr:sp macro="" textlink="">
      <xdr:nvSpPr>
        <xdr:cNvPr id="5" name="4 Rectángulo redondeado">
          <a:extLst>
            <a:ext uri="{FF2B5EF4-FFF2-40B4-BE49-F238E27FC236}">
              <a16:creationId xmlns:a16="http://schemas.microsoft.com/office/drawing/2014/main" id="{00000000-0008-0000-0300-000005000000}"/>
            </a:ext>
          </a:extLst>
        </xdr:cNvPr>
        <xdr:cNvSpPr/>
      </xdr:nvSpPr>
      <xdr:spPr>
        <a:xfrm>
          <a:off x="8210550" y="1238250"/>
          <a:ext cx="146162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editAs="absolute">
    <xdr:from>
      <xdr:col>5</xdr:col>
      <xdr:colOff>4543425</xdr:colOff>
      <xdr:row>0</xdr:row>
      <xdr:rowOff>142875</xdr:rowOff>
    </xdr:from>
    <xdr:to>
      <xdr:col>5</xdr:col>
      <xdr:colOff>6203686</xdr:colOff>
      <xdr:row>0</xdr:row>
      <xdr:rowOff>535781</xdr:rowOff>
    </xdr:to>
    <xdr:sp macro="[0]!Copiar_columna" textlink="">
      <xdr:nvSpPr>
        <xdr:cNvPr id="6" name="5 Rectángulo redondeado">
          <a:extLst>
            <a:ext uri="{FF2B5EF4-FFF2-40B4-BE49-F238E27FC236}">
              <a16:creationId xmlns:a16="http://schemas.microsoft.com/office/drawing/2014/main" id="{00000000-0008-0000-0300-000006000000}"/>
            </a:ext>
          </a:extLst>
        </xdr:cNvPr>
        <xdr:cNvSpPr>
          <a:spLocks/>
        </xdr:cNvSpPr>
      </xdr:nvSpPr>
      <xdr:spPr>
        <a:xfrm>
          <a:off x="5724525" y="142875"/>
          <a:ext cx="1660261"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400-000002000000}"/>
            </a:ext>
          </a:extLst>
        </xdr:cNvPr>
        <xdr:cNvSpPr/>
      </xdr:nvSpPr>
      <xdr:spPr>
        <a:xfrm>
          <a:off x="400050" y="142876"/>
          <a:ext cx="1385093"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400-000004000000}"/>
            </a:ext>
          </a:extLst>
        </xdr:cNvPr>
        <xdr:cNvSpPr/>
      </xdr:nvSpPr>
      <xdr:spPr>
        <a:xfrm>
          <a:off x="195024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7</xdr:col>
      <xdr:colOff>187325</xdr:colOff>
      <xdr:row>1</xdr:row>
      <xdr:rowOff>1344706</xdr:rowOff>
    </xdr:from>
    <xdr:to>
      <xdr:col>7</xdr:col>
      <xdr:colOff>534708</xdr:colOff>
      <xdr:row>2</xdr:row>
      <xdr:rowOff>11206</xdr:rowOff>
    </xdr:to>
    <xdr:sp macro="" textlink="">
      <xdr:nvSpPr>
        <xdr:cNvPr id="5" name="4 Flecha abajo">
          <a:extLst>
            <a:ext uri="{FF2B5EF4-FFF2-40B4-BE49-F238E27FC236}">
              <a16:creationId xmlns:a16="http://schemas.microsoft.com/office/drawing/2014/main" id="{00000000-0008-0000-0400-000005000000}"/>
            </a:ext>
          </a:extLst>
        </xdr:cNvPr>
        <xdr:cNvSpPr/>
      </xdr:nvSpPr>
      <xdr:spPr>
        <a:xfrm>
          <a:off x="8199531" y="2039471"/>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526676</xdr:colOff>
      <xdr:row>1</xdr:row>
      <xdr:rowOff>593911</xdr:rowOff>
    </xdr:from>
    <xdr:to>
      <xdr:col>8</xdr:col>
      <xdr:colOff>307415</xdr:colOff>
      <xdr:row>1</xdr:row>
      <xdr:rowOff>1266264</xdr:rowOff>
    </xdr:to>
    <xdr:sp macro="" textlink="">
      <xdr:nvSpPr>
        <xdr:cNvPr id="6" name="5 Rectángulo redondeado">
          <a:extLst>
            <a:ext uri="{FF2B5EF4-FFF2-40B4-BE49-F238E27FC236}">
              <a16:creationId xmlns:a16="http://schemas.microsoft.com/office/drawing/2014/main" id="{00000000-0008-0000-0400-000006000000}"/>
            </a:ext>
          </a:extLst>
        </xdr:cNvPr>
        <xdr:cNvSpPr/>
      </xdr:nvSpPr>
      <xdr:spPr>
        <a:xfrm>
          <a:off x="7698441" y="1288676"/>
          <a:ext cx="146162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editAs="absolute">
    <xdr:from>
      <xdr:col>5</xdr:col>
      <xdr:colOff>4392706</xdr:colOff>
      <xdr:row>0</xdr:row>
      <xdr:rowOff>123264</xdr:rowOff>
    </xdr:from>
    <xdr:to>
      <xdr:col>6</xdr:col>
      <xdr:colOff>1790</xdr:colOff>
      <xdr:row>0</xdr:row>
      <xdr:rowOff>516170</xdr:rowOff>
    </xdr:to>
    <xdr:sp macro="[0]!Copiar_columna" textlink="">
      <xdr:nvSpPr>
        <xdr:cNvPr id="7" name="6 Rectángulo redondeado">
          <a:extLst>
            <a:ext uri="{FF2B5EF4-FFF2-40B4-BE49-F238E27FC236}">
              <a16:creationId xmlns:a16="http://schemas.microsoft.com/office/drawing/2014/main" id="{00000000-0008-0000-0400-000007000000}"/>
            </a:ext>
          </a:extLst>
        </xdr:cNvPr>
        <xdr:cNvSpPr>
          <a:spLocks/>
        </xdr:cNvSpPr>
      </xdr:nvSpPr>
      <xdr:spPr>
        <a:xfrm>
          <a:off x="5513294" y="123264"/>
          <a:ext cx="1660261"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300"/>
  <sheetViews>
    <sheetView topLeftCell="A280" zoomScale="80" zoomScaleNormal="80" workbookViewId="0">
      <selection activeCell="F301" sqref="F301"/>
    </sheetView>
  </sheetViews>
  <sheetFormatPr baseColWidth="10" defaultRowHeight="15"/>
  <cols>
    <col min="1" max="5" width="2.7109375" customWidth="1"/>
    <col min="6" max="6" width="102.7109375" customWidth="1"/>
    <col min="7" max="7" width="2.7109375" customWidth="1"/>
    <col min="8" max="11" width="16.7109375" customWidth="1"/>
  </cols>
  <sheetData>
    <row r="1" spans="1:12" ht="105" customHeight="1">
      <c r="A1" t="s">
        <v>0</v>
      </c>
    </row>
    <row r="2" spans="1:12">
      <c r="G2" s="105" t="s">
        <v>0</v>
      </c>
      <c r="H2" s="106" t="s">
        <v>313</v>
      </c>
    </row>
    <row r="3" spans="1:12">
      <c r="B3" s="31"/>
      <c r="C3" s="32"/>
      <c r="D3" s="32"/>
      <c r="E3" s="32"/>
      <c r="F3" s="32"/>
      <c r="G3" s="32"/>
      <c r="H3" s="32"/>
      <c r="I3" s="32"/>
      <c r="J3" s="32"/>
      <c r="K3" s="32"/>
      <c r="L3" s="33"/>
    </row>
    <row r="4" spans="1:12">
      <c r="B4" s="34"/>
      <c r="C4" s="35"/>
      <c r="D4" s="35" t="s">
        <v>0</v>
      </c>
      <c r="E4" s="35" t="s">
        <v>0</v>
      </c>
      <c r="F4" s="19" t="s">
        <v>22</v>
      </c>
      <c r="G4" s="35"/>
      <c r="H4" s="35"/>
      <c r="I4" s="35"/>
      <c r="J4" s="35"/>
      <c r="K4" s="35"/>
      <c r="L4" s="36"/>
    </row>
    <row r="5" spans="1:12">
      <c r="B5" s="34" t="s">
        <v>314</v>
      </c>
      <c r="C5" s="51" t="s">
        <v>82</v>
      </c>
      <c r="D5" s="35" t="s">
        <v>0</v>
      </c>
      <c r="E5" s="35" t="s">
        <v>0</v>
      </c>
      <c r="F5" s="72" t="s">
        <v>371</v>
      </c>
      <c r="G5" s="35"/>
      <c r="H5" s="35"/>
      <c r="I5" s="35"/>
      <c r="J5" s="35"/>
      <c r="K5" s="35"/>
      <c r="L5" s="36"/>
    </row>
    <row r="6" spans="1:12">
      <c r="B6" s="34" t="s">
        <v>0</v>
      </c>
      <c r="C6" s="35" t="s">
        <v>0</v>
      </c>
      <c r="D6" s="35" t="s">
        <v>0</v>
      </c>
      <c r="E6" s="35" t="s">
        <v>0</v>
      </c>
      <c r="F6" s="2"/>
      <c r="G6" s="35"/>
      <c r="H6" s="35"/>
      <c r="I6" s="35"/>
      <c r="J6" s="35"/>
      <c r="K6" s="35"/>
      <c r="L6" s="36"/>
    </row>
    <row r="7" spans="1:12" ht="23.25" customHeight="1">
      <c r="B7" s="34"/>
      <c r="C7" s="35"/>
      <c r="D7" s="35" t="s">
        <v>0</v>
      </c>
      <c r="E7" s="35" t="s">
        <v>0</v>
      </c>
      <c r="F7" s="19" t="s">
        <v>23</v>
      </c>
      <c r="G7" s="35"/>
      <c r="H7" s="35"/>
      <c r="I7" s="35"/>
      <c r="J7" s="35"/>
      <c r="K7" s="35"/>
      <c r="L7" s="36"/>
    </row>
    <row r="8" spans="1:12" ht="17.25" customHeight="1">
      <c r="B8" s="34" t="s">
        <v>314</v>
      </c>
      <c r="C8" s="51" t="s">
        <v>83</v>
      </c>
      <c r="D8" s="35" t="s">
        <v>0</v>
      </c>
      <c r="E8" s="35" t="s">
        <v>0</v>
      </c>
      <c r="F8" s="72" t="s">
        <v>372</v>
      </c>
      <c r="G8" s="35"/>
      <c r="H8" s="35"/>
      <c r="I8" s="35"/>
      <c r="J8" s="35"/>
      <c r="K8" s="3"/>
      <c r="L8" s="36"/>
    </row>
    <row r="9" spans="1:12">
      <c r="B9" s="34" t="s">
        <v>0</v>
      </c>
      <c r="C9" s="35" t="s">
        <v>0</v>
      </c>
      <c r="D9" s="35" t="s">
        <v>0</v>
      </c>
      <c r="E9" s="35" t="s">
        <v>0</v>
      </c>
      <c r="F9" s="1" t="s">
        <v>0</v>
      </c>
      <c r="G9" s="3"/>
      <c r="H9" s="35"/>
      <c r="I9" s="35"/>
      <c r="J9" s="35"/>
      <c r="K9" s="3"/>
      <c r="L9" s="36"/>
    </row>
    <row r="10" spans="1:12" ht="17.25" customHeight="1">
      <c r="B10" s="34"/>
      <c r="C10" s="35"/>
      <c r="D10" s="35"/>
      <c r="E10" s="35"/>
      <c r="F10" s="40" t="s">
        <v>24</v>
      </c>
      <c r="G10" s="35"/>
      <c r="H10" s="35"/>
      <c r="I10" s="35"/>
      <c r="J10" s="35"/>
      <c r="K10" s="3"/>
      <c r="L10" s="36"/>
    </row>
    <row r="11" spans="1:12" ht="17.25" customHeight="1">
      <c r="B11" s="34"/>
      <c r="C11" s="35"/>
      <c r="D11" s="35"/>
      <c r="E11" s="35"/>
      <c r="F11" s="35"/>
      <c r="G11" s="35"/>
      <c r="H11" s="35"/>
      <c r="I11" s="35"/>
      <c r="J11" s="35"/>
      <c r="K11" s="3"/>
      <c r="L11" s="36"/>
    </row>
    <row r="12" spans="1:12" ht="17.25" customHeight="1">
      <c r="B12" s="34"/>
      <c r="C12" s="35"/>
      <c r="D12" s="35" t="s">
        <v>0</v>
      </c>
      <c r="E12" s="35" t="s">
        <v>0</v>
      </c>
      <c r="F12" s="35" t="s">
        <v>138</v>
      </c>
      <c r="G12" s="35"/>
      <c r="H12" s="35"/>
      <c r="I12" s="35"/>
      <c r="J12" s="35"/>
      <c r="K12" s="3"/>
      <c r="L12" s="36"/>
    </row>
    <row r="13" spans="1:12" ht="17.25" customHeight="1">
      <c r="B13" s="34" t="s">
        <v>314</v>
      </c>
      <c r="C13" s="35" t="s">
        <v>139</v>
      </c>
      <c r="D13" s="35" t="s">
        <v>0</v>
      </c>
      <c r="E13" s="35" t="s">
        <v>0</v>
      </c>
      <c r="F13" s="72" t="s">
        <v>373</v>
      </c>
      <c r="G13" s="35"/>
      <c r="H13" s="35"/>
      <c r="I13" s="35"/>
      <c r="J13" s="35"/>
      <c r="K13" s="3"/>
      <c r="L13" s="36"/>
    </row>
    <row r="14" spans="1:12" ht="17.25" customHeight="1">
      <c r="B14" s="34"/>
      <c r="C14" s="35"/>
      <c r="D14" s="35"/>
      <c r="E14" s="35"/>
      <c r="F14" s="35"/>
      <c r="G14" s="35"/>
      <c r="H14" s="35"/>
      <c r="I14" s="35"/>
      <c r="J14" s="35"/>
      <c r="K14" s="3"/>
      <c r="L14" s="36"/>
    </row>
    <row r="15" spans="1:12" ht="22.5">
      <c r="B15" s="34" t="s">
        <v>314</v>
      </c>
      <c r="C15" s="35" t="s">
        <v>140</v>
      </c>
      <c r="D15" s="35" t="s">
        <v>0</v>
      </c>
      <c r="E15" s="35" t="s">
        <v>0</v>
      </c>
      <c r="F15" s="98" t="s">
        <v>141</v>
      </c>
      <c r="G15" s="35"/>
      <c r="H15" s="81">
        <v>1000</v>
      </c>
      <c r="I15" s="81">
        <v>2000</v>
      </c>
      <c r="J15" s="35"/>
      <c r="K15" s="3"/>
      <c r="L15" s="36"/>
    </row>
    <row r="16" spans="1:12" ht="17.25" customHeight="1">
      <c r="B16" s="34" t="s">
        <v>0</v>
      </c>
      <c r="C16" s="35" t="s">
        <v>0</v>
      </c>
      <c r="D16" s="35" t="s">
        <v>0</v>
      </c>
      <c r="E16" s="35" t="s">
        <v>0</v>
      </c>
      <c r="F16" s="35"/>
      <c r="G16" s="35"/>
      <c r="H16" s="35"/>
      <c r="I16" s="35"/>
      <c r="J16" s="35"/>
      <c r="K16" s="3"/>
      <c r="L16" s="36"/>
    </row>
    <row r="17" spans="2:12" ht="17.25" customHeight="1">
      <c r="B17" s="34"/>
      <c r="C17" s="35"/>
      <c r="D17" s="35" t="s">
        <v>0</v>
      </c>
      <c r="E17" s="35" t="s">
        <v>0</v>
      </c>
      <c r="F17" s="35" t="s">
        <v>142</v>
      </c>
      <c r="G17" s="35"/>
      <c r="H17" s="35"/>
      <c r="I17" s="35"/>
      <c r="J17" s="35"/>
      <c r="K17" s="3"/>
      <c r="L17" s="36"/>
    </row>
    <row r="18" spans="2:12" ht="17.25" customHeight="1">
      <c r="B18" s="34" t="s">
        <v>314</v>
      </c>
      <c r="C18" s="35" t="s">
        <v>143</v>
      </c>
      <c r="D18" s="35" t="s">
        <v>0</v>
      </c>
      <c r="E18" s="35" t="s">
        <v>0</v>
      </c>
      <c r="F18" s="72" t="s">
        <v>374</v>
      </c>
      <c r="G18" s="35"/>
      <c r="H18" s="35"/>
      <c r="I18" s="35"/>
      <c r="J18" s="35"/>
      <c r="K18" s="3"/>
      <c r="L18" s="36"/>
    </row>
    <row r="19" spans="2:12" ht="17.25" customHeight="1">
      <c r="B19" s="34"/>
      <c r="C19" s="35"/>
      <c r="D19" s="35"/>
      <c r="E19" s="35"/>
      <c r="F19" s="35"/>
      <c r="G19" s="35"/>
      <c r="H19" s="35"/>
      <c r="I19" s="35"/>
      <c r="J19" s="35"/>
      <c r="K19" s="3"/>
      <c r="L19" s="36"/>
    </row>
    <row r="20" spans="2:12" ht="22.5">
      <c r="B20" s="34" t="s">
        <v>314</v>
      </c>
      <c r="C20" s="35" t="s">
        <v>144</v>
      </c>
      <c r="D20" s="35" t="s">
        <v>0</v>
      </c>
      <c r="E20" s="35" t="s">
        <v>0</v>
      </c>
      <c r="F20" s="98" t="s">
        <v>145</v>
      </c>
      <c r="G20" s="35"/>
      <c r="H20" s="81"/>
      <c r="I20" s="81"/>
      <c r="J20" s="35"/>
      <c r="K20" s="3"/>
      <c r="L20" s="36"/>
    </row>
    <row r="21" spans="2:12" ht="17.25" customHeight="1">
      <c r="B21" s="34" t="s">
        <v>0</v>
      </c>
      <c r="C21" s="35" t="s">
        <v>0</v>
      </c>
      <c r="D21" s="35" t="s">
        <v>0</v>
      </c>
      <c r="E21" s="35" t="s">
        <v>0</v>
      </c>
      <c r="F21" s="35"/>
      <c r="G21" s="35"/>
      <c r="H21" s="35"/>
      <c r="I21" s="35"/>
      <c r="J21" s="35"/>
      <c r="K21" s="3"/>
      <c r="L21" s="36"/>
    </row>
    <row r="22" spans="2:12" ht="17.25" customHeight="1">
      <c r="B22" s="34"/>
      <c r="C22" s="35"/>
      <c r="D22" s="35" t="s">
        <v>0</v>
      </c>
      <c r="E22" s="35" t="s">
        <v>0</v>
      </c>
      <c r="F22" s="35" t="s">
        <v>146</v>
      </c>
      <c r="G22" s="35"/>
      <c r="H22" s="35"/>
      <c r="I22" s="35"/>
      <c r="J22" s="35"/>
      <c r="K22" s="3"/>
      <c r="L22" s="36"/>
    </row>
    <row r="23" spans="2:12" ht="17.25" customHeight="1">
      <c r="B23" s="34" t="s">
        <v>314</v>
      </c>
      <c r="C23" s="35" t="s">
        <v>147</v>
      </c>
      <c r="D23" s="35" t="s">
        <v>0</v>
      </c>
      <c r="E23" s="35" t="s">
        <v>0</v>
      </c>
      <c r="F23" s="72" t="s">
        <v>375</v>
      </c>
      <c r="G23" s="35"/>
      <c r="H23" s="35"/>
      <c r="I23" s="35"/>
      <c r="J23" s="35"/>
      <c r="K23" s="3"/>
      <c r="L23" s="36"/>
    </row>
    <row r="24" spans="2:12" ht="17.25" customHeight="1">
      <c r="B24" s="34" t="s">
        <v>0</v>
      </c>
      <c r="C24" s="35" t="s">
        <v>0</v>
      </c>
      <c r="D24" s="35" t="s">
        <v>0</v>
      </c>
      <c r="E24" s="35" t="s">
        <v>0</v>
      </c>
      <c r="F24" s="35"/>
      <c r="G24" s="35"/>
      <c r="H24" s="35"/>
      <c r="I24" s="35"/>
      <c r="J24" s="35"/>
      <c r="K24" s="3"/>
      <c r="L24" s="36"/>
    </row>
    <row r="25" spans="2:12" ht="17.25" customHeight="1">
      <c r="B25" s="34"/>
      <c r="C25" s="35"/>
      <c r="D25" s="35" t="s">
        <v>0</v>
      </c>
      <c r="E25" s="35" t="s">
        <v>0</v>
      </c>
      <c r="F25" s="35" t="s">
        <v>148</v>
      </c>
      <c r="G25" s="35"/>
      <c r="H25" s="35"/>
      <c r="I25" s="35"/>
      <c r="J25" s="35"/>
      <c r="K25" s="3"/>
      <c r="L25" s="36"/>
    </row>
    <row r="26" spans="2:12" ht="17.25" customHeight="1">
      <c r="B26" s="34" t="s">
        <v>314</v>
      </c>
      <c r="C26" s="35" t="s">
        <v>149</v>
      </c>
      <c r="D26" s="35" t="s">
        <v>0</v>
      </c>
      <c r="E26" s="35" t="s">
        <v>0</v>
      </c>
      <c r="F26" s="72" t="s">
        <v>376</v>
      </c>
      <c r="G26" s="35"/>
      <c r="H26" s="35"/>
      <c r="I26" s="35"/>
      <c r="J26" s="35"/>
      <c r="K26" s="3"/>
      <c r="L26" s="36"/>
    </row>
    <row r="27" spans="2:12" ht="17.25" customHeight="1">
      <c r="B27" s="34" t="s">
        <v>0</v>
      </c>
      <c r="C27" s="35" t="s">
        <v>0</v>
      </c>
      <c r="D27" s="35" t="s">
        <v>0</v>
      </c>
      <c r="E27" s="35" t="s">
        <v>0</v>
      </c>
      <c r="F27" s="35"/>
      <c r="G27" s="35"/>
      <c r="H27" s="35"/>
      <c r="I27" s="35"/>
      <c r="J27" s="35"/>
      <c r="K27" s="3"/>
      <c r="L27" s="36"/>
    </row>
    <row r="28" spans="2:12" ht="17.25" customHeight="1">
      <c r="B28" s="34"/>
      <c r="C28" s="35"/>
      <c r="D28" s="35" t="s">
        <v>0</v>
      </c>
      <c r="E28" s="35" t="s">
        <v>0</v>
      </c>
      <c r="F28" s="35" t="s">
        <v>150</v>
      </c>
      <c r="G28" s="35"/>
      <c r="H28" s="35"/>
      <c r="I28" s="35"/>
      <c r="J28" s="35"/>
      <c r="K28" s="3"/>
      <c r="L28" s="36"/>
    </row>
    <row r="29" spans="2:12" ht="17.25" customHeight="1">
      <c r="B29" s="34" t="s">
        <v>314</v>
      </c>
      <c r="C29" s="35" t="s">
        <v>151</v>
      </c>
      <c r="D29" s="35" t="s">
        <v>0</v>
      </c>
      <c r="E29" s="35" t="s">
        <v>0</v>
      </c>
      <c r="F29" s="72" t="s">
        <v>377</v>
      </c>
      <c r="G29" s="35"/>
      <c r="H29" s="35"/>
      <c r="I29" s="35"/>
      <c r="J29" s="35"/>
      <c r="K29" s="3"/>
      <c r="L29" s="36"/>
    </row>
    <row r="30" spans="2:12" ht="17.25" customHeight="1">
      <c r="B30" s="34" t="s">
        <v>0</v>
      </c>
      <c r="C30" s="35" t="s">
        <v>0</v>
      </c>
      <c r="D30" s="35" t="s">
        <v>0</v>
      </c>
      <c r="E30" s="35" t="s">
        <v>0</v>
      </c>
      <c r="F30" s="35"/>
      <c r="G30" s="35"/>
      <c r="H30" s="35"/>
      <c r="I30" s="35"/>
      <c r="J30" s="35"/>
      <c r="K30" s="3"/>
      <c r="L30" s="36"/>
    </row>
    <row r="31" spans="2:12" ht="17.25" customHeight="1">
      <c r="B31" s="34"/>
      <c r="C31" s="35"/>
      <c r="D31" s="35" t="s">
        <v>0</v>
      </c>
      <c r="E31" s="35" t="s">
        <v>0</v>
      </c>
      <c r="F31" s="35" t="s">
        <v>152</v>
      </c>
      <c r="G31" s="35"/>
      <c r="H31" s="35"/>
      <c r="I31" s="35"/>
      <c r="J31" s="35"/>
      <c r="K31" s="3"/>
      <c r="L31" s="36"/>
    </row>
    <row r="32" spans="2:12" ht="17.25" customHeight="1">
      <c r="B32" s="34" t="s">
        <v>314</v>
      </c>
      <c r="C32" s="35" t="s">
        <v>153</v>
      </c>
      <c r="D32" s="35" t="s">
        <v>0</v>
      </c>
      <c r="E32" s="35" t="s">
        <v>0</v>
      </c>
      <c r="F32" s="72" t="s">
        <v>378</v>
      </c>
      <c r="G32" s="35"/>
      <c r="H32" s="35"/>
      <c r="I32" s="35"/>
      <c r="J32" s="35"/>
      <c r="K32" s="3"/>
      <c r="L32" s="36"/>
    </row>
    <row r="33" spans="2:12" ht="17.25" customHeight="1">
      <c r="B33" s="34" t="s">
        <v>0</v>
      </c>
      <c r="C33" s="35" t="s">
        <v>0</v>
      </c>
      <c r="D33" s="35" t="s">
        <v>0</v>
      </c>
      <c r="E33" s="35" t="s">
        <v>0</v>
      </c>
      <c r="F33" s="35"/>
      <c r="G33" s="35"/>
      <c r="H33" s="35"/>
      <c r="I33" s="35"/>
      <c r="J33" s="35"/>
      <c r="K33" s="3"/>
      <c r="L33" s="36"/>
    </row>
    <row r="34" spans="2:12" ht="17.25" customHeight="1">
      <c r="B34" s="34"/>
      <c r="C34" s="35"/>
      <c r="D34" s="35" t="s">
        <v>0</v>
      </c>
      <c r="E34" s="35" t="s">
        <v>0</v>
      </c>
      <c r="F34" s="35" t="s">
        <v>154</v>
      </c>
      <c r="G34" s="35"/>
      <c r="H34" s="35"/>
      <c r="I34" s="35"/>
      <c r="J34" s="35"/>
      <c r="K34" s="3"/>
      <c r="L34" s="36"/>
    </row>
    <row r="35" spans="2:12" ht="17.25" customHeight="1">
      <c r="B35" s="34" t="s">
        <v>314</v>
      </c>
      <c r="C35" s="35" t="s">
        <v>155</v>
      </c>
      <c r="D35" s="35" t="s">
        <v>0</v>
      </c>
      <c r="E35" s="35" t="s">
        <v>0</v>
      </c>
      <c r="F35" s="72" t="s">
        <v>379</v>
      </c>
      <c r="G35" s="35"/>
      <c r="H35" s="35"/>
      <c r="I35" s="35"/>
      <c r="J35" s="35"/>
      <c r="K35" s="3"/>
      <c r="L35" s="36"/>
    </row>
    <row r="36" spans="2:12" ht="17.25" customHeight="1">
      <c r="B36" s="34" t="s">
        <v>0</v>
      </c>
      <c r="C36" s="35" t="s">
        <v>0</v>
      </c>
      <c r="D36" s="35" t="s">
        <v>0</v>
      </c>
      <c r="E36" s="35" t="s">
        <v>0</v>
      </c>
      <c r="F36" s="35"/>
      <c r="G36" s="35"/>
      <c r="H36" s="35"/>
      <c r="I36" s="35"/>
      <c r="J36" s="35"/>
      <c r="K36" s="3"/>
      <c r="L36" s="36"/>
    </row>
    <row r="37" spans="2:12" ht="17.25" customHeight="1">
      <c r="B37" s="34"/>
      <c r="C37" s="35"/>
      <c r="D37" s="35" t="s">
        <v>0</v>
      </c>
      <c r="E37" s="35" t="s">
        <v>0</v>
      </c>
      <c r="F37" s="35" t="s">
        <v>156</v>
      </c>
      <c r="G37" s="35"/>
      <c r="H37" s="35"/>
      <c r="I37" s="35"/>
      <c r="J37" s="35"/>
      <c r="K37" s="3"/>
      <c r="L37" s="36"/>
    </row>
    <row r="38" spans="2:12" ht="17.25" customHeight="1">
      <c r="B38" s="34" t="s">
        <v>314</v>
      </c>
      <c r="C38" s="35" t="s">
        <v>157</v>
      </c>
      <c r="D38" s="35" t="s">
        <v>0</v>
      </c>
      <c r="E38" s="35" t="s">
        <v>0</v>
      </c>
      <c r="F38" s="72" t="s">
        <v>380</v>
      </c>
      <c r="G38" s="35"/>
      <c r="H38" s="35"/>
      <c r="I38" s="35"/>
      <c r="J38" s="35"/>
      <c r="K38" s="3"/>
      <c r="L38" s="36"/>
    </row>
    <row r="39" spans="2:12" ht="17.25" customHeight="1">
      <c r="B39" s="34" t="s">
        <v>0</v>
      </c>
      <c r="C39" s="35" t="s">
        <v>0</v>
      </c>
      <c r="D39" s="35" t="s">
        <v>0</v>
      </c>
      <c r="E39" s="35" t="s">
        <v>0</v>
      </c>
      <c r="F39" s="35"/>
      <c r="G39" s="35"/>
      <c r="H39" s="35"/>
      <c r="I39" s="35"/>
      <c r="J39" s="35"/>
      <c r="K39" s="3"/>
      <c r="L39" s="36"/>
    </row>
    <row r="40" spans="2:12" ht="17.25" customHeight="1">
      <c r="B40" s="34"/>
      <c r="C40" s="35"/>
      <c r="D40" s="35" t="s">
        <v>0</v>
      </c>
      <c r="E40" s="35" t="s">
        <v>0</v>
      </c>
      <c r="F40" s="35" t="s">
        <v>158</v>
      </c>
      <c r="G40" s="35"/>
      <c r="H40" s="35"/>
      <c r="I40" s="35"/>
      <c r="J40" s="35"/>
      <c r="K40" s="3"/>
      <c r="L40" s="36"/>
    </row>
    <row r="41" spans="2:12" ht="17.25" customHeight="1">
      <c r="B41" s="34" t="s">
        <v>314</v>
      </c>
      <c r="C41" s="35" t="s">
        <v>159</v>
      </c>
      <c r="D41" s="35" t="s">
        <v>0</v>
      </c>
      <c r="E41" s="35" t="s">
        <v>0</v>
      </c>
      <c r="F41" s="72" t="s">
        <v>381</v>
      </c>
      <c r="G41" s="35"/>
      <c r="H41" s="35"/>
      <c r="I41" s="35"/>
      <c r="J41" s="35"/>
      <c r="K41" s="3"/>
      <c r="L41" s="36"/>
    </row>
    <row r="42" spans="2:12" ht="17.25" customHeight="1">
      <c r="B42" s="34" t="s">
        <v>0</v>
      </c>
      <c r="C42" s="35" t="s">
        <v>0</v>
      </c>
      <c r="D42" s="35" t="s">
        <v>0</v>
      </c>
      <c r="E42" s="35" t="s">
        <v>0</v>
      </c>
      <c r="F42" s="35"/>
      <c r="G42" s="35"/>
      <c r="H42" s="35"/>
      <c r="I42" s="35"/>
      <c r="J42" s="35"/>
      <c r="K42" s="3"/>
      <c r="L42" s="36"/>
    </row>
    <row r="43" spans="2:12" ht="17.25" customHeight="1">
      <c r="B43" s="34"/>
      <c r="C43" s="35"/>
      <c r="D43" s="35" t="s">
        <v>0</v>
      </c>
      <c r="E43" s="35" t="s">
        <v>0</v>
      </c>
      <c r="F43" s="35" t="s">
        <v>160</v>
      </c>
      <c r="G43" s="35"/>
      <c r="H43" s="35"/>
      <c r="I43" s="35"/>
      <c r="J43" s="35"/>
      <c r="K43" s="3"/>
      <c r="L43" s="36"/>
    </row>
    <row r="44" spans="2:12" ht="17.25" customHeight="1">
      <c r="B44" s="34" t="s">
        <v>314</v>
      </c>
      <c r="C44" s="35" t="s">
        <v>161</v>
      </c>
      <c r="D44" s="35" t="s">
        <v>0</v>
      </c>
      <c r="E44" s="35" t="s">
        <v>0</v>
      </c>
      <c r="F44" s="72" t="s">
        <v>382</v>
      </c>
      <c r="G44" s="35"/>
      <c r="H44" s="35"/>
      <c r="I44" s="35"/>
      <c r="J44" s="35"/>
      <c r="K44" s="3"/>
      <c r="L44" s="36"/>
    </row>
    <row r="45" spans="2:12" ht="17.25" customHeight="1">
      <c r="B45" s="34" t="s">
        <v>0</v>
      </c>
      <c r="C45" s="35" t="s">
        <v>0</v>
      </c>
      <c r="D45" s="35" t="s">
        <v>0</v>
      </c>
      <c r="E45" s="35" t="s">
        <v>0</v>
      </c>
      <c r="F45" s="35"/>
      <c r="G45" s="35"/>
      <c r="H45" s="35"/>
      <c r="I45" s="35"/>
      <c r="J45" s="35"/>
      <c r="K45" s="3"/>
      <c r="L45" s="36"/>
    </row>
    <row r="46" spans="2:12" ht="17.25" customHeight="1">
      <c r="B46" s="34"/>
      <c r="C46" s="35"/>
      <c r="D46" s="35" t="s">
        <v>0</v>
      </c>
      <c r="E46" s="35" t="s">
        <v>0</v>
      </c>
      <c r="F46" s="35" t="s">
        <v>162</v>
      </c>
      <c r="G46" s="35"/>
      <c r="H46" s="35"/>
      <c r="I46" s="35"/>
      <c r="J46" s="35"/>
      <c r="K46" s="3"/>
      <c r="L46" s="36"/>
    </row>
    <row r="47" spans="2:12" ht="17.25" customHeight="1">
      <c r="B47" s="34" t="s">
        <v>314</v>
      </c>
      <c r="C47" s="35" t="s">
        <v>163</v>
      </c>
      <c r="D47" s="35" t="s">
        <v>0</v>
      </c>
      <c r="E47" s="35" t="s">
        <v>0</v>
      </c>
      <c r="F47" s="72" t="s">
        <v>383</v>
      </c>
      <c r="G47" s="35"/>
      <c r="H47" s="35"/>
      <c r="I47" s="35"/>
      <c r="J47" s="35"/>
      <c r="K47" s="3"/>
      <c r="L47" s="36"/>
    </row>
    <row r="48" spans="2:12" ht="17.25" customHeight="1">
      <c r="B48" s="34" t="s">
        <v>0</v>
      </c>
      <c r="C48" s="35" t="s">
        <v>0</v>
      </c>
      <c r="D48" s="35" t="s">
        <v>0</v>
      </c>
      <c r="E48" s="35" t="s">
        <v>0</v>
      </c>
      <c r="F48" s="35"/>
      <c r="G48" s="35"/>
      <c r="H48" s="35"/>
      <c r="I48" s="35"/>
      <c r="J48" s="35"/>
      <c r="K48" s="3"/>
      <c r="L48" s="36"/>
    </row>
    <row r="49" spans="2:12" ht="17.25" customHeight="1">
      <c r="B49" s="34"/>
      <c r="C49" s="35"/>
      <c r="D49" s="35" t="s">
        <v>0</v>
      </c>
      <c r="E49" s="35" t="s">
        <v>0</v>
      </c>
      <c r="F49" s="35" t="s">
        <v>164</v>
      </c>
      <c r="G49" s="35"/>
      <c r="H49" s="35"/>
      <c r="I49" s="35"/>
      <c r="J49" s="35"/>
      <c r="K49" s="3"/>
      <c r="L49" s="36"/>
    </row>
    <row r="50" spans="2:12" ht="17.25" customHeight="1">
      <c r="B50" s="34" t="s">
        <v>314</v>
      </c>
      <c r="C50" s="35" t="s">
        <v>165</v>
      </c>
      <c r="D50" s="35" t="s">
        <v>0</v>
      </c>
      <c r="E50" s="35" t="s">
        <v>0</v>
      </c>
      <c r="F50" s="72" t="s">
        <v>384</v>
      </c>
      <c r="G50" s="35"/>
      <c r="H50" s="35"/>
      <c r="I50" s="35"/>
      <c r="J50" s="35"/>
      <c r="K50" s="3"/>
      <c r="L50" s="36"/>
    </row>
    <row r="51" spans="2:12" ht="17.25" customHeight="1">
      <c r="B51" s="34"/>
      <c r="C51" s="35"/>
      <c r="D51" s="35"/>
      <c r="E51" s="35"/>
      <c r="F51" s="35"/>
      <c r="G51" s="35"/>
      <c r="H51" s="35"/>
      <c r="I51" s="35"/>
      <c r="J51" s="35"/>
      <c r="K51" s="3"/>
      <c r="L51" s="36"/>
    </row>
    <row r="52" spans="2:12" ht="17.25" customHeight="1">
      <c r="B52" s="34"/>
      <c r="C52" s="35"/>
      <c r="D52" s="35" t="s">
        <v>0</v>
      </c>
      <c r="E52" s="35" t="s">
        <v>0</v>
      </c>
      <c r="F52" s="115" t="s">
        <v>345</v>
      </c>
      <c r="G52" s="35"/>
      <c r="H52" s="35"/>
      <c r="I52" s="35"/>
      <c r="J52" s="35"/>
      <c r="K52" s="3"/>
      <c r="L52" s="36"/>
    </row>
    <row r="53" spans="2:12" ht="17.25" customHeight="1">
      <c r="B53" s="34" t="s">
        <v>314</v>
      </c>
      <c r="C53" s="35" t="s">
        <v>343</v>
      </c>
      <c r="D53" s="35" t="s">
        <v>0</v>
      </c>
      <c r="E53" s="35" t="s">
        <v>0</v>
      </c>
      <c r="F53" s="72" t="s">
        <v>385</v>
      </c>
      <c r="G53" s="35"/>
      <c r="H53" s="35"/>
      <c r="I53" s="35"/>
      <c r="J53" s="35"/>
      <c r="K53" s="3"/>
      <c r="L53" s="36"/>
    </row>
    <row r="54" spans="2:12" ht="17.25" customHeight="1">
      <c r="B54" s="34"/>
      <c r="C54" s="35"/>
      <c r="D54" s="35"/>
      <c r="E54" s="35"/>
      <c r="F54" s="35"/>
      <c r="G54" s="35"/>
      <c r="H54" s="35"/>
      <c r="I54" s="35"/>
      <c r="J54" s="35"/>
      <c r="K54" s="3"/>
      <c r="L54" s="36"/>
    </row>
    <row r="55" spans="2:12" ht="17.25" customHeight="1">
      <c r="B55" s="34"/>
      <c r="C55" s="35"/>
      <c r="D55" s="35" t="s">
        <v>0</v>
      </c>
      <c r="E55" s="35" t="s">
        <v>0</v>
      </c>
      <c r="F55" s="115" t="s">
        <v>346</v>
      </c>
      <c r="G55" s="35"/>
      <c r="H55" s="35"/>
      <c r="I55" s="35"/>
      <c r="J55" s="35"/>
      <c r="K55" s="3"/>
      <c r="L55" s="36"/>
    </row>
    <row r="56" spans="2:12" ht="17.25" customHeight="1">
      <c r="B56" s="34" t="s">
        <v>314</v>
      </c>
      <c r="C56" s="35" t="s">
        <v>344</v>
      </c>
      <c r="D56" s="35" t="s">
        <v>0</v>
      </c>
      <c r="E56" s="35" t="s">
        <v>0</v>
      </c>
      <c r="F56" s="72" t="s">
        <v>386</v>
      </c>
      <c r="G56" s="35"/>
      <c r="H56" s="35"/>
      <c r="I56" s="35"/>
      <c r="J56" s="35"/>
      <c r="K56" s="3"/>
      <c r="L56" s="36"/>
    </row>
    <row r="57" spans="2:12" ht="17.25" customHeight="1">
      <c r="B57" s="34"/>
      <c r="C57" s="35"/>
      <c r="D57" s="35"/>
      <c r="E57" s="35"/>
      <c r="F57" s="35"/>
      <c r="G57" s="35"/>
      <c r="H57" s="35"/>
      <c r="I57" s="35"/>
      <c r="J57" s="35"/>
      <c r="K57" s="3"/>
      <c r="L57" s="36"/>
    </row>
    <row r="58" spans="2:12" ht="22.5">
      <c r="B58" s="34" t="s">
        <v>314</v>
      </c>
      <c r="C58" s="35" t="s">
        <v>166</v>
      </c>
      <c r="D58" s="35" t="s">
        <v>0</v>
      </c>
      <c r="E58" s="35" t="s">
        <v>0</v>
      </c>
      <c r="F58" s="98" t="s">
        <v>167</v>
      </c>
      <c r="G58" s="35"/>
      <c r="H58" s="81">
        <v>3000</v>
      </c>
      <c r="I58" s="81">
        <v>4000</v>
      </c>
      <c r="J58" s="35"/>
      <c r="K58" s="3"/>
      <c r="L58" s="36"/>
    </row>
    <row r="59" spans="2:12" ht="17.25" customHeight="1">
      <c r="B59" s="34" t="s">
        <v>0</v>
      </c>
      <c r="C59" s="35" t="s">
        <v>0</v>
      </c>
      <c r="D59" s="35" t="s">
        <v>0</v>
      </c>
      <c r="E59" s="35" t="s">
        <v>0</v>
      </c>
      <c r="F59" s="35"/>
      <c r="G59" s="35"/>
      <c r="H59" s="35"/>
      <c r="I59" s="35"/>
      <c r="J59" s="35"/>
      <c r="K59" s="3"/>
      <c r="L59" s="36"/>
    </row>
    <row r="60" spans="2:12" ht="17.25" customHeight="1">
      <c r="B60" s="34"/>
      <c r="C60" s="35"/>
      <c r="D60" s="35" t="s">
        <v>0</v>
      </c>
      <c r="E60" s="35" t="s">
        <v>0</v>
      </c>
      <c r="F60" s="35" t="s">
        <v>168</v>
      </c>
      <c r="G60" s="35"/>
      <c r="H60" s="35"/>
      <c r="I60" s="35"/>
      <c r="J60" s="35"/>
      <c r="K60" s="3"/>
      <c r="L60" s="36"/>
    </row>
    <row r="61" spans="2:12" ht="17.25" customHeight="1">
      <c r="B61" s="34" t="s">
        <v>314</v>
      </c>
      <c r="C61" s="35" t="s">
        <v>169</v>
      </c>
      <c r="D61" s="35" t="s">
        <v>0</v>
      </c>
      <c r="E61" s="35" t="s">
        <v>0</v>
      </c>
      <c r="F61" s="72" t="s">
        <v>387</v>
      </c>
      <c r="G61" s="35"/>
      <c r="H61" s="35"/>
      <c r="I61" s="35"/>
      <c r="J61" s="35"/>
      <c r="K61" s="3"/>
      <c r="L61" s="36"/>
    </row>
    <row r="62" spans="2:12" ht="17.25" customHeight="1">
      <c r="B62" s="34" t="s">
        <v>0</v>
      </c>
      <c r="C62" s="35" t="s">
        <v>0</v>
      </c>
      <c r="D62" s="35" t="s">
        <v>0</v>
      </c>
      <c r="E62" s="35" t="s">
        <v>0</v>
      </c>
      <c r="F62" s="35"/>
      <c r="G62" s="35"/>
      <c r="H62" s="35"/>
      <c r="I62" s="35"/>
      <c r="J62" s="35"/>
      <c r="K62" s="3"/>
      <c r="L62" s="36"/>
    </row>
    <row r="63" spans="2:12" ht="17.25" customHeight="1">
      <c r="B63" s="34"/>
      <c r="C63" s="35"/>
      <c r="D63" s="35" t="s">
        <v>0</v>
      </c>
      <c r="E63" s="35" t="s">
        <v>0</v>
      </c>
      <c r="F63" s="35" t="s">
        <v>170</v>
      </c>
      <c r="G63" s="35"/>
      <c r="H63" s="35"/>
      <c r="I63" s="35"/>
      <c r="J63" s="35"/>
      <c r="K63" s="3"/>
      <c r="L63" s="36"/>
    </row>
    <row r="64" spans="2:12" ht="17.25" customHeight="1">
      <c r="B64" s="34" t="s">
        <v>314</v>
      </c>
      <c r="C64" s="35" t="s">
        <v>171</v>
      </c>
      <c r="D64" s="35" t="s">
        <v>0</v>
      </c>
      <c r="E64" s="35" t="s">
        <v>0</v>
      </c>
      <c r="F64" s="72" t="s">
        <v>388</v>
      </c>
      <c r="G64" s="35"/>
      <c r="H64" s="35"/>
      <c r="I64" s="35"/>
      <c r="J64" s="35"/>
      <c r="K64" s="3"/>
      <c r="L64" s="36"/>
    </row>
    <row r="65" spans="2:12" ht="17.25" customHeight="1">
      <c r="B65" s="34" t="s">
        <v>0</v>
      </c>
      <c r="C65" s="35" t="s">
        <v>0</v>
      </c>
      <c r="D65" s="35" t="s">
        <v>0</v>
      </c>
      <c r="E65" s="35" t="s">
        <v>0</v>
      </c>
      <c r="F65" s="35"/>
      <c r="G65" s="35"/>
      <c r="H65" s="35"/>
      <c r="I65" s="35"/>
      <c r="J65" s="35"/>
      <c r="K65" s="3"/>
      <c r="L65" s="36"/>
    </row>
    <row r="66" spans="2:12" ht="17.25" customHeight="1">
      <c r="B66" s="34"/>
      <c r="C66" s="35"/>
      <c r="D66" s="35" t="s">
        <v>0</v>
      </c>
      <c r="E66" s="35" t="s">
        <v>0</v>
      </c>
      <c r="F66" s="35" t="s">
        <v>172</v>
      </c>
      <c r="G66" s="35"/>
      <c r="H66" s="35"/>
      <c r="I66" s="35"/>
      <c r="J66" s="35"/>
      <c r="K66" s="3"/>
      <c r="L66" s="36"/>
    </row>
    <row r="67" spans="2:12" ht="17.25" customHeight="1">
      <c r="B67" s="34" t="s">
        <v>314</v>
      </c>
      <c r="C67" s="35" t="s">
        <v>173</v>
      </c>
      <c r="D67" s="35" t="s">
        <v>0</v>
      </c>
      <c r="E67" s="35" t="s">
        <v>0</v>
      </c>
      <c r="F67" s="72" t="s">
        <v>389</v>
      </c>
      <c r="G67" s="35"/>
      <c r="H67" s="35"/>
      <c r="I67" s="35"/>
      <c r="J67" s="35"/>
      <c r="K67" s="3"/>
      <c r="L67" s="36"/>
    </row>
    <row r="68" spans="2:12" ht="17.25" customHeight="1">
      <c r="B68" s="34" t="s">
        <v>0</v>
      </c>
      <c r="C68" s="35" t="s">
        <v>0</v>
      </c>
      <c r="D68" s="35" t="s">
        <v>0</v>
      </c>
      <c r="E68" s="35" t="s">
        <v>0</v>
      </c>
      <c r="F68" s="35"/>
      <c r="G68" s="35"/>
      <c r="H68" s="35"/>
      <c r="I68" s="35"/>
      <c r="J68" s="35"/>
      <c r="K68" s="3"/>
      <c r="L68" s="36"/>
    </row>
    <row r="69" spans="2:12" ht="17.25" customHeight="1">
      <c r="B69" s="34"/>
      <c r="C69" s="35"/>
      <c r="D69" s="35" t="s">
        <v>0</v>
      </c>
      <c r="E69" s="35" t="s">
        <v>0</v>
      </c>
      <c r="F69" s="35" t="s">
        <v>174</v>
      </c>
      <c r="G69" s="35"/>
      <c r="H69" s="35"/>
      <c r="I69" s="35"/>
      <c r="J69" s="35"/>
      <c r="K69" s="3"/>
      <c r="L69" s="36"/>
    </row>
    <row r="70" spans="2:12" ht="17.25" customHeight="1">
      <c r="B70" s="34" t="s">
        <v>314</v>
      </c>
      <c r="C70" s="35" t="s">
        <v>175</v>
      </c>
      <c r="D70" s="35" t="s">
        <v>0</v>
      </c>
      <c r="E70" s="35" t="s">
        <v>0</v>
      </c>
      <c r="F70" s="72" t="s">
        <v>390</v>
      </c>
      <c r="G70" s="35"/>
      <c r="H70" s="35"/>
      <c r="I70" s="35"/>
      <c r="J70" s="35"/>
      <c r="K70" s="3"/>
      <c r="L70" s="36"/>
    </row>
    <row r="71" spans="2:12" ht="17.25" customHeight="1">
      <c r="B71" s="34" t="s">
        <v>0</v>
      </c>
      <c r="C71" s="35" t="s">
        <v>0</v>
      </c>
      <c r="D71" s="35" t="s">
        <v>0</v>
      </c>
      <c r="E71" s="35" t="s">
        <v>0</v>
      </c>
      <c r="F71" s="35"/>
      <c r="G71" s="35"/>
      <c r="H71" s="35"/>
      <c r="I71" s="35"/>
      <c r="J71" s="35"/>
      <c r="K71" s="3"/>
      <c r="L71" s="36"/>
    </row>
    <row r="72" spans="2:12" ht="17.25" customHeight="1">
      <c r="B72" s="34"/>
      <c r="C72" s="35"/>
      <c r="D72" s="35" t="s">
        <v>0</v>
      </c>
      <c r="E72" s="35" t="s">
        <v>0</v>
      </c>
      <c r="F72" s="35" t="s">
        <v>176</v>
      </c>
      <c r="G72" s="35"/>
      <c r="H72" s="35"/>
      <c r="I72" s="35"/>
      <c r="J72" s="35"/>
      <c r="K72" s="3"/>
      <c r="L72" s="36"/>
    </row>
    <row r="73" spans="2:12" ht="17.25" customHeight="1">
      <c r="B73" s="34" t="s">
        <v>314</v>
      </c>
      <c r="C73" s="35" t="s">
        <v>177</v>
      </c>
      <c r="D73" s="35" t="s">
        <v>0</v>
      </c>
      <c r="E73" s="35" t="s">
        <v>0</v>
      </c>
      <c r="F73" s="72" t="s">
        <v>391</v>
      </c>
      <c r="G73" s="35"/>
      <c r="H73" s="35"/>
      <c r="I73" s="35"/>
      <c r="J73" s="35"/>
      <c r="K73" s="3"/>
      <c r="L73" s="36"/>
    </row>
    <row r="74" spans="2:12" ht="17.25" customHeight="1">
      <c r="B74" s="34" t="s">
        <v>0</v>
      </c>
      <c r="C74" s="35" t="s">
        <v>0</v>
      </c>
      <c r="D74" s="35" t="s">
        <v>0</v>
      </c>
      <c r="E74" s="35" t="s">
        <v>0</v>
      </c>
      <c r="F74" s="35"/>
      <c r="G74" s="35"/>
      <c r="H74" s="35"/>
      <c r="I74" s="35"/>
      <c r="J74" s="35"/>
      <c r="K74" s="3"/>
      <c r="L74" s="36"/>
    </row>
    <row r="75" spans="2:12" ht="17.25" customHeight="1">
      <c r="B75" s="34"/>
      <c r="C75" s="35"/>
      <c r="D75" s="35" t="s">
        <v>0</v>
      </c>
      <c r="E75" s="35" t="s">
        <v>0</v>
      </c>
      <c r="F75" s="35" t="s">
        <v>178</v>
      </c>
      <c r="G75" s="35"/>
      <c r="H75" s="35"/>
      <c r="I75" s="35"/>
      <c r="J75" s="35"/>
      <c r="K75" s="3"/>
      <c r="L75" s="36"/>
    </row>
    <row r="76" spans="2:12" ht="17.25" customHeight="1">
      <c r="B76" s="34" t="s">
        <v>314</v>
      </c>
      <c r="C76" s="35" t="s">
        <v>179</v>
      </c>
      <c r="D76" s="35" t="s">
        <v>0</v>
      </c>
      <c r="E76" s="35" t="s">
        <v>0</v>
      </c>
      <c r="F76" s="72" t="s">
        <v>392</v>
      </c>
      <c r="G76" s="35"/>
      <c r="H76" s="35"/>
      <c r="I76" s="35"/>
      <c r="J76" s="35"/>
      <c r="K76" s="3"/>
      <c r="L76" s="36"/>
    </row>
    <row r="77" spans="2:12" ht="17.25" customHeight="1">
      <c r="B77" s="34" t="s">
        <v>0</v>
      </c>
      <c r="C77" s="35" t="s">
        <v>0</v>
      </c>
      <c r="D77" s="35" t="s">
        <v>0</v>
      </c>
      <c r="E77" s="35" t="s">
        <v>0</v>
      </c>
      <c r="F77" s="35"/>
      <c r="G77" s="35"/>
      <c r="H77" s="35"/>
      <c r="I77" s="35"/>
      <c r="J77" s="35"/>
      <c r="K77" s="3"/>
      <c r="L77" s="36"/>
    </row>
    <row r="78" spans="2:12" ht="17.25" customHeight="1">
      <c r="B78" s="34"/>
      <c r="C78" s="35"/>
      <c r="D78" s="35" t="s">
        <v>0</v>
      </c>
      <c r="E78" s="35" t="s">
        <v>0</v>
      </c>
      <c r="F78" s="35" t="s">
        <v>180</v>
      </c>
      <c r="G78" s="35"/>
      <c r="H78" s="35"/>
      <c r="I78" s="35"/>
      <c r="J78" s="35"/>
      <c r="K78" s="3"/>
      <c r="L78" s="36"/>
    </row>
    <row r="79" spans="2:12" ht="17.25" customHeight="1">
      <c r="B79" s="34" t="s">
        <v>314</v>
      </c>
      <c r="C79" s="35" t="s">
        <v>181</v>
      </c>
      <c r="D79" s="35" t="s">
        <v>0</v>
      </c>
      <c r="E79" s="35" t="s">
        <v>0</v>
      </c>
      <c r="F79" s="72" t="s">
        <v>393</v>
      </c>
      <c r="G79" s="35"/>
      <c r="H79" s="35"/>
      <c r="I79" s="35"/>
      <c r="J79" s="35"/>
      <c r="K79" s="3"/>
      <c r="L79" s="36"/>
    </row>
    <row r="80" spans="2:12" ht="17.25" customHeight="1">
      <c r="B80" s="34" t="s">
        <v>0</v>
      </c>
      <c r="C80" s="35" t="s">
        <v>0</v>
      </c>
      <c r="D80" s="35" t="s">
        <v>0</v>
      </c>
      <c r="E80" s="35" t="s">
        <v>0</v>
      </c>
      <c r="F80" s="35"/>
      <c r="G80" s="35"/>
      <c r="H80" s="35"/>
      <c r="I80" s="35"/>
      <c r="J80" s="35"/>
      <c r="K80" s="3"/>
      <c r="L80" s="36"/>
    </row>
    <row r="81" spans="2:12" ht="17.25" customHeight="1">
      <c r="B81" s="34"/>
      <c r="C81" s="35"/>
      <c r="D81" s="35" t="s">
        <v>0</v>
      </c>
      <c r="E81" s="35" t="s">
        <v>0</v>
      </c>
      <c r="F81" s="35" t="s">
        <v>182</v>
      </c>
      <c r="G81" s="35"/>
      <c r="H81" s="35"/>
      <c r="I81" s="35"/>
      <c r="J81" s="35"/>
      <c r="K81" s="3"/>
      <c r="L81" s="36"/>
    </row>
    <row r="82" spans="2:12" ht="17.25" customHeight="1">
      <c r="B82" s="34" t="s">
        <v>314</v>
      </c>
      <c r="C82" s="35" t="s">
        <v>183</v>
      </c>
      <c r="D82" s="35" t="s">
        <v>0</v>
      </c>
      <c r="E82" s="35" t="s">
        <v>0</v>
      </c>
      <c r="F82" s="72" t="s">
        <v>394</v>
      </c>
      <c r="G82" s="35"/>
      <c r="H82" s="35"/>
      <c r="I82" s="35"/>
      <c r="J82" s="35"/>
      <c r="K82" s="3"/>
      <c r="L82" s="36"/>
    </row>
    <row r="83" spans="2:12" ht="17.25" customHeight="1">
      <c r="B83" s="34" t="s">
        <v>0</v>
      </c>
      <c r="C83" s="35" t="s">
        <v>0</v>
      </c>
      <c r="D83" s="35" t="s">
        <v>0</v>
      </c>
      <c r="E83" s="35" t="s">
        <v>0</v>
      </c>
      <c r="F83" s="35"/>
      <c r="G83" s="35"/>
      <c r="H83" s="35"/>
      <c r="I83" s="35"/>
      <c r="J83" s="35"/>
      <c r="K83" s="3"/>
      <c r="L83" s="36"/>
    </row>
    <row r="84" spans="2:12" ht="17.25" customHeight="1">
      <c r="B84" s="34"/>
      <c r="C84" s="35"/>
      <c r="D84" s="35" t="s">
        <v>0</v>
      </c>
      <c r="E84" s="35" t="s">
        <v>0</v>
      </c>
      <c r="F84" s="35" t="s">
        <v>184</v>
      </c>
      <c r="G84" s="35"/>
      <c r="H84" s="35"/>
      <c r="I84" s="35"/>
      <c r="J84" s="35"/>
      <c r="K84" s="3"/>
      <c r="L84" s="36"/>
    </row>
    <row r="85" spans="2:12" ht="17.25" customHeight="1">
      <c r="B85" s="34" t="s">
        <v>314</v>
      </c>
      <c r="C85" s="35" t="s">
        <v>185</v>
      </c>
      <c r="D85" s="35" t="s">
        <v>0</v>
      </c>
      <c r="E85" s="35" t="s">
        <v>0</v>
      </c>
      <c r="F85" s="72" t="s">
        <v>395</v>
      </c>
      <c r="G85" s="35"/>
      <c r="H85" s="35"/>
      <c r="I85" s="35"/>
      <c r="J85" s="35"/>
      <c r="K85" s="3"/>
      <c r="L85" s="36"/>
    </row>
    <row r="86" spans="2:12" ht="17.25" customHeight="1">
      <c r="B86" s="34" t="s">
        <v>0</v>
      </c>
      <c r="C86" s="35" t="s">
        <v>0</v>
      </c>
      <c r="D86" s="35" t="s">
        <v>0</v>
      </c>
      <c r="E86" s="35" t="s">
        <v>0</v>
      </c>
      <c r="F86" s="35"/>
      <c r="G86" s="35"/>
      <c r="H86" s="35"/>
      <c r="I86" s="35"/>
      <c r="J86" s="35"/>
      <c r="K86" s="3"/>
      <c r="L86" s="36"/>
    </row>
    <row r="87" spans="2:12" ht="17.25" customHeight="1">
      <c r="B87" s="34"/>
      <c r="C87" s="35"/>
      <c r="D87" s="35" t="s">
        <v>0</v>
      </c>
      <c r="E87" s="35" t="s">
        <v>0</v>
      </c>
      <c r="F87" s="35" t="s">
        <v>186</v>
      </c>
      <c r="G87" s="35"/>
      <c r="H87" s="35"/>
      <c r="I87" s="35"/>
      <c r="J87" s="35"/>
      <c r="K87" s="3"/>
      <c r="L87" s="36"/>
    </row>
    <row r="88" spans="2:12" ht="17.25" customHeight="1">
      <c r="B88" s="34" t="s">
        <v>314</v>
      </c>
      <c r="C88" s="35" t="s">
        <v>187</v>
      </c>
      <c r="D88" s="35" t="s">
        <v>0</v>
      </c>
      <c r="E88" s="35" t="s">
        <v>0</v>
      </c>
      <c r="F88" s="72" t="s">
        <v>396</v>
      </c>
      <c r="G88" s="35"/>
      <c r="H88" s="35"/>
      <c r="I88" s="35"/>
      <c r="J88" s="35"/>
      <c r="K88" s="3"/>
      <c r="L88" s="36"/>
    </row>
    <row r="89" spans="2:12" ht="17.25" customHeight="1">
      <c r="B89" s="34" t="s">
        <v>0</v>
      </c>
      <c r="C89" s="35" t="s">
        <v>0</v>
      </c>
      <c r="D89" s="35" t="s">
        <v>0</v>
      </c>
      <c r="E89" s="35" t="s">
        <v>0</v>
      </c>
      <c r="F89" s="35"/>
      <c r="G89" s="35"/>
      <c r="H89" s="35"/>
      <c r="I89" s="35"/>
      <c r="J89" s="35"/>
      <c r="K89" s="3"/>
      <c r="L89" s="36"/>
    </row>
    <row r="90" spans="2:12" ht="17.25" customHeight="1">
      <c r="B90" s="34"/>
      <c r="C90" s="35"/>
      <c r="D90" s="35" t="s">
        <v>0</v>
      </c>
      <c r="E90" s="35" t="s">
        <v>0</v>
      </c>
      <c r="F90" s="35" t="s">
        <v>188</v>
      </c>
      <c r="G90" s="35"/>
      <c r="H90" s="35"/>
      <c r="I90" s="35"/>
      <c r="J90" s="35"/>
      <c r="K90" s="3"/>
      <c r="L90" s="36"/>
    </row>
    <row r="91" spans="2:12" ht="17.25" customHeight="1">
      <c r="B91" s="34" t="s">
        <v>314</v>
      </c>
      <c r="C91" s="35" t="s">
        <v>189</v>
      </c>
      <c r="D91" s="35" t="s">
        <v>0</v>
      </c>
      <c r="E91" s="35" t="s">
        <v>0</v>
      </c>
      <c r="F91" s="72" t="s">
        <v>397</v>
      </c>
      <c r="G91" s="35"/>
      <c r="H91" s="35"/>
      <c r="I91" s="35"/>
      <c r="J91" s="35"/>
      <c r="K91" s="3"/>
      <c r="L91" s="36"/>
    </row>
    <row r="92" spans="2:12" ht="17.25" customHeight="1">
      <c r="B92" s="34" t="s">
        <v>0</v>
      </c>
      <c r="C92" s="35" t="s">
        <v>0</v>
      </c>
      <c r="D92" s="35" t="s">
        <v>0</v>
      </c>
      <c r="E92" s="35" t="s">
        <v>0</v>
      </c>
      <c r="F92" s="35"/>
      <c r="G92" s="35"/>
      <c r="H92" s="35"/>
      <c r="I92" s="35"/>
      <c r="J92" s="35"/>
      <c r="K92" s="3"/>
      <c r="L92" s="36"/>
    </row>
    <row r="93" spans="2:12" ht="17.25" customHeight="1">
      <c r="B93" s="34"/>
      <c r="C93" s="35"/>
      <c r="D93" s="35" t="s">
        <v>0</v>
      </c>
      <c r="E93" s="35" t="s">
        <v>0</v>
      </c>
      <c r="F93" s="35" t="s">
        <v>190</v>
      </c>
      <c r="G93" s="35"/>
      <c r="H93" s="35"/>
      <c r="I93" s="35"/>
      <c r="J93" s="35"/>
      <c r="K93" s="3"/>
      <c r="L93" s="36"/>
    </row>
    <row r="94" spans="2:12" ht="17.25" customHeight="1">
      <c r="B94" s="34" t="s">
        <v>314</v>
      </c>
      <c r="C94" s="35" t="s">
        <v>191</v>
      </c>
      <c r="D94" s="35" t="s">
        <v>0</v>
      </c>
      <c r="E94" s="35" t="s">
        <v>0</v>
      </c>
      <c r="F94" s="72" t="s">
        <v>398</v>
      </c>
      <c r="G94" s="35"/>
      <c r="H94" s="35"/>
      <c r="I94" s="35"/>
      <c r="J94" s="35"/>
      <c r="K94" s="3"/>
      <c r="L94" s="36"/>
    </row>
    <row r="95" spans="2:12" ht="17.25" customHeight="1">
      <c r="B95" s="34" t="s">
        <v>0</v>
      </c>
      <c r="C95" s="35" t="s">
        <v>0</v>
      </c>
      <c r="D95" s="35" t="s">
        <v>0</v>
      </c>
      <c r="E95" s="35" t="s">
        <v>0</v>
      </c>
      <c r="F95" s="35"/>
      <c r="G95" s="35"/>
      <c r="H95" s="35"/>
      <c r="I95" s="35"/>
      <c r="J95" s="35"/>
      <c r="K95" s="3"/>
      <c r="L95" s="36"/>
    </row>
    <row r="96" spans="2:12" ht="17.25" customHeight="1">
      <c r="B96" s="34"/>
      <c r="C96" s="35"/>
      <c r="D96" s="35" t="s">
        <v>0</v>
      </c>
      <c r="E96" s="35" t="s">
        <v>0</v>
      </c>
      <c r="F96" s="35" t="s">
        <v>192</v>
      </c>
      <c r="G96" s="35"/>
      <c r="H96" s="35"/>
      <c r="I96" s="35"/>
      <c r="J96" s="35"/>
      <c r="K96" s="3"/>
      <c r="L96" s="36"/>
    </row>
    <row r="97" spans="2:12" ht="17.25" customHeight="1">
      <c r="B97" s="34" t="s">
        <v>314</v>
      </c>
      <c r="C97" s="35" t="s">
        <v>193</v>
      </c>
      <c r="D97" s="35" t="s">
        <v>0</v>
      </c>
      <c r="E97" s="35" t="s">
        <v>0</v>
      </c>
      <c r="F97" s="72" t="s">
        <v>399</v>
      </c>
      <c r="G97" s="35"/>
      <c r="H97" s="35"/>
      <c r="I97" s="35"/>
      <c r="J97" s="35"/>
      <c r="K97" s="3"/>
      <c r="L97" s="36"/>
    </row>
    <row r="98" spans="2:12" ht="17.25" customHeight="1">
      <c r="B98" s="34" t="s">
        <v>0</v>
      </c>
      <c r="C98" s="35" t="s">
        <v>0</v>
      </c>
      <c r="D98" s="35" t="s">
        <v>0</v>
      </c>
      <c r="E98" s="35" t="s">
        <v>0</v>
      </c>
      <c r="F98" s="35"/>
      <c r="G98" s="35"/>
      <c r="H98" s="35"/>
      <c r="I98" s="35"/>
      <c r="J98" s="35"/>
      <c r="K98" s="3"/>
      <c r="L98" s="36"/>
    </row>
    <row r="99" spans="2:12" ht="17.25" customHeight="1">
      <c r="B99" s="34"/>
      <c r="C99" s="35"/>
      <c r="D99" s="35" t="s">
        <v>0</v>
      </c>
      <c r="E99" s="35" t="s">
        <v>0</v>
      </c>
      <c r="F99" s="35" t="s">
        <v>194</v>
      </c>
      <c r="G99" s="35"/>
      <c r="H99" s="35"/>
      <c r="I99" s="35"/>
      <c r="J99" s="35"/>
      <c r="K99" s="3"/>
      <c r="L99" s="36"/>
    </row>
    <row r="100" spans="2:12" ht="17.25" customHeight="1">
      <c r="B100" s="34" t="s">
        <v>314</v>
      </c>
      <c r="C100" s="35" t="s">
        <v>195</v>
      </c>
      <c r="D100" s="35" t="s">
        <v>0</v>
      </c>
      <c r="E100" s="35" t="s">
        <v>0</v>
      </c>
      <c r="F100" s="72" t="s">
        <v>400</v>
      </c>
      <c r="G100" s="35"/>
      <c r="H100" s="35"/>
      <c r="I100" s="35"/>
      <c r="J100" s="35"/>
      <c r="K100" s="3"/>
      <c r="L100" s="36"/>
    </row>
    <row r="101" spans="2:12" ht="17.25" customHeight="1">
      <c r="B101" s="34" t="s">
        <v>0</v>
      </c>
      <c r="C101" s="35" t="s">
        <v>0</v>
      </c>
      <c r="D101" s="35" t="s">
        <v>0</v>
      </c>
      <c r="E101" s="35" t="s">
        <v>0</v>
      </c>
      <c r="F101" s="35"/>
      <c r="G101" s="35"/>
      <c r="H101" s="35"/>
      <c r="I101" s="35"/>
      <c r="J101" s="35"/>
      <c r="K101" s="3"/>
      <c r="L101" s="36"/>
    </row>
    <row r="102" spans="2:12" ht="17.25" customHeight="1">
      <c r="B102" s="34"/>
      <c r="C102" s="35"/>
      <c r="D102" s="35" t="s">
        <v>0</v>
      </c>
      <c r="E102" s="35" t="s">
        <v>0</v>
      </c>
      <c r="F102" s="35" t="s">
        <v>196</v>
      </c>
      <c r="G102" s="35"/>
      <c r="H102" s="35"/>
      <c r="I102" s="35"/>
      <c r="J102" s="35"/>
      <c r="K102" s="3"/>
      <c r="L102" s="36"/>
    </row>
    <row r="103" spans="2:12" ht="17.25" customHeight="1">
      <c r="B103" s="34" t="s">
        <v>314</v>
      </c>
      <c r="C103" s="35" t="s">
        <v>197</v>
      </c>
      <c r="D103" s="35" t="s">
        <v>0</v>
      </c>
      <c r="E103" s="35" t="s">
        <v>0</v>
      </c>
      <c r="F103" s="72" t="s">
        <v>401</v>
      </c>
      <c r="G103" s="35"/>
      <c r="H103" s="35"/>
      <c r="I103" s="35"/>
      <c r="J103" s="35"/>
      <c r="K103" s="3"/>
      <c r="L103" s="36"/>
    </row>
    <row r="104" spans="2:12" ht="17.25" customHeight="1">
      <c r="B104" s="34"/>
      <c r="C104" s="35"/>
      <c r="D104" s="35"/>
      <c r="E104" s="35"/>
      <c r="F104" s="35"/>
      <c r="G104" s="35"/>
      <c r="H104" s="35"/>
      <c r="I104" s="35"/>
      <c r="J104" s="35"/>
      <c r="K104" s="3"/>
      <c r="L104" s="36"/>
    </row>
    <row r="105" spans="2:12" ht="23.25" customHeight="1">
      <c r="B105" s="34"/>
      <c r="C105" s="35"/>
      <c r="D105" s="35" t="s">
        <v>0</v>
      </c>
      <c r="E105" s="35" t="s">
        <v>0</v>
      </c>
      <c r="F105" s="19" t="s">
        <v>25</v>
      </c>
      <c r="G105" s="35"/>
      <c r="H105" s="35"/>
      <c r="I105" s="35"/>
      <c r="J105" s="35"/>
      <c r="K105" s="35"/>
      <c r="L105" s="36"/>
    </row>
    <row r="106" spans="2:12" ht="17.25" customHeight="1">
      <c r="B106" s="34" t="s">
        <v>314</v>
      </c>
      <c r="C106" s="51" t="s">
        <v>84</v>
      </c>
      <c r="D106" s="35" t="s">
        <v>0</v>
      </c>
      <c r="E106" s="35" t="s">
        <v>0</v>
      </c>
      <c r="F106" s="72" t="s">
        <v>402</v>
      </c>
      <c r="G106" s="35"/>
      <c r="H106" s="35"/>
      <c r="I106" s="35"/>
      <c r="J106" s="35"/>
      <c r="K106" s="3"/>
      <c r="L106" s="36"/>
    </row>
    <row r="107" spans="2:12" ht="17.25" customHeight="1">
      <c r="B107" s="34"/>
      <c r="C107" s="51"/>
      <c r="D107" s="35"/>
      <c r="E107" s="35"/>
      <c r="F107" s="35"/>
      <c r="G107" s="35"/>
      <c r="H107" s="35"/>
      <c r="I107" s="35"/>
      <c r="J107" s="35"/>
      <c r="K107" s="3"/>
      <c r="L107" s="36"/>
    </row>
    <row r="108" spans="2:12" ht="17.25" customHeight="1">
      <c r="B108" s="34"/>
      <c r="C108" s="35"/>
      <c r="D108" s="35"/>
      <c r="E108" s="35"/>
      <c r="F108" s="104" t="s">
        <v>26</v>
      </c>
      <c r="G108" s="35"/>
      <c r="H108" s="35"/>
      <c r="I108" s="35"/>
      <c r="J108" s="35"/>
      <c r="K108" s="3"/>
      <c r="L108" s="36"/>
    </row>
    <row r="109" spans="2:12" ht="17.25" customHeight="1">
      <c r="B109" s="34"/>
      <c r="C109" s="35"/>
      <c r="D109" s="35"/>
      <c r="E109" s="35"/>
      <c r="F109" s="35"/>
      <c r="G109" s="35"/>
      <c r="H109" s="35"/>
      <c r="I109" s="35"/>
      <c r="J109" s="35"/>
      <c r="K109" s="3"/>
      <c r="L109" s="36"/>
    </row>
    <row r="110" spans="2:12" ht="17.25" customHeight="1">
      <c r="B110" s="34"/>
      <c r="C110" s="35"/>
      <c r="D110" s="35" t="s">
        <v>0</v>
      </c>
      <c r="E110" s="35" t="s">
        <v>0</v>
      </c>
      <c r="F110" s="35" t="s">
        <v>198</v>
      </c>
      <c r="G110" s="35"/>
      <c r="H110" s="35"/>
      <c r="I110" s="35"/>
      <c r="J110" s="35"/>
      <c r="K110" s="3"/>
      <c r="L110" s="36"/>
    </row>
    <row r="111" spans="2:12" ht="17.25" customHeight="1">
      <c r="B111" s="34" t="s">
        <v>314</v>
      </c>
      <c r="C111" s="35" t="s">
        <v>199</v>
      </c>
      <c r="D111" s="35" t="s">
        <v>0</v>
      </c>
      <c r="E111" s="35" t="s">
        <v>0</v>
      </c>
      <c r="F111" s="72" t="s">
        <v>403</v>
      </c>
      <c r="G111" s="35"/>
      <c r="H111" s="35"/>
      <c r="I111" s="35"/>
      <c r="J111" s="35"/>
      <c r="K111" s="3"/>
      <c r="L111" s="36"/>
    </row>
    <row r="112" spans="2:12" ht="17.25" customHeight="1">
      <c r="B112" s="34"/>
      <c r="C112" s="35"/>
      <c r="D112" s="35"/>
      <c r="E112" s="35"/>
      <c r="F112" s="35"/>
      <c r="G112" s="35"/>
      <c r="H112" s="35"/>
      <c r="I112" s="35"/>
      <c r="J112" s="35"/>
      <c r="K112" s="3"/>
      <c r="L112" s="36"/>
    </row>
    <row r="113" spans="2:12" ht="22.5">
      <c r="B113" s="34" t="s">
        <v>314</v>
      </c>
      <c r="C113" s="35" t="s">
        <v>200</v>
      </c>
      <c r="D113" s="35" t="s">
        <v>0</v>
      </c>
      <c r="E113" s="35" t="s">
        <v>0</v>
      </c>
      <c r="F113" s="98" t="s">
        <v>201</v>
      </c>
      <c r="G113" s="35"/>
      <c r="H113" s="81">
        <v>5000</v>
      </c>
      <c r="I113" s="81">
        <v>6000</v>
      </c>
      <c r="J113" s="35"/>
      <c r="K113" s="3"/>
      <c r="L113" s="36"/>
    </row>
    <row r="114" spans="2:12" ht="17.25" customHeight="1">
      <c r="B114" s="34" t="s">
        <v>0</v>
      </c>
      <c r="C114" s="35" t="s">
        <v>0</v>
      </c>
      <c r="D114" s="35" t="s">
        <v>0</v>
      </c>
      <c r="E114" s="35" t="s">
        <v>0</v>
      </c>
      <c r="F114" s="35"/>
      <c r="G114" s="35"/>
      <c r="H114" s="35"/>
      <c r="I114" s="35"/>
      <c r="J114" s="35"/>
      <c r="K114" s="3"/>
      <c r="L114" s="36"/>
    </row>
    <row r="115" spans="2:12" ht="17.25" customHeight="1">
      <c r="B115" s="34"/>
      <c r="C115" s="35"/>
      <c r="D115" s="35" t="s">
        <v>0</v>
      </c>
      <c r="E115" s="35" t="s">
        <v>0</v>
      </c>
      <c r="F115" s="35" t="s">
        <v>202</v>
      </c>
      <c r="G115" s="35"/>
      <c r="H115" s="35"/>
      <c r="I115" s="35"/>
      <c r="J115" s="35"/>
      <c r="K115" s="3"/>
      <c r="L115" s="36"/>
    </row>
    <row r="116" spans="2:12" ht="17.25" customHeight="1">
      <c r="B116" s="34" t="s">
        <v>314</v>
      </c>
      <c r="C116" s="35" t="s">
        <v>203</v>
      </c>
      <c r="D116" s="35" t="s">
        <v>0</v>
      </c>
      <c r="E116" s="35" t="s">
        <v>0</v>
      </c>
      <c r="F116" s="72" t="s">
        <v>404</v>
      </c>
      <c r="G116" s="35"/>
      <c r="H116" s="35"/>
      <c r="I116" s="35"/>
      <c r="J116" s="35"/>
      <c r="K116" s="3"/>
      <c r="L116" s="36"/>
    </row>
    <row r="117" spans="2:12" ht="17.25" customHeight="1">
      <c r="B117" s="34"/>
      <c r="C117" s="35"/>
      <c r="D117" s="35" t="s">
        <v>0</v>
      </c>
      <c r="E117" s="35"/>
      <c r="F117" s="35"/>
      <c r="G117" s="35"/>
      <c r="H117" s="35"/>
      <c r="I117" s="35"/>
      <c r="J117" s="35"/>
      <c r="K117" s="3"/>
      <c r="L117" s="36"/>
    </row>
    <row r="118" spans="2:12" ht="22.5">
      <c r="B118" s="34" t="s">
        <v>314</v>
      </c>
      <c r="C118" s="35" t="s">
        <v>204</v>
      </c>
      <c r="D118" s="35" t="s">
        <v>0</v>
      </c>
      <c r="E118" s="35" t="s">
        <v>0</v>
      </c>
      <c r="F118" s="98" t="s">
        <v>205</v>
      </c>
      <c r="G118" s="35"/>
      <c r="H118" s="81">
        <v>8000</v>
      </c>
      <c r="I118" s="81">
        <v>9000</v>
      </c>
      <c r="J118" s="35"/>
      <c r="K118" s="3"/>
      <c r="L118" s="36"/>
    </row>
    <row r="119" spans="2:12" ht="17.25" customHeight="1">
      <c r="B119" s="34" t="s">
        <v>0</v>
      </c>
      <c r="C119" s="35" t="s">
        <v>0</v>
      </c>
      <c r="D119" s="35" t="s">
        <v>0</v>
      </c>
      <c r="E119" s="35" t="s">
        <v>0</v>
      </c>
      <c r="F119" s="35"/>
      <c r="G119" s="35"/>
      <c r="H119" s="35"/>
      <c r="I119" s="35"/>
      <c r="J119" s="35"/>
      <c r="K119" s="3"/>
      <c r="L119" s="36"/>
    </row>
    <row r="120" spans="2:12" ht="17.25" customHeight="1">
      <c r="B120" s="34"/>
      <c r="C120" s="35"/>
      <c r="D120" s="35" t="s">
        <v>0</v>
      </c>
      <c r="E120" s="35" t="s">
        <v>0</v>
      </c>
      <c r="F120" s="35" t="s">
        <v>206</v>
      </c>
      <c r="G120" s="35"/>
      <c r="H120" s="35"/>
      <c r="I120" s="35"/>
      <c r="J120" s="35"/>
      <c r="K120" s="3"/>
      <c r="L120" s="36"/>
    </row>
    <row r="121" spans="2:12" ht="17.25" customHeight="1">
      <c r="B121" s="34" t="s">
        <v>314</v>
      </c>
      <c r="C121" s="35" t="s">
        <v>207</v>
      </c>
      <c r="D121" s="35" t="s">
        <v>0</v>
      </c>
      <c r="E121" s="35" t="s">
        <v>0</v>
      </c>
      <c r="F121" s="72" t="s">
        <v>405</v>
      </c>
      <c r="G121" s="35"/>
      <c r="H121" s="35"/>
      <c r="I121" s="35"/>
      <c r="J121" s="35"/>
      <c r="K121" s="3"/>
      <c r="L121" s="36"/>
    </row>
    <row r="122" spans="2:12" ht="17.25" customHeight="1">
      <c r="B122" s="34" t="s">
        <v>0</v>
      </c>
      <c r="C122" s="35" t="s">
        <v>0</v>
      </c>
      <c r="D122" s="35" t="s">
        <v>0</v>
      </c>
      <c r="E122" s="35" t="s">
        <v>0</v>
      </c>
      <c r="F122" s="35"/>
      <c r="G122" s="35"/>
      <c r="H122" s="35"/>
      <c r="I122" s="35"/>
      <c r="J122" s="35"/>
      <c r="K122" s="3"/>
      <c r="L122" s="36"/>
    </row>
    <row r="123" spans="2:12" ht="17.25" customHeight="1">
      <c r="B123" s="34"/>
      <c r="C123" s="35"/>
      <c r="D123" s="35" t="s">
        <v>0</v>
      </c>
      <c r="E123" s="35" t="s">
        <v>0</v>
      </c>
      <c r="F123" s="35" t="s">
        <v>208</v>
      </c>
      <c r="G123" s="35"/>
      <c r="H123" s="35"/>
      <c r="I123" s="35"/>
      <c r="J123" s="35"/>
      <c r="K123" s="3"/>
      <c r="L123" s="36"/>
    </row>
    <row r="124" spans="2:12" ht="17.25" customHeight="1">
      <c r="B124" s="34" t="s">
        <v>314</v>
      </c>
      <c r="C124" s="35" t="s">
        <v>209</v>
      </c>
      <c r="D124" s="35" t="s">
        <v>0</v>
      </c>
      <c r="E124" s="35" t="s">
        <v>0</v>
      </c>
      <c r="F124" s="72" t="s">
        <v>406</v>
      </c>
      <c r="G124" s="35"/>
      <c r="H124" s="35"/>
      <c r="I124" s="35"/>
      <c r="J124" s="35"/>
      <c r="K124" s="3"/>
      <c r="L124" s="36"/>
    </row>
    <row r="125" spans="2:12" ht="17.25" customHeight="1">
      <c r="B125" s="34" t="s">
        <v>0</v>
      </c>
      <c r="C125" s="35" t="s">
        <v>0</v>
      </c>
      <c r="D125" s="35" t="s">
        <v>0</v>
      </c>
      <c r="E125" s="35" t="s">
        <v>0</v>
      </c>
      <c r="F125" s="35"/>
      <c r="G125" s="35"/>
      <c r="H125" s="35"/>
      <c r="I125" s="35"/>
      <c r="J125" s="35"/>
      <c r="K125" s="3"/>
      <c r="L125" s="36"/>
    </row>
    <row r="126" spans="2:12" ht="17.25" customHeight="1">
      <c r="B126" s="34"/>
      <c r="C126" s="35"/>
      <c r="D126" s="35" t="s">
        <v>0</v>
      </c>
      <c r="E126" s="35" t="s">
        <v>0</v>
      </c>
      <c r="F126" s="35" t="s">
        <v>210</v>
      </c>
      <c r="G126" s="35"/>
      <c r="H126" s="35"/>
      <c r="I126" s="35"/>
      <c r="J126" s="35"/>
      <c r="K126" s="3"/>
      <c r="L126" s="36"/>
    </row>
    <row r="127" spans="2:12" ht="17.25" customHeight="1">
      <c r="B127" s="34" t="s">
        <v>314</v>
      </c>
      <c r="C127" s="35" t="s">
        <v>211</v>
      </c>
      <c r="D127" s="35" t="s">
        <v>0</v>
      </c>
      <c r="E127" s="35" t="s">
        <v>0</v>
      </c>
      <c r="F127" s="72" t="s">
        <v>407</v>
      </c>
      <c r="G127" s="35"/>
      <c r="H127" s="35"/>
      <c r="I127" s="35"/>
      <c r="J127" s="35"/>
      <c r="K127" s="3"/>
      <c r="L127" s="36"/>
    </row>
    <row r="128" spans="2:12" ht="17.25" customHeight="1">
      <c r="B128" s="34" t="s">
        <v>0</v>
      </c>
      <c r="C128" s="35" t="s">
        <v>0</v>
      </c>
      <c r="D128" s="35" t="s">
        <v>0</v>
      </c>
      <c r="E128" s="35" t="s">
        <v>0</v>
      </c>
      <c r="F128" s="35"/>
      <c r="G128" s="35"/>
      <c r="H128" s="35"/>
      <c r="I128" s="35"/>
      <c r="J128" s="35"/>
      <c r="K128" s="3"/>
      <c r="L128" s="36"/>
    </row>
    <row r="129" spans="2:12" ht="17.25" customHeight="1">
      <c r="B129" s="34"/>
      <c r="C129" s="35"/>
      <c r="D129" s="35" t="s">
        <v>0</v>
      </c>
      <c r="E129" s="35" t="s">
        <v>0</v>
      </c>
      <c r="F129" s="35" t="s">
        <v>212</v>
      </c>
      <c r="G129" s="35"/>
      <c r="H129" s="35"/>
      <c r="I129" s="35"/>
      <c r="J129" s="35"/>
      <c r="K129" s="3"/>
      <c r="L129" s="36"/>
    </row>
    <row r="130" spans="2:12" ht="17.25" customHeight="1">
      <c r="B130" s="34" t="s">
        <v>314</v>
      </c>
      <c r="C130" s="35" t="s">
        <v>213</v>
      </c>
      <c r="D130" s="35" t="s">
        <v>0</v>
      </c>
      <c r="E130" s="35" t="s">
        <v>0</v>
      </c>
      <c r="F130" s="72" t="s">
        <v>408</v>
      </c>
      <c r="G130" s="35"/>
      <c r="H130" s="35"/>
      <c r="I130" s="35"/>
      <c r="J130" s="35"/>
      <c r="K130" s="3"/>
      <c r="L130" s="36"/>
    </row>
    <row r="131" spans="2:12" ht="17.25" customHeight="1">
      <c r="B131" s="34" t="s">
        <v>0</v>
      </c>
      <c r="C131" s="35" t="s">
        <v>0</v>
      </c>
      <c r="D131" s="35" t="s">
        <v>0</v>
      </c>
      <c r="E131" s="35" t="s">
        <v>0</v>
      </c>
      <c r="F131" s="35"/>
      <c r="G131" s="35"/>
      <c r="H131" s="35"/>
      <c r="I131" s="35"/>
      <c r="J131" s="35"/>
      <c r="K131" s="3"/>
      <c r="L131" s="36"/>
    </row>
    <row r="132" spans="2:12" ht="17.25" customHeight="1">
      <c r="B132" s="34"/>
      <c r="C132" s="35"/>
      <c r="D132" s="35" t="s">
        <v>0</v>
      </c>
      <c r="E132" s="35" t="s">
        <v>0</v>
      </c>
      <c r="F132" s="35" t="s">
        <v>214</v>
      </c>
      <c r="G132" s="35"/>
      <c r="H132" s="35"/>
      <c r="I132" s="35"/>
      <c r="J132" s="35"/>
      <c r="K132" s="3"/>
      <c r="L132" s="36"/>
    </row>
    <row r="133" spans="2:12" ht="17.25" customHeight="1">
      <c r="B133" s="34" t="s">
        <v>314</v>
      </c>
      <c r="C133" s="35" t="s">
        <v>215</v>
      </c>
      <c r="D133" s="35" t="s">
        <v>0</v>
      </c>
      <c r="E133" s="35" t="s">
        <v>0</v>
      </c>
      <c r="F133" s="72" t="s">
        <v>409</v>
      </c>
      <c r="G133" s="35"/>
      <c r="H133" s="35"/>
      <c r="I133" s="35"/>
      <c r="J133" s="35"/>
      <c r="K133" s="3"/>
      <c r="L133" s="36"/>
    </row>
    <row r="134" spans="2:12" ht="17.25" customHeight="1">
      <c r="B134" s="34" t="s">
        <v>0</v>
      </c>
      <c r="C134" s="35" t="s">
        <v>0</v>
      </c>
      <c r="D134" s="35" t="s">
        <v>0</v>
      </c>
      <c r="E134" s="35" t="s">
        <v>0</v>
      </c>
      <c r="F134" s="35"/>
      <c r="G134" s="35"/>
      <c r="H134" s="35"/>
      <c r="I134" s="35"/>
      <c r="J134" s="35"/>
      <c r="K134" s="3"/>
      <c r="L134" s="36"/>
    </row>
    <row r="135" spans="2:12" ht="17.25" customHeight="1">
      <c r="B135" s="34"/>
      <c r="C135" s="35"/>
      <c r="D135" s="35" t="s">
        <v>0</v>
      </c>
      <c r="E135" s="35" t="s">
        <v>0</v>
      </c>
      <c r="F135" s="35" t="s">
        <v>216</v>
      </c>
      <c r="G135" s="35"/>
      <c r="H135" s="35"/>
      <c r="I135" s="35"/>
      <c r="J135" s="35"/>
      <c r="K135" s="3"/>
      <c r="L135" s="36"/>
    </row>
    <row r="136" spans="2:12" ht="17.25" customHeight="1">
      <c r="B136" s="34" t="s">
        <v>314</v>
      </c>
      <c r="C136" s="35" t="s">
        <v>217</v>
      </c>
      <c r="D136" s="35" t="s">
        <v>0</v>
      </c>
      <c r="E136" s="35" t="s">
        <v>0</v>
      </c>
      <c r="F136" s="72" t="s">
        <v>410</v>
      </c>
      <c r="G136" s="35"/>
      <c r="H136" s="35"/>
      <c r="I136" s="35"/>
      <c r="J136" s="35"/>
      <c r="K136" s="3"/>
      <c r="L136" s="36"/>
    </row>
    <row r="137" spans="2:12" ht="17.25" customHeight="1">
      <c r="B137" s="34" t="s">
        <v>0</v>
      </c>
      <c r="C137" s="35" t="s">
        <v>0</v>
      </c>
      <c r="D137" s="35" t="s">
        <v>0</v>
      </c>
      <c r="E137" s="35" t="s">
        <v>0</v>
      </c>
      <c r="F137" s="35"/>
      <c r="G137" s="35"/>
      <c r="H137" s="35"/>
      <c r="I137" s="35"/>
      <c r="J137" s="35"/>
      <c r="K137" s="3"/>
      <c r="L137" s="36"/>
    </row>
    <row r="138" spans="2:12" ht="17.25" customHeight="1">
      <c r="B138" s="34"/>
      <c r="C138" s="35"/>
      <c r="D138" s="35" t="s">
        <v>0</v>
      </c>
      <c r="E138" s="35" t="s">
        <v>0</v>
      </c>
      <c r="F138" s="35" t="s">
        <v>218</v>
      </c>
      <c r="G138" s="35"/>
      <c r="H138" s="35"/>
      <c r="I138" s="35"/>
      <c r="J138" s="35"/>
      <c r="K138" s="3"/>
      <c r="L138" s="36"/>
    </row>
    <row r="139" spans="2:12" ht="17.25" customHeight="1">
      <c r="B139" s="34" t="s">
        <v>314</v>
      </c>
      <c r="C139" s="35" t="s">
        <v>219</v>
      </c>
      <c r="D139" s="35" t="s">
        <v>0</v>
      </c>
      <c r="E139" s="35" t="s">
        <v>0</v>
      </c>
      <c r="F139" s="72" t="s">
        <v>409</v>
      </c>
      <c r="G139" s="35"/>
      <c r="H139" s="35"/>
      <c r="I139" s="35"/>
      <c r="J139" s="35"/>
      <c r="K139" s="3"/>
      <c r="L139" s="36"/>
    </row>
    <row r="140" spans="2:12" ht="17.25" customHeight="1">
      <c r="B140" s="34" t="s">
        <v>0</v>
      </c>
      <c r="C140" s="35" t="s">
        <v>0</v>
      </c>
      <c r="D140" s="35" t="s">
        <v>0</v>
      </c>
      <c r="E140" s="35" t="s">
        <v>0</v>
      </c>
      <c r="F140" s="35"/>
      <c r="G140" s="35"/>
      <c r="H140" s="35"/>
      <c r="I140" s="35"/>
      <c r="J140" s="35"/>
      <c r="K140" s="3"/>
      <c r="L140" s="36"/>
    </row>
    <row r="141" spans="2:12" ht="17.25" customHeight="1">
      <c r="B141" s="34"/>
      <c r="C141" s="35"/>
      <c r="D141" s="35" t="s">
        <v>0</v>
      </c>
      <c r="E141" s="35" t="s">
        <v>0</v>
      </c>
      <c r="F141" s="35" t="s">
        <v>220</v>
      </c>
      <c r="G141" s="35"/>
      <c r="H141" s="35"/>
      <c r="I141" s="35"/>
      <c r="J141" s="35"/>
      <c r="K141" s="3"/>
      <c r="L141" s="36"/>
    </row>
    <row r="142" spans="2:12" ht="17.25" customHeight="1">
      <c r="B142" s="34" t="s">
        <v>314</v>
      </c>
      <c r="C142" s="35" t="s">
        <v>221</v>
      </c>
      <c r="D142" s="35" t="s">
        <v>0</v>
      </c>
      <c r="E142" s="35" t="s">
        <v>0</v>
      </c>
      <c r="F142" s="72" t="s">
        <v>411</v>
      </c>
      <c r="G142" s="35"/>
      <c r="H142" s="35"/>
      <c r="I142" s="35"/>
      <c r="J142" s="35"/>
      <c r="K142" s="3"/>
      <c r="L142" s="36"/>
    </row>
    <row r="143" spans="2:12" ht="17.25" customHeight="1">
      <c r="B143" s="34" t="s">
        <v>0</v>
      </c>
      <c r="C143" s="35" t="s">
        <v>0</v>
      </c>
      <c r="D143" s="35" t="s">
        <v>0</v>
      </c>
      <c r="E143" s="35" t="s">
        <v>0</v>
      </c>
      <c r="F143" s="35"/>
      <c r="G143" s="35"/>
      <c r="H143" s="35"/>
      <c r="I143" s="35"/>
      <c r="J143" s="35"/>
      <c r="K143" s="3"/>
      <c r="L143" s="36"/>
    </row>
    <row r="144" spans="2:12" ht="17.25" customHeight="1">
      <c r="B144" s="34"/>
      <c r="C144" s="35"/>
      <c r="D144" s="35" t="s">
        <v>0</v>
      </c>
      <c r="E144" s="35" t="s">
        <v>0</v>
      </c>
      <c r="F144" s="35" t="s">
        <v>222</v>
      </c>
      <c r="G144" s="35"/>
      <c r="H144" s="35"/>
      <c r="I144" s="35"/>
      <c r="J144" s="35"/>
      <c r="K144" s="3"/>
      <c r="L144" s="36"/>
    </row>
    <row r="145" spans="2:12" ht="17.25" customHeight="1">
      <c r="B145" s="34" t="s">
        <v>314</v>
      </c>
      <c r="C145" s="35" t="s">
        <v>223</v>
      </c>
      <c r="D145" s="35" t="s">
        <v>0</v>
      </c>
      <c r="E145" s="35" t="s">
        <v>0</v>
      </c>
      <c r="F145" s="72" t="s">
        <v>412</v>
      </c>
      <c r="G145" s="35"/>
      <c r="H145" s="35"/>
      <c r="I145" s="35"/>
      <c r="J145" s="35"/>
      <c r="K145" s="3"/>
      <c r="L145" s="36"/>
    </row>
    <row r="146" spans="2:12" ht="17.25" customHeight="1">
      <c r="B146" s="34" t="s">
        <v>0</v>
      </c>
      <c r="C146" s="35" t="s">
        <v>0</v>
      </c>
      <c r="D146" s="35" t="s">
        <v>0</v>
      </c>
      <c r="E146" s="35" t="s">
        <v>0</v>
      </c>
      <c r="F146" s="35"/>
      <c r="G146" s="35"/>
      <c r="H146" s="35"/>
      <c r="I146" s="35"/>
      <c r="J146" s="35"/>
      <c r="K146" s="3"/>
      <c r="L146" s="36"/>
    </row>
    <row r="147" spans="2:12" ht="17.25" customHeight="1">
      <c r="B147" s="34"/>
      <c r="C147" s="35"/>
      <c r="D147" s="35" t="s">
        <v>0</v>
      </c>
      <c r="E147" s="35" t="s">
        <v>0</v>
      </c>
      <c r="F147" s="35" t="s">
        <v>224</v>
      </c>
      <c r="G147" s="35"/>
      <c r="H147" s="35"/>
      <c r="I147" s="35"/>
      <c r="J147" s="35"/>
      <c r="K147" s="3"/>
      <c r="L147" s="36"/>
    </row>
    <row r="148" spans="2:12" ht="17.25" customHeight="1">
      <c r="B148" s="34" t="s">
        <v>314</v>
      </c>
      <c r="C148" s="35" t="s">
        <v>225</v>
      </c>
      <c r="D148" s="35" t="s">
        <v>0</v>
      </c>
      <c r="E148" s="35" t="s">
        <v>0</v>
      </c>
      <c r="F148" s="72" t="s">
        <v>413</v>
      </c>
      <c r="G148" s="35"/>
      <c r="H148" s="35"/>
      <c r="I148" s="35"/>
      <c r="J148" s="35"/>
      <c r="K148" s="3"/>
      <c r="L148" s="36"/>
    </row>
    <row r="149" spans="2:12" ht="17.25" customHeight="1">
      <c r="B149" s="34"/>
      <c r="C149" s="35"/>
      <c r="D149" s="35"/>
      <c r="E149" s="35"/>
      <c r="F149" s="35"/>
      <c r="G149" s="35"/>
      <c r="H149" s="35"/>
      <c r="I149" s="35"/>
      <c r="J149" s="35"/>
      <c r="K149" s="3"/>
      <c r="L149" s="36"/>
    </row>
    <row r="150" spans="2:12" ht="17.25" customHeight="1">
      <c r="B150" s="34"/>
      <c r="C150" s="35"/>
      <c r="D150" s="35" t="s">
        <v>0</v>
      </c>
      <c r="E150" s="35" t="s">
        <v>0</v>
      </c>
      <c r="F150" s="115" t="s">
        <v>347</v>
      </c>
      <c r="G150" s="35"/>
      <c r="H150" s="35"/>
      <c r="I150" s="35"/>
      <c r="J150" s="35"/>
      <c r="K150" s="3"/>
      <c r="L150" s="36"/>
    </row>
    <row r="151" spans="2:12" ht="17.25" customHeight="1">
      <c r="B151" s="34" t="s">
        <v>314</v>
      </c>
      <c r="C151" s="35" t="s">
        <v>339</v>
      </c>
      <c r="D151" s="35" t="s">
        <v>0</v>
      </c>
      <c r="E151" s="35" t="s">
        <v>0</v>
      </c>
      <c r="F151" s="72" t="s">
        <v>399</v>
      </c>
      <c r="G151" s="35"/>
      <c r="H151" s="35"/>
      <c r="I151" s="35"/>
      <c r="J151" s="35"/>
      <c r="K151" s="3"/>
      <c r="L151" s="36"/>
    </row>
    <row r="152" spans="2:12" ht="17.25" customHeight="1">
      <c r="B152" s="34"/>
      <c r="C152" s="35"/>
      <c r="D152" s="35"/>
      <c r="E152" s="35"/>
      <c r="F152" s="35"/>
      <c r="G152" s="35"/>
      <c r="H152" s="35"/>
      <c r="I152" s="35"/>
      <c r="J152" s="35"/>
      <c r="K152" s="3"/>
      <c r="L152" s="36"/>
    </row>
    <row r="153" spans="2:12" ht="17.25" customHeight="1">
      <c r="B153" s="34"/>
      <c r="C153" s="35"/>
      <c r="D153" s="35" t="s">
        <v>0</v>
      </c>
      <c r="E153" s="35" t="s">
        <v>0</v>
      </c>
      <c r="F153" s="115" t="s">
        <v>348</v>
      </c>
      <c r="G153" s="35"/>
      <c r="H153" s="35"/>
      <c r="I153" s="35"/>
      <c r="J153" s="35"/>
      <c r="K153" s="3"/>
      <c r="L153" s="36"/>
    </row>
    <row r="154" spans="2:12" ht="17.25" customHeight="1">
      <c r="B154" s="34" t="s">
        <v>314</v>
      </c>
      <c r="C154" s="35" t="s">
        <v>340</v>
      </c>
      <c r="D154" s="35" t="s">
        <v>0</v>
      </c>
      <c r="E154" s="35" t="s">
        <v>0</v>
      </c>
      <c r="F154" s="72" t="s">
        <v>414</v>
      </c>
      <c r="G154" s="35"/>
      <c r="H154" s="35"/>
      <c r="I154" s="35"/>
      <c r="J154" s="35"/>
      <c r="K154" s="3"/>
      <c r="L154" s="36"/>
    </row>
    <row r="155" spans="2:12" ht="17.25" customHeight="1">
      <c r="B155" s="34"/>
      <c r="C155" s="35"/>
      <c r="D155" s="35"/>
      <c r="E155" s="35"/>
      <c r="F155" s="35"/>
      <c r="G155" s="35"/>
      <c r="H155" s="35"/>
      <c r="I155" s="35"/>
      <c r="J155" s="35"/>
      <c r="K155" s="3"/>
      <c r="L155" s="36"/>
    </row>
    <row r="156" spans="2:12" ht="22.5">
      <c r="B156" s="34" t="s">
        <v>314</v>
      </c>
      <c r="C156" s="35" t="s">
        <v>226</v>
      </c>
      <c r="D156" s="35" t="s">
        <v>0</v>
      </c>
      <c r="E156" s="35" t="s">
        <v>0</v>
      </c>
      <c r="F156" s="98" t="s">
        <v>227</v>
      </c>
      <c r="G156" s="35"/>
      <c r="H156" s="81">
        <v>1000</v>
      </c>
      <c r="I156" s="81">
        <v>2000</v>
      </c>
      <c r="J156" s="35"/>
      <c r="K156" s="3"/>
      <c r="L156" s="36"/>
    </row>
    <row r="157" spans="2:12" ht="17.25" customHeight="1">
      <c r="B157" s="34" t="s">
        <v>0</v>
      </c>
      <c r="C157" s="35" t="s">
        <v>0</v>
      </c>
      <c r="D157" s="35" t="s">
        <v>0</v>
      </c>
      <c r="E157" s="35" t="s">
        <v>0</v>
      </c>
      <c r="F157" s="35"/>
      <c r="G157" s="35"/>
      <c r="H157" s="35"/>
      <c r="I157" s="35"/>
      <c r="J157" s="35"/>
      <c r="K157" s="3"/>
      <c r="L157" s="36"/>
    </row>
    <row r="158" spans="2:12" ht="17.25" customHeight="1">
      <c r="B158" s="34"/>
      <c r="C158" s="35"/>
      <c r="D158" s="35" t="s">
        <v>0</v>
      </c>
      <c r="E158" s="35" t="s">
        <v>0</v>
      </c>
      <c r="F158" s="35" t="s">
        <v>228</v>
      </c>
      <c r="G158" s="35"/>
      <c r="H158" s="35"/>
      <c r="I158" s="35"/>
      <c r="J158" s="35"/>
      <c r="K158" s="3"/>
      <c r="L158" s="36"/>
    </row>
    <row r="159" spans="2:12" ht="17.25" customHeight="1">
      <c r="B159" s="34" t="s">
        <v>314</v>
      </c>
      <c r="C159" s="35" t="s">
        <v>229</v>
      </c>
      <c r="D159" s="35" t="s">
        <v>0</v>
      </c>
      <c r="E159" s="35" t="s">
        <v>0</v>
      </c>
      <c r="F159" s="72" t="s">
        <v>415</v>
      </c>
      <c r="G159" s="35"/>
      <c r="H159" s="35"/>
      <c r="I159" s="35"/>
      <c r="J159" s="35"/>
      <c r="K159" s="3"/>
      <c r="L159" s="36"/>
    </row>
    <row r="160" spans="2:12" ht="17.25" customHeight="1">
      <c r="B160" s="34" t="s">
        <v>0</v>
      </c>
      <c r="C160" s="35" t="s">
        <v>0</v>
      </c>
      <c r="D160" s="35" t="s">
        <v>0</v>
      </c>
      <c r="E160" s="35" t="s">
        <v>0</v>
      </c>
      <c r="F160" s="35"/>
      <c r="G160" s="35"/>
      <c r="H160" s="35"/>
      <c r="I160" s="35"/>
      <c r="J160" s="35"/>
      <c r="K160" s="3"/>
      <c r="L160" s="36"/>
    </row>
    <row r="161" spans="2:12" ht="17.25" customHeight="1">
      <c r="B161" s="34"/>
      <c r="C161" s="35"/>
      <c r="D161" s="35" t="s">
        <v>0</v>
      </c>
      <c r="E161" s="35" t="s">
        <v>0</v>
      </c>
      <c r="F161" s="35" t="s">
        <v>230</v>
      </c>
      <c r="G161" s="35"/>
      <c r="H161" s="35"/>
      <c r="I161" s="35"/>
      <c r="J161" s="35"/>
      <c r="K161" s="3"/>
      <c r="L161" s="36"/>
    </row>
    <row r="162" spans="2:12" ht="17.25" customHeight="1">
      <c r="B162" s="34" t="s">
        <v>314</v>
      </c>
      <c r="C162" s="35" t="s">
        <v>231</v>
      </c>
      <c r="D162" s="35" t="s">
        <v>0</v>
      </c>
      <c r="E162" s="35" t="s">
        <v>0</v>
      </c>
      <c r="F162" s="72" t="s">
        <v>416</v>
      </c>
      <c r="G162" s="35"/>
      <c r="H162" s="35"/>
      <c r="I162" s="35"/>
      <c r="J162" s="35"/>
      <c r="K162" s="3"/>
      <c r="L162" s="36"/>
    </row>
    <row r="163" spans="2:12" ht="17.25" customHeight="1">
      <c r="B163" s="34" t="s">
        <v>0</v>
      </c>
      <c r="C163" s="35" t="s">
        <v>0</v>
      </c>
      <c r="D163" s="35" t="s">
        <v>0</v>
      </c>
      <c r="E163" s="35" t="s">
        <v>0</v>
      </c>
      <c r="F163" s="35"/>
      <c r="G163" s="35"/>
      <c r="H163" s="35"/>
      <c r="I163" s="35"/>
      <c r="J163" s="35"/>
      <c r="K163" s="3"/>
      <c r="L163" s="36"/>
    </row>
    <row r="164" spans="2:12" ht="17.25" customHeight="1">
      <c r="B164" s="34"/>
      <c r="C164" s="35"/>
      <c r="D164" s="35" t="s">
        <v>0</v>
      </c>
      <c r="E164" s="35" t="s">
        <v>0</v>
      </c>
      <c r="F164" s="35" t="s">
        <v>232</v>
      </c>
      <c r="G164" s="35"/>
      <c r="H164" s="35"/>
      <c r="I164" s="35"/>
      <c r="J164" s="35"/>
      <c r="K164" s="3"/>
      <c r="L164" s="36"/>
    </row>
    <row r="165" spans="2:12" ht="17.25" customHeight="1">
      <c r="B165" s="34" t="s">
        <v>314</v>
      </c>
      <c r="C165" s="35" t="s">
        <v>233</v>
      </c>
      <c r="D165" s="35" t="s">
        <v>0</v>
      </c>
      <c r="E165" s="35" t="s">
        <v>0</v>
      </c>
      <c r="F165" s="72" t="s">
        <v>417</v>
      </c>
      <c r="G165" s="35"/>
      <c r="H165" s="35"/>
      <c r="I165" s="35"/>
      <c r="J165" s="35"/>
      <c r="K165" s="3"/>
      <c r="L165" s="36"/>
    </row>
    <row r="166" spans="2:12" ht="17.25" customHeight="1">
      <c r="B166" s="34" t="s">
        <v>0</v>
      </c>
      <c r="C166" s="35" t="s">
        <v>0</v>
      </c>
      <c r="D166" s="35" t="s">
        <v>0</v>
      </c>
      <c r="E166" s="35" t="s">
        <v>0</v>
      </c>
      <c r="F166" s="35"/>
      <c r="G166" s="35"/>
      <c r="H166" s="35"/>
      <c r="I166" s="35"/>
      <c r="J166" s="35"/>
      <c r="K166" s="3"/>
      <c r="L166" s="36"/>
    </row>
    <row r="167" spans="2:12" ht="17.25" customHeight="1">
      <c r="B167" s="34"/>
      <c r="C167" s="35"/>
      <c r="D167" s="35" t="s">
        <v>0</v>
      </c>
      <c r="E167" s="35" t="s">
        <v>0</v>
      </c>
      <c r="F167" s="35" t="s">
        <v>234</v>
      </c>
      <c r="G167" s="35"/>
      <c r="H167" s="35"/>
      <c r="I167" s="35"/>
      <c r="J167" s="35"/>
      <c r="K167" s="3"/>
      <c r="L167" s="36"/>
    </row>
    <row r="168" spans="2:12" ht="17.25" customHeight="1">
      <c r="B168" s="34" t="s">
        <v>314</v>
      </c>
      <c r="C168" s="35" t="s">
        <v>235</v>
      </c>
      <c r="D168" s="35" t="s">
        <v>0</v>
      </c>
      <c r="E168" s="35" t="s">
        <v>0</v>
      </c>
      <c r="F168" s="72" t="s">
        <v>418</v>
      </c>
      <c r="G168" s="35"/>
      <c r="H168" s="35"/>
      <c r="I168" s="35"/>
      <c r="J168" s="35"/>
      <c r="K168" s="3"/>
      <c r="L168" s="36"/>
    </row>
    <row r="169" spans="2:12" ht="17.25" customHeight="1">
      <c r="B169" s="34" t="s">
        <v>0</v>
      </c>
      <c r="C169" s="35" t="s">
        <v>0</v>
      </c>
      <c r="D169" s="35" t="s">
        <v>0</v>
      </c>
      <c r="E169" s="35" t="s">
        <v>0</v>
      </c>
      <c r="F169" s="35"/>
      <c r="G169" s="35"/>
      <c r="H169" s="35"/>
      <c r="I169" s="35"/>
      <c r="J169" s="35"/>
      <c r="K169" s="3"/>
      <c r="L169" s="36"/>
    </row>
    <row r="170" spans="2:12" ht="17.25" customHeight="1">
      <c r="B170" s="34"/>
      <c r="C170" s="35"/>
      <c r="D170" s="35" t="s">
        <v>0</v>
      </c>
      <c r="E170" s="35" t="s">
        <v>0</v>
      </c>
      <c r="F170" s="35" t="s">
        <v>236</v>
      </c>
      <c r="G170" s="35"/>
      <c r="H170" s="35"/>
      <c r="I170" s="35"/>
      <c r="J170" s="35"/>
      <c r="K170" s="3"/>
      <c r="L170" s="36"/>
    </row>
    <row r="171" spans="2:12" ht="17.25" customHeight="1">
      <c r="B171" s="34" t="s">
        <v>314</v>
      </c>
      <c r="C171" s="35" t="s">
        <v>237</v>
      </c>
      <c r="D171" s="35" t="s">
        <v>0</v>
      </c>
      <c r="E171" s="35" t="s">
        <v>0</v>
      </c>
      <c r="F171" s="72" t="s">
        <v>419</v>
      </c>
      <c r="G171" s="35"/>
      <c r="H171" s="35"/>
      <c r="I171" s="35"/>
      <c r="J171" s="35"/>
      <c r="K171" s="3"/>
      <c r="L171" s="36"/>
    </row>
    <row r="172" spans="2:12" ht="17.25" customHeight="1">
      <c r="B172" s="34" t="s">
        <v>0</v>
      </c>
      <c r="C172" s="35" t="s">
        <v>0</v>
      </c>
      <c r="D172" s="35" t="s">
        <v>0</v>
      </c>
      <c r="E172" s="35" t="s">
        <v>0</v>
      </c>
      <c r="F172" s="35"/>
      <c r="G172" s="35"/>
      <c r="H172" s="35"/>
      <c r="I172" s="35"/>
      <c r="J172" s="35"/>
      <c r="K172" s="3"/>
      <c r="L172" s="36"/>
    </row>
    <row r="173" spans="2:12" ht="17.25" customHeight="1">
      <c r="B173" s="34"/>
      <c r="C173" s="35"/>
      <c r="D173" s="35" t="s">
        <v>0</v>
      </c>
      <c r="E173" s="35" t="s">
        <v>0</v>
      </c>
      <c r="F173" s="35" t="s">
        <v>238</v>
      </c>
      <c r="G173" s="35"/>
      <c r="H173" s="35"/>
      <c r="I173" s="35"/>
      <c r="J173" s="35"/>
      <c r="K173" s="3"/>
      <c r="L173" s="36"/>
    </row>
    <row r="174" spans="2:12" ht="17.25" customHeight="1">
      <c r="B174" s="34" t="s">
        <v>314</v>
      </c>
      <c r="C174" s="35" t="s">
        <v>239</v>
      </c>
      <c r="D174" s="35" t="s">
        <v>0</v>
      </c>
      <c r="E174" s="35" t="s">
        <v>0</v>
      </c>
      <c r="F174" s="72" t="s">
        <v>420</v>
      </c>
      <c r="G174" s="35"/>
      <c r="H174" s="35"/>
      <c r="I174" s="35"/>
      <c r="J174" s="35"/>
      <c r="K174" s="3"/>
      <c r="L174" s="36"/>
    </row>
    <row r="175" spans="2:12" ht="17.25" customHeight="1">
      <c r="B175" s="34" t="s">
        <v>0</v>
      </c>
      <c r="C175" s="35" t="s">
        <v>0</v>
      </c>
      <c r="D175" s="35" t="s">
        <v>0</v>
      </c>
      <c r="E175" s="35" t="s">
        <v>0</v>
      </c>
      <c r="F175" s="35"/>
      <c r="G175" s="35"/>
      <c r="H175" s="35"/>
      <c r="I175" s="35"/>
      <c r="J175" s="35"/>
      <c r="K175" s="3"/>
      <c r="L175" s="36"/>
    </row>
    <row r="176" spans="2:12" ht="17.25" customHeight="1">
      <c r="B176" s="34"/>
      <c r="C176" s="35"/>
      <c r="D176" s="35" t="s">
        <v>0</v>
      </c>
      <c r="E176" s="35" t="s">
        <v>0</v>
      </c>
      <c r="F176" s="35" t="s">
        <v>240</v>
      </c>
      <c r="G176" s="35"/>
      <c r="H176" s="35"/>
      <c r="I176" s="35"/>
      <c r="J176" s="35"/>
      <c r="K176" s="3"/>
      <c r="L176" s="36"/>
    </row>
    <row r="177" spans="2:12" ht="17.25" customHeight="1">
      <c r="B177" s="34" t="s">
        <v>314</v>
      </c>
      <c r="C177" s="35" t="s">
        <v>241</v>
      </c>
      <c r="D177" s="35" t="s">
        <v>0</v>
      </c>
      <c r="E177" s="35" t="s">
        <v>0</v>
      </c>
      <c r="F177" s="72" t="s">
        <v>421</v>
      </c>
      <c r="G177" s="35"/>
      <c r="H177" s="35"/>
      <c r="I177" s="35"/>
      <c r="J177" s="35"/>
      <c r="K177" s="3"/>
      <c r="L177" s="36"/>
    </row>
    <row r="178" spans="2:12" ht="17.25" customHeight="1">
      <c r="B178" s="34" t="s">
        <v>0</v>
      </c>
      <c r="C178" s="35" t="s">
        <v>0</v>
      </c>
      <c r="D178" s="35" t="s">
        <v>0</v>
      </c>
      <c r="E178" s="35" t="s">
        <v>0</v>
      </c>
      <c r="F178" s="35"/>
      <c r="G178" s="35"/>
      <c r="H178" s="35"/>
      <c r="I178" s="35"/>
      <c r="J178" s="35"/>
      <c r="K178" s="3"/>
      <c r="L178" s="36"/>
    </row>
    <row r="179" spans="2:12" ht="17.25" customHeight="1">
      <c r="B179" s="34"/>
      <c r="C179" s="35"/>
      <c r="D179" s="35" t="s">
        <v>0</v>
      </c>
      <c r="E179" s="35" t="s">
        <v>0</v>
      </c>
      <c r="F179" s="35" t="s">
        <v>242</v>
      </c>
      <c r="G179" s="35"/>
      <c r="H179" s="35"/>
      <c r="I179" s="35"/>
      <c r="J179" s="35"/>
      <c r="K179" s="3"/>
      <c r="L179" s="36"/>
    </row>
    <row r="180" spans="2:12" ht="17.25" customHeight="1">
      <c r="B180" s="34" t="s">
        <v>314</v>
      </c>
      <c r="C180" s="35" t="s">
        <v>243</v>
      </c>
      <c r="D180" s="35" t="s">
        <v>0</v>
      </c>
      <c r="E180" s="35" t="s">
        <v>0</v>
      </c>
      <c r="F180" s="72" t="s">
        <v>422</v>
      </c>
      <c r="G180" s="35"/>
      <c r="H180" s="35"/>
      <c r="I180" s="35"/>
      <c r="J180" s="35"/>
      <c r="K180" s="3"/>
      <c r="L180" s="36"/>
    </row>
    <row r="181" spans="2:12" ht="17.25" customHeight="1">
      <c r="B181" s="34" t="s">
        <v>0</v>
      </c>
      <c r="C181" s="35" t="s">
        <v>0</v>
      </c>
      <c r="D181" s="35" t="s">
        <v>0</v>
      </c>
      <c r="E181" s="35" t="s">
        <v>0</v>
      </c>
      <c r="F181" s="35"/>
      <c r="G181" s="35"/>
      <c r="H181" s="35"/>
      <c r="I181" s="35"/>
      <c r="J181" s="35"/>
      <c r="K181" s="3"/>
      <c r="L181" s="36"/>
    </row>
    <row r="182" spans="2:12" ht="17.25" customHeight="1">
      <c r="B182" s="34"/>
      <c r="C182" s="35"/>
      <c r="D182" s="35" t="s">
        <v>0</v>
      </c>
      <c r="E182" s="35" t="s">
        <v>0</v>
      </c>
      <c r="F182" s="35" t="s">
        <v>244</v>
      </c>
      <c r="G182" s="35"/>
      <c r="H182" s="35"/>
      <c r="I182" s="35"/>
      <c r="J182" s="35"/>
      <c r="K182" s="3"/>
      <c r="L182" s="36"/>
    </row>
    <row r="183" spans="2:12" ht="17.25" customHeight="1">
      <c r="B183" s="34" t="s">
        <v>314</v>
      </c>
      <c r="C183" s="35" t="s">
        <v>245</v>
      </c>
      <c r="D183" s="35" t="s">
        <v>0</v>
      </c>
      <c r="E183" s="35" t="s">
        <v>0</v>
      </c>
      <c r="F183" s="72" t="s">
        <v>423</v>
      </c>
      <c r="G183" s="35"/>
      <c r="H183" s="35"/>
      <c r="I183" s="35"/>
      <c r="J183" s="35"/>
      <c r="K183" s="3"/>
      <c r="L183" s="36"/>
    </row>
    <row r="184" spans="2:12" ht="17.25" customHeight="1">
      <c r="B184" s="34" t="s">
        <v>0</v>
      </c>
      <c r="C184" s="35" t="s">
        <v>0</v>
      </c>
      <c r="D184" s="35" t="s">
        <v>0</v>
      </c>
      <c r="E184" s="35" t="s">
        <v>0</v>
      </c>
      <c r="F184" s="35"/>
      <c r="G184" s="35"/>
      <c r="H184" s="35"/>
      <c r="I184" s="35"/>
      <c r="J184" s="35"/>
      <c r="K184" s="3"/>
      <c r="L184" s="36"/>
    </row>
    <row r="185" spans="2:12" ht="17.25" customHeight="1">
      <c r="B185" s="34"/>
      <c r="C185" s="35"/>
      <c r="D185" s="35" t="s">
        <v>0</v>
      </c>
      <c r="E185" s="35" t="s">
        <v>0</v>
      </c>
      <c r="F185" s="35" t="s">
        <v>246</v>
      </c>
      <c r="G185" s="35"/>
      <c r="H185" s="35"/>
      <c r="I185" s="35"/>
      <c r="J185" s="35"/>
      <c r="K185" s="3"/>
      <c r="L185" s="36"/>
    </row>
    <row r="186" spans="2:12" ht="17.25" customHeight="1">
      <c r="B186" s="34" t="s">
        <v>314</v>
      </c>
      <c r="C186" s="35" t="s">
        <v>247</v>
      </c>
      <c r="D186" s="35" t="s">
        <v>0</v>
      </c>
      <c r="E186" s="35" t="s">
        <v>0</v>
      </c>
      <c r="F186" s="72" t="s">
        <v>424</v>
      </c>
      <c r="G186" s="35"/>
      <c r="H186" s="35"/>
      <c r="I186" s="35"/>
      <c r="J186" s="35"/>
      <c r="K186" s="3"/>
      <c r="L186" s="36"/>
    </row>
    <row r="187" spans="2:12" ht="17.25" customHeight="1">
      <c r="B187" s="34" t="s">
        <v>0</v>
      </c>
      <c r="C187" s="35" t="s">
        <v>0</v>
      </c>
      <c r="D187" s="35" t="s">
        <v>0</v>
      </c>
      <c r="E187" s="35" t="s">
        <v>0</v>
      </c>
      <c r="F187" s="35"/>
      <c r="G187" s="35"/>
      <c r="H187" s="35"/>
      <c r="I187" s="35"/>
      <c r="J187" s="35"/>
      <c r="K187" s="3"/>
      <c r="L187" s="36"/>
    </row>
    <row r="188" spans="2:12" ht="17.25" customHeight="1">
      <c r="B188" s="34"/>
      <c r="C188" s="35"/>
      <c r="D188" s="35" t="s">
        <v>0</v>
      </c>
      <c r="E188" s="35" t="s">
        <v>0</v>
      </c>
      <c r="F188" s="35" t="s">
        <v>248</v>
      </c>
      <c r="G188" s="35"/>
      <c r="H188" s="35"/>
      <c r="I188" s="35"/>
      <c r="J188" s="35"/>
      <c r="K188" s="3"/>
      <c r="L188" s="36"/>
    </row>
    <row r="189" spans="2:12" ht="17.25" customHeight="1">
      <c r="B189" s="34" t="s">
        <v>314</v>
      </c>
      <c r="C189" s="35" t="s">
        <v>249</v>
      </c>
      <c r="D189" s="35" t="s">
        <v>0</v>
      </c>
      <c r="E189" s="35" t="s">
        <v>0</v>
      </c>
      <c r="F189" s="72" t="s">
        <v>425</v>
      </c>
      <c r="G189" s="35"/>
      <c r="H189" s="35"/>
      <c r="I189" s="35"/>
      <c r="J189" s="35"/>
      <c r="K189" s="3"/>
      <c r="L189" s="36"/>
    </row>
    <row r="190" spans="2:12" ht="17.25" customHeight="1">
      <c r="B190" s="34" t="s">
        <v>0</v>
      </c>
      <c r="C190" s="35" t="s">
        <v>0</v>
      </c>
      <c r="D190" s="35" t="s">
        <v>0</v>
      </c>
      <c r="E190" s="35" t="s">
        <v>0</v>
      </c>
      <c r="F190" s="35"/>
      <c r="G190" s="35"/>
      <c r="H190" s="35"/>
      <c r="I190" s="35"/>
      <c r="J190" s="35"/>
      <c r="K190" s="3"/>
      <c r="L190" s="36"/>
    </row>
    <row r="191" spans="2:12" ht="17.25" customHeight="1">
      <c r="B191" s="34"/>
      <c r="C191" s="35"/>
      <c r="D191" s="35" t="s">
        <v>0</v>
      </c>
      <c r="E191" s="35" t="s">
        <v>0</v>
      </c>
      <c r="F191" s="35" t="s">
        <v>250</v>
      </c>
      <c r="G191" s="35"/>
      <c r="H191" s="35"/>
      <c r="I191" s="35"/>
      <c r="J191" s="35"/>
      <c r="K191" s="3"/>
      <c r="L191" s="36"/>
    </row>
    <row r="192" spans="2:12" ht="17.25" customHeight="1">
      <c r="B192" s="34" t="s">
        <v>314</v>
      </c>
      <c r="C192" s="35" t="s">
        <v>251</v>
      </c>
      <c r="D192" s="35" t="s">
        <v>0</v>
      </c>
      <c r="E192" s="35" t="s">
        <v>0</v>
      </c>
      <c r="F192" s="72" t="s">
        <v>426</v>
      </c>
      <c r="G192" s="35"/>
      <c r="H192" s="35"/>
      <c r="I192" s="35"/>
      <c r="J192" s="35"/>
      <c r="K192" s="3"/>
      <c r="L192" s="36"/>
    </row>
    <row r="193" spans="2:12" ht="17.25" customHeight="1">
      <c r="B193" s="34" t="s">
        <v>0</v>
      </c>
      <c r="C193" s="35" t="s">
        <v>0</v>
      </c>
      <c r="D193" s="35" t="s">
        <v>0</v>
      </c>
      <c r="E193" s="35" t="s">
        <v>0</v>
      </c>
      <c r="F193" s="35"/>
      <c r="G193" s="35"/>
      <c r="H193" s="35"/>
      <c r="I193" s="35"/>
      <c r="J193" s="35"/>
      <c r="K193" s="3"/>
      <c r="L193" s="36"/>
    </row>
    <row r="194" spans="2:12" ht="17.25" customHeight="1">
      <c r="B194" s="34"/>
      <c r="C194" s="35"/>
      <c r="D194" s="35" t="s">
        <v>0</v>
      </c>
      <c r="E194" s="35" t="s">
        <v>0</v>
      </c>
      <c r="F194" s="35" t="s">
        <v>252</v>
      </c>
      <c r="G194" s="35"/>
      <c r="H194" s="35"/>
      <c r="I194" s="35"/>
      <c r="J194" s="35"/>
      <c r="K194" s="3"/>
      <c r="L194" s="36"/>
    </row>
    <row r="195" spans="2:12" ht="17.25" customHeight="1">
      <c r="B195" s="34" t="s">
        <v>314</v>
      </c>
      <c r="C195" s="35" t="s">
        <v>253</v>
      </c>
      <c r="D195" s="35" t="s">
        <v>0</v>
      </c>
      <c r="E195" s="35" t="s">
        <v>0</v>
      </c>
      <c r="F195" s="72" t="s">
        <v>427</v>
      </c>
      <c r="G195" s="35"/>
      <c r="H195" s="35"/>
      <c r="I195" s="35"/>
      <c r="J195" s="35"/>
      <c r="K195" s="3"/>
      <c r="L195" s="36"/>
    </row>
    <row r="196" spans="2:12" ht="17.25" customHeight="1">
      <c r="B196" s="34"/>
      <c r="C196" s="35"/>
      <c r="D196" s="35"/>
      <c r="E196" s="35"/>
      <c r="F196" s="35"/>
      <c r="G196" s="35"/>
      <c r="H196" s="35"/>
      <c r="I196" s="35"/>
      <c r="J196" s="35"/>
      <c r="K196" s="3"/>
      <c r="L196" s="36"/>
    </row>
    <row r="197" spans="2:12" ht="23.25" customHeight="1">
      <c r="B197" s="34"/>
      <c r="C197" s="35"/>
      <c r="D197" s="35" t="s">
        <v>0</v>
      </c>
      <c r="E197" s="35" t="s">
        <v>0</v>
      </c>
      <c r="F197" s="19" t="s">
        <v>27</v>
      </c>
      <c r="G197" s="35"/>
      <c r="H197" s="35"/>
      <c r="I197" s="35"/>
      <c r="J197" s="35"/>
      <c r="K197" s="35"/>
      <c r="L197" s="36"/>
    </row>
    <row r="198" spans="2:12" ht="17.25" customHeight="1">
      <c r="B198" s="34" t="s">
        <v>314</v>
      </c>
      <c r="C198" s="51" t="s">
        <v>85</v>
      </c>
      <c r="D198" s="35" t="s">
        <v>0</v>
      </c>
      <c r="E198" s="35" t="s">
        <v>0</v>
      </c>
      <c r="F198" s="72" t="s">
        <v>428</v>
      </c>
      <c r="G198" s="35"/>
      <c r="H198" s="35"/>
      <c r="I198" s="35"/>
      <c r="J198" s="35"/>
      <c r="K198" s="3"/>
      <c r="L198" s="36"/>
    </row>
    <row r="199" spans="2:12" ht="17.25" customHeight="1">
      <c r="B199" s="34"/>
      <c r="C199" s="35"/>
      <c r="D199" s="35"/>
      <c r="E199" s="35"/>
      <c r="F199" s="35"/>
      <c r="G199" s="35"/>
      <c r="H199" s="35"/>
      <c r="I199" s="35"/>
      <c r="J199" s="35"/>
      <c r="K199" s="3"/>
      <c r="L199" s="36"/>
    </row>
    <row r="200" spans="2:12" ht="33" customHeight="1">
      <c r="B200" s="34"/>
      <c r="C200" s="35"/>
      <c r="D200" s="35"/>
      <c r="E200" s="35"/>
      <c r="F200" s="41" t="s">
        <v>28</v>
      </c>
      <c r="G200" s="35"/>
      <c r="H200" s="35"/>
      <c r="I200" s="35"/>
      <c r="J200" s="35"/>
      <c r="K200" s="3"/>
      <c r="L200" s="36"/>
    </row>
    <row r="201" spans="2:12" ht="17.25" customHeight="1">
      <c r="B201" s="34"/>
      <c r="C201" s="35"/>
      <c r="D201" s="35"/>
      <c r="E201" s="35"/>
      <c r="F201" s="35"/>
      <c r="G201" s="35"/>
      <c r="H201" s="35"/>
      <c r="I201" s="35"/>
      <c r="J201" s="35"/>
      <c r="K201" s="3"/>
      <c r="L201" s="36"/>
    </row>
    <row r="202" spans="2:12" ht="17.25" customHeight="1">
      <c r="B202" s="34"/>
      <c r="C202" s="35"/>
      <c r="D202" s="35" t="s">
        <v>0</v>
      </c>
      <c r="E202" s="35" t="s">
        <v>0</v>
      </c>
      <c r="F202" s="35" t="s">
        <v>254</v>
      </c>
      <c r="G202" s="35"/>
      <c r="H202" s="35"/>
      <c r="I202" s="35"/>
      <c r="J202" s="35"/>
      <c r="K202" s="3"/>
      <c r="L202" s="36"/>
    </row>
    <row r="203" spans="2:12" ht="17.25" customHeight="1">
      <c r="B203" s="34" t="s">
        <v>314</v>
      </c>
      <c r="C203" s="35" t="s">
        <v>255</v>
      </c>
      <c r="D203" s="35" t="s">
        <v>0</v>
      </c>
      <c r="E203" s="35" t="s">
        <v>0</v>
      </c>
      <c r="F203" s="72" t="s">
        <v>429</v>
      </c>
      <c r="G203" s="35"/>
      <c r="H203" s="35"/>
      <c r="I203" s="35"/>
      <c r="J203" s="35"/>
      <c r="K203" s="3"/>
      <c r="L203" s="36"/>
    </row>
    <row r="204" spans="2:12" ht="17.25" customHeight="1">
      <c r="B204" s="34"/>
      <c r="C204" s="35"/>
      <c r="D204" s="35"/>
      <c r="E204" s="35"/>
      <c r="F204" s="35"/>
      <c r="G204" s="35"/>
      <c r="H204" s="35"/>
      <c r="I204" s="35"/>
      <c r="J204" s="35"/>
      <c r="K204" s="3"/>
      <c r="L204" s="36"/>
    </row>
    <row r="205" spans="2:12" ht="22.5">
      <c r="B205" s="34" t="s">
        <v>314</v>
      </c>
      <c r="C205" s="35" t="s">
        <v>256</v>
      </c>
      <c r="D205" s="35" t="s">
        <v>0</v>
      </c>
      <c r="E205" s="35" t="s">
        <v>0</v>
      </c>
      <c r="F205" s="98" t="s">
        <v>257</v>
      </c>
      <c r="G205" s="35"/>
      <c r="H205" s="81">
        <v>30000</v>
      </c>
      <c r="I205" s="81">
        <v>40000</v>
      </c>
      <c r="J205" s="35"/>
      <c r="K205" s="3"/>
      <c r="L205" s="36"/>
    </row>
    <row r="206" spans="2:12" ht="17.25" customHeight="1">
      <c r="B206" s="34" t="s">
        <v>0</v>
      </c>
      <c r="C206" s="35" t="s">
        <v>0</v>
      </c>
      <c r="D206" s="35" t="s">
        <v>0</v>
      </c>
      <c r="E206" s="35" t="s">
        <v>0</v>
      </c>
      <c r="F206" s="35"/>
      <c r="G206" s="35"/>
      <c r="H206" s="35"/>
      <c r="I206" s="35"/>
      <c r="J206" s="35"/>
      <c r="K206" s="3"/>
      <c r="L206" s="36"/>
    </row>
    <row r="207" spans="2:12" ht="17.25" customHeight="1">
      <c r="B207" s="34"/>
      <c r="C207" s="35"/>
      <c r="D207" s="35" t="s">
        <v>0</v>
      </c>
      <c r="E207" s="35" t="s">
        <v>0</v>
      </c>
      <c r="F207" s="35" t="s">
        <v>258</v>
      </c>
      <c r="G207" s="35"/>
      <c r="H207" s="35"/>
      <c r="I207" s="35"/>
      <c r="J207" s="35"/>
      <c r="K207" s="3"/>
      <c r="L207" s="36"/>
    </row>
    <row r="208" spans="2:12" ht="17.25" customHeight="1">
      <c r="B208" s="34" t="s">
        <v>314</v>
      </c>
      <c r="C208" s="35" t="s">
        <v>259</v>
      </c>
      <c r="D208" s="35" t="s">
        <v>0</v>
      </c>
      <c r="E208" s="35" t="s">
        <v>0</v>
      </c>
      <c r="F208" s="72" t="s">
        <v>430</v>
      </c>
      <c r="G208" s="35"/>
      <c r="H208" s="35"/>
      <c r="I208" s="35"/>
      <c r="J208" s="35"/>
      <c r="K208" s="3"/>
      <c r="L208" s="36"/>
    </row>
    <row r="209" spans="2:12" ht="17.25" customHeight="1">
      <c r="B209" s="34"/>
      <c r="C209" s="35"/>
      <c r="D209" s="35"/>
      <c r="E209" s="35"/>
      <c r="F209" s="35"/>
      <c r="G209" s="35"/>
      <c r="H209" s="35"/>
      <c r="I209" s="35"/>
      <c r="J209" s="35"/>
      <c r="K209" s="3"/>
      <c r="L209" s="36"/>
    </row>
    <row r="210" spans="2:12" ht="22.5">
      <c r="B210" s="34" t="s">
        <v>314</v>
      </c>
      <c r="C210" s="35" t="s">
        <v>260</v>
      </c>
      <c r="D210" s="35" t="s">
        <v>0</v>
      </c>
      <c r="E210" s="35" t="s">
        <v>0</v>
      </c>
      <c r="F210" s="98" t="s">
        <v>261</v>
      </c>
      <c r="G210" s="35"/>
      <c r="H210" s="81">
        <v>450000</v>
      </c>
      <c r="I210" s="81">
        <v>500000</v>
      </c>
      <c r="J210" s="35"/>
      <c r="K210" s="3"/>
      <c r="L210" s="36"/>
    </row>
    <row r="211" spans="2:12" ht="17.25" customHeight="1">
      <c r="B211" s="34" t="s">
        <v>0</v>
      </c>
      <c r="C211" s="35" t="s">
        <v>0</v>
      </c>
      <c r="D211" s="35" t="s">
        <v>0</v>
      </c>
      <c r="E211" s="35" t="s">
        <v>0</v>
      </c>
      <c r="F211" s="35"/>
      <c r="G211" s="35"/>
      <c r="H211" s="35"/>
      <c r="I211" s="35"/>
      <c r="J211" s="35"/>
      <c r="K211" s="3"/>
      <c r="L211" s="36"/>
    </row>
    <row r="212" spans="2:12" ht="17.25" customHeight="1">
      <c r="B212" s="34"/>
      <c r="C212" s="35"/>
      <c r="D212" s="35" t="s">
        <v>0</v>
      </c>
      <c r="E212" s="35" t="s">
        <v>0</v>
      </c>
      <c r="F212" s="35" t="s">
        <v>262</v>
      </c>
      <c r="G212" s="35"/>
      <c r="H212" s="35"/>
      <c r="I212" s="35"/>
      <c r="J212" s="35"/>
      <c r="K212" s="3"/>
      <c r="L212" s="36"/>
    </row>
    <row r="213" spans="2:12" ht="17.25" customHeight="1">
      <c r="B213" s="34" t="s">
        <v>314</v>
      </c>
      <c r="C213" s="35" t="s">
        <v>263</v>
      </c>
      <c r="D213" s="35" t="s">
        <v>0</v>
      </c>
      <c r="E213" s="35" t="s">
        <v>0</v>
      </c>
      <c r="F213" s="72" t="s">
        <v>431</v>
      </c>
      <c r="G213" s="35"/>
      <c r="H213" s="35"/>
      <c r="I213" s="35"/>
      <c r="J213" s="35"/>
      <c r="K213" s="3"/>
      <c r="L213" s="36"/>
    </row>
    <row r="214" spans="2:12" ht="17.25" customHeight="1">
      <c r="B214" s="34" t="s">
        <v>0</v>
      </c>
      <c r="C214" s="35" t="s">
        <v>0</v>
      </c>
      <c r="D214" s="35" t="s">
        <v>0</v>
      </c>
      <c r="E214" s="35" t="s">
        <v>0</v>
      </c>
      <c r="F214" s="35"/>
      <c r="G214" s="35"/>
      <c r="H214" s="35"/>
      <c r="I214" s="35"/>
      <c r="J214" s="35"/>
      <c r="K214" s="3"/>
      <c r="L214" s="36"/>
    </row>
    <row r="215" spans="2:12" ht="17.25" customHeight="1">
      <c r="B215" s="34"/>
      <c r="C215" s="35"/>
      <c r="D215" s="35" t="s">
        <v>0</v>
      </c>
      <c r="E215" s="35" t="s">
        <v>0</v>
      </c>
      <c r="F215" s="35" t="s">
        <v>264</v>
      </c>
      <c r="G215" s="35"/>
      <c r="H215" s="35"/>
      <c r="I215" s="35"/>
      <c r="J215" s="35"/>
      <c r="K215" s="3"/>
      <c r="L215" s="36"/>
    </row>
    <row r="216" spans="2:12" ht="17.25" customHeight="1">
      <c r="B216" s="34" t="s">
        <v>314</v>
      </c>
      <c r="C216" s="35" t="s">
        <v>265</v>
      </c>
      <c r="D216" s="35" t="s">
        <v>0</v>
      </c>
      <c r="E216" s="35" t="s">
        <v>0</v>
      </c>
      <c r="F216" s="72" t="s">
        <v>432</v>
      </c>
      <c r="G216" s="35"/>
      <c r="H216" s="35"/>
      <c r="I216" s="35"/>
      <c r="J216" s="35"/>
      <c r="K216" s="3"/>
      <c r="L216" s="36"/>
    </row>
    <row r="217" spans="2:12" ht="17.25" customHeight="1">
      <c r="B217" s="34" t="s">
        <v>0</v>
      </c>
      <c r="C217" s="35" t="s">
        <v>0</v>
      </c>
      <c r="D217" s="35" t="s">
        <v>0</v>
      </c>
      <c r="E217" s="35" t="s">
        <v>0</v>
      </c>
      <c r="F217" s="35"/>
      <c r="G217" s="35"/>
      <c r="H217" s="35"/>
      <c r="I217" s="35"/>
      <c r="J217" s="35"/>
      <c r="K217" s="3"/>
      <c r="L217" s="36"/>
    </row>
    <row r="218" spans="2:12" ht="17.25" customHeight="1">
      <c r="B218" s="34"/>
      <c r="C218" s="35"/>
      <c r="D218" s="35" t="s">
        <v>0</v>
      </c>
      <c r="E218" s="35" t="s">
        <v>0</v>
      </c>
      <c r="F218" s="35" t="s">
        <v>266</v>
      </c>
      <c r="G218" s="35"/>
      <c r="H218" s="35"/>
      <c r="I218" s="35"/>
      <c r="J218" s="35"/>
      <c r="K218" s="3"/>
      <c r="L218" s="36"/>
    </row>
    <row r="219" spans="2:12" ht="17.25" customHeight="1">
      <c r="B219" s="34" t="s">
        <v>314</v>
      </c>
      <c r="C219" s="35" t="s">
        <v>267</v>
      </c>
      <c r="D219" s="35" t="s">
        <v>0</v>
      </c>
      <c r="E219" s="35" t="s">
        <v>0</v>
      </c>
      <c r="F219" s="72" t="s">
        <v>433</v>
      </c>
      <c r="G219" s="35"/>
      <c r="H219" s="35"/>
      <c r="I219" s="35"/>
      <c r="J219" s="35"/>
      <c r="K219" s="3"/>
      <c r="L219" s="36"/>
    </row>
    <row r="220" spans="2:12" ht="17.25" customHeight="1">
      <c r="B220" s="34" t="s">
        <v>0</v>
      </c>
      <c r="C220" s="35" t="s">
        <v>0</v>
      </c>
      <c r="D220" s="35" t="s">
        <v>0</v>
      </c>
      <c r="E220" s="35" t="s">
        <v>0</v>
      </c>
      <c r="F220" s="35"/>
      <c r="G220" s="35"/>
      <c r="H220" s="35"/>
      <c r="I220" s="35"/>
      <c r="J220" s="35"/>
      <c r="K220" s="3"/>
      <c r="L220" s="36"/>
    </row>
    <row r="221" spans="2:12" ht="17.25" customHeight="1">
      <c r="B221" s="34"/>
      <c r="C221" s="35"/>
      <c r="D221" s="35" t="s">
        <v>0</v>
      </c>
      <c r="E221" s="35" t="s">
        <v>0</v>
      </c>
      <c r="F221" s="35" t="s">
        <v>268</v>
      </c>
      <c r="G221" s="35"/>
      <c r="H221" s="35"/>
      <c r="I221" s="35"/>
      <c r="J221" s="35"/>
      <c r="K221" s="3"/>
      <c r="L221" s="36"/>
    </row>
    <row r="222" spans="2:12" ht="17.25" customHeight="1">
      <c r="B222" s="34" t="s">
        <v>314</v>
      </c>
      <c r="C222" s="35" t="s">
        <v>269</v>
      </c>
      <c r="D222" s="35" t="s">
        <v>0</v>
      </c>
      <c r="E222" s="35" t="s">
        <v>0</v>
      </c>
      <c r="F222" s="72" t="s">
        <v>434</v>
      </c>
      <c r="G222" s="35"/>
      <c r="H222" s="35"/>
      <c r="I222" s="35"/>
      <c r="J222" s="35"/>
      <c r="K222" s="3"/>
      <c r="L222" s="36"/>
    </row>
    <row r="223" spans="2:12" ht="17.25" customHeight="1">
      <c r="B223" s="34" t="s">
        <v>0</v>
      </c>
      <c r="C223" s="35" t="s">
        <v>0</v>
      </c>
      <c r="D223" s="35" t="s">
        <v>0</v>
      </c>
      <c r="E223" s="35" t="s">
        <v>0</v>
      </c>
      <c r="F223" s="35"/>
      <c r="G223" s="35"/>
      <c r="H223" s="35"/>
      <c r="I223" s="35"/>
      <c r="J223" s="35"/>
      <c r="K223" s="3"/>
      <c r="L223" s="36"/>
    </row>
    <row r="224" spans="2:12" ht="17.25" customHeight="1">
      <c r="B224" s="34"/>
      <c r="C224" s="35"/>
      <c r="D224" s="35" t="s">
        <v>0</v>
      </c>
      <c r="E224" s="35" t="s">
        <v>0</v>
      </c>
      <c r="F224" s="35" t="s">
        <v>270</v>
      </c>
      <c r="G224" s="35"/>
      <c r="H224" s="35"/>
      <c r="I224" s="35"/>
      <c r="J224" s="35"/>
      <c r="K224" s="3"/>
      <c r="L224" s="36"/>
    </row>
    <row r="225" spans="2:12" ht="17.25" customHeight="1">
      <c r="B225" s="34" t="s">
        <v>314</v>
      </c>
      <c r="C225" s="35" t="s">
        <v>271</v>
      </c>
      <c r="D225" s="35" t="s">
        <v>0</v>
      </c>
      <c r="E225" s="35" t="s">
        <v>0</v>
      </c>
      <c r="F225" s="72" t="s">
        <v>435</v>
      </c>
      <c r="G225" s="35"/>
      <c r="H225" s="35"/>
      <c r="I225" s="35"/>
      <c r="J225" s="35"/>
      <c r="K225" s="3"/>
      <c r="L225" s="36"/>
    </row>
    <row r="226" spans="2:12" ht="17.25" customHeight="1">
      <c r="B226" s="34" t="s">
        <v>0</v>
      </c>
      <c r="C226" s="35" t="s">
        <v>0</v>
      </c>
      <c r="D226" s="35" t="s">
        <v>0</v>
      </c>
      <c r="E226" s="35" t="s">
        <v>0</v>
      </c>
      <c r="F226" s="35"/>
      <c r="G226" s="35"/>
      <c r="H226" s="35"/>
      <c r="I226" s="35"/>
      <c r="J226" s="35"/>
      <c r="K226" s="3"/>
      <c r="L226" s="36"/>
    </row>
    <row r="227" spans="2:12" ht="17.25" customHeight="1">
      <c r="B227" s="34"/>
      <c r="C227" s="35"/>
      <c r="D227" s="35" t="s">
        <v>0</v>
      </c>
      <c r="E227" s="35" t="s">
        <v>0</v>
      </c>
      <c r="F227" s="35" t="s">
        <v>272</v>
      </c>
      <c r="G227" s="35"/>
      <c r="H227" s="35"/>
      <c r="I227" s="35"/>
      <c r="J227" s="35"/>
      <c r="K227" s="3"/>
      <c r="L227" s="36"/>
    </row>
    <row r="228" spans="2:12" ht="17.25" customHeight="1">
      <c r="B228" s="34" t="s">
        <v>314</v>
      </c>
      <c r="C228" s="35" t="s">
        <v>273</v>
      </c>
      <c r="D228" s="35" t="s">
        <v>0</v>
      </c>
      <c r="E228" s="35" t="s">
        <v>0</v>
      </c>
      <c r="F228" s="72" t="s">
        <v>436</v>
      </c>
      <c r="G228" s="35"/>
      <c r="H228" s="35"/>
      <c r="I228" s="35"/>
      <c r="J228" s="35"/>
      <c r="K228" s="3"/>
      <c r="L228" s="36"/>
    </row>
    <row r="229" spans="2:12" ht="17.25" customHeight="1">
      <c r="B229" s="34" t="s">
        <v>0</v>
      </c>
      <c r="C229" s="35" t="s">
        <v>0</v>
      </c>
      <c r="D229" s="35" t="s">
        <v>0</v>
      </c>
      <c r="E229" s="35" t="s">
        <v>0</v>
      </c>
      <c r="F229" s="35"/>
      <c r="G229" s="35"/>
      <c r="H229" s="35"/>
      <c r="I229" s="35"/>
      <c r="J229" s="35"/>
      <c r="K229" s="3"/>
      <c r="L229" s="36"/>
    </row>
    <row r="230" spans="2:12" ht="17.25" customHeight="1">
      <c r="B230" s="34"/>
      <c r="C230" s="35"/>
      <c r="D230" s="35" t="s">
        <v>0</v>
      </c>
      <c r="E230" s="35" t="s">
        <v>0</v>
      </c>
      <c r="F230" s="35" t="s">
        <v>274</v>
      </c>
      <c r="G230" s="35"/>
      <c r="H230" s="35"/>
      <c r="I230" s="35"/>
      <c r="J230" s="35"/>
      <c r="K230" s="3"/>
      <c r="L230" s="36"/>
    </row>
    <row r="231" spans="2:12" ht="17.25" customHeight="1">
      <c r="B231" s="34" t="s">
        <v>314</v>
      </c>
      <c r="C231" s="35" t="s">
        <v>275</v>
      </c>
      <c r="D231" s="35" t="s">
        <v>0</v>
      </c>
      <c r="E231" s="35" t="s">
        <v>0</v>
      </c>
      <c r="F231" s="72" t="s">
        <v>437</v>
      </c>
      <c r="G231" s="35"/>
      <c r="H231" s="35"/>
      <c r="I231" s="35"/>
      <c r="J231" s="35"/>
      <c r="K231" s="3"/>
      <c r="L231" s="36"/>
    </row>
    <row r="232" spans="2:12" ht="17.25" customHeight="1">
      <c r="B232" s="34" t="s">
        <v>0</v>
      </c>
      <c r="C232" s="35" t="s">
        <v>0</v>
      </c>
      <c r="D232" s="35" t="s">
        <v>0</v>
      </c>
      <c r="E232" s="35" t="s">
        <v>0</v>
      </c>
      <c r="F232" s="35"/>
      <c r="G232" s="35"/>
      <c r="H232" s="35"/>
      <c r="I232" s="35"/>
      <c r="J232" s="35"/>
      <c r="K232" s="3"/>
      <c r="L232" s="36"/>
    </row>
    <row r="233" spans="2:12" ht="17.25" customHeight="1">
      <c r="B233" s="34"/>
      <c r="C233" s="35"/>
      <c r="D233" s="35" t="s">
        <v>0</v>
      </c>
      <c r="E233" s="35" t="s">
        <v>0</v>
      </c>
      <c r="F233" s="35" t="s">
        <v>276</v>
      </c>
      <c r="G233" s="35"/>
      <c r="H233" s="35"/>
      <c r="I233" s="35"/>
      <c r="J233" s="35"/>
      <c r="K233" s="3"/>
      <c r="L233" s="36"/>
    </row>
    <row r="234" spans="2:12" ht="17.25" customHeight="1">
      <c r="B234" s="34" t="s">
        <v>314</v>
      </c>
      <c r="C234" s="35" t="s">
        <v>277</v>
      </c>
      <c r="D234" s="35" t="s">
        <v>0</v>
      </c>
      <c r="E234" s="35" t="s">
        <v>0</v>
      </c>
      <c r="F234" s="72" t="s">
        <v>438</v>
      </c>
      <c r="G234" s="35"/>
      <c r="H234" s="35"/>
      <c r="I234" s="35"/>
      <c r="J234" s="35"/>
      <c r="K234" s="3"/>
      <c r="L234" s="36"/>
    </row>
    <row r="235" spans="2:12" ht="17.25" customHeight="1">
      <c r="B235" s="34" t="s">
        <v>0</v>
      </c>
      <c r="C235" s="35" t="s">
        <v>0</v>
      </c>
      <c r="D235" s="35" t="s">
        <v>0</v>
      </c>
      <c r="E235" s="35" t="s">
        <v>0</v>
      </c>
      <c r="F235" s="35"/>
      <c r="G235" s="35"/>
      <c r="H235" s="35"/>
      <c r="I235" s="35"/>
      <c r="J235" s="35"/>
      <c r="K235" s="3"/>
      <c r="L235" s="36"/>
    </row>
    <row r="236" spans="2:12" ht="17.25" customHeight="1">
      <c r="B236" s="34"/>
      <c r="C236" s="35"/>
      <c r="D236" s="35" t="s">
        <v>0</v>
      </c>
      <c r="E236" s="35" t="s">
        <v>0</v>
      </c>
      <c r="F236" s="35" t="s">
        <v>278</v>
      </c>
      <c r="G236" s="35"/>
      <c r="H236" s="35"/>
      <c r="I236" s="35"/>
      <c r="J236" s="35"/>
      <c r="K236" s="3"/>
      <c r="L236" s="36"/>
    </row>
    <row r="237" spans="2:12" ht="17.25" customHeight="1">
      <c r="B237" s="34" t="s">
        <v>314</v>
      </c>
      <c r="C237" s="35" t="s">
        <v>279</v>
      </c>
      <c r="D237" s="35" t="s">
        <v>0</v>
      </c>
      <c r="E237" s="35" t="s">
        <v>0</v>
      </c>
      <c r="F237" s="72" t="s">
        <v>439</v>
      </c>
      <c r="G237" s="35"/>
      <c r="H237" s="35"/>
      <c r="I237" s="35"/>
      <c r="J237" s="35"/>
      <c r="K237" s="3"/>
      <c r="L237" s="36"/>
    </row>
    <row r="238" spans="2:12" ht="17.25" customHeight="1">
      <c r="B238" s="34" t="s">
        <v>0</v>
      </c>
      <c r="C238" s="35" t="s">
        <v>0</v>
      </c>
      <c r="D238" s="35" t="s">
        <v>0</v>
      </c>
      <c r="E238" s="35" t="s">
        <v>0</v>
      </c>
      <c r="F238" s="35"/>
      <c r="G238" s="35"/>
      <c r="H238" s="35"/>
      <c r="I238" s="35"/>
      <c r="J238" s="35"/>
      <c r="K238" s="3"/>
      <c r="L238" s="36"/>
    </row>
    <row r="239" spans="2:12" ht="17.25" customHeight="1">
      <c r="B239" s="34"/>
      <c r="C239" s="35"/>
      <c r="D239" s="35" t="s">
        <v>0</v>
      </c>
      <c r="E239" s="35" t="s">
        <v>0</v>
      </c>
      <c r="F239" s="35" t="s">
        <v>280</v>
      </c>
      <c r="G239" s="35"/>
      <c r="H239" s="35"/>
      <c r="I239" s="35"/>
      <c r="J239" s="35"/>
      <c r="K239" s="3"/>
      <c r="L239" s="36"/>
    </row>
    <row r="240" spans="2:12" ht="17.25" customHeight="1">
      <c r="B240" s="34" t="s">
        <v>314</v>
      </c>
      <c r="C240" s="35" t="s">
        <v>281</v>
      </c>
      <c r="D240" s="35" t="s">
        <v>0</v>
      </c>
      <c r="E240" s="35" t="s">
        <v>0</v>
      </c>
      <c r="F240" s="72" t="s">
        <v>440</v>
      </c>
      <c r="G240" s="35"/>
      <c r="H240" s="35"/>
      <c r="I240" s="35"/>
      <c r="J240" s="35"/>
      <c r="K240" s="3"/>
      <c r="L240" s="36"/>
    </row>
    <row r="241" spans="2:12" ht="17.25" customHeight="1">
      <c r="B241" s="34"/>
      <c r="C241" s="35"/>
      <c r="D241" s="35"/>
      <c r="E241" s="35"/>
      <c r="F241" s="35"/>
      <c r="G241" s="35"/>
      <c r="H241" s="35"/>
      <c r="I241" s="35"/>
      <c r="J241" s="35"/>
      <c r="K241" s="3"/>
      <c r="L241" s="36"/>
    </row>
    <row r="242" spans="2:12" ht="17.25" customHeight="1">
      <c r="B242" s="34"/>
      <c r="C242" s="35"/>
      <c r="D242" s="35" t="s">
        <v>0</v>
      </c>
      <c r="E242" s="35" t="s">
        <v>0</v>
      </c>
      <c r="F242" s="115" t="s">
        <v>349</v>
      </c>
      <c r="G242" s="35"/>
      <c r="H242" s="35"/>
      <c r="I242" s="35"/>
      <c r="J242" s="35"/>
      <c r="K242" s="3"/>
      <c r="L242" s="36"/>
    </row>
    <row r="243" spans="2:12" ht="17.25" customHeight="1">
      <c r="B243" s="34" t="s">
        <v>314</v>
      </c>
      <c r="C243" s="35" t="s">
        <v>341</v>
      </c>
      <c r="D243" s="35" t="s">
        <v>0</v>
      </c>
      <c r="E243" s="35" t="s">
        <v>0</v>
      </c>
      <c r="F243" s="72" t="s">
        <v>441</v>
      </c>
      <c r="G243" s="35"/>
      <c r="H243" s="35"/>
      <c r="I243" s="35"/>
      <c r="J243" s="35"/>
      <c r="K243" s="3"/>
      <c r="L243" s="36"/>
    </row>
    <row r="244" spans="2:12" ht="17.25" customHeight="1">
      <c r="B244" s="34"/>
      <c r="C244" s="35"/>
      <c r="D244" s="35"/>
      <c r="E244" s="35"/>
      <c r="F244" s="35"/>
      <c r="G244" s="35"/>
      <c r="H244" s="35"/>
      <c r="I244" s="35"/>
      <c r="J244" s="35"/>
      <c r="K244" s="3"/>
      <c r="L244" s="36"/>
    </row>
    <row r="245" spans="2:12" ht="17.25" customHeight="1">
      <c r="B245" s="34"/>
      <c r="C245" s="35"/>
      <c r="D245" s="35" t="s">
        <v>0</v>
      </c>
      <c r="E245" s="35" t="s">
        <v>0</v>
      </c>
      <c r="F245" s="115" t="s">
        <v>350</v>
      </c>
      <c r="G245" s="35"/>
      <c r="H245" s="35"/>
      <c r="I245" s="35"/>
      <c r="J245" s="35"/>
      <c r="K245" s="3"/>
      <c r="L245" s="36"/>
    </row>
    <row r="246" spans="2:12" ht="17.25" customHeight="1">
      <c r="B246" s="34" t="s">
        <v>314</v>
      </c>
      <c r="C246" s="35" t="s">
        <v>342</v>
      </c>
      <c r="D246" s="35" t="s">
        <v>0</v>
      </c>
      <c r="E246" s="35" t="s">
        <v>0</v>
      </c>
      <c r="F246" s="72" t="s">
        <v>442</v>
      </c>
      <c r="G246" s="35"/>
      <c r="H246" s="35"/>
      <c r="I246" s="35"/>
      <c r="J246" s="35"/>
      <c r="K246" s="3"/>
      <c r="L246" s="36"/>
    </row>
    <row r="247" spans="2:12" ht="17.25" customHeight="1">
      <c r="B247" s="34"/>
      <c r="C247" s="35"/>
      <c r="D247" s="35"/>
      <c r="E247" s="35"/>
      <c r="F247" s="35"/>
      <c r="G247" s="35"/>
      <c r="H247" s="35"/>
      <c r="I247" s="35"/>
      <c r="J247" s="35"/>
      <c r="K247" s="3"/>
      <c r="L247" s="36"/>
    </row>
    <row r="248" spans="2:12" ht="33.75">
      <c r="B248" s="34" t="s">
        <v>314</v>
      </c>
      <c r="C248" s="35" t="s">
        <v>282</v>
      </c>
      <c r="D248" s="35" t="s">
        <v>0</v>
      </c>
      <c r="E248" s="35" t="s">
        <v>0</v>
      </c>
      <c r="F248" s="98" t="s">
        <v>283</v>
      </c>
      <c r="G248" s="35"/>
      <c r="H248" s="81">
        <v>10000000</v>
      </c>
      <c r="I248" s="81">
        <v>20000000</v>
      </c>
      <c r="J248" s="35"/>
      <c r="K248" s="3"/>
      <c r="L248" s="36"/>
    </row>
    <row r="249" spans="2:12" ht="17.25" customHeight="1">
      <c r="B249" s="34" t="s">
        <v>0</v>
      </c>
      <c r="C249" s="35" t="s">
        <v>0</v>
      </c>
      <c r="D249" s="35" t="s">
        <v>0</v>
      </c>
      <c r="E249" s="35" t="s">
        <v>0</v>
      </c>
      <c r="F249" s="35"/>
      <c r="G249" s="35"/>
      <c r="H249" s="35"/>
      <c r="I249" s="35"/>
      <c r="J249" s="35"/>
      <c r="K249" s="3"/>
      <c r="L249" s="36"/>
    </row>
    <row r="250" spans="2:12" ht="33.75">
      <c r="B250" s="34"/>
      <c r="C250" s="35"/>
      <c r="D250" s="35" t="s">
        <v>0</v>
      </c>
      <c r="E250" s="35" t="s">
        <v>0</v>
      </c>
      <c r="F250" s="98" t="s">
        <v>284</v>
      </c>
      <c r="G250" s="35"/>
      <c r="H250" s="35"/>
      <c r="I250" s="35"/>
      <c r="J250" s="35"/>
      <c r="K250" s="3"/>
      <c r="L250" s="36"/>
    </row>
    <row r="251" spans="2:12" ht="17.25" customHeight="1">
      <c r="B251" s="34" t="s">
        <v>314</v>
      </c>
      <c r="C251" s="35" t="s">
        <v>285</v>
      </c>
      <c r="D251" s="35" t="s">
        <v>0</v>
      </c>
      <c r="E251" s="35" t="s">
        <v>0</v>
      </c>
      <c r="F251" s="72" t="s">
        <v>443</v>
      </c>
      <c r="G251" s="35"/>
      <c r="H251" s="35"/>
      <c r="I251" s="35"/>
      <c r="J251" s="35"/>
      <c r="K251" s="3"/>
      <c r="L251" s="36"/>
    </row>
    <row r="252" spans="2:12" ht="17.25" customHeight="1">
      <c r="B252" s="34" t="s">
        <v>0</v>
      </c>
      <c r="C252" s="35" t="s">
        <v>0</v>
      </c>
      <c r="D252" s="35" t="s">
        <v>0</v>
      </c>
      <c r="E252" s="35" t="s">
        <v>0</v>
      </c>
      <c r="F252" s="35"/>
      <c r="G252" s="35"/>
      <c r="H252" s="35"/>
      <c r="I252" s="35"/>
      <c r="J252" s="35"/>
      <c r="K252" s="3"/>
      <c r="L252" s="36"/>
    </row>
    <row r="253" spans="2:12" ht="17.25" customHeight="1">
      <c r="B253" s="34"/>
      <c r="C253" s="35"/>
      <c r="D253" s="35" t="s">
        <v>0</v>
      </c>
      <c r="E253" s="35" t="s">
        <v>0</v>
      </c>
      <c r="F253" s="35" t="s">
        <v>286</v>
      </c>
      <c r="G253" s="35"/>
      <c r="H253" s="35"/>
      <c r="I253" s="35"/>
      <c r="J253" s="35"/>
      <c r="K253" s="3"/>
      <c r="L253" s="36"/>
    </row>
    <row r="254" spans="2:12" ht="17.25" customHeight="1">
      <c r="B254" s="34" t="s">
        <v>314</v>
      </c>
      <c r="C254" s="35" t="s">
        <v>287</v>
      </c>
      <c r="D254" s="35" t="s">
        <v>0</v>
      </c>
      <c r="E254" s="35" t="s">
        <v>0</v>
      </c>
      <c r="F254" s="72" t="s">
        <v>444</v>
      </c>
      <c r="G254" s="35"/>
      <c r="H254" s="35"/>
      <c r="I254" s="35"/>
      <c r="J254" s="35"/>
      <c r="K254" s="3"/>
      <c r="L254" s="36"/>
    </row>
    <row r="255" spans="2:12" ht="17.25" customHeight="1">
      <c r="B255" s="34" t="s">
        <v>0</v>
      </c>
      <c r="C255" s="35" t="s">
        <v>0</v>
      </c>
      <c r="D255" s="35" t="s">
        <v>0</v>
      </c>
      <c r="E255" s="35" t="s">
        <v>0</v>
      </c>
      <c r="F255" s="35"/>
      <c r="G255" s="35"/>
      <c r="H255" s="35"/>
      <c r="I255" s="35"/>
      <c r="J255" s="35"/>
      <c r="K255" s="3"/>
      <c r="L255" s="36"/>
    </row>
    <row r="256" spans="2:12" ht="17.25" customHeight="1">
      <c r="B256" s="34"/>
      <c r="C256" s="35"/>
      <c r="D256" s="35" t="s">
        <v>0</v>
      </c>
      <c r="E256" s="35" t="s">
        <v>0</v>
      </c>
      <c r="F256" s="35" t="s">
        <v>288</v>
      </c>
      <c r="G256" s="35"/>
      <c r="H256" s="35"/>
      <c r="I256" s="35"/>
      <c r="J256" s="35"/>
      <c r="K256" s="3"/>
      <c r="L256" s="36"/>
    </row>
    <row r="257" spans="2:12" ht="17.25" customHeight="1">
      <c r="B257" s="34" t="s">
        <v>314</v>
      </c>
      <c r="C257" s="35" t="s">
        <v>289</v>
      </c>
      <c r="D257" s="35" t="s">
        <v>0</v>
      </c>
      <c r="E257" s="35" t="s">
        <v>0</v>
      </c>
      <c r="F257" s="72" t="s">
        <v>444</v>
      </c>
      <c r="G257" s="35"/>
      <c r="H257" s="35"/>
      <c r="I257" s="35"/>
      <c r="J257" s="35"/>
      <c r="K257" s="3"/>
      <c r="L257" s="36"/>
    </row>
    <row r="258" spans="2:12" ht="17.25" customHeight="1">
      <c r="B258" s="34" t="s">
        <v>0</v>
      </c>
      <c r="C258" s="35" t="s">
        <v>0</v>
      </c>
      <c r="D258" s="35" t="s">
        <v>0</v>
      </c>
      <c r="E258" s="35" t="s">
        <v>0</v>
      </c>
      <c r="F258" s="35"/>
      <c r="G258" s="35"/>
      <c r="H258" s="35"/>
      <c r="I258" s="35"/>
      <c r="J258" s="35"/>
      <c r="K258" s="3"/>
      <c r="L258" s="36"/>
    </row>
    <row r="259" spans="2:12" ht="17.25" customHeight="1">
      <c r="B259" s="34"/>
      <c r="C259" s="35"/>
      <c r="D259" s="35" t="s">
        <v>0</v>
      </c>
      <c r="E259" s="35" t="s">
        <v>0</v>
      </c>
      <c r="F259" s="35" t="s">
        <v>290</v>
      </c>
      <c r="G259" s="35"/>
      <c r="H259" s="35"/>
      <c r="I259" s="35"/>
      <c r="J259" s="35"/>
      <c r="K259" s="3"/>
      <c r="L259" s="36"/>
    </row>
    <row r="260" spans="2:12" ht="17.25" customHeight="1">
      <c r="B260" s="34" t="s">
        <v>314</v>
      </c>
      <c r="C260" s="35" t="s">
        <v>291</v>
      </c>
      <c r="D260" s="35" t="s">
        <v>0</v>
      </c>
      <c r="E260" s="35" t="s">
        <v>0</v>
      </c>
      <c r="F260" s="72" t="s">
        <v>445</v>
      </c>
      <c r="G260" s="35"/>
      <c r="H260" s="35"/>
      <c r="I260" s="35"/>
      <c r="J260" s="35"/>
      <c r="K260" s="3"/>
      <c r="L260" s="36"/>
    </row>
    <row r="261" spans="2:12" ht="17.25" customHeight="1">
      <c r="B261" s="34" t="s">
        <v>0</v>
      </c>
      <c r="C261" s="35" t="s">
        <v>0</v>
      </c>
      <c r="D261" s="35" t="s">
        <v>0</v>
      </c>
      <c r="E261" s="35" t="s">
        <v>0</v>
      </c>
      <c r="F261" s="35"/>
      <c r="G261" s="35"/>
      <c r="H261" s="35"/>
      <c r="I261" s="35"/>
      <c r="J261" s="35"/>
      <c r="K261" s="3"/>
      <c r="L261" s="36"/>
    </row>
    <row r="262" spans="2:12" ht="17.25" customHeight="1">
      <c r="B262" s="34"/>
      <c r="C262" s="35"/>
      <c r="D262" s="35" t="s">
        <v>0</v>
      </c>
      <c r="E262" s="35" t="s">
        <v>0</v>
      </c>
      <c r="F262" s="35" t="s">
        <v>292</v>
      </c>
      <c r="G262" s="35"/>
      <c r="H262" s="35"/>
      <c r="I262" s="35"/>
      <c r="J262" s="35"/>
      <c r="K262" s="3"/>
      <c r="L262" s="36"/>
    </row>
    <row r="263" spans="2:12" ht="17.25" customHeight="1">
      <c r="B263" s="34" t="s">
        <v>314</v>
      </c>
      <c r="C263" s="35" t="s">
        <v>293</v>
      </c>
      <c r="D263" s="35" t="s">
        <v>0</v>
      </c>
      <c r="E263" s="35" t="s">
        <v>0</v>
      </c>
      <c r="F263" s="72" t="s">
        <v>446</v>
      </c>
      <c r="G263" s="35"/>
      <c r="H263" s="35"/>
      <c r="I263" s="35"/>
      <c r="J263" s="35"/>
      <c r="K263" s="3"/>
      <c r="L263" s="36"/>
    </row>
    <row r="264" spans="2:12" ht="17.25" customHeight="1">
      <c r="B264" s="34" t="s">
        <v>0</v>
      </c>
      <c r="C264" s="35" t="s">
        <v>0</v>
      </c>
      <c r="D264" s="35" t="s">
        <v>0</v>
      </c>
      <c r="E264" s="35" t="s">
        <v>0</v>
      </c>
      <c r="F264" s="35"/>
      <c r="G264" s="35"/>
      <c r="H264" s="35"/>
      <c r="I264" s="35"/>
      <c r="J264" s="35"/>
      <c r="K264" s="3"/>
      <c r="L264" s="36"/>
    </row>
    <row r="265" spans="2:12" ht="17.25" customHeight="1">
      <c r="B265" s="34"/>
      <c r="C265" s="35"/>
      <c r="D265" s="35" t="s">
        <v>0</v>
      </c>
      <c r="E265" s="35" t="s">
        <v>0</v>
      </c>
      <c r="F265" s="35" t="s">
        <v>294</v>
      </c>
      <c r="G265" s="35"/>
      <c r="H265" s="35"/>
      <c r="I265" s="35"/>
      <c r="J265" s="35"/>
      <c r="K265" s="3"/>
      <c r="L265" s="36"/>
    </row>
    <row r="266" spans="2:12" ht="17.25" customHeight="1">
      <c r="B266" s="34" t="s">
        <v>314</v>
      </c>
      <c r="C266" s="35" t="s">
        <v>295</v>
      </c>
      <c r="D266" s="35" t="s">
        <v>0</v>
      </c>
      <c r="E266" s="35" t="s">
        <v>0</v>
      </c>
      <c r="F266" s="72" t="s">
        <v>447</v>
      </c>
      <c r="G266" s="35"/>
      <c r="H266" s="35"/>
      <c r="I266" s="35"/>
      <c r="J266" s="35"/>
      <c r="K266" s="3"/>
      <c r="L266" s="36"/>
    </row>
    <row r="267" spans="2:12" ht="17.25" customHeight="1">
      <c r="B267" s="34" t="s">
        <v>0</v>
      </c>
      <c r="C267" s="35" t="s">
        <v>0</v>
      </c>
      <c r="D267" s="35" t="s">
        <v>0</v>
      </c>
      <c r="E267" s="35" t="s">
        <v>0</v>
      </c>
      <c r="F267" s="35"/>
      <c r="G267" s="35"/>
      <c r="H267" s="35"/>
      <c r="I267" s="35"/>
      <c r="J267" s="35"/>
      <c r="K267" s="3"/>
      <c r="L267" s="36"/>
    </row>
    <row r="268" spans="2:12" ht="17.25" customHeight="1">
      <c r="B268" s="34"/>
      <c r="C268" s="35"/>
      <c r="D268" s="35" t="s">
        <v>0</v>
      </c>
      <c r="E268" s="35" t="s">
        <v>0</v>
      </c>
      <c r="F268" s="35" t="s">
        <v>296</v>
      </c>
      <c r="G268" s="35"/>
      <c r="H268" s="35"/>
      <c r="I268" s="35"/>
      <c r="J268" s="35"/>
      <c r="K268" s="3"/>
      <c r="L268" s="36"/>
    </row>
    <row r="269" spans="2:12" ht="17.25" customHeight="1">
      <c r="B269" s="34" t="s">
        <v>314</v>
      </c>
      <c r="C269" s="35" t="s">
        <v>297</v>
      </c>
      <c r="D269" s="35" t="s">
        <v>0</v>
      </c>
      <c r="E269" s="35" t="s">
        <v>0</v>
      </c>
      <c r="F269" s="72" t="s">
        <v>447</v>
      </c>
      <c r="G269" s="35"/>
      <c r="H269" s="35"/>
      <c r="I269" s="35"/>
      <c r="J269" s="35"/>
      <c r="K269" s="3"/>
      <c r="L269" s="36"/>
    </row>
    <row r="270" spans="2:12" ht="17.25" customHeight="1">
      <c r="B270" s="34" t="s">
        <v>0</v>
      </c>
      <c r="C270" s="35" t="s">
        <v>0</v>
      </c>
      <c r="D270" s="35" t="s">
        <v>0</v>
      </c>
      <c r="E270" s="35" t="s">
        <v>0</v>
      </c>
      <c r="F270" s="35"/>
      <c r="G270" s="35"/>
      <c r="H270" s="35"/>
      <c r="I270" s="35"/>
      <c r="J270" s="35"/>
      <c r="K270" s="3"/>
      <c r="L270" s="36"/>
    </row>
    <row r="271" spans="2:12" ht="33.75">
      <c r="B271" s="34"/>
      <c r="C271" s="35"/>
      <c r="D271" s="35" t="s">
        <v>0</v>
      </c>
      <c r="E271" s="35" t="s">
        <v>0</v>
      </c>
      <c r="F271" s="98" t="s">
        <v>298</v>
      </c>
      <c r="G271" s="35"/>
      <c r="H271" s="35"/>
      <c r="I271" s="35"/>
      <c r="J271" s="35"/>
      <c r="K271" s="3"/>
      <c r="L271" s="36"/>
    </row>
    <row r="272" spans="2:12" ht="17.25" customHeight="1">
      <c r="B272" s="34" t="s">
        <v>314</v>
      </c>
      <c r="C272" s="35" t="s">
        <v>299</v>
      </c>
      <c r="D272" s="35" t="s">
        <v>0</v>
      </c>
      <c r="E272" s="35" t="s">
        <v>0</v>
      </c>
      <c r="F272" s="72" t="s">
        <v>448</v>
      </c>
      <c r="G272" s="35"/>
      <c r="H272" s="35"/>
      <c r="I272" s="35"/>
      <c r="J272" s="35"/>
      <c r="K272" s="3"/>
      <c r="L272" s="36"/>
    </row>
    <row r="273" spans="2:12" ht="17.25" customHeight="1">
      <c r="B273" s="34" t="s">
        <v>0</v>
      </c>
      <c r="C273" s="35" t="s">
        <v>0</v>
      </c>
      <c r="D273" s="35" t="s">
        <v>0</v>
      </c>
      <c r="E273" s="35" t="s">
        <v>0</v>
      </c>
      <c r="F273" s="35"/>
      <c r="G273" s="35"/>
      <c r="H273" s="35"/>
      <c r="I273" s="35"/>
      <c r="J273" s="35"/>
      <c r="K273" s="3"/>
      <c r="L273" s="36"/>
    </row>
    <row r="274" spans="2:12" ht="17.25" customHeight="1">
      <c r="B274" s="34"/>
      <c r="C274" s="35"/>
      <c r="D274" s="35" t="s">
        <v>0</v>
      </c>
      <c r="E274" s="35" t="s">
        <v>0</v>
      </c>
      <c r="F274" s="35" t="s">
        <v>300</v>
      </c>
      <c r="G274" s="35"/>
      <c r="H274" s="35"/>
      <c r="I274" s="35"/>
      <c r="J274" s="35"/>
      <c r="K274" s="3"/>
      <c r="L274" s="36"/>
    </row>
    <row r="275" spans="2:12" ht="17.25" customHeight="1">
      <c r="B275" s="34" t="s">
        <v>314</v>
      </c>
      <c r="C275" s="35" t="s">
        <v>301</v>
      </c>
      <c r="D275" s="35" t="s">
        <v>0</v>
      </c>
      <c r="E275" s="35" t="s">
        <v>0</v>
      </c>
      <c r="F275" s="72" t="s">
        <v>449</v>
      </c>
      <c r="G275" s="35"/>
      <c r="H275" s="35"/>
      <c r="I275" s="35"/>
      <c r="J275" s="35"/>
      <c r="K275" s="3"/>
      <c r="L275" s="36"/>
    </row>
    <row r="276" spans="2:12" ht="17.25" customHeight="1">
      <c r="B276" s="34" t="s">
        <v>0</v>
      </c>
      <c r="C276" s="35" t="s">
        <v>0</v>
      </c>
      <c r="D276" s="35" t="s">
        <v>0</v>
      </c>
      <c r="E276" s="35" t="s">
        <v>0</v>
      </c>
      <c r="F276" s="35"/>
      <c r="G276" s="35"/>
      <c r="H276" s="35"/>
      <c r="I276" s="35"/>
      <c r="J276" s="35"/>
      <c r="K276" s="3"/>
      <c r="L276" s="36"/>
    </row>
    <row r="277" spans="2:12" ht="33.75">
      <c r="B277" s="34"/>
      <c r="C277" s="35"/>
      <c r="D277" s="35" t="s">
        <v>0</v>
      </c>
      <c r="E277" s="35" t="s">
        <v>0</v>
      </c>
      <c r="F277" s="98" t="s">
        <v>302</v>
      </c>
      <c r="G277" s="35"/>
      <c r="H277" s="35"/>
      <c r="I277" s="35"/>
      <c r="J277" s="35"/>
      <c r="K277" s="3"/>
      <c r="L277" s="36"/>
    </row>
    <row r="278" spans="2:12" ht="17.25" customHeight="1">
      <c r="B278" s="34" t="s">
        <v>314</v>
      </c>
      <c r="C278" s="35" t="s">
        <v>303</v>
      </c>
      <c r="D278" s="35" t="s">
        <v>0</v>
      </c>
      <c r="E278" s="35" t="s">
        <v>0</v>
      </c>
      <c r="F278" s="72" t="s">
        <v>450</v>
      </c>
      <c r="G278" s="35"/>
      <c r="H278" s="35"/>
      <c r="I278" s="35"/>
      <c r="J278" s="35"/>
      <c r="K278" s="3"/>
      <c r="L278" s="36"/>
    </row>
    <row r="279" spans="2:12" ht="17.25" customHeight="1">
      <c r="B279" s="34" t="s">
        <v>0</v>
      </c>
      <c r="C279" s="35" t="s">
        <v>0</v>
      </c>
      <c r="D279" s="35" t="s">
        <v>0</v>
      </c>
      <c r="E279" s="35" t="s">
        <v>0</v>
      </c>
      <c r="F279" s="35"/>
      <c r="G279" s="35"/>
      <c r="H279" s="35"/>
      <c r="I279" s="35"/>
      <c r="J279" s="35"/>
      <c r="K279" s="3"/>
      <c r="L279" s="36"/>
    </row>
    <row r="280" spans="2:12" ht="17.25" customHeight="1">
      <c r="B280" s="34"/>
      <c r="C280" s="35"/>
      <c r="D280" s="35" t="s">
        <v>0</v>
      </c>
      <c r="E280" s="35" t="s">
        <v>0</v>
      </c>
      <c r="F280" s="35" t="s">
        <v>304</v>
      </c>
      <c r="G280" s="35"/>
      <c r="H280" s="35"/>
      <c r="I280" s="35"/>
      <c r="J280" s="35"/>
      <c r="K280" s="3"/>
      <c r="L280" s="36"/>
    </row>
    <row r="281" spans="2:12" ht="17.25" customHeight="1">
      <c r="B281" s="34" t="s">
        <v>314</v>
      </c>
      <c r="C281" s="35" t="s">
        <v>305</v>
      </c>
      <c r="D281" s="35" t="s">
        <v>0</v>
      </c>
      <c r="E281" s="35" t="s">
        <v>0</v>
      </c>
      <c r="F281" s="72" t="s">
        <v>450</v>
      </c>
      <c r="G281" s="35"/>
      <c r="H281" s="35"/>
      <c r="I281" s="35"/>
      <c r="J281" s="35"/>
      <c r="K281" s="3"/>
      <c r="L281" s="36"/>
    </row>
    <row r="282" spans="2:12" ht="17.25" customHeight="1">
      <c r="B282" s="34" t="s">
        <v>0</v>
      </c>
      <c r="C282" s="35" t="s">
        <v>0</v>
      </c>
      <c r="D282" s="35" t="s">
        <v>0</v>
      </c>
      <c r="E282" s="35" t="s">
        <v>0</v>
      </c>
      <c r="F282" s="35"/>
      <c r="G282" s="35"/>
      <c r="H282" s="35"/>
      <c r="I282" s="35"/>
      <c r="J282" s="35"/>
      <c r="K282" s="3"/>
      <c r="L282" s="36"/>
    </row>
    <row r="283" spans="2:12" ht="17.25" customHeight="1">
      <c r="B283" s="34"/>
      <c r="C283" s="35"/>
      <c r="D283" s="35" t="s">
        <v>0</v>
      </c>
      <c r="E283" s="35" t="s">
        <v>0</v>
      </c>
      <c r="F283" s="35" t="s">
        <v>306</v>
      </c>
      <c r="G283" s="35"/>
      <c r="H283" s="35"/>
      <c r="I283" s="35"/>
      <c r="J283" s="35"/>
      <c r="K283" s="3"/>
      <c r="L283" s="36"/>
    </row>
    <row r="284" spans="2:12" ht="17.25" customHeight="1">
      <c r="B284" s="34" t="s">
        <v>314</v>
      </c>
      <c r="C284" s="35" t="s">
        <v>307</v>
      </c>
      <c r="D284" s="35" t="s">
        <v>0</v>
      </c>
      <c r="E284" s="35" t="s">
        <v>0</v>
      </c>
      <c r="F284" s="72" t="s">
        <v>451</v>
      </c>
      <c r="G284" s="35"/>
      <c r="H284" s="35"/>
      <c r="I284" s="35"/>
      <c r="J284" s="35"/>
      <c r="K284" s="3"/>
      <c r="L284" s="36"/>
    </row>
    <row r="285" spans="2:12" ht="17.25" customHeight="1">
      <c r="B285" s="34"/>
      <c r="C285" s="35"/>
      <c r="D285" s="35"/>
      <c r="E285" s="35"/>
      <c r="F285" s="35"/>
      <c r="G285" s="35"/>
      <c r="H285" s="35"/>
      <c r="I285" s="35"/>
      <c r="J285" s="35"/>
      <c r="K285" s="3"/>
      <c r="L285" s="36"/>
    </row>
    <row r="286" spans="2:12" ht="23.25" customHeight="1">
      <c r="B286" s="34"/>
      <c r="C286" s="35"/>
      <c r="D286" s="35" t="s">
        <v>0</v>
      </c>
      <c r="E286" s="35" t="s">
        <v>0</v>
      </c>
      <c r="F286" s="19" t="s">
        <v>29</v>
      </c>
      <c r="G286" s="35"/>
      <c r="H286" s="35"/>
      <c r="I286" s="35"/>
      <c r="J286" s="35"/>
      <c r="K286" s="35"/>
      <c r="L286" s="36"/>
    </row>
    <row r="287" spans="2:12" ht="17.25" customHeight="1">
      <c r="B287" s="34" t="s">
        <v>314</v>
      </c>
      <c r="C287" s="51" t="s">
        <v>86</v>
      </c>
      <c r="D287" s="35" t="s">
        <v>0</v>
      </c>
      <c r="E287" s="35" t="s">
        <v>0</v>
      </c>
      <c r="F287" s="72" t="s">
        <v>452</v>
      </c>
      <c r="G287" s="35"/>
      <c r="H287" s="35"/>
      <c r="I287" s="35"/>
      <c r="J287" s="35"/>
      <c r="K287" s="3"/>
      <c r="L287" s="36"/>
    </row>
    <row r="288" spans="2:12" ht="17.25" customHeight="1">
      <c r="B288" s="34"/>
      <c r="C288" s="35"/>
      <c r="D288" s="35"/>
      <c r="E288" s="35"/>
      <c r="F288" s="35"/>
      <c r="G288" s="35"/>
      <c r="H288" s="35"/>
      <c r="I288" s="35"/>
      <c r="J288" s="35"/>
      <c r="K288" s="3"/>
      <c r="L288" s="36"/>
    </row>
    <row r="289" spans="2:12" ht="23.25" customHeight="1">
      <c r="B289" s="34"/>
      <c r="C289" s="35"/>
      <c r="D289" s="35" t="s">
        <v>0</v>
      </c>
      <c r="E289" s="35" t="s">
        <v>0</v>
      </c>
      <c r="F289" s="19" t="s">
        <v>30</v>
      </c>
      <c r="G289" s="35"/>
      <c r="H289" s="35"/>
      <c r="I289" s="35"/>
      <c r="J289" s="35"/>
      <c r="K289" s="35"/>
      <c r="L289" s="36"/>
    </row>
    <row r="290" spans="2:12" ht="17.25" customHeight="1">
      <c r="B290" s="34" t="s">
        <v>314</v>
      </c>
      <c r="C290" s="51" t="s">
        <v>87</v>
      </c>
      <c r="D290" s="35" t="s">
        <v>0</v>
      </c>
      <c r="E290" s="35" t="s">
        <v>0</v>
      </c>
      <c r="F290" s="72" t="s">
        <v>453</v>
      </c>
      <c r="G290" s="35"/>
      <c r="H290" s="35"/>
      <c r="I290" s="35"/>
      <c r="J290" s="35"/>
      <c r="K290" s="3"/>
      <c r="L290" s="36"/>
    </row>
    <row r="291" spans="2:12" ht="17.25" customHeight="1">
      <c r="B291" s="34"/>
      <c r="C291" s="35"/>
      <c r="D291" s="35"/>
      <c r="E291" s="35"/>
      <c r="F291" s="35"/>
      <c r="G291" s="35"/>
      <c r="H291" s="35"/>
      <c r="I291" s="35"/>
      <c r="J291" s="35"/>
      <c r="K291" s="3"/>
      <c r="L291" s="36"/>
    </row>
    <row r="292" spans="2:12" ht="23.25" customHeight="1">
      <c r="B292" s="34"/>
      <c r="C292" s="35"/>
      <c r="D292" s="35" t="s">
        <v>0</v>
      </c>
      <c r="E292" s="35" t="s">
        <v>0</v>
      </c>
      <c r="F292" s="19" t="s">
        <v>31</v>
      </c>
      <c r="G292" s="35"/>
      <c r="H292" s="35"/>
      <c r="I292" s="35"/>
      <c r="J292" s="35"/>
      <c r="K292" s="35"/>
      <c r="L292" s="36"/>
    </row>
    <row r="293" spans="2:12" ht="17.25" customHeight="1">
      <c r="B293" s="34" t="s">
        <v>314</v>
      </c>
      <c r="C293" s="51" t="s">
        <v>88</v>
      </c>
      <c r="D293" s="35" t="s">
        <v>0</v>
      </c>
      <c r="E293" s="35" t="s">
        <v>0</v>
      </c>
      <c r="F293" s="72" t="s">
        <v>454</v>
      </c>
      <c r="G293" s="35"/>
      <c r="H293" s="35"/>
      <c r="I293" s="35"/>
      <c r="J293" s="35"/>
      <c r="K293" s="3"/>
      <c r="L293" s="36"/>
    </row>
    <row r="294" spans="2:12" ht="17.25" customHeight="1">
      <c r="B294" s="34"/>
      <c r="C294" s="35"/>
      <c r="D294" s="35"/>
      <c r="E294" s="35"/>
      <c r="F294" s="35"/>
      <c r="G294" s="35"/>
      <c r="H294" s="35"/>
      <c r="I294" s="35"/>
      <c r="J294" s="35"/>
      <c r="K294" s="3"/>
      <c r="L294" s="36"/>
    </row>
    <row r="295" spans="2:12" ht="23.25" customHeight="1">
      <c r="B295" s="34"/>
      <c r="C295" s="35"/>
      <c r="D295" s="35" t="s">
        <v>0</v>
      </c>
      <c r="E295" s="35" t="s">
        <v>0</v>
      </c>
      <c r="F295" s="19" t="s">
        <v>32</v>
      </c>
      <c r="G295" s="35"/>
      <c r="H295" s="35"/>
      <c r="I295" s="35"/>
      <c r="J295" s="35"/>
      <c r="K295" s="35"/>
      <c r="L295" s="36"/>
    </row>
    <row r="296" spans="2:12" ht="17.25" customHeight="1">
      <c r="B296" s="34" t="s">
        <v>314</v>
      </c>
      <c r="C296" s="51" t="s">
        <v>89</v>
      </c>
      <c r="D296" s="35" t="s">
        <v>0</v>
      </c>
      <c r="E296" s="35" t="s">
        <v>0</v>
      </c>
      <c r="F296" s="72" t="s">
        <v>455</v>
      </c>
      <c r="G296" s="35"/>
      <c r="H296" s="35"/>
      <c r="I296" s="35"/>
      <c r="J296" s="35"/>
      <c r="K296" s="3"/>
      <c r="L296" s="36"/>
    </row>
    <row r="297" spans="2:12" ht="17.25" customHeight="1">
      <c r="B297" s="34"/>
      <c r="C297" s="35"/>
      <c r="D297" s="35"/>
      <c r="E297" s="35"/>
      <c r="F297" s="35"/>
      <c r="G297" s="35"/>
      <c r="H297" s="35"/>
      <c r="I297" s="35"/>
      <c r="J297" s="35"/>
      <c r="K297" s="3"/>
      <c r="L297" s="36"/>
    </row>
    <row r="298" spans="2:12" ht="25.5">
      <c r="B298" s="34"/>
      <c r="C298" s="35"/>
      <c r="D298" s="35"/>
      <c r="E298" s="35"/>
      <c r="F298" s="65" t="s">
        <v>33</v>
      </c>
      <c r="G298" s="35"/>
      <c r="H298" s="35"/>
      <c r="I298" s="35"/>
      <c r="J298" s="35"/>
      <c r="K298" s="3"/>
      <c r="L298" s="36"/>
    </row>
    <row r="299" spans="2:12" ht="17.25" customHeight="1">
      <c r="B299" s="34"/>
      <c r="C299" s="35"/>
      <c r="D299" s="35"/>
      <c r="E299" s="35"/>
      <c r="F299" s="35"/>
      <c r="G299" s="35"/>
      <c r="H299" s="35"/>
      <c r="I299" s="35"/>
      <c r="J299" s="35"/>
      <c r="K299" s="3"/>
      <c r="L299" s="36"/>
    </row>
    <row r="300" spans="2:12">
      <c r="B300" s="37"/>
      <c r="C300" s="38"/>
      <c r="D300" s="38"/>
      <c r="E300" s="38"/>
      <c r="F300" s="4"/>
      <c r="G300" s="38"/>
      <c r="H300" s="38"/>
      <c r="I300" s="38"/>
      <c r="J300" s="38"/>
      <c r="K300" s="38"/>
      <c r="L300" s="39"/>
    </row>
  </sheetData>
  <hyperlinks>
    <hyperlink ref="F298" location="'IFRS13-InfoMedValoJustF'!A1" display="Información a revelar sobre pasivos medidos al valor razonable y emitido con inseparables mejoras crediticias de terceros [tabla]" xr:uid="{00000000-0004-0000-0000-000000000000}"/>
    <hyperlink ref="F200" location="'IFRS13-InfoMedValoJustB'!A1" display="Información a revelar sobre medición del valor razonable del patrimonio [tabla]" xr:uid="{00000000-0004-0000-0000-000001000000}"/>
    <hyperlink ref="F108" location="'IFRS13-InfoMedValoJustA'!A1" display="Información a revelar sobre la medición del valor razonable de pasivos [tabla]" xr:uid="{00000000-0004-0000-0000-000002000000}"/>
    <hyperlink ref="F10" location="'IFRS13-InfoMedValoJust'!A1" display="Información a revelar sobre medición del valor razonable de activos [tabla]" xr:uid="{00000000-0004-0000-0000-000003000000}"/>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tabColor theme="9" tint="0.39997558519241921"/>
  </sheetPr>
  <dimension ref="A1:I60"/>
  <sheetViews>
    <sheetView topLeftCell="A27" zoomScale="85" zoomScaleNormal="85" workbookViewId="0">
      <selection activeCell="G36" sqref="G36:G38"/>
    </sheetView>
  </sheetViews>
  <sheetFormatPr baseColWidth="10" defaultRowHeight="15" outlineLevelCol="2"/>
  <cols>
    <col min="1" max="1" width="2.140625" customWidth="1"/>
    <col min="2" max="2" width="3.5703125" customWidth="1"/>
    <col min="3" max="3" width="4" customWidth="1"/>
    <col min="4" max="4" width="5" customWidth="1"/>
    <col min="5" max="5" width="3" customWidth="1"/>
    <col min="6" max="6" width="93.140625" customWidth="1"/>
    <col min="7" max="8" width="15.7109375" customWidth="1" outlineLevel="2"/>
    <col min="9" max="9" width="15.7109375" customWidth="1"/>
  </cols>
  <sheetData>
    <row r="1" spans="1:9" ht="60" customHeight="1" thickBot="1"/>
    <row r="2" spans="1:9" ht="171.75" customHeight="1" thickBot="1">
      <c r="F2" s="28" t="s">
        <v>1</v>
      </c>
    </row>
    <row r="3" spans="1:9" ht="16.5" thickBot="1">
      <c r="F3" s="29" t="s">
        <v>2</v>
      </c>
    </row>
    <row r="4" spans="1:9" ht="16.5" thickBot="1">
      <c r="F4" s="96" t="s">
        <v>79</v>
      </c>
      <c r="G4" s="97" t="s">
        <v>80</v>
      </c>
    </row>
    <row r="5" spans="1:9" ht="60.75" customHeight="1" thickBot="1">
      <c r="A5" s="93" t="s">
        <v>7</v>
      </c>
      <c r="B5" s="44"/>
      <c r="C5" s="44"/>
      <c r="D5" s="44"/>
      <c r="E5" s="44"/>
      <c r="F5" s="44"/>
      <c r="G5" s="79" t="s">
        <v>63</v>
      </c>
      <c r="H5" s="95" t="s">
        <v>63</v>
      </c>
      <c r="I5" s="78" t="s">
        <v>12</v>
      </c>
    </row>
    <row r="6" spans="1:9" ht="60.75" hidden="1" customHeight="1" thickBot="1">
      <c r="A6" s="61" t="s">
        <v>8</v>
      </c>
      <c r="B6" s="44"/>
      <c r="C6" s="44"/>
      <c r="D6" s="46" t="s">
        <v>90</v>
      </c>
      <c r="E6" s="46" t="s">
        <v>126</v>
      </c>
      <c r="F6" s="60"/>
      <c r="G6" s="80" t="str">
        <f>SUBSTITUTE(CONCATENATE("IFRS13-InfoMedValoJust_",TRIM(G5),"_",COLUMN(G6),"|",G5)," ","")</f>
        <v>IFRS13-InfoMedValoJust_Agregarcolumnaopcional_7|Agregarcolumnaopcional</v>
      </c>
      <c r="H6" s="94" t="str">
        <f>SUBSTITUTE(CONCATENATE("IFRS13-InfoMedValoJust_",TRIM(H5),"_",COLUMN(H6),"|",H5)," ","")</f>
        <v>IFRS13-InfoMedValoJust_Agregarcolumnaopcional_8|Agregarcolumnaopcional</v>
      </c>
      <c r="I6" s="59" t="s">
        <v>91</v>
      </c>
    </row>
    <row r="7" spans="1:9">
      <c r="B7" s="92"/>
      <c r="C7" s="91"/>
      <c r="D7" s="91"/>
      <c r="E7" s="91"/>
      <c r="F7" s="91"/>
      <c r="G7" s="91"/>
      <c r="H7" s="47"/>
      <c r="I7" s="62"/>
    </row>
    <row r="8" spans="1:9">
      <c r="A8" s="49"/>
      <c r="B8" s="50"/>
      <c r="C8" s="51"/>
      <c r="D8" s="51" t="s">
        <v>0</v>
      </c>
      <c r="E8" s="51"/>
      <c r="F8" s="71" t="s">
        <v>60</v>
      </c>
      <c r="G8" s="51"/>
      <c r="H8" s="51"/>
      <c r="I8" s="62"/>
    </row>
    <row r="9" spans="1:9">
      <c r="A9" s="49"/>
      <c r="B9" s="50"/>
      <c r="C9" s="51"/>
      <c r="D9" s="51"/>
      <c r="E9" s="51"/>
      <c r="F9" s="52" t="s">
        <v>9</v>
      </c>
      <c r="G9" s="51"/>
      <c r="H9" s="51"/>
      <c r="I9" s="62"/>
    </row>
    <row r="10" spans="1:9">
      <c r="A10" s="49"/>
      <c r="B10" s="50"/>
      <c r="C10" s="51" t="s">
        <v>127</v>
      </c>
      <c r="D10" s="51" t="s">
        <v>3</v>
      </c>
      <c r="E10" s="51"/>
      <c r="F10" s="64" t="s">
        <v>308</v>
      </c>
      <c r="G10" s="120" t="s">
        <v>72</v>
      </c>
      <c r="H10" s="102"/>
      <c r="I10" s="81"/>
    </row>
    <row r="11" spans="1:9">
      <c r="A11" s="49"/>
      <c r="B11" s="50"/>
      <c r="C11" s="51" t="s">
        <v>128</v>
      </c>
      <c r="D11" s="51" t="s">
        <v>3</v>
      </c>
      <c r="E11" s="51"/>
      <c r="F11" s="64" t="s">
        <v>309</v>
      </c>
      <c r="G11" s="120" t="s">
        <v>73</v>
      </c>
      <c r="H11" s="102"/>
      <c r="I11" s="81"/>
    </row>
    <row r="12" spans="1:9">
      <c r="A12" s="49"/>
      <c r="B12" s="50"/>
      <c r="C12" s="51" t="s">
        <v>129</v>
      </c>
      <c r="D12" s="51" t="s">
        <v>3</v>
      </c>
      <c r="E12" s="51"/>
      <c r="F12" s="64" t="s">
        <v>310</v>
      </c>
      <c r="G12" s="120" t="s">
        <v>76</v>
      </c>
      <c r="H12" s="102"/>
      <c r="I12" s="81"/>
    </row>
    <row r="13" spans="1:9">
      <c r="A13" s="49"/>
      <c r="B13" s="50"/>
      <c r="C13" s="51"/>
      <c r="D13" s="51"/>
      <c r="E13" s="51"/>
      <c r="F13" s="64"/>
      <c r="G13" s="51"/>
      <c r="H13" s="51"/>
      <c r="I13" s="62"/>
    </row>
    <row r="14" spans="1:9">
      <c r="A14" s="49"/>
      <c r="B14" s="50"/>
      <c r="C14" s="51"/>
      <c r="D14" s="51"/>
      <c r="E14" s="51"/>
      <c r="F14" s="52" t="s">
        <v>10</v>
      </c>
      <c r="G14" s="67"/>
      <c r="H14" s="67"/>
      <c r="I14" s="62"/>
    </row>
    <row r="15" spans="1:9">
      <c r="A15" s="49"/>
      <c r="B15" s="50"/>
      <c r="C15" s="51"/>
      <c r="D15" s="51"/>
      <c r="E15" s="51"/>
      <c r="F15" s="52" t="s">
        <v>11</v>
      </c>
      <c r="G15" s="67"/>
      <c r="H15" s="67"/>
      <c r="I15" s="62"/>
    </row>
    <row r="16" spans="1:9">
      <c r="A16" s="49" t="s">
        <v>5</v>
      </c>
      <c r="B16" s="50"/>
      <c r="C16" s="51" t="s">
        <v>130</v>
      </c>
      <c r="D16" s="51" t="s">
        <v>3</v>
      </c>
      <c r="E16" s="51"/>
      <c r="F16" s="52" t="s">
        <v>351</v>
      </c>
      <c r="G16" s="81">
        <v>-168000</v>
      </c>
      <c r="H16" s="81"/>
      <c r="I16" s="107">
        <f t="shared" ref="I16:I30" si="0">SUM(G16:H16)</f>
        <v>-168000</v>
      </c>
    </row>
    <row r="17" spans="1:9" ht="22.5">
      <c r="A17" s="49"/>
      <c r="B17" s="50"/>
      <c r="C17" s="116"/>
      <c r="D17" s="116"/>
      <c r="E17" s="116"/>
      <c r="F17" s="117" t="s">
        <v>317</v>
      </c>
      <c r="G17" s="67"/>
      <c r="H17" s="67"/>
      <c r="I17" s="62"/>
    </row>
    <row r="18" spans="1:9" ht="22.5">
      <c r="A18" s="49"/>
      <c r="B18" s="50"/>
      <c r="C18" s="116" t="s">
        <v>315</v>
      </c>
      <c r="D18" s="116" t="s">
        <v>3</v>
      </c>
      <c r="E18" s="116"/>
      <c r="F18" s="118" t="s">
        <v>359</v>
      </c>
      <c r="G18" s="81">
        <v>1000</v>
      </c>
      <c r="H18" s="81"/>
      <c r="I18" s="107">
        <f t="shared" ref="I18:I20" si="1">SUM(G18:H18)</f>
        <v>1000</v>
      </c>
    </row>
    <row r="19" spans="1:9" ht="22.5">
      <c r="A19" s="49"/>
      <c r="B19" s="50"/>
      <c r="C19" s="116" t="s">
        <v>316</v>
      </c>
      <c r="D19" s="116" t="s">
        <v>3</v>
      </c>
      <c r="E19" s="116"/>
      <c r="F19" s="118" t="s">
        <v>360</v>
      </c>
      <c r="G19" s="81">
        <v>2000</v>
      </c>
      <c r="H19" s="81"/>
      <c r="I19" s="107">
        <f t="shared" si="1"/>
        <v>2000</v>
      </c>
    </row>
    <row r="20" spans="1:9" ht="22.5">
      <c r="A20" s="49"/>
      <c r="B20" s="50"/>
      <c r="C20" s="116" t="s">
        <v>92</v>
      </c>
      <c r="D20" s="116" t="s">
        <v>3</v>
      </c>
      <c r="E20" s="116"/>
      <c r="F20" s="118" t="s">
        <v>361</v>
      </c>
      <c r="G20" s="107">
        <f>G18+G19</f>
        <v>3000</v>
      </c>
      <c r="H20" s="107">
        <f>H18+H19</f>
        <v>0</v>
      </c>
      <c r="I20" s="107">
        <f t="shared" si="1"/>
        <v>3000</v>
      </c>
    </row>
    <row r="21" spans="1:9" ht="22.5">
      <c r="A21" s="54"/>
      <c r="B21" s="50"/>
      <c r="C21" s="116"/>
      <c r="D21" s="116"/>
      <c r="E21" s="116"/>
      <c r="F21" s="117" t="s">
        <v>318</v>
      </c>
      <c r="G21" s="67"/>
      <c r="H21" s="67"/>
      <c r="I21" s="62"/>
    </row>
    <row r="22" spans="1:9" ht="22.5">
      <c r="A22" s="54"/>
      <c r="B22" s="50"/>
      <c r="C22" s="116" t="s">
        <v>319</v>
      </c>
      <c r="D22" s="116" t="s">
        <v>3</v>
      </c>
      <c r="E22" s="116"/>
      <c r="F22" s="118" t="s">
        <v>362</v>
      </c>
      <c r="G22" s="81">
        <v>3000</v>
      </c>
      <c r="H22" s="81"/>
      <c r="I22" s="107">
        <f t="shared" ref="I22:I24" si="2">SUM(G22:H22)</f>
        <v>3000</v>
      </c>
    </row>
    <row r="23" spans="1:9" ht="22.5">
      <c r="A23" s="54"/>
      <c r="B23" s="50"/>
      <c r="C23" s="116" t="s">
        <v>320</v>
      </c>
      <c r="D23" s="116" t="s">
        <v>3</v>
      </c>
      <c r="E23" s="116"/>
      <c r="F23" s="118" t="s">
        <v>363</v>
      </c>
      <c r="G23" s="81">
        <v>4000</v>
      </c>
      <c r="H23" s="81"/>
      <c r="I23" s="107">
        <f t="shared" si="2"/>
        <v>4000</v>
      </c>
    </row>
    <row r="24" spans="1:9" ht="22.5">
      <c r="A24" s="54"/>
      <c r="B24" s="50"/>
      <c r="C24" s="116" t="s">
        <v>93</v>
      </c>
      <c r="D24" s="116" t="s">
        <v>3</v>
      </c>
      <c r="E24" s="116"/>
      <c r="F24" s="118" t="s">
        <v>364</v>
      </c>
      <c r="G24" s="107">
        <f>G22+G23</f>
        <v>7000</v>
      </c>
      <c r="H24" s="107">
        <f>H22+H23</f>
        <v>0</v>
      </c>
      <c r="I24" s="107">
        <f t="shared" si="2"/>
        <v>7000</v>
      </c>
    </row>
    <row r="25" spans="1:9">
      <c r="A25" s="49"/>
      <c r="B25" s="50"/>
      <c r="C25" s="51" t="s">
        <v>94</v>
      </c>
      <c r="D25" s="51" t="s">
        <v>3</v>
      </c>
      <c r="E25" s="51"/>
      <c r="F25" s="53" t="s">
        <v>35</v>
      </c>
      <c r="G25" s="81">
        <v>5000</v>
      </c>
      <c r="H25" s="81"/>
      <c r="I25" s="107">
        <f t="shared" si="0"/>
        <v>5000</v>
      </c>
    </row>
    <row r="26" spans="1:9">
      <c r="A26" s="49"/>
      <c r="B26" s="50"/>
      <c r="C26" s="51" t="s">
        <v>95</v>
      </c>
      <c r="D26" s="51" t="s">
        <v>3</v>
      </c>
      <c r="E26" s="51"/>
      <c r="F26" s="53" t="s">
        <v>36</v>
      </c>
      <c r="G26" s="81">
        <v>6000</v>
      </c>
      <c r="H26" s="81"/>
      <c r="I26" s="107">
        <f t="shared" si="0"/>
        <v>6000</v>
      </c>
    </row>
    <row r="27" spans="1:9">
      <c r="A27" s="49"/>
      <c r="B27" s="50"/>
      <c r="C27" s="51" t="s">
        <v>96</v>
      </c>
      <c r="D27" s="51" t="s">
        <v>3</v>
      </c>
      <c r="E27" s="51"/>
      <c r="F27" s="53" t="s">
        <v>37</v>
      </c>
      <c r="G27" s="81">
        <v>7000</v>
      </c>
      <c r="H27" s="81"/>
      <c r="I27" s="107">
        <f t="shared" si="0"/>
        <v>7000</v>
      </c>
    </row>
    <row r="28" spans="1:9">
      <c r="A28" s="49"/>
      <c r="B28" s="50"/>
      <c r="C28" s="51" t="s">
        <v>97</v>
      </c>
      <c r="D28" s="51" t="s">
        <v>3</v>
      </c>
      <c r="E28" s="51"/>
      <c r="F28" s="53" t="s">
        <v>38</v>
      </c>
      <c r="G28" s="81">
        <v>8000</v>
      </c>
      <c r="H28" s="81"/>
      <c r="I28" s="107">
        <f t="shared" si="0"/>
        <v>8000</v>
      </c>
    </row>
    <row r="29" spans="1:9">
      <c r="A29" s="49"/>
      <c r="B29" s="50"/>
      <c r="C29" s="51" t="s">
        <v>98</v>
      </c>
      <c r="D29" s="51" t="s">
        <v>3</v>
      </c>
      <c r="E29" s="51"/>
      <c r="F29" s="53" t="s">
        <v>39</v>
      </c>
      <c r="G29" s="81">
        <v>9000</v>
      </c>
      <c r="H29" s="81"/>
      <c r="I29" s="107">
        <f t="shared" si="0"/>
        <v>9000</v>
      </c>
    </row>
    <row r="30" spans="1:9">
      <c r="A30" s="49"/>
      <c r="B30" s="50"/>
      <c r="C30" s="51" t="s">
        <v>99</v>
      </c>
      <c r="D30" s="51" t="s">
        <v>3</v>
      </c>
      <c r="E30" s="51"/>
      <c r="F30" s="53" t="s">
        <v>40</v>
      </c>
      <c r="G30" s="81">
        <v>10000</v>
      </c>
      <c r="H30" s="81"/>
      <c r="I30" s="107">
        <f t="shared" si="0"/>
        <v>10000</v>
      </c>
    </row>
    <row r="31" spans="1:9">
      <c r="A31" s="49"/>
      <c r="B31" s="50"/>
      <c r="C31" s="51" t="s">
        <v>100</v>
      </c>
      <c r="D31" s="51" t="s">
        <v>3</v>
      </c>
      <c r="E31" s="51"/>
      <c r="F31" s="52" t="s">
        <v>41</v>
      </c>
      <c r="G31" s="107">
        <f>G20+G24+G25-G26+G27-G28+G29-G30</f>
        <v>7000</v>
      </c>
      <c r="H31" s="107">
        <f t="shared" ref="H31:I31" si="3">H20+H24+H25-H26+H27-H28+H29-H30</f>
        <v>0</v>
      </c>
      <c r="I31" s="107">
        <f t="shared" si="3"/>
        <v>7000</v>
      </c>
    </row>
    <row r="32" spans="1:9">
      <c r="A32" s="49"/>
      <c r="B32" s="50"/>
      <c r="C32" s="51" t="s">
        <v>130</v>
      </c>
      <c r="D32" s="51" t="s">
        <v>3</v>
      </c>
      <c r="E32" s="51"/>
      <c r="F32" s="52" t="s">
        <v>62</v>
      </c>
      <c r="G32" s="107">
        <f>G16+G31</f>
        <v>-161000</v>
      </c>
      <c r="H32" s="107">
        <f>H16+H31</f>
        <v>0</v>
      </c>
      <c r="I32" s="107">
        <f>SUM(G32:H32)</f>
        <v>-161000</v>
      </c>
    </row>
    <row r="33" spans="1:9">
      <c r="A33" s="49"/>
      <c r="B33" s="50"/>
      <c r="C33" s="51"/>
      <c r="D33" s="51"/>
      <c r="E33" s="51"/>
      <c r="F33" s="53"/>
      <c r="G33" s="67"/>
      <c r="H33" s="67"/>
      <c r="I33" s="70"/>
    </row>
    <row r="34" spans="1:9">
      <c r="A34" s="49"/>
      <c r="B34" s="50"/>
      <c r="C34" s="51"/>
      <c r="D34" s="51"/>
      <c r="E34" s="51"/>
      <c r="F34" s="71" t="s">
        <v>59</v>
      </c>
      <c r="G34" s="51"/>
      <c r="H34" s="51"/>
      <c r="I34" s="62"/>
    </row>
    <row r="35" spans="1:9">
      <c r="A35" s="49"/>
      <c r="B35" s="50"/>
      <c r="C35" s="51"/>
      <c r="D35" s="51"/>
      <c r="E35" s="51"/>
      <c r="F35" s="52" t="s">
        <v>9</v>
      </c>
      <c r="G35" s="51"/>
      <c r="H35" s="51"/>
      <c r="I35" s="62"/>
    </row>
    <row r="36" spans="1:9">
      <c r="A36" s="49"/>
      <c r="B36" s="50"/>
      <c r="C36" s="51" t="s">
        <v>127</v>
      </c>
      <c r="D36" s="51" t="s">
        <v>61</v>
      </c>
      <c r="E36" s="51"/>
      <c r="F36" s="64" t="s">
        <v>308</v>
      </c>
      <c r="G36" s="120" t="s">
        <v>72</v>
      </c>
      <c r="H36" s="102"/>
      <c r="I36" s="81"/>
    </row>
    <row r="37" spans="1:9">
      <c r="A37" s="49"/>
      <c r="B37" s="50"/>
      <c r="C37" s="51" t="s">
        <v>128</v>
      </c>
      <c r="D37" s="51" t="s">
        <v>61</v>
      </c>
      <c r="E37" s="51"/>
      <c r="F37" s="64" t="s">
        <v>309</v>
      </c>
      <c r="G37" s="120" t="s">
        <v>73</v>
      </c>
      <c r="H37" s="102"/>
      <c r="I37" s="81"/>
    </row>
    <row r="38" spans="1:9">
      <c r="A38" s="49"/>
      <c r="B38" s="50"/>
      <c r="C38" s="51" t="s">
        <v>129</v>
      </c>
      <c r="D38" s="51" t="s">
        <v>61</v>
      </c>
      <c r="E38" s="51"/>
      <c r="F38" s="64" t="s">
        <v>310</v>
      </c>
      <c r="G38" s="120" t="s">
        <v>76</v>
      </c>
      <c r="H38" s="102"/>
      <c r="I38" s="81"/>
    </row>
    <row r="39" spans="1:9">
      <c r="A39" s="49"/>
      <c r="B39" s="50"/>
      <c r="C39" s="51"/>
      <c r="D39" s="51"/>
      <c r="E39" s="51"/>
      <c r="F39" s="64"/>
      <c r="G39" s="51"/>
      <c r="H39" s="51"/>
      <c r="I39" s="62"/>
    </row>
    <row r="40" spans="1:9">
      <c r="A40" s="49"/>
      <c r="B40" s="50"/>
      <c r="C40" s="51"/>
      <c r="D40" s="51"/>
      <c r="E40" s="51"/>
      <c r="F40" s="52" t="s">
        <v>10</v>
      </c>
      <c r="G40" s="67"/>
      <c r="H40" s="67"/>
      <c r="I40" s="62"/>
    </row>
    <row r="41" spans="1:9">
      <c r="A41" s="49"/>
      <c r="B41" s="50"/>
      <c r="C41" s="51"/>
      <c r="D41" s="51"/>
      <c r="E41" s="51"/>
      <c r="F41" s="52" t="s">
        <v>11</v>
      </c>
      <c r="G41" s="67"/>
      <c r="H41" s="67"/>
      <c r="I41" s="62"/>
    </row>
    <row r="42" spans="1:9">
      <c r="A42" s="49" t="s">
        <v>5</v>
      </c>
      <c r="B42" s="50"/>
      <c r="C42" s="51" t="s">
        <v>130</v>
      </c>
      <c r="D42" s="51" t="s">
        <v>4</v>
      </c>
      <c r="E42" s="51"/>
      <c r="F42" s="52" t="s">
        <v>352</v>
      </c>
      <c r="G42" s="81">
        <v>1000</v>
      </c>
      <c r="H42" s="81"/>
      <c r="I42" s="107">
        <f>SUM(G42:H42)</f>
        <v>1000</v>
      </c>
    </row>
    <row r="43" spans="1:9" ht="22.5">
      <c r="A43" s="49"/>
      <c r="B43" s="50"/>
      <c r="C43" s="116"/>
      <c r="D43" s="116"/>
      <c r="E43" s="116"/>
      <c r="F43" s="117" t="s">
        <v>317</v>
      </c>
      <c r="G43" s="67"/>
      <c r="H43" s="67"/>
      <c r="I43" s="62"/>
    </row>
    <row r="44" spans="1:9" ht="22.5">
      <c r="A44" s="49"/>
      <c r="B44" s="50"/>
      <c r="C44" s="116" t="s">
        <v>315</v>
      </c>
      <c r="D44" s="116" t="s">
        <v>61</v>
      </c>
      <c r="E44" s="116"/>
      <c r="F44" s="118" t="s">
        <v>359</v>
      </c>
      <c r="G44" s="81">
        <v>2000</v>
      </c>
      <c r="H44" s="81"/>
      <c r="I44" s="107">
        <f t="shared" ref="I44:I46" si="4">SUM(G44:H44)</f>
        <v>2000</v>
      </c>
    </row>
    <row r="45" spans="1:9" ht="22.5">
      <c r="A45" s="49"/>
      <c r="B45" s="50"/>
      <c r="C45" s="116" t="s">
        <v>316</v>
      </c>
      <c r="D45" s="116" t="s">
        <v>61</v>
      </c>
      <c r="E45" s="116"/>
      <c r="F45" s="118" t="s">
        <v>360</v>
      </c>
      <c r="G45" s="81">
        <v>3000</v>
      </c>
      <c r="H45" s="81"/>
      <c r="I45" s="107">
        <f t="shared" si="4"/>
        <v>3000</v>
      </c>
    </row>
    <row r="46" spans="1:9" ht="22.5">
      <c r="A46" s="49"/>
      <c r="B46" s="50"/>
      <c r="C46" s="116" t="s">
        <v>92</v>
      </c>
      <c r="D46" s="116" t="s">
        <v>61</v>
      </c>
      <c r="E46" s="116"/>
      <c r="F46" s="118" t="s">
        <v>361</v>
      </c>
      <c r="G46" s="107">
        <f>G44+G45</f>
        <v>5000</v>
      </c>
      <c r="H46" s="107">
        <f>H44+H45</f>
        <v>0</v>
      </c>
      <c r="I46" s="107">
        <f t="shared" si="4"/>
        <v>5000</v>
      </c>
    </row>
    <row r="47" spans="1:9" ht="22.5">
      <c r="A47" s="54"/>
      <c r="B47" s="50"/>
      <c r="C47" s="116"/>
      <c r="D47" s="116"/>
      <c r="E47" s="116"/>
      <c r="F47" s="117" t="s">
        <v>318</v>
      </c>
      <c r="G47" s="67"/>
      <c r="H47" s="67"/>
      <c r="I47" s="62"/>
    </row>
    <row r="48" spans="1:9" ht="22.5">
      <c r="A48" s="49"/>
      <c r="B48" s="50"/>
      <c r="C48" s="116" t="s">
        <v>319</v>
      </c>
      <c r="D48" s="116" t="s">
        <v>61</v>
      </c>
      <c r="E48" s="116"/>
      <c r="F48" s="118" t="s">
        <v>362</v>
      </c>
      <c r="G48" s="81">
        <v>4000</v>
      </c>
      <c r="H48" s="81"/>
      <c r="I48" s="107">
        <f t="shared" ref="I48:I50" si="5">SUM(G48:H48)</f>
        <v>4000</v>
      </c>
    </row>
    <row r="49" spans="1:9" ht="22.5">
      <c r="A49" s="49"/>
      <c r="B49" s="50"/>
      <c r="C49" s="116" t="s">
        <v>320</v>
      </c>
      <c r="D49" s="116" t="s">
        <v>61</v>
      </c>
      <c r="E49" s="116"/>
      <c r="F49" s="118" t="s">
        <v>363</v>
      </c>
      <c r="G49" s="81">
        <v>5000</v>
      </c>
      <c r="H49" s="81"/>
      <c r="I49" s="107">
        <f t="shared" si="5"/>
        <v>5000</v>
      </c>
    </row>
    <row r="50" spans="1:9" ht="22.5">
      <c r="A50" s="49"/>
      <c r="B50" s="50"/>
      <c r="C50" s="116" t="s">
        <v>93</v>
      </c>
      <c r="D50" s="116" t="s">
        <v>61</v>
      </c>
      <c r="E50" s="116"/>
      <c r="F50" s="118" t="s">
        <v>364</v>
      </c>
      <c r="G50" s="107">
        <f>G48+G49</f>
        <v>9000</v>
      </c>
      <c r="H50" s="107">
        <f>H48+H49</f>
        <v>0</v>
      </c>
      <c r="I50" s="107">
        <f t="shared" si="5"/>
        <v>9000</v>
      </c>
    </row>
    <row r="51" spans="1:9">
      <c r="A51" s="49"/>
      <c r="B51" s="50"/>
      <c r="C51" s="51" t="s">
        <v>94</v>
      </c>
      <c r="D51" s="51" t="s">
        <v>61</v>
      </c>
      <c r="E51" s="51"/>
      <c r="F51" s="53" t="s">
        <v>35</v>
      </c>
      <c r="G51" s="81">
        <v>6000</v>
      </c>
      <c r="H51" s="81"/>
      <c r="I51" s="107">
        <f t="shared" ref="I51:I56" si="6">SUM(G51:H51)</f>
        <v>6000</v>
      </c>
    </row>
    <row r="52" spans="1:9">
      <c r="A52" s="49"/>
      <c r="B52" s="50"/>
      <c r="C52" s="51" t="s">
        <v>95</v>
      </c>
      <c r="D52" s="51" t="s">
        <v>61</v>
      </c>
      <c r="E52" s="51"/>
      <c r="F52" s="53" t="s">
        <v>36</v>
      </c>
      <c r="G52" s="81">
        <v>7000</v>
      </c>
      <c r="H52" s="81"/>
      <c r="I52" s="107">
        <f t="shared" si="6"/>
        <v>7000</v>
      </c>
    </row>
    <row r="53" spans="1:9">
      <c r="A53" s="49"/>
      <c r="B53" s="50"/>
      <c r="C53" s="51" t="s">
        <v>96</v>
      </c>
      <c r="D53" s="51" t="s">
        <v>61</v>
      </c>
      <c r="E53" s="51"/>
      <c r="F53" s="53" t="s">
        <v>37</v>
      </c>
      <c r="G53" s="81">
        <v>8000</v>
      </c>
      <c r="H53" s="81"/>
      <c r="I53" s="107">
        <f t="shared" si="6"/>
        <v>8000</v>
      </c>
    </row>
    <row r="54" spans="1:9">
      <c r="A54" s="49"/>
      <c r="B54" s="50"/>
      <c r="C54" s="51" t="s">
        <v>97</v>
      </c>
      <c r="D54" s="51" t="s">
        <v>61</v>
      </c>
      <c r="E54" s="51"/>
      <c r="F54" s="53" t="s">
        <v>38</v>
      </c>
      <c r="G54" s="81">
        <v>90000</v>
      </c>
      <c r="H54" s="81"/>
      <c r="I54" s="107">
        <f t="shared" si="6"/>
        <v>90000</v>
      </c>
    </row>
    <row r="55" spans="1:9">
      <c r="A55" s="49"/>
      <c r="B55" s="50"/>
      <c r="C55" s="51" t="s">
        <v>98</v>
      </c>
      <c r="D55" s="51" t="s">
        <v>61</v>
      </c>
      <c r="E55" s="51"/>
      <c r="F55" s="53" t="s">
        <v>39</v>
      </c>
      <c r="G55" s="81">
        <v>10000</v>
      </c>
      <c r="H55" s="81"/>
      <c r="I55" s="107">
        <f t="shared" si="6"/>
        <v>10000</v>
      </c>
    </row>
    <row r="56" spans="1:9">
      <c r="A56" s="49"/>
      <c r="B56" s="50"/>
      <c r="C56" s="51" t="s">
        <v>99</v>
      </c>
      <c r="D56" s="51" t="s">
        <v>61</v>
      </c>
      <c r="E56" s="51"/>
      <c r="F56" s="53" t="s">
        <v>40</v>
      </c>
      <c r="G56" s="81">
        <v>110000</v>
      </c>
      <c r="H56" s="81"/>
      <c r="I56" s="107">
        <f t="shared" si="6"/>
        <v>110000</v>
      </c>
    </row>
    <row r="57" spans="1:9">
      <c r="A57" s="49"/>
      <c r="B57" s="50"/>
      <c r="C57" s="51" t="s">
        <v>100</v>
      </c>
      <c r="D57" s="51" t="s">
        <v>61</v>
      </c>
      <c r="E57" s="51"/>
      <c r="F57" s="52" t="s">
        <v>41</v>
      </c>
      <c r="G57" s="107">
        <f>G46+G50+G51-G52+G53-G54+G55-G56</f>
        <v>-169000</v>
      </c>
      <c r="H57" s="107">
        <f t="shared" ref="H57" si="7">H46+H50+H51-H52+H53-H54+H55-H56</f>
        <v>0</v>
      </c>
      <c r="I57" s="107">
        <f t="shared" ref="I57" si="8">I46+I50+I51-I52+I53-I54+I55-I56</f>
        <v>-169000</v>
      </c>
    </row>
    <row r="58" spans="1:9">
      <c r="A58" s="49" t="s">
        <v>5</v>
      </c>
      <c r="B58" s="50"/>
      <c r="C58" s="51" t="s">
        <v>130</v>
      </c>
      <c r="D58" s="51" t="s">
        <v>3</v>
      </c>
      <c r="E58" s="51"/>
      <c r="F58" s="52" t="s">
        <v>353</v>
      </c>
      <c r="G58" s="107">
        <f>G42+G57</f>
        <v>-168000</v>
      </c>
      <c r="H58" s="107">
        <f>H42+H57</f>
        <v>0</v>
      </c>
      <c r="I58" s="107">
        <f>SUM(G58:H58)</f>
        <v>-168000</v>
      </c>
    </row>
    <row r="59" spans="1:9">
      <c r="A59" s="49"/>
      <c r="B59" s="55"/>
      <c r="C59" s="56"/>
      <c r="D59" s="56"/>
      <c r="E59" s="56"/>
      <c r="F59" s="57"/>
      <c r="G59" s="56"/>
      <c r="H59" s="56"/>
      <c r="I59" s="63"/>
    </row>
    <row r="60" spans="1:9">
      <c r="F60" s="100" t="s">
        <v>354</v>
      </c>
      <c r="G60" s="108">
        <f>G16-G58</f>
        <v>0</v>
      </c>
      <c r="H60" s="108">
        <f>H16-H58</f>
        <v>0</v>
      </c>
      <c r="I60" s="108">
        <f>I16-I58</f>
        <v>0</v>
      </c>
    </row>
  </sheetData>
  <sheetProtection insertColumns="0" insertRows="0" deleteColumns="0" deleteRows="0"/>
  <conditionalFormatting sqref="G60:I60">
    <cfRule type="cellIs" dxfId="5" priority="1" operator="greaterThan">
      <formula>0</formula>
    </cfRule>
    <cfRule type="cellIs" dxfId="4" priority="2" operator="lessThan">
      <formula>0</formula>
    </cfRule>
    <cfRule type="cellIs" dxfId="3" priority="3" operator="equal">
      <formula>0</formula>
    </cfRule>
  </conditionalFormatting>
  <pageMargins left="0.7" right="0.7" top="0.75" bottom="0.75" header="0.3" footer="0.3"/>
  <pageSetup paperSize="119" orientation="portrait" horizontalDpi="1200" verticalDpi="120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0000000}">
          <x14:formula1>
            <xm:f>Hoja1!$A$1:$A$9</xm:f>
          </x14:formula1>
          <xm:sqref>H10:I10 H36:I36</xm:sqref>
        </x14:dataValidation>
        <x14:dataValidation type="list" allowBlank="1" showInputMessage="1" showErrorMessage="1" xr:uid="{00000000-0002-0000-0100-000001000000}">
          <x14:formula1>
            <xm:f>Hoja1!$B$1:$B$3</xm:f>
          </x14:formula1>
          <xm:sqref>H11:I11 H37:I37</xm:sqref>
        </x14:dataValidation>
        <x14:dataValidation type="list" allowBlank="1" showInputMessage="1" showErrorMessage="1" xr:uid="{00000000-0002-0000-0100-000002000000}">
          <x14:formula1>
            <xm:f>Hoja1!$C$1:$C$3</xm:f>
          </x14:formula1>
          <xm:sqref>H12:I12 H38:I38</xm:sqref>
        </x14:dataValidation>
        <x14:dataValidation type="list" allowBlank="1" showInputMessage="1" showErrorMessage="1" xr:uid="{00000000-0002-0000-0100-000003000000}">
          <x14:formula1>
            <xm:f>Hoja1!$D$1:$D$2</xm:f>
          </x14:formula1>
          <xm:sqref>G4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tabColor theme="8" tint="-0.249977111117893"/>
  </sheetPr>
  <dimension ref="A1:I74"/>
  <sheetViews>
    <sheetView topLeftCell="A22" zoomScale="90" zoomScaleNormal="90" workbookViewId="0">
      <selection activeCell="G34" sqref="G34:G36"/>
    </sheetView>
  </sheetViews>
  <sheetFormatPr baseColWidth="10" defaultRowHeight="15"/>
  <cols>
    <col min="1" max="1" width="2.140625" style="109" customWidth="1"/>
    <col min="2" max="2" width="3.5703125" customWidth="1"/>
    <col min="3" max="3" width="4" customWidth="1"/>
    <col min="4" max="4" width="5" customWidth="1"/>
    <col min="5" max="5" width="3" customWidth="1"/>
    <col min="6" max="6" width="93.140625" customWidth="1"/>
    <col min="7" max="9" width="15.7109375" customWidth="1"/>
  </cols>
  <sheetData>
    <row r="1" spans="1:9" ht="60" customHeight="1" thickBot="1"/>
    <row r="2" spans="1:9" ht="171.75" customHeight="1" thickBot="1">
      <c r="F2" s="42" t="s">
        <v>6</v>
      </c>
    </row>
    <row r="3" spans="1:9" ht="16.5" thickBot="1">
      <c r="A3" s="110"/>
      <c r="F3" s="96" t="s">
        <v>79</v>
      </c>
      <c r="G3" s="97" t="s">
        <v>80</v>
      </c>
    </row>
    <row r="4" spans="1:9" ht="60.75" customHeight="1" thickBot="1">
      <c r="A4" s="111" t="s">
        <v>7</v>
      </c>
      <c r="B4" s="44"/>
      <c r="C4" s="44"/>
      <c r="D4" s="44"/>
      <c r="E4" s="44"/>
      <c r="F4" s="45"/>
      <c r="G4" s="79" t="s">
        <v>63</v>
      </c>
      <c r="H4" s="79" t="s">
        <v>63</v>
      </c>
      <c r="I4" s="78" t="s">
        <v>13</v>
      </c>
    </row>
    <row r="5" spans="1:9" ht="60.75" hidden="1" customHeight="1" thickBot="1">
      <c r="A5" s="112" t="s">
        <v>8</v>
      </c>
      <c r="B5" s="44"/>
      <c r="C5" s="44"/>
      <c r="D5" s="46" t="s">
        <v>101</v>
      </c>
      <c r="E5" s="46" t="s">
        <v>131</v>
      </c>
      <c r="F5" s="60"/>
      <c r="G5" s="80" t="str">
        <f>SUBSTITUTE(CONCATENATE("IFRS13-InfoMedValoJustA_",TRIM(G4),"_",COLUMN(G5),"|",G4)," ","")</f>
        <v>IFRS13-InfoMedValoJustA_Agregarcolumnaopcional_7|Agregarcolumnaopcional</v>
      </c>
      <c r="H5" s="80" t="str">
        <f>SUBSTITUTE(CONCATENATE("IFRS13-InfoMedValoJustA_",TRIM(H4),"_",COLUMN(H5),"|",H4)," ","")</f>
        <v>IFRS13-InfoMedValoJustA_Agregarcolumnaopcional_8|Agregarcolumnaopcional</v>
      </c>
      <c r="I5" s="59" t="s">
        <v>102</v>
      </c>
    </row>
    <row r="6" spans="1:9">
      <c r="B6" s="48"/>
      <c r="C6" s="47"/>
      <c r="D6" s="47"/>
      <c r="E6" s="47"/>
      <c r="F6" s="47"/>
      <c r="G6" s="47"/>
      <c r="H6" s="47"/>
      <c r="I6" s="62"/>
    </row>
    <row r="7" spans="1:9">
      <c r="B7" s="48"/>
      <c r="C7" s="47"/>
      <c r="D7" s="47"/>
      <c r="E7" s="47"/>
      <c r="F7" s="71" t="s">
        <v>60</v>
      </c>
      <c r="G7" s="47"/>
      <c r="H7" s="47"/>
      <c r="I7" s="62"/>
    </row>
    <row r="8" spans="1:9">
      <c r="A8" s="113"/>
      <c r="B8" s="50"/>
      <c r="C8" s="51"/>
      <c r="D8" s="51"/>
      <c r="E8" s="51"/>
      <c r="F8" s="52" t="s">
        <v>15</v>
      </c>
      <c r="G8" s="51"/>
      <c r="H8" s="51"/>
      <c r="I8" s="62"/>
    </row>
    <row r="9" spans="1:9">
      <c r="A9" s="113"/>
      <c r="B9" s="50"/>
      <c r="C9" s="51" t="s">
        <v>132</v>
      </c>
      <c r="D9" s="51" t="s">
        <v>3</v>
      </c>
      <c r="E9" s="51"/>
      <c r="F9" s="64" t="s">
        <v>311</v>
      </c>
      <c r="G9" s="121" t="s">
        <v>397</v>
      </c>
      <c r="H9" s="103"/>
      <c r="I9" s="81"/>
    </row>
    <row r="10" spans="1:9">
      <c r="A10" s="113"/>
      <c r="B10" s="50"/>
      <c r="C10" s="51" t="s">
        <v>128</v>
      </c>
      <c r="D10" s="51" t="s">
        <v>3</v>
      </c>
      <c r="E10" s="51"/>
      <c r="F10" s="64" t="s">
        <v>309</v>
      </c>
      <c r="G10" s="120" t="s">
        <v>73</v>
      </c>
      <c r="H10" s="102"/>
      <c r="I10" s="81"/>
    </row>
    <row r="11" spans="1:9">
      <c r="A11" s="113"/>
      <c r="B11" s="50"/>
      <c r="C11" s="51" t="s">
        <v>129</v>
      </c>
      <c r="D11" s="51" t="s">
        <v>3</v>
      </c>
      <c r="E11" s="51"/>
      <c r="F11" s="64" t="s">
        <v>310</v>
      </c>
      <c r="G11" s="120" t="s">
        <v>76</v>
      </c>
      <c r="H11" s="102"/>
      <c r="I11" s="81"/>
    </row>
    <row r="12" spans="1:9">
      <c r="A12" s="113"/>
      <c r="B12" s="50"/>
      <c r="C12" s="51"/>
      <c r="D12" s="51"/>
      <c r="E12" s="51"/>
      <c r="F12" s="52" t="s">
        <v>16</v>
      </c>
      <c r="G12" s="68"/>
      <c r="H12" s="68"/>
      <c r="I12" s="62"/>
    </row>
    <row r="13" spans="1:9">
      <c r="A13" s="113"/>
      <c r="B13" s="50"/>
      <c r="C13" s="51"/>
      <c r="D13" s="51"/>
      <c r="E13" s="51"/>
      <c r="F13" s="66" t="s">
        <v>17</v>
      </c>
      <c r="G13" s="68"/>
      <c r="H13" s="68"/>
      <c r="I13" s="62"/>
    </row>
    <row r="14" spans="1:9">
      <c r="A14" s="113" t="s">
        <v>5</v>
      </c>
      <c r="B14" s="50"/>
      <c r="C14" s="51" t="s">
        <v>133</v>
      </c>
      <c r="D14" s="51" t="s">
        <v>3</v>
      </c>
      <c r="E14" s="51"/>
      <c r="F14" s="66" t="s">
        <v>355</v>
      </c>
      <c r="G14" s="81">
        <v>16118434000</v>
      </c>
      <c r="H14" s="81"/>
      <c r="I14" s="107">
        <f>SUM(G14:H14)</f>
        <v>16118434000</v>
      </c>
    </row>
    <row r="15" spans="1:9" ht="22.5">
      <c r="A15" s="113"/>
      <c r="B15" s="50"/>
      <c r="C15" s="116"/>
      <c r="D15" s="116"/>
      <c r="E15" s="116"/>
      <c r="F15" s="117" t="s">
        <v>321</v>
      </c>
      <c r="G15" s="68"/>
      <c r="H15" s="68"/>
      <c r="I15" s="62"/>
    </row>
    <row r="16" spans="1:9" ht="22.5">
      <c r="A16" s="113"/>
      <c r="B16" s="50"/>
      <c r="C16" s="116" t="s">
        <v>323</v>
      </c>
      <c r="D16" s="116" t="s">
        <v>3</v>
      </c>
      <c r="E16" s="116"/>
      <c r="F16" s="119" t="s">
        <v>327</v>
      </c>
      <c r="G16" s="81">
        <v>15327794000</v>
      </c>
      <c r="H16" s="81"/>
      <c r="I16" s="107">
        <f t="shared" ref="I16:I18" si="0">SUM(G16:H16)</f>
        <v>15327794000</v>
      </c>
    </row>
    <row r="17" spans="1:9" ht="22.5">
      <c r="A17" s="113"/>
      <c r="B17" s="50"/>
      <c r="C17" s="116" t="s">
        <v>324</v>
      </c>
      <c r="D17" s="116" t="s">
        <v>3</v>
      </c>
      <c r="E17" s="116"/>
      <c r="F17" s="119" t="s">
        <v>328</v>
      </c>
      <c r="G17" s="81">
        <v>93665000</v>
      </c>
      <c r="H17" s="81"/>
      <c r="I17" s="107">
        <f t="shared" si="0"/>
        <v>93665000</v>
      </c>
    </row>
    <row r="18" spans="1:9" ht="22.5">
      <c r="A18" s="113"/>
      <c r="B18" s="50"/>
      <c r="C18" s="116" t="s">
        <v>103</v>
      </c>
      <c r="D18" s="116" t="s">
        <v>3</v>
      </c>
      <c r="E18" s="116"/>
      <c r="F18" s="117" t="s">
        <v>329</v>
      </c>
      <c r="G18" s="107">
        <f>G16+G17</f>
        <v>15421459000</v>
      </c>
      <c r="H18" s="107">
        <f>H16+H17</f>
        <v>0</v>
      </c>
      <c r="I18" s="107">
        <f t="shared" si="0"/>
        <v>15421459000</v>
      </c>
    </row>
    <row r="19" spans="1:9" ht="22.5">
      <c r="A19" s="114"/>
      <c r="B19" s="50"/>
      <c r="C19" s="116"/>
      <c r="D19" s="116"/>
      <c r="E19" s="116"/>
      <c r="F19" s="117" t="s">
        <v>322</v>
      </c>
      <c r="G19" s="68"/>
      <c r="H19" s="68"/>
      <c r="I19" s="62"/>
    </row>
    <row r="20" spans="1:9" ht="22.5">
      <c r="A20" s="114"/>
      <c r="B20" s="50"/>
      <c r="C20" s="116" t="s">
        <v>325</v>
      </c>
      <c r="D20" s="116" t="s">
        <v>3</v>
      </c>
      <c r="E20" s="116"/>
      <c r="F20" s="119" t="s">
        <v>330</v>
      </c>
      <c r="G20" s="81">
        <v>1160370323</v>
      </c>
      <c r="H20" s="81"/>
      <c r="I20" s="107">
        <f t="shared" ref="I20:I22" si="1">SUM(G20:H20)</f>
        <v>1160370323</v>
      </c>
    </row>
    <row r="21" spans="1:9" ht="22.5">
      <c r="A21" s="114"/>
      <c r="B21" s="50"/>
      <c r="C21" s="116" t="s">
        <v>326</v>
      </c>
      <c r="D21" s="116" t="s">
        <v>3</v>
      </c>
      <c r="E21" s="116"/>
      <c r="F21" s="119" t="s">
        <v>331</v>
      </c>
      <c r="G21" s="81">
        <v>1000</v>
      </c>
      <c r="H21" s="81"/>
      <c r="I21" s="107">
        <f t="shared" si="1"/>
        <v>1000</v>
      </c>
    </row>
    <row r="22" spans="1:9" ht="22.5">
      <c r="A22" s="114"/>
      <c r="B22" s="50"/>
      <c r="C22" s="116" t="s">
        <v>104</v>
      </c>
      <c r="D22" s="116" t="s">
        <v>3</v>
      </c>
      <c r="E22" s="116"/>
      <c r="F22" s="117" t="s">
        <v>332</v>
      </c>
      <c r="G22" s="107">
        <f>G20+G21</f>
        <v>1160371323</v>
      </c>
      <c r="H22" s="107">
        <f>H20+H21</f>
        <v>0</v>
      </c>
      <c r="I22" s="107">
        <f t="shared" si="1"/>
        <v>1160371323</v>
      </c>
    </row>
    <row r="23" spans="1:9">
      <c r="A23" s="113"/>
      <c r="B23" s="50"/>
      <c r="C23" s="51" t="s">
        <v>105</v>
      </c>
      <c r="D23" s="51" t="s">
        <v>3</v>
      </c>
      <c r="E23" s="51"/>
      <c r="F23" s="53" t="s">
        <v>42</v>
      </c>
      <c r="G23" s="81">
        <v>2000</v>
      </c>
      <c r="H23" s="81"/>
      <c r="I23" s="107">
        <f t="shared" ref="I23:I30" si="2">SUM(G23:H23)</f>
        <v>2000</v>
      </c>
    </row>
    <row r="24" spans="1:9">
      <c r="A24" s="113"/>
      <c r="B24" s="50"/>
      <c r="C24" s="51" t="s">
        <v>106</v>
      </c>
      <c r="D24" s="51" t="s">
        <v>3</v>
      </c>
      <c r="E24" s="51"/>
      <c r="F24" s="53" t="s">
        <v>43</v>
      </c>
      <c r="G24" s="81">
        <v>3000</v>
      </c>
      <c r="H24" s="81"/>
      <c r="I24" s="107">
        <f t="shared" si="2"/>
        <v>3000</v>
      </c>
    </row>
    <row r="25" spans="1:9">
      <c r="A25" s="113"/>
      <c r="B25" s="50"/>
      <c r="C25" s="51" t="s">
        <v>107</v>
      </c>
      <c r="D25" s="51" t="s">
        <v>3</v>
      </c>
      <c r="E25" s="51"/>
      <c r="F25" s="53" t="s">
        <v>44</v>
      </c>
      <c r="G25" s="81">
        <v>4000</v>
      </c>
      <c r="H25" s="81"/>
      <c r="I25" s="107">
        <f t="shared" si="2"/>
        <v>4000</v>
      </c>
    </row>
    <row r="26" spans="1:9">
      <c r="A26" s="113"/>
      <c r="B26" s="50"/>
      <c r="C26" s="51" t="s">
        <v>108</v>
      </c>
      <c r="D26" s="51" t="s">
        <v>3</v>
      </c>
      <c r="E26" s="51"/>
      <c r="F26" s="53" t="s">
        <v>45</v>
      </c>
      <c r="G26" s="81">
        <v>-16074222323</v>
      </c>
      <c r="H26" s="81"/>
      <c r="I26" s="107">
        <f t="shared" si="2"/>
        <v>-16074222323</v>
      </c>
    </row>
    <row r="27" spans="1:9">
      <c r="A27" s="113"/>
      <c r="B27" s="50"/>
      <c r="C27" s="51" t="s">
        <v>109</v>
      </c>
      <c r="D27" s="51" t="s">
        <v>3</v>
      </c>
      <c r="E27" s="51"/>
      <c r="F27" s="53" t="s">
        <v>46</v>
      </c>
      <c r="G27" s="81">
        <v>5000</v>
      </c>
      <c r="H27" s="81"/>
      <c r="I27" s="107">
        <f t="shared" si="2"/>
        <v>5000</v>
      </c>
    </row>
    <row r="28" spans="1:9">
      <c r="A28" s="113"/>
      <c r="B28" s="50"/>
      <c r="C28" s="51" t="s">
        <v>110</v>
      </c>
      <c r="D28" s="51" t="s">
        <v>3</v>
      </c>
      <c r="E28" s="51"/>
      <c r="F28" s="53" t="s">
        <v>47</v>
      </c>
      <c r="G28" s="81">
        <v>6000</v>
      </c>
      <c r="H28" s="81"/>
      <c r="I28" s="107">
        <f t="shared" si="2"/>
        <v>6000</v>
      </c>
    </row>
    <row r="29" spans="1:9">
      <c r="A29" s="113"/>
      <c r="B29" s="50"/>
      <c r="C29" s="51" t="s">
        <v>111</v>
      </c>
      <c r="D29" s="51" t="s">
        <v>3</v>
      </c>
      <c r="E29" s="51"/>
      <c r="F29" s="66" t="s">
        <v>48</v>
      </c>
      <c r="G29" s="107">
        <f>-G18-G22+G23-G24+G25-G26+G27-G28</f>
        <v>-507606000</v>
      </c>
      <c r="H29" s="107">
        <f>-H18-H22+H23-H24+H25-H26+H27-H28</f>
        <v>0</v>
      </c>
      <c r="I29" s="107">
        <f>-I18-I22+I23-I24+I25-I26+I27-I28</f>
        <v>-507606000</v>
      </c>
    </row>
    <row r="30" spans="1:9">
      <c r="A30" s="113"/>
      <c r="B30" s="50"/>
      <c r="C30" s="51" t="s">
        <v>133</v>
      </c>
      <c r="D30" s="51" t="s">
        <v>3</v>
      </c>
      <c r="E30" s="51"/>
      <c r="F30" s="66" t="s">
        <v>312</v>
      </c>
      <c r="G30" s="107">
        <f>G14+G29</f>
        <v>15610828000</v>
      </c>
      <c r="H30" s="107">
        <f>H14+H29</f>
        <v>0</v>
      </c>
      <c r="I30" s="107">
        <f t="shared" si="2"/>
        <v>15610828000</v>
      </c>
    </row>
    <row r="31" spans="1:9">
      <c r="A31" s="113"/>
      <c r="B31" s="50"/>
      <c r="C31" s="51"/>
      <c r="D31" s="51"/>
      <c r="E31" s="51"/>
      <c r="F31" s="52"/>
      <c r="G31" s="68"/>
      <c r="H31" s="68"/>
      <c r="I31" s="62"/>
    </row>
    <row r="32" spans="1:9">
      <c r="B32" s="48"/>
      <c r="C32" s="47"/>
      <c r="D32" s="47"/>
      <c r="E32" s="47"/>
      <c r="F32" s="71" t="s">
        <v>59</v>
      </c>
      <c r="G32" s="47"/>
      <c r="H32" s="47"/>
      <c r="I32" s="62"/>
    </row>
    <row r="33" spans="1:9">
      <c r="A33" s="113"/>
      <c r="B33" s="50"/>
      <c r="C33" s="51"/>
      <c r="D33" s="51"/>
      <c r="E33" s="51"/>
      <c r="F33" s="52" t="s">
        <v>15</v>
      </c>
      <c r="G33" s="51"/>
      <c r="H33" s="51"/>
      <c r="I33" s="62"/>
    </row>
    <row r="34" spans="1:9">
      <c r="A34" s="113"/>
      <c r="B34" s="50"/>
      <c r="C34" s="51" t="s">
        <v>132</v>
      </c>
      <c r="D34" s="51" t="s">
        <v>61</v>
      </c>
      <c r="E34" s="51"/>
      <c r="F34" s="64" t="s">
        <v>311</v>
      </c>
      <c r="G34" s="121" t="s">
        <v>397</v>
      </c>
      <c r="H34" s="103"/>
      <c r="I34" s="81"/>
    </row>
    <row r="35" spans="1:9">
      <c r="A35" s="113"/>
      <c r="B35" s="50"/>
      <c r="C35" s="51" t="s">
        <v>128</v>
      </c>
      <c r="D35" s="51" t="s">
        <v>61</v>
      </c>
      <c r="E35" s="51"/>
      <c r="F35" s="64" t="s">
        <v>309</v>
      </c>
      <c r="G35" s="120" t="s">
        <v>73</v>
      </c>
      <c r="H35" s="102"/>
      <c r="I35" s="81"/>
    </row>
    <row r="36" spans="1:9">
      <c r="A36" s="113"/>
      <c r="B36" s="50"/>
      <c r="C36" s="51" t="s">
        <v>129</v>
      </c>
      <c r="D36" s="51" t="s">
        <v>61</v>
      </c>
      <c r="E36" s="51"/>
      <c r="F36" s="64" t="s">
        <v>310</v>
      </c>
      <c r="G36" s="120" t="s">
        <v>76</v>
      </c>
      <c r="H36" s="102"/>
      <c r="I36" s="81"/>
    </row>
    <row r="37" spans="1:9">
      <c r="A37" s="113"/>
      <c r="B37" s="50"/>
      <c r="C37" s="51"/>
      <c r="D37" s="51"/>
      <c r="E37" s="51"/>
      <c r="F37" s="52" t="s">
        <v>16</v>
      </c>
      <c r="G37" s="68"/>
      <c r="H37" s="68"/>
      <c r="I37" s="62"/>
    </row>
    <row r="38" spans="1:9">
      <c r="A38" s="113"/>
      <c r="B38" s="50"/>
      <c r="C38" s="51"/>
      <c r="D38" s="51"/>
      <c r="E38" s="51"/>
      <c r="F38" s="66" t="s">
        <v>17</v>
      </c>
      <c r="G38" s="68"/>
      <c r="H38" s="68"/>
      <c r="I38" s="62"/>
    </row>
    <row r="39" spans="1:9">
      <c r="A39" s="113" t="s">
        <v>5</v>
      </c>
      <c r="B39" s="50"/>
      <c r="C39" s="51" t="s">
        <v>133</v>
      </c>
      <c r="D39" s="51" t="s">
        <v>4</v>
      </c>
      <c r="E39" s="51"/>
      <c r="F39" s="66" t="s">
        <v>356</v>
      </c>
      <c r="G39" s="81">
        <v>8411896000</v>
      </c>
      <c r="H39" s="81"/>
      <c r="I39" s="107">
        <f>SUM(G39:H39)</f>
        <v>8411896000</v>
      </c>
    </row>
    <row r="40" spans="1:9" ht="22.5">
      <c r="A40" s="113"/>
      <c r="B40" s="50"/>
      <c r="C40" s="116"/>
      <c r="D40" s="116"/>
      <c r="E40" s="116"/>
      <c r="F40" s="117" t="s">
        <v>321</v>
      </c>
      <c r="G40" s="68"/>
      <c r="H40" s="68"/>
      <c r="I40" s="62"/>
    </row>
    <row r="41" spans="1:9" ht="22.5">
      <c r="A41" s="113"/>
      <c r="B41" s="50"/>
      <c r="C41" s="116" t="s">
        <v>323</v>
      </c>
      <c r="D41" s="116" t="s">
        <v>61</v>
      </c>
      <c r="E41" s="116"/>
      <c r="F41" s="119" t="s">
        <v>327</v>
      </c>
      <c r="G41" s="81">
        <v>-4561361000</v>
      </c>
      <c r="H41" s="81"/>
      <c r="I41" s="107">
        <f t="shared" ref="I41:I43" si="3">SUM(G41:H41)</f>
        <v>-4561361000</v>
      </c>
    </row>
    <row r="42" spans="1:9" ht="22.5">
      <c r="A42" s="113"/>
      <c r="B42" s="50"/>
      <c r="C42" s="116" t="s">
        <v>324</v>
      </c>
      <c r="D42" s="116" t="s">
        <v>61</v>
      </c>
      <c r="E42" s="116"/>
      <c r="F42" s="119" t="s">
        <v>328</v>
      </c>
      <c r="G42" s="81">
        <v>-2749857000</v>
      </c>
      <c r="H42" s="81"/>
      <c r="I42" s="107">
        <f t="shared" si="3"/>
        <v>-2749857000</v>
      </c>
    </row>
    <row r="43" spans="1:9" ht="22.5">
      <c r="A43" s="113"/>
      <c r="B43" s="50"/>
      <c r="C43" s="116" t="s">
        <v>103</v>
      </c>
      <c r="D43" s="116" t="s">
        <v>61</v>
      </c>
      <c r="E43" s="116"/>
      <c r="F43" s="117" t="s">
        <v>329</v>
      </c>
      <c r="G43" s="107">
        <f>G41+G42</f>
        <v>-7311218000</v>
      </c>
      <c r="H43" s="107">
        <f>H41+H42</f>
        <v>0</v>
      </c>
      <c r="I43" s="107">
        <f t="shared" si="3"/>
        <v>-7311218000</v>
      </c>
    </row>
    <row r="44" spans="1:9" ht="22.5">
      <c r="A44" s="114"/>
      <c r="B44" s="50"/>
      <c r="C44" s="116"/>
      <c r="D44" s="116"/>
      <c r="E44" s="116"/>
      <c r="F44" s="117" t="s">
        <v>322</v>
      </c>
      <c r="G44" s="68"/>
      <c r="H44" s="68"/>
      <c r="I44" s="62"/>
    </row>
    <row r="45" spans="1:9" ht="22.5">
      <c r="A45" s="114"/>
      <c r="B45" s="50"/>
      <c r="C45" s="116" t="s">
        <v>325</v>
      </c>
      <c r="D45" s="116" t="s">
        <v>61</v>
      </c>
      <c r="E45" s="116"/>
      <c r="F45" s="119" t="s">
        <v>330</v>
      </c>
      <c r="G45" s="81">
        <v>1000</v>
      </c>
      <c r="H45" s="81"/>
      <c r="I45" s="107">
        <f t="shared" ref="I45:I47" si="4">SUM(G45:H45)</f>
        <v>1000</v>
      </c>
    </row>
    <row r="46" spans="1:9" ht="22.5">
      <c r="A46" s="114"/>
      <c r="B46" s="50"/>
      <c r="C46" s="116" t="s">
        <v>326</v>
      </c>
      <c r="D46" s="116" t="s">
        <v>61</v>
      </c>
      <c r="E46" s="116"/>
      <c r="F46" s="119" t="s">
        <v>331</v>
      </c>
      <c r="G46" s="81">
        <v>2000</v>
      </c>
      <c r="H46" s="81"/>
      <c r="I46" s="107">
        <f t="shared" si="4"/>
        <v>2000</v>
      </c>
    </row>
    <row r="47" spans="1:9" ht="22.5">
      <c r="A47" s="114"/>
      <c r="B47" s="50"/>
      <c r="C47" s="116" t="s">
        <v>104</v>
      </c>
      <c r="D47" s="116" t="s">
        <v>61</v>
      </c>
      <c r="E47" s="116"/>
      <c r="F47" s="117" t="s">
        <v>332</v>
      </c>
      <c r="G47" s="107">
        <f>G45+G46</f>
        <v>3000</v>
      </c>
      <c r="H47" s="107">
        <f>H45+H46</f>
        <v>0</v>
      </c>
      <c r="I47" s="107">
        <f t="shared" si="4"/>
        <v>3000</v>
      </c>
    </row>
    <row r="48" spans="1:9">
      <c r="A48" s="113"/>
      <c r="B48" s="50"/>
      <c r="C48" s="51" t="s">
        <v>105</v>
      </c>
      <c r="D48" s="51" t="s">
        <v>61</v>
      </c>
      <c r="E48" s="51"/>
      <c r="F48" s="53" t="s">
        <v>42</v>
      </c>
      <c r="G48" s="81">
        <v>3000</v>
      </c>
      <c r="H48" s="81"/>
      <c r="I48" s="107">
        <f t="shared" ref="I48:I53" si="5">SUM(G48:H48)</f>
        <v>3000</v>
      </c>
    </row>
    <row r="49" spans="1:9">
      <c r="A49" s="113"/>
      <c r="B49" s="50"/>
      <c r="C49" s="51" t="s">
        <v>106</v>
      </c>
      <c r="D49" s="51" t="s">
        <v>61</v>
      </c>
      <c r="E49" s="51"/>
      <c r="F49" s="53" t="s">
        <v>43</v>
      </c>
      <c r="G49" s="81">
        <v>4000</v>
      </c>
      <c r="H49" s="81"/>
      <c r="I49" s="107">
        <f t="shared" si="5"/>
        <v>4000</v>
      </c>
    </row>
    <row r="50" spans="1:9">
      <c r="A50" s="113"/>
      <c r="B50" s="50"/>
      <c r="C50" s="51" t="s">
        <v>107</v>
      </c>
      <c r="D50" s="51" t="s">
        <v>61</v>
      </c>
      <c r="E50" s="51"/>
      <c r="F50" s="53" t="s">
        <v>44</v>
      </c>
      <c r="G50" s="81">
        <v>5000</v>
      </c>
      <c r="H50" s="81"/>
      <c r="I50" s="107">
        <f t="shared" si="5"/>
        <v>5000</v>
      </c>
    </row>
    <row r="51" spans="1:9">
      <c r="A51" s="113"/>
      <c r="B51" s="50"/>
      <c r="C51" s="51" t="s">
        <v>108</v>
      </c>
      <c r="D51" s="51" t="s">
        <v>61</v>
      </c>
      <c r="E51" s="51"/>
      <c r="F51" s="53" t="s">
        <v>45</v>
      </c>
      <c r="G51" s="81">
        <v>-395320000</v>
      </c>
      <c r="H51" s="81"/>
      <c r="I51" s="107">
        <f t="shared" si="5"/>
        <v>-395320000</v>
      </c>
    </row>
    <row r="52" spans="1:9">
      <c r="A52" s="113"/>
      <c r="B52" s="50"/>
      <c r="C52" s="51" t="s">
        <v>109</v>
      </c>
      <c r="D52" s="51" t="s">
        <v>61</v>
      </c>
      <c r="E52" s="51"/>
      <c r="F52" s="53" t="s">
        <v>46</v>
      </c>
      <c r="G52" s="81">
        <v>6000</v>
      </c>
      <c r="H52" s="81"/>
      <c r="I52" s="107">
        <f t="shared" si="5"/>
        <v>6000</v>
      </c>
    </row>
    <row r="53" spans="1:9">
      <c r="A53" s="113"/>
      <c r="B53" s="50"/>
      <c r="C53" s="51" t="s">
        <v>110</v>
      </c>
      <c r="D53" s="51" t="s">
        <v>61</v>
      </c>
      <c r="E53" s="51"/>
      <c r="F53" s="53" t="s">
        <v>47</v>
      </c>
      <c r="G53" s="81">
        <v>7000</v>
      </c>
      <c r="H53" s="81"/>
      <c r="I53" s="107">
        <f t="shared" si="5"/>
        <v>7000</v>
      </c>
    </row>
    <row r="54" spans="1:9">
      <c r="A54" s="113"/>
      <c r="B54" s="50"/>
      <c r="C54" s="51" t="s">
        <v>111</v>
      </c>
      <c r="D54" s="51" t="s">
        <v>61</v>
      </c>
      <c r="E54" s="51"/>
      <c r="F54" s="66" t="s">
        <v>48</v>
      </c>
      <c r="G54" s="107">
        <f>-G43-G47+G48-G49+G50-G51+G52-G53</f>
        <v>7706538000</v>
      </c>
      <c r="H54" s="107">
        <f>-H43-H47+H48-H49+H50-H51+H52-H53</f>
        <v>0</v>
      </c>
      <c r="I54" s="107">
        <f>-I43-I47+I48-I49+I50-I51+I52-I53</f>
        <v>7706538000</v>
      </c>
    </row>
    <row r="55" spans="1:9">
      <c r="A55" s="113" t="s">
        <v>5</v>
      </c>
      <c r="B55" s="50"/>
      <c r="C55" s="51" t="s">
        <v>133</v>
      </c>
      <c r="D55" s="51" t="s">
        <v>3</v>
      </c>
      <c r="E55" s="51"/>
      <c r="F55" s="52" t="s">
        <v>357</v>
      </c>
      <c r="G55" s="107">
        <f>G39+G54</f>
        <v>16118434000</v>
      </c>
      <c r="H55" s="107">
        <f>H39+H54</f>
        <v>0</v>
      </c>
      <c r="I55" s="107">
        <f t="shared" ref="I55" si="6">SUM(G55:H55)</f>
        <v>16118434000</v>
      </c>
    </row>
    <row r="56" spans="1:9">
      <c r="A56" s="113"/>
      <c r="B56" s="55"/>
      <c r="C56" s="56"/>
      <c r="D56" s="56"/>
      <c r="E56" s="56"/>
      <c r="F56" s="57"/>
      <c r="G56" s="56"/>
      <c r="H56" s="56"/>
      <c r="I56" s="63"/>
    </row>
    <row r="57" spans="1:9" ht="22.5" customHeight="1">
      <c r="A57" s="110"/>
      <c r="F57" s="100" t="s">
        <v>354</v>
      </c>
      <c r="G57" s="101">
        <f>G14-G55</f>
        <v>0</v>
      </c>
      <c r="H57" s="101">
        <f>H14-H55</f>
        <v>0</v>
      </c>
      <c r="I57" s="101">
        <f>I14-I55</f>
        <v>0</v>
      </c>
    </row>
    <row r="58" spans="1:9" ht="22.5" customHeight="1"/>
    <row r="59" spans="1:9" ht="22.5" customHeight="1"/>
    <row r="60" spans="1:9" ht="22.5" customHeight="1"/>
    <row r="61" spans="1:9" ht="22.5" customHeight="1"/>
    <row r="62" spans="1:9" ht="22.5" customHeight="1"/>
    <row r="63" spans="1:9" ht="22.5" customHeight="1"/>
    <row r="64" spans="1:9" ht="22.5" customHeight="1"/>
    <row r="65" ht="22.5" customHeight="1"/>
    <row r="66" ht="22.5" customHeight="1"/>
    <row r="67" ht="22.5" customHeight="1"/>
    <row r="68" ht="22.5" customHeight="1"/>
    <row r="69" ht="22.5" customHeight="1"/>
    <row r="70" ht="22.5" customHeight="1"/>
    <row r="71" ht="22.5" customHeight="1"/>
    <row r="72" ht="22.5" customHeight="1"/>
    <row r="73" ht="22.5" customHeight="1"/>
    <row r="74" ht="22.5" customHeight="1"/>
  </sheetData>
  <sheetProtection insertColumns="0" insertRows="0" deleteColumns="0" deleteRows="0"/>
  <conditionalFormatting sqref="G57:I57">
    <cfRule type="cellIs" dxfId="2" priority="1" operator="greaterThan">
      <formula>0</formula>
    </cfRule>
    <cfRule type="cellIs" dxfId="1" priority="2" operator="lessThan">
      <formula>0</formula>
    </cfRule>
    <cfRule type="cellIs" dxfId="0" priority="3" operator="equal">
      <formula>0</formula>
    </cfRule>
  </conditionalFormatting>
  <pageMargins left="0.7" right="0.7" top="0.75" bottom="0.75" header="0.3" footer="0.3"/>
  <pageSetup paperSize="119" orientation="portrait" horizontalDpi="1200" verticalDpi="120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200-000000000000}">
          <x14:formula1>
            <xm:f>Hoja1!$C$1:$C$3</xm:f>
          </x14:formula1>
          <xm:sqref>H11:I11 H36:I36</xm:sqref>
        </x14:dataValidation>
        <x14:dataValidation type="list" allowBlank="1" showInputMessage="1" showErrorMessage="1" xr:uid="{00000000-0002-0000-0200-000001000000}">
          <x14:formula1>
            <xm:f>Hoja1!$B$1:$B$3</xm:f>
          </x14:formula1>
          <xm:sqref>H10:I10 H35:I35</xm:sqref>
        </x14:dataValidation>
        <x14:dataValidation type="list" allowBlank="1" showInputMessage="1" showErrorMessage="1" xr:uid="{00000000-0002-0000-0200-000002000000}">
          <x14:formula1>
            <xm:f>Hoja1!$D$1:$D$2</xm:f>
          </x14:formula1>
          <xm:sqref>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tabColor theme="7" tint="0.39997558519241921"/>
  </sheetPr>
  <dimension ref="A1:I77"/>
  <sheetViews>
    <sheetView topLeftCell="A37" zoomScaleNormal="100" workbookViewId="0">
      <selection activeCell="G47" sqref="G47:G52"/>
    </sheetView>
  </sheetViews>
  <sheetFormatPr baseColWidth="10" defaultRowHeight="15" outlineLevelCol="2"/>
  <cols>
    <col min="1" max="1" width="2.140625" customWidth="1"/>
    <col min="2" max="2" width="3.5703125" customWidth="1"/>
    <col min="3" max="3" width="4" customWidth="1"/>
    <col min="4" max="4" width="5" customWidth="1"/>
    <col min="5" max="5" width="3" customWidth="1"/>
    <col min="6" max="6" width="93.140625" customWidth="1"/>
    <col min="7" max="8" width="15.7109375" customWidth="1" outlineLevel="2"/>
    <col min="9" max="9" width="15.7109375" customWidth="1" outlineLevel="1"/>
  </cols>
  <sheetData>
    <row r="1" spans="1:9" ht="60" customHeight="1" thickBot="1"/>
    <row r="2" spans="1:9" ht="171.75" customHeight="1" thickBot="1">
      <c r="F2" s="28" t="s">
        <v>1</v>
      </c>
    </row>
    <row r="3" spans="1:9" ht="16.5" thickBot="1">
      <c r="A3" s="30"/>
      <c r="F3" s="29" t="s">
        <v>2</v>
      </c>
    </row>
    <row r="4" spans="1:9" ht="16.5" thickBot="1">
      <c r="A4" s="30"/>
      <c r="F4" s="96" t="s">
        <v>79</v>
      </c>
      <c r="G4" s="97" t="s">
        <v>80</v>
      </c>
    </row>
    <row r="5" spans="1:9" ht="75.75" thickBot="1">
      <c r="A5" s="43" t="s">
        <v>7</v>
      </c>
      <c r="B5" s="44"/>
      <c r="C5" s="44"/>
      <c r="D5" s="44"/>
      <c r="E5" s="44"/>
      <c r="F5" s="45"/>
      <c r="G5" s="79" t="s">
        <v>63</v>
      </c>
      <c r="H5" s="79" t="s">
        <v>63</v>
      </c>
      <c r="I5" s="78" t="s">
        <v>14</v>
      </c>
    </row>
    <row r="6" spans="1:9" ht="60.75" hidden="1" customHeight="1" thickBot="1">
      <c r="A6" s="61" t="s">
        <v>8</v>
      </c>
      <c r="B6" s="44"/>
      <c r="C6" s="44"/>
      <c r="D6" s="46" t="s">
        <v>112</v>
      </c>
      <c r="E6" s="46" t="s">
        <v>134</v>
      </c>
      <c r="F6" s="60"/>
      <c r="G6" s="80" t="str">
        <f>SUBSTITUTE(CONCATENATE("IFRS13-InfoMedValoJustB_",TRIM(G5),"_",COLUMN(G6),"|",G5)," ","")</f>
        <v>IFRS13-InfoMedValoJustB_Agregarcolumnaopcional_7|Agregarcolumnaopcional</v>
      </c>
      <c r="H6" s="80" t="str">
        <f>SUBSTITUTE(CONCATENATE("IFRS13-InfoMedValoJustB_",TRIM(H5),"_",COLUMN(H6),"|",H5)," ","")</f>
        <v>IFRS13-InfoMedValoJustB_Agregarcolumnaopcional_8|Agregarcolumnaopcional</v>
      </c>
      <c r="I6" s="58" t="s">
        <v>113</v>
      </c>
    </row>
    <row r="7" spans="1:9">
      <c r="B7" s="48"/>
      <c r="C7" s="47"/>
      <c r="D7" s="47"/>
      <c r="E7" s="47"/>
      <c r="F7" s="47"/>
      <c r="G7" s="47"/>
      <c r="H7" s="47"/>
      <c r="I7" s="47"/>
    </row>
    <row r="8" spans="1:9">
      <c r="B8" s="48"/>
      <c r="C8" s="47"/>
      <c r="D8" s="47"/>
      <c r="E8" s="47"/>
      <c r="F8" s="71" t="s">
        <v>60</v>
      </c>
      <c r="G8" s="47"/>
      <c r="H8" s="47"/>
      <c r="I8" s="47"/>
    </row>
    <row r="9" spans="1:9">
      <c r="A9" s="49"/>
      <c r="B9" s="50"/>
      <c r="C9" s="51"/>
      <c r="D9" s="51"/>
      <c r="E9" s="51"/>
      <c r="F9" s="52" t="s">
        <v>18</v>
      </c>
      <c r="G9" s="51"/>
      <c r="H9" s="51"/>
      <c r="I9" s="51"/>
    </row>
    <row r="10" spans="1:9">
      <c r="A10" s="49"/>
      <c r="B10" s="50"/>
      <c r="C10" s="51" t="s">
        <v>128</v>
      </c>
      <c r="D10" s="51" t="s">
        <v>3</v>
      </c>
      <c r="E10" s="51"/>
      <c r="F10" s="64" t="s">
        <v>309</v>
      </c>
      <c r="G10" s="120" t="s">
        <v>73</v>
      </c>
      <c r="H10" s="102"/>
      <c r="I10" s="81"/>
    </row>
    <row r="11" spans="1:9">
      <c r="A11" s="49"/>
      <c r="B11" s="50"/>
      <c r="C11" s="51" t="s">
        <v>129</v>
      </c>
      <c r="D11" s="51" t="s">
        <v>3</v>
      </c>
      <c r="E11" s="51"/>
      <c r="F11" s="64" t="s">
        <v>310</v>
      </c>
      <c r="G11" s="120" t="s">
        <v>76</v>
      </c>
      <c r="H11" s="102"/>
      <c r="I11" s="81"/>
    </row>
    <row r="12" spans="1:9" ht="22.5">
      <c r="A12" s="49"/>
      <c r="B12" s="50"/>
      <c r="C12" s="51"/>
      <c r="D12" s="51"/>
      <c r="E12" s="51"/>
      <c r="F12" s="52" t="s">
        <v>19</v>
      </c>
      <c r="G12" s="68"/>
      <c r="H12" s="68"/>
      <c r="I12" s="68"/>
    </row>
    <row r="13" spans="1:9" ht="22.5">
      <c r="A13" s="49"/>
      <c r="B13" s="50"/>
      <c r="C13" s="51"/>
      <c r="D13" s="51"/>
      <c r="E13" s="51"/>
      <c r="F13" s="66" t="s">
        <v>20</v>
      </c>
      <c r="G13" s="68"/>
      <c r="H13" s="68"/>
      <c r="I13" s="68"/>
    </row>
    <row r="14" spans="1:9">
      <c r="A14" s="49" t="s">
        <v>5</v>
      </c>
      <c r="B14" s="50"/>
      <c r="C14" s="51" t="s">
        <v>135</v>
      </c>
      <c r="D14" s="51" t="s">
        <v>3</v>
      </c>
      <c r="E14" s="51"/>
      <c r="F14" s="66" t="s">
        <v>355</v>
      </c>
      <c r="G14" s="81">
        <v>780127085000</v>
      </c>
      <c r="H14" s="81"/>
      <c r="I14" s="107">
        <f>SUM(G14:H14)</f>
        <v>780127085000</v>
      </c>
    </row>
    <row r="15" spans="1:9" ht="22.5">
      <c r="A15" s="49"/>
      <c r="B15" s="50"/>
      <c r="C15" s="116"/>
      <c r="D15" s="116"/>
      <c r="E15" s="116"/>
      <c r="F15" s="117" t="s">
        <v>333</v>
      </c>
      <c r="G15" s="68"/>
      <c r="H15" s="68"/>
      <c r="I15" s="68"/>
    </row>
    <row r="16" spans="1:9" ht="22.5">
      <c r="A16" s="49"/>
      <c r="B16" s="50"/>
      <c r="C16" s="116" t="s">
        <v>335</v>
      </c>
      <c r="D16" s="116" t="s">
        <v>3</v>
      </c>
      <c r="E16" s="116"/>
      <c r="F16" s="118" t="s">
        <v>365</v>
      </c>
      <c r="G16" s="81">
        <v>-71750587000</v>
      </c>
      <c r="H16" s="81"/>
      <c r="I16" s="107">
        <f t="shared" ref="I16:I18" si="0">SUM(G16:H16)</f>
        <v>-71750587000</v>
      </c>
    </row>
    <row r="17" spans="1:9" ht="22.5">
      <c r="A17" s="49"/>
      <c r="B17" s="50"/>
      <c r="C17" s="116" t="s">
        <v>336</v>
      </c>
      <c r="D17" s="116" t="s">
        <v>3</v>
      </c>
      <c r="E17" s="116"/>
      <c r="F17" s="118" t="s">
        <v>366</v>
      </c>
      <c r="G17" s="81">
        <v>28892763000</v>
      </c>
      <c r="H17" s="81"/>
      <c r="I17" s="107">
        <f t="shared" si="0"/>
        <v>28892763000</v>
      </c>
    </row>
    <row r="18" spans="1:9" ht="22.5">
      <c r="A18" s="49"/>
      <c r="B18" s="50"/>
      <c r="C18" s="116" t="s">
        <v>114</v>
      </c>
      <c r="D18" s="116" t="s">
        <v>3</v>
      </c>
      <c r="E18" s="116"/>
      <c r="F18" s="118" t="s">
        <v>367</v>
      </c>
      <c r="G18" s="107">
        <f>G16+G17</f>
        <v>-42857824000</v>
      </c>
      <c r="H18" s="107">
        <f>H16+H17</f>
        <v>0</v>
      </c>
      <c r="I18" s="107">
        <f t="shared" si="0"/>
        <v>-42857824000</v>
      </c>
    </row>
    <row r="19" spans="1:9" ht="22.5">
      <c r="A19" s="49"/>
      <c r="B19" s="50"/>
      <c r="C19" s="116"/>
      <c r="D19" s="116"/>
      <c r="E19" s="116"/>
      <c r="F19" s="117" t="s">
        <v>334</v>
      </c>
      <c r="G19" s="68"/>
      <c r="H19" s="68"/>
      <c r="I19" s="68"/>
    </row>
    <row r="20" spans="1:9" ht="22.5">
      <c r="A20" s="49"/>
      <c r="B20" s="50"/>
      <c r="C20" s="116" t="s">
        <v>337</v>
      </c>
      <c r="D20" s="116" t="s">
        <v>3</v>
      </c>
      <c r="E20" s="116"/>
      <c r="F20" s="118" t="s">
        <v>368</v>
      </c>
      <c r="G20" s="81">
        <v>1000</v>
      </c>
      <c r="H20" s="81"/>
      <c r="I20" s="107">
        <f t="shared" ref="I20:I22" si="1">SUM(G20:H20)</f>
        <v>1000</v>
      </c>
    </row>
    <row r="21" spans="1:9" ht="22.5">
      <c r="A21" s="49"/>
      <c r="B21" s="50"/>
      <c r="C21" s="116" t="s">
        <v>338</v>
      </c>
      <c r="D21" s="116" t="s">
        <v>3</v>
      </c>
      <c r="E21" s="116"/>
      <c r="F21" s="118" t="s">
        <v>369</v>
      </c>
      <c r="G21" s="81">
        <v>2000</v>
      </c>
      <c r="H21" s="81"/>
      <c r="I21" s="107">
        <f t="shared" si="1"/>
        <v>2000</v>
      </c>
    </row>
    <row r="22" spans="1:9" ht="22.5">
      <c r="A22" s="49"/>
      <c r="B22" s="50"/>
      <c r="C22" s="116" t="s">
        <v>115</v>
      </c>
      <c r="D22" s="116" t="s">
        <v>3</v>
      </c>
      <c r="E22" s="116"/>
      <c r="F22" s="118" t="s">
        <v>370</v>
      </c>
      <c r="G22" s="107">
        <f>G20+G21</f>
        <v>3000</v>
      </c>
      <c r="H22" s="107">
        <f>H20+H21</f>
        <v>0</v>
      </c>
      <c r="I22" s="107">
        <f t="shared" si="1"/>
        <v>3000</v>
      </c>
    </row>
    <row r="23" spans="1:9" ht="22.5">
      <c r="A23" s="54"/>
      <c r="B23" s="50"/>
      <c r="C23" s="51" t="s">
        <v>116</v>
      </c>
      <c r="D23" s="51" t="s">
        <v>3</v>
      </c>
      <c r="E23" s="51"/>
      <c r="F23" s="53" t="s">
        <v>50</v>
      </c>
      <c r="G23" s="81">
        <v>3000</v>
      </c>
      <c r="H23" s="81"/>
      <c r="I23" s="107">
        <f t="shared" ref="I23:I30" si="2">SUM(G23:H23)</f>
        <v>3000</v>
      </c>
    </row>
    <row r="24" spans="1:9">
      <c r="A24" s="49"/>
      <c r="B24" s="50"/>
      <c r="C24" s="51" t="s">
        <v>117</v>
      </c>
      <c r="D24" s="51" t="s">
        <v>3</v>
      </c>
      <c r="E24" s="51"/>
      <c r="F24" s="53" t="s">
        <v>51</v>
      </c>
      <c r="G24" s="81">
        <v>4000</v>
      </c>
      <c r="H24" s="81"/>
      <c r="I24" s="107">
        <f t="shared" si="2"/>
        <v>4000</v>
      </c>
    </row>
    <row r="25" spans="1:9" ht="22.5">
      <c r="A25" s="49"/>
      <c r="B25" s="50"/>
      <c r="C25" s="51" t="s">
        <v>118</v>
      </c>
      <c r="D25" s="51" t="s">
        <v>3</v>
      </c>
      <c r="E25" s="51"/>
      <c r="F25" s="53" t="s">
        <v>52</v>
      </c>
      <c r="G25" s="81">
        <v>5000</v>
      </c>
      <c r="H25" s="81"/>
      <c r="I25" s="107">
        <f t="shared" si="2"/>
        <v>5000</v>
      </c>
    </row>
    <row r="26" spans="1:9" ht="22.5">
      <c r="A26" s="49"/>
      <c r="B26" s="50"/>
      <c r="C26" s="51" t="s">
        <v>119</v>
      </c>
      <c r="D26" s="51" t="s">
        <v>3</v>
      </c>
      <c r="E26" s="51"/>
      <c r="F26" s="53" t="s">
        <v>53</v>
      </c>
      <c r="G26" s="81">
        <v>6000</v>
      </c>
      <c r="H26" s="81"/>
      <c r="I26" s="107">
        <f t="shared" si="2"/>
        <v>6000</v>
      </c>
    </row>
    <row r="27" spans="1:9" ht="22.5">
      <c r="A27" s="49"/>
      <c r="B27" s="50"/>
      <c r="C27" s="51" t="s">
        <v>120</v>
      </c>
      <c r="D27" s="51" t="s">
        <v>3</v>
      </c>
      <c r="E27" s="51"/>
      <c r="F27" s="53" t="s">
        <v>54</v>
      </c>
      <c r="G27" s="81">
        <v>7000</v>
      </c>
      <c r="H27" s="81"/>
      <c r="I27" s="107">
        <f t="shared" si="2"/>
        <v>7000</v>
      </c>
    </row>
    <row r="28" spans="1:9" ht="22.5">
      <c r="A28" s="49"/>
      <c r="B28" s="50"/>
      <c r="C28" s="51" t="s">
        <v>121</v>
      </c>
      <c r="D28" s="51" t="s">
        <v>3</v>
      </c>
      <c r="E28" s="51"/>
      <c r="F28" s="53" t="s">
        <v>55</v>
      </c>
      <c r="G28" s="81">
        <v>8000</v>
      </c>
      <c r="H28" s="81"/>
      <c r="I28" s="107">
        <f t="shared" si="2"/>
        <v>8000</v>
      </c>
    </row>
    <row r="29" spans="1:9" ht="22.5">
      <c r="A29" s="49"/>
      <c r="B29" s="50"/>
      <c r="C29" s="51" t="s">
        <v>122</v>
      </c>
      <c r="D29" s="51" t="s">
        <v>3</v>
      </c>
      <c r="E29" s="51"/>
      <c r="F29" s="66" t="s">
        <v>56</v>
      </c>
      <c r="G29" s="107">
        <f>-G18-G22+G23-G24+G25-G26+G27-G28</f>
        <v>42857818000</v>
      </c>
      <c r="H29" s="107">
        <f t="shared" ref="H29:I29" si="3">-H18-H22+H23-H24+H25-H26+H27-H28</f>
        <v>0</v>
      </c>
      <c r="I29" s="107">
        <f t="shared" si="3"/>
        <v>42857818000</v>
      </c>
    </row>
    <row r="30" spans="1:9">
      <c r="A30" s="49"/>
      <c r="B30" s="50"/>
      <c r="C30" s="51" t="s">
        <v>135</v>
      </c>
      <c r="D30" s="51" t="s">
        <v>3</v>
      </c>
      <c r="E30" s="51"/>
      <c r="F30" s="66" t="s">
        <v>49</v>
      </c>
      <c r="G30" s="107">
        <f>G14+G29</f>
        <v>822984903000</v>
      </c>
      <c r="H30" s="107">
        <f>H14+H29</f>
        <v>0</v>
      </c>
      <c r="I30" s="107">
        <f t="shared" si="2"/>
        <v>822984903000</v>
      </c>
    </row>
    <row r="31" spans="1:9">
      <c r="A31" s="49"/>
      <c r="B31" s="50"/>
      <c r="C31" s="51"/>
      <c r="D31" s="51"/>
      <c r="E31" s="51"/>
      <c r="F31" s="52"/>
      <c r="G31" s="68"/>
      <c r="H31" s="68"/>
      <c r="I31" s="69"/>
    </row>
    <row r="32" spans="1:9">
      <c r="B32" s="48"/>
      <c r="C32" s="47"/>
      <c r="D32" s="47"/>
      <c r="E32" s="47"/>
      <c r="F32" s="71" t="s">
        <v>59</v>
      </c>
      <c r="G32" s="47"/>
      <c r="H32" s="47"/>
      <c r="I32" s="47"/>
    </row>
    <row r="33" spans="1:9">
      <c r="A33" s="49"/>
      <c r="B33" s="50"/>
      <c r="C33" s="51"/>
      <c r="D33" s="51"/>
      <c r="E33" s="51"/>
      <c r="F33" s="52" t="s">
        <v>18</v>
      </c>
      <c r="G33" s="51"/>
      <c r="H33" s="51"/>
      <c r="I33" s="51"/>
    </row>
    <row r="34" spans="1:9">
      <c r="A34" s="49"/>
      <c r="B34" s="50"/>
      <c r="C34" s="51" t="s">
        <v>128</v>
      </c>
      <c r="D34" s="51" t="s">
        <v>4</v>
      </c>
      <c r="E34" s="51"/>
      <c r="F34" s="64" t="s">
        <v>309</v>
      </c>
      <c r="G34" s="120" t="s">
        <v>73</v>
      </c>
      <c r="H34" s="102"/>
      <c r="I34" s="81"/>
    </row>
    <row r="35" spans="1:9">
      <c r="A35" s="49"/>
      <c r="B35" s="50"/>
      <c r="C35" s="51" t="s">
        <v>129</v>
      </c>
      <c r="D35" s="51" t="s">
        <v>4</v>
      </c>
      <c r="E35" s="51"/>
      <c r="F35" s="64" t="s">
        <v>310</v>
      </c>
      <c r="G35" s="120" t="s">
        <v>76</v>
      </c>
      <c r="H35" s="102"/>
      <c r="I35" s="81"/>
    </row>
    <row r="36" spans="1:9" ht="22.5">
      <c r="A36" s="49"/>
      <c r="B36" s="50"/>
      <c r="C36" s="51"/>
      <c r="D36" s="51"/>
      <c r="E36" s="51"/>
      <c r="F36" s="52" t="s">
        <v>19</v>
      </c>
      <c r="G36" s="68"/>
      <c r="H36" s="68"/>
      <c r="I36" s="68"/>
    </row>
    <row r="37" spans="1:9" ht="22.5">
      <c r="A37" s="49"/>
      <c r="B37" s="50"/>
      <c r="C37" s="51"/>
      <c r="D37" s="51"/>
      <c r="E37" s="51"/>
      <c r="F37" s="66" t="s">
        <v>20</v>
      </c>
      <c r="G37" s="68"/>
      <c r="H37" s="68"/>
      <c r="I37" s="68"/>
    </row>
    <row r="38" spans="1:9">
      <c r="A38" s="49" t="s">
        <v>5</v>
      </c>
      <c r="B38" s="50"/>
      <c r="C38" s="51" t="s">
        <v>135</v>
      </c>
      <c r="D38" s="51" t="s">
        <v>4</v>
      </c>
      <c r="E38" s="51"/>
      <c r="F38" s="66" t="s">
        <v>356</v>
      </c>
      <c r="G38" s="81">
        <v>635306988000</v>
      </c>
      <c r="H38" s="81"/>
      <c r="I38" s="82">
        <f t="shared" ref="I38:I52" si="4">SUM(G38:H38)</f>
        <v>635306988000</v>
      </c>
    </row>
    <row r="39" spans="1:9" ht="22.5">
      <c r="A39" s="49"/>
      <c r="B39" s="50"/>
      <c r="C39" s="116"/>
      <c r="D39" s="116"/>
      <c r="E39" s="116"/>
      <c r="F39" s="117" t="s">
        <v>333</v>
      </c>
      <c r="G39" s="68"/>
      <c r="H39" s="68"/>
      <c r="I39" s="68"/>
    </row>
    <row r="40" spans="1:9" ht="22.5">
      <c r="A40" s="49"/>
      <c r="B40" s="50"/>
      <c r="C40" s="116" t="s">
        <v>335</v>
      </c>
      <c r="D40" s="116" t="s">
        <v>4</v>
      </c>
      <c r="E40" s="116"/>
      <c r="F40" s="118" t="s">
        <v>365</v>
      </c>
      <c r="G40" s="81">
        <v>-60792770000</v>
      </c>
      <c r="H40" s="81"/>
      <c r="I40" s="107">
        <f t="shared" ref="I40:I42" si="5">SUM(G40:H40)</f>
        <v>-60792770000</v>
      </c>
    </row>
    <row r="41" spans="1:9" ht="22.5">
      <c r="A41" s="49"/>
      <c r="B41" s="50"/>
      <c r="C41" s="116" t="s">
        <v>336</v>
      </c>
      <c r="D41" s="116" t="s">
        <v>4</v>
      </c>
      <c r="E41" s="116"/>
      <c r="F41" s="118" t="s">
        <v>366</v>
      </c>
      <c r="G41" s="81">
        <v>-84027327000</v>
      </c>
      <c r="H41" s="81"/>
      <c r="I41" s="107">
        <f t="shared" si="5"/>
        <v>-84027327000</v>
      </c>
    </row>
    <row r="42" spans="1:9" ht="22.5">
      <c r="A42" s="49"/>
      <c r="B42" s="50"/>
      <c r="C42" s="116" t="s">
        <v>114</v>
      </c>
      <c r="D42" s="116" t="s">
        <v>4</v>
      </c>
      <c r="E42" s="116"/>
      <c r="F42" s="118" t="s">
        <v>367</v>
      </c>
      <c r="G42" s="107">
        <f>G40+G41</f>
        <v>-144820097000</v>
      </c>
      <c r="H42" s="107">
        <f>H40+H41</f>
        <v>0</v>
      </c>
      <c r="I42" s="107">
        <f t="shared" si="5"/>
        <v>-144820097000</v>
      </c>
    </row>
    <row r="43" spans="1:9" ht="22.5">
      <c r="A43" s="49"/>
      <c r="B43" s="50"/>
      <c r="C43" s="116"/>
      <c r="D43" s="116"/>
      <c r="E43" s="116"/>
      <c r="F43" s="117" t="s">
        <v>334</v>
      </c>
      <c r="G43" s="68"/>
      <c r="H43" s="68"/>
      <c r="I43" s="68"/>
    </row>
    <row r="44" spans="1:9" ht="22.5">
      <c r="A44" s="49"/>
      <c r="B44" s="50"/>
      <c r="C44" s="116" t="s">
        <v>337</v>
      </c>
      <c r="D44" s="116" t="s">
        <v>4</v>
      </c>
      <c r="E44" s="116"/>
      <c r="F44" s="118" t="s">
        <v>368</v>
      </c>
      <c r="G44" s="81">
        <v>9000</v>
      </c>
      <c r="H44" s="81"/>
      <c r="I44" s="107">
        <f t="shared" ref="I44:I46" si="6">SUM(G44:H44)</f>
        <v>9000</v>
      </c>
    </row>
    <row r="45" spans="1:9" ht="22.5">
      <c r="A45" s="49"/>
      <c r="B45" s="50"/>
      <c r="C45" s="116" t="s">
        <v>338</v>
      </c>
      <c r="D45" s="116" t="s">
        <v>4</v>
      </c>
      <c r="E45" s="116"/>
      <c r="F45" s="118" t="s">
        <v>369</v>
      </c>
      <c r="G45" s="81">
        <v>8000</v>
      </c>
      <c r="H45" s="81"/>
      <c r="I45" s="107">
        <f t="shared" si="6"/>
        <v>8000</v>
      </c>
    </row>
    <row r="46" spans="1:9" ht="22.5">
      <c r="A46" s="49"/>
      <c r="B46" s="50"/>
      <c r="C46" s="116" t="s">
        <v>115</v>
      </c>
      <c r="D46" s="116" t="s">
        <v>4</v>
      </c>
      <c r="E46" s="116"/>
      <c r="F46" s="118" t="s">
        <v>370</v>
      </c>
      <c r="G46" s="107">
        <f>G44+G45</f>
        <v>17000</v>
      </c>
      <c r="H46" s="107">
        <f>H44+H45</f>
        <v>0</v>
      </c>
      <c r="I46" s="107">
        <f t="shared" si="6"/>
        <v>17000</v>
      </c>
    </row>
    <row r="47" spans="1:9" ht="22.5">
      <c r="A47" s="54"/>
      <c r="B47" s="50"/>
      <c r="C47" s="51" t="s">
        <v>116</v>
      </c>
      <c r="D47" s="51" t="s">
        <v>4</v>
      </c>
      <c r="E47" s="51"/>
      <c r="F47" s="53" t="s">
        <v>50</v>
      </c>
      <c r="G47" s="81">
        <v>7000</v>
      </c>
      <c r="H47" s="81"/>
      <c r="I47" s="107">
        <f t="shared" si="4"/>
        <v>7000</v>
      </c>
    </row>
    <row r="48" spans="1:9">
      <c r="A48" s="49"/>
      <c r="B48" s="50"/>
      <c r="C48" s="51" t="s">
        <v>117</v>
      </c>
      <c r="D48" s="51" t="s">
        <v>4</v>
      </c>
      <c r="E48" s="51"/>
      <c r="F48" s="53" t="s">
        <v>51</v>
      </c>
      <c r="G48" s="81">
        <v>6000</v>
      </c>
      <c r="H48" s="81"/>
      <c r="I48" s="107">
        <f t="shared" si="4"/>
        <v>6000</v>
      </c>
    </row>
    <row r="49" spans="1:9" ht="22.5">
      <c r="A49" s="49"/>
      <c r="B49" s="50"/>
      <c r="C49" s="51" t="s">
        <v>118</v>
      </c>
      <c r="D49" s="51" t="s">
        <v>4</v>
      </c>
      <c r="E49" s="51"/>
      <c r="F49" s="53" t="s">
        <v>52</v>
      </c>
      <c r="G49" s="81">
        <v>5000</v>
      </c>
      <c r="H49" s="81"/>
      <c r="I49" s="107">
        <f t="shared" si="4"/>
        <v>5000</v>
      </c>
    </row>
    <row r="50" spans="1:9" ht="22.5">
      <c r="A50" s="49"/>
      <c r="B50" s="50"/>
      <c r="C50" s="51" t="s">
        <v>119</v>
      </c>
      <c r="D50" s="51" t="s">
        <v>4</v>
      </c>
      <c r="E50" s="51"/>
      <c r="F50" s="53" t="s">
        <v>53</v>
      </c>
      <c r="G50" s="81">
        <v>4000</v>
      </c>
      <c r="H50" s="81"/>
      <c r="I50" s="107">
        <f t="shared" si="4"/>
        <v>4000</v>
      </c>
    </row>
    <row r="51" spans="1:9" ht="22.5">
      <c r="A51" s="49"/>
      <c r="B51" s="50"/>
      <c r="C51" s="51" t="s">
        <v>120</v>
      </c>
      <c r="D51" s="51" t="s">
        <v>4</v>
      </c>
      <c r="E51" s="51"/>
      <c r="F51" s="53" t="s">
        <v>54</v>
      </c>
      <c r="G51" s="81">
        <v>3000</v>
      </c>
      <c r="H51" s="81"/>
      <c r="I51" s="107">
        <f t="shared" si="4"/>
        <v>3000</v>
      </c>
    </row>
    <row r="52" spans="1:9" ht="22.5">
      <c r="A52" s="49"/>
      <c r="B52" s="50"/>
      <c r="C52" s="51" t="s">
        <v>121</v>
      </c>
      <c r="D52" s="51" t="s">
        <v>4</v>
      </c>
      <c r="E52" s="51"/>
      <c r="F52" s="53" t="s">
        <v>55</v>
      </c>
      <c r="G52" s="81">
        <v>2000</v>
      </c>
      <c r="H52" s="81"/>
      <c r="I52" s="107">
        <f t="shared" si="4"/>
        <v>2000</v>
      </c>
    </row>
    <row r="53" spans="1:9" ht="22.5">
      <c r="A53" s="49"/>
      <c r="B53" s="50"/>
      <c r="C53" s="51" t="s">
        <v>122</v>
      </c>
      <c r="D53" s="51" t="s">
        <v>4</v>
      </c>
      <c r="E53" s="51"/>
      <c r="F53" s="66" t="s">
        <v>56</v>
      </c>
      <c r="G53" s="107">
        <f>-G42-G46+G47-G48+G49-G50+G51-G52</f>
        <v>144820083000</v>
      </c>
      <c r="H53" s="107">
        <f t="shared" ref="H53" si="7">-H42-H46+H47-H48+H49-H50+H51-H52</f>
        <v>0</v>
      </c>
      <c r="I53" s="107">
        <f t="shared" ref="I53" si="8">-I42-I46+I47-I48+I49-I50+I51-I52</f>
        <v>144820083000</v>
      </c>
    </row>
    <row r="54" spans="1:9">
      <c r="A54" s="49"/>
      <c r="B54" s="50"/>
      <c r="C54" s="51" t="s">
        <v>135</v>
      </c>
      <c r="D54" s="51" t="s">
        <v>4</v>
      </c>
      <c r="E54" s="51"/>
      <c r="F54" s="66" t="s">
        <v>358</v>
      </c>
      <c r="G54" s="107">
        <f>G38+G53</f>
        <v>780127071000</v>
      </c>
      <c r="H54" s="107">
        <f>H38+H53</f>
        <v>0</v>
      </c>
      <c r="I54" s="107">
        <f t="shared" ref="I54" si="9">SUM(G54:H54)</f>
        <v>780127071000</v>
      </c>
    </row>
    <row r="55" spans="1:9" ht="22.5" customHeight="1">
      <c r="A55" s="49"/>
      <c r="B55" s="55"/>
      <c r="C55" s="56"/>
      <c r="D55" s="56"/>
      <c r="E55" s="56"/>
      <c r="F55" s="57"/>
      <c r="G55" s="56"/>
      <c r="H55" s="56"/>
      <c r="I55" s="56"/>
    </row>
    <row r="56" spans="1:9" ht="22.5" customHeight="1">
      <c r="A56" s="30"/>
    </row>
    <row r="57" spans="1:9" ht="22.5" customHeight="1"/>
    <row r="58" spans="1:9" ht="22.5" customHeight="1"/>
    <row r="59" spans="1:9" ht="22.5" customHeight="1"/>
    <row r="60" spans="1:9" ht="22.5" customHeight="1"/>
    <row r="61" spans="1:9" ht="22.5" customHeight="1"/>
    <row r="62" spans="1:9" ht="22.5" customHeight="1"/>
    <row r="63" spans="1:9" ht="22.5" customHeight="1"/>
    <row r="64" spans="1:9" ht="22.5" customHeight="1"/>
    <row r="65" ht="22.5" customHeight="1"/>
    <row r="66" ht="22.5" customHeight="1"/>
    <row r="67" ht="22.5" customHeight="1"/>
    <row r="68" ht="22.5" customHeight="1"/>
    <row r="69" ht="22.5" customHeight="1"/>
    <row r="70" ht="22.5" customHeight="1"/>
    <row r="71" ht="22.5" customHeight="1"/>
    <row r="72" ht="22.5" customHeight="1"/>
    <row r="73" ht="22.5" customHeight="1"/>
    <row r="74" ht="22.5" customHeight="1"/>
    <row r="75" ht="22.5" customHeight="1"/>
    <row r="76" ht="22.5" customHeight="1"/>
    <row r="77" ht="22.5" customHeight="1"/>
  </sheetData>
  <sheetProtection insertColumns="0" insertRows="0" deleteColumns="0" deleteRows="0"/>
  <pageMargins left="0.7" right="0.7" top="0.75" bottom="0.75" header="0.3" footer="0.3"/>
  <pageSetup paperSize="119" orientation="portrait" horizontalDpi="1200" verticalDpi="12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Hoja1!$B$1:$B$3</xm:f>
          </x14:formula1>
          <xm:sqref>H10:I10 H34:I34</xm:sqref>
        </x14:dataValidation>
        <x14:dataValidation type="list" allowBlank="1" showInputMessage="1" showErrorMessage="1" xr:uid="{00000000-0002-0000-0300-000001000000}">
          <x14:formula1>
            <xm:f>Hoja1!$C$1:$C$3</xm:f>
          </x14:formula1>
          <xm:sqref>H11:I11 H35:I35</xm:sqref>
        </x14:dataValidation>
        <x14:dataValidation type="list" allowBlank="1" showInputMessage="1" showErrorMessage="1" xr:uid="{00000000-0002-0000-0300-000002000000}">
          <x14:formula1>
            <xm:f>Hoja1!$D$1:$D$2</xm:f>
          </x14:formula1>
          <xm:sqref>G4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tabColor theme="0"/>
  </sheetPr>
  <dimension ref="A1:K17"/>
  <sheetViews>
    <sheetView tabSelected="1" topLeftCell="A4" zoomScale="85" zoomScaleNormal="85" workbookViewId="0">
      <selection activeCell="G10" sqref="G10:G16"/>
    </sheetView>
  </sheetViews>
  <sheetFormatPr baseColWidth="10" defaultRowHeight="15"/>
  <cols>
    <col min="1" max="1" width="2.7109375" customWidth="1"/>
    <col min="2" max="2" width="3.28515625" customWidth="1"/>
    <col min="3" max="3" width="2.7109375" customWidth="1"/>
    <col min="4" max="4" width="5.42578125" customWidth="1"/>
    <col min="5" max="5" width="2.7109375" customWidth="1"/>
    <col min="6" max="6" width="90.7109375" customWidth="1"/>
    <col min="7" max="9" width="12.5703125" customWidth="1"/>
  </cols>
  <sheetData>
    <row r="1" spans="1:11" ht="54.95" customHeight="1" thickBot="1"/>
    <row r="2" spans="1:11" ht="177" customHeight="1" thickBot="1">
      <c r="F2" s="28" t="s">
        <v>1</v>
      </c>
    </row>
    <row r="3" spans="1:11" ht="16.5" thickBot="1">
      <c r="F3" s="29" t="s">
        <v>2</v>
      </c>
    </row>
    <row r="4" spans="1:11" ht="16.5" thickBot="1">
      <c r="F4" s="96" t="s">
        <v>79</v>
      </c>
      <c r="G4" s="97" t="s">
        <v>80</v>
      </c>
    </row>
    <row r="5" spans="1:11" ht="112.5">
      <c r="A5" s="5" t="s">
        <v>7</v>
      </c>
      <c r="B5" s="6"/>
      <c r="C5" s="7"/>
      <c r="D5" s="7"/>
      <c r="E5" s="8"/>
      <c r="F5" s="9" t="s">
        <v>34</v>
      </c>
      <c r="G5" s="79" t="s">
        <v>63</v>
      </c>
      <c r="H5" s="79" t="s">
        <v>63</v>
      </c>
      <c r="I5" s="77" t="s">
        <v>21</v>
      </c>
    </row>
    <row r="6" spans="1:11" ht="122.25" hidden="1" customHeight="1">
      <c r="A6" s="10" t="s">
        <v>8</v>
      </c>
      <c r="B6" s="11"/>
      <c r="C6" s="12"/>
      <c r="D6" s="13" t="s">
        <v>137</v>
      </c>
      <c r="E6" s="14" t="s">
        <v>136</v>
      </c>
      <c r="F6" s="15"/>
      <c r="G6" s="80" t="str">
        <f>SUBSTITUTE(CONCATENATE("IFRS13-InfoMedValoJustF_",TRIM(G5),"_",COLUMN(G6),"|",G5)," ","")</f>
        <v>IFRS13-InfoMedValoJustF_Agregarcolumnaopcional_7|Agregarcolumnaopcional</v>
      </c>
      <c r="H6" s="80" t="str">
        <f>SUBSTITUTE(CONCATENATE("IFRS13-InfoMedValoJustF_",TRIM(H5),"_",COLUMN(H6),"|",H5)," ","")</f>
        <v>IFRS13-InfoMedValoJustF_Agregarcolumnaopcional_8|Agregarcolumnaopcional</v>
      </c>
      <c r="I6" s="16" t="s">
        <v>123</v>
      </c>
    </row>
    <row r="7" spans="1:11">
      <c r="A7" s="17"/>
      <c r="B7" s="22"/>
      <c r="C7" s="23"/>
      <c r="D7" s="24"/>
      <c r="E7" s="25"/>
      <c r="F7" s="75"/>
      <c r="G7" s="19"/>
      <c r="H7" s="19"/>
      <c r="I7" s="74"/>
    </row>
    <row r="8" spans="1:11">
      <c r="A8" s="17"/>
      <c r="B8" s="86"/>
      <c r="C8" s="87"/>
      <c r="D8" s="88"/>
      <c r="E8" s="89"/>
      <c r="F8" s="71" t="s">
        <v>60</v>
      </c>
      <c r="G8" s="19"/>
      <c r="H8" s="19"/>
      <c r="I8" s="74"/>
    </row>
    <row r="9" spans="1:11" ht="22.5">
      <c r="A9" s="17"/>
      <c r="B9" s="18"/>
      <c r="C9" s="19"/>
      <c r="D9" s="20"/>
      <c r="E9" s="21"/>
      <c r="F9" s="75" t="s">
        <v>34</v>
      </c>
      <c r="G9" s="27"/>
      <c r="H9" s="27"/>
      <c r="I9" s="74"/>
    </row>
    <row r="10" spans="1:11" ht="12.75" customHeight="1">
      <c r="A10" s="17"/>
      <c r="B10" s="18" t="s">
        <v>314</v>
      </c>
      <c r="C10" s="19" t="s">
        <v>124</v>
      </c>
      <c r="D10" s="20" t="s">
        <v>3</v>
      </c>
      <c r="E10" s="19" t="s">
        <v>0</v>
      </c>
      <c r="F10" s="74" t="s">
        <v>57</v>
      </c>
      <c r="G10" s="73" t="s">
        <v>372</v>
      </c>
      <c r="H10" s="73"/>
      <c r="I10" s="73"/>
      <c r="K10" s="90"/>
    </row>
    <row r="11" spans="1:11">
      <c r="A11" s="17"/>
      <c r="B11" s="18" t="s">
        <v>314</v>
      </c>
      <c r="C11" s="19" t="s">
        <v>125</v>
      </c>
      <c r="D11" s="20" t="s">
        <v>3</v>
      </c>
      <c r="E11" s="19"/>
      <c r="F11" s="74" t="s">
        <v>58</v>
      </c>
      <c r="G11" s="73" t="s">
        <v>371</v>
      </c>
      <c r="H11" s="73"/>
      <c r="I11" s="73"/>
    </row>
    <row r="12" spans="1:11">
      <c r="A12" s="17"/>
      <c r="B12" s="18"/>
      <c r="C12" s="19"/>
      <c r="D12" s="20"/>
      <c r="E12" s="19"/>
      <c r="F12" s="19"/>
      <c r="G12" s="84"/>
      <c r="H12" s="84"/>
      <c r="I12" s="83"/>
    </row>
    <row r="13" spans="1:11">
      <c r="A13" s="17"/>
      <c r="B13" s="18"/>
      <c r="C13" s="19"/>
      <c r="D13" s="20"/>
      <c r="E13" s="19"/>
      <c r="F13" s="71" t="s">
        <v>59</v>
      </c>
      <c r="G13" s="85"/>
      <c r="H13" s="85"/>
      <c r="I13" s="83"/>
    </row>
    <row r="14" spans="1:11" ht="22.5">
      <c r="A14" s="17"/>
      <c r="B14" s="18"/>
      <c r="C14" s="19"/>
      <c r="D14" s="20"/>
      <c r="E14" s="21"/>
      <c r="F14" s="75" t="s">
        <v>34</v>
      </c>
      <c r="G14" s="27"/>
      <c r="H14" s="27"/>
      <c r="I14" s="74"/>
    </row>
    <row r="15" spans="1:11" ht="12.75" customHeight="1">
      <c r="A15" s="17"/>
      <c r="B15" s="18" t="s">
        <v>314</v>
      </c>
      <c r="C15" s="19" t="s">
        <v>124</v>
      </c>
      <c r="D15" s="20" t="s">
        <v>61</v>
      </c>
      <c r="E15" s="19" t="s">
        <v>0</v>
      </c>
      <c r="F15" s="74" t="s">
        <v>57</v>
      </c>
      <c r="G15" s="73" t="s">
        <v>374</v>
      </c>
      <c r="H15" s="73"/>
      <c r="I15" s="73"/>
    </row>
    <row r="16" spans="1:11">
      <c r="A16" s="17"/>
      <c r="B16" s="18" t="s">
        <v>314</v>
      </c>
      <c r="C16" s="19" t="s">
        <v>125</v>
      </c>
      <c r="D16" s="20" t="s">
        <v>61</v>
      </c>
      <c r="E16" s="19"/>
      <c r="F16" s="74" t="s">
        <v>58</v>
      </c>
      <c r="G16" s="73" t="s">
        <v>373</v>
      </c>
      <c r="H16" s="73"/>
      <c r="I16" s="73"/>
    </row>
    <row r="17" spans="2:9">
      <c r="B17" s="26"/>
      <c r="C17" s="27"/>
      <c r="D17" s="27"/>
      <c r="E17" s="27"/>
      <c r="F17" s="27"/>
      <c r="G17" s="99"/>
      <c r="H17" s="99"/>
      <c r="I17" s="76"/>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Hoja1!$D$1:$D$2</xm:f>
          </x14:formula1>
          <xm:sqref>G4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D9"/>
  <sheetViews>
    <sheetView workbookViewId="0"/>
  </sheetViews>
  <sheetFormatPr baseColWidth="10" defaultRowHeight="15"/>
  <cols>
    <col min="1" max="1" width="43.140625" bestFit="1" customWidth="1"/>
  </cols>
  <sheetData>
    <row r="1" spans="1:4">
      <c r="A1" t="s">
        <v>72</v>
      </c>
      <c r="B1" t="s">
        <v>73</v>
      </c>
      <c r="C1" t="s">
        <v>76</v>
      </c>
      <c r="D1" t="s">
        <v>80</v>
      </c>
    </row>
    <row r="2" spans="1:4">
      <c r="A2" t="s">
        <v>68</v>
      </c>
      <c r="B2" t="s">
        <v>74</v>
      </c>
      <c r="C2" t="s">
        <v>77</v>
      </c>
      <c r="D2" t="s">
        <v>81</v>
      </c>
    </row>
    <row r="3" spans="1:4">
      <c r="A3" t="s">
        <v>71</v>
      </c>
      <c r="B3" t="s">
        <v>75</v>
      </c>
      <c r="C3" t="s">
        <v>78</v>
      </c>
    </row>
    <row r="4" spans="1:4">
      <c r="A4" t="s">
        <v>67</v>
      </c>
    </row>
    <row r="5" spans="1:4">
      <c r="A5" t="s">
        <v>66</v>
      </c>
    </row>
    <row r="6" spans="1:4">
      <c r="A6" t="s">
        <v>69</v>
      </c>
    </row>
    <row r="7" spans="1:4">
      <c r="A7" t="s">
        <v>65</v>
      </c>
    </row>
    <row r="8" spans="1:4">
      <c r="A8" t="s">
        <v>70</v>
      </c>
    </row>
    <row r="9" spans="1:4">
      <c r="A9" t="s">
        <v>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IFRS13-Cuadros</vt:lpstr>
      <vt:lpstr>IFRS13-InfoMedValoJust</vt:lpstr>
      <vt:lpstr>IFRS13-InfoMedValoJustA</vt:lpstr>
      <vt:lpstr>IFRS13-InfoMedValoJustB</vt:lpstr>
      <vt:lpstr>IFRS13-InfoMedValoJustF</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San Martin (DBNeTCorp)</dc:creator>
  <cp:lastModifiedBy>jaime</cp:lastModifiedBy>
  <dcterms:created xsi:type="dcterms:W3CDTF">2013-03-21T17:58:38Z</dcterms:created>
  <dcterms:modified xsi:type="dcterms:W3CDTF">2021-01-28T18:41:43Z</dcterms:modified>
</cp:coreProperties>
</file>