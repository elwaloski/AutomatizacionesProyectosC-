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x\Archivo pruebas gx 2024 (1)\Archivo pruebas gx 2024\svs-cl-ci-2024-01-02 - copia\xls\xls\"/>
    </mc:Choice>
  </mc:AlternateContent>
  <bookViews>
    <workbookView xWindow="-120" yWindow="-120" windowWidth="20736" windowHeight="11160" activeTab="1"/>
  </bookViews>
  <sheets>
    <sheet name="IAS2-Cuadros" sheetId="1" r:id="rId1"/>
    <sheet name="IAS2-AnteInveTabl" sheetId="3" r:id="rId2"/>
    <sheet name="Códigos" sheetId="2" state="hidden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" l="1"/>
  <c r="I27" i="3"/>
  <c r="I26" i="3"/>
  <c r="I25" i="3"/>
  <c r="I24" i="3"/>
  <c r="I23" i="3"/>
  <c r="I22" i="3"/>
  <c r="I15" i="3"/>
  <c r="I14" i="3"/>
  <c r="I13" i="3"/>
  <c r="I12" i="3"/>
  <c r="I11" i="3"/>
  <c r="I10" i="3"/>
  <c r="I9" i="3"/>
  <c r="F19" i="3" l="1"/>
  <c r="H6" i="3"/>
  <c r="G6" i="3"/>
  <c r="I19" i="3"/>
  <c r="H19" i="3"/>
  <c r="G19" i="3"/>
</calcChain>
</file>

<file path=xl/sharedStrings.xml><?xml version="1.0" encoding="utf-8"?>
<sst xmlns="http://schemas.openxmlformats.org/spreadsheetml/2006/main" count="135" uniqueCount="64">
  <si>
    <t xml:space="preserve"> </t>
  </si>
  <si>
    <t xml:space="preserve">    Información a revelar sobre inventarios [bloque de texto]  </t>
  </si>
  <si>
    <t xml:space="preserve">      Descripción de las políticas contables para la medición de inventarios [bloque de texto]  </t>
  </si>
  <si>
    <t xml:space="preserve">      Descripción de las fórmulas del costo de inventario [Texto]</t>
  </si>
  <si>
    <t xml:space="preserve">      Inventarios al valor razonable menos los costos de venta [Número]</t>
  </si>
  <si>
    <t xml:space="preserve">      Rebaja del valor del inventario [Número]</t>
  </si>
  <si>
    <t xml:space="preserve">      Reversión de la rebaja del inventario [Número]</t>
  </si>
  <si>
    <t xml:space="preserve">      Descripción de las circunstancias que conducen a reversiones de rebajas de inventarios [Texto]</t>
  </si>
  <si>
    <t xml:space="preserve">      Costo de inventarios reconocidos como gasto durante el periodo [Número]</t>
  </si>
  <si>
    <t xml:space="preserve">      Inventarios pignorados como garantía de pasivos [Número]</t>
  </si>
  <si>
    <t xml:space="preserve">      Ajuste por valor neto realizable (o valor razonable) del período, inventarios [Número]</t>
  </si>
  <si>
    <t>Ingresos de actividades ordinarias</t>
  </si>
  <si>
    <t>Costo de ventas</t>
  </si>
  <si>
    <t>Otros ingresos</t>
  </si>
  <si>
    <t>Costos de distribución</t>
  </si>
  <si>
    <t>Gastos de administración</t>
  </si>
  <si>
    <t>Otros gastos, por función</t>
  </si>
  <si>
    <t>Otras ganancias (pérdidas)</t>
  </si>
  <si>
    <t>Ganancias (pérdidas) de actividades operacionales</t>
  </si>
  <si>
    <t>Ingresos financieros</t>
  </si>
  <si>
    <t>Costos financieros</t>
  </si>
  <si>
    <t>Diferencias de cambio</t>
  </si>
  <si>
    <t>Resultados por unidades de reajuste</t>
  </si>
  <si>
    <t>Disminución (aumento) en inventarios de productos terminados y en proceso</t>
  </si>
  <si>
    <t>Materias primas y consumibles utilizados</t>
  </si>
  <si>
    <t>Gastos por beneficios a los empleados</t>
  </si>
  <si>
    <t>Otros gastos, por naturaleza</t>
  </si>
  <si>
    <t>full_ifrs-cor_2015-03-11.xsd#ifrs-full_DisclosureOfInventoriesExplanatory</t>
  </si>
  <si>
    <t>full_ifrs-cor_2015-03-11.xsd#ifrs-full_DescriptionOfAccountingPolicyForMeasuringInventories</t>
  </si>
  <si>
    <t>full_ifrs-cor_2015-03-11.xsd#ifrs-full_InventoryCostFormulas</t>
  </si>
  <si>
    <t>full_ifrs-cor_2015-03-11.xsd#ifrs-full_InventoriesAtFairValueLessCostsToSell</t>
  </si>
  <si>
    <t>full_ifrs-cor_2015-03-11.xsd#ifrs-full_InventoryWritedown2011</t>
  </si>
  <si>
    <t>full_ifrs-cor_2015-03-11.xsd#ifrs-full_ReversalOfInventoryWritedown</t>
  </si>
  <si>
    <t>full_ifrs-cor_2015-03-11.xsd#ifrs-full_CircumstancesLeadingToReversalsOfInventoryWritedown</t>
  </si>
  <si>
    <t>full_ifrs-cor_2015-03-11.xsd#ifrs-full_CostOfInventoriesRecognisedAsExpenseDuringPeriod</t>
  </si>
  <si>
    <t>full_ifrs-cor_2015-03-11.xsd#ifrs-full_InventoriesPledgedAsSecurityForLiabilities</t>
  </si>
  <si>
    <t>cl-ci_cor_2016-01-11.xsd#cl-ci_AjustePorValorNetoRealizableOValorRazonableDelPeriodoInventarios</t>
  </si>
  <si>
    <t>cl-ci_cor_2016-01-11.xsd#cl-ci_CuentaAjusteInventarios</t>
  </si>
  <si>
    <t xml:space="preserve">      Cuenta ajuste inventarios  [Lista]</t>
  </si>
  <si>
    <t xml:space="preserve">      Inventarios al valor neto realizable [Número]</t>
  </si>
  <si>
    <t>full_ifrs-cor_2016-03-31.xsd#ifrs-full_InventoriesAtNetRealisableValue</t>
  </si>
  <si>
    <t>9.0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</si>
  <si>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</si>
  <si>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</si>
  <si>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Cargar hoja:</t>
  </si>
  <si>
    <t>SI</t>
  </si>
  <si>
    <t>DIMENUE</t>
  </si>
  <si>
    <t>Agregar columna opcional</t>
  </si>
  <si>
    <t>DIMEAVA</t>
  </si>
  <si>
    <t>ACT</t>
  </si>
  <si>
    <t>cl-ci_cor_2019-01-02.xsd#cl-ci_AntecedentesSobreInventariosTabla</t>
  </si>
  <si>
    <t>cl-ci_cor_2019-01-02.xsd#cl-ci_AntecedentesSobreInventariosEje</t>
  </si>
  <si>
    <t>cl-ci_cor_2019-01-02.xsd#cl-ci_AntecedentesSobreInventariosMiembro</t>
  </si>
  <si>
    <t>Antecedentes sobre inventarios [miembro]</t>
  </si>
  <si>
    <t>Antecedentes sobre inventarios [tabla]</t>
  </si>
  <si>
    <t>Antecedentes sobre inventarios [partidas]</t>
  </si>
  <si>
    <t>INI</t>
  </si>
  <si>
    <t>AAN</t>
  </si>
  <si>
    <t>pre_cl-ci_ias-2_2018-03-16_role-826380</t>
  </si>
  <si>
    <t>NO</t>
  </si>
  <si>
    <t>A</t>
  </si>
  <si>
    <t>C</t>
  </si>
  <si>
    <t>D</t>
  </si>
  <si>
    <t>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</si>
</sst>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8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b/>
      <sz val="9"/>
      <color rgb="FFFF0000"/>
      <name val="Verdana"/>
      <family val="2"/>
    </font>
    <font>
      <b/>
      <sz val="9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indexed="8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/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 style="thin">
        <color indexed="64"/>
      </top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">
        <color indexed="64"/>
      </top>
      <bottom style="thin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4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20" fillId="0" borderId="0" applyNumberFormat="0" applyFill="0" applyBorder="0" applyAlignment="0" applyProtection="0"/>
  </cellStyleXfs>
  <cellXfs count="67">
    <xf numFmtId="0" fontId="0" fillId="0" borderId="0" xfId="0"/>
    <xf numFmtId="3" fontId="2" fillId="2" borderId="0" xfId="1" applyNumberFormat="1" applyFont="1" applyFill="1" applyBorder="1">
      <alignment vertical="center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3" fontId="2" fillId="2" borderId="0" xfId="1" applyNumberFormat="1" applyFont="1" applyFill="1" applyBorder="1" applyAlignment="1">
      <alignment vertical="center" wrapText="1"/>
    </xf>
    <xf numFmtId="3" fontId="2" fillId="3" borderId="1" xfId="1" applyNumberFormat="1" applyFont="1" applyFill="1" applyBorder="1">
      <alignment vertical="center"/>
    </xf>
    <xf numFmtId="0" fontId="0" fillId="7" borderId="10" xfId="0" applyFill="1" applyBorder="1"/>
    <xf numFmtId="0" fontId="5" fillId="7" borderId="11" xfId="0" applyFont="1" applyFill="1" applyBorder="1"/>
    <xf numFmtId="0" fontId="7" fillId="8" borderId="12" xfId="0" applyFont="1" applyFill="1" applyBorder="1" applyAlignment="1">
      <alignment horizontal="center" vertical="center" wrapText="1"/>
    </xf>
    <xf numFmtId="0" fontId="12" fillId="8" borderId="12" xfId="0" applyFont="1" applyFill="1" applyBorder="1" applyAlignment="1">
      <alignment horizontal="center" vertical="center" wrapText="1"/>
    </xf>
    <xf numFmtId="0" fontId="12" fillId="9" borderId="12" xfId="0" applyFont="1" applyFill="1" applyBorder="1" applyAlignment="1">
      <alignment horizontal="right" vertical="center" wrapText="1"/>
    </xf>
    <xf numFmtId="0" fontId="0" fillId="9" borderId="13" xfId="0" applyFill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10" xfId="2" applyNumberFormat="1" applyFont="1" applyFill="1" applyBorder="1" applyAlignment="1">
      <alignment horizontal="center" vertical="center" wrapText="1"/>
    </xf>
    <xf numFmtId="0" fontId="13" fillId="5" borderId="14" xfId="2" applyNumberFormat="1" applyFont="1" applyFill="1" applyBorder="1" applyAlignment="1">
      <alignment horizontal="center" vertical="center" wrapText="1"/>
    </xf>
    <xf numFmtId="0" fontId="14" fillId="5" borderId="14" xfId="2" applyNumberFormat="1" applyFont="1" applyFill="1" applyBorder="1" applyAlignment="1">
      <alignment horizontal="center" vertical="center" wrapText="1"/>
    </xf>
    <xf numFmtId="0" fontId="15" fillId="5" borderId="14" xfId="2" applyNumberFormat="1" applyFont="1" applyFill="1" applyBorder="1" applyAlignment="1">
      <alignment horizontal="center" vertical="center" wrapText="1"/>
    </xf>
    <xf numFmtId="0" fontId="14" fillId="5" borderId="11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11" borderId="5" xfId="3" applyFont="1" applyFill="1" applyBorder="1">
      <alignment vertical="center"/>
    </xf>
    <xf numFmtId="0" fontId="17" fillId="11" borderId="0" xfId="3" applyFont="1" applyFill="1" applyBorder="1">
      <alignment vertical="center"/>
    </xf>
    <xf numFmtId="0" fontId="0" fillId="7" borderId="0" xfId="0" applyFill="1" applyAlignment="1">
      <alignment vertical="center"/>
    </xf>
    <xf numFmtId="0" fontId="0" fillId="2" borderId="0" xfId="0" applyFill="1"/>
    <xf numFmtId="0" fontId="18" fillId="10" borderId="15" xfId="3" applyFont="1" applyFill="1" applyBorder="1" applyAlignment="1">
      <alignment horizontal="center" vertical="center" wrapText="1"/>
    </xf>
    <xf numFmtId="0" fontId="3" fillId="0" borderId="0" xfId="0" applyFont="1"/>
    <xf numFmtId="0" fontId="3" fillId="2" borderId="2" xfId="0" applyFont="1" applyFill="1" applyBorder="1"/>
    <xf numFmtId="0" fontId="3" fillId="2" borderId="3" xfId="0" applyFont="1" applyFill="1" applyBorder="1"/>
    <xf numFmtId="0" fontId="19" fillId="2" borderId="3" xfId="0" applyFont="1" applyFill="1" applyBorder="1"/>
    <xf numFmtId="0" fontId="3" fillId="11" borderId="3" xfId="3" applyFont="1" applyFill="1" applyBorder="1">
      <alignment vertical="center"/>
    </xf>
    <xf numFmtId="0" fontId="3" fillId="11" borderId="4" xfId="3" applyFont="1" applyFill="1" applyBorder="1">
      <alignment vertical="center"/>
    </xf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5" xfId="2" applyNumberFormat="1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8" xfId="2" applyNumberFormat="1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17" fillId="11" borderId="17" xfId="3" applyFont="1" applyFill="1" applyBorder="1" applyAlignment="1">
      <alignment vertical="center" wrapText="1"/>
    </xf>
    <xf numFmtId="0" fontId="17" fillId="2" borderId="18" xfId="0" applyFont="1" applyFill="1" applyBorder="1" applyAlignment="1">
      <alignment horizontal="left" vertical="center"/>
    </xf>
    <xf numFmtId="3" fontId="2" fillId="2" borderId="18" xfId="1" applyNumberFormat="1" applyFont="1" applyFill="1" applyBorder="1">
      <alignment vertical="center"/>
    </xf>
    <xf numFmtId="3" fontId="2" fillId="6" borderId="18" xfId="1" applyNumberFormat="1" applyFont="1" applyFill="1" applyBorder="1">
      <alignment vertical="center"/>
    </xf>
    <xf numFmtId="0" fontId="3" fillId="2" borderId="19" xfId="0" applyFont="1" applyFill="1" applyBorder="1" applyAlignment="1">
      <alignment horizontal="left" vertical="center"/>
    </xf>
    <xf numFmtId="0" fontId="0" fillId="0" borderId="18" xfId="0" applyBorder="1"/>
    <xf numFmtId="0" fontId="15" fillId="5" borderId="16" xfId="2" applyNumberFormat="1" applyFont="1" applyFill="1" applyBorder="1" applyAlignment="1">
      <alignment horizontal="center" vertical="center" wrapText="1"/>
    </xf>
    <xf numFmtId="0" fontId="16" fillId="10" borderId="21" xfId="2" applyNumberFormat="1" applyFont="1" applyFill="1" applyBorder="1" applyAlignment="1">
      <alignment horizontal="center" vertical="center" wrapText="1"/>
    </xf>
    <xf numFmtId="0" fontId="18" fillId="10" borderId="17" xfId="3" applyFont="1" applyFill="1" applyBorder="1" applyAlignment="1">
      <alignment horizontal="center" vertical="center" wrapText="1"/>
    </xf>
    <xf numFmtId="0" fontId="16" fillId="10" borderId="20" xfId="2" applyNumberFormat="1" applyFont="1" applyFill="1" applyBorder="1" applyAlignment="1">
      <alignment horizontal="center" vertical="center" wrapText="1"/>
    </xf>
    <xf numFmtId="0" fontId="3" fillId="11" borderId="15" xfId="3" applyFont="1" applyFill="1" applyBorder="1">
      <alignment vertical="center"/>
    </xf>
    <xf numFmtId="0" fontId="3" fillId="2" borderId="22" xfId="0" applyFont="1" applyFill="1" applyBorder="1" applyAlignment="1">
      <alignment horizontal="left" vertical="center"/>
    </xf>
    <xf numFmtId="3" fontId="6" fillId="0" borderId="23" xfId="0" applyNumberFormat="1" applyFont="1" applyBorder="1" applyProtection="1">
      <protection locked="0"/>
    </xf>
    <xf numFmtId="3" fontId="2" fillId="6" borderId="23" xfId="1" applyNumberFormat="1" applyFont="1" applyFill="1" applyBorder="1">
      <alignment vertical="center"/>
    </xf>
    <xf numFmtId="0" fontId="3" fillId="2" borderId="24" xfId="0" applyFont="1" applyFill="1" applyBorder="1" applyAlignment="1">
      <alignment horizontal="left" vertical="center"/>
    </xf>
    <xf numFmtId="0" fontId="0" fillId="0" borderId="22" xfId="0" applyBorder="1"/>
    <xf numFmtId="0" fontId="14" fillId="5" borderId="23" xfId="2" applyNumberFormat="1" applyFont="1" applyFill="1" applyBorder="1" applyAlignment="1">
      <alignment horizontal="center" vertical="center" wrapText="1"/>
    </xf>
    <xf numFmtId="3" fontId="20" fillId="7" borderId="0" xfId="4" applyNumberFormat="1" applyFill="1" applyBorder="1" applyAlignment="1">
      <alignment vertical="center" wrapText="1"/>
    </xf>
    <xf numFmtId="3" fontId="2" fillId="12" borderId="11" xfId="1" applyNumberFormat="1" applyFont="1" applyFill="1" applyBorder="1">
      <alignment vertical="center"/>
    </xf>
    <xf numFmtId="3" fontId="21" fillId="13" borderId="11" xfId="0" applyNumberFormat="1" applyFont="1" applyFill="1" applyBorder="1" applyProtection="1">
      <protection locked="0"/>
    </xf>
  </cellXfs>
  <cellStyles count="5">
    <cellStyle name="60% - akcent 1" xfId="2"/>
    <cellStyle name="Hipervínculo" xfId="4" builtinId="8"/>
    <cellStyle name="Normal" xfId="0" builtinId="0"/>
    <cellStyle name="Normal 10" xfId="1"/>
    <cellStyle name="Normal 1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0" y="142876"/>
          <a:ext cx="114696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170890</xdr:colOff>
      <xdr:row>1</xdr:row>
      <xdr:rowOff>1236570</xdr:rowOff>
    </xdr:from>
    <xdr:to>
      <xdr:col>7</xdr:col>
      <xdr:colOff>518273</xdr:colOff>
      <xdr:row>1</xdr:row>
      <xdr:rowOff>2155452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162365" y="19318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552450</xdr:colOff>
      <xdr:row>1</xdr:row>
      <xdr:rowOff>485775</xdr:rowOff>
    </xdr:from>
    <xdr:to>
      <xdr:col>8</xdr:col>
      <xdr:colOff>353546</xdr:colOff>
      <xdr:row>1</xdr:row>
      <xdr:rowOff>1158128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58100" y="11811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5</xdr:col>
      <xdr:colOff>4676775</xdr:colOff>
      <xdr:row>0</xdr:row>
      <xdr:rowOff>152401</xdr:rowOff>
    </xdr:from>
    <xdr:to>
      <xdr:col>5</xdr:col>
      <xdr:colOff>6033293</xdr:colOff>
      <xdr:row>0</xdr:row>
      <xdr:rowOff>533401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734050" y="1524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</a:t>
          </a:r>
          <a:r>
            <a:rPr lang="es-ES" sz="1100" baseline="0"/>
            <a:t> Columna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7"/>
  <sheetViews>
    <sheetView zoomScale="90" zoomScaleNormal="90" workbookViewId="0">
      <selection activeCell="K9" sqref="K9"/>
    </sheetView>
  </sheetViews>
  <sheetFormatPr baseColWidth="10" defaultRowHeight="14.4"/>
  <cols>
    <col min="1" max="5" width="2.6640625" customWidth="1"/>
    <col min="6" max="6" width="101.88671875" bestFit="1" customWidth="1"/>
    <col min="7" max="7" width="2.6640625" customWidth="1"/>
    <col min="8" max="8" width="16.6640625" customWidth="1"/>
  </cols>
  <sheetData>
    <row r="1" spans="1:8" ht="105" customHeight="1">
      <c r="A1" t="s">
        <v>0</v>
      </c>
    </row>
    <row r="2" spans="1:8">
      <c r="G2" s="13" t="s">
        <v>0</v>
      </c>
      <c r="H2" s="14" t="s">
        <v>41</v>
      </c>
    </row>
    <row r="3" spans="1:8">
      <c r="B3" s="2" t="s">
        <v>0</v>
      </c>
      <c r="C3" s="3" t="s">
        <v>0</v>
      </c>
      <c r="D3" s="3" t="s">
        <v>0</v>
      </c>
      <c r="E3" s="3" t="s">
        <v>0</v>
      </c>
      <c r="F3" s="3"/>
      <c r="G3" s="3" t="s">
        <v>0</v>
      </c>
      <c r="H3" s="4"/>
    </row>
    <row r="4" spans="1:8">
      <c r="B4" s="5"/>
      <c r="C4" s="1"/>
      <c r="D4" s="1" t="s">
        <v>0</v>
      </c>
      <c r="E4" s="1" t="s">
        <v>0</v>
      </c>
      <c r="F4" s="1" t="s">
        <v>1</v>
      </c>
      <c r="G4" s="1"/>
      <c r="H4" s="6"/>
    </row>
    <row r="5" spans="1:8">
      <c r="B5" s="5" t="s">
        <v>58</v>
      </c>
      <c r="C5" s="1" t="s">
        <v>27</v>
      </c>
      <c r="D5" s="1" t="s">
        <v>0</v>
      </c>
      <c r="E5" s="1" t="s">
        <v>0</v>
      </c>
      <c r="F5" s="12" t="s">
        <v>60</v>
      </c>
      <c r="G5" s="1"/>
      <c r="H5" s="6"/>
    </row>
    <row r="6" spans="1:8">
      <c r="B6" s="5" t="s">
        <v>0</v>
      </c>
      <c r="C6" s="1" t="s">
        <v>0</v>
      </c>
      <c r="D6" s="1" t="s">
        <v>0</v>
      </c>
      <c r="E6" s="1" t="s">
        <v>0</v>
      </c>
      <c r="F6" s="1"/>
      <c r="G6" s="1"/>
      <c r="H6" s="6"/>
    </row>
    <row r="7" spans="1:8">
      <c r="B7" s="5"/>
      <c r="C7" s="1"/>
      <c r="D7" s="1" t="s">
        <v>0</v>
      </c>
      <c r="E7" s="1" t="s">
        <v>0</v>
      </c>
      <c r="F7" s="1" t="s">
        <v>2</v>
      </c>
      <c r="G7" s="1"/>
      <c r="H7" s="6"/>
    </row>
    <row r="8" spans="1:8">
      <c r="B8" s="5" t="s">
        <v>58</v>
      </c>
      <c r="C8" s="1" t="s">
        <v>28</v>
      </c>
      <c r="D8" s="1" t="s">
        <v>0</v>
      </c>
      <c r="E8" s="1" t="s">
        <v>0</v>
      </c>
      <c r="F8" s="12" t="s">
        <v>63</v>
      </c>
      <c r="G8" s="1"/>
      <c r="H8" s="6"/>
    </row>
    <row r="9" spans="1:8">
      <c r="B9" s="5" t="s">
        <v>0</v>
      </c>
      <c r="C9" s="1" t="s">
        <v>0</v>
      </c>
      <c r="D9" s="1" t="s">
        <v>0</v>
      </c>
      <c r="E9" s="1" t="s">
        <v>0</v>
      </c>
      <c r="F9" s="1"/>
      <c r="G9" s="1"/>
      <c r="H9" s="6"/>
    </row>
    <row r="10" spans="1:8">
      <c r="B10" s="5"/>
      <c r="C10" s="1"/>
      <c r="D10" s="1" t="s">
        <v>0</v>
      </c>
      <c r="E10" s="1" t="s">
        <v>0</v>
      </c>
      <c r="F10" s="11" t="s">
        <v>3</v>
      </c>
      <c r="G10" s="1"/>
      <c r="H10" s="6"/>
    </row>
    <row r="11" spans="1:8">
      <c r="B11" s="5" t="s">
        <v>58</v>
      </c>
      <c r="C11" s="1" t="s">
        <v>29</v>
      </c>
      <c r="D11" s="1" t="s">
        <v>0</v>
      </c>
      <c r="E11" s="1" t="s">
        <v>0</v>
      </c>
      <c r="F11" s="12" t="s">
        <v>61</v>
      </c>
      <c r="G11" s="1"/>
      <c r="H11" s="6"/>
    </row>
    <row r="12" spans="1:8">
      <c r="B12" s="5"/>
      <c r="C12" s="1"/>
      <c r="D12" s="1"/>
      <c r="E12" s="1"/>
      <c r="F12" s="1"/>
      <c r="G12" s="1"/>
      <c r="H12" s="6"/>
    </row>
    <row r="13" spans="1:8">
      <c r="B13" s="5"/>
      <c r="C13" s="1"/>
      <c r="D13" s="1" t="s">
        <v>0</v>
      </c>
      <c r="E13" s="1" t="s">
        <v>0</v>
      </c>
      <c r="F13" s="1" t="s">
        <v>7</v>
      </c>
      <c r="G13" s="1"/>
      <c r="H13" s="6"/>
    </row>
    <row r="14" spans="1:8">
      <c r="B14" s="5" t="s">
        <v>58</v>
      </c>
      <c r="C14" s="1" t="s">
        <v>33</v>
      </c>
      <c r="D14" s="1" t="s">
        <v>0</v>
      </c>
      <c r="E14" s="1" t="s">
        <v>0</v>
      </c>
      <c r="F14" s="12" t="s">
        <v>62</v>
      </c>
      <c r="G14" s="1"/>
      <c r="H14" s="6"/>
    </row>
    <row r="15" spans="1:8">
      <c r="B15" s="5"/>
      <c r="C15" s="1"/>
      <c r="D15" s="1"/>
      <c r="E15" s="1"/>
      <c r="F15" s="11"/>
      <c r="G15" s="1"/>
      <c r="H15" s="6"/>
    </row>
    <row r="16" spans="1:8">
      <c r="B16" s="5"/>
      <c r="C16" s="1"/>
      <c r="D16" s="1"/>
      <c r="E16" s="1"/>
      <c r="F16" s="64" t="s">
        <v>54</v>
      </c>
      <c r="G16" s="1"/>
      <c r="H16" s="6"/>
    </row>
    <row r="17" spans="2:8">
      <c r="B17" s="7"/>
      <c r="C17" s="8"/>
      <c r="D17" s="8"/>
      <c r="E17" s="8"/>
      <c r="F17" s="9"/>
      <c r="G17" s="8"/>
      <c r="H17" s="10"/>
    </row>
  </sheetData>
  <hyperlinks>
    <hyperlink ref="F16" location="'IAS2-AnteInveTabl'!A1" display="Antecedentes sobre inventarios [tabla]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I30"/>
  <sheetViews>
    <sheetView tabSelected="1" topLeftCell="A19" workbookViewId="0">
      <selection activeCell="G29" sqref="G29"/>
    </sheetView>
  </sheetViews>
  <sheetFormatPr baseColWidth="10" defaultRowHeight="14.4"/>
  <cols>
    <col min="1" max="3" width="2.6640625" customWidth="1"/>
    <col min="4" max="4" width="5" customWidth="1"/>
    <col min="5" max="5" width="2.6640625" customWidth="1"/>
    <col min="6" max="6" width="90.6640625" customWidth="1"/>
    <col min="7" max="7" width="13.33203125" customWidth="1"/>
    <col min="8" max="8" width="11.6640625" customWidth="1"/>
    <col min="9" max="9" width="12" customWidth="1"/>
  </cols>
  <sheetData>
    <row r="1" spans="1:9" ht="54.9" customHeight="1" thickBot="1"/>
    <row r="2" spans="1:9" ht="177" customHeight="1" thickBot="1">
      <c r="F2" s="15" t="s">
        <v>42</v>
      </c>
    </row>
    <row r="3" spans="1:9" ht="16.2" thickBot="1">
      <c r="F3" s="16" t="s">
        <v>43</v>
      </c>
    </row>
    <row r="4" spans="1:9" ht="16.2" thickBot="1">
      <c r="F4" s="17" t="s">
        <v>44</v>
      </c>
      <c r="G4" s="18" t="s">
        <v>45</v>
      </c>
    </row>
    <row r="5" spans="1:9" ht="101.25" customHeight="1">
      <c r="A5" s="19" t="s">
        <v>46</v>
      </c>
      <c r="B5" s="20"/>
      <c r="C5" s="21"/>
      <c r="D5" s="21"/>
      <c r="E5" s="22"/>
      <c r="F5" s="23" t="s">
        <v>54</v>
      </c>
      <c r="G5" s="56" t="s">
        <v>47</v>
      </c>
      <c r="H5" s="54" t="s">
        <v>47</v>
      </c>
      <c r="I5" s="24" t="s">
        <v>53</v>
      </c>
    </row>
    <row r="6" spans="1:9" ht="114" hidden="1" customHeight="1">
      <c r="A6" s="25" t="s">
        <v>48</v>
      </c>
      <c r="B6" s="26"/>
      <c r="C6" s="27"/>
      <c r="D6" s="28" t="s">
        <v>50</v>
      </c>
      <c r="E6" s="28" t="s">
        <v>51</v>
      </c>
      <c r="F6" s="29"/>
      <c r="G6" s="30" t="str">
        <f>SUBSTITUTE(CONCATENATE("IAS2-AnteInveTabl_",TRIM(G5),"_",COLUMN(G6),"|",G5)," ","")</f>
        <v>IAS2-AnteInveTabl_Agregarcolumnaopcional_7|Agregarcolumnaopcional</v>
      </c>
      <c r="H6" s="55" t="str">
        <f>SUBSTITUTE(CONCATENATE("IAS2-AnteInveTabl_",TRIM(H5),"_",COLUMN(H6),"|",H5)," ","")</f>
        <v>IAS2-AnteInveTabl_Agregarcolumnaopcional_8|Agregarcolumnaopcional</v>
      </c>
      <c r="I6" s="28" t="s">
        <v>52</v>
      </c>
    </row>
    <row r="7" spans="1:9">
      <c r="A7" s="31"/>
      <c r="B7" s="32"/>
      <c r="C7" s="33"/>
      <c r="D7" s="34"/>
      <c r="E7" s="35"/>
      <c r="F7" s="47"/>
      <c r="G7" s="57"/>
      <c r="H7" s="57"/>
      <c r="I7" s="36"/>
    </row>
    <row r="8" spans="1:9">
      <c r="A8" s="31"/>
      <c r="B8" s="37"/>
      <c r="C8" s="38"/>
      <c r="D8" s="39"/>
      <c r="E8" s="40"/>
      <c r="F8" s="48" t="s">
        <v>55</v>
      </c>
      <c r="G8" s="58"/>
      <c r="H8" s="58"/>
      <c r="I8" s="41"/>
    </row>
    <row r="9" spans="1:9">
      <c r="A9" s="31"/>
      <c r="B9" s="42"/>
      <c r="C9" s="1" t="s">
        <v>30</v>
      </c>
      <c r="D9" s="1" t="s">
        <v>49</v>
      </c>
      <c r="E9" s="1"/>
      <c r="F9" s="49" t="s">
        <v>4</v>
      </c>
      <c r="G9" s="59">
        <v>1000</v>
      </c>
      <c r="H9" s="59"/>
      <c r="I9" s="66">
        <f>SUM(G9:H9)</f>
        <v>1000</v>
      </c>
    </row>
    <row r="10" spans="1:9">
      <c r="A10" s="31"/>
      <c r="B10" s="42"/>
      <c r="C10" s="1" t="s">
        <v>40</v>
      </c>
      <c r="D10" s="1" t="s">
        <v>49</v>
      </c>
      <c r="E10" s="1"/>
      <c r="F10" s="49" t="s">
        <v>39</v>
      </c>
      <c r="G10" s="59">
        <v>2000</v>
      </c>
      <c r="H10" s="59"/>
      <c r="I10" s="66">
        <f t="shared" ref="I10:I15" si="0">SUM(G10:H10)</f>
        <v>2000</v>
      </c>
    </row>
    <row r="11" spans="1:9">
      <c r="A11" s="31"/>
      <c r="B11" s="42"/>
      <c r="C11" s="1" t="s">
        <v>31</v>
      </c>
      <c r="D11" s="1" t="s">
        <v>49</v>
      </c>
      <c r="E11" s="1"/>
      <c r="F11" s="49" t="s">
        <v>5</v>
      </c>
      <c r="G11" s="59">
        <v>300000000</v>
      </c>
      <c r="H11" s="59"/>
      <c r="I11" s="66">
        <f t="shared" si="0"/>
        <v>300000000</v>
      </c>
    </row>
    <row r="12" spans="1:9">
      <c r="A12" s="31"/>
      <c r="B12" s="42"/>
      <c r="C12" s="1" t="s">
        <v>32</v>
      </c>
      <c r="D12" s="1" t="s">
        <v>49</v>
      </c>
      <c r="E12" s="1"/>
      <c r="F12" s="49" t="s">
        <v>6</v>
      </c>
      <c r="G12" s="59">
        <v>400000000</v>
      </c>
      <c r="H12" s="59"/>
      <c r="I12" s="66">
        <f t="shared" si="0"/>
        <v>400000000</v>
      </c>
    </row>
    <row r="13" spans="1:9">
      <c r="A13" s="31"/>
      <c r="B13" s="42"/>
      <c r="C13" s="1" t="s">
        <v>34</v>
      </c>
      <c r="D13" s="1" t="s">
        <v>49</v>
      </c>
      <c r="E13" s="1"/>
      <c r="F13" s="49" t="s">
        <v>8</v>
      </c>
      <c r="G13" s="59">
        <v>5000</v>
      </c>
      <c r="H13" s="59"/>
      <c r="I13" s="66">
        <f t="shared" si="0"/>
        <v>5000</v>
      </c>
    </row>
    <row r="14" spans="1:9">
      <c r="A14" s="31"/>
      <c r="B14" s="42"/>
      <c r="C14" s="1" t="s">
        <v>35</v>
      </c>
      <c r="D14" s="1" t="s">
        <v>49</v>
      </c>
      <c r="E14" s="1"/>
      <c r="F14" s="49" t="s">
        <v>9</v>
      </c>
      <c r="G14" s="59">
        <v>6000</v>
      </c>
      <c r="H14" s="59"/>
      <c r="I14" s="66">
        <f t="shared" si="0"/>
        <v>6000</v>
      </c>
    </row>
    <row r="15" spans="1:9">
      <c r="A15" s="31"/>
      <c r="B15" s="42"/>
      <c r="C15" s="1" t="s">
        <v>36</v>
      </c>
      <c r="D15" s="1" t="s">
        <v>49</v>
      </c>
      <c r="E15" s="1"/>
      <c r="F15" s="49" t="s">
        <v>10</v>
      </c>
      <c r="G15" s="59">
        <v>7000</v>
      </c>
      <c r="H15" s="59"/>
      <c r="I15" s="66">
        <f t="shared" si="0"/>
        <v>7000</v>
      </c>
    </row>
    <row r="16" spans="1:9">
      <c r="A16" s="31"/>
      <c r="B16" s="42"/>
      <c r="C16" s="1" t="s">
        <v>37</v>
      </c>
      <c r="D16" s="1" t="s">
        <v>49</v>
      </c>
      <c r="E16" s="1"/>
      <c r="F16" s="50" t="s">
        <v>38</v>
      </c>
      <c r="G16" s="60" t="s">
        <v>21</v>
      </c>
      <c r="H16" s="60"/>
      <c r="I16" s="65"/>
    </row>
    <row r="17" spans="1:9">
      <c r="B17" s="43"/>
      <c r="C17" s="44"/>
      <c r="D17" s="45"/>
      <c r="E17" s="44"/>
      <c r="F17" s="51"/>
      <c r="G17" s="61"/>
      <c r="H17" s="61"/>
      <c r="I17" s="46"/>
    </row>
    <row r="18" spans="1:9">
      <c r="F18" s="52"/>
      <c r="G18" s="62"/>
      <c r="H18" s="62"/>
    </row>
    <row r="19" spans="1:9" ht="90" customHeight="1">
      <c r="A19" s="19"/>
      <c r="B19" s="20"/>
      <c r="C19" s="21"/>
      <c r="D19" s="21"/>
      <c r="E19" s="22"/>
      <c r="F19" s="53" t="str">
        <f>F5</f>
        <v>Antecedentes sobre inventarios [tabla]</v>
      </c>
      <c r="G19" s="63" t="str">
        <f>G5</f>
        <v>Agregar columna opcional</v>
      </c>
      <c r="H19" s="63" t="str">
        <f t="shared" ref="H19:I19" si="1">H5</f>
        <v>Agregar columna opcional</v>
      </c>
      <c r="I19" s="24" t="str">
        <f t="shared" si="1"/>
        <v>Antecedentes sobre inventarios [miembro]</v>
      </c>
    </row>
    <row r="20" spans="1:9">
      <c r="A20" s="31"/>
      <c r="B20" s="32"/>
      <c r="C20" s="33"/>
      <c r="D20" s="34"/>
      <c r="E20" s="35"/>
      <c r="F20" s="47"/>
      <c r="G20" s="57"/>
      <c r="H20" s="57"/>
      <c r="I20" s="36"/>
    </row>
    <row r="21" spans="1:9">
      <c r="A21" s="31"/>
      <c r="B21" s="37"/>
      <c r="C21" s="38"/>
      <c r="D21" s="39"/>
      <c r="E21" s="40"/>
      <c r="F21" s="48" t="s">
        <v>55</v>
      </c>
      <c r="G21" s="58"/>
      <c r="H21" s="58"/>
      <c r="I21" s="41"/>
    </row>
    <row r="22" spans="1:9">
      <c r="A22" s="31" t="s">
        <v>56</v>
      </c>
      <c r="B22" s="42"/>
      <c r="C22" s="1" t="s">
        <v>30</v>
      </c>
      <c r="D22" s="1" t="s">
        <v>49</v>
      </c>
      <c r="E22" s="1"/>
      <c r="F22" s="49" t="s">
        <v>4</v>
      </c>
      <c r="G22" s="59">
        <v>8000</v>
      </c>
      <c r="H22" s="59"/>
      <c r="I22" s="66">
        <f>SUM(G22:H22)</f>
        <v>8000</v>
      </c>
    </row>
    <row r="23" spans="1:9">
      <c r="A23" s="31" t="s">
        <v>56</v>
      </c>
      <c r="B23" s="42"/>
      <c r="C23" s="1" t="s">
        <v>40</v>
      </c>
      <c r="D23" s="1" t="s">
        <v>49</v>
      </c>
      <c r="E23" s="1"/>
      <c r="F23" s="49" t="s">
        <v>39</v>
      </c>
      <c r="G23" s="59">
        <v>9000</v>
      </c>
      <c r="H23" s="59"/>
      <c r="I23" s="66">
        <f t="shared" ref="I23:I28" si="2">SUM(G23:H23)</f>
        <v>9000</v>
      </c>
    </row>
    <row r="24" spans="1:9">
      <c r="A24" s="31"/>
      <c r="B24" s="42"/>
      <c r="C24" s="1" t="s">
        <v>31</v>
      </c>
      <c r="D24" s="1" t="s">
        <v>57</v>
      </c>
      <c r="E24" s="1"/>
      <c r="F24" s="49" t="s">
        <v>5</v>
      </c>
      <c r="G24" s="59">
        <v>6000</v>
      </c>
      <c r="H24" s="59"/>
      <c r="I24" s="66">
        <f t="shared" si="2"/>
        <v>6000</v>
      </c>
    </row>
    <row r="25" spans="1:9">
      <c r="A25" s="31"/>
      <c r="B25" s="42"/>
      <c r="C25" s="1" t="s">
        <v>32</v>
      </c>
      <c r="D25" s="1" t="s">
        <v>57</v>
      </c>
      <c r="E25" s="1"/>
      <c r="F25" s="49" t="s">
        <v>6</v>
      </c>
      <c r="G25" s="59">
        <v>5000</v>
      </c>
      <c r="H25" s="59"/>
      <c r="I25" s="66">
        <f t="shared" si="2"/>
        <v>5000</v>
      </c>
    </row>
    <row r="26" spans="1:9">
      <c r="A26" s="31"/>
      <c r="B26" s="42"/>
      <c r="C26" s="1" t="s">
        <v>34</v>
      </c>
      <c r="D26" s="1" t="s">
        <v>57</v>
      </c>
      <c r="E26" s="1"/>
      <c r="F26" s="49" t="s">
        <v>8</v>
      </c>
      <c r="G26" s="59">
        <v>6000</v>
      </c>
      <c r="H26" s="59"/>
      <c r="I26" s="66">
        <f t="shared" si="2"/>
        <v>6000</v>
      </c>
    </row>
    <row r="27" spans="1:9">
      <c r="A27" s="31" t="s">
        <v>56</v>
      </c>
      <c r="B27" s="42"/>
      <c r="C27" s="1" t="s">
        <v>35</v>
      </c>
      <c r="D27" s="1" t="s">
        <v>49</v>
      </c>
      <c r="E27" s="1"/>
      <c r="F27" s="49" t="s">
        <v>9</v>
      </c>
      <c r="G27" s="59">
        <v>1000</v>
      </c>
      <c r="H27" s="59"/>
      <c r="I27" s="66">
        <f t="shared" si="2"/>
        <v>1000</v>
      </c>
    </row>
    <row r="28" spans="1:9">
      <c r="A28" s="31"/>
      <c r="B28" s="42"/>
      <c r="C28" s="1" t="s">
        <v>36</v>
      </c>
      <c r="D28" s="1" t="s">
        <v>57</v>
      </c>
      <c r="E28" s="1"/>
      <c r="F28" s="49" t="s">
        <v>10</v>
      </c>
      <c r="G28" s="59">
        <v>3000</v>
      </c>
      <c r="H28" s="59"/>
      <c r="I28" s="66">
        <f t="shared" si="2"/>
        <v>3000</v>
      </c>
    </row>
    <row r="29" spans="1:9">
      <c r="A29" s="31"/>
      <c r="B29" s="42"/>
      <c r="C29" s="1" t="s">
        <v>37</v>
      </c>
      <c r="D29" s="1" t="s">
        <v>57</v>
      </c>
      <c r="E29" s="1"/>
      <c r="F29" s="50" t="s">
        <v>38</v>
      </c>
      <c r="G29" s="60" t="s">
        <v>18</v>
      </c>
      <c r="H29" s="60"/>
      <c r="I29" s="65"/>
    </row>
    <row r="30" spans="1:9">
      <c r="B30" s="43"/>
      <c r="C30" s="44"/>
      <c r="D30" s="45"/>
      <c r="E30" s="44"/>
      <c r="F30" s="51"/>
      <c r="G30" s="61"/>
      <c r="H30" s="61"/>
      <c r="I30" s="46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Códigos!$B$1:$B$2</xm:f>
          </x14:formula1>
          <xm:sqref>G4</xm:sqref>
        </x14:dataValidation>
        <x14:dataValidation type="list" allowBlank="1" showInputMessage="1" showErrorMessage="1">
          <x14:formula1>
            <xm:f>Códigos!$A$1:$A$16</xm:f>
          </x14:formula1>
          <xm:sqref>G16:I16 G29:I29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6"/>
  <sheetViews>
    <sheetView workbookViewId="0"/>
  </sheetViews>
  <sheetFormatPr baseColWidth="10" defaultRowHeight="14.4"/>
  <sheetData>
    <row r="1" spans="1:2">
      <c r="A1" t="s">
        <v>12</v>
      </c>
      <c r="B1" t="s">
        <v>45</v>
      </c>
    </row>
    <row r="2" spans="1:2">
      <c r="A2" t="s">
        <v>14</v>
      </c>
      <c r="B2" t="s">
        <v>59</v>
      </c>
    </row>
    <row r="3" spans="1:2">
      <c r="A3" t="s">
        <v>20</v>
      </c>
    </row>
    <row r="4" spans="1:2">
      <c r="A4" t="s">
        <v>21</v>
      </c>
    </row>
    <row r="5" spans="1:2">
      <c r="A5" t="s">
        <v>23</v>
      </c>
    </row>
    <row r="6" spans="1:2">
      <c r="A6" t="s">
        <v>18</v>
      </c>
    </row>
    <row r="7" spans="1:2">
      <c r="A7" t="s">
        <v>15</v>
      </c>
    </row>
    <row r="8" spans="1:2">
      <c r="A8" t="s">
        <v>25</v>
      </c>
    </row>
    <row r="9" spans="1:2">
      <c r="A9" t="s">
        <v>11</v>
      </c>
    </row>
    <row r="10" spans="1:2">
      <c r="A10" t="s">
        <v>19</v>
      </c>
    </row>
    <row r="11" spans="1:2">
      <c r="A11" t="s">
        <v>24</v>
      </c>
    </row>
    <row r="12" spans="1:2">
      <c r="A12" t="s">
        <v>17</v>
      </c>
    </row>
    <row r="13" spans="1:2">
      <c r="A13" t="s">
        <v>16</v>
      </c>
    </row>
    <row r="14" spans="1:2">
      <c r="A14" t="s">
        <v>26</v>
      </c>
    </row>
    <row r="15" spans="1:2">
      <c r="A15" t="s">
        <v>13</v>
      </c>
    </row>
    <row r="16" spans="1:2">
      <c r="A16" t="s">
        <v>22</v>
      </c>
    </row>
  </sheetData>
  <sortState ref="A1:A33">
    <sortCondition ref="A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IAS2-Cuadros</vt:lpstr>
      <vt:lpstr>IAS2-AnteInveTabl</vt:lpstr>
      <vt:lpstr>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Byron Gonzalez Serrano</cp:lastModifiedBy>
  <dcterms:created xsi:type="dcterms:W3CDTF">2013-03-21T17:58:38Z</dcterms:created>
  <dcterms:modified xsi:type="dcterms:W3CDTF">2024-06-19T16:07:03Z</dcterms:modified>
</cp:coreProperties>
</file>