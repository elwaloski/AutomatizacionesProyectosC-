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x\Archivo pruebas gx 2024 (1)\Archivo pruebas gx 2024\svs-cl-ci-2024-01-02 - copia\xls\"/>
    </mc:Choice>
  </mc:AlternateContent>
  <bookViews>
    <workbookView xWindow="-120" yWindow="-120" windowWidth="20736" windowHeight="11160"/>
  </bookViews>
  <sheets>
    <sheet name="IAS7-Cuadros" sheetId="1" r:id="rId1"/>
    <sheet name="IAS7-EfEqDifeBala" sheetId="3" r:id="rId2"/>
    <sheet name="IAS7-PasiActiFina" sheetId="4" r:id="rId3"/>
    <sheet name="IAS7-ImpuGanaPaga" sheetId="5" r:id="rId4"/>
    <sheet name="datos" sheetId="6" state="hidden" r:id="rId5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9" i="3" l="1"/>
  <c r="G29" i="3"/>
  <c r="I28" i="3"/>
  <c r="I27" i="3"/>
  <c r="I26" i="3"/>
  <c r="I25" i="3"/>
  <c r="I29" i="3" s="1"/>
  <c r="I21" i="3" l="1"/>
  <c r="I20" i="3"/>
  <c r="I19" i="3"/>
  <c r="I18" i="3"/>
  <c r="I14" i="3"/>
  <c r="I13" i="3"/>
  <c r="I12" i="3"/>
  <c r="I11" i="3"/>
  <c r="I22" i="3" l="1"/>
  <c r="H22" i="3"/>
  <c r="G22" i="3"/>
  <c r="I15" i="3"/>
  <c r="H15" i="3"/>
  <c r="G15" i="3"/>
  <c r="H20" i="5"/>
  <c r="G20" i="5"/>
  <c r="I20" i="5" s="1"/>
  <c r="H14" i="5"/>
  <c r="G14" i="5"/>
  <c r="I19" i="5"/>
  <c r="I18" i="5"/>
  <c r="I17" i="5"/>
  <c r="I13" i="5"/>
  <c r="I12" i="5"/>
  <c r="I11" i="5"/>
  <c r="H8" i="5"/>
  <c r="G8" i="5"/>
  <c r="K30" i="4"/>
  <c r="K29" i="4"/>
  <c r="K28" i="4"/>
  <c r="K27" i="4"/>
  <c r="K26" i="4"/>
  <c r="K25" i="4"/>
  <c r="K23" i="4"/>
  <c r="K18" i="4"/>
  <c r="K17" i="4"/>
  <c r="K16" i="4"/>
  <c r="K15" i="4"/>
  <c r="K14" i="4"/>
  <c r="K13" i="4"/>
  <c r="K11" i="4"/>
  <c r="J31" i="4"/>
  <c r="I31" i="4"/>
  <c r="I32" i="4" s="1"/>
  <c r="H31" i="4"/>
  <c r="G31" i="4"/>
  <c r="G32" i="4" s="1"/>
  <c r="J19" i="4"/>
  <c r="J20" i="4" s="1"/>
  <c r="I19" i="4"/>
  <c r="I20" i="4" s="1"/>
  <c r="H19" i="4"/>
  <c r="H20" i="4" s="1"/>
  <c r="G19" i="4"/>
  <c r="G20" i="4" s="1"/>
  <c r="J32" i="4"/>
  <c r="H32" i="4"/>
  <c r="H8" i="3"/>
  <c r="G8" i="3"/>
  <c r="I14" i="5" l="1"/>
  <c r="K31" i="4"/>
  <c r="K32" i="4" s="1"/>
  <c r="K19" i="4"/>
  <c r="K20" i="4" s="1"/>
</calcChain>
</file>

<file path=xl/sharedStrings.xml><?xml version="1.0" encoding="utf-8"?>
<sst xmlns="http://schemas.openxmlformats.org/spreadsheetml/2006/main" count="341" uniqueCount="138">
  <si>
    <t xml:space="preserve"> </t>
  </si>
  <si>
    <t xml:space="preserve">    Información Estado de flujos de efectivo [sinopsis]  </t>
  </si>
  <si>
    <t xml:space="preserve">      Información a revelar sobre el estado de flujos de efectivo [bloque de texto]  </t>
  </si>
  <si>
    <t>full_ifrs-cor_2015-03-11.xsd#ifrs-full_DisclosureOfCashFlowStatementExplanatory</t>
  </si>
  <si>
    <t>10.0</t>
  </si>
  <si>
    <t>pre_cl-ci_ias-7_2019-03-27_role-851100</t>
  </si>
  <si>
    <t>full_ifrs-cor_2014-03-05.xsd#ifrs-full_ConsiderationPaidReceived</t>
  </si>
  <si>
    <t>full_ifrs-cor_2014-03-05.xsd#ifrs-full_PortionOfConsiderationPaidReceivedConsistingOfCashAndCashEquivalents</t>
  </si>
  <si>
    <t>full_ifrs-cor_2014-03-05.xsd#ifrs-full_CashAndCashEquivalentsInSubsidiaryOrBusinessesAcquiredOrDisposed2013</t>
  </si>
  <si>
    <t>full_ifrs-cor_2014-03-05.xsd#ifrs-full_AssetsOtherThanCashOrCashEquivalentsInSubsidiaryOrBusinessesAcquiredOrDisposed2013</t>
  </si>
  <si>
    <t>full_ifrs-cor_2014-03-05.xsd#ifrs-full_LiabilitiesInSubsidiaryOrBusinessesAcquiredOrDisposed2013</t>
  </si>
  <si>
    <t>full_ifrs-cor_2015-03-11.xsd#ifrs-full_DescriptionOfAccountingPolicyToDetermineComponentsOfCashAndCashEquivalents</t>
  </si>
  <si>
    <t>Descripción de la política contable para la determinación de los componentes del efectivo y equivalentes al efectivo [bloque de texto]</t>
  </si>
  <si>
    <t>Efectivo y equivalentes al efectivo si son diferentes del estado de situación financiera [resumen]</t>
  </si>
  <si>
    <t>full_ifrs-cor_2014-03-05.xsd#ifrs-full_ExplanationOfInvestingAndFinancingTransactionsNotRequireUseOfCashOrCashEquivalents</t>
  </si>
  <si>
    <t>full_ifrs-cor_2018-03-16.xsd#ifrs-full_DescriptionOfAcquisitionOfAssetsByAssumingDirectlyRelatedLiabilitiesOrByMeansOfLease</t>
  </si>
  <si>
    <t>full_ifrs-cor_2014-03-05.xsd#ifrs-full_DescriptionOfAcquisitionOfEntityByMeansOfEquityIssue</t>
  </si>
  <si>
    <t>full_ifrs-cor_2014-03-05.xsd#ifrs-full_DescriptionOfConversionOfDebtToEquity</t>
  </si>
  <si>
    <t>full_ifrs-cor_2018-03-16.xsd#ifrs-full_DisclosureOfInformationThatEnablesUsersOfFinancialStatementsToEvaluateChangesInLiabilitiesArisingFromFinancingActivitiesExplanatory</t>
  </si>
  <si>
    <t>Información a revelar que permite a los usuarios de los estados financieros evaluar cambios en pasivos que surgen de actividades de financiación [bloque de texto]</t>
  </si>
  <si>
    <t>full_ifrs-cor_2018-03-16.xsd#ifrs-full_DisclosureOfReconciliationOfLiabilitiesArisingFromFinancingActivitiesExplanatory</t>
  </si>
  <si>
    <t>Información a revelar de la conciliación de pasivos que surgen de actividades de financiación [bloque de texto]</t>
  </si>
  <si>
    <t>Información a revelar de la conciliación de pasivos que surgen de actividades de financiación [resumen]</t>
  </si>
  <si>
    <t>full_ifrs-cor_2014-03-05.xsd#ifrs-full_CashAndCashEquivalentsHeldByEntityUnavailableForUseByGroup</t>
  </si>
  <si>
    <t>full_ifrs-cor_2014-03-05.xsd#ifrs-full_CommentaryByManagementOnSignificantCashAndCashEquivalentBalancesHeldByEntityThatAreNotAvailableForUseByGroup</t>
  </si>
  <si>
    <t>full_ifrs-cor_2014-03-05.xsd#ifrs-full_DisclosureOfAdditionalInformationAboutUnderstandingFinancialPositionsAndLiquidityOfEntityExplanatory</t>
  </si>
  <si>
    <t>Información a revelar adicional sobre la comprensión de la situación financiera y la liquidez de la entidad [bloque de texto]</t>
  </si>
  <si>
    <t>full_ifrs-cor_2014-03-05.xsd#ifrs-full_UndrawnBorrowingFacilities</t>
  </si>
  <si>
    <t>full_ifrs-cor_2014-03-05.xsd#ifrs-full_CashFlowsFromUsedInIncreasesInOperatingCapacity</t>
  </si>
  <si>
    <t>full_ifrs-cor_2014-03-05.xsd#ifrs-full_CashFlowsFromUsedInMaintainingOperatingCapacity</t>
  </si>
  <si>
    <t>Impuestos a las ganancias pagados (reembolso) [resumen]</t>
  </si>
  <si>
    <t>Cierre Anual Anterior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</si>
  <si>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</si>
  <si>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</si>
  <si>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>Cargar hoja:</t>
  </si>
  <si>
    <t>SI</t>
  </si>
  <si>
    <t>DIMENUE</t>
  </si>
  <si>
    <t>DIMEAVA</t>
  </si>
  <si>
    <t>ACT</t>
  </si>
  <si>
    <t>full_ifrs-cor_2015-03-11.xsd#ifrs-full_CashAndCashEquivalents</t>
  </si>
  <si>
    <t>full_ifrs-cor_2014-03-05.xsd#ifrs-full_BankOverdraftsClassifiedAsCashEquivalents</t>
  </si>
  <si>
    <t>full_ifrs-cor_2014-03-05.xsd#ifrs-full_CashAndCashEquivalentsClassifiedAsPartOfDisposalGroupHeldForSale</t>
  </si>
  <si>
    <t>full_ifrs-cor_2014-03-05.xsd#ifrs-full_OtherDifferencesToCashAndCashEquivalentsInStatementOfCashFlows</t>
  </si>
  <si>
    <t>full_ifrs-cor_2014-03-05.xsd#ifrs-full_CashAndCashEquivalentsIfDifferentFromStatementOfFinancialPosition</t>
  </si>
  <si>
    <t>Efectivo y equivalentes al efectivo [Número]</t>
  </si>
  <si>
    <t>Sobregiros bancarios [Número]</t>
  </si>
  <si>
    <t>Efectivo y equivalentes al efectivo clasificados como parte de un grupo de activos para su disposición mantenidos para la venta [Número]</t>
  </si>
  <si>
    <t>Otras diferencias de efectivo y equivalentes al efectivo en el estado de flujos de efectivo [Número]</t>
  </si>
  <si>
    <t>Efectivo y equivalentes al efectivo si son diferentes del estado de situación financiera [Número]</t>
  </si>
  <si>
    <t>cl-ci_cor_2020-01-02.xsd#cl-ci_EfectivoYEquivalentesAlEfectivoSiSonDiferentesDelEstadoDeSituacionFinancieraTabla</t>
  </si>
  <si>
    <t>cl-ci_cor_2020-01-02.xsd#cl-ci_EfectivoYEquivalentesAlEfectivoSiSonDiferentesDelEstadoDeSituacionFinancieraEje</t>
  </si>
  <si>
    <t>cl-ci_cor_2020-01-02.xsd#cl-ci_EfectivoYEquivalentesAlEfectivoSiSonDiferentesDelEstadoDeSituacionFinancieraMiembro</t>
  </si>
  <si>
    <t>Efectivo y equivalentes al efectivo si son diferentes del estado de situación financiera [miembro]</t>
  </si>
  <si>
    <t>Efectivo 1</t>
  </si>
  <si>
    <t>Efectivo 2</t>
  </si>
  <si>
    <t>Periodo Actual</t>
  </si>
  <si>
    <t>Periodo Anterior</t>
  </si>
  <si>
    <t>ANT</t>
  </si>
  <si>
    <t>full_ifrs-cor_2018-03-16.xsd#ifrs-full_LiabilitiesArisingFromFinancingActivities</t>
  </si>
  <si>
    <t>Cambios en pasivos que surgen de actividades financieras [resumen]</t>
  </si>
  <si>
    <t>full_ifrs-cor_2018-03-16.xsd#ifrs-full_IncreaseDecreaseThroughFinancingCashFlowsLiabilitiesArisingFromFinancingActivities</t>
  </si>
  <si>
    <t>full_ifrs-cor_2018-03-16.xsd#ifrs-full_IncreaseDecreaseThroughObtainingOrLosingControlOfSubsidiariesOrOtherBusinessesLiabilitiesArisingFromFinancingActivities</t>
  </si>
  <si>
    <t>full_ifrs-cor_2018-03-16.xsd#ifrs-full_IncreaseDecreaseThroughEffectOfChangesInForeignExchangeRatesLiabilitiesArisingFromFinancingActivities</t>
  </si>
  <si>
    <t>full_ifrs-cor_2018-03-16.xsd#ifrs-full_IncreaseDecreaseThroughChangesInFairValuesLiabilitiesArisingFromFinancingActivities</t>
  </si>
  <si>
    <t>full_ifrs-cor_2018-03-16.xsd#ifrs-full_IncreaseThroughNewLeasesLiabilitiesArisingFromFinancingActivities</t>
  </si>
  <si>
    <t>full_ifrs-cor_2018-03-16.xsd#ifrs-full_IncreaseDecreaseThroughOtherChangesLiabilitiesArisingFromFinancingActivities</t>
  </si>
  <si>
    <t>full_ifrs-cor_2018-03-16.xsd#ifrs-full_IncreaseDecreaseInLiabilitiesArisingFromFinancingActivities</t>
  </si>
  <si>
    <t>Efectivo y equivalentes al efectivo si son diferentes del estado de situación financiera [tabla]</t>
  </si>
  <si>
    <t>Información a revelar de la conciliación de pasivos que surgen de actividades de financiación [tabla]</t>
  </si>
  <si>
    <t>full_ifrs-cor_2018-03-16.xsd#ifrs-full_DisclosureOfReconciliationOfLiabilitiesArisingFromFinancingActivitiesTable</t>
  </si>
  <si>
    <t>full_ifrs-cor_2018-03-16.xsd#ifrs-full_LiabilitiesArisingFromFinancingActivitiesAxis</t>
  </si>
  <si>
    <t>full_ifrs-cor_2018-03-16.xsd#ifrs-full_LongtermBorrowingsMember</t>
  </si>
  <si>
    <t>full_ifrs-cor_2018-03-16.xsd#ifrs-full_ShorttermBorrowingsMember</t>
  </si>
  <si>
    <t>full_ifrs-cor_2018-03-16.xsd#ifrs-full_LeaseLiabilitiesMember</t>
  </si>
  <si>
    <t>full_ifrs-cor_2018-03-16.xsd#ifrs-full_AssetsHeldToHedgeLiabilitiesArisingFromFinancingActivitiesMember</t>
  </si>
  <si>
    <t>full_ifrs-cor_2018-03-16.xsd#ifrs-full_LiabilitiesArisingFromFinancingActivitiesMember</t>
  </si>
  <si>
    <t>Préstamos a largo plazo [miembro]</t>
  </si>
  <si>
    <t>Préstamos a corto plazo [miembro]</t>
  </si>
  <si>
    <t>Pasivos por arrendamiento [miembro]</t>
  </si>
  <si>
    <t>Activos mantenidos para cubrir pasivos que surgen de actividades financieras [miembro]</t>
  </si>
  <si>
    <t>Pasivos que surgen de las actividades de financiación [miembro]</t>
  </si>
  <si>
    <t>INI</t>
  </si>
  <si>
    <t>cl-ci_cor_2020-01-02.xsd#cl-ci_ImpuestosALasGananciasPagadosReembolsoTabla</t>
  </si>
  <si>
    <t>cl-ci_cor_2020-01-02.xsd#cl-ci_ImpuestosALasGananciasPagadosReembolsoEje</t>
  </si>
  <si>
    <t>cl-ci_cor_2020-01-02.xsd#cl-ci_ImpuestosALasGananciasPagadosReembolsoMiembro</t>
  </si>
  <si>
    <t>Impuestos a las ganancias pagados (reembolso) [miembro]</t>
  </si>
  <si>
    <t>full_ifrs-cor_2015-03-11.xsd#ifrs-full_IncomeTaxesPaidRefundClassifiedAsOperatingActivities</t>
  </si>
  <si>
    <t>full_ifrs-cor_2015-03-11.xsd#ifrs-full_IncomeTaxesPaidRefundClassifiedAsInvestingActivities</t>
  </si>
  <si>
    <t>full_ifrs-cor_2015-03-11.xsd#ifrs-full_IncomeTaxesPaidRefundClassifiedAsFinancingActivities</t>
  </si>
  <si>
    <t>full_ifrs-cor_2014-03-05.xsd#ifrs-full_IncomeTaxesPaidRefund</t>
  </si>
  <si>
    <t>Impuesto 1</t>
  </si>
  <si>
    <t>Impuesto 2</t>
  </si>
  <si>
    <t>Impuestos a las ganancias pagados (reembolso) [tabla]</t>
  </si>
  <si>
    <t>Explicación de las transacciones de inversión y financiación que no requieren el uso de efectivo o equivalentes al efectivo [Texto]</t>
  </si>
  <si>
    <t>Descripción de la adquisición de activos, ya sea asumiendo directamente los pasivos relacionados, o mediante un arrendamiento [Texto]</t>
  </si>
  <si>
    <t>Descripción de la adquisición de una entidad mediante una ampliación de capital [Texto]</t>
  </si>
  <si>
    <t>Descripción de la conversión de deuda en patrimonio [Texto]</t>
  </si>
  <si>
    <t>Comentario de la gerencia sobre saldos de efectivo y equivalentes al efectivo significativos mantenidos por la entidad que no están disponibles para su uso por el grupo [Texto]</t>
  </si>
  <si>
    <t>Trimestre Acumulado Actual</t>
  </si>
  <si>
    <t>Trimestre Acumulado Anterior</t>
  </si>
  <si>
    <t>Trimestre Actual</t>
  </si>
  <si>
    <t>Trimestre Anterior</t>
  </si>
  <si>
    <t>Cierre Trimestre Actual</t>
  </si>
  <si>
    <t>Cierre Anual Previo al anterior</t>
  </si>
  <si>
    <t>Cierre Anual Previo Anterior</t>
  </si>
  <si>
    <t>NO</t>
  </si>
  <si>
    <t>Contraprestación pagada (recibida) [Número]</t>
  </si>
  <si>
    <t>Parte de la contraprestación pagada (recibida) que consiste en efectivo y equivalentes al efectivo [Número]</t>
  </si>
  <si>
    <t>Efectivo y equivalentes al efectivo en subsidiarias o negocios adquiridos o dispuestos [Número]</t>
  </si>
  <si>
    <t>Activos distintos del efectivo o equivalentes al efectivo en subsidiarias o negocios adquiridos o dispuestos [Número]</t>
  </si>
  <si>
    <t>Pasivos en subsidiarias o negocios adquiridos o dispuestos [Número]</t>
  </si>
  <si>
    <t>Efectivo y equivalentes al efectivo mantenido por la entidad no disponible para uso del grupo [Número]</t>
  </si>
  <si>
    <t>Préstamos no dispuestos [Número]</t>
  </si>
  <si>
    <t>Flujos de efectivo procedentes de (utilizados en) incrementos de la capacidad operativa [Número]</t>
  </si>
  <si>
    <t>Flujos de efectivo procedentes de (utilizados en) el mantenimiento de la capacidad operativa [Número]</t>
  </si>
  <si>
    <t>Pasivos que surgen de las actividades de financiación [Número]</t>
  </si>
  <si>
    <t>Incremento (disminución) a través de flujos de efectivo de actividades de financiación, pasivos que surgen de actividades de financiación [Número]</t>
  </si>
  <si>
    <t>Incremento (disminución) a través de la obtención o pérdida del control de subsidiarias u otros negocios, pasivos que surgen de actividades de financiación [Número]</t>
  </si>
  <si>
    <t>Incremento (disminución) a través del efecto de cambios en las tasas de cambio de moneda extranjera, pasivos que surgen de actividades de financiación [Número]</t>
  </si>
  <si>
    <t>Incremento (disminución) a través de cambios en los valores razonables, pasivos que surgen de actividades de financiación [Número]</t>
  </si>
  <si>
    <t>Incremento a través de nuevos arrendamientos, pasivos que surgen de actividades de financiación [Número]</t>
  </si>
  <si>
    <t>Incremento (disminución) a través de otros cambios, pasivos que surgen de actividades de financiación [Número]</t>
  </si>
  <si>
    <t>Incremento (disminución) total en pasivos que surgen de actividades de financiación [Número]</t>
  </si>
  <si>
    <t>Pasivos que surgen de las actividades de financiación al 31/12/2019 [Número]</t>
  </si>
  <si>
    <t>Pasivos que surgen de las actividades de financiación 31/12/2018 [Número]</t>
  </si>
  <si>
    <t>Pasivos que surgen de las actividades de financiación 31/12/2019 [Número]</t>
  </si>
  <si>
    <t>Impuestos a las ganancias pagados (reembolsados), clasificados como actividades de operación [Número]</t>
  </si>
  <si>
    <t>Impuestos a las ganancias pagados (reembolsados), clasificados como actividades de inversión [Número]</t>
  </si>
  <si>
    <t>Impuestos a las ganancias pagados (reembolsados), clasificados como actividades de financiación [Número]</t>
  </si>
  <si>
    <t>Impuestos a las ganancias pagados (reembolso) [Número]</t>
  </si>
  <si>
    <t>Estados de Flujos de Efectivo Directo Consolidados_test</t>
  </si>
  <si>
    <t>test 7 cuadros 1</t>
  </si>
  <si>
    <t>test 7 cuadros 2</t>
  </si>
  <si>
    <t>test 7 cuadros 3</t>
  </si>
  <si>
    <t>test 7 cuadros 4</t>
  </si>
  <si>
    <t>test 7 cuadros 5</t>
  </si>
  <si>
    <t>test 7 cuadros 6</t>
  </si>
  <si>
    <t>PPPPP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</si>
</sst>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8"/>
      <name val="Calibri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b/>
      <sz val="9"/>
      <color indexed="9"/>
      <name val="Verdana"/>
      <family val="2"/>
    </font>
    <font>
      <b/>
      <sz val="9"/>
      <color rgb="FFFF0000"/>
      <name val="Verdana"/>
      <family val="2"/>
    </font>
    <font>
      <sz val="9"/>
      <color theme="0"/>
      <name val="Verdana"/>
      <family val="2"/>
    </font>
    <font>
      <b/>
      <sz val="9"/>
      <name val="Verdana"/>
      <family val="2"/>
    </font>
    <font>
      <sz val="11"/>
      <name val="Calibri"/>
      <family val="2"/>
      <scheme val="minor"/>
    </font>
    <font>
      <sz val="9"/>
      <color theme="1"/>
      <name val="Verdana"/>
      <family val="2"/>
    </font>
    <font>
      <b/>
      <sz val="11"/>
      <name val="Verdana"/>
      <family val="2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Dashed">
        <color rgb="FFFF0000"/>
      </left>
      <right style="medium">
        <color indexed="64"/>
      </right>
      <top/>
      <bottom/>
      <diagonal/>
    </border>
    <border>
      <left style="mediumDashed">
        <color rgb="FFFF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Dashed">
        <color rgb="FFFF0000"/>
      </left>
      <right style="mediumDashed">
        <color rgb="FFFF0000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4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24" fillId="0" borderId="0" applyNumberFormat="0" applyFill="0" applyBorder="0" applyAlignment="0" applyProtection="0"/>
  </cellStyleXfs>
  <cellXfs count="89">
    <xf numFmtId="0" fontId="0" fillId="0" borderId="0" xfId="0"/>
    <xf numFmtId="3" fontId="2" fillId="2" borderId="0" xfId="1" applyNumberFormat="1" applyFont="1" applyFill="1" applyBorder="1">
      <alignment vertical="center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0" fontId="3" fillId="2" borderId="8" xfId="0" applyFont="1" applyFill="1" applyBorder="1" applyAlignment="1">
      <alignment horizontal="left" vertical="center" indent="3"/>
    </xf>
    <xf numFmtId="3" fontId="2" fillId="2" borderId="9" xfId="1" applyNumberFormat="1" applyFont="1" applyFill="1" applyBorder="1">
      <alignment vertical="center"/>
    </xf>
    <xf numFmtId="3" fontId="2" fillId="3" borderId="1" xfId="1" applyNumberFormat="1" applyFont="1" applyFill="1" applyBorder="1">
      <alignment vertical="center"/>
    </xf>
    <xf numFmtId="3" fontId="6" fillId="2" borderId="0" xfId="1" applyNumberFormat="1" applyFont="1" applyFill="1" applyBorder="1">
      <alignment vertical="center"/>
    </xf>
    <xf numFmtId="0" fontId="0" fillId="5" borderId="10" xfId="0" applyFill="1" applyBorder="1"/>
    <xf numFmtId="0" fontId="5" fillId="5" borderId="11" xfId="0" applyFont="1" applyFill="1" applyBorder="1"/>
    <xf numFmtId="0" fontId="5" fillId="0" borderId="7" xfId="0" applyFont="1" applyBorder="1"/>
    <xf numFmtId="0" fontId="5" fillId="0" borderId="8" xfId="0" applyFont="1" applyBorder="1"/>
    <xf numFmtId="0" fontId="7" fillId="6" borderId="13" xfId="2" applyFont="1" applyFill="1" applyBorder="1" applyAlignment="1">
      <alignment horizontal="center" vertical="center" wrapText="1"/>
    </xf>
    <xf numFmtId="3" fontId="8" fillId="0" borderId="1" xfId="0" applyNumberFormat="1" applyFont="1" applyBorder="1" applyProtection="1">
      <protection locked="0"/>
    </xf>
    <xf numFmtId="0" fontId="9" fillId="7" borderId="14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8" borderId="14" xfId="0" applyFont="1" applyFill="1" applyBorder="1" applyAlignment="1">
      <alignment horizontal="right" vertical="center" wrapText="1"/>
    </xf>
    <xf numFmtId="0" fontId="0" fillId="8" borderId="15" xfId="0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0" fillId="10" borderId="0" xfId="3" applyFont="1" applyFill="1" applyBorder="1">
      <alignment vertical="center"/>
    </xf>
    <xf numFmtId="0" fontId="3" fillId="10" borderId="0" xfId="3" applyFont="1" applyFill="1" applyBorder="1">
      <alignment vertical="center"/>
    </xf>
    <xf numFmtId="0" fontId="3" fillId="10" borderId="3" xfId="3" applyFont="1" applyFill="1" applyBorder="1" applyAlignment="1">
      <alignment horizontal="center" vertical="center" wrapText="1"/>
    </xf>
    <xf numFmtId="0" fontId="21" fillId="9" borderId="16" xfId="3" applyFont="1" applyFill="1" applyBorder="1" applyAlignment="1">
      <alignment horizontal="center" vertical="center" wrapText="1"/>
    </xf>
    <xf numFmtId="0" fontId="3" fillId="0" borderId="0" xfId="0" applyFont="1"/>
    <xf numFmtId="0" fontId="3" fillId="2" borderId="0" xfId="0" applyFont="1" applyFill="1"/>
    <xf numFmtId="0" fontId="22" fillId="2" borderId="0" xfId="0" applyFont="1" applyFill="1"/>
    <xf numFmtId="0" fontId="20" fillId="10" borderId="0" xfId="3" applyFont="1" applyFill="1" applyBorder="1" applyAlignment="1">
      <alignment vertical="center" wrapText="1"/>
    </xf>
    <xf numFmtId="0" fontId="3" fillId="2" borderId="17" xfId="3" applyFont="1" applyFill="1" applyBorder="1">
      <alignment vertical="center"/>
    </xf>
    <xf numFmtId="0" fontId="3" fillId="2" borderId="0" xfId="0" applyFont="1" applyFill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/>
    </xf>
    <xf numFmtId="0" fontId="20" fillId="2" borderId="0" xfId="0" applyFont="1" applyFill="1" applyAlignment="1">
      <alignment horizontal="left" vertical="center" wrapText="1"/>
    </xf>
    <xf numFmtId="0" fontId="3" fillId="2" borderId="19" xfId="3" applyFont="1" applyFill="1" applyBorder="1">
      <alignment vertical="center"/>
    </xf>
    <xf numFmtId="0" fontId="3" fillId="2" borderId="18" xfId="3" applyFont="1" applyFill="1" applyBorder="1">
      <alignment vertical="center"/>
    </xf>
    <xf numFmtId="3" fontId="3" fillId="3" borderId="16" xfId="0" applyNumberFormat="1" applyFont="1" applyFill="1" applyBorder="1" applyProtection="1">
      <protection locked="0"/>
    </xf>
    <xf numFmtId="0" fontId="3" fillId="0" borderId="0" xfId="3" applyFont="1" applyFill="1" applyBorder="1">
      <alignment vertical="center"/>
    </xf>
    <xf numFmtId="0" fontId="23" fillId="2" borderId="8" xfId="3" applyFont="1" applyFill="1" applyBorder="1" applyAlignment="1" applyProtection="1">
      <alignment horizontal="left" vertical="center" wrapText="1"/>
      <protection locked="0"/>
    </xf>
    <xf numFmtId="0" fontId="3" fillId="2" borderId="18" xfId="0" applyFont="1" applyFill="1" applyBorder="1"/>
    <xf numFmtId="0" fontId="3" fillId="2" borderId="6" xfId="0" applyFont="1" applyFill="1" applyBorder="1"/>
    <xf numFmtId="0" fontId="15" fillId="6" borderId="21" xfId="2" applyNumberFormat="1" applyFont="1" applyFill="1" applyBorder="1" applyAlignment="1">
      <alignment horizontal="center" vertical="center" wrapText="1"/>
    </xf>
    <xf numFmtId="0" fontId="15" fillId="6" borderId="22" xfId="2" applyNumberFormat="1" applyFont="1" applyFill="1" applyBorder="1" applyAlignment="1">
      <alignment horizontal="center" vertical="center" wrapText="1"/>
    </xf>
    <xf numFmtId="0" fontId="16" fillId="6" borderId="22" xfId="2" applyNumberFormat="1" applyFont="1" applyFill="1" applyBorder="1" applyAlignment="1">
      <alignment horizontal="center" vertical="center" wrapText="1"/>
    </xf>
    <xf numFmtId="0" fontId="17" fillId="6" borderId="22" xfId="2" applyNumberFormat="1" applyFont="1" applyFill="1" applyBorder="1" applyAlignment="1">
      <alignment horizontal="center" vertical="center" wrapText="1"/>
    </xf>
    <xf numFmtId="0" fontId="19" fillId="6" borderId="23" xfId="2" applyNumberFormat="1" applyFont="1" applyFill="1" applyBorder="1" applyAlignment="1">
      <alignment horizontal="center" vertical="center" wrapText="1"/>
    </xf>
    <xf numFmtId="0" fontId="19" fillId="6" borderId="24" xfId="2" applyNumberFormat="1" applyFont="1" applyFill="1" applyBorder="1" applyAlignment="1">
      <alignment horizontal="center" vertical="center" wrapText="1"/>
    </xf>
    <xf numFmtId="0" fontId="3" fillId="10" borderId="25" xfId="3" applyFont="1" applyFill="1" applyBorder="1">
      <alignment vertical="center"/>
    </xf>
    <xf numFmtId="0" fontId="0" fillId="2" borderId="0" xfId="0" applyFill="1"/>
    <xf numFmtId="0" fontId="3" fillId="2" borderId="25" xfId="0" applyFont="1" applyFill="1" applyBorder="1"/>
    <xf numFmtId="0" fontId="3" fillId="2" borderId="26" xfId="3" applyFont="1" applyFill="1" applyBorder="1">
      <alignment vertical="center"/>
    </xf>
    <xf numFmtId="0" fontId="3" fillId="2" borderId="25" xfId="0" applyFont="1" applyFill="1" applyBorder="1" applyAlignment="1">
      <alignment horizontal="left" vertical="center"/>
    </xf>
    <xf numFmtId="0" fontId="3" fillId="2" borderId="28" xfId="0" applyFont="1" applyFill="1" applyBorder="1"/>
    <xf numFmtId="0" fontId="3" fillId="2" borderId="29" xfId="3" applyFont="1" applyFill="1" applyBorder="1">
      <alignment vertical="center"/>
    </xf>
    <xf numFmtId="0" fontId="3" fillId="2" borderId="30" xfId="0" applyFont="1" applyFill="1" applyBorder="1"/>
    <xf numFmtId="0" fontId="3" fillId="2" borderId="31" xfId="0" applyFont="1" applyFill="1" applyBorder="1"/>
    <xf numFmtId="0" fontId="3" fillId="2" borderId="32" xfId="0" applyFont="1" applyFill="1" applyBorder="1"/>
    <xf numFmtId="0" fontId="3" fillId="2" borderId="33" xfId="0" applyFont="1" applyFill="1" applyBorder="1"/>
    <xf numFmtId="0" fontId="20" fillId="10" borderId="6" xfId="3" applyFont="1" applyFill="1" applyBorder="1" applyAlignment="1">
      <alignment vertical="center" wrapText="1"/>
    </xf>
    <xf numFmtId="0" fontId="23" fillId="2" borderId="9" xfId="3" applyFont="1" applyFill="1" applyBorder="1" applyAlignment="1" applyProtection="1">
      <alignment horizontal="left" vertical="center" wrapText="1"/>
      <protection locked="0"/>
    </xf>
    <xf numFmtId="0" fontId="3" fillId="2" borderId="34" xfId="0" applyFont="1" applyFill="1" applyBorder="1"/>
    <xf numFmtId="0" fontId="3" fillId="2" borderId="20" xfId="3" applyFont="1" applyFill="1" applyBorder="1">
      <alignment vertical="center"/>
    </xf>
    <xf numFmtId="3" fontId="3" fillId="3" borderId="1" xfId="0" applyNumberFormat="1" applyFont="1" applyFill="1" applyBorder="1" applyProtection="1">
      <protection locked="0"/>
    </xf>
    <xf numFmtId="0" fontId="3" fillId="2" borderId="20" xfId="0" applyFont="1" applyFill="1" applyBorder="1"/>
    <xf numFmtId="0" fontId="3" fillId="2" borderId="35" xfId="3" applyFont="1" applyFill="1" applyBorder="1">
      <alignment vertical="center"/>
    </xf>
    <xf numFmtId="0" fontId="3" fillId="2" borderId="36" xfId="0" applyFont="1" applyFill="1" applyBorder="1"/>
    <xf numFmtId="0" fontId="3" fillId="2" borderId="28" xfId="3" applyFont="1" applyFill="1" applyBorder="1">
      <alignment vertical="center"/>
    </xf>
    <xf numFmtId="0" fontId="20" fillId="2" borderId="6" xfId="0" applyFont="1" applyFill="1" applyBorder="1" applyAlignment="1">
      <alignment horizontal="left" vertical="center" wrapText="1"/>
    </xf>
    <xf numFmtId="0" fontId="3" fillId="2" borderId="6" xfId="0" applyFont="1" applyFill="1" applyBorder="1" applyAlignment="1">
      <alignment horizontal="left" vertical="center" wrapText="1" indent="1"/>
    </xf>
    <xf numFmtId="3" fontId="20" fillId="14" borderId="1" xfId="0" applyNumberFormat="1" applyFont="1" applyFill="1" applyBorder="1" applyProtection="1">
      <protection locked="0"/>
    </xf>
    <xf numFmtId="3" fontId="20" fillId="14" borderId="37" xfId="0" applyNumberFormat="1" applyFont="1" applyFill="1" applyBorder="1" applyProtection="1">
      <protection locked="0"/>
    </xf>
    <xf numFmtId="0" fontId="3" fillId="2" borderId="12" xfId="3" applyFont="1" applyFill="1" applyBorder="1">
      <alignment vertical="center"/>
    </xf>
    <xf numFmtId="0" fontId="18" fillId="9" borderId="39" xfId="2" applyNumberFormat="1" applyFont="1" applyFill="1" applyBorder="1" applyAlignment="1">
      <alignment horizontal="center" vertical="center" wrapText="1"/>
    </xf>
    <xf numFmtId="0" fontId="19" fillId="6" borderId="40" xfId="2" applyNumberFormat="1" applyFont="1" applyFill="1" applyBorder="1" applyAlignment="1">
      <alignment horizontal="center" vertical="center" wrapText="1"/>
    </xf>
    <xf numFmtId="0" fontId="3" fillId="10" borderId="38" xfId="3" applyFont="1" applyFill="1" applyBorder="1" applyAlignment="1">
      <alignment vertical="center" wrapText="1"/>
    </xf>
    <xf numFmtId="0" fontId="0" fillId="2" borderId="0" xfId="0" applyFill="1" applyAlignment="1">
      <alignment horizontal="center" vertical="center" wrapText="1"/>
    </xf>
    <xf numFmtId="0" fontId="0" fillId="2" borderId="38" xfId="0" applyFill="1" applyBorder="1" applyAlignment="1">
      <alignment horizontal="center" vertical="center" wrapText="1"/>
    </xf>
    <xf numFmtId="3" fontId="20" fillId="14" borderId="27" xfId="0" applyNumberFormat="1" applyFont="1" applyFill="1" applyBorder="1" applyProtection="1">
      <protection locked="0"/>
    </xf>
    <xf numFmtId="3" fontId="20" fillId="14" borderId="16" xfId="0" applyNumberFormat="1" applyFont="1" applyFill="1" applyBorder="1" applyProtection="1">
      <protection locked="0"/>
    </xf>
    <xf numFmtId="0" fontId="3" fillId="2" borderId="0" xfId="0" applyFont="1" applyFill="1" applyAlignment="1">
      <alignment horizontal="left" vertical="center" wrapText="1" indent="1"/>
    </xf>
    <xf numFmtId="15" fontId="24" fillId="12" borderId="0" xfId="4" applyNumberFormat="1" applyFill="1" applyBorder="1" applyAlignment="1">
      <alignment vertical="center"/>
    </xf>
    <xf numFmtId="3" fontId="24" fillId="11" borderId="0" xfId="4" applyNumberFormat="1" applyFill="1" applyBorder="1" applyAlignment="1">
      <alignment vertical="center"/>
    </xf>
    <xf numFmtId="0" fontId="5" fillId="0" borderId="0" xfId="0" applyFont="1"/>
    <xf numFmtId="3" fontId="24" fillId="13" borderId="0" xfId="4" applyNumberFormat="1" applyFill="1" applyBorder="1" applyAlignment="1">
      <alignment vertical="center"/>
    </xf>
    <xf numFmtId="49" fontId="2" fillId="3" borderId="1" xfId="1" applyNumberFormat="1" applyFont="1" applyFill="1" applyBorder="1">
      <alignment vertical="center"/>
    </xf>
  </cellXfs>
  <cellStyles count="5">
    <cellStyle name="60% - akcent 1" xfId="2"/>
    <cellStyle name="Hipervínculo" xfId="4" builtinId="8"/>
    <cellStyle name="Normal" xfId="0" builtinId="0"/>
    <cellStyle name="Normal 10" xfId="1"/>
    <cellStyle name="Normal 1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114301</xdr:rowOff>
    </xdr:from>
    <xdr:to>
      <xdr:col>5</xdr:col>
      <xdr:colOff>661193</xdr:colOff>
      <xdr:row>0</xdr:row>
      <xdr:rowOff>495301</xdr:rowOff>
    </xdr:to>
    <xdr:sp macro="[0]!Guarda_Hojas_CSV" textlink="">
      <xdr:nvSpPr>
        <xdr:cNvPr id="2" name="4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" y="114301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4757738</xdr:colOff>
      <xdr:row>0</xdr:row>
      <xdr:rowOff>126207</xdr:rowOff>
    </xdr:from>
    <xdr:to>
      <xdr:col>6</xdr:col>
      <xdr:colOff>364332</xdr:colOff>
      <xdr:row>0</xdr:row>
      <xdr:rowOff>519113</xdr:rowOff>
    </xdr:to>
    <xdr:sp macro="[0]!Copiar_columna" textlink="">
      <xdr:nvSpPr>
        <xdr:cNvPr id="3" name="5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>
        <a:xfrm>
          <a:off x="5815013" y="126207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114300</xdr:rowOff>
    </xdr:from>
    <xdr:to>
      <xdr:col>5</xdr:col>
      <xdr:colOff>1846527</xdr:colOff>
      <xdr:row>0</xdr:row>
      <xdr:rowOff>507206</xdr:rowOff>
    </xdr:to>
    <xdr:sp macro="[0]!Guarda_Hojas_ZIP" textlink="">
      <xdr:nvSpPr>
        <xdr:cNvPr id="4" name="6 Rectángulo redondea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83569" y="114300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6</xdr:col>
      <xdr:colOff>971550</xdr:colOff>
      <xdr:row>1</xdr:row>
      <xdr:rowOff>504825</xdr:rowOff>
    </xdr:from>
    <xdr:to>
      <xdr:col>8</xdr:col>
      <xdr:colOff>210671</xdr:colOff>
      <xdr:row>1</xdr:row>
      <xdr:rowOff>1177178</xdr:rowOff>
    </xdr:to>
    <xdr:sp macro="" textlink="">
      <xdr:nvSpPr>
        <xdr:cNvPr id="5" name="10 Rectángulo redondead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077200" y="120015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7</xdr:col>
      <xdr:colOff>361390</xdr:colOff>
      <xdr:row>1</xdr:row>
      <xdr:rowOff>1255620</xdr:rowOff>
    </xdr:from>
    <xdr:to>
      <xdr:col>7</xdr:col>
      <xdr:colOff>708773</xdr:colOff>
      <xdr:row>1</xdr:row>
      <xdr:rowOff>2174502</xdr:rowOff>
    </xdr:to>
    <xdr:sp macro="" textlink="">
      <xdr:nvSpPr>
        <xdr:cNvPr id="6" name="9 Flecha abaj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581465" y="195094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114301</xdr:rowOff>
    </xdr:from>
    <xdr:to>
      <xdr:col>5</xdr:col>
      <xdr:colOff>661193</xdr:colOff>
      <xdr:row>0</xdr:row>
      <xdr:rowOff>495301</xdr:rowOff>
    </xdr:to>
    <xdr:sp macro="[0]!Guarda_Hojas_CSV" textlink="">
      <xdr:nvSpPr>
        <xdr:cNvPr id="2" name="4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1950" y="114301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114300</xdr:rowOff>
    </xdr:from>
    <xdr:to>
      <xdr:col>5</xdr:col>
      <xdr:colOff>1846527</xdr:colOff>
      <xdr:row>0</xdr:row>
      <xdr:rowOff>507206</xdr:rowOff>
    </xdr:to>
    <xdr:sp macro="[0]!Guarda_Hojas_ZIP" textlink="">
      <xdr:nvSpPr>
        <xdr:cNvPr id="4" name="6 Rectángulo redondead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883569" y="114300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114301</xdr:rowOff>
    </xdr:from>
    <xdr:to>
      <xdr:col>5</xdr:col>
      <xdr:colOff>661193</xdr:colOff>
      <xdr:row>0</xdr:row>
      <xdr:rowOff>495301</xdr:rowOff>
    </xdr:to>
    <xdr:sp macro="[0]!Guarda_Hojas_CSV" textlink="">
      <xdr:nvSpPr>
        <xdr:cNvPr id="2" name="4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1950" y="114301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4757738</xdr:colOff>
      <xdr:row>0</xdr:row>
      <xdr:rowOff>126207</xdr:rowOff>
    </xdr:from>
    <xdr:to>
      <xdr:col>6</xdr:col>
      <xdr:colOff>364332</xdr:colOff>
      <xdr:row>0</xdr:row>
      <xdr:rowOff>519113</xdr:rowOff>
    </xdr:to>
    <xdr:sp macro="[0]!Copiar_columna" textlink="">
      <xdr:nvSpPr>
        <xdr:cNvPr id="3" name="5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/>
        </xdr:cNvSpPr>
      </xdr:nvSpPr>
      <xdr:spPr>
        <a:xfrm>
          <a:off x="5815013" y="126207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114300</xdr:rowOff>
    </xdr:from>
    <xdr:to>
      <xdr:col>5</xdr:col>
      <xdr:colOff>1846527</xdr:colOff>
      <xdr:row>0</xdr:row>
      <xdr:rowOff>507206</xdr:rowOff>
    </xdr:to>
    <xdr:sp macro="[0]!Guarda_Hojas_ZIP" textlink="">
      <xdr:nvSpPr>
        <xdr:cNvPr id="4" name="6 Rectángulo redondea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3569" y="114300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6</xdr:col>
      <xdr:colOff>971550</xdr:colOff>
      <xdr:row>1</xdr:row>
      <xdr:rowOff>504825</xdr:rowOff>
    </xdr:from>
    <xdr:to>
      <xdr:col>8</xdr:col>
      <xdr:colOff>210671</xdr:colOff>
      <xdr:row>1</xdr:row>
      <xdr:rowOff>1177178</xdr:rowOff>
    </xdr:to>
    <xdr:sp macro="" textlink="">
      <xdr:nvSpPr>
        <xdr:cNvPr id="5" name="10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077200" y="120015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7</xdr:col>
      <xdr:colOff>361390</xdr:colOff>
      <xdr:row>1</xdr:row>
      <xdr:rowOff>1255620</xdr:rowOff>
    </xdr:from>
    <xdr:to>
      <xdr:col>7</xdr:col>
      <xdr:colOff>708773</xdr:colOff>
      <xdr:row>1</xdr:row>
      <xdr:rowOff>2174502</xdr:rowOff>
    </xdr:to>
    <xdr:sp macro="" textlink="">
      <xdr:nvSpPr>
        <xdr:cNvPr id="6" name="9 Flecha abaj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581465" y="195094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56"/>
  <sheetViews>
    <sheetView tabSelected="1" topLeftCell="A12" zoomScale="90" zoomScaleNormal="90" workbookViewId="0">
      <selection activeCell="F16" sqref="F16"/>
    </sheetView>
  </sheetViews>
  <sheetFormatPr baseColWidth="10" defaultRowHeight="14.4"/>
  <cols>
    <col min="1" max="5" width="2.6640625" customWidth="1"/>
    <col min="6" max="6" width="101.88671875" bestFit="1" customWidth="1"/>
    <col min="7" max="7" width="2.6640625" customWidth="1"/>
    <col min="8" max="11" width="16.6640625" customWidth="1"/>
  </cols>
  <sheetData>
    <row r="1" spans="1:12" ht="105" customHeight="1">
      <c r="A1" t="s">
        <v>0</v>
      </c>
    </row>
    <row r="2" spans="1:12">
      <c r="G2" s="13" t="s">
        <v>0</v>
      </c>
      <c r="H2" s="14" t="s">
        <v>4</v>
      </c>
      <c r="I2" s="15"/>
      <c r="J2" s="16"/>
      <c r="K2" s="86"/>
    </row>
    <row r="3" spans="1:12">
      <c r="B3" s="2" t="s">
        <v>0</v>
      </c>
      <c r="C3" s="3" t="s">
        <v>0</v>
      </c>
      <c r="D3" s="3" t="s">
        <v>0</v>
      </c>
      <c r="E3" s="3" t="s">
        <v>0</v>
      </c>
      <c r="F3" s="3"/>
      <c r="G3" s="3" t="s">
        <v>0</v>
      </c>
      <c r="H3" s="3"/>
      <c r="I3" s="3"/>
      <c r="J3" s="3"/>
      <c r="K3" s="3"/>
      <c r="L3" s="4"/>
    </row>
    <row r="4" spans="1:12">
      <c r="B4" s="5"/>
      <c r="C4" s="1"/>
      <c r="D4" s="1" t="s">
        <v>0</v>
      </c>
      <c r="E4" s="1" t="s">
        <v>0</v>
      </c>
      <c r="F4" s="12" t="s">
        <v>1</v>
      </c>
      <c r="G4" s="1"/>
      <c r="H4" s="1"/>
      <c r="I4" s="1"/>
      <c r="J4" s="1"/>
      <c r="K4" s="1"/>
      <c r="L4" s="6"/>
    </row>
    <row r="5" spans="1:12">
      <c r="B5" s="5"/>
      <c r="C5" s="1"/>
      <c r="D5" s="1" t="s">
        <v>0</v>
      </c>
      <c r="E5" s="1" t="s">
        <v>0</v>
      </c>
      <c r="F5" s="1" t="s">
        <v>2</v>
      </c>
      <c r="G5" s="1"/>
      <c r="H5" s="1"/>
      <c r="I5" s="1"/>
      <c r="J5" s="1"/>
      <c r="K5" s="1"/>
      <c r="L5" s="6"/>
    </row>
    <row r="6" spans="1:12">
      <c r="B6" s="5" t="s">
        <v>5</v>
      </c>
      <c r="C6" s="1" t="s">
        <v>3</v>
      </c>
      <c r="D6" s="1" t="s">
        <v>0</v>
      </c>
      <c r="E6" s="1"/>
      <c r="F6" s="11" t="s">
        <v>130</v>
      </c>
      <c r="G6" s="1"/>
      <c r="H6" s="1"/>
      <c r="I6" s="1"/>
      <c r="J6" s="1"/>
      <c r="K6" s="1"/>
      <c r="L6" s="6"/>
    </row>
    <row r="7" spans="1:12">
      <c r="B7" s="5"/>
      <c r="C7" s="1"/>
      <c r="D7" s="1"/>
      <c r="E7" s="1"/>
      <c r="F7" s="1"/>
      <c r="G7" s="1"/>
      <c r="H7" s="1"/>
      <c r="I7" s="1"/>
      <c r="J7" s="1"/>
      <c r="K7" s="1"/>
      <c r="L7" s="6"/>
    </row>
    <row r="8" spans="1:12" ht="24">
      <c r="B8" s="5"/>
      <c r="C8" s="1"/>
      <c r="D8" s="1"/>
      <c r="E8" s="1"/>
      <c r="F8" s="1"/>
      <c r="G8" s="1"/>
      <c r="H8" s="17" t="s">
        <v>98</v>
      </c>
      <c r="I8" s="17" t="s">
        <v>99</v>
      </c>
      <c r="J8" s="17" t="s">
        <v>100</v>
      </c>
      <c r="K8" s="17" t="s">
        <v>101</v>
      </c>
      <c r="L8" s="6"/>
    </row>
    <row r="9" spans="1:12">
      <c r="B9" s="5" t="s">
        <v>5</v>
      </c>
      <c r="C9" s="1" t="s">
        <v>6</v>
      </c>
      <c r="D9" s="1" t="s">
        <v>0</v>
      </c>
      <c r="E9" s="1"/>
      <c r="F9" s="1" t="s">
        <v>106</v>
      </c>
      <c r="G9" s="1"/>
      <c r="H9" s="18">
        <v>1000</v>
      </c>
      <c r="I9" s="18">
        <v>6000</v>
      </c>
      <c r="J9" s="18"/>
      <c r="K9" s="18"/>
      <c r="L9" s="6"/>
    </row>
    <row r="10" spans="1:12">
      <c r="B10" s="5" t="s">
        <v>5</v>
      </c>
      <c r="C10" s="1" t="s">
        <v>7</v>
      </c>
      <c r="D10" s="1" t="s">
        <v>0</v>
      </c>
      <c r="E10" s="1"/>
      <c r="F10" s="1" t="s">
        <v>107</v>
      </c>
      <c r="G10" s="1"/>
      <c r="H10" s="18">
        <v>2000</v>
      </c>
      <c r="I10" s="18">
        <v>7000</v>
      </c>
      <c r="J10" s="18"/>
      <c r="K10" s="18"/>
      <c r="L10" s="6"/>
    </row>
    <row r="11" spans="1:12">
      <c r="B11" s="5" t="s">
        <v>5</v>
      </c>
      <c r="C11" s="1" t="s">
        <v>8</v>
      </c>
      <c r="D11" s="1" t="s">
        <v>0</v>
      </c>
      <c r="E11" s="1"/>
      <c r="F11" s="1" t="s">
        <v>108</v>
      </c>
      <c r="G11" s="1"/>
      <c r="H11" s="18">
        <v>3000</v>
      </c>
      <c r="I11" s="18">
        <v>8000</v>
      </c>
      <c r="J11" s="18"/>
      <c r="K11" s="18"/>
      <c r="L11" s="6"/>
    </row>
    <row r="12" spans="1:12">
      <c r="B12" s="5" t="s">
        <v>5</v>
      </c>
      <c r="C12" s="1" t="s">
        <v>9</v>
      </c>
      <c r="D12" s="1" t="s">
        <v>0</v>
      </c>
      <c r="E12" s="1"/>
      <c r="F12" s="1" t="s">
        <v>109</v>
      </c>
      <c r="G12" s="1"/>
      <c r="H12" s="18">
        <v>4000</v>
      </c>
      <c r="I12" s="18">
        <v>9000</v>
      </c>
      <c r="J12" s="18"/>
      <c r="K12" s="18"/>
      <c r="L12" s="6"/>
    </row>
    <row r="13" spans="1:12">
      <c r="B13" s="5" t="s">
        <v>5</v>
      </c>
      <c r="C13" s="1" t="s">
        <v>10</v>
      </c>
      <c r="D13" s="1" t="s">
        <v>0</v>
      </c>
      <c r="E13" s="1"/>
      <c r="F13" s="1" t="s">
        <v>110</v>
      </c>
      <c r="G13" s="1"/>
      <c r="H13" s="18">
        <v>5000</v>
      </c>
      <c r="I13" s="18">
        <v>10000</v>
      </c>
      <c r="J13" s="18"/>
      <c r="K13" s="18"/>
      <c r="L13" s="6"/>
    </row>
    <row r="14" spans="1:12">
      <c r="B14" s="5"/>
      <c r="C14" s="1"/>
      <c r="D14" s="1"/>
      <c r="E14" s="1"/>
      <c r="F14" s="1"/>
      <c r="G14" s="1"/>
      <c r="H14" s="1"/>
      <c r="I14" s="1"/>
      <c r="J14" s="1"/>
      <c r="K14" s="1"/>
      <c r="L14" s="6"/>
    </row>
    <row r="15" spans="1:12">
      <c r="B15" s="5"/>
      <c r="C15" s="1"/>
      <c r="D15" s="1"/>
      <c r="E15" s="1"/>
      <c r="F15" s="1" t="s">
        <v>12</v>
      </c>
      <c r="G15" s="1"/>
      <c r="H15" s="1"/>
      <c r="I15" s="1"/>
      <c r="J15" s="1"/>
      <c r="K15" s="1"/>
      <c r="L15" s="6"/>
    </row>
    <row r="16" spans="1:12">
      <c r="B16" s="5" t="s">
        <v>5</v>
      </c>
      <c r="C16" s="1" t="s">
        <v>11</v>
      </c>
      <c r="D16" s="1" t="s">
        <v>0</v>
      </c>
      <c r="E16" s="1"/>
      <c r="F16" s="88" t="s">
        <v>137</v>
      </c>
      <c r="G16" s="1"/>
      <c r="H16" s="1"/>
      <c r="I16" s="1"/>
      <c r="J16" s="1"/>
      <c r="K16" s="1"/>
      <c r="L16" s="6"/>
    </row>
    <row r="17" spans="2:12">
      <c r="B17" s="5"/>
      <c r="C17" s="1"/>
      <c r="D17" s="1"/>
      <c r="E17" s="1"/>
      <c r="F17" s="1"/>
      <c r="G17" s="1"/>
      <c r="H17" s="1"/>
      <c r="I17" s="1"/>
      <c r="J17" s="1"/>
      <c r="K17" s="1"/>
      <c r="L17" s="6"/>
    </row>
    <row r="18" spans="2:12">
      <c r="B18" s="5"/>
      <c r="C18" s="1"/>
      <c r="D18" s="1"/>
      <c r="E18" s="1"/>
      <c r="F18" s="84" t="s">
        <v>13</v>
      </c>
      <c r="G18" s="1"/>
      <c r="H18" s="1"/>
      <c r="I18" s="1"/>
      <c r="J18" s="1"/>
      <c r="K18" s="1"/>
      <c r="L18" s="6"/>
    </row>
    <row r="19" spans="2:12">
      <c r="B19" s="5"/>
      <c r="C19" s="1"/>
      <c r="D19" s="1"/>
      <c r="E19" s="1"/>
      <c r="F19" s="1"/>
      <c r="G19" s="1"/>
      <c r="H19" s="1"/>
      <c r="I19" s="1"/>
      <c r="J19" s="1"/>
      <c r="K19" s="1"/>
      <c r="L19" s="6"/>
    </row>
    <row r="20" spans="2:12">
      <c r="B20" s="5"/>
      <c r="C20" s="1"/>
      <c r="D20" s="1"/>
      <c r="E20" s="1"/>
      <c r="F20" s="1" t="s">
        <v>93</v>
      </c>
      <c r="G20" s="1"/>
      <c r="H20" s="1"/>
      <c r="I20" s="1"/>
      <c r="J20" s="1"/>
      <c r="K20" s="1"/>
      <c r="L20" s="6"/>
    </row>
    <row r="21" spans="2:12">
      <c r="B21" s="5" t="s">
        <v>5</v>
      </c>
      <c r="C21" s="1" t="s">
        <v>14</v>
      </c>
      <c r="D21" s="1" t="s">
        <v>0</v>
      </c>
      <c r="E21" s="1"/>
      <c r="F21" s="88" t="s">
        <v>131</v>
      </c>
      <c r="G21" s="1"/>
      <c r="H21" s="1"/>
      <c r="I21" s="1"/>
      <c r="J21" s="1"/>
      <c r="K21" s="1"/>
      <c r="L21" s="6"/>
    </row>
    <row r="22" spans="2:12">
      <c r="B22" s="5"/>
      <c r="C22" s="1"/>
      <c r="D22" s="1"/>
      <c r="E22" s="1"/>
      <c r="F22" s="1"/>
      <c r="G22" s="1"/>
      <c r="H22" s="1"/>
      <c r="I22" s="1"/>
      <c r="J22" s="1"/>
      <c r="K22" s="1"/>
      <c r="L22" s="6"/>
    </row>
    <row r="23" spans="2:12">
      <c r="B23" s="5"/>
      <c r="C23" s="1"/>
      <c r="D23" s="1"/>
      <c r="E23" s="1"/>
      <c r="F23" s="1" t="s">
        <v>94</v>
      </c>
      <c r="G23" s="1"/>
      <c r="H23" s="1"/>
      <c r="I23" s="1"/>
      <c r="J23" s="1"/>
      <c r="K23" s="1"/>
      <c r="L23" s="6"/>
    </row>
    <row r="24" spans="2:12">
      <c r="B24" s="5" t="s">
        <v>5</v>
      </c>
      <c r="C24" s="1" t="s">
        <v>15</v>
      </c>
      <c r="D24" s="1" t="s">
        <v>0</v>
      </c>
      <c r="E24" s="1"/>
      <c r="F24" s="88" t="s">
        <v>132</v>
      </c>
      <c r="G24" s="1"/>
      <c r="H24" s="1"/>
      <c r="I24" s="1"/>
      <c r="J24" s="1"/>
      <c r="K24" s="1"/>
      <c r="L24" s="6"/>
    </row>
    <row r="25" spans="2:12">
      <c r="B25" s="5"/>
      <c r="C25" s="1"/>
      <c r="D25" s="1"/>
      <c r="E25" s="1"/>
      <c r="F25" s="1"/>
      <c r="G25" s="1"/>
      <c r="H25" s="1"/>
      <c r="I25" s="1"/>
      <c r="J25" s="1"/>
      <c r="K25" s="1"/>
      <c r="L25" s="6"/>
    </row>
    <row r="26" spans="2:12">
      <c r="B26" s="5"/>
      <c r="C26" s="1"/>
      <c r="D26" s="1"/>
      <c r="E26" s="1"/>
      <c r="F26" s="1" t="s">
        <v>95</v>
      </c>
      <c r="G26" s="1"/>
      <c r="H26" s="1"/>
      <c r="I26" s="1"/>
      <c r="J26" s="1"/>
      <c r="K26" s="1"/>
      <c r="L26" s="6"/>
    </row>
    <row r="27" spans="2:12">
      <c r="B27" s="5" t="s">
        <v>5</v>
      </c>
      <c r="C27" s="1" t="s">
        <v>16</v>
      </c>
      <c r="D27" s="1" t="s">
        <v>0</v>
      </c>
      <c r="E27" s="1"/>
      <c r="F27" s="88" t="s">
        <v>133</v>
      </c>
      <c r="G27" s="1"/>
      <c r="H27" s="1"/>
      <c r="I27" s="1"/>
      <c r="J27" s="1"/>
      <c r="K27" s="1"/>
      <c r="L27" s="6"/>
    </row>
    <row r="28" spans="2:12">
      <c r="B28" s="5"/>
      <c r="C28" s="1"/>
      <c r="D28" s="1"/>
      <c r="E28" s="1"/>
      <c r="F28" s="1"/>
      <c r="G28" s="1"/>
      <c r="H28" s="1"/>
      <c r="I28" s="1"/>
      <c r="J28" s="1"/>
      <c r="K28" s="1"/>
      <c r="L28" s="6"/>
    </row>
    <row r="29" spans="2:12">
      <c r="B29" s="5"/>
      <c r="C29" s="1"/>
      <c r="D29" s="1"/>
      <c r="E29" s="1"/>
      <c r="F29" s="1" t="s">
        <v>96</v>
      </c>
      <c r="G29" s="1"/>
      <c r="H29" s="1"/>
      <c r="I29" s="1"/>
      <c r="J29" s="1"/>
      <c r="K29" s="1"/>
      <c r="L29" s="6"/>
    </row>
    <row r="30" spans="2:12">
      <c r="B30" s="5" t="s">
        <v>5</v>
      </c>
      <c r="C30" s="1" t="s">
        <v>17</v>
      </c>
      <c r="D30" s="1" t="s">
        <v>0</v>
      </c>
      <c r="E30" s="1"/>
      <c r="F30" s="88" t="s">
        <v>134</v>
      </c>
      <c r="G30" s="1"/>
      <c r="H30" s="1"/>
      <c r="I30" s="1"/>
      <c r="J30" s="1"/>
      <c r="K30" s="1"/>
      <c r="L30" s="6"/>
    </row>
    <row r="31" spans="2:12">
      <c r="B31" s="5"/>
      <c r="C31" s="1"/>
      <c r="D31" s="1"/>
      <c r="E31" s="1"/>
      <c r="F31" s="1"/>
      <c r="G31" s="1"/>
      <c r="H31" s="1"/>
      <c r="I31" s="1"/>
      <c r="J31" s="1"/>
      <c r="K31" s="1"/>
      <c r="L31" s="6"/>
    </row>
    <row r="32" spans="2:12">
      <c r="B32" s="5"/>
      <c r="C32" s="1"/>
      <c r="D32" s="1"/>
      <c r="E32" s="1"/>
      <c r="F32" s="1" t="s">
        <v>19</v>
      </c>
      <c r="G32" s="1"/>
      <c r="H32" s="1"/>
      <c r="I32" s="1"/>
      <c r="J32" s="1"/>
      <c r="K32" s="1"/>
      <c r="L32" s="6"/>
    </row>
    <row r="33" spans="2:12">
      <c r="B33" s="5" t="s">
        <v>5</v>
      </c>
      <c r="C33" s="1" t="s">
        <v>18</v>
      </c>
      <c r="D33" s="1" t="s">
        <v>0</v>
      </c>
      <c r="E33" s="1"/>
      <c r="F33" s="88" t="s">
        <v>135</v>
      </c>
      <c r="G33" s="1"/>
      <c r="H33" s="1"/>
      <c r="I33" s="1"/>
      <c r="J33" s="1"/>
      <c r="K33" s="1"/>
      <c r="L33" s="6"/>
    </row>
    <row r="34" spans="2:12">
      <c r="B34" s="5"/>
      <c r="C34" s="1"/>
      <c r="D34" s="1"/>
      <c r="E34" s="1"/>
      <c r="F34" s="1"/>
      <c r="G34" s="1"/>
      <c r="H34" s="1"/>
      <c r="I34" s="1"/>
      <c r="J34" s="1"/>
      <c r="K34" s="1"/>
      <c r="L34" s="6"/>
    </row>
    <row r="35" spans="2:12">
      <c r="B35" s="5"/>
      <c r="C35" s="1"/>
      <c r="D35" s="1"/>
      <c r="E35" s="1"/>
      <c r="F35" s="1" t="s">
        <v>21</v>
      </c>
      <c r="G35" s="1"/>
      <c r="H35" s="1"/>
      <c r="I35" s="1"/>
      <c r="J35" s="1"/>
      <c r="K35" s="1"/>
      <c r="L35" s="6"/>
    </row>
    <row r="36" spans="2:12">
      <c r="B36" s="5" t="s">
        <v>5</v>
      </c>
      <c r="C36" s="1" t="s">
        <v>20</v>
      </c>
      <c r="D36" s="1" t="s">
        <v>0</v>
      </c>
      <c r="E36" s="1"/>
      <c r="F36" s="88" t="s">
        <v>136</v>
      </c>
      <c r="G36" s="1"/>
      <c r="H36" s="1"/>
      <c r="I36" s="1"/>
      <c r="J36" s="1"/>
      <c r="K36" s="1"/>
      <c r="L36" s="6"/>
    </row>
    <row r="37" spans="2:12">
      <c r="B37" s="5"/>
      <c r="C37" s="1"/>
      <c r="D37" s="1"/>
      <c r="E37" s="1"/>
      <c r="F37" s="1"/>
      <c r="G37" s="1"/>
      <c r="H37" s="1"/>
      <c r="I37" s="1"/>
      <c r="J37" s="1"/>
      <c r="K37" s="1"/>
      <c r="L37" s="6"/>
    </row>
    <row r="38" spans="2:12">
      <c r="B38" s="5"/>
      <c r="C38" s="1"/>
      <c r="D38" s="1"/>
      <c r="E38" s="1"/>
      <c r="F38" s="85" t="s">
        <v>22</v>
      </c>
      <c r="G38" s="1"/>
      <c r="H38" s="1"/>
      <c r="I38" s="1"/>
      <c r="J38" s="1"/>
      <c r="K38" s="1"/>
      <c r="L38" s="6"/>
    </row>
    <row r="39" spans="2:12" ht="24">
      <c r="B39" s="5"/>
      <c r="C39" s="1"/>
      <c r="D39" s="1"/>
      <c r="E39" s="1"/>
      <c r="F39" s="1"/>
      <c r="G39" s="1"/>
      <c r="H39" s="17" t="s">
        <v>102</v>
      </c>
      <c r="I39" s="17" t="s">
        <v>31</v>
      </c>
      <c r="J39" s="17" t="s">
        <v>103</v>
      </c>
      <c r="K39" s="1"/>
      <c r="L39" s="6"/>
    </row>
    <row r="40" spans="2:12">
      <c r="B40" s="5" t="s">
        <v>5</v>
      </c>
      <c r="C40" s="1" t="s">
        <v>23</v>
      </c>
      <c r="D40" s="1" t="s">
        <v>0</v>
      </c>
      <c r="E40" s="1"/>
      <c r="F40" s="1" t="s">
        <v>111</v>
      </c>
      <c r="G40" s="1"/>
      <c r="H40" s="18">
        <v>1000</v>
      </c>
      <c r="I40" s="18">
        <v>2000</v>
      </c>
      <c r="J40" s="18"/>
      <c r="K40" s="1"/>
      <c r="L40" s="6"/>
    </row>
    <row r="41" spans="2:12">
      <c r="B41" s="5"/>
      <c r="C41" s="1"/>
      <c r="D41" s="1"/>
      <c r="E41" s="1"/>
      <c r="F41" s="1"/>
      <c r="G41" s="1"/>
      <c r="H41" s="1"/>
      <c r="I41" s="1"/>
      <c r="J41" s="1"/>
      <c r="K41" s="1"/>
      <c r="L41" s="6"/>
    </row>
    <row r="42" spans="2:12">
      <c r="B42" s="5"/>
      <c r="C42" s="1"/>
      <c r="D42" s="1"/>
      <c r="E42" s="1"/>
      <c r="F42" s="1" t="s">
        <v>97</v>
      </c>
      <c r="G42" s="1"/>
      <c r="H42" s="1"/>
      <c r="I42" s="1"/>
      <c r="J42" s="1"/>
      <c r="K42" s="1"/>
      <c r="L42" s="6"/>
    </row>
    <row r="43" spans="2:12">
      <c r="B43" s="5" t="s">
        <v>5</v>
      </c>
      <c r="C43" s="1" t="s">
        <v>24</v>
      </c>
      <c r="D43" s="1" t="s">
        <v>0</v>
      </c>
      <c r="E43" s="1"/>
      <c r="F43" s="88" t="s">
        <v>136</v>
      </c>
      <c r="G43" s="1"/>
      <c r="H43" s="1"/>
      <c r="I43" s="1"/>
      <c r="J43" s="1"/>
      <c r="K43" s="1"/>
      <c r="L43" s="6"/>
    </row>
    <row r="44" spans="2:12">
      <c r="B44" s="5"/>
      <c r="C44" s="1"/>
      <c r="D44" s="1"/>
      <c r="E44" s="1"/>
      <c r="F44" s="1"/>
      <c r="G44" s="1"/>
      <c r="H44" s="1"/>
      <c r="I44" s="1"/>
      <c r="J44" s="1"/>
      <c r="K44" s="1"/>
      <c r="L44" s="6"/>
    </row>
    <row r="45" spans="2:12">
      <c r="B45" s="5"/>
      <c r="C45" s="1"/>
      <c r="D45" s="1"/>
      <c r="E45" s="1"/>
      <c r="F45" s="1" t="s">
        <v>26</v>
      </c>
      <c r="G45" s="1"/>
      <c r="H45" s="1"/>
      <c r="I45" s="1"/>
      <c r="J45" s="1"/>
      <c r="K45" s="1"/>
      <c r="L45" s="6"/>
    </row>
    <row r="46" spans="2:12">
      <c r="B46" s="5" t="s">
        <v>5</v>
      </c>
      <c r="C46" s="1" t="s">
        <v>25</v>
      </c>
      <c r="D46" s="1" t="s">
        <v>0</v>
      </c>
      <c r="E46" s="1"/>
      <c r="F46" s="88" t="s">
        <v>136</v>
      </c>
      <c r="G46" s="1"/>
      <c r="H46" s="1"/>
      <c r="I46" s="1"/>
      <c r="J46" s="1"/>
      <c r="K46" s="1"/>
      <c r="L46" s="6"/>
    </row>
    <row r="47" spans="2:12">
      <c r="B47" s="5"/>
      <c r="C47" s="1"/>
      <c r="D47" s="1"/>
      <c r="E47" s="1"/>
      <c r="F47" s="1"/>
      <c r="G47" s="1"/>
      <c r="H47" s="1"/>
      <c r="I47" s="1"/>
      <c r="J47" s="1"/>
      <c r="K47" s="1"/>
      <c r="L47" s="6"/>
    </row>
    <row r="48" spans="2:12" ht="24">
      <c r="B48" s="5"/>
      <c r="C48" s="1"/>
      <c r="D48" s="1"/>
      <c r="E48" s="1"/>
      <c r="F48" s="1"/>
      <c r="G48" s="1"/>
      <c r="H48" s="17" t="s">
        <v>102</v>
      </c>
      <c r="I48" s="17" t="s">
        <v>31</v>
      </c>
      <c r="J48" s="17" t="s">
        <v>103</v>
      </c>
      <c r="K48" s="1"/>
      <c r="L48" s="6"/>
    </row>
    <row r="49" spans="2:12">
      <c r="B49" s="5" t="s">
        <v>5</v>
      </c>
      <c r="C49" s="1" t="s">
        <v>27</v>
      </c>
      <c r="D49" s="1" t="s">
        <v>0</v>
      </c>
      <c r="E49" s="1"/>
      <c r="F49" s="1" t="s">
        <v>112</v>
      </c>
      <c r="G49" s="1"/>
      <c r="H49" s="18">
        <v>3000</v>
      </c>
      <c r="I49" s="18">
        <v>4000</v>
      </c>
      <c r="J49" s="18"/>
      <c r="K49" s="1"/>
      <c r="L49" s="6"/>
    </row>
    <row r="50" spans="2:12">
      <c r="B50" s="5"/>
      <c r="C50" s="1"/>
      <c r="D50" s="1"/>
      <c r="E50" s="1"/>
      <c r="F50" s="1"/>
      <c r="G50" s="1"/>
      <c r="H50" s="1"/>
      <c r="I50" s="1"/>
      <c r="J50" s="1"/>
      <c r="K50" s="1"/>
      <c r="L50" s="6"/>
    </row>
    <row r="51" spans="2:12" ht="24">
      <c r="B51" s="5"/>
      <c r="C51" s="1"/>
      <c r="D51" s="1"/>
      <c r="E51" s="1"/>
      <c r="F51" s="1"/>
      <c r="G51" s="1"/>
      <c r="H51" s="17" t="s">
        <v>98</v>
      </c>
      <c r="I51" s="17" t="s">
        <v>99</v>
      </c>
      <c r="J51" s="17" t="s">
        <v>100</v>
      </c>
      <c r="K51" s="17" t="s">
        <v>101</v>
      </c>
      <c r="L51" s="6"/>
    </row>
    <row r="52" spans="2:12">
      <c r="B52" s="5" t="s">
        <v>5</v>
      </c>
      <c r="C52" s="1" t="s">
        <v>28</v>
      </c>
      <c r="D52" s="1" t="s">
        <v>0</v>
      </c>
      <c r="E52" s="1"/>
      <c r="F52" s="1" t="s">
        <v>113</v>
      </c>
      <c r="G52" s="1"/>
      <c r="H52" s="18">
        <v>5000</v>
      </c>
      <c r="I52" s="18">
        <v>7000</v>
      </c>
      <c r="J52" s="18"/>
      <c r="K52" s="18"/>
      <c r="L52" s="6"/>
    </row>
    <row r="53" spans="2:12">
      <c r="B53" s="5" t="s">
        <v>5</v>
      </c>
      <c r="C53" s="1" t="s">
        <v>29</v>
      </c>
      <c r="D53" s="1" t="s">
        <v>0</v>
      </c>
      <c r="E53" s="1"/>
      <c r="F53" s="1" t="s">
        <v>114</v>
      </c>
      <c r="G53" s="1"/>
      <c r="H53" s="18">
        <v>6000</v>
      </c>
      <c r="I53" s="18">
        <v>8000</v>
      </c>
      <c r="J53" s="18"/>
      <c r="K53" s="18"/>
      <c r="L53" s="6"/>
    </row>
    <row r="54" spans="2:12">
      <c r="B54" s="5"/>
      <c r="C54" s="1"/>
      <c r="D54" s="1"/>
      <c r="E54" s="1"/>
      <c r="F54" s="1"/>
      <c r="G54" s="1"/>
      <c r="H54" s="1"/>
      <c r="I54" s="1"/>
      <c r="J54" s="1"/>
      <c r="K54" s="1"/>
      <c r="L54" s="6"/>
    </row>
    <row r="55" spans="2:12">
      <c r="B55" s="5"/>
      <c r="C55" s="1"/>
      <c r="D55" s="1"/>
      <c r="E55" s="1"/>
      <c r="F55" s="87" t="s">
        <v>30</v>
      </c>
      <c r="G55" s="1"/>
      <c r="H55" s="1"/>
      <c r="I55" s="1"/>
      <c r="J55" s="1"/>
      <c r="K55" s="1"/>
      <c r="L55" s="6"/>
    </row>
    <row r="56" spans="2:12">
      <c r="B56" s="7"/>
      <c r="C56" s="8"/>
      <c r="D56" s="8"/>
      <c r="E56" s="8"/>
      <c r="F56" s="9"/>
      <c r="G56" s="8"/>
      <c r="H56" s="8"/>
      <c r="I56" s="8"/>
      <c r="J56" s="8"/>
      <c r="K56" s="8"/>
      <c r="L56" s="10"/>
    </row>
  </sheetData>
  <hyperlinks>
    <hyperlink ref="F18" location="'IAS7-EfEqDifeBala'!A1" display="Efectivo y equivalentes al efectivo si son diferentes del estado de situación financiera [resumen]"/>
    <hyperlink ref="F38" location="'IAS7-PasiActiFina'!A1" display="Información a revelar de la conciliación de pasivos que surgen de actividades de financiación [resumen]"/>
    <hyperlink ref="F55" location="'IAS7-ImpuGanaPaga'!A1" display="Impuestos a las ganancias pagados (reembolso) [resumen]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J30"/>
  <sheetViews>
    <sheetView topLeftCell="A14" zoomScale="80" zoomScaleNormal="80" workbookViewId="0">
      <selection activeCell="G25" sqref="G25"/>
    </sheetView>
  </sheetViews>
  <sheetFormatPr baseColWidth="10" defaultRowHeight="14.4"/>
  <cols>
    <col min="1" max="3" width="2.6640625" customWidth="1"/>
    <col min="4" max="4" width="5" customWidth="1"/>
    <col min="5" max="5" width="2.6640625" customWidth="1"/>
    <col min="6" max="6" width="90.6640625" customWidth="1"/>
    <col min="7" max="8" width="16.6640625" customWidth="1"/>
    <col min="9" max="9" width="18.33203125" customWidth="1"/>
    <col min="10" max="11" width="16.6640625" customWidth="1"/>
  </cols>
  <sheetData>
    <row r="1" spans="1:10" ht="54.9" customHeight="1" thickBot="1"/>
    <row r="2" spans="1:10" ht="177" customHeight="1" thickBot="1">
      <c r="F2" s="19" t="s">
        <v>32</v>
      </c>
    </row>
    <row r="3" spans="1:10" ht="16.2" thickBot="1">
      <c r="F3" s="20" t="s">
        <v>33</v>
      </c>
    </row>
    <row r="4" spans="1:10" ht="16.2" thickBot="1">
      <c r="F4" s="21"/>
    </row>
    <row r="5" spans="1:10" ht="16.2" thickBot="1">
      <c r="F5" s="22" t="s">
        <v>34</v>
      </c>
      <c r="G5" s="23" t="s">
        <v>35</v>
      </c>
    </row>
    <row r="6" spans="1:10" ht="16.2" thickBot="1">
      <c r="F6" s="21"/>
    </row>
    <row r="7" spans="1:10" ht="90" customHeight="1">
      <c r="A7" s="24" t="s">
        <v>36</v>
      </c>
      <c r="B7" s="45"/>
      <c r="C7" s="46"/>
      <c r="D7" s="46"/>
      <c r="E7" s="47"/>
      <c r="F7" s="48" t="s">
        <v>67</v>
      </c>
      <c r="G7" s="76" t="s">
        <v>53</v>
      </c>
      <c r="H7" s="76" t="s">
        <v>54</v>
      </c>
      <c r="I7" s="77" t="s">
        <v>52</v>
      </c>
    </row>
    <row r="8" spans="1:10" ht="99.9" hidden="1" customHeight="1">
      <c r="A8" s="25" t="s">
        <v>37</v>
      </c>
      <c r="B8" s="51"/>
      <c r="C8" s="26"/>
      <c r="D8" s="27" t="s">
        <v>49</v>
      </c>
      <c r="E8" s="28" t="s">
        <v>50</v>
      </c>
      <c r="F8" s="52"/>
      <c r="G8" s="29" t="str">
        <f>SUBSTITUTE(CONCATENATE("IAS7-EfEqDifeBala_",TRIM(G7),"_",COLUMN(G8),"|",G7)," ","")</f>
        <v>IAS7-EfEqDifeBala_Efectivo1_7|Efectivo1</v>
      </c>
      <c r="H8" s="29" t="str">
        <f>SUBSTITUTE(CONCATENATE("IAS7-EfEqDifeBala_",TRIM(H7),"_",COLUMN(H8),"|",H7)," ","")</f>
        <v>IAS7-EfEqDifeBala_Efectivo2_8|Efectivo2</v>
      </c>
      <c r="I8" s="78" t="s">
        <v>51</v>
      </c>
    </row>
    <row r="9" spans="1:10">
      <c r="A9" s="30"/>
      <c r="B9" s="53"/>
      <c r="C9" s="31"/>
      <c r="D9" s="32" t="s">
        <v>0</v>
      </c>
      <c r="E9" s="27" t="s">
        <v>0</v>
      </c>
      <c r="F9" s="33"/>
      <c r="G9" s="38"/>
      <c r="H9" s="38"/>
      <c r="I9" s="54"/>
      <c r="J9" s="41"/>
    </row>
    <row r="10" spans="1:10">
      <c r="A10" s="30"/>
      <c r="B10" s="53"/>
      <c r="C10" s="31"/>
      <c r="D10" s="32"/>
      <c r="E10" s="27"/>
      <c r="F10" s="42" t="s">
        <v>102</v>
      </c>
      <c r="G10" s="39"/>
      <c r="H10" s="39"/>
      <c r="I10" s="54"/>
      <c r="J10" s="41"/>
    </row>
    <row r="11" spans="1:10">
      <c r="A11" s="30"/>
      <c r="B11" s="55"/>
      <c r="C11" s="35" t="s">
        <v>39</v>
      </c>
      <c r="D11" s="36" t="s">
        <v>38</v>
      </c>
      <c r="E11" s="35"/>
      <c r="F11" s="83" t="s">
        <v>44</v>
      </c>
      <c r="G11" s="40">
        <v>114224711000</v>
      </c>
      <c r="H11" s="40"/>
      <c r="I11" s="81">
        <f>SUM(G11:H11)</f>
        <v>114224711000</v>
      </c>
    </row>
    <row r="12" spans="1:10">
      <c r="A12" s="30"/>
      <c r="B12" s="55"/>
      <c r="C12" s="35" t="s">
        <v>40</v>
      </c>
      <c r="D12" s="36" t="s">
        <v>38</v>
      </c>
      <c r="E12" s="35"/>
      <c r="F12" s="83" t="s">
        <v>45</v>
      </c>
      <c r="G12" s="40"/>
      <c r="H12" s="40"/>
      <c r="I12" s="81">
        <f t="shared" ref="I12:I14" si="0">SUM(G12:H12)</f>
        <v>0</v>
      </c>
    </row>
    <row r="13" spans="1:10" ht="22.8">
      <c r="A13" s="30"/>
      <c r="B13" s="55"/>
      <c r="C13" s="35" t="s">
        <v>41</v>
      </c>
      <c r="D13" s="36" t="s">
        <v>38</v>
      </c>
      <c r="E13" s="35"/>
      <c r="F13" s="83" t="s">
        <v>46</v>
      </c>
      <c r="G13" s="40"/>
      <c r="H13" s="40"/>
      <c r="I13" s="81">
        <f t="shared" si="0"/>
        <v>0</v>
      </c>
    </row>
    <row r="14" spans="1:10" ht="25.5" customHeight="1">
      <c r="A14" s="30"/>
      <c r="B14" s="55"/>
      <c r="C14" s="35" t="s">
        <v>42</v>
      </c>
      <c r="D14" s="36" t="s">
        <v>38</v>
      </c>
      <c r="E14" s="35"/>
      <c r="F14" s="83" t="s">
        <v>47</v>
      </c>
      <c r="G14" s="40"/>
      <c r="H14" s="40"/>
      <c r="I14" s="81">
        <f t="shared" si="0"/>
        <v>0</v>
      </c>
    </row>
    <row r="15" spans="1:10">
      <c r="A15" s="30"/>
      <c r="B15" s="55"/>
      <c r="C15" s="35" t="s">
        <v>43</v>
      </c>
      <c r="D15" s="36" t="s">
        <v>38</v>
      </c>
      <c r="E15" s="35"/>
      <c r="F15" s="37" t="s">
        <v>48</v>
      </c>
      <c r="G15" s="82">
        <f>SUM(G11+G12+G13+G14)</f>
        <v>114224711000</v>
      </c>
      <c r="H15" s="82">
        <f t="shared" ref="H15:I15" si="1">SUM(H11+H12+H13+H14)</f>
        <v>0</v>
      </c>
      <c r="I15" s="81">
        <f t="shared" si="1"/>
        <v>114224711000</v>
      </c>
    </row>
    <row r="16" spans="1:10">
      <c r="A16" s="30"/>
      <c r="B16" s="53"/>
      <c r="C16" s="31"/>
      <c r="D16" s="31" t="s">
        <v>0</v>
      </c>
      <c r="E16" s="31" t="s">
        <v>0</v>
      </c>
      <c r="F16" s="31" t="s">
        <v>0</v>
      </c>
      <c r="G16" s="43"/>
      <c r="H16" s="43"/>
      <c r="I16" s="56"/>
    </row>
    <row r="17" spans="1:9">
      <c r="A17" s="30"/>
      <c r="B17" s="53"/>
      <c r="C17" s="31"/>
      <c r="D17" s="32" t="s">
        <v>0</v>
      </c>
      <c r="E17" s="27" t="s">
        <v>0</v>
      </c>
      <c r="F17" s="42" t="s">
        <v>31</v>
      </c>
      <c r="G17" s="34"/>
      <c r="H17" s="34"/>
      <c r="I17" s="57"/>
    </row>
    <row r="18" spans="1:9">
      <c r="A18" s="30" t="s">
        <v>81</v>
      </c>
      <c r="B18" s="55"/>
      <c r="C18" s="35" t="s">
        <v>39</v>
      </c>
      <c r="D18" s="36" t="s">
        <v>38</v>
      </c>
      <c r="E18" s="35"/>
      <c r="F18" s="83" t="s">
        <v>44</v>
      </c>
      <c r="G18" s="40">
        <v>110061086000</v>
      </c>
      <c r="H18" s="40"/>
      <c r="I18" s="81">
        <f>SUM(G18:H18)</f>
        <v>110061086000</v>
      </c>
    </row>
    <row r="19" spans="1:9">
      <c r="A19" s="30" t="s">
        <v>81</v>
      </c>
      <c r="B19" s="55"/>
      <c r="C19" s="35" t="s">
        <v>40</v>
      </c>
      <c r="D19" s="36" t="s">
        <v>38</v>
      </c>
      <c r="E19" s="35"/>
      <c r="F19" s="83" t="s">
        <v>45</v>
      </c>
      <c r="G19" s="40"/>
      <c r="H19" s="40"/>
      <c r="I19" s="81">
        <f t="shared" ref="I19:I21" si="2">SUM(G19:H19)</f>
        <v>0</v>
      </c>
    </row>
    <row r="20" spans="1:9" ht="22.8">
      <c r="A20" s="30" t="s">
        <v>81</v>
      </c>
      <c r="B20" s="55"/>
      <c r="C20" s="35" t="s">
        <v>41</v>
      </c>
      <c r="D20" s="36" t="s">
        <v>38</v>
      </c>
      <c r="E20" s="35"/>
      <c r="F20" s="83" t="s">
        <v>46</v>
      </c>
      <c r="G20" s="40"/>
      <c r="H20" s="40"/>
      <c r="I20" s="81">
        <f t="shared" si="2"/>
        <v>0</v>
      </c>
    </row>
    <row r="21" spans="1:9">
      <c r="A21" s="30" t="s">
        <v>81</v>
      </c>
      <c r="B21" s="55"/>
      <c r="C21" s="35" t="s">
        <v>42</v>
      </c>
      <c r="D21" s="36" t="s">
        <v>38</v>
      </c>
      <c r="E21" s="35"/>
      <c r="F21" s="83" t="s">
        <v>47</v>
      </c>
      <c r="G21" s="40"/>
      <c r="H21" s="40"/>
      <c r="I21" s="81">
        <f t="shared" si="2"/>
        <v>0</v>
      </c>
    </row>
    <row r="22" spans="1:9" ht="25.5" customHeight="1">
      <c r="A22" s="30" t="s">
        <v>81</v>
      </c>
      <c r="B22" s="55"/>
      <c r="C22" s="35" t="s">
        <v>43</v>
      </c>
      <c r="D22" s="36" t="s">
        <v>38</v>
      </c>
      <c r="E22" s="35"/>
      <c r="F22" s="37" t="s">
        <v>48</v>
      </c>
      <c r="G22" s="82">
        <f>SUM(G18+G19+G20+G21)</f>
        <v>110061086000</v>
      </c>
      <c r="H22" s="82">
        <f t="shared" ref="H22" si="3">SUM(H18+H19+H20+H21)</f>
        <v>0</v>
      </c>
      <c r="I22" s="81">
        <f t="shared" ref="I22" si="4">SUM(I18+I19+I20+I21)</f>
        <v>110061086000</v>
      </c>
    </row>
    <row r="23" spans="1:9">
      <c r="A23" s="30"/>
      <c r="B23" s="53"/>
      <c r="C23" s="31"/>
      <c r="D23" s="31" t="s">
        <v>0</v>
      </c>
      <c r="E23" s="31" t="s">
        <v>0</v>
      </c>
      <c r="F23" s="31" t="s">
        <v>0</v>
      </c>
      <c r="G23" s="43"/>
      <c r="H23" s="43"/>
      <c r="I23" s="56"/>
    </row>
    <row r="24" spans="1:9">
      <c r="A24" s="30"/>
      <c r="B24" s="53"/>
      <c r="C24" s="31"/>
      <c r="D24" s="32" t="s">
        <v>0</v>
      </c>
      <c r="E24" s="27" t="s">
        <v>0</v>
      </c>
      <c r="F24" s="42" t="s">
        <v>104</v>
      </c>
      <c r="G24" s="34"/>
      <c r="H24" s="34"/>
      <c r="I24" s="57"/>
    </row>
    <row r="25" spans="1:9">
      <c r="A25" s="30" t="s">
        <v>81</v>
      </c>
      <c r="B25" s="55"/>
      <c r="C25" s="35" t="s">
        <v>39</v>
      </c>
      <c r="D25" s="36" t="s">
        <v>57</v>
      </c>
      <c r="E25" s="35"/>
      <c r="F25" s="83" t="s">
        <v>44</v>
      </c>
      <c r="G25" s="40">
        <v>68945792000</v>
      </c>
      <c r="H25" s="40"/>
      <c r="I25" s="81">
        <f>SUM(G25:H25)</f>
        <v>68945792000</v>
      </c>
    </row>
    <row r="26" spans="1:9">
      <c r="A26" s="30" t="s">
        <v>81</v>
      </c>
      <c r="B26" s="55"/>
      <c r="C26" s="35" t="s">
        <v>40</v>
      </c>
      <c r="D26" s="36" t="s">
        <v>57</v>
      </c>
      <c r="E26" s="35"/>
      <c r="F26" s="83" t="s">
        <v>45</v>
      </c>
      <c r="G26" s="40"/>
      <c r="H26" s="40"/>
      <c r="I26" s="81">
        <f t="shared" ref="I26:I28" si="5">SUM(G26:H26)</f>
        <v>0</v>
      </c>
    </row>
    <row r="27" spans="1:9" ht="22.8">
      <c r="A27" s="30" t="s">
        <v>81</v>
      </c>
      <c r="B27" s="55"/>
      <c r="C27" s="35" t="s">
        <v>41</v>
      </c>
      <c r="D27" s="36" t="s">
        <v>57</v>
      </c>
      <c r="E27" s="35"/>
      <c r="F27" s="83" t="s">
        <v>46</v>
      </c>
      <c r="G27" s="40"/>
      <c r="H27" s="40"/>
      <c r="I27" s="81">
        <f t="shared" si="5"/>
        <v>0</v>
      </c>
    </row>
    <row r="28" spans="1:9">
      <c r="A28" s="30" t="s">
        <v>81</v>
      </c>
      <c r="B28" s="55"/>
      <c r="C28" s="35" t="s">
        <v>42</v>
      </c>
      <c r="D28" s="36" t="s">
        <v>57</v>
      </c>
      <c r="E28" s="35"/>
      <c r="F28" s="83" t="s">
        <v>47</v>
      </c>
      <c r="G28" s="40"/>
      <c r="H28" s="40"/>
      <c r="I28" s="81">
        <f t="shared" si="5"/>
        <v>0</v>
      </c>
    </row>
    <row r="29" spans="1:9" ht="25.5" customHeight="1">
      <c r="A29" s="30" t="s">
        <v>81</v>
      </c>
      <c r="B29" s="55"/>
      <c r="C29" s="35" t="s">
        <v>43</v>
      </c>
      <c r="D29" s="36" t="s">
        <v>57</v>
      </c>
      <c r="E29" s="35"/>
      <c r="F29" s="37" t="s">
        <v>48</v>
      </c>
      <c r="G29" s="82">
        <f>SUM(G25+G26+G27+G28)</f>
        <v>68945792000</v>
      </c>
      <c r="H29" s="82">
        <f t="shared" ref="H29:I29" si="6">SUM(H25+H26+H27+H28)</f>
        <v>0</v>
      </c>
      <c r="I29" s="81">
        <f t="shared" si="6"/>
        <v>68945792000</v>
      </c>
    </row>
    <row r="30" spans="1:9" ht="15" thickBot="1">
      <c r="A30" s="30"/>
      <c r="B30" s="58"/>
      <c r="C30" s="59"/>
      <c r="D30" s="59" t="s">
        <v>0</v>
      </c>
      <c r="E30" s="59" t="s">
        <v>0</v>
      </c>
      <c r="F30" s="59" t="s">
        <v>0</v>
      </c>
      <c r="G30" s="60"/>
      <c r="H30" s="60"/>
      <c r="I30" s="61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datos!$A$1:$A$2</xm:f>
          </x14:formula1>
          <xm:sqref>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F0"/>
  </sheetPr>
  <dimension ref="A1:L33"/>
  <sheetViews>
    <sheetView topLeftCell="A22" zoomScale="80" zoomScaleNormal="80" workbookViewId="0">
      <selection activeCell="G23" sqref="G23:J30"/>
    </sheetView>
  </sheetViews>
  <sheetFormatPr baseColWidth="10" defaultRowHeight="14.4"/>
  <cols>
    <col min="1" max="3" width="2.6640625" customWidth="1"/>
    <col min="4" max="4" width="5" customWidth="1"/>
    <col min="5" max="5" width="2.6640625" customWidth="1"/>
    <col min="6" max="6" width="90.6640625" customWidth="1"/>
    <col min="7" max="10" width="16.6640625" customWidth="1"/>
    <col min="11" max="11" width="18.33203125" customWidth="1"/>
    <col min="12" max="12" width="16.6640625" customWidth="1"/>
  </cols>
  <sheetData>
    <row r="1" spans="1:12" ht="54.9" customHeight="1" thickBot="1"/>
    <row r="2" spans="1:12" ht="177" customHeight="1" thickBot="1">
      <c r="F2" s="19" t="s">
        <v>32</v>
      </c>
    </row>
    <row r="3" spans="1:12" ht="16.2" thickBot="1">
      <c r="F3" s="20" t="s">
        <v>33</v>
      </c>
    </row>
    <row r="4" spans="1:12" ht="16.2" thickBot="1">
      <c r="F4" s="21"/>
    </row>
    <row r="5" spans="1:12" ht="16.2" thickBot="1">
      <c r="F5" s="22" t="s">
        <v>34</v>
      </c>
      <c r="G5" s="23" t="s">
        <v>35</v>
      </c>
    </row>
    <row r="6" spans="1:12" ht="16.2" thickBot="1">
      <c r="F6" s="21"/>
    </row>
    <row r="7" spans="1:12" ht="90" customHeight="1">
      <c r="A7" s="24" t="s">
        <v>36</v>
      </c>
      <c r="B7" s="45"/>
      <c r="C7" s="46"/>
      <c r="D7" s="46"/>
      <c r="E7" s="47"/>
      <c r="F7" s="48" t="s">
        <v>68</v>
      </c>
      <c r="G7" s="49" t="s">
        <v>76</v>
      </c>
      <c r="H7" s="49" t="s">
        <v>77</v>
      </c>
      <c r="I7" s="49" t="s">
        <v>78</v>
      </c>
      <c r="J7" s="49" t="s">
        <v>79</v>
      </c>
      <c r="K7" s="50" t="s">
        <v>80</v>
      </c>
    </row>
    <row r="8" spans="1:12" ht="99.9" hidden="1" customHeight="1">
      <c r="A8" s="25" t="s">
        <v>37</v>
      </c>
      <c r="B8" s="51"/>
      <c r="C8" s="26"/>
      <c r="D8" s="27" t="s">
        <v>69</v>
      </c>
      <c r="E8" s="28" t="s">
        <v>70</v>
      </c>
      <c r="F8" s="52"/>
      <c r="G8" s="79" t="s">
        <v>71</v>
      </c>
      <c r="H8" s="79" t="s">
        <v>72</v>
      </c>
      <c r="I8" s="79" t="s">
        <v>73</v>
      </c>
      <c r="J8" s="79" t="s">
        <v>74</v>
      </c>
      <c r="K8" s="80" t="s">
        <v>75</v>
      </c>
    </row>
    <row r="9" spans="1:12">
      <c r="A9" s="30"/>
      <c r="B9" s="53"/>
      <c r="C9" s="31"/>
      <c r="D9" s="32" t="s">
        <v>0</v>
      </c>
      <c r="E9" s="27" t="s">
        <v>0</v>
      </c>
      <c r="F9" s="62"/>
      <c r="G9" s="65"/>
      <c r="H9" s="65"/>
      <c r="I9" s="65"/>
      <c r="J9" s="65"/>
      <c r="K9" s="70"/>
      <c r="L9" s="41"/>
    </row>
    <row r="10" spans="1:12">
      <c r="A10" s="30"/>
      <c r="B10" s="53"/>
      <c r="C10" s="31"/>
      <c r="D10" s="32"/>
      <c r="E10" s="27"/>
      <c r="F10" s="63" t="s">
        <v>55</v>
      </c>
      <c r="G10" s="65"/>
      <c r="H10" s="65"/>
      <c r="I10" s="65"/>
      <c r="J10" s="65"/>
      <c r="K10" s="70"/>
      <c r="L10" s="41"/>
    </row>
    <row r="11" spans="1:12" ht="25.5" customHeight="1">
      <c r="A11" s="30" t="s">
        <v>81</v>
      </c>
      <c r="B11" s="55"/>
      <c r="C11" s="35" t="s">
        <v>58</v>
      </c>
      <c r="D11" s="36" t="s">
        <v>38</v>
      </c>
      <c r="E11" s="35"/>
      <c r="F11" s="71" t="s">
        <v>123</v>
      </c>
      <c r="G11" s="66">
        <v>1000</v>
      </c>
      <c r="H11" s="66">
        <v>2000</v>
      </c>
      <c r="I11" s="66">
        <v>3000</v>
      </c>
      <c r="J11" s="66">
        <v>4000</v>
      </c>
      <c r="K11" s="74">
        <f>G11+H11+I11+J11</f>
        <v>10000</v>
      </c>
    </row>
    <row r="12" spans="1:12" ht="25.5" customHeight="1">
      <c r="A12" s="30"/>
      <c r="B12" s="55"/>
      <c r="C12" s="35"/>
      <c r="D12" s="36"/>
      <c r="E12" s="35"/>
      <c r="F12" s="37" t="s">
        <v>59</v>
      </c>
      <c r="G12" s="75"/>
      <c r="H12" s="75"/>
      <c r="I12" s="75"/>
      <c r="J12" s="75"/>
      <c r="K12" s="70"/>
    </row>
    <row r="13" spans="1:12" ht="25.5" customHeight="1">
      <c r="A13" s="30"/>
      <c r="B13" s="55"/>
      <c r="C13" s="35" t="s">
        <v>60</v>
      </c>
      <c r="D13" s="36" t="s">
        <v>38</v>
      </c>
      <c r="E13" s="35"/>
      <c r="F13" s="72" t="s">
        <v>116</v>
      </c>
      <c r="G13" s="66">
        <v>5000</v>
      </c>
      <c r="H13" s="66">
        <v>6000</v>
      </c>
      <c r="I13" s="66">
        <v>7000</v>
      </c>
      <c r="J13" s="66">
        <v>8000</v>
      </c>
      <c r="K13" s="74">
        <f t="shared" ref="K13:K18" si="0">G13+H13+I13+J13</f>
        <v>26000</v>
      </c>
    </row>
    <row r="14" spans="1:12" ht="25.5" customHeight="1">
      <c r="A14" s="30"/>
      <c r="B14" s="55"/>
      <c r="C14" s="35" t="s">
        <v>61</v>
      </c>
      <c r="D14" s="36" t="s">
        <v>38</v>
      </c>
      <c r="E14" s="35"/>
      <c r="F14" s="72" t="s">
        <v>117</v>
      </c>
      <c r="G14" s="66">
        <v>9000</v>
      </c>
      <c r="H14" s="66">
        <v>10000</v>
      </c>
      <c r="I14" s="66">
        <v>11000</v>
      </c>
      <c r="J14" s="66">
        <v>12000</v>
      </c>
      <c r="K14" s="74">
        <f t="shared" si="0"/>
        <v>42000</v>
      </c>
    </row>
    <row r="15" spans="1:12" ht="25.5" customHeight="1">
      <c r="A15" s="30"/>
      <c r="B15" s="55"/>
      <c r="C15" s="35" t="s">
        <v>62</v>
      </c>
      <c r="D15" s="36" t="s">
        <v>38</v>
      </c>
      <c r="E15" s="35"/>
      <c r="F15" s="72" t="s">
        <v>118</v>
      </c>
      <c r="G15" s="66">
        <v>13000</v>
      </c>
      <c r="H15" s="66">
        <v>14000</v>
      </c>
      <c r="I15" s="66">
        <v>15000</v>
      </c>
      <c r="J15" s="66">
        <v>16000</v>
      </c>
      <c r="K15" s="74">
        <f t="shared" si="0"/>
        <v>58000</v>
      </c>
    </row>
    <row r="16" spans="1:12" ht="25.5" customHeight="1">
      <c r="A16" s="30"/>
      <c r="B16" s="55"/>
      <c r="C16" s="35" t="s">
        <v>63</v>
      </c>
      <c r="D16" s="36" t="s">
        <v>38</v>
      </c>
      <c r="E16" s="35"/>
      <c r="F16" s="72" t="s">
        <v>119</v>
      </c>
      <c r="G16" s="66">
        <v>21000</v>
      </c>
      <c r="H16" s="66">
        <v>22000</v>
      </c>
      <c r="I16" s="66">
        <v>23000</v>
      </c>
      <c r="J16" s="66">
        <v>5000</v>
      </c>
      <c r="K16" s="74">
        <f t="shared" si="0"/>
        <v>71000</v>
      </c>
    </row>
    <row r="17" spans="1:11" ht="21.75" customHeight="1">
      <c r="A17" s="30"/>
      <c r="B17" s="55"/>
      <c r="C17" s="35" t="s">
        <v>64</v>
      </c>
      <c r="D17" s="36" t="s">
        <v>38</v>
      </c>
      <c r="E17" s="35"/>
      <c r="F17" s="72" t="s">
        <v>120</v>
      </c>
      <c r="G17" s="66">
        <v>21000</v>
      </c>
      <c r="H17" s="66">
        <v>22000</v>
      </c>
      <c r="I17" s="66">
        <v>23000</v>
      </c>
      <c r="J17" s="66">
        <v>5000</v>
      </c>
      <c r="K17" s="74">
        <f t="shared" si="0"/>
        <v>71000</v>
      </c>
    </row>
    <row r="18" spans="1:11" ht="21.75" customHeight="1">
      <c r="A18" s="30"/>
      <c r="B18" s="55"/>
      <c r="C18" s="35" t="s">
        <v>65</v>
      </c>
      <c r="D18" s="36" t="s">
        <v>38</v>
      </c>
      <c r="E18" s="35"/>
      <c r="F18" s="72" t="s">
        <v>121</v>
      </c>
      <c r="G18" s="66">
        <v>6000</v>
      </c>
      <c r="H18" s="66">
        <v>7000</v>
      </c>
      <c r="I18" s="66">
        <v>8000</v>
      </c>
      <c r="J18" s="66">
        <v>9000</v>
      </c>
      <c r="K18" s="74">
        <f t="shared" si="0"/>
        <v>30000</v>
      </c>
    </row>
    <row r="19" spans="1:11" ht="21.75" customHeight="1">
      <c r="A19" s="30"/>
      <c r="B19" s="55"/>
      <c r="C19" s="35" t="s">
        <v>66</v>
      </c>
      <c r="D19" s="36" t="s">
        <v>38</v>
      </c>
      <c r="E19" s="35"/>
      <c r="F19" s="71" t="s">
        <v>122</v>
      </c>
      <c r="G19" s="73">
        <f>G13+G14+G15+G16+G17+G18</f>
        <v>75000</v>
      </c>
      <c r="H19" s="73">
        <f t="shared" ref="H19:K19" si="1">H13+H14+H15+H16+H17+H18</f>
        <v>81000</v>
      </c>
      <c r="I19" s="73">
        <f t="shared" si="1"/>
        <v>87000</v>
      </c>
      <c r="J19" s="73">
        <f t="shared" si="1"/>
        <v>55000</v>
      </c>
      <c r="K19" s="74">
        <f t="shared" si="1"/>
        <v>298000</v>
      </c>
    </row>
    <row r="20" spans="1:11" ht="21.75" customHeight="1">
      <c r="A20" s="30"/>
      <c r="B20" s="55"/>
      <c r="C20" s="35" t="s">
        <v>58</v>
      </c>
      <c r="D20" s="36" t="s">
        <v>38</v>
      </c>
      <c r="E20" s="35"/>
      <c r="F20" s="71" t="s">
        <v>115</v>
      </c>
      <c r="G20" s="73">
        <f>G11+G19</f>
        <v>76000</v>
      </c>
      <c r="H20" s="73">
        <f t="shared" ref="H20:K20" si="2">H11+H19</f>
        <v>83000</v>
      </c>
      <c r="I20" s="73">
        <f t="shared" si="2"/>
        <v>90000</v>
      </c>
      <c r="J20" s="73">
        <f t="shared" si="2"/>
        <v>59000</v>
      </c>
      <c r="K20" s="74">
        <f t="shared" si="2"/>
        <v>308000</v>
      </c>
    </row>
    <row r="21" spans="1:11" ht="25.5" customHeight="1">
      <c r="A21" s="30"/>
      <c r="B21" s="53"/>
      <c r="C21" s="31"/>
      <c r="D21" s="31" t="s">
        <v>0</v>
      </c>
      <c r="E21" s="31" t="s">
        <v>0</v>
      </c>
      <c r="F21" s="44" t="s">
        <v>0</v>
      </c>
      <c r="G21" s="67"/>
      <c r="H21" s="67"/>
      <c r="I21" s="67"/>
      <c r="J21" s="67"/>
      <c r="K21" s="56"/>
    </row>
    <row r="22" spans="1:11" ht="25.5" customHeight="1">
      <c r="A22" s="30"/>
      <c r="B22" s="53"/>
      <c r="C22" s="31"/>
      <c r="D22" s="32" t="s">
        <v>0</v>
      </c>
      <c r="E22" s="27" t="s">
        <v>0</v>
      </c>
      <c r="F22" s="63" t="s">
        <v>56</v>
      </c>
      <c r="G22" s="68"/>
      <c r="H22" s="68"/>
      <c r="I22" s="68"/>
      <c r="J22" s="68"/>
      <c r="K22" s="57"/>
    </row>
    <row r="23" spans="1:11" ht="25.5" customHeight="1">
      <c r="A23" s="30" t="s">
        <v>81</v>
      </c>
      <c r="B23" s="55"/>
      <c r="C23" s="35" t="s">
        <v>58</v>
      </c>
      <c r="D23" s="36" t="s">
        <v>57</v>
      </c>
      <c r="E23" s="35"/>
      <c r="F23" s="71" t="s">
        <v>124</v>
      </c>
      <c r="G23" s="66">
        <v>6000</v>
      </c>
      <c r="H23" s="66">
        <v>7000</v>
      </c>
      <c r="I23" s="66">
        <v>8000</v>
      </c>
      <c r="J23" s="66">
        <v>9000</v>
      </c>
      <c r="K23" s="74">
        <f t="shared" ref="K23:K30" si="3">G23+H23+I23+J23</f>
        <v>30000</v>
      </c>
    </row>
    <row r="24" spans="1:11" ht="25.5" customHeight="1">
      <c r="A24" s="30"/>
      <c r="B24" s="55"/>
      <c r="C24" s="35"/>
      <c r="D24" s="36"/>
      <c r="E24" s="35"/>
      <c r="F24" s="37" t="s">
        <v>59</v>
      </c>
      <c r="G24" s="75"/>
      <c r="H24" s="75"/>
      <c r="I24" s="75"/>
      <c r="J24" s="75"/>
      <c r="K24" s="70"/>
    </row>
    <row r="25" spans="1:11" ht="25.5" customHeight="1">
      <c r="A25" s="30"/>
      <c r="B25" s="55"/>
      <c r="C25" s="35" t="s">
        <v>60</v>
      </c>
      <c r="D25" s="36" t="s">
        <v>57</v>
      </c>
      <c r="E25" s="35"/>
      <c r="F25" s="72" t="s">
        <v>116</v>
      </c>
      <c r="G25" s="66">
        <v>21000</v>
      </c>
      <c r="H25" s="66">
        <v>22000</v>
      </c>
      <c r="I25" s="66">
        <v>23000</v>
      </c>
      <c r="J25" s="66">
        <v>5000</v>
      </c>
      <c r="K25" s="74">
        <f t="shared" si="3"/>
        <v>71000</v>
      </c>
    </row>
    <row r="26" spans="1:11" ht="25.5" customHeight="1">
      <c r="A26" s="30"/>
      <c r="B26" s="55"/>
      <c r="C26" s="35" t="s">
        <v>61</v>
      </c>
      <c r="D26" s="36" t="s">
        <v>57</v>
      </c>
      <c r="E26" s="35"/>
      <c r="F26" s="72" t="s">
        <v>117</v>
      </c>
      <c r="G26" s="66">
        <v>1000</v>
      </c>
      <c r="H26" s="66">
        <v>5000</v>
      </c>
      <c r="I26" s="66">
        <v>9000</v>
      </c>
      <c r="J26" s="66">
        <v>4000</v>
      </c>
      <c r="K26" s="74">
        <f t="shared" si="3"/>
        <v>19000</v>
      </c>
    </row>
    <row r="27" spans="1:11" ht="25.5" customHeight="1">
      <c r="A27" s="30"/>
      <c r="B27" s="55"/>
      <c r="C27" s="35" t="s">
        <v>62</v>
      </c>
      <c r="D27" s="36" t="s">
        <v>57</v>
      </c>
      <c r="E27" s="35"/>
      <c r="F27" s="72" t="s">
        <v>118</v>
      </c>
      <c r="G27" s="66">
        <v>2000</v>
      </c>
      <c r="H27" s="66">
        <v>6000</v>
      </c>
      <c r="I27" s="66">
        <v>1000</v>
      </c>
      <c r="J27" s="66">
        <v>5000</v>
      </c>
      <c r="K27" s="74">
        <f t="shared" si="3"/>
        <v>14000</v>
      </c>
    </row>
    <row r="28" spans="1:11" ht="25.5" customHeight="1">
      <c r="A28" s="30"/>
      <c r="B28" s="55"/>
      <c r="C28" s="35" t="s">
        <v>63</v>
      </c>
      <c r="D28" s="36" t="s">
        <v>57</v>
      </c>
      <c r="E28" s="35"/>
      <c r="F28" s="72" t="s">
        <v>119</v>
      </c>
      <c r="G28" s="66">
        <v>21000</v>
      </c>
      <c r="H28" s="66">
        <v>22000</v>
      </c>
      <c r="I28" s="66">
        <v>23000</v>
      </c>
      <c r="J28" s="66">
        <v>5000</v>
      </c>
      <c r="K28" s="74">
        <f t="shared" si="3"/>
        <v>71000</v>
      </c>
    </row>
    <row r="29" spans="1:11" ht="21.75" customHeight="1">
      <c r="A29" s="30"/>
      <c r="B29" s="55"/>
      <c r="C29" s="35" t="s">
        <v>64</v>
      </c>
      <c r="D29" s="36" t="s">
        <v>57</v>
      </c>
      <c r="E29" s="35"/>
      <c r="F29" s="72" t="s">
        <v>120</v>
      </c>
      <c r="G29" s="66">
        <v>3000</v>
      </c>
      <c r="H29" s="66">
        <v>7000</v>
      </c>
      <c r="I29" s="66">
        <v>2000</v>
      </c>
      <c r="J29" s="66">
        <v>6000</v>
      </c>
      <c r="K29" s="74">
        <f t="shared" si="3"/>
        <v>18000</v>
      </c>
    </row>
    <row r="30" spans="1:11" ht="21.75" customHeight="1">
      <c r="A30" s="30"/>
      <c r="B30" s="55"/>
      <c r="C30" s="35" t="s">
        <v>65</v>
      </c>
      <c r="D30" s="36" t="s">
        <v>57</v>
      </c>
      <c r="E30" s="35"/>
      <c r="F30" s="72" t="s">
        <v>121</v>
      </c>
      <c r="G30" s="66">
        <v>4000</v>
      </c>
      <c r="H30" s="66">
        <v>8000</v>
      </c>
      <c r="I30" s="66">
        <v>3000</v>
      </c>
      <c r="J30" s="66">
        <v>7000</v>
      </c>
      <c r="K30" s="74">
        <f t="shared" si="3"/>
        <v>22000</v>
      </c>
    </row>
    <row r="31" spans="1:11" ht="21.75" customHeight="1">
      <c r="A31" s="30"/>
      <c r="B31" s="55"/>
      <c r="C31" s="35" t="s">
        <v>66</v>
      </c>
      <c r="D31" s="36" t="s">
        <v>57</v>
      </c>
      <c r="E31" s="35"/>
      <c r="F31" s="71" t="s">
        <v>122</v>
      </c>
      <c r="G31" s="73">
        <f>G25+G26+G27+G28+G29+G30</f>
        <v>52000</v>
      </c>
      <c r="H31" s="73">
        <f t="shared" ref="H31" si="4">H25+H26+H27+H28+H29+H30</f>
        <v>70000</v>
      </c>
      <c r="I31" s="73">
        <f t="shared" ref="I31" si="5">I25+I26+I27+I28+I29+I30</f>
        <v>61000</v>
      </c>
      <c r="J31" s="73">
        <f t="shared" ref="J31" si="6">J25+J26+J27+J28+J29+J30</f>
        <v>32000</v>
      </c>
      <c r="K31" s="74">
        <f t="shared" ref="K31" si="7">K25+K26+K27+K28+K29+K30</f>
        <v>215000</v>
      </c>
    </row>
    <row r="32" spans="1:11" ht="21.75" customHeight="1">
      <c r="A32" s="30"/>
      <c r="B32" s="55"/>
      <c r="C32" s="35" t="s">
        <v>58</v>
      </c>
      <c r="D32" s="36" t="s">
        <v>57</v>
      </c>
      <c r="E32" s="35"/>
      <c r="F32" s="71" t="s">
        <v>125</v>
      </c>
      <c r="G32" s="73">
        <f>G23+G31</f>
        <v>58000</v>
      </c>
      <c r="H32" s="73">
        <f t="shared" ref="H32" si="8">H23+H31</f>
        <v>77000</v>
      </c>
      <c r="I32" s="73">
        <f t="shared" ref="I32" si="9">I23+I31</f>
        <v>69000</v>
      </c>
      <c r="J32" s="73">
        <f t="shared" ref="J32" si="10">J23+J31</f>
        <v>41000</v>
      </c>
      <c r="K32" s="74">
        <f t="shared" ref="K32" si="11">K23+K31</f>
        <v>245000</v>
      </c>
    </row>
    <row r="33" spans="1:11" ht="15" thickBot="1">
      <c r="A33" s="30"/>
      <c r="B33" s="58"/>
      <c r="C33" s="59"/>
      <c r="D33" s="59" t="s">
        <v>0</v>
      </c>
      <c r="E33" s="59" t="s">
        <v>0</v>
      </c>
      <c r="F33" s="64" t="s">
        <v>0</v>
      </c>
      <c r="G33" s="69"/>
      <c r="H33" s="69"/>
      <c r="I33" s="69"/>
      <c r="J33" s="69"/>
      <c r="K33" s="61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datos!$A$1:$A$2</xm:f>
          </x14:formula1>
          <xm:sqref>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J21"/>
  <sheetViews>
    <sheetView topLeftCell="A7" zoomScale="80" zoomScaleNormal="80" workbookViewId="0">
      <selection activeCell="G17" sqref="G17"/>
    </sheetView>
  </sheetViews>
  <sheetFormatPr baseColWidth="10" defaultRowHeight="14.4"/>
  <cols>
    <col min="1" max="3" width="2.6640625" customWidth="1"/>
    <col min="4" max="4" width="5" customWidth="1"/>
    <col min="5" max="5" width="2.6640625" customWidth="1"/>
    <col min="6" max="6" width="90.6640625" customWidth="1"/>
    <col min="7" max="8" width="16.6640625" customWidth="1"/>
    <col min="9" max="9" width="18.33203125" customWidth="1"/>
    <col min="10" max="11" width="16.6640625" customWidth="1"/>
  </cols>
  <sheetData>
    <row r="1" spans="1:10" ht="54.9" customHeight="1" thickBot="1"/>
    <row r="2" spans="1:10" ht="177" customHeight="1" thickBot="1">
      <c r="F2" s="19" t="s">
        <v>32</v>
      </c>
    </row>
    <row r="3" spans="1:10" ht="16.2" thickBot="1">
      <c r="F3" s="20" t="s">
        <v>33</v>
      </c>
    </row>
    <row r="4" spans="1:10" ht="16.2" thickBot="1">
      <c r="F4" s="21"/>
    </row>
    <row r="5" spans="1:10" ht="16.2" thickBot="1">
      <c r="F5" s="22" t="s">
        <v>34</v>
      </c>
      <c r="G5" s="23" t="s">
        <v>35</v>
      </c>
    </row>
    <row r="6" spans="1:10" ht="16.2" thickBot="1">
      <c r="F6" s="21"/>
    </row>
    <row r="7" spans="1:10" ht="90" customHeight="1">
      <c r="A7" s="24" t="s">
        <v>36</v>
      </c>
      <c r="B7" s="45"/>
      <c r="C7" s="46"/>
      <c r="D7" s="46"/>
      <c r="E7" s="47"/>
      <c r="F7" s="48" t="s">
        <v>92</v>
      </c>
      <c r="G7" s="76" t="s">
        <v>90</v>
      </c>
      <c r="H7" s="76" t="s">
        <v>91</v>
      </c>
      <c r="I7" s="77" t="s">
        <v>85</v>
      </c>
    </row>
    <row r="8" spans="1:10" ht="99.9" hidden="1" customHeight="1">
      <c r="A8" s="25" t="s">
        <v>37</v>
      </c>
      <c r="B8" s="51"/>
      <c r="C8" s="26"/>
      <c r="D8" s="27" t="s">
        <v>82</v>
      </c>
      <c r="E8" s="28" t="s">
        <v>83</v>
      </c>
      <c r="F8" s="52"/>
      <c r="G8" s="29" t="str">
        <f>SUBSTITUTE(CONCATENATE("IAS7-ImpuGanaPaga_",TRIM(G7),"_",COLUMN(G8),"|",G7)," ","")</f>
        <v>IAS7-ImpuGanaPaga_Impuesto1_7|Impuesto1</v>
      </c>
      <c r="H8" s="29" t="str">
        <f>SUBSTITUTE(CONCATENATE("IAS7-ImpuGanaPaga_",TRIM(H7),"_",COLUMN(H8),"|",H7)," ","")</f>
        <v>IAS7-ImpuGanaPaga_Impuesto2_8|Impuesto2</v>
      </c>
      <c r="I8" s="78" t="s">
        <v>84</v>
      </c>
    </row>
    <row r="9" spans="1:10">
      <c r="A9" s="30"/>
      <c r="B9" s="53"/>
      <c r="C9" s="31"/>
      <c r="D9" s="32" t="s">
        <v>0</v>
      </c>
      <c r="E9" s="27" t="s">
        <v>0</v>
      </c>
      <c r="F9" s="33"/>
      <c r="G9" s="38"/>
      <c r="H9" s="38"/>
      <c r="I9" s="54"/>
      <c r="J9" s="41"/>
    </row>
    <row r="10" spans="1:10">
      <c r="A10" s="30"/>
      <c r="B10" s="53"/>
      <c r="C10" s="31"/>
      <c r="D10" s="32"/>
      <c r="E10" s="27"/>
      <c r="F10" s="42" t="s">
        <v>55</v>
      </c>
      <c r="G10" s="39"/>
      <c r="H10" s="39"/>
      <c r="I10" s="54"/>
      <c r="J10" s="41"/>
    </row>
    <row r="11" spans="1:10" ht="22.8">
      <c r="A11" s="30"/>
      <c r="B11" s="55"/>
      <c r="C11" s="35" t="s">
        <v>86</v>
      </c>
      <c r="D11" s="36" t="s">
        <v>38</v>
      </c>
      <c r="E11" s="35"/>
      <c r="F11" s="83" t="s">
        <v>126</v>
      </c>
      <c r="G11" s="40">
        <v>8287621000</v>
      </c>
      <c r="H11" s="40"/>
      <c r="I11" s="81">
        <f>SUM(G11:H11)</f>
        <v>8287621000</v>
      </c>
    </row>
    <row r="12" spans="1:10" ht="22.8">
      <c r="A12" s="30"/>
      <c r="B12" s="55"/>
      <c r="C12" s="35" t="s">
        <v>87</v>
      </c>
      <c r="D12" s="36" t="s">
        <v>38</v>
      </c>
      <c r="E12" s="35"/>
      <c r="F12" s="83" t="s">
        <v>127</v>
      </c>
      <c r="G12" s="40"/>
      <c r="H12" s="40"/>
      <c r="I12" s="81">
        <f t="shared" ref="I12:I14" si="0">SUM(G12:H12)</f>
        <v>0</v>
      </c>
    </row>
    <row r="13" spans="1:10" ht="22.8">
      <c r="A13" s="30"/>
      <c r="B13" s="55"/>
      <c r="C13" s="35" t="s">
        <v>88</v>
      </c>
      <c r="D13" s="36" t="s">
        <v>38</v>
      </c>
      <c r="E13" s="35"/>
      <c r="F13" s="83" t="s">
        <v>128</v>
      </c>
      <c r="G13" s="40"/>
      <c r="H13" s="40"/>
      <c r="I13" s="81">
        <f t="shared" si="0"/>
        <v>0</v>
      </c>
    </row>
    <row r="14" spans="1:10" ht="25.5" customHeight="1">
      <c r="A14" s="30"/>
      <c r="B14" s="55"/>
      <c r="C14" s="35" t="s">
        <v>89</v>
      </c>
      <c r="D14" s="36" t="s">
        <v>38</v>
      </c>
      <c r="E14" s="35"/>
      <c r="F14" s="37" t="s">
        <v>129</v>
      </c>
      <c r="G14" s="82">
        <f>SUM(G11+G12+G13)</f>
        <v>8287621000</v>
      </c>
      <c r="H14" s="82">
        <f t="shared" ref="H14" si="1">SUM(H11+H12+H13)</f>
        <v>0</v>
      </c>
      <c r="I14" s="81">
        <f t="shared" si="0"/>
        <v>8287621000</v>
      </c>
    </row>
    <row r="15" spans="1:10">
      <c r="A15" s="30"/>
      <c r="B15" s="53"/>
      <c r="C15" s="31"/>
      <c r="D15" s="31" t="s">
        <v>0</v>
      </c>
      <c r="E15" s="31" t="s">
        <v>0</v>
      </c>
      <c r="F15" s="31" t="s">
        <v>0</v>
      </c>
      <c r="G15" s="43"/>
      <c r="H15" s="43"/>
      <c r="I15" s="56"/>
    </row>
    <row r="16" spans="1:10">
      <c r="A16" s="30"/>
      <c r="B16" s="53"/>
      <c r="C16" s="31"/>
      <c r="D16" s="32" t="s">
        <v>0</v>
      </c>
      <c r="E16" s="27" t="s">
        <v>0</v>
      </c>
      <c r="F16" s="42" t="s">
        <v>56</v>
      </c>
      <c r="G16" s="34"/>
      <c r="H16" s="34"/>
      <c r="I16" s="57"/>
    </row>
    <row r="17" spans="1:9" ht="22.8">
      <c r="A17" s="30"/>
      <c r="B17" s="55"/>
      <c r="C17" s="35" t="s">
        <v>86</v>
      </c>
      <c r="D17" s="36" t="s">
        <v>57</v>
      </c>
      <c r="E17" s="35"/>
      <c r="F17" s="83" t="s">
        <v>126</v>
      </c>
      <c r="G17" s="40">
        <v>3067542000</v>
      </c>
      <c r="H17" s="40"/>
      <c r="I17" s="81">
        <f>SUM(G17:H17)</f>
        <v>3067542000</v>
      </c>
    </row>
    <row r="18" spans="1:9" ht="22.8">
      <c r="A18" s="30"/>
      <c r="B18" s="55"/>
      <c r="C18" s="35" t="s">
        <v>87</v>
      </c>
      <c r="D18" s="36" t="s">
        <v>57</v>
      </c>
      <c r="E18" s="35"/>
      <c r="F18" s="83" t="s">
        <v>127</v>
      </c>
      <c r="G18" s="40"/>
      <c r="H18" s="40"/>
      <c r="I18" s="81">
        <f t="shared" ref="I18:I20" si="2">SUM(G18:H18)</f>
        <v>0</v>
      </c>
    </row>
    <row r="19" spans="1:9" ht="22.8">
      <c r="A19" s="30"/>
      <c r="B19" s="55"/>
      <c r="C19" s="35" t="s">
        <v>88</v>
      </c>
      <c r="D19" s="36" t="s">
        <v>57</v>
      </c>
      <c r="E19" s="35"/>
      <c r="F19" s="83" t="s">
        <v>128</v>
      </c>
      <c r="G19" s="40"/>
      <c r="H19" s="40"/>
      <c r="I19" s="81">
        <f t="shared" si="2"/>
        <v>0</v>
      </c>
    </row>
    <row r="20" spans="1:9">
      <c r="A20" s="30"/>
      <c r="B20" s="55"/>
      <c r="C20" s="35" t="s">
        <v>89</v>
      </c>
      <c r="D20" s="36" t="s">
        <v>57</v>
      </c>
      <c r="E20" s="35"/>
      <c r="F20" s="37" t="s">
        <v>129</v>
      </c>
      <c r="G20" s="82">
        <f>SUM(G17+G18+G19)</f>
        <v>3067542000</v>
      </c>
      <c r="H20" s="82">
        <f t="shared" ref="H20" si="3">SUM(H17+H18+H19)</f>
        <v>0</v>
      </c>
      <c r="I20" s="81">
        <f t="shared" si="2"/>
        <v>3067542000</v>
      </c>
    </row>
    <row r="21" spans="1:9" ht="15" thickBot="1">
      <c r="A21" s="30"/>
      <c r="B21" s="58"/>
      <c r="C21" s="59"/>
      <c r="D21" s="59"/>
      <c r="E21" s="59" t="s">
        <v>0</v>
      </c>
      <c r="F21" s="59" t="s">
        <v>0</v>
      </c>
      <c r="G21" s="60"/>
      <c r="H21" s="60"/>
      <c r="I21" s="61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datos!$A$1:$A$2</xm:f>
          </x14:formula1>
          <xm:sqref>G5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2"/>
  <sheetViews>
    <sheetView workbookViewId="0">
      <selection activeCell="A3" sqref="A3"/>
    </sheetView>
  </sheetViews>
  <sheetFormatPr baseColWidth="10" defaultRowHeight="14.4"/>
  <sheetData>
    <row r="1" spans="1:1">
      <c r="A1" t="s">
        <v>35</v>
      </c>
    </row>
    <row r="2" spans="1:1">
      <c r="A2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IAS7-Cuadros</vt:lpstr>
      <vt:lpstr>IAS7-EfEqDifeBala</vt:lpstr>
      <vt:lpstr>IAS7-PasiActiFina</vt:lpstr>
      <vt:lpstr>IAS7-ImpuGanaPaga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Byron Gonzalez Serrano</cp:lastModifiedBy>
  <dcterms:created xsi:type="dcterms:W3CDTF">2013-03-21T17:58:38Z</dcterms:created>
  <dcterms:modified xsi:type="dcterms:W3CDTF">2024-06-13T13:08:46Z</dcterms:modified>
</cp:coreProperties>
</file>