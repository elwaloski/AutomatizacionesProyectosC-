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walo_\OneDrive\Desktop\CI\xls\"/>
    </mc:Choice>
  </mc:AlternateContent>
  <xr:revisionPtr revIDLastSave="0" documentId="13_ncr:1_{9CF37555-54D4-4B1E-8833-8D973F2E207A}" xr6:coauthVersionLast="47" xr6:coauthVersionMax="47" xr10:uidLastSave="{00000000-0000-0000-0000-000000000000}"/>
  <bookViews>
    <workbookView xWindow="-105" yWindow="0" windowWidth="38610" windowHeight="20985" activeTab="1" xr2:uid="{00000000-000D-0000-FFFF-FFFF00000000}"/>
  </bookViews>
  <sheets>
    <sheet name="IFRS16-Cuadros" sheetId="1" r:id="rId1"/>
    <sheet name="IFRS16-PasiPorArre" sheetId="8" r:id="rId2"/>
    <sheet name="IFRS16-InfoActiDereUso" sheetId="2" r:id="rId3"/>
    <sheet name="IFRS16-InfoAnalArreFina" sheetId="5" r:id="rId4"/>
    <sheet name="IFRS16-InfoAnalArreOper" sheetId="6" r:id="rId5"/>
    <sheet name="Codigo" sheetId="3" state="hidden" r:id="rId6"/>
  </sheets>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2" i="8" l="1"/>
  <c r="I81" i="8"/>
  <c r="I80" i="8"/>
  <c r="H79" i="8"/>
  <c r="G79" i="8"/>
  <c r="I78" i="8"/>
  <c r="I77" i="8"/>
  <c r="H76" i="8"/>
  <c r="G76" i="8"/>
  <c r="I76" i="8" s="1"/>
  <c r="H75" i="8"/>
  <c r="I74" i="8"/>
  <c r="I73" i="8"/>
  <c r="H72" i="8"/>
  <c r="G72" i="8"/>
  <c r="H69" i="8"/>
  <c r="I68" i="8"/>
  <c r="I67" i="8"/>
  <c r="I66" i="8"/>
  <c r="H65" i="8"/>
  <c r="G65" i="8"/>
  <c r="I65" i="8" s="1"/>
  <c r="I64" i="8"/>
  <c r="I63" i="8"/>
  <c r="H62" i="8"/>
  <c r="G62" i="8"/>
  <c r="I62" i="8" s="1"/>
  <c r="I61" i="8"/>
  <c r="I60" i="8"/>
  <c r="I44" i="8"/>
  <c r="I43" i="8"/>
  <c r="I42" i="8"/>
  <c r="H41" i="8"/>
  <c r="H37" i="8" s="1"/>
  <c r="H45" i="8" s="1"/>
  <c r="G41" i="8"/>
  <c r="I41" i="8" s="1"/>
  <c r="I40" i="8"/>
  <c r="I39" i="8"/>
  <c r="H38" i="8"/>
  <c r="G38" i="8"/>
  <c r="I38" i="8" s="1"/>
  <c r="I36" i="8"/>
  <c r="I35" i="8"/>
  <c r="H34" i="8"/>
  <c r="G34" i="8"/>
  <c r="I34" i="8" s="1"/>
  <c r="I30" i="8"/>
  <c r="I29" i="8"/>
  <c r="I28" i="8"/>
  <c r="H27" i="8"/>
  <c r="G27" i="8"/>
  <c r="I27" i="8" s="1"/>
  <c r="I26" i="8"/>
  <c r="I25" i="8"/>
  <c r="H24" i="8"/>
  <c r="H31" i="8" s="1"/>
  <c r="G24" i="8"/>
  <c r="I23" i="8"/>
  <c r="I22" i="8"/>
  <c r="H7" i="8"/>
  <c r="G7" i="8"/>
  <c r="H83" i="8" l="1"/>
  <c r="I79" i="8"/>
  <c r="G75" i="8"/>
  <c r="I75" i="8" s="1"/>
  <c r="G69" i="8"/>
  <c r="I69" i="8" s="1"/>
  <c r="G37" i="8"/>
  <c r="I37" i="8" s="1"/>
  <c r="G45" i="8"/>
  <c r="I45" i="8" s="1"/>
  <c r="G31" i="8"/>
  <c r="I31" i="8" s="1"/>
  <c r="I24" i="8"/>
  <c r="I72" i="8"/>
  <c r="G83" i="8" l="1"/>
  <c r="I83" i="8" s="1"/>
  <c r="I30" i="2"/>
  <c r="I29" i="2"/>
  <c r="I28" i="2"/>
  <c r="I25" i="2"/>
  <c r="I24" i="2"/>
  <c r="N25" i="2" l="1"/>
  <c r="V25" i="2" s="1"/>
  <c r="N29" i="2"/>
  <c r="V29" i="2" s="1"/>
  <c r="M17" i="6"/>
  <c r="M12" i="6"/>
  <c r="M17" i="5"/>
  <c r="I108" i="1" s="1"/>
  <c r="I111" i="1" s="1"/>
  <c r="M12" i="5"/>
  <c r="H108" i="1" s="1"/>
  <c r="H111" i="1" s="1"/>
  <c r="I18" i="2"/>
  <c r="I17" i="2"/>
  <c r="I16" i="2"/>
  <c r="I13" i="2"/>
  <c r="I12" i="2"/>
  <c r="AA29" i="2" l="1"/>
  <c r="AA25" i="2"/>
  <c r="N30" i="2"/>
  <c r="N28" i="2"/>
  <c r="N24" i="2"/>
  <c r="N17" i="2"/>
  <c r="V17" i="2" s="1"/>
  <c r="N13" i="2"/>
  <c r="N16" i="2"/>
  <c r="V16" i="2" s="1"/>
  <c r="N18" i="2"/>
  <c r="AA17" i="2" l="1"/>
  <c r="N12" i="2"/>
  <c r="V12" i="2" s="1"/>
  <c r="AD29" i="2"/>
  <c r="AD25" i="2"/>
  <c r="V28" i="2"/>
  <c r="V24" i="2"/>
  <c r="V30" i="2"/>
  <c r="V18" i="2"/>
  <c r="AA16" i="2"/>
  <c r="V13" i="2"/>
  <c r="AA12" i="2" l="1"/>
  <c r="AD12" i="2"/>
  <c r="AA30" i="2"/>
  <c r="AA28" i="2"/>
  <c r="AA24" i="2"/>
  <c r="AA18" i="2"/>
  <c r="AA13" i="2"/>
  <c r="AD17" i="2"/>
  <c r="AD16" i="2"/>
  <c r="AD28" i="2" l="1"/>
  <c r="AD24" i="2"/>
  <c r="AD30" i="2"/>
  <c r="AD18" i="2"/>
  <c r="AD13" i="2" l="1"/>
</calcChain>
</file>

<file path=xl/sharedStrings.xml><?xml version="1.0" encoding="utf-8"?>
<sst xmlns="http://schemas.openxmlformats.org/spreadsheetml/2006/main" count="1617" uniqueCount="769">
  <si>
    <t xml:space="preserve"> </t>
  </si>
  <si>
    <t>ACT</t>
  </si>
  <si>
    <t>Periodo Actual</t>
  </si>
  <si>
    <t>Periodo Anterior</t>
  </si>
  <si>
    <r>
      <t xml:space="preserve">INSTRUCCIONES DE LLENADO
</t>
    </r>
    <r>
      <rPr>
        <sz val="10"/>
        <rFont val="Calibri"/>
        <family val="2"/>
      </rPr>
      <t xml:space="preserve">Esta dimensión puede ser extendida agregando columnas (miembros) adicionales a las definidas por taxonomía.
-Las tabla  marcada con línea punteada roja y con fondo verde indican las posiciones donde es posible agregar elementos. Esta tabla puede ser copiada  debajo de este cuadro si se desean agregar mas columnas.
-Para cada columna creada (verde) debe escribirse una descripción (en rojo).
-Las tablas marcadas en plomo </t>
    </r>
    <r>
      <rPr>
        <b/>
        <sz val="10"/>
        <rFont val="Calibri"/>
        <family val="2"/>
      </rPr>
      <t>no deben ser editadas, eliminadas ni movidas.</t>
    </r>
  </si>
  <si>
    <t>DIMEAVA</t>
  </si>
  <si>
    <t>DIMENUE</t>
  </si>
  <si>
    <t>ANT</t>
  </si>
  <si>
    <t>Cargar hoja:</t>
  </si>
  <si>
    <t>SI</t>
  </si>
  <si>
    <t>NO</t>
  </si>
  <si>
    <t xml:space="preserve">  Información a revelar sobre arrendamientos [bloque de texto]  </t>
  </si>
  <si>
    <t xml:space="preserve">      Descripción de las partidas en el estado de situación financiera que incluyen activos por derecho de uso [Texto]</t>
  </si>
  <si>
    <t>full_ifrs-cor_2016-03-31.xsd#ifrs-full_DescriptionOfLineItemsInStatementOfFinancialPositionWhichIncludeRightofuseAssets</t>
  </si>
  <si>
    <t>full_ifrs-cor_2016-03-31.xsd#ifrs-full_CurrentLeaseLiabilities</t>
  </si>
  <si>
    <t>full_ifrs-cor_2016-03-31.xsd#ifrs-full_NoncurrentLeaseLiabilities</t>
  </si>
  <si>
    <t>full_ifrs-cor_2016-03-31.xsd#ifrs-full_LeaseLiabilities</t>
  </si>
  <si>
    <t xml:space="preserve">      Descripción de las partidas en el estado de situación financiera que incluyen pasivos por arrendamientos [Texto]</t>
  </si>
  <si>
    <t>full_ifrs-cor_2016-03-31.xsd#ifrs-full_DescriptionOfLineItemsInStatementOfFinancialPositionWhichIncludeLeaseLiabilities</t>
  </si>
  <si>
    <t xml:space="preserve">    Descripción de referencias cruzadas de información a revelar sobre arrendamientos [Texto]</t>
  </si>
  <si>
    <t>full_ifrs-cor_2016-03-31.xsd#ifrs-full_DescriptionOfCrossreferenceToDisclosuresAboutLeases</t>
  </si>
  <si>
    <t>full_ifrs-cor_2016-03-31.xsd#ifrs-full_DisclosureOfQuantitativeInformationAboutRightofuseAssetsExplanatory</t>
  </si>
  <si>
    <t xml:space="preserve">      Información cuantitativa a revelar sobre activos por derecho de uso [bloque de texto]  </t>
  </si>
  <si>
    <t>full_ifrs-cor_2016-03-31.xsd#ifrs-full_DisclosureOfQuantitativeInformationAboutRightofuseAssetsTable</t>
  </si>
  <si>
    <t>full_ifrs-cor_2016-03-31.xsd#ifrs-full_ClassesOfAssetsAxis</t>
  </si>
  <si>
    <t>full_ifrs-cor_2016-03-31.xsd#ifrs-full_ClassesOfAssetsMember</t>
  </si>
  <si>
    <t>full_ifrs-cor_2016-03-31.xsd#ifrs-full_PropertyPlantAndEquipmentMember</t>
  </si>
  <si>
    <t>full_ifrs-cor_2016-03-31.xsd#ifrs-full_LandAndBuildingsMember</t>
  </si>
  <si>
    <t>full_ifrs-cor_2016-03-31.xsd#ifrs-full_LandMember</t>
  </si>
  <si>
    <t>full_ifrs-cor_2016-03-31.xsd#ifrs-full_BuildingsMember</t>
  </si>
  <si>
    <t>full_ifrs-cor_2016-03-31.xsd#ifrs-full_MachineryMember</t>
  </si>
  <si>
    <t>full_ifrs-cor_2016-03-31.xsd#ifrs-full_VehiclesMember</t>
  </si>
  <si>
    <t>full_ifrs-cor_2016-03-31.xsd#ifrs-full_ShipsMember</t>
  </si>
  <si>
    <t>full_ifrs-cor_2016-03-31.xsd#ifrs-full_AircraftMember</t>
  </si>
  <si>
    <t>full_ifrs-cor_2016-03-31.xsd#ifrs-full_MotorVehiclesMember</t>
  </si>
  <si>
    <t>full_ifrs-cor_2016-03-31.xsd#ifrs-full_FixturesAndFittingsMember</t>
  </si>
  <si>
    <t>full_ifrs-cor_2016-03-31.xsd#ifrs-full_OfficeEquipmentMember</t>
  </si>
  <si>
    <t>full_ifrs-cor_2016-03-31.xsd#ifrs-full_ComputerEquipmentMember</t>
  </si>
  <si>
    <t>full_ifrs-cor_2016-03-31.xsd#ifrs-full_CommunicationAndNetworkEquipmentMember</t>
  </si>
  <si>
    <t>full_ifrs-cor_2016-03-31.xsd#ifrs-full_NetworkInfrastructureMember</t>
  </si>
  <si>
    <t>full_ifrs-cor_2016-03-31.xsd#ifrs-full_BearerPlantsMember</t>
  </si>
  <si>
    <t>full_ifrs-cor_2016-03-31.xsd#ifrs-full_MiningAssetsMember</t>
  </si>
  <si>
    <t>full_ifrs-cor_2016-03-31.xsd#ifrs-full_MiningPropertyMember</t>
  </si>
  <si>
    <t>full_ifrs-cor_2016-03-31.xsd#ifrs-full_OilAndGasAssetsMember</t>
  </si>
  <si>
    <t>full_ifrs-cor_2016-03-31.xsd#ifrs-full_PowerGeneratingAssetsMember</t>
  </si>
  <si>
    <t>full_ifrs-cor_2016-03-31.xsd#ifrs-full_ConstructionInProgressMember</t>
  </si>
  <si>
    <t>full_ifrs-cor_2016-03-31.xsd#ifrs-full_OtherPropertyPlantAndEquipmentMember</t>
  </si>
  <si>
    <t>full_ifrs-cor_2016-03-31.xsd#ifrs-full_IntangibleAssetsOtherThanGoodwillMember</t>
  </si>
  <si>
    <t>full_ifrs-cor_2016-03-31.xsd#ifrs-full_OtherAssetsMember</t>
  </si>
  <si>
    <t>full_ifrs-cor_2016-03-31.xsd#ifrs-full_DepreciationRightofuseAssets</t>
  </si>
  <si>
    <t xml:space="preserve">            Depreciación, activos por derecho de uso [Número]</t>
  </si>
  <si>
    <t xml:space="preserve">            Activos por derecho de uso [Número]</t>
  </si>
  <si>
    <t xml:space="preserve">            Fecha de vigencia de revaluación, activos por derecho de uso [Texto]</t>
  </si>
  <si>
    <t>full_ifrs-cor_2016-03-31.xsd#ifrs-full_EffectiveDateOfRevaluationRightofuseAssets</t>
  </si>
  <si>
    <t xml:space="preserve">            Explicación de la implicación del tasador independiente en la revaluación, activos por derecho de uso [Texto]</t>
  </si>
  <si>
    <t>full_ifrs-cor_2016-03-31.xsd#ifrs-full_ExplanationOfInvolvementOfIndependentValuerInRevaluationRightofuseAssets</t>
  </si>
  <si>
    <t>full_ifrs-cor_2016-03-31.xsd#ifrs-full_RightofuseAssetsRevaluedAssetsAtCost</t>
  </si>
  <si>
    <t xml:space="preserve">            Activos por derecho de uso, activos revaluados, al costo [Número]</t>
  </si>
  <si>
    <t>full_ifrs-cor_2016-03-31.xsd#ifrs-full_RightofuseAssetsRevaluationSurplus</t>
  </si>
  <si>
    <t xml:space="preserve">            Activos por derecho de uso, superávit de revaluación [Número]</t>
  </si>
  <si>
    <t>full_ifrs-cor_2016-03-31.xsd#ifrs-full_RightofuseAssetsIncreaseDecreaseInRevaluationSurplus</t>
  </si>
  <si>
    <t xml:space="preserve">            Activos por derecho de uso, incremento (disminución) en el superávit de revaluación [Número]</t>
  </si>
  <si>
    <t xml:space="preserve">            Descripción de restricciones sobre la distribución del superávit de revaluación a los accionistas, activos por derecho de uso [Texto]</t>
  </si>
  <si>
    <t>full_ifrs-cor_2016-03-31.xsd#ifrs-full_DescriptionOfRestrictionsOnDistributionOfRevaluationSurplusToShareholdersRightofuseAssets</t>
  </si>
  <si>
    <t>full_ifrs-cor_2016-03-31.xsd#ifrs-full_InterestExpenseOnLeaseLiabilities</t>
  </si>
  <si>
    <t xml:space="preserve">      Gasto por intereses por los pasivos por arrendamiento [Número]</t>
  </si>
  <si>
    <t>full_ifrs-cor_2016-03-31.xsd#ifrs-full_ExpenseRelatingToShorttermLeasesForWhichRecognitionExemptionHasBeenUsed</t>
  </si>
  <si>
    <t xml:space="preserve">      Gastos relacionados con arrendamientos a corto plazo para los cuales se ha usado la exención de reconocimiento [Número]</t>
  </si>
  <si>
    <t>full_ifrs-cor_2016-03-31.xsd#ifrs-full_ExpenseRelatingToLeasesOfLowvalueAssetsForWhichRecognitionExemptionHasBeenUsed</t>
  </si>
  <si>
    <t xml:space="preserve">      Gastos relacionados con arrendamientos de activos de bajo valor para los cuales se ha usado la exención de reconocimiento [Número]</t>
  </si>
  <si>
    <t>full_ifrs-cor_2016-03-31.xsd#ifrs-full_ExpenseRelatingToVariableLeasePaymentsNotIncludedInMeasurementOfLeaseLiabilities</t>
  </si>
  <si>
    <t xml:space="preserve">      Gastos relacionados con pagos por arrendamiento variables no incluidos en la medición de pasivos por arrendamiento [Número]</t>
  </si>
  <si>
    <t>full_ifrs-cor_2016-03-31.xsd#ifrs-full_IncomeFromSubleasingRightofuseAssets</t>
  </si>
  <si>
    <t xml:space="preserve">      Ingresos por subarrendamiento de activos por derecho de uso [Número]</t>
  </si>
  <si>
    <t>full_ifrs-cor_2016-03-31.xsd#ifrs-full_CashOutflowForLeases</t>
  </si>
  <si>
    <t xml:space="preserve">      Salidas de efectivo por arrendamientos [Número]</t>
  </si>
  <si>
    <t>full_ifrs-cor_2016-03-31.xsd#ifrs-full_AdditionsToRightofuseAssets</t>
  </si>
  <si>
    <t xml:space="preserve">      Incorporaciones a activos por derecho de uso [Número]</t>
  </si>
  <si>
    <t>full_ifrs-cor_2016-03-31.xsd#ifrs-full_GainsLossesArisingFromSaleAndLeasebackTransactions</t>
  </si>
  <si>
    <t xml:space="preserve">      Ganancias (pérdidas) que surgen de transacciones de venta con arrendamiento posterior [Número]</t>
  </si>
  <si>
    <t>full_ifrs-cor_2016-03-31.xsd#ifrs-full_LeaseCommitmentsForShorttermLeasesForWhichRecognitionExemptionHasBeenUsed</t>
  </si>
  <si>
    <t xml:space="preserve">      Compromisos de arrendamientos sobre arrendamientos a corto plazo para los cuales se ha usado la exención de reconocimiento [Número]</t>
  </si>
  <si>
    <t>full_ifrs-cor_2016-03-31.xsd#ifrs-full_DisclosureOfAdditionalInformationAboutLeasingActivitiesForLesseeExplanatory</t>
  </si>
  <si>
    <t xml:space="preserve">    Información adicional a revelar sobre las actividades de arrendamiento para el arrendatario [bloque de texto]  </t>
  </si>
  <si>
    <t xml:space="preserve">      Información sobre la naturaleza de las actividades de arrendamiento del arrendatario [Texto]</t>
  </si>
  <si>
    <t>full_ifrs-cor_2016-03-31.xsd#ifrs-full_InformationAboutNatureOfLesseesLeasingActivities</t>
  </si>
  <si>
    <t xml:space="preserve">      Información sobre la exposición potencial a salidas de efectivo futuras no reflejadas en la medición de los pasivos por arrendamiento [Texto]</t>
  </si>
  <si>
    <t>full_ifrs-cor_2016-03-31.xsd#ifrs-full_InformationAboutPotentialExposureToFutureCashOutflowsNotReflectedInMeasurementOfLeaseLiability</t>
  </si>
  <si>
    <t xml:space="preserve">        Información sobre la exposición del arrendatario que surge de pagos por arrendamiento variables [Texto]</t>
  </si>
  <si>
    <t>full_ifrs-cor_2016-03-31.xsd#ifrs-full_InformationAboutLesseesExposureArisingFromVariableLeasePayments</t>
  </si>
  <si>
    <t xml:space="preserve">        Información sobre la exposición del arrendatario que surge de las opciones de ampliación y las opciones de terminación [Texto]</t>
  </si>
  <si>
    <t>full_ifrs-cor_2016-03-31.xsd#ifrs-full_InformationAboutLesseesExposureArisingFromExtensionOptionsAndTerminationOptions</t>
  </si>
  <si>
    <t xml:space="preserve">        Información sobre la exposición del arrendatario que surge de garantías del valor residual [Texto]</t>
  </si>
  <si>
    <t>full_ifrs-cor_2016-03-31.xsd#ifrs-full_InformationAboutLesseesExposureArisingFromResidualValueGuarantees</t>
  </si>
  <si>
    <t xml:space="preserve">        Información sobre la exposición que surge de arrendamientos no iniciados todavía y a los que se ha comprometido el arrendatario [Texto]</t>
  </si>
  <si>
    <t>full_ifrs-cor_2016-03-31.xsd#ifrs-full_InformationAboutExposureArisingFromLeasesNotYetCommencedToWhichLesseeIsCommitted</t>
  </si>
  <si>
    <t xml:space="preserve">      Información sobre restricciones o pactos impuestos por arrendamientos sobre el arrendatario [Texto]</t>
  </si>
  <si>
    <t>full_ifrs-cor_2016-03-31.xsd#ifrs-full_InformationAboutRestrictionsOrCovenantsImposedByLeasesOnLessee</t>
  </si>
  <si>
    <t xml:space="preserve">      Información sobre las transacciones de venta con arrendamiento posterior [Texto]</t>
  </si>
  <si>
    <t>full_ifrs-cor_2016-03-31.xsd#ifrs-full_InformationAboutSaleAndLeasebackTransactions</t>
  </si>
  <si>
    <t xml:space="preserve">    Declaración de que el arrendatario contabiliza los arrendamientos a corto plazo usando la exención de reconocimiento [Texto]</t>
  </si>
  <si>
    <t>full_ifrs-cor_2016-03-31.xsd#ifrs-full_StatementThatLesseeAccountsForShorttermLeasesUsingRecognitionExemption</t>
  </si>
  <si>
    <t xml:space="preserve">    Declaración de que el arrendatario contabiliza los arrendamientos de activos de bajo valor usando la exención de reconocimiento [Texto]</t>
  </si>
  <si>
    <t>full_ifrs-cor_2016-03-31.xsd#ifrs-full_StatementThatLesseeAccountsForLeasesOfLowvalueAssetsUsingRecognitionExemption</t>
  </si>
  <si>
    <t xml:space="preserve">    Información cuantitativa a revelar sobre arrendamientos para el arrendador [resumen] [Texto]</t>
  </si>
  <si>
    <t>full_ifrs-cor_2016-03-31.xsd#ifrs-full_SellingProfitLossOnFinanceLeases</t>
  </si>
  <si>
    <t xml:space="preserve">      Ganancia (pérdida) por la venta de arrendamientos financieros [Número]</t>
  </si>
  <si>
    <t>full_ifrs-cor_2016-03-31.xsd#ifrs-full_FinanceIncomeOnNetInvestmentInFinanceLease</t>
  </si>
  <si>
    <t xml:space="preserve">      Ingresos financieros sobre la inversión neta en arrendamientos financieros [Número]</t>
  </si>
  <si>
    <t>full_ifrs-cor_2016-03-31.xsd#ifrs-full_IncomeRelatingToVariableLeasePaymentsNotIncludedInMeasurementOfNetInvestmentInFinanceLease</t>
  </si>
  <si>
    <t xml:space="preserve">      Ingresos relacionados con pagos por arrendamiento variables no incluidos en la medición de la inversión neta en arrendamientos financieros [Número]</t>
  </si>
  <si>
    <t>full_ifrs-cor_2016-03-31.xsd#ifrs-full_OperatingLeaseIncome</t>
  </si>
  <si>
    <t xml:space="preserve">      Ingreso por arrendamiento operativo [Número]</t>
  </si>
  <si>
    <t>full_ifrs-cor_2016-03-31.xsd#ifrs-full_IncomeRelatingToVariableLeasePaymentsForOperatingLeasesThatDoNotDependOnIndexOrRate</t>
  </si>
  <si>
    <t xml:space="preserve">        Ingresos relacionados con pagos por arrendamiento variables de arrendamientos operativos que no dependen de un índice o tasa [Número]</t>
  </si>
  <si>
    <t>full_ifrs-cor_2016-03-31.xsd#ifrs-full_DisclosureOfAdditionalInformationAboutLeasingActivitiesForLessorExplanatory</t>
  </si>
  <si>
    <t xml:space="preserve">    Información a revelar adicional sobre las actividades de arrendamiento para el arrendador [bloque de texto]  </t>
  </si>
  <si>
    <t xml:space="preserve">      Información sobre la naturaleza de las actividades de arrendamiento del arrendador [Texto]</t>
  </si>
  <si>
    <t>full_ifrs-cor_2016-03-31.xsd#ifrs-full_InformationAboutNatureOfLessorsLeasingActivities</t>
  </si>
  <si>
    <t xml:space="preserve">      Información sobre la forma en que el arrendador gestiona el riesgo asociado con derechos que conserva sobre los activos subyacentes [Texto]</t>
  </si>
  <si>
    <t>full_ifrs-cor_2016-03-31.xsd#ifrs-full_InformationAboutHowLessorManagesRiskAssociatedWithRightsItRetainsInUnderlyingAssets</t>
  </si>
  <si>
    <t xml:space="preserve">        Información sobre la estrategia de gestión de riesgos de derechos que el arrendador retiene sobre los activos subyacentes [Texto]</t>
  </si>
  <si>
    <t>full_ifrs-cor_2016-03-31.xsd#ifrs-full_InformationAboutRiskManagementStrategyForRightsThatLessorRetainsInUnderlyingAssets</t>
  </si>
  <si>
    <t>full_ifrs-cor_2016-03-31.xsd#ifrs-full_ExplanationOfSignificantChangesInNetInvestmentInFinanceLeaseExplanatory</t>
  </si>
  <si>
    <t xml:space="preserve">    Explicación de cambios significativos en la inversión neta en arrendamientos financieros [bloque de texto]  </t>
  </si>
  <si>
    <t>full_ifrs-cor_2016-03-31.xsd#ifrs-full_IncreaseDecreaseInNetInvestmentInFinanceLease</t>
  </si>
  <si>
    <t xml:space="preserve">      Incremento (disminución) en la inversión neta en arrendamientos financieros [Número]</t>
  </si>
  <si>
    <t>full_ifrs-cor_2016-03-31.xsd#ifrs-full_DisclosureOfMaturityAnalysisOfFinanceLeasePaymentsReceivableExplanatory</t>
  </si>
  <si>
    <t xml:space="preserve">    Información a revelar sobre análisis de vencimientos de cuentas por cobrar por pagos por arrendamiento financiero [bloque de texto]  </t>
  </si>
  <si>
    <t>full_ifrs-cor_2016-03-31.xsd#ifrs-full_DisclosureOfMaturityAnalysisOfFinanceLeasePaymentsReceivableTable</t>
  </si>
  <si>
    <t>full_ifrs-cor_2016-03-31.xsd#ifrs-full_MaturityAxis</t>
  </si>
  <si>
    <t>full_ifrs-cor_2016-03-31.xsd#ifrs-full_AggregatedTimeBandsMember</t>
  </si>
  <si>
    <t>full_ifrs-cor_2016-03-31.xsd#ifrs-full_NotLaterThanOneYearMember</t>
  </si>
  <si>
    <t>full_ifrs-cor_2016-03-31.xsd#ifrs-full_LaterThanOneYearAndNotLaterThanTwoYearsMember</t>
  </si>
  <si>
    <t>full_ifrs-cor_2016-03-31.xsd#ifrs-full_LaterThanTwoYearsAndNotLaterThanThreeYearsMember</t>
  </si>
  <si>
    <t>full_ifrs-cor_2016-03-31.xsd#ifrs-full_LaterThanThreeYearsAndNotLaterThanFourYearsMember</t>
  </si>
  <si>
    <t>full_ifrs-cor_2016-03-31.xsd#ifrs-full_LaterThanFourYearsAndNotLaterThanFiveYearsMember</t>
  </si>
  <si>
    <t>full_ifrs-cor_2016-03-31.xsd#ifrs-full_LaterThanFiveYearsMember</t>
  </si>
  <si>
    <t>full_ifrs-cor_2016-03-31.xsd#ifrs-full_UndiscountedFinanceLeasePaymentsToBeReceived</t>
  </si>
  <si>
    <t xml:space="preserve">          Pagos por arrendamiento financiero sin descontar a recibir [Número]</t>
  </si>
  <si>
    <t xml:space="preserve">      Pagos por arrendamiento financiero sin descontar a recibir [Número]</t>
  </si>
  <si>
    <t>full_ifrs-cor_2016-03-31.xsd#ifrs-full_UnearnedFinanceIncomeRelatingToFinanceLeasePaymentsReceivable</t>
  </si>
  <si>
    <t xml:space="preserve">      Ingresos financieros no acumulados (devengados) relacionados con cuentas por cobrar por pagos de arrendamientos financieros [Número]</t>
  </si>
  <si>
    <t>full_ifrs-cor_2016-03-31.xsd#ifrs-full_DiscountedUnguaranteedResidualValueOfAssetsSubjectToFinanceLease</t>
  </si>
  <si>
    <t xml:space="preserve">      Valor residual descontado no garantizado de activos sujetos a arrendamientos financieros [Número]</t>
  </si>
  <si>
    <t>full_ifrs-cor_2016-03-31.xsd#ifrs-full_NetInvestmentInFinanceLease</t>
  </si>
  <si>
    <t xml:space="preserve">      Inversión neta en arrendamientos financieros [Número]</t>
  </si>
  <si>
    <t>full_ifrs-cor_2016-03-31.xsd#ifrs-full_DisclosureOfMaturityAnalysisOfOperatingLeasePaymentsExplanatory</t>
  </si>
  <si>
    <t xml:space="preserve">    Información a revelar sobre análisis de vencimientos de pagos por arrendamiento operativo [bloque de texto]  </t>
  </si>
  <si>
    <t>full_ifrs-cor_2016-03-31.xsd#ifrs-full_DisclosureOfMaturityAnalysisOfOperatingLeasePaymentsTable</t>
  </si>
  <si>
    <t>full_ifrs-cor_2016-03-31.xsd#ifrs-full_UndiscountedOperatingLeasePaymentsToBeReceived</t>
  </si>
  <si>
    <t xml:space="preserve">          Pagos por arrendamiento operativo sin descontar a recibir [Número]</t>
  </si>
  <si>
    <t xml:space="preserve">    Declaración de que la entidad ha elegido una solución práctica al evaluar si un contrato es, o contiene, un arrendamiento en la fecha de aplicación inicial de la NIIF 16 [Texto]</t>
  </si>
  <si>
    <t>full_ifrs-cor_2016-03-31.xsd#ifrs-full_StatementThatEntityHasChosenPracticalExpedientWhenAssessingWhetherContractIsOrContainsLeaseAtDateOfInitialApplicationOfIFRS16</t>
  </si>
  <si>
    <t>full_ifrs-cor_2016-03-31.xsd#ifrs-full_WeightedAverageLesseesIncrementalBorrowingRateAppliedToLeaseLiabilitiesRecognisedAtDateOfInitialApplicationOfIFRS16</t>
  </si>
  <si>
    <t>full_ifrs-cor_2016-03-31.xsd#ifrs-full_ExplanationOfDifferenceBetweenOperatingLeaseCommitmentsDisclosedApplyingIAS17AndLeaseLiabilitiesRecognisedAtDateOfInitialApplicationOfIFRS16Explanatory</t>
  </si>
  <si>
    <t xml:space="preserve">    Explicación de la diferencia entre compromisos por arrendamientos operativos revelados aplicando la NIC 17, y pasivos por arrendamiento reconocidos en la fecha de aplicación inicial de la NIIF 16[bloque de texto]  </t>
  </si>
  <si>
    <t xml:space="preserve">    Declaración de que el arrendatario utiliza soluciones prácticas al aplicar la NIIF 16 de forma retroactiva para arrendamientos clasificados como arrendamiento operativo aplicando la NIC 17 [Texto]</t>
  </si>
  <si>
    <t>full_ifrs-cor_2016-03-31.xsd#ifrs-full_StatementThatLesseeUsesPracticalExpedientsWhenApplyingIFRS16RetrospectivelyToLeasesClassifiedAsOperatingLeasesApplyingIAS17</t>
  </si>
  <si>
    <t xml:space="preserve">    Presentación de arrendamientos para el arrendatario [resumen] </t>
  </si>
  <si>
    <t xml:space="preserve">    Información cuantitativa a revelar sobre arrendamientos para el arrendatario [resumen]</t>
  </si>
  <si>
    <t xml:space="preserve">    Conciliación de los pagos por arrendamiento sin descontar con la inversión neta en arrendamientos financieros [resumen]</t>
  </si>
  <si>
    <t>Terrenos [miembro]</t>
  </si>
  <si>
    <t>Edificios [miembro]</t>
  </si>
  <si>
    <t>Terrenos y construcciones [miembro]</t>
  </si>
  <si>
    <t>Maquinaria [miembro]</t>
  </si>
  <si>
    <t>Buques [miembro]</t>
  </si>
  <si>
    <t>Aeronave [miembro]</t>
  </si>
  <si>
    <t>Equipos de Transporte [miembro]</t>
  </si>
  <si>
    <t>Vehículos [miembro]</t>
  </si>
  <si>
    <t>Enseres y accesorios [miembro]</t>
  </si>
  <si>
    <t>Equipo de oficina [miembro]</t>
  </si>
  <si>
    <t>Equipos informáticos [miembro]</t>
  </si>
  <si>
    <t>Equipos de redes y comunicación [miembro]</t>
  </si>
  <si>
    <t>Infraestructura de red [miembro]</t>
  </si>
  <si>
    <t>Plantas productoras [miembro]</t>
  </si>
  <si>
    <t>Propiedades de minería [miembro]</t>
  </si>
  <si>
    <t>Activos de minería [miembro]</t>
  </si>
  <si>
    <t>Activos de petróleo y gas [miembro]</t>
  </si>
  <si>
    <t>Activos generadores de energía [miembro]</t>
  </si>
  <si>
    <t>Construcciones en proceso [miembro]</t>
  </si>
  <si>
    <t>Otras propiedades, planta y equipo [miembro]</t>
  </si>
  <si>
    <t>Propiedades, planta y equipo [miembro]</t>
  </si>
  <si>
    <t>Activos intangibles distintos de la plusvalía [miembro]</t>
  </si>
  <si>
    <t>Otros activos [miembro]</t>
  </si>
  <si>
    <t>Activos [miembro]</t>
  </si>
  <si>
    <t>Hasta un año [miembro]</t>
  </si>
  <si>
    <t>Más de un año y no más de dos años [miembro]</t>
  </si>
  <si>
    <t>Más de dos años y no más de tres años [miembro]</t>
  </si>
  <si>
    <t>Más de tres años y no más de cuatro años [miembro]</t>
  </si>
  <si>
    <t>Más de cuatro años y no más de cinco años [miembro]</t>
  </si>
  <si>
    <t>Más de cinco años [miembro]</t>
  </si>
  <si>
    <t>Bandas de tiempo acumuladas [miembro]</t>
  </si>
  <si>
    <t>Información a revelar sobre análisis de vencimientos de cuentas por cobrar por pagos por arrendamiento operativo [partidas]</t>
  </si>
  <si>
    <t>Información cuantitativa a revelar sobre activos por derecho de uso [partidas]</t>
  </si>
  <si>
    <t>Pasivos por arrendamiento [sinopsis]</t>
  </si>
  <si>
    <t>Información cuantitativa a revelar sobre activos por derecho de uso [resumen] (b)</t>
  </si>
  <si>
    <t xml:space="preserve">Información a revelar sobre análisis de vencimientos de cuentas por cobrar por pagos por arrendamiento financiero [resumen] (c) </t>
  </si>
  <si>
    <t>Información a revelar sobre análisis de vencimientos de pagos por arrendamiento operativo [resumen] (d)</t>
  </si>
  <si>
    <t>cl-ci_cor_2016-01-11.xsd#cl-ci_ObligacionesLeasingMiembro</t>
  </si>
  <si>
    <t>Total pasivos por arrendamiento [miembro]</t>
  </si>
  <si>
    <t>cl-ci_cor_2016-01-11.xsd#cl-ci_ObligacionesLeasingTabla</t>
  </si>
  <si>
    <t>cl-ci_cor_2016-01-11.xsd#cl-ci_LeasingEje</t>
  </si>
  <si>
    <t>Pasivo 1</t>
  </si>
  <si>
    <t>Pasivo 2</t>
  </si>
  <si>
    <t>cl-ci_cor_2016-01-11.xsd#cl-ci_RUTEntidadDeudora</t>
  </si>
  <si>
    <t>cl-ci_cor_2016-01-11.xsd#cl-ci_NombreEntidadDeudora</t>
  </si>
  <si>
    <t>cl-ci_cor_2016-01-11.xsd#cl-ci_NombreEntidadAcreedora</t>
  </si>
  <si>
    <t>Moneda o unidad de reajuste</t>
  </si>
  <si>
    <t>cl-ci_cor_2016-01-11.xsd#cl-ci_TipoAmortizacion</t>
  </si>
  <si>
    <t>cl-ci_cor_2016-01-11.xsd#cl-ci_TasaEfectiva</t>
  </si>
  <si>
    <t>cl-ci_cor_2016-01-11.xsd#cl-ci_TasaNominal</t>
  </si>
  <si>
    <t>Montos nominales [sinopsis]</t>
  </si>
  <si>
    <t>cl-ci_cor_2016-01-11.xsd#cl-ci_Hasta90DiasLeasingNominales</t>
  </si>
  <si>
    <t>cl-ci_cor_2016-01-11.xsd#cl-ci_MasDe90DiasHasta1AñoLeasingNominales</t>
  </si>
  <si>
    <t>cl-ci_cor_2016-01-11.xsd#cl-ci_MasDe1AñoHasta3AñosLeasingNominales</t>
  </si>
  <si>
    <t>cl-ci_cor_2016-01-11.xsd#cl-ci_MasDe1AñoHasta2AñosLeasingNominales</t>
  </si>
  <si>
    <t>cl-ci_cor_2016-01-11.xsd#cl-ci_MasDe2AñosHasta3AñosLeasingNominales</t>
  </si>
  <si>
    <t>cl-ci_cor_2016-01-11.xsd#cl-ci_MasDe3AñosHasta5AñosLeasingNominales</t>
  </si>
  <si>
    <t>cl-ci_cor_2016-01-11.xsd#cl-ci_MasDe3AñosHasta4AñosLeasingNominales</t>
  </si>
  <si>
    <t>cl-ci_cor_2016-01-11.xsd#cl-ci_MasDe4AñosHasta5AñosLeasingNominales</t>
  </si>
  <si>
    <t>cl-ci_cor_2016-01-11.xsd#cl-ci_MasDe5AñosLeasingNominales</t>
  </si>
  <si>
    <t>cl-ci_cor_2016-01-11.xsd#cl-ci_MontosNominalesLeasing</t>
  </si>
  <si>
    <t>Valores contables [sinopsis]</t>
  </si>
  <si>
    <t>cl-ci_cor_2016-01-11.xsd#cl-ci_Hasta90DiasLeasingContable</t>
  </si>
  <si>
    <t>cl-ci_cor_2016-01-11.xsd#cl-ci_Masde90DiasHasta1AñoLeasingContable</t>
  </si>
  <si>
    <t>cl-ci_cor_2016-01-11.xsd#cl-ci_MasDe1AñoHasta3AñosLeasingContable</t>
  </si>
  <si>
    <t>cl-ci_cor_2016-01-11.xsd#cl-ci_MasDe1AñoHasta2AñosLeasingContable</t>
  </si>
  <si>
    <t>cl-ci_cor_2016-01-11.xsd#cl-ci_MasDe2AñosHasta3AñosLeasingContable</t>
  </si>
  <si>
    <t>cl-ci_cor_2016-01-11.xsd#cl-ci_MasDe3AñosHasta5AñosLeasingContable</t>
  </si>
  <si>
    <t>cl-ci_cor_2016-01-11.xsd#cl-ci_MasDe3AñosHasta4AñosLeasingContable</t>
  </si>
  <si>
    <t>cl-ci_cor_2016-01-11.xsd#cl-ci_MasDe4AñosHasta5AñosLeasingContable</t>
  </si>
  <si>
    <t>cl-ci_cor_2016-01-11.xsd#cl-ci_MasDe5AñosLeasingContable</t>
  </si>
  <si>
    <t>Pasivos por arrendamiento [partidas]</t>
  </si>
  <si>
    <t xml:space="preserve">Pasivos por arrendamiento [sinopsis] [resumen] (a) </t>
  </si>
  <si>
    <t>Información a revelar cuantitativa sobre activos por derecho de uso [tabla]</t>
  </si>
  <si>
    <t>Información a revelar sobre análisis de vencimientos de cuentas por cobrar por pagos por arrendamiento financiero [tabla] [Texto]</t>
  </si>
  <si>
    <t>Información a revelar sobre análisis de vencimientos de pagos por arrendamiento operativo [tabla]</t>
  </si>
  <si>
    <t>RUT entidad deudora [Texto]</t>
  </si>
  <si>
    <t>Nombre entidad deudora [Texto]</t>
  </si>
  <si>
    <t>Nombre entidad acreedora [Texto]</t>
  </si>
  <si>
    <t>Tipo de amortización [Texto]</t>
  </si>
  <si>
    <t>hasta 90 días [Número]</t>
  </si>
  <si>
    <t>más de 90 días hasta 1 año [Número]</t>
  </si>
  <si>
    <t>más de 1 año hasta 3 años [Número]</t>
  </si>
  <si>
    <t>más de 1 año hasta 2 años [Número]</t>
  </si>
  <si>
    <t>más de 2 años hasta 3 años [Número]</t>
  </si>
  <si>
    <t>más de 3 años hasta 5 años [Número]</t>
  </si>
  <si>
    <t>más de 3 años hasta 4 años [Número]</t>
  </si>
  <si>
    <t>más de 4 años hasta 5 años [Número]</t>
  </si>
  <si>
    <t>más de 5 años [Número]</t>
  </si>
  <si>
    <t>Total montos nominales [Número]</t>
  </si>
  <si>
    <t>Pasivos por arrendamientos corriente [Número]</t>
  </si>
  <si>
    <t>Pasivos por arrendamientos no corriente [Número]</t>
  </si>
  <si>
    <t>Pasivos por arrendamientos [Número]</t>
  </si>
  <si>
    <t>CHL: Chile</t>
  </si>
  <si>
    <t>CLP: Chilean Peso</t>
  </si>
  <si>
    <t>USA: United States of America (the)</t>
  </si>
  <si>
    <t>CLF: Unidad de Fomento</t>
  </si>
  <si>
    <t>ABW: Aruba</t>
  </si>
  <si>
    <t>USD: US Dollar</t>
  </si>
  <si>
    <t>AFG: Afghanistan</t>
  </si>
  <si>
    <t>AED: UAE Dirham</t>
  </si>
  <si>
    <t>AGO: Angola</t>
  </si>
  <si>
    <t>AFN: Afghani</t>
  </si>
  <si>
    <t>AIA: Anguilla</t>
  </si>
  <si>
    <t>ALL: Lek</t>
  </si>
  <si>
    <t>ALA: Aland Islands</t>
  </si>
  <si>
    <t>AMD: Armenian Dram</t>
  </si>
  <si>
    <t>ALB: Albania</t>
  </si>
  <si>
    <t>ANG: Netherlands Antillean Guilder</t>
  </si>
  <si>
    <t>AND: Andorra</t>
  </si>
  <si>
    <t>AOA: Kwanza</t>
  </si>
  <si>
    <t>ARE: United Arab Emirates (the)</t>
  </si>
  <si>
    <t>ARS: Argentine Peso</t>
  </si>
  <si>
    <t>ARG: Argentina</t>
  </si>
  <si>
    <t>AUD: Australian Dollar</t>
  </si>
  <si>
    <t>ARM: Armenia</t>
  </si>
  <si>
    <t>AWG: Aruban Florin</t>
  </si>
  <si>
    <t>ASM: American Samoa</t>
  </si>
  <si>
    <t>AZN: Azerbaijanian Manat</t>
  </si>
  <si>
    <t>ATA: Antarctica</t>
  </si>
  <si>
    <t>BAM: Convertible Mark</t>
  </si>
  <si>
    <t>ATF: French Southern Territories (the)</t>
  </si>
  <si>
    <t>BBD: Barbados Dollar</t>
  </si>
  <si>
    <t>ATG: Antigua and Barbuda</t>
  </si>
  <si>
    <t>BDT: Taka</t>
  </si>
  <si>
    <t>AUS: Australia</t>
  </si>
  <si>
    <t>BGN: Bulgarian Lev</t>
  </si>
  <si>
    <t>AUT: Austria</t>
  </si>
  <si>
    <t>BHD: Bahraini Dinar</t>
  </si>
  <si>
    <t>AZE: Azerbaijan</t>
  </si>
  <si>
    <t>BIF: Burundi Franc</t>
  </si>
  <si>
    <t>BDI: Burundi</t>
  </si>
  <si>
    <t>BMD: Bermudian Dollar</t>
  </si>
  <si>
    <t>BEL: Belgium</t>
  </si>
  <si>
    <t>BND: Brunei Dollar</t>
  </si>
  <si>
    <t>BEN: Benin</t>
  </si>
  <si>
    <t>BOB: Boliviano</t>
  </si>
  <si>
    <t>BES: Bonaire, Sint Eustatius and Saba</t>
  </si>
  <si>
    <t>BOV: Mvdol</t>
  </si>
  <si>
    <t>BFA: Burkina Faso</t>
  </si>
  <si>
    <t>BRL: Brazilian Real</t>
  </si>
  <si>
    <t>BGD: Bangladesh</t>
  </si>
  <si>
    <t>BSD: Bahamian Dollar</t>
  </si>
  <si>
    <t>BGR: Bulgaria</t>
  </si>
  <si>
    <t>BTN: Ngultrum</t>
  </si>
  <si>
    <t>BHR: Bahrain</t>
  </si>
  <si>
    <t>BWP: Pula</t>
  </si>
  <si>
    <t>BHS: Bahamas (the)</t>
  </si>
  <si>
    <t>BYN: Belarussian Ruble</t>
  </si>
  <si>
    <t>BIH: Bosnia and Herzegovina</t>
  </si>
  <si>
    <t>BZD: Belize Dollar</t>
  </si>
  <si>
    <t>BLM: Saint Barthelemy</t>
  </si>
  <si>
    <t>CAD: Canadian Dollar</t>
  </si>
  <si>
    <t>BLR: Belarus</t>
  </si>
  <si>
    <t>CDF: Congolese Franc</t>
  </si>
  <si>
    <t>BLZ: Belize</t>
  </si>
  <si>
    <t>CHE: WIR Euro</t>
  </si>
  <si>
    <t>BMU: Bermuda</t>
  </si>
  <si>
    <t>CHF: Swiss Franc</t>
  </si>
  <si>
    <t>BOL: Bolivia, Plurinational State of</t>
  </si>
  <si>
    <t>CHW: WIR Franc</t>
  </si>
  <si>
    <t>BRA: Brazil</t>
  </si>
  <si>
    <t>CNY: Yuan Renminbi</t>
  </si>
  <si>
    <t>BRB: Barbados</t>
  </si>
  <si>
    <t>COP: Colombian Peso</t>
  </si>
  <si>
    <t>BRN: Brunei Darussalam</t>
  </si>
  <si>
    <t>COU: Unidad de Valor Real</t>
  </si>
  <si>
    <t>BTN: Bhutan</t>
  </si>
  <si>
    <t>CRC: Costa Rican Colon</t>
  </si>
  <si>
    <t>BVT: Bouvet Island</t>
  </si>
  <si>
    <t>CUC: Peso Convertible</t>
  </si>
  <si>
    <t>BWA: Botswana</t>
  </si>
  <si>
    <t>CUP: Cuban Peso</t>
  </si>
  <si>
    <t>CAF: Central African Republic (the)</t>
  </si>
  <si>
    <t>CVE: Cabo Verde Escudo</t>
  </si>
  <si>
    <t>CAN: Canada</t>
  </si>
  <si>
    <t>CZK: Czech Koruna</t>
  </si>
  <si>
    <t>CCK: Cocos (Keeling) Islands (the)</t>
  </si>
  <si>
    <t>DJF: Djibouti Franc</t>
  </si>
  <si>
    <t>CHE: Switzerland</t>
  </si>
  <si>
    <t>DKK: Danish Krone</t>
  </si>
  <si>
    <t>CHN: China</t>
  </si>
  <si>
    <t>DOP: Dominican Peso</t>
  </si>
  <si>
    <t>CIV: Cote d'Ivoire</t>
  </si>
  <si>
    <t>DZD: Algerian Dinar</t>
  </si>
  <si>
    <t>CMR: Cameroon</t>
  </si>
  <si>
    <t>EGP: Egyptian Pound</t>
  </si>
  <si>
    <t>COD: Congo (the Democratic Republic of the)</t>
  </si>
  <si>
    <t>ERN: Nakfa</t>
  </si>
  <si>
    <t>COG: Congo</t>
  </si>
  <si>
    <t>ETB: Ethiopian Birr</t>
  </si>
  <si>
    <t>COK: Cook Islands (the)</t>
  </si>
  <si>
    <t>EUR: Euro</t>
  </si>
  <si>
    <t>COL: Colombia</t>
  </si>
  <si>
    <t>FJD: Fiji Dollar</t>
  </si>
  <si>
    <t>COM: Comoros</t>
  </si>
  <si>
    <t>FKP: Falkland Islands Pound</t>
  </si>
  <si>
    <t>CPV: Cabo Verde</t>
  </si>
  <si>
    <t>GBP: Pound Sterling</t>
  </si>
  <si>
    <t>CRI: Costa Rica</t>
  </si>
  <si>
    <t>GEL: Lari</t>
  </si>
  <si>
    <t>CUB: Cuba</t>
  </si>
  <si>
    <t>GHS: Ghana Cedi</t>
  </si>
  <si>
    <t>CUW: Curazao</t>
  </si>
  <si>
    <t>GIP: Gibraltar Pound</t>
  </si>
  <si>
    <t>CXR: Christmas Island</t>
  </si>
  <si>
    <t>GMD: Dalasi</t>
  </si>
  <si>
    <t>CYM: Cayman Islands (the)</t>
  </si>
  <si>
    <t>GNF: Guinea Franc</t>
  </si>
  <si>
    <t>CYP: Cyprus</t>
  </si>
  <si>
    <t>GTQ: Quetzal</t>
  </si>
  <si>
    <t>CZE: Czech Republic (the)</t>
  </si>
  <si>
    <t>GYD: Dólar guyanés</t>
  </si>
  <si>
    <t>DEU: Germany</t>
  </si>
  <si>
    <t>HKD: Hong Kong Dollar</t>
  </si>
  <si>
    <t>DJI: Djibouti</t>
  </si>
  <si>
    <t>HNL: Lempira</t>
  </si>
  <si>
    <t>DMA: Dominica</t>
  </si>
  <si>
    <t>HRK: Kuna</t>
  </si>
  <si>
    <t>DNK: Denmark</t>
  </si>
  <si>
    <t>HTG: Gourde</t>
  </si>
  <si>
    <t>DOM: Dominican Republic (the)</t>
  </si>
  <si>
    <t>HUF: Forint</t>
  </si>
  <si>
    <t>DZA: Algeria</t>
  </si>
  <si>
    <t>IDR: Rupiah</t>
  </si>
  <si>
    <t>ECU: Ecuador</t>
  </si>
  <si>
    <t>ILS: New Israeli Sheqel</t>
  </si>
  <si>
    <t>EGY: Egypt</t>
  </si>
  <si>
    <t>INR: Indian Rupee</t>
  </si>
  <si>
    <t>ERI: Eritrea</t>
  </si>
  <si>
    <t>IQD: Iraqi Dinar</t>
  </si>
  <si>
    <t>ESH: Western Sahara</t>
  </si>
  <si>
    <t>IRR: Iranian Rial</t>
  </si>
  <si>
    <t>ESP: Spain</t>
  </si>
  <si>
    <t>ISK: Iceland Krona</t>
  </si>
  <si>
    <t>EST: Estonia</t>
  </si>
  <si>
    <t>JMD: Jamaican Dollar</t>
  </si>
  <si>
    <t>ETH: Ethiopia</t>
  </si>
  <si>
    <t>JOD: Jordanian Dinar</t>
  </si>
  <si>
    <t>FIN: Finland</t>
  </si>
  <si>
    <t>JPY: Yen</t>
  </si>
  <si>
    <t>FJI: Fiji</t>
  </si>
  <si>
    <t>KES: Kenyan Shilling</t>
  </si>
  <si>
    <t>FLK: Falkland Islands (the) [Malvinas]</t>
  </si>
  <si>
    <t>KGS: Som</t>
  </si>
  <si>
    <t>FRA: France</t>
  </si>
  <si>
    <t>KHR: Riel</t>
  </si>
  <si>
    <t>FRO: Faroe Islands (the)</t>
  </si>
  <si>
    <t>KMF: Comoro Franc</t>
  </si>
  <si>
    <t>FSM: Micronesia (the Federated States of)</t>
  </si>
  <si>
    <t>KPW: North Korean Won</t>
  </si>
  <si>
    <t>GAB: Gabon</t>
  </si>
  <si>
    <t>KRW: Won</t>
  </si>
  <si>
    <t>GBR: United Kingdom (the)</t>
  </si>
  <si>
    <t>KWD: Kuwaiti Dinar</t>
  </si>
  <si>
    <t>GEO: Georgia</t>
  </si>
  <si>
    <t>KYD: Cayman Islands Dollar</t>
  </si>
  <si>
    <t>GGY: Guernsey</t>
  </si>
  <si>
    <t>KZT: Tenge</t>
  </si>
  <si>
    <t>GHA: Ghana</t>
  </si>
  <si>
    <t>LAK: Kip</t>
  </si>
  <si>
    <t>GIB: Gibraltar</t>
  </si>
  <si>
    <t>LBP: Lebanese Pound</t>
  </si>
  <si>
    <t>GIN: Guinea</t>
  </si>
  <si>
    <t>LKR: Sri Lanka Rupee</t>
  </si>
  <si>
    <t>GLP: Guadeloupe</t>
  </si>
  <si>
    <t>LRD: Liberian Dollar</t>
  </si>
  <si>
    <t>GMB: Gambia (The)</t>
  </si>
  <si>
    <t>LSL: Loti</t>
  </si>
  <si>
    <t>GNB: Guinea-Bissau</t>
  </si>
  <si>
    <t>LYD: Libyan Dinar</t>
  </si>
  <si>
    <t>GNQ: Equatorial Guinea</t>
  </si>
  <si>
    <t>MAD: Moroccan Dirham</t>
  </si>
  <si>
    <t>GRC: Greece</t>
  </si>
  <si>
    <t>MDL: Moldovan Leu</t>
  </si>
  <si>
    <t>GRD: Grenada</t>
  </si>
  <si>
    <t>MGA: Ariary malgache</t>
  </si>
  <si>
    <t>GRL: Greenland</t>
  </si>
  <si>
    <t>MKD: Denar</t>
  </si>
  <si>
    <t>GTM: Guatemala</t>
  </si>
  <si>
    <t>MMK: Kyat</t>
  </si>
  <si>
    <t>GUF: French Guiana</t>
  </si>
  <si>
    <t>MNT: Tugrik</t>
  </si>
  <si>
    <t>GUM: Guam</t>
  </si>
  <si>
    <t>MOP: Pataca</t>
  </si>
  <si>
    <t>GUY: Guyana</t>
  </si>
  <si>
    <t>MRU: Ouguiya</t>
  </si>
  <si>
    <t>HKG: Hong Kong</t>
  </si>
  <si>
    <t>MUR: Mauritius Rupee</t>
  </si>
  <si>
    <t>HMD: Heard Island and McDonald Islands</t>
  </si>
  <si>
    <t>MVR: Rufiyaa</t>
  </si>
  <si>
    <t>HND: Honduras</t>
  </si>
  <si>
    <t>MWK: Kwacha</t>
  </si>
  <si>
    <t>HRV: Croatia</t>
  </si>
  <si>
    <t>MXN: Mexican Peso</t>
  </si>
  <si>
    <t>HTI: Haiti</t>
  </si>
  <si>
    <t>MXV: Mexican Unidad de Inversion (UDI)</t>
  </si>
  <si>
    <t>HUN: Hungary</t>
  </si>
  <si>
    <t>MYR: Malaysian Ringgit</t>
  </si>
  <si>
    <t>IDN: Indonesia</t>
  </si>
  <si>
    <t>MZN: Mozambique Metical</t>
  </si>
  <si>
    <t>IMN: Isle of Man</t>
  </si>
  <si>
    <t>NAD: Namibia Dollar</t>
  </si>
  <si>
    <t>IND: India</t>
  </si>
  <si>
    <t>NGN: Naira</t>
  </si>
  <si>
    <t>IOT: British Indian Ocean Territory (the)</t>
  </si>
  <si>
    <t>NIO: Cordoba Oro</t>
  </si>
  <si>
    <t>IRL: Ireland</t>
  </si>
  <si>
    <t>NOK: Norwegian Krone</t>
  </si>
  <si>
    <t>IRN: Iran (the Islamic Republic of)</t>
  </si>
  <si>
    <t>NPR: Nepalese Rupee</t>
  </si>
  <si>
    <t>IRQ: Iraq</t>
  </si>
  <si>
    <t>NZD: New Zealand Dollar</t>
  </si>
  <si>
    <t>ISL: Iceland</t>
  </si>
  <si>
    <t>OMR: Rial Omani</t>
  </si>
  <si>
    <t>ISR: Israel</t>
  </si>
  <si>
    <t>PAB: Balboa</t>
  </si>
  <si>
    <t>ITA: Italy</t>
  </si>
  <si>
    <t>PEN: Sol</t>
  </si>
  <si>
    <t>JAM: Jamaica</t>
  </si>
  <si>
    <t>PGK: Kina</t>
  </si>
  <si>
    <t>JEY: Jersey</t>
  </si>
  <si>
    <t>PHP: Philippine Peso</t>
  </si>
  <si>
    <t>JOR: Jordan</t>
  </si>
  <si>
    <t>PKR: Pakistan Rupee</t>
  </si>
  <si>
    <t>JPN: Japan</t>
  </si>
  <si>
    <t>PLN: Zloty</t>
  </si>
  <si>
    <t>KAZ: Kazakhstan</t>
  </si>
  <si>
    <t>PYG: Guarani</t>
  </si>
  <si>
    <t>KEN: Kenya</t>
  </si>
  <si>
    <t>QAR: Qatari Rial</t>
  </si>
  <si>
    <t>KGZ: Kyrgyzstan</t>
  </si>
  <si>
    <t>RON: Romanian Leu</t>
  </si>
  <si>
    <t>KHM: Cambodia</t>
  </si>
  <si>
    <t>RSD: Serbian Dinar</t>
  </si>
  <si>
    <t>KIR: Kiribati</t>
  </si>
  <si>
    <t>RUB: Russian Ruble</t>
  </si>
  <si>
    <t>KNA: Saint Kitts and Nevis</t>
  </si>
  <si>
    <t>RWF: Rwanda Franc</t>
  </si>
  <si>
    <t>KOR: Korea (the Republic of)</t>
  </si>
  <si>
    <t>SAR: Saudi Riyal</t>
  </si>
  <si>
    <t>KWT: Kuwait</t>
  </si>
  <si>
    <t>SBD: Solomon Islands Dollar</t>
  </si>
  <si>
    <t>LAO: Lao People's Democratic Republic (the)</t>
  </si>
  <si>
    <t>SCR: Seychelles Rupee</t>
  </si>
  <si>
    <t>LBN: Lebanon</t>
  </si>
  <si>
    <t>SDG: Sudanese Pound</t>
  </si>
  <si>
    <t>LBR: Liberia</t>
  </si>
  <si>
    <t>SEK: Swedish Krona</t>
  </si>
  <si>
    <t>LBY: Libya</t>
  </si>
  <si>
    <t>SGD: Singapore Dollar</t>
  </si>
  <si>
    <t>LCA: Saint Lucia</t>
  </si>
  <si>
    <t>SHP: Saint Helena Pound</t>
  </si>
  <si>
    <t>LIE: Liechtenstein</t>
  </si>
  <si>
    <t>SLL: Leone</t>
  </si>
  <si>
    <t>LKA: Sri Lanka</t>
  </si>
  <si>
    <t>SOS: Somali Shilling</t>
  </si>
  <si>
    <t>LSO: Lesotho</t>
  </si>
  <si>
    <t>SRD: Surinam Dollar</t>
  </si>
  <si>
    <t>LTU: Lithuania</t>
  </si>
  <si>
    <t>SSP: South Sudanese Pound</t>
  </si>
  <si>
    <t>LUX: Luxembourg</t>
  </si>
  <si>
    <t>STN: Dobra</t>
  </si>
  <si>
    <t>LVA: Latvia</t>
  </si>
  <si>
    <t>SVC: El Salvador Colon</t>
  </si>
  <si>
    <t>MAC: Macao</t>
  </si>
  <si>
    <t>SYP: Syrian Pound</t>
  </si>
  <si>
    <t>MAF: Saint Martin (French part)</t>
  </si>
  <si>
    <t>SZL: Lilangeni</t>
  </si>
  <si>
    <t>MAR: Morocco</t>
  </si>
  <si>
    <t>THB: Baht</t>
  </si>
  <si>
    <t>MCO: Monaco</t>
  </si>
  <si>
    <t>TJS: Somoni</t>
  </si>
  <si>
    <t>MDA: Moldova (the Republic of)</t>
  </si>
  <si>
    <t>TMT: Turkmenistan Manat</t>
  </si>
  <si>
    <t>MDG: Madagascar</t>
  </si>
  <si>
    <t>TND: Tunisian Dinar</t>
  </si>
  <si>
    <t>MDV: Maldives</t>
  </si>
  <si>
    <t>TOP: Pa anga</t>
  </si>
  <si>
    <t>MEX: Mexico</t>
  </si>
  <si>
    <t>TRY: Turkish Lira</t>
  </si>
  <si>
    <t>MHL: Marshall Islands (the)</t>
  </si>
  <si>
    <t>TTD: Trinidad and Tobago Dollar</t>
  </si>
  <si>
    <t>MKD: Macedonia (the former Yugoslav Republic of)</t>
  </si>
  <si>
    <t>TWD: New Taiwan Dollar</t>
  </si>
  <si>
    <t>MLI: Mali</t>
  </si>
  <si>
    <t>TZS: Tanzanian Shilling</t>
  </si>
  <si>
    <t>MLT: Malta</t>
  </si>
  <si>
    <t>UAH: Hryvnia</t>
  </si>
  <si>
    <t>MMR: Myanmar</t>
  </si>
  <si>
    <t>UGX: Uganda Shilling</t>
  </si>
  <si>
    <t>MNE: Montenegro</t>
  </si>
  <si>
    <t>USN: US Dollar (Next day)</t>
  </si>
  <si>
    <t>MNG: Mongolia</t>
  </si>
  <si>
    <t>UYI: Uruguay Peso en Unidades Indexadas (URUIURUI)</t>
  </si>
  <si>
    <t>MNP: Northern Mariana Islands (the)</t>
  </si>
  <si>
    <t>UYU: Peso Uruguayo</t>
  </si>
  <si>
    <t>MOZ: Mozambique</t>
  </si>
  <si>
    <t>UYW: Unidad previsional</t>
  </si>
  <si>
    <t>MRT: Mauritania</t>
  </si>
  <si>
    <t>UZS: Uzbekistan Sum</t>
  </si>
  <si>
    <t>MSR: Montserrat</t>
  </si>
  <si>
    <t>VES: Bolívar soberano</t>
  </si>
  <si>
    <t>MTQ: Martinique</t>
  </si>
  <si>
    <t>VND: Dong</t>
  </si>
  <si>
    <t>MUS: Mauritius</t>
  </si>
  <si>
    <t>VUV: Vatu</t>
  </si>
  <si>
    <t>MWI: Malawi</t>
  </si>
  <si>
    <t>WST: Tala</t>
  </si>
  <si>
    <t>MYS: Malaysia</t>
  </si>
  <si>
    <t>XAF: CFA Franc BEAC</t>
  </si>
  <si>
    <t>MYT: Mayotte</t>
  </si>
  <si>
    <t>XAG: Silver</t>
  </si>
  <si>
    <t>NAM: Namibia</t>
  </si>
  <si>
    <t>XAU: Gold</t>
  </si>
  <si>
    <t>NCL: New Caledonia</t>
  </si>
  <si>
    <t>XBA: Bond Markets Unit European Composite Unit (EURCO)</t>
  </si>
  <si>
    <t>NER: Niger (the)</t>
  </si>
  <si>
    <t>XBB: Bond Markets Unit European Monetary Unit (E.M.U.-6)</t>
  </si>
  <si>
    <t>NFK: Norfolk Island</t>
  </si>
  <si>
    <t>XBC: Bond Markets Unit European Unit of Account 9 (E.U.A.-9)</t>
  </si>
  <si>
    <t>NGA: Nigeria</t>
  </si>
  <si>
    <t>XBD: Bond Markets Unit European Unit of Account 17 (E.U.A.-17)</t>
  </si>
  <si>
    <t>NIC: Nicaragua</t>
  </si>
  <si>
    <t>XCD: East Caribbean Dollar</t>
  </si>
  <si>
    <t>NIU: Niue</t>
  </si>
  <si>
    <t>XDR: SDR (Special Drawing Right)</t>
  </si>
  <si>
    <t>NLD: Netherlands (the)</t>
  </si>
  <si>
    <t>XOF: CFA Franc BCEAO</t>
  </si>
  <si>
    <t>NOR: Norway</t>
  </si>
  <si>
    <t>XPD: Palladium</t>
  </si>
  <si>
    <t>NPL: Nepal</t>
  </si>
  <si>
    <t>XPF: CFP Franc</t>
  </si>
  <si>
    <t>NRU: Nauru</t>
  </si>
  <si>
    <t>XPT: Platinum</t>
  </si>
  <si>
    <t>NZL: New Zealand</t>
  </si>
  <si>
    <t>XSU: Sucre</t>
  </si>
  <si>
    <t>OMN: Oman</t>
  </si>
  <si>
    <t>XTS: Codes specifically reserved for testing purposes</t>
  </si>
  <si>
    <t>PAK: Pakistan</t>
  </si>
  <si>
    <t>XUA: ADB Unit of Account</t>
  </si>
  <si>
    <t>PAN: Panama</t>
  </si>
  <si>
    <t>XXX: The codes assigned for transactions where no currency is involved</t>
  </si>
  <si>
    <t>PCN: Pitcairn</t>
  </si>
  <si>
    <t>YER: Yemeni Rial</t>
  </si>
  <si>
    <t>PER: Peru</t>
  </si>
  <si>
    <t>ZAR: Rand</t>
  </si>
  <si>
    <t>PHL: Philippines (the)</t>
  </si>
  <si>
    <t>ZMW: Zambian Kwacha</t>
  </si>
  <si>
    <t>PLW: Palau</t>
  </si>
  <si>
    <t>ZWL: Zimbabwe Dollar</t>
  </si>
  <si>
    <t>PNG: Papua New Guinea</t>
  </si>
  <si>
    <t>OTRAS: Otras Monedas</t>
  </si>
  <si>
    <t>POL: Poland</t>
  </si>
  <si>
    <t>PRI: Puerto Rico</t>
  </si>
  <si>
    <t>PRK: Korea (the Democratic People's Republic of)</t>
  </si>
  <si>
    <t>PRT: Portugal</t>
  </si>
  <si>
    <t>PRY: Paraguay</t>
  </si>
  <si>
    <t>PSE: Palestine, State of</t>
  </si>
  <si>
    <t>PYF: French Polynesia</t>
  </si>
  <si>
    <t>QAT: Qatar</t>
  </si>
  <si>
    <t>REU: Reunion</t>
  </si>
  <si>
    <t>ROU: Romania</t>
  </si>
  <si>
    <t>RUS: Russian Federation (the)</t>
  </si>
  <si>
    <t>RWA: Rwanda</t>
  </si>
  <si>
    <t>SAU: Saudi Arabia</t>
  </si>
  <si>
    <t>SDN: Sudan (the)</t>
  </si>
  <si>
    <t>SEN: Senegal</t>
  </si>
  <si>
    <t>SGP: Singapore</t>
  </si>
  <si>
    <t>SGS: South Georgia and the South Sandwich Islands</t>
  </si>
  <si>
    <t>SHN: Saint Helena, Ascension and Tristan da Cunha</t>
  </si>
  <si>
    <t>SJM: Svalbard and Jan Mayen</t>
  </si>
  <si>
    <t>SLB: Solomon Islands (the)</t>
  </si>
  <si>
    <t>SLE: Sierra Leone</t>
  </si>
  <si>
    <t>SLV: El Salvador</t>
  </si>
  <si>
    <t>SMR: San Marino</t>
  </si>
  <si>
    <t>SOM: Somalia</t>
  </si>
  <si>
    <t>SPM: Saint Pierre and Miquelon</t>
  </si>
  <si>
    <t>SRB: Serbia</t>
  </si>
  <si>
    <t>SSD: South Sudan</t>
  </si>
  <si>
    <t>STP: Sao Tome and Principe</t>
  </si>
  <si>
    <t>SUR: Suriname</t>
  </si>
  <si>
    <t>SVK: Slovakia</t>
  </si>
  <si>
    <t>SVN: Slovenia</t>
  </si>
  <si>
    <t>SWE: Sweden</t>
  </si>
  <si>
    <t>SWZ: Eswatini (the Kingdom of)</t>
  </si>
  <si>
    <t>SXM: Sint Maarten (Dutch part)</t>
  </si>
  <si>
    <t>SYC: Seychelles</t>
  </si>
  <si>
    <t>SYR: Syrian Arab Republic (the)</t>
  </si>
  <si>
    <t>TCA: Turks and Caicos Islands (the)</t>
  </si>
  <si>
    <t>TCD: Chad</t>
  </si>
  <si>
    <t>TGO: Togo</t>
  </si>
  <si>
    <t>THA: Thailand</t>
  </si>
  <si>
    <t>TJK: Tajikistan</t>
  </si>
  <si>
    <t>TKL: Tokelau</t>
  </si>
  <si>
    <t>TKM: Turkmenistan</t>
  </si>
  <si>
    <t>TLS: Timor-Leste</t>
  </si>
  <si>
    <t>TON: Tonga</t>
  </si>
  <si>
    <t>TTO: Trinidad and Tobago</t>
  </si>
  <si>
    <t>TUN: Tunisia</t>
  </si>
  <si>
    <t>TUR: Turkey</t>
  </si>
  <si>
    <t>TUV: Tuvalu</t>
  </si>
  <si>
    <t>TWN: Taiwan (Province of China)</t>
  </si>
  <si>
    <t>TZA: Tanzania, United Republic of</t>
  </si>
  <si>
    <t>UGA: Uganda</t>
  </si>
  <si>
    <t>UKR: Ukraine</t>
  </si>
  <si>
    <t>UMI: United States Minor Outlying Islands (the)</t>
  </si>
  <si>
    <t>URY: Uruguay</t>
  </si>
  <si>
    <t>UZB: Uzbekistan</t>
  </si>
  <si>
    <t>VAT: Holy See (the) [Vatican City State]</t>
  </si>
  <si>
    <t>VCT: Saint Vincent and the Grenadines</t>
  </si>
  <si>
    <t>VEN: Venezuela, Bolivarian Republic of</t>
  </si>
  <si>
    <t>VGB: Virgin Islands (British)</t>
  </si>
  <si>
    <t>VIR: Virgin Islands (U.S.)</t>
  </si>
  <si>
    <t>VNM: Viet Nam</t>
  </si>
  <si>
    <t>VUT: Vanuatu</t>
  </si>
  <si>
    <t>WLF: Wallis and Futuna</t>
  </si>
  <si>
    <t>WSM: Samoa</t>
  </si>
  <si>
    <t>YEM: Yemen</t>
  </si>
  <si>
    <t>ZAF: South Africa</t>
  </si>
  <si>
    <t>ZMB: Zambia</t>
  </si>
  <si>
    <t>ZWE: Zimbabwe</t>
  </si>
  <si>
    <t>cl-ci_cor_2020-01-02.xsd#cl-ci_PaisEmpresaDeudora</t>
  </si>
  <si>
    <t>cl-ci_cor_2020-01-02.xsd#cl-ci_MonedaOUnidadReajuste</t>
  </si>
  <si>
    <t>cl-ci_cor_2020-01-02.xsd#cl-ci_ActivosPorDerechoDeUsoTotal</t>
  </si>
  <si>
    <t>full_ifrs-cor_2016-03-31.xsd#ifrs-full_DisclosureOfLeasesExplanatory</t>
  </si>
  <si>
    <t>AAN</t>
  </si>
  <si>
    <t>INI</t>
  </si>
  <si>
    <t>Tasa  efectiva [Decimal]</t>
  </si>
  <si>
    <t>Tasa nominal [Decimal]</t>
  </si>
  <si>
    <t>País de la empresa deudora [Lista]</t>
  </si>
  <si>
    <t xml:space="preserve">    Promedio ponderado de la tasa incremental de préstamos recibidos del arrendatario aplicada a los pasivos por arrendamiento reconocidos en la fecha de aplicación inicial de la NIIF 16  [decimal]</t>
  </si>
  <si>
    <t>full_ifrs-cor_2021-03-24.xsd#ifrs-full_StatementThatLesseeAppliedPracticalExpedientInParagraph46AOfIFRS16ToAllRentConcessionsOccurringAsDirectConsequenceOfCovid19PandemicThatMeetConditionsInParagraph46BOfIFRS16</t>
  </si>
  <si>
    <t>full_ifrs-cor_2021-03-24.xsd#ifrs-full_DisclosureOfInformationAboutNatureOfContractsToWhichLesseeAppliedPracticalExpedientInParagraph46AOfIFRS16IfItIsNotAppliedToAllRentConcessionsOccurringAsDirectConsequenceOfCovid19PandemicExplanatory</t>
  </si>
  <si>
    <t>full_ifrs-cor_2021-03-24.xsd#ifrs-full_AmountRecognisedInProfitOrLossForReportingPeriodToReflectChangesInLeasePaymentsThatAriseFromRentConcessionsOccurringAsDirectConsequenceOfCovid19PandemicToWhichLesseeAppliedPracticalExpedientInParagraph46AOfIFRS16</t>
  </si>
  <si>
    <t>Información a revelar sobre la naturaleza de los contratos a los que el arrendatario aplicó soluciones prácticas del párrafo 46A de la NIIF 16 si no se aplica a todas las concesiones de alquiler que ocurren como consecuencia directa de la pandemia de covid-19 [bloque de texto]</t>
  </si>
  <si>
    <t>Declaración de que el arrendatario aplicó soluciones prácticas del párrafo 46A de la NIIF 16 a todas las concesiones de alquiler que se produzcan como consecuencia directa de la pandemia del covid-19 que cumplan las condiciones del párrafo 46B de la NIIF 16 [Texto]</t>
  </si>
  <si>
    <t>Importe reconocido en el resultado del periodo para reflejar los cambios en los pagos de arrendamiento que surgen de concesiones de arrendamiento que se producen como consecuencia directa de la pandemia del covid-19 a la que el arrendatario aplicó soluciones prácticas del párrafo 46A de la NIIF 16 [Numérico]</t>
  </si>
  <si>
    <t>14.0</t>
  </si>
  <si>
    <t>pre_cl-ci_ifrs-16_2023-03-23_role-832610</t>
  </si>
  <si>
    <t>full_ifrs-cor_2016-03-31.xsd#ifrs-full_RightofuseAssets</t>
  </si>
  <si>
    <t xml:space="preserve">      Activos por derecho de uso [Número]</t>
  </si>
  <si>
    <t>a</t>
  </si>
  <si>
    <t>b</t>
  </si>
  <si>
    <t>c</t>
  </si>
  <si>
    <t>d</t>
  </si>
  <si>
    <t>e</t>
  </si>
  <si>
    <t>f</t>
  </si>
  <si>
    <t>g</t>
  </si>
  <si>
    <t>h</t>
  </si>
  <si>
    <t>s</t>
  </si>
  <si>
    <t>i</t>
  </si>
  <si>
    <t>j</t>
  </si>
  <si>
    <t>k</t>
  </si>
  <si>
    <t>m</t>
  </si>
  <si>
    <t>n</t>
  </si>
  <si>
    <t>t</t>
  </si>
  <si>
    <t>o</t>
  </si>
  <si>
    <t>p</t>
  </si>
  <si>
    <t>q</t>
  </si>
  <si>
    <t>r</t>
  </si>
  <si>
    <t>u</t>
  </si>
  <si>
    <t>v</t>
  </si>
  <si>
    <t>w</t>
  </si>
  <si>
    <t>x</t>
  </si>
  <si>
    <t>y</t>
  </si>
  <si>
    <t>z</t>
  </si>
  <si>
    <t>aa</t>
  </si>
  <si>
    <t>aaa</t>
  </si>
  <si>
    <t>Z</t>
  </si>
  <si>
    <t>X</t>
  </si>
  <si>
    <t>E</t>
  </si>
  <si>
    <t>R</t>
  </si>
  <si>
    <t>A</t>
  </si>
  <si>
    <t>B</t>
  </si>
  <si>
    <t>C</t>
  </si>
  <si>
    <t>T</t>
  </si>
  <si>
    <t>V</t>
  </si>
  <si>
    <t>BN</t>
  </si>
  <si>
    <t>M</t>
  </si>
  <si>
    <t>Y</t>
  </si>
  <si>
    <t>U</t>
  </si>
  <si>
    <t>I</t>
  </si>
  <si>
    <t>O</t>
  </si>
  <si>
    <t>D</t>
  </si>
  <si>
    <t>F</t>
  </si>
  <si>
    <t>G</t>
  </si>
  <si>
    <t>S</t>
  </si>
  <si>
    <t>P</t>
  </si>
  <si>
    <t>H</t>
  </si>
  <si>
    <t>J</t>
  </si>
  <si>
    <t>KL</t>
  </si>
  <si>
    <t>Q</t>
  </si>
  <si>
    <t>Ñ</t>
  </si>
  <si>
    <t>L</t>
  </si>
  <si>
    <t>K</t>
  </si>
  <si>
    <t>DF</t>
  </si>
  <si>
    <t>LM</t>
  </si>
  <si>
    <t>N</t>
  </si>
  <si>
    <t>W</t>
  </si>
  <si>
    <t>QR</t>
  </si>
  <si>
    <t>NM</t>
  </si>
  <si>
    <t>sa</t>
  </si>
  <si>
    <t>l</t>
  </si>
  <si>
    <t>op</t>
  </si>
  <si>
    <t>tr</t>
  </si>
  <si>
    <t>78079790-8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</si>
</sst>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000"/>
    <numFmt numFmtId="165" formatCode="#,##0.0000"/>
  </numFmts>
  <fonts count="19">
    <font>
      <sz val="11"/>
      <color theme="1"/>
      <name val="Calibri"/>
      <family val="2"/>
      <scheme val="minor"/>
    </font>
    <font>
      <sz val="8"/>
      <name val="ＭＳ Ｐゴシック"/>
      <family val="3"/>
      <charset val="128"/>
    </font>
    <font>
      <sz val="9"/>
      <name val="Verdana"/>
      <family val="2"/>
    </font>
    <font>
      <b/>
      <sz val="9"/>
      <name val="Verdana"/>
      <family val="2"/>
    </font>
    <font>
      <sz val="11"/>
      <color indexed="9"/>
      <name val="Czcionka tekstu podstawowego"/>
      <family val="2"/>
      <charset val="238"/>
    </font>
    <font>
      <sz val="11"/>
      <name val="Calibri"/>
      <family val="2"/>
      <scheme val="minor"/>
    </font>
    <font>
      <sz val="10"/>
      <name val="Calibri"/>
      <family val="2"/>
    </font>
    <font>
      <b/>
      <sz val="10"/>
      <name val="Calibri"/>
      <family val="2"/>
    </font>
    <font>
      <sz val="11"/>
      <color theme="0"/>
      <name val="Calibri"/>
      <family val="2"/>
      <scheme val="minor"/>
    </font>
    <font>
      <b/>
      <sz val="18"/>
      <name val="Calibri"/>
      <family val="2"/>
    </font>
    <font>
      <sz val="11"/>
      <color indexed="10"/>
      <name val="Calibri"/>
      <family val="2"/>
    </font>
    <font>
      <b/>
      <sz val="11"/>
      <name val="Verdana"/>
      <family val="2"/>
    </font>
    <font>
      <sz val="8"/>
      <name val="Verdana"/>
      <family val="2"/>
    </font>
    <font>
      <b/>
      <sz val="12"/>
      <name val="Calibri"/>
      <family val="2"/>
      <scheme val="minor"/>
    </font>
    <font>
      <b/>
      <sz val="9"/>
      <color theme="1"/>
      <name val="Verdana"/>
      <family val="2"/>
    </font>
    <font>
      <sz val="9"/>
      <color theme="1"/>
      <name val="Verdana"/>
      <family val="2"/>
    </font>
    <font>
      <u/>
      <sz val="11"/>
      <color theme="10"/>
      <name val="Calibri"/>
      <family val="2"/>
      <scheme val="minor"/>
    </font>
    <font>
      <b/>
      <sz val="9"/>
      <color rgb="FFFF0000"/>
      <name val="Verdana"/>
      <family val="2"/>
    </font>
    <font>
      <b/>
      <sz val="8"/>
      <name val="Verdana"/>
      <family val="2"/>
    </font>
  </fonts>
  <fills count="17">
    <fill>
      <patternFill patternType="none"/>
    </fill>
    <fill>
      <patternFill patternType="gray125"/>
    </fill>
    <fill>
      <patternFill patternType="solid">
        <fgColor theme="4" tint="0.59999389629810485"/>
        <bgColor indexed="64"/>
      </patternFill>
    </fill>
    <fill>
      <patternFill patternType="solid">
        <fgColor theme="0"/>
        <bgColor indexed="64"/>
      </patternFill>
    </fill>
    <fill>
      <patternFill patternType="solid">
        <fgColor indexed="30"/>
      </patternFill>
    </fill>
    <fill>
      <patternFill patternType="solid">
        <fgColor theme="0" tint="-0.499984740745262"/>
        <bgColor indexed="64"/>
      </patternFill>
    </fill>
    <fill>
      <patternFill patternType="solid">
        <fgColor theme="4" tint="0.59996337778862885"/>
        <bgColor indexed="64"/>
      </patternFill>
    </fill>
    <fill>
      <patternFill patternType="solid">
        <fgColor indexed="26"/>
        <bgColor indexed="64"/>
      </patternFill>
    </fill>
    <fill>
      <patternFill patternType="solid">
        <fgColor indexed="9"/>
        <bgColor indexed="64"/>
      </patternFill>
    </fill>
    <fill>
      <patternFill patternType="solid">
        <fgColor theme="3" tint="0.59999389629810485"/>
        <bgColor indexed="64"/>
      </patternFill>
    </fill>
    <fill>
      <patternFill patternType="solid">
        <fgColor theme="0" tint="-0.14999847407452621"/>
        <bgColor indexed="64"/>
      </patternFill>
    </fill>
    <fill>
      <patternFill patternType="solid">
        <fgColor theme="2" tint="-0.249977111117893"/>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
      <patternFill patternType="solid">
        <fgColor rgb="FF92D050"/>
        <bgColor indexed="64"/>
      </patternFill>
    </fill>
    <fill>
      <patternFill patternType="solid">
        <fgColor theme="8"/>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Dashed">
        <color indexed="10"/>
      </left>
      <right/>
      <top/>
      <bottom/>
      <diagonal/>
    </border>
    <border>
      <left/>
      <right style="thin">
        <color indexed="64"/>
      </right>
      <top style="medium">
        <color indexed="64"/>
      </top>
      <bottom/>
      <diagonal/>
    </border>
    <border>
      <left style="mediumDashed">
        <color rgb="FFFF0000"/>
      </left>
      <right style="mediumDashed">
        <color rgb="FFFF0000"/>
      </right>
      <top style="mediumDashed">
        <color rgb="FFFF0000"/>
      </top>
      <bottom style="thin">
        <color indexed="64"/>
      </bottom>
      <diagonal/>
    </border>
    <border>
      <left style="mediumDashed">
        <color rgb="FFFF0000"/>
      </left>
      <right style="mediumDashed">
        <color rgb="FFFF0000"/>
      </right>
      <top style="thin">
        <color indexed="64"/>
      </top>
      <bottom/>
      <diagonal/>
    </border>
  </borders>
  <cellStyleXfs count="5">
    <xf numFmtId="0" fontId="0" fillId="0" borderId="0"/>
    <xf numFmtId="0" fontId="1" fillId="0" borderId="0" applyNumberFormat="0" applyFill="0" applyBorder="0">
      <alignment vertical="center"/>
    </xf>
    <xf numFmtId="0" fontId="4" fillId="4" borderId="0" applyNumberFormat="0" applyBorder="0" applyAlignment="0" applyProtection="0"/>
    <xf numFmtId="0" fontId="1" fillId="0" borderId="0" applyNumberFormat="0" applyFill="0" applyBorder="0">
      <alignment vertical="center"/>
    </xf>
    <xf numFmtId="0" fontId="16" fillId="0" borderId="0" applyNumberFormat="0" applyFill="0" applyBorder="0" applyAlignment="0" applyProtection="0"/>
  </cellStyleXfs>
  <cellXfs count="82">
    <xf numFmtId="0" fontId="0" fillId="0" borderId="0" xfId="0"/>
    <xf numFmtId="0" fontId="2" fillId="2" borderId="0" xfId="0" applyFont="1" applyFill="1" applyAlignment="1">
      <alignment horizontal="left" vertical="center" indent="3"/>
    </xf>
    <xf numFmtId="0" fontId="3" fillId="2" borderId="0" xfId="0" applyFont="1" applyFill="1" applyAlignment="1">
      <alignment horizontal="left" vertical="center" wrapText="1" indent="3"/>
    </xf>
    <xf numFmtId="0" fontId="9" fillId="7" borderId="12" xfId="0" applyFont="1" applyFill="1" applyBorder="1" applyAlignment="1">
      <alignment horizontal="center" vertical="center" wrapText="1"/>
    </xf>
    <xf numFmtId="0" fontId="10" fillId="0" borderId="0" xfId="0" applyFont="1"/>
    <xf numFmtId="0" fontId="8" fillId="5" borderId="14" xfId="0" applyFont="1" applyFill="1" applyBorder="1" applyProtection="1">
      <protection locked="0"/>
    </xf>
    <xf numFmtId="0" fontId="8" fillId="5" borderId="15" xfId="0" applyFont="1" applyFill="1" applyBorder="1" applyProtection="1">
      <protection locked="0"/>
    </xf>
    <xf numFmtId="0" fontId="8" fillId="5" borderId="16" xfId="0" applyFont="1" applyFill="1" applyBorder="1" applyAlignment="1" applyProtection="1">
      <alignment horizontal="center" vertical="center"/>
      <protection locked="0"/>
    </xf>
    <xf numFmtId="0" fontId="0" fillId="0" borderId="0" xfId="0" applyAlignment="1">
      <alignment vertical="center"/>
    </xf>
    <xf numFmtId="0" fontId="0" fillId="6" borderId="0" xfId="0" applyFill="1" applyProtection="1">
      <protection locked="0"/>
    </xf>
    <xf numFmtId="0" fontId="5" fillId="5" borderId="0" xfId="0" applyFont="1" applyFill="1" applyProtection="1">
      <protection locked="0"/>
    </xf>
    <xf numFmtId="0" fontId="0" fillId="6" borderId="5" xfId="0" applyFill="1" applyBorder="1" applyProtection="1">
      <protection locked="0"/>
    </xf>
    <xf numFmtId="0" fontId="11" fillId="2" borderId="8" xfId="3" applyFont="1" applyFill="1" applyBorder="1" applyAlignment="1" applyProtection="1">
      <alignment horizontal="left" vertical="center" wrapText="1"/>
      <protection locked="0"/>
    </xf>
    <xf numFmtId="0" fontId="0" fillId="0" borderId="17" xfId="0" applyBorder="1"/>
    <xf numFmtId="0" fontId="2" fillId="2" borderId="5" xfId="3" applyFont="1" applyFill="1" applyBorder="1" applyProtection="1">
      <alignment vertical="center"/>
      <protection locked="0"/>
    </xf>
    <xf numFmtId="0" fontId="2" fillId="2" borderId="0" xfId="3" applyFont="1" applyFill="1" applyBorder="1" applyProtection="1">
      <alignment vertical="center"/>
      <protection locked="0"/>
    </xf>
    <xf numFmtId="0" fontId="3" fillId="2" borderId="0" xfId="3" applyFont="1" applyFill="1" applyBorder="1" applyAlignment="1" applyProtection="1">
      <alignment horizontal="left" vertical="center" wrapText="1"/>
      <protection locked="0"/>
    </xf>
    <xf numFmtId="0" fontId="2" fillId="2" borderId="7" xfId="3" applyFont="1" applyFill="1" applyBorder="1" applyProtection="1">
      <alignment vertical="center"/>
      <protection locked="0"/>
    </xf>
    <xf numFmtId="0" fontId="2" fillId="2" borderId="8" xfId="3" applyFont="1" applyFill="1" applyBorder="1" applyProtection="1">
      <alignment vertical="center"/>
      <protection locked="0"/>
    </xf>
    <xf numFmtId="0" fontId="2" fillId="2" borderId="8" xfId="3" applyFont="1" applyFill="1" applyBorder="1" applyAlignment="1" applyProtection="1">
      <alignment horizontal="left" vertical="center" wrapText="1" indent="1"/>
      <protection locked="0"/>
    </xf>
    <xf numFmtId="3" fontId="12" fillId="8" borderId="1" xfId="3" applyNumberFormat="1" applyFont="1" applyFill="1" applyBorder="1" applyProtection="1">
      <alignment vertical="center"/>
      <protection locked="0"/>
    </xf>
    <xf numFmtId="3" fontId="12" fillId="9" borderId="1" xfId="3" applyNumberFormat="1" applyFont="1" applyFill="1" applyBorder="1" applyProtection="1">
      <alignment vertical="center"/>
      <protection locked="0"/>
    </xf>
    <xf numFmtId="0" fontId="8" fillId="5" borderId="13" xfId="0" applyFont="1" applyFill="1" applyBorder="1" applyAlignment="1" applyProtection="1">
      <alignment horizontal="center" vertical="center" wrapText="1"/>
      <protection locked="0"/>
    </xf>
    <xf numFmtId="0" fontId="2" fillId="2" borderId="0" xfId="3" applyFont="1" applyFill="1" applyBorder="1" applyAlignment="1" applyProtection="1">
      <alignment horizontal="left" vertical="center" wrapText="1"/>
      <protection locked="0"/>
    </xf>
    <xf numFmtId="0" fontId="0" fillId="6" borderId="6" xfId="0" applyFill="1" applyBorder="1" applyProtection="1">
      <protection locked="0"/>
    </xf>
    <xf numFmtId="0" fontId="2" fillId="2" borderId="6" xfId="3" applyFont="1" applyFill="1" applyBorder="1" applyProtection="1">
      <alignment vertical="center"/>
      <protection locked="0"/>
    </xf>
    <xf numFmtId="0" fontId="2" fillId="2" borderId="9" xfId="3" applyFont="1" applyFill="1" applyBorder="1" applyProtection="1">
      <alignment vertical="center"/>
      <protection locked="0"/>
    </xf>
    <xf numFmtId="0" fontId="13" fillId="10" borderId="12" xfId="0" applyFont="1" applyFill="1" applyBorder="1" applyAlignment="1">
      <alignment horizontal="right" vertical="center" wrapText="1"/>
    </xf>
    <xf numFmtId="0" fontId="0" fillId="10" borderId="13" xfId="0" applyFill="1" applyBorder="1" applyAlignment="1">
      <alignment vertical="center"/>
    </xf>
    <xf numFmtId="0" fontId="3" fillId="2" borderId="0" xfId="0" applyFont="1" applyFill="1" applyAlignment="1">
      <alignment horizontal="left" vertical="center" wrapText="1"/>
    </xf>
    <xf numFmtId="0" fontId="2" fillId="2" borderId="0" xfId="0" applyFont="1" applyFill="1" applyAlignment="1">
      <alignment horizontal="left" vertical="center" wrapText="1"/>
    </xf>
    <xf numFmtId="3" fontId="2" fillId="2" borderId="2" xfId="1" applyNumberFormat="1" applyFont="1" applyFill="1" applyBorder="1">
      <alignment vertical="center"/>
    </xf>
    <xf numFmtId="3" fontId="2" fillId="2" borderId="3" xfId="1" applyNumberFormat="1" applyFont="1" applyFill="1" applyBorder="1">
      <alignment vertical="center"/>
    </xf>
    <xf numFmtId="3" fontId="2" fillId="2" borderId="4" xfId="1" applyNumberFormat="1" applyFont="1" applyFill="1" applyBorder="1">
      <alignment vertical="center"/>
    </xf>
    <xf numFmtId="3" fontId="2" fillId="2" borderId="5" xfId="1" applyNumberFormat="1" applyFont="1" applyFill="1" applyBorder="1">
      <alignment vertical="center"/>
    </xf>
    <xf numFmtId="3" fontId="2" fillId="2" borderId="0" xfId="1" applyNumberFormat="1" applyFont="1" applyFill="1" applyBorder="1">
      <alignment vertical="center"/>
    </xf>
    <xf numFmtId="3" fontId="2" fillId="2" borderId="6" xfId="1" applyNumberFormat="1" applyFont="1" applyFill="1" applyBorder="1">
      <alignment vertical="center"/>
    </xf>
    <xf numFmtId="3" fontId="2" fillId="3" borderId="1" xfId="1" applyNumberFormat="1" applyFont="1" applyFill="1" applyBorder="1">
      <alignment vertical="center"/>
    </xf>
    <xf numFmtId="3" fontId="2" fillId="2" borderId="3" xfId="1" applyNumberFormat="1" applyFont="1" applyFill="1" applyBorder="1" applyAlignment="1">
      <alignment vertical="center" wrapText="1"/>
    </xf>
    <xf numFmtId="3" fontId="2" fillId="2" borderId="0" xfId="1" applyNumberFormat="1" applyFont="1" applyFill="1" applyBorder="1" applyAlignment="1">
      <alignment vertical="center" wrapText="1"/>
    </xf>
    <xf numFmtId="49" fontId="2" fillId="3" borderId="1" xfId="0" applyNumberFormat="1" applyFont="1" applyFill="1" applyBorder="1" applyAlignment="1">
      <alignment horizontal="left" vertical="center" wrapText="1"/>
    </xf>
    <xf numFmtId="164" fontId="2" fillId="3" borderId="1" xfId="1" applyNumberFormat="1" applyFont="1" applyFill="1" applyBorder="1">
      <alignment vertical="center"/>
    </xf>
    <xf numFmtId="0" fontId="15" fillId="0" borderId="0" xfId="0" applyFont="1"/>
    <xf numFmtId="0" fontId="15" fillId="0" borderId="0" xfId="0" applyFont="1" applyAlignment="1">
      <alignment wrapText="1"/>
    </xf>
    <xf numFmtId="0" fontId="15" fillId="2" borderId="5" xfId="0" applyFont="1" applyFill="1" applyBorder="1"/>
    <xf numFmtId="0" fontId="15" fillId="2" borderId="0" xfId="0" applyFont="1" applyFill="1"/>
    <xf numFmtId="0" fontId="15" fillId="2" borderId="0" xfId="0" applyFont="1" applyFill="1" applyAlignment="1">
      <alignment wrapText="1"/>
    </xf>
    <xf numFmtId="0" fontId="15" fillId="2" borderId="6" xfId="0" applyFont="1" applyFill="1" applyBorder="1"/>
    <xf numFmtId="0" fontId="14" fillId="2" borderId="0" xfId="0" applyFont="1" applyFill="1" applyAlignment="1">
      <alignment wrapText="1"/>
    </xf>
    <xf numFmtId="0" fontId="15" fillId="2" borderId="7" xfId="0" applyFont="1" applyFill="1" applyBorder="1"/>
    <xf numFmtId="0" fontId="15" fillId="2" borderId="8" xfId="0" applyFont="1" applyFill="1" applyBorder="1"/>
    <xf numFmtId="0" fontId="15" fillId="2" borderId="8" xfId="0" applyFont="1" applyFill="1" applyBorder="1" applyAlignment="1">
      <alignment wrapText="1"/>
    </xf>
    <xf numFmtId="0" fontId="15" fillId="2" borderId="9" xfId="0" applyFont="1" applyFill="1" applyBorder="1"/>
    <xf numFmtId="0" fontId="5" fillId="5" borderId="18" xfId="0" applyFont="1" applyFill="1" applyBorder="1" applyProtection="1">
      <protection locked="0"/>
    </xf>
    <xf numFmtId="0" fontId="2" fillId="2" borderId="4" xfId="3" applyFont="1" applyFill="1" applyBorder="1" applyAlignment="1" applyProtection="1">
      <alignment horizontal="left" vertical="center" wrapText="1"/>
      <protection locked="0"/>
    </xf>
    <xf numFmtId="49" fontId="12" fillId="8" borderId="1" xfId="3" applyNumberFormat="1" applyFont="1" applyFill="1" applyBorder="1" applyProtection="1">
      <alignment vertical="center"/>
      <protection locked="0"/>
    </xf>
    <xf numFmtId="0" fontId="8" fillId="5" borderId="16" xfId="0" applyFont="1" applyFill="1" applyBorder="1" applyAlignment="1" applyProtection="1">
      <alignment horizontal="center" vertical="center" wrapText="1"/>
      <protection locked="0"/>
    </xf>
    <xf numFmtId="0" fontId="2" fillId="2" borderId="6" xfId="3" applyFont="1" applyFill="1" applyBorder="1" applyAlignment="1" applyProtection="1">
      <alignment horizontal="left" vertical="center" wrapText="1"/>
      <protection locked="0"/>
    </xf>
    <xf numFmtId="3" fontId="2" fillId="9" borderId="1" xfId="1" applyNumberFormat="1" applyFont="1" applyFill="1" applyBorder="1">
      <alignment vertical="center"/>
    </xf>
    <xf numFmtId="3" fontId="3" fillId="9" borderId="1" xfId="1" applyNumberFormat="1" applyFont="1" applyFill="1" applyBorder="1">
      <alignment vertical="center"/>
    </xf>
    <xf numFmtId="0" fontId="17" fillId="14" borderId="19" xfId="2" applyNumberFormat="1" applyFont="1" applyFill="1" applyBorder="1" applyAlignment="1">
      <alignment horizontal="center" vertical="center" wrapText="1"/>
    </xf>
    <xf numFmtId="0" fontId="5" fillId="14" borderId="20" xfId="3" applyFont="1" applyFill="1" applyBorder="1" applyAlignment="1">
      <alignment horizontal="center" vertical="center" wrapText="1"/>
    </xf>
    <xf numFmtId="3" fontId="18" fillId="9" borderId="1" xfId="3" applyNumberFormat="1" applyFont="1" applyFill="1" applyBorder="1" applyProtection="1">
      <alignment vertical="center"/>
      <protection locked="0"/>
    </xf>
    <xf numFmtId="0" fontId="5" fillId="5" borderId="18" xfId="0" applyFont="1" applyFill="1" applyBorder="1" applyAlignment="1" applyProtection="1">
      <alignment horizontal="left" vertical="center"/>
      <protection locked="0"/>
    </xf>
    <xf numFmtId="0" fontId="0" fillId="6" borderId="0" xfId="0" applyFill="1" applyAlignment="1" applyProtection="1">
      <alignment vertical="center"/>
      <protection locked="0"/>
    </xf>
    <xf numFmtId="0" fontId="2" fillId="2" borderId="0" xfId="3" applyFont="1" applyFill="1" applyBorder="1" applyAlignment="1" applyProtection="1">
      <alignment horizontal="left" vertical="center" wrapText="1" indent="1"/>
      <protection locked="0"/>
    </xf>
    <xf numFmtId="0" fontId="3" fillId="2" borderId="0" xfId="3" applyFont="1" applyFill="1" applyBorder="1" applyAlignment="1" applyProtection="1">
      <alignment horizontal="left" vertical="center" wrapText="1" indent="1"/>
      <protection locked="0"/>
    </xf>
    <xf numFmtId="0" fontId="2" fillId="2" borderId="0" xfId="3" applyFont="1" applyFill="1" applyBorder="1" applyAlignment="1" applyProtection="1">
      <alignment horizontal="left" vertical="center" wrapText="1" indent="2"/>
      <protection locked="0"/>
    </xf>
    <xf numFmtId="0" fontId="3" fillId="2" borderId="0" xfId="3" applyFont="1" applyFill="1" applyBorder="1" applyAlignment="1" applyProtection="1">
      <alignment horizontal="left" vertical="center" wrapText="1" indent="2"/>
      <protection locked="0"/>
    </xf>
    <xf numFmtId="0" fontId="3" fillId="2" borderId="0" xfId="3" applyFont="1" applyFill="1" applyBorder="1" applyAlignment="1" applyProtection="1">
      <alignment horizontal="left" vertical="center" wrapText="1" indent="3"/>
      <protection locked="0"/>
    </xf>
    <xf numFmtId="0" fontId="2" fillId="2" borderId="0" xfId="3" applyFont="1" applyFill="1" applyBorder="1" applyAlignment="1" applyProtection="1">
      <alignment horizontal="left" vertical="center" wrapText="1" indent="3"/>
      <protection locked="0"/>
    </xf>
    <xf numFmtId="0" fontId="2" fillId="2" borderId="0" xfId="3" applyFont="1" applyFill="1" applyBorder="1" applyAlignment="1" applyProtection="1">
      <alignment horizontal="left" vertical="center" wrapText="1" indent="4"/>
      <protection locked="0"/>
    </xf>
    <xf numFmtId="0" fontId="16" fillId="12" borderId="0" xfId="4" applyFill="1" applyBorder="1" applyAlignment="1">
      <alignment horizontal="left" vertical="center" wrapText="1" indent="3"/>
    </xf>
    <xf numFmtId="0" fontId="16" fillId="15" borderId="0" xfId="4" applyFill="1" applyBorder="1" applyAlignment="1">
      <alignment horizontal="left" vertical="center" wrapText="1" indent="3"/>
    </xf>
    <xf numFmtId="0" fontId="16" fillId="11" borderId="0" xfId="4" applyFill="1" applyBorder="1" applyAlignment="1">
      <alignment horizontal="left" wrapText="1" indent="2"/>
    </xf>
    <xf numFmtId="0" fontId="16" fillId="13" borderId="0" xfId="4" applyFill="1" applyBorder="1" applyAlignment="1">
      <alignment horizontal="left" wrapText="1" indent="2"/>
    </xf>
    <xf numFmtId="49" fontId="12" fillId="15" borderId="1" xfId="3" applyNumberFormat="1" applyFont="1" applyFill="1" applyBorder="1" applyProtection="1">
      <alignment vertical="center"/>
      <protection locked="0"/>
    </xf>
    <xf numFmtId="165" fontId="12" fillId="8" borderId="1" xfId="3" applyNumberFormat="1" applyFont="1" applyFill="1" applyBorder="1" applyProtection="1">
      <alignment vertical="center"/>
      <protection locked="0"/>
    </xf>
    <xf numFmtId="3" fontId="2" fillId="16" borderId="0" xfId="1" applyNumberFormat="1" applyFont="1" applyFill="1" applyBorder="1">
      <alignment vertical="center"/>
    </xf>
    <xf numFmtId="0" fontId="2" fillId="16" borderId="0" xfId="0" applyFont="1" applyFill="1" applyAlignment="1">
      <alignment horizontal="left" vertical="center" wrapText="1"/>
    </xf>
    <xf numFmtId="0" fontId="15" fillId="16" borderId="10" xfId="0" applyFont="1" applyFill="1" applyBorder="1"/>
    <xf numFmtId="0" fontId="14" fillId="16" borderId="11" xfId="0" applyFont="1" applyFill="1" applyBorder="1"/>
  </cellXfs>
  <cellStyles count="5">
    <cellStyle name="60% - akcent 1" xfId="2" xr:uid="{00000000-0005-0000-0000-000000000000}"/>
    <cellStyle name="Hipervínculo" xfId="4" builtinId="8"/>
    <cellStyle name="Normal" xfId="0" builtinId="0"/>
    <cellStyle name="Normal 10" xfId="1" xr:uid="{00000000-0005-0000-0000-000003000000}"/>
    <cellStyle name="Normal 12" xfId="3" xr:uid="{00000000-0005-0000-0000-000004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2506133</xdr:colOff>
      <xdr:row>0</xdr:row>
      <xdr:rowOff>809625</xdr:rowOff>
    </xdr:to>
    <xdr:pic>
      <xdr:nvPicPr>
        <xdr:cNvPr id="6" name="4 Imagen">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2871258" cy="809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2328333</xdr:colOff>
      <xdr:row>0</xdr:row>
      <xdr:rowOff>83608</xdr:rowOff>
    </xdr:from>
    <xdr:to>
      <xdr:col>5</xdr:col>
      <xdr:colOff>5936737</xdr:colOff>
      <xdr:row>1</xdr:row>
      <xdr:rowOff>10108</xdr:rowOff>
    </xdr:to>
    <xdr:sp macro="" textlink="">
      <xdr:nvSpPr>
        <xdr:cNvPr id="7" name="6 CuadroTexto">
          <a:extLst>
            <a:ext uri="{FF2B5EF4-FFF2-40B4-BE49-F238E27FC236}">
              <a16:creationId xmlns:a16="http://schemas.microsoft.com/office/drawing/2014/main" id="{00000000-0008-0000-0000-000007000000}"/>
            </a:ext>
          </a:extLst>
        </xdr:cNvPr>
        <xdr:cNvSpPr txBox="1"/>
      </xdr:nvSpPr>
      <xdr:spPr>
        <a:xfrm>
          <a:off x="3233208" y="83608"/>
          <a:ext cx="3608404" cy="1260000"/>
        </a:xfrm>
        <a:prstGeom prst="rect">
          <a:avLst/>
        </a:prstGeom>
        <a:solidFill>
          <a:schemeClr val="bg1">
            <a:lumMod val="85000"/>
          </a:schemeClr>
        </a:solidFill>
        <a:ln/>
      </xdr:spPr>
      <xdr:style>
        <a:lnRef idx="0">
          <a:schemeClr val="accent1"/>
        </a:lnRef>
        <a:fillRef idx="3">
          <a:schemeClr val="accent1"/>
        </a:fillRef>
        <a:effectRef idx="3">
          <a:schemeClr val="accent1"/>
        </a:effectRef>
        <a:fontRef idx="minor">
          <a:schemeClr val="lt1"/>
        </a:fontRef>
      </xdr:style>
      <xdr:txBody>
        <a:bodyPr vertOverflow="clip" horzOverflow="clip" wrap="square" rtlCol="0" anchor="ctr"/>
        <a:lstStyle/>
        <a:p>
          <a:pPr algn="ctr"/>
          <a:r>
            <a:rPr lang="es-CL" sz="1100" b="1" i="0">
              <a:solidFill>
                <a:schemeClr val="tx1"/>
              </a:solidFill>
              <a:effectLst/>
              <a:latin typeface="+mn-lt"/>
              <a:ea typeface="+mn-ea"/>
              <a:cs typeface="+mn-cs"/>
            </a:rPr>
            <a:t>IMPORTANTE</a:t>
          </a:r>
          <a:r>
            <a:rPr lang="es-CL" sz="1100" b="0" i="0">
              <a:solidFill>
                <a:schemeClr val="tx1"/>
              </a:solidFill>
              <a:effectLst/>
              <a:latin typeface="+mn-lt"/>
              <a:ea typeface="+mn-ea"/>
              <a:cs typeface="+mn-cs"/>
            </a:rPr>
            <a:t>: El presente documento esta protegido por el registro de </a:t>
          </a:r>
          <a:r>
            <a:rPr lang="es-CL" sz="1100" b="0" i="0" u="none">
              <a:solidFill>
                <a:schemeClr val="tx1"/>
              </a:solidFill>
              <a:effectLst/>
              <a:latin typeface="+mn-lt"/>
              <a:ea typeface="+mn-ea"/>
              <a:cs typeface="+mn-cs"/>
            </a:rPr>
            <a:t>propiedad</a:t>
          </a:r>
          <a:r>
            <a:rPr lang="es-CL" sz="1100" b="0" i="0" u="none" baseline="0">
              <a:solidFill>
                <a:schemeClr val="tx1"/>
              </a:solidFill>
              <a:effectLst/>
              <a:latin typeface="+mn-lt"/>
              <a:ea typeface="+mn-ea"/>
              <a:cs typeface="+mn-cs"/>
            </a:rPr>
            <a:t> </a:t>
          </a:r>
          <a:r>
            <a:rPr lang="es-CL" sz="1100" b="0" i="0" u="none">
              <a:solidFill>
                <a:schemeClr val="tx1"/>
              </a:solidFill>
              <a:effectLst/>
              <a:latin typeface="+mn-lt"/>
              <a:ea typeface="+mn-ea"/>
              <a:cs typeface="+mn-cs"/>
            </a:rPr>
            <a:t>intelectual </a:t>
          </a:r>
          <a:r>
            <a:rPr lang="es-CL" sz="1100" b="0" i="0">
              <a:solidFill>
                <a:schemeClr val="tx1"/>
              </a:solidFill>
              <a:effectLst/>
              <a:latin typeface="+mn-lt"/>
              <a:ea typeface="+mn-ea"/>
              <a:cs typeface="+mn-cs"/>
            </a:rPr>
            <a:t> No. 132.246, del Departamento de Derechos Intelectuales de Chile.  Este documento no puede ser utilizado por personas no autorizadas ni distribuido sin autorización expresa y por escrito de DBNeT S.A.</a:t>
          </a:r>
          <a:endParaRPr lang="es-CL" sz="1100">
            <a:solidFill>
              <a:schemeClr val="tx1"/>
            </a:solidFill>
          </a:endParaRPr>
        </a:p>
      </xdr:txBody>
    </xdr:sp>
    <xdr:clientData/>
  </xdr:twoCellAnchor>
  <xdr:twoCellAnchor>
    <xdr:from>
      <xdr:col>1</xdr:col>
      <xdr:colOff>122767</xdr:colOff>
      <xdr:row>0</xdr:row>
      <xdr:rowOff>1000124</xdr:rowOff>
    </xdr:from>
    <xdr:to>
      <xdr:col>5</xdr:col>
      <xdr:colOff>474633</xdr:colOff>
      <xdr:row>1</xdr:row>
      <xdr:rowOff>98624</xdr:rowOff>
    </xdr:to>
    <xdr:sp macro="[0]!Guarda_Hojas_CSV" textlink="">
      <xdr:nvSpPr>
        <xdr:cNvPr id="8" name="7 Rectángulo redondeado">
          <a:extLst>
            <a:ext uri="{FF2B5EF4-FFF2-40B4-BE49-F238E27FC236}">
              <a16:creationId xmlns:a16="http://schemas.microsoft.com/office/drawing/2014/main" id="{00000000-0008-0000-0000-000008000000}"/>
            </a:ext>
          </a:extLst>
        </xdr:cNvPr>
        <xdr:cNvSpPr/>
      </xdr:nvSpPr>
      <xdr:spPr>
        <a:xfrm>
          <a:off x="303742" y="1000124"/>
          <a:ext cx="1075766"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642408</xdr:colOff>
      <xdr:row>0</xdr:row>
      <xdr:rowOff>1000124</xdr:rowOff>
    </xdr:from>
    <xdr:to>
      <xdr:col>5</xdr:col>
      <xdr:colOff>1722408</xdr:colOff>
      <xdr:row>1</xdr:row>
      <xdr:rowOff>98624</xdr:rowOff>
    </xdr:to>
    <xdr:sp macro="[0]!Guarda_Hojas_ZIP" textlink="">
      <xdr:nvSpPr>
        <xdr:cNvPr id="9" name="8 Rectángulo redondeado">
          <a:extLst>
            <a:ext uri="{FF2B5EF4-FFF2-40B4-BE49-F238E27FC236}">
              <a16:creationId xmlns:a16="http://schemas.microsoft.com/office/drawing/2014/main" id="{00000000-0008-0000-0000-000009000000}"/>
            </a:ext>
          </a:extLst>
        </xdr:cNvPr>
        <xdr:cNvSpPr/>
      </xdr:nvSpPr>
      <xdr:spPr>
        <a:xfrm>
          <a:off x="1547283" y="1000124"/>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2" name="18 Rectángulo redondeado">
          <a:extLst>
            <a:ext uri="{FF2B5EF4-FFF2-40B4-BE49-F238E27FC236}">
              <a16:creationId xmlns:a16="http://schemas.microsoft.com/office/drawing/2014/main" id="{00000000-0008-0000-0100-000002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3" name="19 Rectángulo redondeado">
          <a:extLst>
            <a:ext uri="{FF2B5EF4-FFF2-40B4-BE49-F238E27FC236}">
              <a16:creationId xmlns:a16="http://schemas.microsoft.com/office/drawing/2014/main" id="{00000000-0008-0000-0100-000003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19" name="18 Rectángulo redondeado">
          <a:extLst>
            <a:ext uri="{FF2B5EF4-FFF2-40B4-BE49-F238E27FC236}">
              <a16:creationId xmlns:a16="http://schemas.microsoft.com/office/drawing/2014/main" id="{00000000-0008-0000-0200-000013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20" name="19 Rectángulo redondeado">
          <a:extLst>
            <a:ext uri="{FF2B5EF4-FFF2-40B4-BE49-F238E27FC236}">
              <a16:creationId xmlns:a16="http://schemas.microsoft.com/office/drawing/2014/main" id="{00000000-0008-0000-0200-000014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2" name="18 Rectángulo redondeado">
          <a:extLst>
            <a:ext uri="{FF2B5EF4-FFF2-40B4-BE49-F238E27FC236}">
              <a16:creationId xmlns:a16="http://schemas.microsoft.com/office/drawing/2014/main" id="{00000000-0008-0000-0300-000002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3" name="19 Rectángulo redondeado">
          <a:extLst>
            <a:ext uri="{FF2B5EF4-FFF2-40B4-BE49-F238E27FC236}">
              <a16:creationId xmlns:a16="http://schemas.microsoft.com/office/drawing/2014/main" id="{00000000-0008-0000-0300-000003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59531</xdr:colOff>
      <xdr:row>0</xdr:row>
      <xdr:rowOff>166688</xdr:rowOff>
    </xdr:from>
    <xdr:to>
      <xdr:col>5</xdr:col>
      <xdr:colOff>1131063</xdr:colOff>
      <xdr:row>0</xdr:row>
      <xdr:rowOff>598688</xdr:rowOff>
    </xdr:to>
    <xdr:sp macro="[0]!Guarda_Hojas_CSV" textlink="">
      <xdr:nvSpPr>
        <xdr:cNvPr id="2" name="18 Rectángulo redondeado">
          <a:extLst>
            <a:ext uri="{FF2B5EF4-FFF2-40B4-BE49-F238E27FC236}">
              <a16:creationId xmlns:a16="http://schemas.microsoft.com/office/drawing/2014/main" id="{00000000-0008-0000-0400-000002000000}"/>
            </a:ext>
          </a:extLst>
        </xdr:cNvPr>
        <xdr:cNvSpPr/>
      </xdr:nvSpPr>
      <xdr:spPr>
        <a:xfrm>
          <a:off x="1240631" y="166688"/>
          <a:ext cx="1071532" cy="43200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indent="0" algn="ctr"/>
          <a:r>
            <a:rPr lang="es-ES" sz="1100">
              <a:solidFill>
                <a:schemeClr val="lt1">
                  <a:lumMod val="100000"/>
                </a:schemeClr>
              </a:solidFill>
              <a:latin typeface="+mn-lt"/>
              <a:ea typeface="+mn-ea"/>
              <a:cs typeface="+mn-cs"/>
            </a:rPr>
            <a:t>Crear CSV</a:t>
          </a:r>
        </a:p>
      </xdr:txBody>
    </xdr:sp>
    <xdr:clientData/>
  </xdr:twoCellAnchor>
  <xdr:twoCellAnchor>
    <xdr:from>
      <xdr:col>5</xdr:col>
      <xdr:colOff>1310744</xdr:colOff>
      <xdr:row>0</xdr:row>
      <xdr:rowOff>166688</xdr:rowOff>
    </xdr:from>
    <xdr:to>
      <xdr:col>5</xdr:col>
      <xdr:colOff>2390744</xdr:colOff>
      <xdr:row>0</xdr:row>
      <xdr:rowOff>598688</xdr:rowOff>
    </xdr:to>
    <xdr:sp macro="[0]!Guarda_Hojas_ZIP" textlink="">
      <xdr:nvSpPr>
        <xdr:cNvPr id="3" name="19 Rectángulo redondeado">
          <a:extLst>
            <a:ext uri="{FF2B5EF4-FFF2-40B4-BE49-F238E27FC236}">
              <a16:creationId xmlns:a16="http://schemas.microsoft.com/office/drawing/2014/main" id="{00000000-0008-0000-0400-000003000000}"/>
            </a:ext>
          </a:extLst>
        </xdr:cNvPr>
        <xdr:cNvSpPr/>
      </xdr:nvSpPr>
      <xdr:spPr>
        <a:xfrm>
          <a:off x="2491844" y="166688"/>
          <a:ext cx="1080000" cy="432000"/>
        </a:xfrm>
        <a:prstGeom prst="roundRect">
          <a:avLst/>
        </a:prstGeom>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indent="0" algn="ctr"/>
          <a:r>
            <a:rPr lang="es-ES" sz="900">
              <a:solidFill>
                <a:schemeClr val="lt1">
                  <a:lumMod val="100000"/>
                </a:schemeClr>
              </a:solidFill>
              <a:latin typeface="+mn-lt"/>
              <a:ea typeface="+mn-ea"/>
              <a:cs typeface="+mn-cs"/>
            </a:rPr>
            <a:t>Crear/Comprimir</a:t>
          </a:r>
          <a:r>
            <a:rPr lang="es-ES" sz="900" baseline="0">
              <a:solidFill>
                <a:schemeClr val="lt1">
                  <a:lumMod val="100000"/>
                </a:schemeClr>
              </a:solidFill>
              <a:latin typeface="+mn-lt"/>
              <a:ea typeface="+mn-ea"/>
              <a:cs typeface="+mn-cs"/>
            </a:rPr>
            <a:t> CSV</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1.5.2\e$\DBNET-GX\gxCL\apps\in\empresa99\T202003_I00091\xls\IFRS16-Cuadros(832610)_2020_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FRS16-Cuadros"/>
      <sheetName val="IFRS16-PasiPorArre"/>
      <sheetName val="IFRS16-InfoActiDereUso"/>
      <sheetName val="IFRS16-InfoAnalArreFina"/>
      <sheetName val="IFRS16-InfoAnalArreOper"/>
      <sheetName val="Codigo"/>
      <sheetName val="IFRS16-Cuadros(832610)_2020_1"/>
    </sheetNames>
    <sheetDataSet>
      <sheetData sheetId="0"/>
      <sheetData sheetId="1"/>
      <sheetData sheetId="2"/>
      <sheetData sheetId="3"/>
      <sheetData sheetId="4"/>
      <sheetData sheetId="5"/>
      <sheetData sheetId="6" refreshError="1"/>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28"/>
  <sheetViews>
    <sheetView topLeftCell="D1" zoomScale="90" zoomScaleNormal="90" workbookViewId="0">
      <selection activeCell="J16" sqref="J16"/>
    </sheetView>
  </sheetViews>
  <sheetFormatPr baseColWidth="10" defaultColWidth="11.42578125" defaultRowHeight="11.25"/>
  <cols>
    <col min="1" max="2" width="2.7109375" style="42" customWidth="1"/>
    <col min="3" max="3" width="255.7109375" style="42" bestFit="1" customWidth="1"/>
    <col min="4" max="5" width="2.7109375" style="42" customWidth="1"/>
    <col min="6" max="6" width="97.85546875" style="43" customWidth="1"/>
    <col min="7" max="7" width="2.7109375" style="42" customWidth="1"/>
    <col min="8" max="9" width="16.7109375" style="42" customWidth="1"/>
    <col min="10" max="16384" width="11.42578125" style="42"/>
  </cols>
  <sheetData>
    <row r="1" spans="1:10" ht="105" customHeight="1">
      <c r="A1" s="42" t="s">
        <v>0</v>
      </c>
    </row>
    <row r="2" spans="1:10">
      <c r="G2" s="80" t="s">
        <v>0</v>
      </c>
      <c r="H2" s="81" t="s">
        <v>700</v>
      </c>
    </row>
    <row r="3" spans="1:10">
      <c r="B3" s="31" t="s">
        <v>0</v>
      </c>
      <c r="C3" s="32" t="s">
        <v>0</v>
      </c>
      <c r="D3" s="32" t="s">
        <v>0</v>
      </c>
      <c r="E3" s="32" t="s">
        <v>0</v>
      </c>
      <c r="F3" s="38"/>
      <c r="G3" s="32" t="s">
        <v>0</v>
      </c>
      <c r="H3" s="32"/>
      <c r="I3" s="32"/>
      <c r="J3" s="33"/>
    </row>
    <row r="4" spans="1:10">
      <c r="B4" s="34"/>
      <c r="C4" s="35"/>
      <c r="D4" s="35" t="s">
        <v>0</v>
      </c>
      <c r="E4" s="35" t="s">
        <v>0</v>
      </c>
      <c r="F4" s="30" t="s">
        <v>11</v>
      </c>
      <c r="G4" s="35" t="s">
        <v>0</v>
      </c>
      <c r="H4" s="35"/>
      <c r="I4" s="35"/>
      <c r="J4" s="36"/>
    </row>
    <row r="5" spans="1:10">
      <c r="B5" s="34" t="s">
        <v>701</v>
      </c>
      <c r="C5" s="35" t="s">
        <v>687</v>
      </c>
      <c r="D5" s="35" t="s">
        <v>0</v>
      </c>
      <c r="E5" s="35" t="s">
        <v>0</v>
      </c>
      <c r="F5" s="40" t="s">
        <v>704</v>
      </c>
      <c r="G5" s="35" t="s">
        <v>0</v>
      </c>
      <c r="H5" s="35"/>
      <c r="I5" s="35"/>
      <c r="J5" s="36"/>
    </row>
    <row r="6" spans="1:10">
      <c r="B6" s="34"/>
      <c r="C6" s="35"/>
      <c r="D6" s="35"/>
      <c r="E6" s="35"/>
      <c r="F6" s="39"/>
      <c r="G6" s="35"/>
      <c r="H6" s="35"/>
      <c r="I6" s="35"/>
      <c r="J6" s="36"/>
    </row>
    <row r="7" spans="1:10">
      <c r="B7" s="34"/>
      <c r="C7" s="35"/>
      <c r="D7" s="35" t="s">
        <v>0</v>
      </c>
      <c r="E7" s="35" t="s">
        <v>0</v>
      </c>
      <c r="F7" s="29" t="s">
        <v>159</v>
      </c>
      <c r="G7" s="35" t="s">
        <v>0</v>
      </c>
      <c r="H7" s="35"/>
      <c r="I7" s="35"/>
      <c r="J7" s="36"/>
    </row>
    <row r="8" spans="1:10">
      <c r="B8" s="34" t="s">
        <v>701</v>
      </c>
      <c r="C8" s="78" t="s">
        <v>702</v>
      </c>
      <c r="D8" s="35" t="s">
        <v>0</v>
      </c>
      <c r="E8" s="35" t="s">
        <v>0</v>
      </c>
      <c r="F8" s="79" t="s">
        <v>703</v>
      </c>
      <c r="G8" s="35" t="s">
        <v>0</v>
      </c>
      <c r="H8" s="37">
        <v>10000</v>
      </c>
      <c r="I8" s="37">
        <v>10000</v>
      </c>
      <c r="J8" s="36"/>
    </row>
    <row r="9" spans="1:10">
      <c r="B9" s="34" t="s">
        <v>0</v>
      </c>
      <c r="C9" s="35" t="s">
        <v>0</v>
      </c>
      <c r="D9" s="35" t="s">
        <v>0</v>
      </c>
      <c r="E9" s="35" t="s">
        <v>0</v>
      </c>
      <c r="F9" s="39" t="s">
        <v>0</v>
      </c>
      <c r="G9" s="35" t="s">
        <v>0</v>
      </c>
      <c r="H9" s="35"/>
      <c r="I9" s="35"/>
      <c r="J9" s="36"/>
    </row>
    <row r="10" spans="1:10" ht="22.5">
      <c r="B10" s="34"/>
      <c r="C10" s="35"/>
      <c r="D10" s="35" t="s">
        <v>0</v>
      </c>
      <c r="E10" s="35" t="s">
        <v>0</v>
      </c>
      <c r="F10" s="30" t="s">
        <v>12</v>
      </c>
      <c r="G10" s="35" t="s">
        <v>0</v>
      </c>
      <c r="H10" s="35"/>
      <c r="I10" s="35"/>
      <c r="J10" s="36"/>
    </row>
    <row r="11" spans="1:10">
      <c r="B11" s="34" t="s">
        <v>701</v>
      </c>
      <c r="C11" s="35" t="s">
        <v>13</v>
      </c>
      <c r="D11" s="35" t="s">
        <v>0</v>
      </c>
      <c r="E11" s="35" t="s">
        <v>0</v>
      </c>
      <c r="F11" s="40" t="s">
        <v>705</v>
      </c>
      <c r="G11" s="35" t="s">
        <v>0</v>
      </c>
      <c r="H11" s="35"/>
      <c r="I11" s="35"/>
      <c r="J11" s="36"/>
    </row>
    <row r="12" spans="1:10">
      <c r="B12" s="34"/>
      <c r="C12" s="35"/>
      <c r="D12" s="35"/>
      <c r="E12" s="35"/>
      <c r="F12" s="30"/>
      <c r="G12" s="35"/>
      <c r="H12" s="35"/>
      <c r="I12" s="35"/>
      <c r="J12" s="36"/>
    </row>
    <row r="13" spans="1:10" ht="15">
      <c r="B13" s="34"/>
      <c r="C13" s="35"/>
      <c r="D13" s="35" t="s">
        <v>0</v>
      </c>
      <c r="E13" s="35" t="s">
        <v>0</v>
      </c>
      <c r="F13" s="73" t="s">
        <v>195</v>
      </c>
      <c r="G13" s="35" t="s">
        <v>0</v>
      </c>
      <c r="H13" s="35"/>
      <c r="I13" s="35"/>
      <c r="J13" s="36"/>
    </row>
    <row r="14" spans="1:10">
      <c r="B14" s="34" t="s">
        <v>0</v>
      </c>
      <c r="C14" s="35" t="s">
        <v>0</v>
      </c>
      <c r="D14" s="35" t="s">
        <v>0</v>
      </c>
      <c r="E14" s="35" t="s">
        <v>0</v>
      </c>
      <c r="F14" s="30"/>
      <c r="G14" s="2" t="s">
        <v>0</v>
      </c>
      <c r="H14" s="2"/>
      <c r="I14" s="2"/>
      <c r="J14" s="36"/>
    </row>
    <row r="15" spans="1:10" ht="22.5">
      <c r="B15" s="34"/>
      <c r="C15" s="35"/>
      <c r="D15" s="35" t="s">
        <v>0</v>
      </c>
      <c r="E15" s="35" t="s">
        <v>0</v>
      </c>
      <c r="F15" s="30" t="s">
        <v>17</v>
      </c>
      <c r="G15" s="2" t="s">
        <v>0</v>
      </c>
      <c r="H15" s="2"/>
      <c r="I15" s="2"/>
      <c r="J15" s="36"/>
    </row>
    <row r="16" spans="1:10">
      <c r="B16" s="34" t="s">
        <v>701</v>
      </c>
      <c r="C16" s="35" t="s">
        <v>18</v>
      </c>
      <c r="D16" s="35" t="s">
        <v>0</v>
      </c>
      <c r="E16" s="35" t="s">
        <v>0</v>
      </c>
      <c r="F16" s="40" t="s">
        <v>706</v>
      </c>
      <c r="G16" s="2" t="s">
        <v>0</v>
      </c>
      <c r="H16" s="2"/>
      <c r="I16" s="2"/>
      <c r="J16" s="36"/>
    </row>
    <row r="17" spans="2:10">
      <c r="B17" s="34" t="s">
        <v>0</v>
      </c>
      <c r="C17" s="35" t="s">
        <v>0</v>
      </c>
      <c r="D17" s="35" t="s">
        <v>0</v>
      </c>
      <c r="E17" s="35" t="s">
        <v>0</v>
      </c>
      <c r="F17" s="30"/>
      <c r="G17" s="2" t="s">
        <v>0</v>
      </c>
      <c r="H17" s="2"/>
      <c r="I17" s="2"/>
      <c r="J17" s="36"/>
    </row>
    <row r="18" spans="2:10">
      <c r="B18" s="34"/>
      <c r="C18" s="35"/>
      <c r="D18" s="35" t="s">
        <v>0</v>
      </c>
      <c r="E18" s="35" t="s">
        <v>0</v>
      </c>
      <c r="F18" s="30" t="s">
        <v>19</v>
      </c>
      <c r="G18" s="2" t="s">
        <v>0</v>
      </c>
      <c r="H18" s="2"/>
      <c r="I18" s="2"/>
      <c r="J18" s="36"/>
    </row>
    <row r="19" spans="2:10">
      <c r="B19" s="34" t="s">
        <v>701</v>
      </c>
      <c r="C19" s="35" t="s">
        <v>20</v>
      </c>
      <c r="D19" s="2" t="s">
        <v>0</v>
      </c>
      <c r="E19" s="2" t="s">
        <v>0</v>
      </c>
      <c r="F19" s="40" t="s">
        <v>707</v>
      </c>
      <c r="G19" s="2" t="s">
        <v>0</v>
      </c>
      <c r="H19" s="2"/>
      <c r="I19" s="2"/>
      <c r="J19" s="36"/>
    </row>
    <row r="20" spans="2:10">
      <c r="B20" s="34"/>
      <c r="C20" s="35"/>
      <c r="D20" s="35" t="s">
        <v>0</v>
      </c>
      <c r="E20" s="35" t="s">
        <v>0</v>
      </c>
      <c r="F20" s="30"/>
      <c r="G20" s="2" t="s">
        <v>0</v>
      </c>
      <c r="H20" s="2"/>
      <c r="I20" s="2"/>
      <c r="J20" s="36"/>
    </row>
    <row r="21" spans="2:10" ht="30.75" customHeight="1">
      <c r="B21" s="34" t="s">
        <v>0</v>
      </c>
      <c r="C21" s="35" t="s">
        <v>0</v>
      </c>
      <c r="D21" s="35" t="s">
        <v>0</v>
      </c>
      <c r="E21" s="35" t="s">
        <v>0</v>
      </c>
      <c r="F21" s="29" t="s">
        <v>160</v>
      </c>
      <c r="G21" s="2" t="s">
        <v>0</v>
      </c>
      <c r="H21" s="2"/>
      <c r="I21" s="2"/>
      <c r="J21" s="36"/>
    </row>
    <row r="22" spans="2:10">
      <c r="B22" s="34"/>
      <c r="C22" s="35"/>
      <c r="D22" s="35" t="s">
        <v>0</v>
      </c>
      <c r="E22" s="35" t="s">
        <v>0</v>
      </c>
      <c r="F22" s="39" t="s">
        <v>22</v>
      </c>
      <c r="G22" s="2" t="s">
        <v>0</v>
      </c>
      <c r="H22" s="2"/>
      <c r="I22" s="2"/>
      <c r="J22" s="36"/>
    </row>
    <row r="23" spans="2:10">
      <c r="B23" s="34" t="s">
        <v>701</v>
      </c>
      <c r="C23" s="35" t="s">
        <v>21</v>
      </c>
      <c r="D23" s="35" t="s">
        <v>0</v>
      </c>
      <c r="E23" s="35" t="s">
        <v>0</v>
      </c>
      <c r="F23" s="40" t="s">
        <v>708</v>
      </c>
      <c r="G23" s="2" t="s">
        <v>0</v>
      </c>
      <c r="H23" s="2"/>
      <c r="I23" s="2"/>
      <c r="J23" s="36"/>
    </row>
    <row r="24" spans="2:10">
      <c r="B24" s="34"/>
      <c r="C24" s="35"/>
      <c r="D24" s="35"/>
      <c r="E24" s="35"/>
      <c r="F24" s="39"/>
      <c r="G24" s="2"/>
      <c r="H24" s="2"/>
      <c r="I24" s="2"/>
      <c r="J24" s="36"/>
    </row>
    <row r="25" spans="2:10" ht="15">
      <c r="B25" s="34"/>
      <c r="C25" s="35"/>
      <c r="D25" s="35" t="s">
        <v>0</v>
      </c>
      <c r="E25" s="35" t="s">
        <v>0</v>
      </c>
      <c r="F25" s="72" t="s">
        <v>235</v>
      </c>
      <c r="G25" s="1" t="s">
        <v>0</v>
      </c>
      <c r="H25" s="1"/>
      <c r="I25" s="1"/>
      <c r="J25" s="36"/>
    </row>
    <row r="26" spans="2:10">
      <c r="B26" s="34"/>
      <c r="C26" s="35"/>
      <c r="D26" s="35"/>
      <c r="E26" s="35"/>
      <c r="F26" s="29"/>
      <c r="G26" s="1"/>
      <c r="H26" s="1"/>
      <c r="I26" s="1"/>
      <c r="J26" s="36"/>
    </row>
    <row r="27" spans="2:10">
      <c r="B27" s="34"/>
      <c r="C27" s="35"/>
      <c r="D27" s="35"/>
      <c r="E27" s="35"/>
      <c r="F27" s="29"/>
      <c r="G27" s="1"/>
      <c r="H27" s="1"/>
      <c r="I27" s="1"/>
      <c r="J27" s="36"/>
    </row>
    <row r="28" spans="2:10">
      <c r="B28" s="34" t="s">
        <v>701</v>
      </c>
      <c r="C28" s="35" t="s">
        <v>64</v>
      </c>
      <c r="D28" s="35" t="s">
        <v>0</v>
      </c>
      <c r="E28" s="35" t="s">
        <v>0</v>
      </c>
      <c r="F28" s="30" t="s">
        <v>65</v>
      </c>
      <c r="G28" s="2" t="s">
        <v>0</v>
      </c>
      <c r="H28" s="37">
        <v>3000</v>
      </c>
      <c r="I28" s="37">
        <v>9000</v>
      </c>
      <c r="J28" s="36"/>
    </row>
    <row r="29" spans="2:10" ht="22.5">
      <c r="B29" s="34" t="s">
        <v>701</v>
      </c>
      <c r="C29" s="35" t="s">
        <v>66</v>
      </c>
      <c r="D29" s="35" t="s">
        <v>0</v>
      </c>
      <c r="E29" s="35" t="s">
        <v>0</v>
      </c>
      <c r="F29" s="30" t="s">
        <v>67</v>
      </c>
      <c r="G29" s="2" t="s">
        <v>0</v>
      </c>
      <c r="H29" s="37">
        <v>4000</v>
      </c>
      <c r="I29" s="37">
        <v>8000</v>
      </c>
      <c r="J29" s="36"/>
    </row>
    <row r="30" spans="2:10" ht="22.5">
      <c r="B30" s="34" t="s">
        <v>701</v>
      </c>
      <c r="C30" s="35" t="s">
        <v>68</v>
      </c>
      <c r="D30" s="35" t="s">
        <v>0</v>
      </c>
      <c r="E30" s="35" t="s">
        <v>0</v>
      </c>
      <c r="F30" s="30" t="s">
        <v>69</v>
      </c>
      <c r="G30" s="2" t="s">
        <v>0</v>
      </c>
      <c r="H30" s="37">
        <v>5000</v>
      </c>
      <c r="I30" s="37">
        <v>7000</v>
      </c>
      <c r="J30" s="36"/>
    </row>
    <row r="31" spans="2:10" ht="22.5">
      <c r="B31" s="34" t="s">
        <v>701</v>
      </c>
      <c r="C31" s="35" t="s">
        <v>70</v>
      </c>
      <c r="D31" s="35" t="s">
        <v>0</v>
      </c>
      <c r="E31" s="35" t="s">
        <v>0</v>
      </c>
      <c r="F31" s="30" t="s">
        <v>71</v>
      </c>
      <c r="G31" s="2" t="s">
        <v>0</v>
      </c>
      <c r="H31" s="37">
        <v>6000</v>
      </c>
      <c r="I31" s="37">
        <v>6000</v>
      </c>
      <c r="J31" s="36"/>
    </row>
    <row r="32" spans="2:10">
      <c r="B32" s="34" t="s">
        <v>701</v>
      </c>
      <c r="C32" s="35" t="s">
        <v>72</v>
      </c>
      <c r="D32" s="35" t="s">
        <v>0</v>
      </c>
      <c r="E32" s="35" t="s">
        <v>0</v>
      </c>
      <c r="F32" s="30" t="s">
        <v>73</v>
      </c>
      <c r="G32" s="2" t="s">
        <v>0</v>
      </c>
      <c r="H32" s="37">
        <v>7000</v>
      </c>
      <c r="I32" s="37">
        <v>5000</v>
      </c>
      <c r="J32" s="36"/>
    </row>
    <row r="33" spans="2:10">
      <c r="B33" s="34" t="s">
        <v>701</v>
      </c>
      <c r="C33" s="35" t="s">
        <v>74</v>
      </c>
      <c r="D33" s="35" t="s">
        <v>0</v>
      </c>
      <c r="E33" s="35" t="s">
        <v>0</v>
      </c>
      <c r="F33" s="30" t="s">
        <v>75</v>
      </c>
      <c r="G33" s="2" t="s">
        <v>0</v>
      </c>
      <c r="H33" s="37">
        <v>8000</v>
      </c>
      <c r="I33" s="37">
        <v>4000</v>
      </c>
      <c r="J33" s="36"/>
    </row>
    <row r="34" spans="2:10">
      <c r="B34" s="34" t="s">
        <v>701</v>
      </c>
      <c r="C34" s="35" t="s">
        <v>76</v>
      </c>
      <c r="D34" s="35" t="s">
        <v>0</v>
      </c>
      <c r="E34" s="35" t="s">
        <v>0</v>
      </c>
      <c r="F34" s="30" t="s">
        <v>77</v>
      </c>
      <c r="G34" s="2" t="s">
        <v>0</v>
      </c>
      <c r="H34" s="37">
        <v>9000</v>
      </c>
      <c r="I34" s="37">
        <v>3000</v>
      </c>
      <c r="J34" s="36"/>
    </row>
    <row r="35" spans="2:10">
      <c r="B35" s="34" t="s">
        <v>701</v>
      </c>
      <c r="C35" s="35" t="s">
        <v>78</v>
      </c>
      <c r="D35" s="35" t="s">
        <v>0</v>
      </c>
      <c r="E35" s="35" t="s">
        <v>0</v>
      </c>
      <c r="F35" s="30" t="s">
        <v>79</v>
      </c>
      <c r="G35" s="2" t="s">
        <v>0</v>
      </c>
      <c r="H35" s="37">
        <v>10000</v>
      </c>
      <c r="I35" s="37">
        <v>2000</v>
      </c>
      <c r="J35" s="36"/>
    </row>
    <row r="36" spans="2:10" ht="22.5">
      <c r="B36" s="34" t="s">
        <v>701</v>
      </c>
      <c r="C36" s="35" t="s">
        <v>80</v>
      </c>
      <c r="D36" s="35" t="s">
        <v>0</v>
      </c>
      <c r="E36" s="35" t="s">
        <v>0</v>
      </c>
      <c r="F36" s="30" t="s">
        <v>81</v>
      </c>
      <c r="G36" s="2" t="s">
        <v>0</v>
      </c>
      <c r="H36" s="37">
        <v>11000</v>
      </c>
      <c r="I36" s="37">
        <v>1000</v>
      </c>
      <c r="J36" s="36"/>
    </row>
    <row r="37" spans="2:10">
      <c r="B37" s="34" t="s">
        <v>0</v>
      </c>
      <c r="C37" s="35" t="s">
        <v>0</v>
      </c>
      <c r="D37" s="35" t="s">
        <v>0</v>
      </c>
      <c r="E37" s="35" t="s">
        <v>0</v>
      </c>
      <c r="F37" s="39" t="s">
        <v>0</v>
      </c>
      <c r="G37" s="2" t="s">
        <v>0</v>
      </c>
      <c r="H37" s="2"/>
      <c r="I37" s="2"/>
      <c r="J37" s="36"/>
    </row>
    <row r="38" spans="2:10" ht="22.5">
      <c r="B38" s="34"/>
      <c r="C38" s="35"/>
      <c r="D38" s="35" t="s">
        <v>0</v>
      </c>
      <c r="E38" s="35" t="s">
        <v>0</v>
      </c>
      <c r="F38" s="30" t="s">
        <v>83</v>
      </c>
      <c r="G38" s="2" t="s">
        <v>0</v>
      </c>
      <c r="H38" s="2"/>
      <c r="I38" s="2"/>
      <c r="J38" s="36"/>
    </row>
    <row r="39" spans="2:10">
      <c r="B39" s="34" t="s">
        <v>701</v>
      </c>
      <c r="C39" s="35" t="s">
        <v>82</v>
      </c>
      <c r="D39" s="35" t="s">
        <v>0</v>
      </c>
      <c r="E39" s="35" t="s">
        <v>0</v>
      </c>
      <c r="F39" s="40" t="s">
        <v>709</v>
      </c>
      <c r="G39" s="2" t="s">
        <v>0</v>
      </c>
      <c r="H39" s="2"/>
      <c r="I39" s="2"/>
      <c r="J39" s="36"/>
    </row>
    <row r="40" spans="2:10">
      <c r="B40" s="34" t="s">
        <v>0</v>
      </c>
      <c r="C40" s="35" t="s">
        <v>0</v>
      </c>
      <c r="D40" s="35" t="s">
        <v>0</v>
      </c>
      <c r="E40" s="35" t="s">
        <v>0</v>
      </c>
      <c r="F40" s="29" t="s">
        <v>0</v>
      </c>
      <c r="G40" s="2" t="s">
        <v>0</v>
      </c>
      <c r="H40" s="2"/>
      <c r="I40" s="2"/>
      <c r="J40" s="36"/>
    </row>
    <row r="41" spans="2:10">
      <c r="B41" s="34"/>
      <c r="C41" s="35"/>
      <c r="D41" s="35" t="s">
        <v>0</v>
      </c>
      <c r="E41" s="35" t="s">
        <v>0</v>
      </c>
      <c r="F41" s="30" t="s">
        <v>84</v>
      </c>
      <c r="G41" s="2" t="s">
        <v>0</v>
      </c>
      <c r="H41" s="2"/>
      <c r="I41" s="2"/>
      <c r="J41" s="36"/>
    </row>
    <row r="42" spans="2:10">
      <c r="B42" s="34" t="s">
        <v>701</v>
      </c>
      <c r="C42" s="35" t="s">
        <v>85</v>
      </c>
      <c r="D42" s="35" t="s">
        <v>0</v>
      </c>
      <c r="E42" s="35" t="s">
        <v>0</v>
      </c>
      <c r="F42" s="40" t="s">
        <v>710</v>
      </c>
      <c r="G42" s="2" t="s">
        <v>0</v>
      </c>
      <c r="H42" s="2"/>
      <c r="I42" s="2"/>
      <c r="J42" s="36"/>
    </row>
    <row r="43" spans="2:10">
      <c r="B43" s="34" t="s">
        <v>0</v>
      </c>
      <c r="C43" s="35" t="s">
        <v>0</v>
      </c>
      <c r="D43" s="35" t="s">
        <v>0</v>
      </c>
      <c r="E43" s="35" t="s">
        <v>0</v>
      </c>
      <c r="F43" s="29" t="s">
        <v>0</v>
      </c>
      <c r="G43" s="2" t="s">
        <v>0</v>
      </c>
      <c r="H43" s="2"/>
      <c r="I43" s="2"/>
      <c r="J43" s="36"/>
    </row>
    <row r="44" spans="2:10" ht="22.5">
      <c r="B44" s="34"/>
      <c r="C44" s="35"/>
      <c r="D44" s="35" t="s">
        <v>0</v>
      </c>
      <c r="E44" s="35" t="s">
        <v>0</v>
      </c>
      <c r="F44" s="30" t="s">
        <v>86</v>
      </c>
      <c r="G44" s="2" t="s">
        <v>0</v>
      </c>
      <c r="H44" s="2"/>
      <c r="I44" s="2"/>
      <c r="J44" s="36"/>
    </row>
    <row r="45" spans="2:10">
      <c r="B45" s="34" t="s">
        <v>701</v>
      </c>
      <c r="C45" s="35" t="s">
        <v>87</v>
      </c>
      <c r="D45" s="35" t="s">
        <v>0</v>
      </c>
      <c r="E45" s="35" t="s">
        <v>0</v>
      </c>
      <c r="F45" s="40" t="s">
        <v>711</v>
      </c>
      <c r="G45" s="2" t="s">
        <v>0</v>
      </c>
      <c r="H45" s="2"/>
      <c r="I45" s="2"/>
      <c r="J45" s="36"/>
    </row>
    <row r="46" spans="2:10">
      <c r="B46" s="34" t="s">
        <v>0</v>
      </c>
      <c r="C46" s="35" t="s">
        <v>0</v>
      </c>
      <c r="D46" s="35" t="s">
        <v>0</v>
      </c>
      <c r="E46" s="35" t="s">
        <v>0</v>
      </c>
      <c r="F46" s="29" t="s">
        <v>0</v>
      </c>
      <c r="G46" s="2" t="s">
        <v>0</v>
      </c>
      <c r="H46" s="2"/>
      <c r="I46" s="2"/>
      <c r="J46" s="36"/>
    </row>
    <row r="47" spans="2:10" ht="22.5">
      <c r="B47" s="34"/>
      <c r="C47" s="35"/>
      <c r="D47" s="35" t="s">
        <v>0</v>
      </c>
      <c r="E47" s="35" t="s">
        <v>0</v>
      </c>
      <c r="F47" s="30" t="s">
        <v>88</v>
      </c>
      <c r="G47" s="2" t="s">
        <v>0</v>
      </c>
      <c r="H47" s="2"/>
      <c r="I47" s="2"/>
      <c r="J47" s="36"/>
    </row>
    <row r="48" spans="2:10">
      <c r="B48" s="34" t="s">
        <v>701</v>
      </c>
      <c r="C48" s="35" t="s">
        <v>89</v>
      </c>
      <c r="D48" s="35" t="s">
        <v>0</v>
      </c>
      <c r="E48" s="35" t="s">
        <v>0</v>
      </c>
      <c r="F48" s="40" t="s">
        <v>713</v>
      </c>
      <c r="G48" s="2" t="s">
        <v>0</v>
      </c>
      <c r="H48" s="2"/>
      <c r="I48" s="2"/>
      <c r="J48" s="36"/>
    </row>
    <row r="49" spans="2:10">
      <c r="B49" s="34" t="s">
        <v>0</v>
      </c>
      <c r="C49" s="35" t="s">
        <v>0</v>
      </c>
      <c r="D49" s="35" t="s">
        <v>0</v>
      </c>
      <c r="E49" s="35" t="s">
        <v>0</v>
      </c>
      <c r="F49" s="29" t="s">
        <v>0</v>
      </c>
      <c r="G49" s="2" t="s">
        <v>0</v>
      </c>
      <c r="H49" s="2"/>
      <c r="I49" s="2"/>
      <c r="J49" s="36"/>
    </row>
    <row r="50" spans="2:10" ht="22.5">
      <c r="B50" s="34"/>
      <c r="C50" s="35"/>
      <c r="D50" s="35" t="s">
        <v>0</v>
      </c>
      <c r="E50" s="35" t="s">
        <v>0</v>
      </c>
      <c r="F50" s="30" t="s">
        <v>90</v>
      </c>
      <c r="G50" s="2" t="s">
        <v>0</v>
      </c>
      <c r="H50" s="2"/>
      <c r="I50" s="2"/>
      <c r="J50" s="36"/>
    </row>
    <row r="51" spans="2:10">
      <c r="B51" s="34" t="s">
        <v>701</v>
      </c>
      <c r="C51" s="35" t="s">
        <v>91</v>
      </c>
      <c r="D51" s="35" t="s">
        <v>0</v>
      </c>
      <c r="E51" s="35" t="s">
        <v>0</v>
      </c>
      <c r="F51" s="40" t="s">
        <v>714</v>
      </c>
      <c r="G51" s="2" t="s">
        <v>0</v>
      </c>
      <c r="H51" s="2"/>
      <c r="I51" s="2"/>
      <c r="J51" s="36"/>
    </row>
    <row r="52" spans="2:10">
      <c r="B52" s="44" t="s">
        <v>0</v>
      </c>
      <c r="C52" s="45" t="s">
        <v>0</v>
      </c>
      <c r="D52" s="45" t="s">
        <v>0</v>
      </c>
      <c r="E52" s="45" t="s">
        <v>0</v>
      </c>
      <c r="F52" s="46"/>
      <c r="G52" s="45" t="s">
        <v>0</v>
      </c>
      <c r="H52" s="45"/>
      <c r="I52" s="45"/>
      <c r="J52" s="47"/>
    </row>
    <row r="53" spans="2:10">
      <c r="B53" s="44"/>
      <c r="C53" s="45"/>
      <c r="D53" s="45" t="s">
        <v>0</v>
      </c>
      <c r="E53" s="45" t="s">
        <v>0</v>
      </c>
      <c r="F53" s="46" t="s">
        <v>92</v>
      </c>
      <c r="G53" s="45" t="s">
        <v>0</v>
      </c>
      <c r="H53" s="45"/>
      <c r="I53" s="45"/>
      <c r="J53" s="47"/>
    </row>
    <row r="54" spans="2:10">
      <c r="B54" s="44" t="s">
        <v>701</v>
      </c>
      <c r="C54" s="45" t="s">
        <v>93</v>
      </c>
      <c r="D54" s="45" t="s">
        <v>0</v>
      </c>
      <c r="E54" s="45" t="s">
        <v>0</v>
      </c>
      <c r="F54" s="40" t="s">
        <v>715</v>
      </c>
      <c r="G54" s="45" t="s">
        <v>0</v>
      </c>
      <c r="H54" s="45"/>
      <c r="I54" s="45"/>
      <c r="J54" s="47"/>
    </row>
    <row r="55" spans="2:10">
      <c r="B55" s="44" t="s">
        <v>0</v>
      </c>
      <c r="C55" s="45" t="s">
        <v>0</v>
      </c>
      <c r="D55" s="45" t="s">
        <v>0</v>
      </c>
      <c r="E55" s="45" t="s">
        <v>0</v>
      </c>
      <c r="F55" s="46"/>
      <c r="G55" s="45" t="s">
        <v>0</v>
      </c>
      <c r="H55" s="45"/>
      <c r="I55" s="45"/>
      <c r="J55" s="47"/>
    </row>
    <row r="56" spans="2:10" ht="22.5">
      <c r="B56" s="44"/>
      <c r="C56" s="45"/>
      <c r="D56" s="45" t="s">
        <v>0</v>
      </c>
      <c r="E56" s="45" t="s">
        <v>0</v>
      </c>
      <c r="F56" s="46" t="s">
        <v>94</v>
      </c>
      <c r="G56" s="45" t="s">
        <v>0</v>
      </c>
      <c r="H56" s="45"/>
      <c r="I56" s="45"/>
      <c r="J56" s="47"/>
    </row>
    <row r="57" spans="2:10">
      <c r="B57" s="44" t="s">
        <v>701</v>
      </c>
      <c r="C57" s="45" t="s">
        <v>95</v>
      </c>
      <c r="D57" s="45" t="s">
        <v>0</v>
      </c>
      <c r="E57" s="45" t="s">
        <v>0</v>
      </c>
      <c r="F57" s="40" t="s">
        <v>716</v>
      </c>
      <c r="G57" s="45" t="s">
        <v>0</v>
      </c>
      <c r="H57" s="45"/>
      <c r="I57" s="45"/>
      <c r="J57" s="47"/>
    </row>
    <row r="58" spans="2:10">
      <c r="B58" s="44" t="s">
        <v>0</v>
      </c>
      <c r="C58" s="45" t="s">
        <v>0</v>
      </c>
      <c r="D58" s="45" t="s">
        <v>0</v>
      </c>
      <c r="E58" s="45" t="s">
        <v>0</v>
      </c>
      <c r="F58" s="46"/>
      <c r="G58" s="45" t="s">
        <v>0</v>
      </c>
      <c r="H58" s="45"/>
      <c r="I58" s="45"/>
      <c r="J58" s="47"/>
    </row>
    <row r="59" spans="2:10" ht="22.5">
      <c r="B59" s="44"/>
      <c r="C59" s="45"/>
      <c r="D59" s="45" t="s">
        <v>0</v>
      </c>
      <c r="E59" s="45" t="s">
        <v>0</v>
      </c>
      <c r="F59" s="46" t="s">
        <v>96</v>
      </c>
      <c r="G59" s="45" t="s">
        <v>0</v>
      </c>
      <c r="H59" s="45"/>
      <c r="I59" s="45"/>
      <c r="J59" s="47"/>
    </row>
    <row r="60" spans="2:10">
      <c r="B60" s="44" t="s">
        <v>701</v>
      </c>
      <c r="C60" s="45" t="s">
        <v>97</v>
      </c>
      <c r="D60" s="45" t="s">
        <v>0</v>
      </c>
      <c r="E60" s="45" t="s">
        <v>0</v>
      </c>
      <c r="F60" s="40" t="s">
        <v>717</v>
      </c>
      <c r="G60" s="45" t="s">
        <v>0</v>
      </c>
      <c r="H60" s="45"/>
      <c r="I60" s="45"/>
      <c r="J60" s="47"/>
    </row>
    <row r="61" spans="2:10">
      <c r="B61" s="44" t="s">
        <v>0</v>
      </c>
      <c r="C61" s="45" t="s">
        <v>0</v>
      </c>
      <c r="D61" s="45" t="s">
        <v>0</v>
      </c>
      <c r="E61" s="45" t="s">
        <v>0</v>
      </c>
      <c r="F61" s="46"/>
      <c r="G61" s="45" t="s">
        <v>0</v>
      </c>
      <c r="H61" s="45"/>
      <c r="I61" s="45"/>
      <c r="J61" s="47"/>
    </row>
    <row r="62" spans="2:10">
      <c r="B62" s="44"/>
      <c r="C62" s="45"/>
      <c r="D62" s="45" t="s">
        <v>0</v>
      </c>
      <c r="E62" s="45" t="s">
        <v>0</v>
      </c>
      <c r="F62" s="46" t="s">
        <v>98</v>
      </c>
      <c r="G62" s="45" t="s">
        <v>0</v>
      </c>
      <c r="H62" s="45"/>
      <c r="I62" s="45"/>
      <c r="J62" s="47"/>
    </row>
    <row r="63" spans="2:10">
      <c r="B63" s="44" t="s">
        <v>701</v>
      </c>
      <c r="C63" s="45" t="s">
        <v>99</v>
      </c>
      <c r="D63" s="45" t="s">
        <v>0</v>
      </c>
      <c r="E63" s="45" t="s">
        <v>0</v>
      </c>
      <c r="F63" s="40" t="s">
        <v>719</v>
      </c>
      <c r="G63" s="45" t="s">
        <v>0</v>
      </c>
      <c r="H63" s="45"/>
      <c r="I63" s="45"/>
      <c r="J63" s="47"/>
    </row>
    <row r="64" spans="2:10">
      <c r="B64" s="44" t="s">
        <v>0</v>
      </c>
      <c r="C64" s="45" t="s">
        <v>0</v>
      </c>
      <c r="D64" s="45" t="s">
        <v>0</v>
      </c>
      <c r="E64" s="45" t="s">
        <v>0</v>
      </c>
      <c r="F64" s="46"/>
      <c r="G64" s="45" t="s">
        <v>0</v>
      </c>
      <c r="H64" s="45"/>
      <c r="I64" s="45"/>
      <c r="J64" s="47"/>
    </row>
    <row r="65" spans="2:10" ht="22.5">
      <c r="B65" s="44"/>
      <c r="C65" s="45"/>
      <c r="D65" s="45" t="s">
        <v>0</v>
      </c>
      <c r="E65" s="45" t="s">
        <v>0</v>
      </c>
      <c r="F65" s="46" t="s">
        <v>100</v>
      </c>
      <c r="G65" s="45" t="s">
        <v>0</v>
      </c>
      <c r="H65" s="45"/>
      <c r="I65" s="45"/>
      <c r="J65" s="47"/>
    </row>
    <row r="66" spans="2:10">
      <c r="B66" s="44" t="s">
        <v>701</v>
      </c>
      <c r="C66" s="45" t="s">
        <v>101</v>
      </c>
      <c r="D66" s="45" t="s">
        <v>0</v>
      </c>
      <c r="E66" s="45" t="s">
        <v>0</v>
      </c>
      <c r="F66" s="40" t="s">
        <v>720</v>
      </c>
      <c r="G66" s="45" t="s">
        <v>0</v>
      </c>
      <c r="H66" s="45"/>
      <c r="I66" s="45"/>
      <c r="J66" s="47"/>
    </row>
    <row r="67" spans="2:10">
      <c r="B67" s="44" t="s">
        <v>0</v>
      </c>
      <c r="C67" s="45" t="s">
        <v>0</v>
      </c>
      <c r="D67" s="45" t="s">
        <v>0</v>
      </c>
      <c r="E67" s="45" t="s">
        <v>0</v>
      </c>
      <c r="F67" s="46"/>
      <c r="G67" s="45" t="s">
        <v>0</v>
      </c>
      <c r="H67" s="45"/>
      <c r="I67" s="45"/>
      <c r="J67" s="47"/>
    </row>
    <row r="68" spans="2:10" ht="22.5">
      <c r="B68" s="44"/>
      <c r="C68" s="45"/>
      <c r="D68" s="45" t="s">
        <v>0</v>
      </c>
      <c r="E68" s="45" t="s">
        <v>0</v>
      </c>
      <c r="F68" s="46" t="s">
        <v>102</v>
      </c>
      <c r="G68" s="45" t="s">
        <v>0</v>
      </c>
      <c r="H68" s="45"/>
      <c r="I68" s="45"/>
      <c r="J68" s="47"/>
    </row>
    <row r="69" spans="2:10">
      <c r="B69" s="44" t="s">
        <v>701</v>
      </c>
      <c r="C69" s="45" t="s">
        <v>103</v>
      </c>
      <c r="D69" s="45" t="s">
        <v>0</v>
      </c>
      <c r="E69" s="45" t="s">
        <v>0</v>
      </c>
      <c r="F69" s="40" t="s">
        <v>721</v>
      </c>
      <c r="G69" s="45" t="s">
        <v>0</v>
      </c>
      <c r="H69" s="45"/>
      <c r="I69" s="45"/>
      <c r="J69" s="47"/>
    </row>
    <row r="70" spans="2:10">
      <c r="B70" s="44"/>
      <c r="C70" s="45"/>
      <c r="D70" s="45"/>
      <c r="E70" s="45"/>
      <c r="F70" s="45"/>
      <c r="G70" s="45"/>
      <c r="H70" s="45"/>
      <c r="I70" s="45"/>
      <c r="J70" s="47"/>
    </row>
    <row r="71" spans="2:10" ht="33.75">
      <c r="B71" s="44"/>
      <c r="C71" s="45"/>
      <c r="D71" s="45" t="s">
        <v>0</v>
      </c>
      <c r="E71" s="45" t="s">
        <v>0</v>
      </c>
      <c r="F71" s="46" t="s">
        <v>698</v>
      </c>
      <c r="G71" s="45"/>
      <c r="H71" s="45"/>
      <c r="I71" s="45"/>
      <c r="J71" s="47"/>
    </row>
    <row r="72" spans="2:10">
      <c r="B72" s="44" t="s">
        <v>701</v>
      </c>
      <c r="C72" s="45" t="s">
        <v>694</v>
      </c>
      <c r="D72" s="45" t="s">
        <v>0</v>
      </c>
      <c r="E72" s="45" t="s">
        <v>0</v>
      </c>
      <c r="F72" s="40" t="s">
        <v>722</v>
      </c>
      <c r="G72" s="45"/>
      <c r="H72" s="45"/>
      <c r="I72" s="45"/>
      <c r="J72" s="47"/>
    </row>
    <row r="73" spans="2:10">
      <c r="B73" s="44"/>
      <c r="C73" s="45"/>
      <c r="D73" s="45"/>
      <c r="E73" s="45"/>
      <c r="F73" s="45"/>
      <c r="G73" s="45"/>
      <c r="H73" s="45"/>
      <c r="I73" s="45"/>
      <c r="J73" s="47"/>
    </row>
    <row r="74" spans="2:10" ht="33.75">
      <c r="B74" s="44"/>
      <c r="C74" s="45"/>
      <c r="D74" s="45" t="s">
        <v>0</v>
      </c>
      <c r="E74" s="45" t="s">
        <v>0</v>
      </c>
      <c r="F74" s="46" t="s">
        <v>697</v>
      </c>
      <c r="G74" s="45"/>
      <c r="H74" s="45"/>
      <c r="I74" s="45"/>
      <c r="J74" s="47"/>
    </row>
    <row r="75" spans="2:10">
      <c r="B75" s="44" t="s">
        <v>701</v>
      </c>
      <c r="C75" s="45" t="s">
        <v>695</v>
      </c>
      <c r="D75" s="45" t="s">
        <v>0</v>
      </c>
      <c r="E75" s="45" t="s">
        <v>0</v>
      </c>
      <c r="F75" s="40" t="s">
        <v>712</v>
      </c>
      <c r="G75" s="45"/>
      <c r="H75" s="45"/>
      <c r="I75" s="45"/>
      <c r="J75" s="47"/>
    </row>
    <row r="76" spans="2:10">
      <c r="B76" s="44"/>
      <c r="C76" s="45"/>
      <c r="D76" s="45"/>
      <c r="E76" s="45"/>
      <c r="F76" s="45"/>
      <c r="G76" s="45"/>
      <c r="H76" s="45"/>
      <c r="I76" s="45"/>
      <c r="J76" s="47"/>
    </row>
    <row r="77" spans="2:10" ht="45">
      <c r="B77" s="44" t="s">
        <v>701</v>
      </c>
      <c r="C77" s="45" t="s">
        <v>696</v>
      </c>
      <c r="D77" s="45" t="s">
        <v>0</v>
      </c>
      <c r="E77" s="45" t="s">
        <v>0</v>
      </c>
      <c r="F77" s="46" t="s">
        <v>699</v>
      </c>
      <c r="G77" s="45" t="s">
        <v>0</v>
      </c>
      <c r="H77" s="37">
        <v>1000</v>
      </c>
      <c r="I77" s="37">
        <v>2000</v>
      </c>
      <c r="J77" s="47"/>
    </row>
    <row r="78" spans="2:10">
      <c r="B78" s="44"/>
      <c r="C78" s="45"/>
      <c r="D78" s="45"/>
      <c r="E78" s="45"/>
      <c r="F78" s="45"/>
      <c r="G78" s="45"/>
      <c r="H78" s="45"/>
      <c r="I78" s="45"/>
      <c r="J78" s="47"/>
    </row>
    <row r="79" spans="2:10">
      <c r="B79" s="44"/>
      <c r="C79" s="45"/>
      <c r="D79" s="45" t="s">
        <v>0</v>
      </c>
      <c r="E79" s="45" t="s">
        <v>0</v>
      </c>
      <c r="F79" s="48" t="s">
        <v>104</v>
      </c>
      <c r="G79" s="45" t="s">
        <v>0</v>
      </c>
      <c r="H79" s="45"/>
      <c r="I79" s="45"/>
      <c r="J79" s="47"/>
    </row>
    <row r="80" spans="2:10">
      <c r="B80" s="44" t="s">
        <v>701</v>
      </c>
      <c r="C80" s="45" t="s">
        <v>105</v>
      </c>
      <c r="D80" s="45" t="s">
        <v>0</v>
      </c>
      <c r="E80" s="45" t="s">
        <v>0</v>
      </c>
      <c r="F80" s="46" t="s">
        <v>106</v>
      </c>
      <c r="G80" s="45" t="s">
        <v>0</v>
      </c>
      <c r="H80" s="37">
        <v>1000</v>
      </c>
      <c r="I80" s="37">
        <v>6000</v>
      </c>
      <c r="J80" s="47"/>
    </row>
    <row r="81" spans="2:10">
      <c r="B81" s="44" t="s">
        <v>701</v>
      </c>
      <c r="C81" s="45" t="s">
        <v>107</v>
      </c>
      <c r="D81" s="45" t="s">
        <v>0</v>
      </c>
      <c r="E81" s="45" t="s">
        <v>0</v>
      </c>
      <c r="F81" s="46" t="s">
        <v>108</v>
      </c>
      <c r="G81" s="45" t="s">
        <v>0</v>
      </c>
      <c r="H81" s="37">
        <v>2000</v>
      </c>
      <c r="I81" s="37">
        <v>7000</v>
      </c>
      <c r="J81" s="47"/>
    </row>
    <row r="82" spans="2:10" ht="22.5">
      <c r="B82" s="44" t="s">
        <v>701</v>
      </c>
      <c r="C82" s="45" t="s">
        <v>109</v>
      </c>
      <c r="D82" s="45" t="s">
        <v>0</v>
      </c>
      <c r="E82" s="45" t="s">
        <v>0</v>
      </c>
      <c r="F82" s="46" t="s">
        <v>110</v>
      </c>
      <c r="G82" s="45" t="s">
        <v>0</v>
      </c>
      <c r="H82" s="37">
        <v>3000</v>
      </c>
      <c r="I82" s="37">
        <v>8000</v>
      </c>
      <c r="J82" s="47"/>
    </row>
    <row r="83" spans="2:10">
      <c r="B83" s="44" t="s">
        <v>701</v>
      </c>
      <c r="C83" s="45" t="s">
        <v>111</v>
      </c>
      <c r="D83" s="45" t="s">
        <v>0</v>
      </c>
      <c r="E83" s="45" t="s">
        <v>0</v>
      </c>
      <c r="F83" s="46" t="s">
        <v>112</v>
      </c>
      <c r="G83" s="45" t="s">
        <v>0</v>
      </c>
      <c r="H83" s="37">
        <v>4000</v>
      </c>
      <c r="I83" s="37">
        <v>9000</v>
      </c>
      <c r="J83" s="47"/>
    </row>
    <row r="84" spans="2:10" ht="22.5">
      <c r="B84" s="44" t="s">
        <v>701</v>
      </c>
      <c r="C84" s="45" t="s">
        <v>113</v>
      </c>
      <c r="D84" s="45" t="s">
        <v>0</v>
      </c>
      <c r="E84" s="45" t="s">
        <v>0</v>
      </c>
      <c r="F84" s="46" t="s">
        <v>114</v>
      </c>
      <c r="G84" s="45" t="s">
        <v>0</v>
      </c>
      <c r="H84" s="37">
        <v>5000</v>
      </c>
      <c r="I84" s="37">
        <v>6000</v>
      </c>
      <c r="J84" s="47"/>
    </row>
    <row r="85" spans="2:10">
      <c r="B85" s="44" t="s">
        <v>0</v>
      </c>
      <c r="C85" s="45" t="s">
        <v>0</v>
      </c>
      <c r="D85" s="45" t="s">
        <v>0</v>
      </c>
      <c r="E85" s="45" t="s">
        <v>0</v>
      </c>
      <c r="F85" s="46"/>
      <c r="G85" s="45" t="s">
        <v>0</v>
      </c>
      <c r="H85" s="45"/>
      <c r="I85" s="45"/>
      <c r="J85" s="47"/>
    </row>
    <row r="86" spans="2:10" ht="22.5">
      <c r="B86" s="44"/>
      <c r="C86" s="45"/>
      <c r="D86" s="45" t="s">
        <v>0</v>
      </c>
      <c r="E86" s="45" t="s">
        <v>0</v>
      </c>
      <c r="F86" s="46" t="s">
        <v>116</v>
      </c>
      <c r="G86" s="45" t="s">
        <v>0</v>
      </c>
      <c r="H86" s="45"/>
      <c r="I86" s="45"/>
      <c r="J86" s="47"/>
    </row>
    <row r="87" spans="2:10">
      <c r="B87" s="44" t="s">
        <v>701</v>
      </c>
      <c r="C87" s="45" t="s">
        <v>115</v>
      </c>
      <c r="D87" s="45" t="s">
        <v>0</v>
      </c>
      <c r="E87" s="45" t="s">
        <v>0</v>
      </c>
      <c r="F87" s="40" t="s">
        <v>721</v>
      </c>
      <c r="G87" s="45" t="s">
        <v>0</v>
      </c>
      <c r="H87" s="45"/>
      <c r="I87" s="45"/>
      <c r="J87" s="47"/>
    </row>
    <row r="88" spans="2:10">
      <c r="B88" s="44" t="s">
        <v>0</v>
      </c>
      <c r="C88" s="45" t="s">
        <v>0</v>
      </c>
      <c r="D88" s="45" t="s">
        <v>0</v>
      </c>
      <c r="E88" s="45" t="s">
        <v>0</v>
      </c>
      <c r="F88" s="46"/>
      <c r="G88" s="45" t="s">
        <v>0</v>
      </c>
      <c r="H88" s="45"/>
      <c r="I88" s="45"/>
      <c r="J88" s="47"/>
    </row>
    <row r="89" spans="2:10">
      <c r="B89" s="44"/>
      <c r="C89" s="45"/>
      <c r="D89" s="45" t="s">
        <v>0</v>
      </c>
      <c r="E89" s="45" t="s">
        <v>0</v>
      </c>
      <c r="F89" s="46" t="s">
        <v>117</v>
      </c>
      <c r="G89" s="45" t="s">
        <v>0</v>
      </c>
      <c r="H89" s="45"/>
      <c r="I89" s="45"/>
      <c r="J89" s="47"/>
    </row>
    <row r="90" spans="2:10">
      <c r="B90" s="44" t="s">
        <v>701</v>
      </c>
      <c r="C90" s="45" t="s">
        <v>118</v>
      </c>
      <c r="D90" s="45" t="s">
        <v>0</v>
      </c>
      <c r="E90" s="45" t="s">
        <v>0</v>
      </c>
      <c r="F90" s="40" t="s">
        <v>722</v>
      </c>
      <c r="G90" s="45" t="s">
        <v>0</v>
      </c>
      <c r="H90" s="45"/>
      <c r="I90" s="45"/>
      <c r="J90" s="47"/>
    </row>
    <row r="91" spans="2:10">
      <c r="B91" s="44" t="s">
        <v>0</v>
      </c>
      <c r="C91" s="45" t="s">
        <v>0</v>
      </c>
      <c r="D91" s="45" t="s">
        <v>0</v>
      </c>
      <c r="E91" s="45" t="s">
        <v>0</v>
      </c>
      <c r="F91" s="46"/>
      <c r="G91" s="45" t="s">
        <v>0</v>
      </c>
      <c r="H91" s="45"/>
      <c r="I91" s="45"/>
      <c r="J91" s="47"/>
    </row>
    <row r="92" spans="2:10" ht="22.5">
      <c r="B92" s="44"/>
      <c r="C92" s="45"/>
      <c r="D92" s="45" t="s">
        <v>0</v>
      </c>
      <c r="E92" s="45" t="s">
        <v>0</v>
      </c>
      <c r="F92" s="46" t="s">
        <v>119</v>
      </c>
      <c r="G92" s="45" t="s">
        <v>0</v>
      </c>
      <c r="H92" s="45"/>
      <c r="I92" s="45"/>
      <c r="J92" s="47"/>
    </row>
    <row r="93" spans="2:10">
      <c r="B93" s="44" t="s">
        <v>701</v>
      </c>
      <c r="C93" s="45" t="s">
        <v>120</v>
      </c>
      <c r="D93" s="45" t="s">
        <v>0</v>
      </c>
      <c r="E93" s="45" t="s">
        <v>0</v>
      </c>
      <c r="F93" s="40" t="s">
        <v>712</v>
      </c>
      <c r="G93" s="45" t="s">
        <v>0</v>
      </c>
      <c r="H93" s="45"/>
      <c r="I93" s="45"/>
      <c r="J93" s="47"/>
    </row>
    <row r="94" spans="2:10">
      <c r="B94" s="44" t="s">
        <v>0</v>
      </c>
      <c r="C94" s="45" t="s">
        <v>0</v>
      </c>
      <c r="D94" s="45" t="s">
        <v>0</v>
      </c>
      <c r="E94" s="45" t="s">
        <v>0</v>
      </c>
      <c r="F94" s="45"/>
      <c r="G94" s="45" t="s">
        <v>0</v>
      </c>
      <c r="H94" s="45"/>
      <c r="I94" s="45"/>
      <c r="J94" s="47"/>
    </row>
    <row r="95" spans="2:10" ht="22.5">
      <c r="B95" s="44"/>
      <c r="C95" s="45"/>
      <c r="D95" s="45" t="s">
        <v>0</v>
      </c>
      <c r="E95" s="45" t="s">
        <v>0</v>
      </c>
      <c r="F95" s="46" t="s">
        <v>121</v>
      </c>
      <c r="G95" s="45" t="s">
        <v>0</v>
      </c>
      <c r="H95" s="45"/>
      <c r="I95" s="45"/>
      <c r="J95" s="47"/>
    </row>
    <row r="96" spans="2:10">
      <c r="B96" s="44" t="s">
        <v>701</v>
      </c>
      <c r="C96" s="45" t="s">
        <v>122</v>
      </c>
      <c r="D96" s="45" t="s">
        <v>0</v>
      </c>
      <c r="E96" s="45" t="s">
        <v>0</v>
      </c>
      <c r="F96" s="40" t="s">
        <v>718</v>
      </c>
      <c r="G96" s="45" t="s">
        <v>0</v>
      </c>
      <c r="H96" s="45"/>
      <c r="I96" s="45"/>
      <c r="J96" s="47"/>
    </row>
    <row r="97" spans="2:10">
      <c r="B97" s="44" t="s">
        <v>0</v>
      </c>
      <c r="C97" s="45" t="s">
        <v>0</v>
      </c>
      <c r="D97" s="45" t="s">
        <v>0</v>
      </c>
      <c r="E97" s="45" t="s">
        <v>0</v>
      </c>
      <c r="F97" s="46"/>
      <c r="G97" s="45" t="s">
        <v>0</v>
      </c>
      <c r="H97" s="45"/>
      <c r="I97" s="45"/>
      <c r="J97" s="47"/>
    </row>
    <row r="98" spans="2:10" ht="22.5">
      <c r="B98" s="44"/>
      <c r="C98" s="45"/>
      <c r="D98" s="45" t="s">
        <v>0</v>
      </c>
      <c r="E98" s="45" t="s">
        <v>0</v>
      </c>
      <c r="F98" s="46" t="s">
        <v>124</v>
      </c>
      <c r="G98" s="45" t="s">
        <v>0</v>
      </c>
      <c r="H98" s="45"/>
      <c r="I98" s="45"/>
      <c r="J98" s="47"/>
    </row>
    <row r="99" spans="2:10">
      <c r="B99" s="44" t="s">
        <v>701</v>
      </c>
      <c r="C99" s="45" t="s">
        <v>123</v>
      </c>
      <c r="D99" s="45" t="s">
        <v>0</v>
      </c>
      <c r="E99" s="45" t="s">
        <v>0</v>
      </c>
      <c r="F99" s="40" t="s">
        <v>723</v>
      </c>
      <c r="G99" s="45" t="s">
        <v>0</v>
      </c>
      <c r="H99" s="45"/>
      <c r="I99" s="45"/>
      <c r="J99" s="47"/>
    </row>
    <row r="100" spans="2:10">
      <c r="B100" s="44" t="s">
        <v>701</v>
      </c>
      <c r="C100" s="45" t="s">
        <v>125</v>
      </c>
      <c r="D100" s="45" t="s">
        <v>0</v>
      </c>
      <c r="E100" s="45" t="s">
        <v>0</v>
      </c>
      <c r="F100" s="46" t="s">
        <v>126</v>
      </c>
      <c r="G100" s="45" t="s">
        <v>0</v>
      </c>
      <c r="H100" s="37">
        <v>2000</v>
      </c>
      <c r="I100" s="37">
        <v>3000</v>
      </c>
      <c r="J100" s="47"/>
    </row>
    <row r="101" spans="2:10">
      <c r="B101" s="44" t="s">
        <v>0</v>
      </c>
      <c r="C101" s="45" t="s">
        <v>0</v>
      </c>
      <c r="D101" s="45" t="s">
        <v>0</v>
      </c>
      <c r="E101" s="45" t="s">
        <v>0</v>
      </c>
      <c r="F101" s="46"/>
      <c r="G101" s="45" t="s">
        <v>0</v>
      </c>
      <c r="H101" s="45"/>
      <c r="I101" s="45"/>
      <c r="J101" s="47"/>
    </row>
    <row r="102" spans="2:10" ht="22.5">
      <c r="B102" s="44"/>
      <c r="C102" s="45"/>
      <c r="D102" s="45" t="s">
        <v>0</v>
      </c>
      <c r="E102" s="45" t="s">
        <v>0</v>
      </c>
      <c r="F102" s="46" t="s">
        <v>128</v>
      </c>
      <c r="G102" s="45" t="s">
        <v>0</v>
      </c>
      <c r="H102" s="45"/>
      <c r="I102" s="45"/>
      <c r="J102" s="47"/>
    </row>
    <row r="103" spans="2:10">
      <c r="B103" s="44" t="s">
        <v>701</v>
      </c>
      <c r="C103" s="45" t="s">
        <v>127</v>
      </c>
      <c r="D103" s="45" t="s">
        <v>0</v>
      </c>
      <c r="E103" s="45" t="s">
        <v>0</v>
      </c>
      <c r="F103" s="40" t="s">
        <v>724</v>
      </c>
      <c r="G103" s="45" t="s">
        <v>0</v>
      </c>
      <c r="H103" s="45"/>
      <c r="I103" s="45"/>
      <c r="J103" s="47"/>
    </row>
    <row r="104" spans="2:10">
      <c r="B104" s="44"/>
      <c r="C104" s="45"/>
      <c r="D104" s="45"/>
      <c r="E104" s="45"/>
      <c r="F104" s="45"/>
      <c r="G104" s="45"/>
      <c r="H104" s="45"/>
      <c r="I104" s="45"/>
      <c r="J104" s="47"/>
    </row>
    <row r="105" spans="2:10" ht="30">
      <c r="B105" s="44"/>
      <c r="C105" s="45"/>
      <c r="D105" s="45" t="s">
        <v>0</v>
      </c>
      <c r="E105" s="45" t="s">
        <v>0</v>
      </c>
      <c r="F105" s="74" t="s">
        <v>236</v>
      </c>
      <c r="G105" s="45" t="s">
        <v>0</v>
      </c>
      <c r="H105" s="45"/>
      <c r="I105" s="45"/>
      <c r="J105" s="47"/>
    </row>
    <row r="106" spans="2:10">
      <c r="B106" s="44"/>
      <c r="C106" s="45"/>
      <c r="D106" s="45" t="s">
        <v>0</v>
      </c>
      <c r="E106" s="45" t="s">
        <v>0</v>
      </c>
      <c r="F106" s="46" t="s">
        <v>0</v>
      </c>
      <c r="G106" s="45" t="s">
        <v>0</v>
      </c>
      <c r="H106" s="45"/>
      <c r="I106" s="45"/>
      <c r="J106" s="47"/>
    </row>
    <row r="107" spans="2:10" ht="22.5">
      <c r="B107" s="44"/>
      <c r="C107" s="45"/>
      <c r="D107" s="45" t="s">
        <v>0</v>
      </c>
      <c r="E107" s="45" t="s">
        <v>0</v>
      </c>
      <c r="F107" s="48" t="s">
        <v>161</v>
      </c>
      <c r="G107" s="45" t="s">
        <v>0</v>
      </c>
      <c r="H107" s="45"/>
      <c r="I107" s="45"/>
      <c r="J107" s="47"/>
    </row>
    <row r="108" spans="2:10">
      <c r="B108" s="44" t="s">
        <v>701</v>
      </c>
      <c r="C108" s="45" t="s">
        <v>138</v>
      </c>
      <c r="D108" s="45" t="s">
        <v>0</v>
      </c>
      <c r="E108" s="45" t="s">
        <v>0</v>
      </c>
      <c r="F108" s="46" t="s">
        <v>140</v>
      </c>
      <c r="G108" s="45" t="s">
        <v>0</v>
      </c>
      <c r="H108" s="58">
        <f>'IFRS16-InfoAnalArreFina'!M12</f>
        <v>210000</v>
      </c>
      <c r="I108" s="58">
        <f>'IFRS16-InfoAnalArreFina'!M17</f>
        <v>420000</v>
      </c>
      <c r="J108" s="47"/>
    </row>
    <row r="109" spans="2:10" ht="22.5">
      <c r="B109" s="44" t="s">
        <v>701</v>
      </c>
      <c r="C109" s="45" t="s">
        <v>141</v>
      </c>
      <c r="D109" s="45" t="s">
        <v>0</v>
      </c>
      <c r="E109" s="45" t="s">
        <v>0</v>
      </c>
      <c r="F109" s="46" t="s">
        <v>142</v>
      </c>
      <c r="G109" s="45" t="s">
        <v>0</v>
      </c>
      <c r="H109" s="37">
        <v>4000</v>
      </c>
      <c r="I109" s="37">
        <v>6000</v>
      </c>
      <c r="J109" s="47"/>
    </row>
    <row r="110" spans="2:10">
      <c r="B110" s="44" t="s">
        <v>701</v>
      </c>
      <c r="C110" s="45" t="s">
        <v>143</v>
      </c>
      <c r="D110" s="45" t="s">
        <v>0</v>
      </c>
      <c r="E110" s="45" t="s">
        <v>0</v>
      </c>
      <c r="F110" s="46" t="s">
        <v>144</v>
      </c>
      <c r="G110" s="45" t="s">
        <v>0</v>
      </c>
      <c r="H110" s="37">
        <v>5000</v>
      </c>
      <c r="I110" s="37">
        <v>7000</v>
      </c>
      <c r="J110" s="47"/>
    </row>
    <row r="111" spans="2:10">
      <c r="B111" s="44" t="s">
        <v>701</v>
      </c>
      <c r="C111" s="45" t="s">
        <v>145</v>
      </c>
      <c r="D111" s="45" t="s">
        <v>0</v>
      </c>
      <c r="E111" s="45" t="s">
        <v>0</v>
      </c>
      <c r="F111" s="46" t="s">
        <v>146</v>
      </c>
      <c r="G111" s="45" t="s">
        <v>0</v>
      </c>
      <c r="H111" s="59">
        <f>H108-H109+H110</f>
        <v>211000</v>
      </c>
      <c r="I111" s="59">
        <f>I108-I109+I110</f>
        <v>421000</v>
      </c>
      <c r="J111" s="47"/>
    </row>
    <row r="112" spans="2:10">
      <c r="B112" s="44" t="s">
        <v>0</v>
      </c>
      <c r="C112" s="45" t="s">
        <v>0</v>
      </c>
      <c r="D112" s="45" t="s">
        <v>0</v>
      </c>
      <c r="E112" s="45" t="s">
        <v>0</v>
      </c>
      <c r="F112" s="46"/>
      <c r="G112" s="45" t="s">
        <v>0</v>
      </c>
      <c r="H112" s="45"/>
      <c r="I112" s="45"/>
      <c r="J112" s="47"/>
    </row>
    <row r="113" spans="2:10" ht="22.5">
      <c r="B113" s="44"/>
      <c r="C113" s="45"/>
      <c r="D113" s="45" t="s">
        <v>0</v>
      </c>
      <c r="E113" s="45" t="s">
        <v>0</v>
      </c>
      <c r="F113" s="46" t="s">
        <v>148</v>
      </c>
      <c r="G113" s="45" t="s">
        <v>0</v>
      </c>
      <c r="H113" s="45"/>
      <c r="I113" s="45"/>
      <c r="J113" s="47"/>
    </row>
    <row r="114" spans="2:10">
      <c r="B114" s="44" t="s">
        <v>701</v>
      </c>
      <c r="C114" s="45" t="s">
        <v>147</v>
      </c>
      <c r="D114" s="45" t="s">
        <v>0</v>
      </c>
      <c r="E114" s="45" t="s">
        <v>0</v>
      </c>
      <c r="F114" s="40" t="s">
        <v>725</v>
      </c>
      <c r="G114" s="45" t="s">
        <v>0</v>
      </c>
      <c r="H114" s="45"/>
      <c r="I114" s="45"/>
      <c r="J114" s="47"/>
    </row>
    <row r="115" spans="2:10">
      <c r="B115" s="44" t="s">
        <v>0</v>
      </c>
      <c r="C115" s="45" t="s">
        <v>0</v>
      </c>
      <c r="D115" s="45" t="s">
        <v>0</v>
      </c>
      <c r="E115" s="45" t="s">
        <v>0</v>
      </c>
      <c r="F115" s="46"/>
      <c r="G115" s="45" t="s">
        <v>0</v>
      </c>
      <c r="H115" s="45"/>
      <c r="I115" s="45"/>
      <c r="J115" s="47"/>
    </row>
    <row r="116" spans="2:10" ht="15">
      <c r="B116" s="44"/>
      <c r="C116" s="45"/>
      <c r="D116" s="45" t="s">
        <v>0</v>
      </c>
      <c r="E116" s="45" t="s">
        <v>0</v>
      </c>
      <c r="F116" s="75" t="s">
        <v>237</v>
      </c>
      <c r="G116" s="45" t="s">
        <v>0</v>
      </c>
      <c r="H116" s="45"/>
      <c r="I116" s="45"/>
      <c r="J116" s="47"/>
    </row>
    <row r="117" spans="2:10">
      <c r="B117" s="44" t="s">
        <v>0</v>
      </c>
      <c r="C117" s="45" t="s">
        <v>0</v>
      </c>
      <c r="D117" s="45" t="s">
        <v>0</v>
      </c>
      <c r="E117" s="45" t="s">
        <v>0</v>
      </c>
      <c r="F117" s="46"/>
      <c r="G117" s="45" t="s">
        <v>0</v>
      </c>
      <c r="H117" s="45"/>
      <c r="I117" s="45"/>
      <c r="J117" s="47"/>
    </row>
    <row r="118" spans="2:10" ht="22.5">
      <c r="B118" s="44"/>
      <c r="C118" s="45"/>
      <c r="D118" s="45" t="s">
        <v>0</v>
      </c>
      <c r="E118" s="45" t="s">
        <v>0</v>
      </c>
      <c r="F118" s="46" t="s">
        <v>152</v>
      </c>
      <c r="G118" s="45" t="s">
        <v>0</v>
      </c>
      <c r="H118" s="45"/>
      <c r="I118" s="45"/>
      <c r="J118" s="47"/>
    </row>
    <row r="119" spans="2:10">
      <c r="B119" s="44" t="s">
        <v>701</v>
      </c>
      <c r="C119" s="45" t="s">
        <v>153</v>
      </c>
      <c r="D119" s="45" t="s">
        <v>0</v>
      </c>
      <c r="E119" s="45" t="s">
        <v>0</v>
      </c>
      <c r="F119" s="40" t="s">
        <v>726</v>
      </c>
      <c r="G119" s="45" t="s">
        <v>0</v>
      </c>
      <c r="H119" s="45"/>
      <c r="I119" s="45"/>
      <c r="J119" s="47"/>
    </row>
    <row r="120" spans="2:10" ht="22.5">
      <c r="B120" s="44" t="s">
        <v>701</v>
      </c>
      <c r="C120" s="45" t="s">
        <v>154</v>
      </c>
      <c r="D120" s="45" t="s">
        <v>0</v>
      </c>
      <c r="E120" s="45" t="s">
        <v>0</v>
      </c>
      <c r="F120" s="46" t="s">
        <v>693</v>
      </c>
      <c r="G120" s="45" t="s">
        <v>0</v>
      </c>
      <c r="H120" s="41">
        <v>0.9</v>
      </c>
      <c r="I120" s="41">
        <v>0.8</v>
      </c>
      <c r="J120" s="47"/>
    </row>
    <row r="121" spans="2:10">
      <c r="B121" s="44" t="s">
        <v>0</v>
      </c>
      <c r="C121" s="45" t="s">
        <v>0</v>
      </c>
      <c r="D121" s="45" t="s">
        <v>0</v>
      </c>
      <c r="E121" s="45" t="s">
        <v>0</v>
      </c>
      <c r="F121" s="46"/>
      <c r="G121" s="45" t="s">
        <v>0</v>
      </c>
      <c r="H121" s="45"/>
      <c r="I121" s="45"/>
      <c r="J121" s="47"/>
    </row>
    <row r="122" spans="2:10" ht="33.75">
      <c r="B122" s="44"/>
      <c r="C122" s="45"/>
      <c r="D122" s="45" t="s">
        <v>0</v>
      </c>
      <c r="E122" s="45" t="s">
        <v>0</v>
      </c>
      <c r="F122" s="46" t="s">
        <v>156</v>
      </c>
      <c r="G122" s="45" t="s">
        <v>0</v>
      </c>
      <c r="H122" s="45"/>
      <c r="I122" s="45"/>
      <c r="J122" s="47"/>
    </row>
    <row r="123" spans="2:10">
      <c r="B123" s="44" t="s">
        <v>701</v>
      </c>
      <c r="C123" s="45" t="s">
        <v>155</v>
      </c>
      <c r="D123" s="45" t="s">
        <v>0</v>
      </c>
      <c r="E123" s="45" t="s">
        <v>0</v>
      </c>
      <c r="F123" s="40" t="s">
        <v>727</v>
      </c>
      <c r="G123" s="45" t="s">
        <v>0</v>
      </c>
      <c r="H123" s="45"/>
      <c r="I123" s="45"/>
      <c r="J123" s="47"/>
    </row>
    <row r="124" spans="2:10">
      <c r="B124" s="44" t="s">
        <v>0</v>
      </c>
      <c r="C124" s="45" t="s">
        <v>0</v>
      </c>
      <c r="D124" s="45" t="s">
        <v>0</v>
      </c>
      <c r="E124" s="45" t="s">
        <v>0</v>
      </c>
      <c r="F124" s="46"/>
      <c r="G124" s="45" t="s">
        <v>0</v>
      </c>
      <c r="H124" s="45"/>
      <c r="I124" s="45"/>
      <c r="J124" s="47"/>
    </row>
    <row r="125" spans="2:10" ht="22.5">
      <c r="B125" s="44"/>
      <c r="C125" s="45"/>
      <c r="D125" s="45" t="s">
        <v>0</v>
      </c>
      <c r="E125" s="45" t="s">
        <v>0</v>
      </c>
      <c r="F125" s="46" t="s">
        <v>157</v>
      </c>
      <c r="G125" s="45" t="s">
        <v>0</v>
      </c>
      <c r="H125" s="45"/>
      <c r="I125" s="45"/>
      <c r="J125" s="47"/>
    </row>
    <row r="126" spans="2:10">
      <c r="B126" s="44" t="s">
        <v>701</v>
      </c>
      <c r="C126" s="45" t="s">
        <v>158</v>
      </c>
      <c r="D126" s="45" t="s">
        <v>0</v>
      </c>
      <c r="E126" s="45" t="s">
        <v>0</v>
      </c>
      <c r="F126" s="40" t="s">
        <v>728</v>
      </c>
      <c r="G126" s="45" t="s">
        <v>0</v>
      </c>
      <c r="H126" s="45"/>
      <c r="I126" s="45"/>
      <c r="J126" s="47"/>
    </row>
    <row r="127" spans="2:10">
      <c r="B127" s="44"/>
      <c r="C127" s="45"/>
      <c r="D127" s="45"/>
      <c r="E127" s="45"/>
      <c r="F127" s="46"/>
      <c r="G127" s="45"/>
      <c r="H127" s="45"/>
      <c r="I127" s="45"/>
      <c r="J127" s="47"/>
    </row>
    <row r="128" spans="2:10">
      <c r="B128" s="49"/>
      <c r="C128" s="50"/>
      <c r="D128" s="50"/>
      <c r="E128" s="50"/>
      <c r="F128" s="51"/>
      <c r="G128" s="50"/>
      <c r="H128" s="50"/>
      <c r="I128" s="50"/>
      <c r="J128" s="52"/>
    </row>
  </sheetData>
  <hyperlinks>
    <hyperlink ref="F25" location="'IFRS16-InfoActiDereUso'!A1" display="          Información a revelar cuantitativa sobre activos por derecho de uso [tabla]" xr:uid="{00000000-0004-0000-0000-000000000000}"/>
    <hyperlink ref="F105" location="'IFRS16-InfoAnalArreFina'!A1" display="        Información a revelar sobre análisis de vencimientos de cuentas por cobrar por pagos por arrendamiento financiero [tabla] [Texto]" xr:uid="{00000000-0004-0000-0000-000001000000}"/>
    <hyperlink ref="F116" location="'IFRS16-InfoAnalArreOper'!A1" display="        Información a revelar sobre análisis de vencimientos de pagos por arrendamiento operativo [tabla]" xr:uid="{00000000-0004-0000-0000-000002000000}"/>
    <hyperlink ref="F13" location="'IFRS16-PasiPorArre'!A1" display="Pasivos por arrendamiento [sinopsis]" xr:uid="{00000000-0004-0000-0000-000003000000}"/>
  </hyperlink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7">
    <tabColor rgb="FF00B050"/>
  </sheetPr>
  <dimension ref="A1:I90"/>
  <sheetViews>
    <sheetView tabSelected="1" topLeftCell="A5" zoomScale="80" zoomScaleNormal="80" workbookViewId="0">
      <selection activeCell="O28" sqref="O28"/>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9" width="14.7109375" customWidth="1"/>
  </cols>
  <sheetData>
    <row r="1" spans="1:9" ht="60" customHeight="1" thickBot="1"/>
    <row r="2" spans="1:9" ht="171.75" customHeight="1" thickBot="1">
      <c r="F2" s="3" t="s">
        <v>4</v>
      </c>
    </row>
    <row r="3" spans="1:9" ht="15.75" thickBot="1">
      <c r="A3" s="4"/>
    </row>
    <row r="4" spans="1:9" ht="16.5" thickBot="1">
      <c r="A4" s="4"/>
      <c r="F4" s="27" t="s">
        <v>8</v>
      </c>
      <c r="G4" s="28" t="s">
        <v>9</v>
      </c>
    </row>
    <row r="5" spans="1:9" ht="15.75" thickBot="1">
      <c r="A5" s="4"/>
    </row>
    <row r="6" spans="1:9" ht="95.25" customHeight="1" thickBot="1">
      <c r="A6" s="8" t="s">
        <v>6</v>
      </c>
      <c r="B6" s="5"/>
      <c r="C6" s="6"/>
      <c r="D6" s="6"/>
      <c r="E6" s="6"/>
      <c r="F6" s="56" t="s">
        <v>234</v>
      </c>
      <c r="G6" s="60" t="s">
        <v>203</v>
      </c>
      <c r="H6" s="60" t="s">
        <v>204</v>
      </c>
      <c r="I6" s="22" t="s">
        <v>200</v>
      </c>
    </row>
    <row r="7" spans="1:9" ht="60" hidden="1">
      <c r="A7" s="8" t="s">
        <v>5</v>
      </c>
      <c r="B7" s="9"/>
      <c r="C7" s="9"/>
      <c r="D7" s="64" t="s">
        <v>201</v>
      </c>
      <c r="E7" s="64" t="s">
        <v>202</v>
      </c>
      <c r="F7" s="9"/>
      <c r="G7" s="61" t="str">
        <f>SUBSTITUTE(CONCATENATE("IFRS16-PasiPorArre_",TRIM(G6),"_",COLUMN(G7),"|",G6)," ","")</f>
        <v>IFRS16-PasiPorArre_Pasivo1_7|Pasivo1</v>
      </c>
      <c r="H7" s="61" t="str">
        <f>SUBSTITUTE(CONCATENATE("IFRS16-PasiPorArre_",TRIM(H6),"_",COLUMN(H7),"|",H6)," ","")</f>
        <v>IFRS16-PasiPorArre_Pasivo2_8|Pasivo2</v>
      </c>
      <c r="I7" s="63" t="s">
        <v>199</v>
      </c>
    </row>
    <row r="8" spans="1:9">
      <c r="B8" s="11"/>
      <c r="C8" s="9"/>
      <c r="D8" s="9"/>
      <c r="E8" s="9"/>
      <c r="F8" s="9"/>
      <c r="G8" s="9"/>
      <c r="H8" s="9"/>
      <c r="I8" s="24"/>
    </row>
    <row r="9" spans="1:9" ht="22.5" customHeight="1">
      <c r="B9" s="11"/>
      <c r="C9" s="9"/>
      <c r="D9" s="9"/>
      <c r="E9" s="9"/>
      <c r="F9" s="12" t="s">
        <v>2</v>
      </c>
      <c r="G9" s="9"/>
      <c r="H9" s="9"/>
      <c r="I9" s="24"/>
    </row>
    <row r="10" spans="1:9">
      <c r="A10" s="13"/>
      <c r="B10" s="14"/>
      <c r="C10" s="15"/>
      <c r="D10" s="15"/>
      <c r="E10" s="15"/>
      <c r="F10" s="16"/>
      <c r="G10" s="15"/>
      <c r="H10" s="15"/>
      <c r="I10" s="25"/>
    </row>
    <row r="11" spans="1:9">
      <c r="A11" s="13"/>
      <c r="B11" s="14"/>
      <c r="C11" s="15"/>
      <c r="D11" s="15" t="s">
        <v>0</v>
      </c>
      <c r="E11" s="15" t="s">
        <v>0</v>
      </c>
      <c r="F11" s="16" t="s">
        <v>233</v>
      </c>
      <c r="G11" s="15"/>
      <c r="H11" s="15"/>
      <c r="I11" s="25"/>
    </row>
    <row r="12" spans="1:9">
      <c r="A12" s="13"/>
      <c r="B12" s="14"/>
      <c r="C12" s="15" t="s">
        <v>205</v>
      </c>
      <c r="D12" s="15" t="s">
        <v>1</v>
      </c>
      <c r="E12" s="15"/>
      <c r="F12" s="23" t="s">
        <v>238</v>
      </c>
      <c r="G12" s="55" t="s">
        <v>768</v>
      </c>
      <c r="H12" s="55" t="s">
        <v>768</v>
      </c>
      <c r="I12" s="55"/>
    </row>
    <row r="13" spans="1:9">
      <c r="A13" s="13"/>
      <c r="B13" s="14"/>
      <c r="C13" s="15" t="s">
        <v>206</v>
      </c>
      <c r="D13" s="15" t="s">
        <v>1</v>
      </c>
      <c r="E13" s="15"/>
      <c r="F13" s="23" t="s">
        <v>239</v>
      </c>
      <c r="G13" s="55" t="s">
        <v>704</v>
      </c>
      <c r="H13" s="55" t="s">
        <v>704</v>
      </c>
      <c r="I13" s="55"/>
    </row>
    <row r="14" spans="1:9">
      <c r="A14" s="13"/>
      <c r="B14" s="14"/>
      <c r="C14" s="15" t="s">
        <v>684</v>
      </c>
      <c r="D14" s="15" t="s">
        <v>1</v>
      </c>
      <c r="E14" s="15"/>
      <c r="F14" s="23" t="s">
        <v>692</v>
      </c>
      <c r="G14" s="76" t="s">
        <v>255</v>
      </c>
      <c r="H14" s="76" t="s">
        <v>255</v>
      </c>
      <c r="I14" s="76"/>
    </row>
    <row r="15" spans="1:9">
      <c r="A15" s="13"/>
      <c r="B15" s="14"/>
      <c r="C15" s="15" t="s">
        <v>207</v>
      </c>
      <c r="D15" s="15" t="s">
        <v>1</v>
      </c>
      <c r="E15" s="15"/>
      <c r="F15" s="23" t="s">
        <v>240</v>
      </c>
      <c r="G15" s="55" t="s">
        <v>729</v>
      </c>
      <c r="H15" s="55" t="s">
        <v>729</v>
      </c>
      <c r="I15" s="55"/>
    </row>
    <row r="16" spans="1:9">
      <c r="A16" s="13"/>
      <c r="B16" s="14"/>
      <c r="C16" s="15" t="s">
        <v>685</v>
      </c>
      <c r="D16" s="15" t="s">
        <v>1</v>
      </c>
      <c r="E16" s="15"/>
      <c r="F16" s="23" t="s">
        <v>208</v>
      </c>
      <c r="G16" s="76" t="s">
        <v>256</v>
      </c>
      <c r="H16" s="76" t="s">
        <v>256</v>
      </c>
      <c r="I16" s="76"/>
    </row>
    <row r="17" spans="1:9">
      <c r="A17" s="13"/>
      <c r="B17" s="14"/>
      <c r="C17" s="15" t="s">
        <v>209</v>
      </c>
      <c r="D17" s="15" t="s">
        <v>1</v>
      </c>
      <c r="E17" s="15"/>
      <c r="F17" s="23" t="s">
        <v>241</v>
      </c>
      <c r="G17" s="55" t="s">
        <v>730</v>
      </c>
      <c r="H17" s="55" t="s">
        <v>730</v>
      </c>
      <c r="I17" s="55"/>
    </row>
    <row r="18" spans="1:9">
      <c r="A18" s="13"/>
      <c r="B18" s="14"/>
      <c r="C18" s="15" t="s">
        <v>210</v>
      </c>
      <c r="D18" s="15" t="s">
        <v>1</v>
      </c>
      <c r="E18" s="15"/>
      <c r="F18" s="23" t="s">
        <v>690</v>
      </c>
      <c r="G18" s="77">
        <v>0.3</v>
      </c>
      <c r="H18" s="77">
        <v>0.3</v>
      </c>
      <c r="I18" s="77"/>
    </row>
    <row r="19" spans="1:9">
      <c r="A19" s="13"/>
      <c r="B19" s="14"/>
      <c r="C19" s="15" t="s">
        <v>211</v>
      </c>
      <c r="D19" s="15" t="s">
        <v>1</v>
      </c>
      <c r="E19" s="15"/>
      <c r="F19" s="23" t="s">
        <v>691</v>
      </c>
      <c r="G19" s="77">
        <v>0.6</v>
      </c>
      <c r="H19" s="77">
        <v>0.6</v>
      </c>
      <c r="I19" s="77"/>
    </row>
    <row r="20" spans="1:9">
      <c r="A20" s="13"/>
      <c r="B20" s="14"/>
      <c r="C20" s="15"/>
      <c r="D20" s="15"/>
      <c r="E20" s="15"/>
      <c r="F20" s="23"/>
      <c r="G20" s="15"/>
      <c r="H20" s="15"/>
      <c r="I20" s="25"/>
    </row>
    <row r="21" spans="1:9">
      <c r="A21" s="13"/>
      <c r="B21" s="14"/>
      <c r="C21" s="15"/>
      <c r="D21" s="15"/>
      <c r="E21" s="15"/>
      <c r="F21" s="16" t="s">
        <v>212</v>
      </c>
      <c r="G21" s="15"/>
      <c r="H21" s="15"/>
      <c r="I21" s="25"/>
    </row>
    <row r="22" spans="1:9">
      <c r="A22" s="13"/>
      <c r="B22" s="14"/>
      <c r="C22" s="15" t="s">
        <v>213</v>
      </c>
      <c r="D22" s="15" t="s">
        <v>1</v>
      </c>
      <c r="E22" s="15"/>
      <c r="F22" s="65" t="s">
        <v>242</v>
      </c>
      <c r="G22" s="20">
        <v>1000</v>
      </c>
      <c r="H22" s="20"/>
      <c r="I22" s="62">
        <f t="shared" ref="I22:I45" si="0">G22+H22</f>
        <v>1000</v>
      </c>
    </row>
    <row r="23" spans="1:9">
      <c r="A23" s="13"/>
      <c r="B23" s="14"/>
      <c r="C23" s="15" t="s">
        <v>214</v>
      </c>
      <c r="D23" s="15" t="s">
        <v>1</v>
      </c>
      <c r="E23" s="15"/>
      <c r="F23" s="65" t="s">
        <v>243</v>
      </c>
      <c r="G23" s="20">
        <v>2000</v>
      </c>
      <c r="H23" s="20"/>
      <c r="I23" s="62">
        <f t="shared" si="0"/>
        <v>2000</v>
      </c>
    </row>
    <row r="24" spans="1:9">
      <c r="A24" s="13"/>
      <c r="B24" s="14"/>
      <c r="C24" s="15" t="s">
        <v>215</v>
      </c>
      <c r="D24" s="15" t="s">
        <v>1</v>
      </c>
      <c r="E24" s="15"/>
      <c r="F24" s="66" t="s">
        <v>244</v>
      </c>
      <c r="G24" s="62">
        <f>G25+G26</f>
        <v>7000</v>
      </c>
      <c r="H24" s="62">
        <f>H25+H26</f>
        <v>0</v>
      </c>
      <c r="I24" s="62">
        <f t="shared" si="0"/>
        <v>7000</v>
      </c>
    </row>
    <row r="25" spans="1:9">
      <c r="A25" s="13"/>
      <c r="B25" s="14"/>
      <c r="C25" s="15" t="s">
        <v>216</v>
      </c>
      <c r="D25" s="15" t="s">
        <v>1</v>
      </c>
      <c r="E25" s="15"/>
      <c r="F25" s="67" t="s">
        <v>245</v>
      </c>
      <c r="G25" s="20">
        <v>3000</v>
      </c>
      <c r="H25" s="20"/>
      <c r="I25" s="62">
        <f t="shared" si="0"/>
        <v>3000</v>
      </c>
    </row>
    <row r="26" spans="1:9">
      <c r="A26" s="13"/>
      <c r="B26" s="14"/>
      <c r="C26" s="15" t="s">
        <v>217</v>
      </c>
      <c r="D26" s="15" t="s">
        <v>1</v>
      </c>
      <c r="E26" s="15"/>
      <c r="F26" s="67" t="s">
        <v>246</v>
      </c>
      <c r="G26" s="20">
        <v>4000</v>
      </c>
      <c r="H26" s="20"/>
      <c r="I26" s="62">
        <f t="shared" si="0"/>
        <v>4000</v>
      </c>
    </row>
    <row r="27" spans="1:9">
      <c r="A27" s="13"/>
      <c r="B27" s="14"/>
      <c r="C27" s="15" t="s">
        <v>218</v>
      </c>
      <c r="D27" s="15" t="s">
        <v>1</v>
      </c>
      <c r="E27" s="15"/>
      <c r="F27" s="66" t="s">
        <v>247</v>
      </c>
      <c r="G27" s="62">
        <f>G28+G29</f>
        <v>11000</v>
      </c>
      <c r="H27" s="62">
        <f>H28+H29</f>
        <v>0</v>
      </c>
      <c r="I27" s="62">
        <f t="shared" si="0"/>
        <v>11000</v>
      </c>
    </row>
    <row r="28" spans="1:9">
      <c r="A28" s="13"/>
      <c r="B28" s="14"/>
      <c r="C28" s="15" t="s">
        <v>219</v>
      </c>
      <c r="D28" s="15" t="s">
        <v>1</v>
      </c>
      <c r="E28" s="15"/>
      <c r="F28" s="67" t="s">
        <v>248</v>
      </c>
      <c r="G28" s="20">
        <v>5000</v>
      </c>
      <c r="H28" s="20"/>
      <c r="I28" s="62">
        <f t="shared" si="0"/>
        <v>5000</v>
      </c>
    </row>
    <row r="29" spans="1:9">
      <c r="A29" s="13"/>
      <c r="B29" s="14"/>
      <c r="C29" s="15" t="s">
        <v>220</v>
      </c>
      <c r="D29" s="15" t="s">
        <v>1</v>
      </c>
      <c r="E29" s="15"/>
      <c r="F29" s="67" t="s">
        <v>249</v>
      </c>
      <c r="G29" s="20">
        <v>6000</v>
      </c>
      <c r="H29" s="20"/>
      <c r="I29" s="62">
        <f t="shared" si="0"/>
        <v>6000</v>
      </c>
    </row>
    <row r="30" spans="1:9">
      <c r="A30" s="13"/>
      <c r="B30" s="14"/>
      <c r="C30" s="15" t="s">
        <v>221</v>
      </c>
      <c r="D30" s="15" t="s">
        <v>1</v>
      </c>
      <c r="E30" s="15"/>
      <c r="F30" s="65" t="s">
        <v>250</v>
      </c>
      <c r="G30" s="20">
        <v>7000</v>
      </c>
      <c r="H30" s="20"/>
      <c r="I30" s="62">
        <f t="shared" si="0"/>
        <v>7000</v>
      </c>
    </row>
    <row r="31" spans="1:9">
      <c r="A31" s="13"/>
      <c r="B31" s="14"/>
      <c r="C31" s="15" t="s">
        <v>222</v>
      </c>
      <c r="D31" s="15" t="s">
        <v>1</v>
      </c>
      <c r="E31" s="15"/>
      <c r="F31" s="16" t="s">
        <v>251</v>
      </c>
      <c r="G31" s="62">
        <f>G22+G23+G24+G27+G30</f>
        <v>28000</v>
      </c>
      <c r="H31" s="62">
        <f>H22+H23+H24+H27+H30</f>
        <v>0</v>
      </c>
      <c r="I31" s="62">
        <f t="shared" si="0"/>
        <v>28000</v>
      </c>
    </row>
    <row r="32" spans="1:9">
      <c r="A32" s="13"/>
      <c r="B32" s="14"/>
      <c r="C32" s="15"/>
      <c r="D32" s="15"/>
      <c r="E32" s="15"/>
      <c r="F32" s="16"/>
      <c r="G32" s="15"/>
      <c r="H32" s="15"/>
      <c r="I32" s="25"/>
    </row>
    <row r="33" spans="1:9">
      <c r="A33" s="13"/>
      <c r="B33" s="14"/>
      <c r="C33" s="15"/>
      <c r="D33" s="15"/>
      <c r="E33" s="15"/>
      <c r="F33" s="16" t="s">
        <v>223</v>
      </c>
      <c r="G33" s="15"/>
      <c r="H33" s="15"/>
      <c r="I33" s="25"/>
    </row>
    <row r="34" spans="1:9">
      <c r="A34" s="13"/>
      <c r="B34" s="14"/>
      <c r="C34" s="15" t="s">
        <v>14</v>
      </c>
      <c r="D34" s="15" t="s">
        <v>1</v>
      </c>
      <c r="E34" s="15"/>
      <c r="F34" s="66" t="s">
        <v>252</v>
      </c>
      <c r="G34" s="62">
        <f>G35+G36</f>
        <v>17000</v>
      </c>
      <c r="H34" s="62">
        <f>H35+H36</f>
        <v>0</v>
      </c>
      <c r="I34" s="62">
        <f t="shared" si="0"/>
        <v>17000</v>
      </c>
    </row>
    <row r="35" spans="1:9">
      <c r="A35" s="13"/>
      <c r="B35" s="14"/>
      <c r="C35" s="15" t="s">
        <v>224</v>
      </c>
      <c r="D35" s="15" t="s">
        <v>1</v>
      </c>
      <c r="E35" s="15"/>
      <c r="F35" s="67" t="s">
        <v>242</v>
      </c>
      <c r="G35" s="20">
        <v>8000</v>
      </c>
      <c r="H35" s="20"/>
      <c r="I35" s="62">
        <f t="shared" si="0"/>
        <v>8000</v>
      </c>
    </row>
    <row r="36" spans="1:9">
      <c r="A36" s="13"/>
      <c r="B36" s="14"/>
      <c r="C36" s="15" t="s">
        <v>225</v>
      </c>
      <c r="D36" s="15" t="s">
        <v>1</v>
      </c>
      <c r="E36" s="15"/>
      <c r="F36" s="67" t="s">
        <v>243</v>
      </c>
      <c r="G36" s="20">
        <v>9000</v>
      </c>
      <c r="H36" s="20"/>
      <c r="I36" s="62">
        <f t="shared" si="0"/>
        <v>9000</v>
      </c>
    </row>
    <row r="37" spans="1:9">
      <c r="A37" s="13"/>
      <c r="B37" s="14"/>
      <c r="C37" s="15" t="s">
        <v>15</v>
      </c>
      <c r="D37" s="15" t="s">
        <v>1</v>
      </c>
      <c r="E37" s="15"/>
      <c r="F37" s="68" t="s">
        <v>253</v>
      </c>
      <c r="G37" s="62">
        <f>G38+G41+G44</f>
        <v>111247000</v>
      </c>
      <c r="H37" s="62">
        <f>H38+H41+H44</f>
        <v>0</v>
      </c>
      <c r="I37" s="62">
        <f t="shared" si="0"/>
        <v>111247000</v>
      </c>
    </row>
    <row r="38" spans="1:9">
      <c r="A38" s="13"/>
      <c r="B38" s="14"/>
      <c r="C38" s="15" t="s">
        <v>226</v>
      </c>
      <c r="D38" s="15" t="s">
        <v>1</v>
      </c>
      <c r="E38" s="15"/>
      <c r="F38" s="69" t="s">
        <v>244</v>
      </c>
      <c r="G38" s="62">
        <f>G39+G40</f>
        <v>111100000</v>
      </c>
      <c r="H38" s="62">
        <f>H39+H40</f>
        <v>0</v>
      </c>
      <c r="I38" s="62">
        <f t="shared" si="0"/>
        <v>111100000</v>
      </c>
    </row>
    <row r="39" spans="1:9">
      <c r="A39" s="13"/>
      <c r="B39" s="14"/>
      <c r="C39" s="15" t="s">
        <v>227</v>
      </c>
      <c r="D39" s="15" t="s">
        <v>1</v>
      </c>
      <c r="E39" s="15"/>
      <c r="F39" s="71" t="s">
        <v>245</v>
      </c>
      <c r="G39" s="20">
        <v>100000</v>
      </c>
      <c r="H39" s="20"/>
      <c r="I39" s="62">
        <f t="shared" si="0"/>
        <v>100000</v>
      </c>
    </row>
    <row r="40" spans="1:9">
      <c r="A40" s="13"/>
      <c r="B40" s="14"/>
      <c r="C40" s="15" t="s">
        <v>228</v>
      </c>
      <c r="D40" s="15" t="s">
        <v>1</v>
      </c>
      <c r="E40" s="15"/>
      <c r="F40" s="71" t="s">
        <v>246</v>
      </c>
      <c r="G40" s="20">
        <v>111000000</v>
      </c>
      <c r="H40" s="20"/>
      <c r="I40" s="62">
        <f t="shared" si="0"/>
        <v>111000000</v>
      </c>
    </row>
    <row r="41" spans="1:9">
      <c r="A41" s="13"/>
      <c r="B41" s="14"/>
      <c r="C41" s="15" t="s">
        <v>229</v>
      </c>
      <c r="D41" s="15" t="s">
        <v>1</v>
      </c>
      <c r="E41" s="15"/>
      <c r="F41" s="69" t="s">
        <v>247</v>
      </c>
      <c r="G41" s="62">
        <f>G42+G43</f>
        <v>133000</v>
      </c>
      <c r="H41" s="62">
        <f>H42+H43</f>
        <v>0</v>
      </c>
      <c r="I41" s="62">
        <f t="shared" si="0"/>
        <v>133000</v>
      </c>
    </row>
    <row r="42" spans="1:9">
      <c r="A42" s="13"/>
      <c r="B42" s="14"/>
      <c r="C42" s="15" t="s">
        <v>230</v>
      </c>
      <c r="D42" s="15" t="s">
        <v>1</v>
      </c>
      <c r="E42" s="15"/>
      <c r="F42" s="71" t="s">
        <v>248</v>
      </c>
      <c r="G42" s="20">
        <v>120000</v>
      </c>
      <c r="H42" s="20"/>
      <c r="I42" s="62">
        <f t="shared" si="0"/>
        <v>120000</v>
      </c>
    </row>
    <row r="43" spans="1:9">
      <c r="A43" s="13"/>
      <c r="B43" s="14"/>
      <c r="C43" s="15" t="s">
        <v>231</v>
      </c>
      <c r="D43" s="15" t="s">
        <v>1</v>
      </c>
      <c r="E43" s="15"/>
      <c r="F43" s="71" t="s">
        <v>249</v>
      </c>
      <c r="G43" s="20">
        <v>13000</v>
      </c>
      <c r="H43" s="20"/>
      <c r="I43" s="62">
        <f t="shared" si="0"/>
        <v>13000</v>
      </c>
    </row>
    <row r="44" spans="1:9">
      <c r="A44" s="13"/>
      <c r="B44" s="14"/>
      <c r="C44" s="15" t="s">
        <v>232</v>
      </c>
      <c r="D44" s="15" t="s">
        <v>1</v>
      </c>
      <c r="E44" s="15"/>
      <c r="F44" s="70" t="s">
        <v>250</v>
      </c>
      <c r="G44" s="20">
        <v>14000</v>
      </c>
      <c r="H44" s="20"/>
      <c r="I44" s="62">
        <f t="shared" si="0"/>
        <v>14000</v>
      </c>
    </row>
    <row r="45" spans="1:9">
      <c r="A45" s="13"/>
      <c r="B45" s="14"/>
      <c r="C45" s="15" t="s">
        <v>16</v>
      </c>
      <c r="D45" s="15" t="s">
        <v>1</v>
      </c>
      <c r="E45" s="15"/>
      <c r="F45" s="16" t="s">
        <v>254</v>
      </c>
      <c r="G45" s="62">
        <f>G34+G37</f>
        <v>111264000</v>
      </c>
      <c r="H45" s="62">
        <f>H34+H37</f>
        <v>0</v>
      </c>
      <c r="I45" s="62">
        <f t="shared" si="0"/>
        <v>111264000</v>
      </c>
    </row>
    <row r="46" spans="1:9">
      <c r="B46" s="14"/>
      <c r="C46" s="15"/>
      <c r="D46" s="15"/>
      <c r="E46" s="15"/>
      <c r="F46" s="23"/>
      <c r="G46" s="23"/>
      <c r="H46" s="23"/>
      <c r="I46" s="57"/>
    </row>
    <row r="47" spans="1:9" ht="22.5" customHeight="1">
      <c r="B47" s="11"/>
      <c r="C47" s="9"/>
      <c r="D47" s="9"/>
      <c r="E47" s="9"/>
      <c r="F47" s="12" t="s">
        <v>3</v>
      </c>
      <c r="G47" s="9"/>
      <c r="H47" s="9"/>
      <c r="I47" s="24"/>
    </row>
    <row r="48" spans="1:9">
      <c r="A48" s="13"/>
      <c r="B48" s="14"/>
      <c r="C48" s="15"/>
      <c r="D48" s="15"/>
      <c r="E48" s="15"/>
      <c r="F48" s="16"/>
      <c r="G48" s="15"/>
      <c r="H48" s="15"/>
      <c r="I48" s="25"/>
    </row>
    <row r="49" spans="1:9">
      <c r="A49" s="13"/>
      <c r="B49" s="14"/>
      <c r="C49" s="15"/>
      <c r="D49" s="15" t="s">
        <v>0</v>
      </c>
      <c r="E49" s="15" t="s">
        <v>0</v>
      </c>
      <c r="F49" s="16" t="s">
        <v>233</v>
      </c>
      <c r="G49" s="15"/>
      <c r="H49" s="15"/>
      <c r="I49" s="25"/>
    </row>
    <row r="50" spans="1:9">
      <c r="A50" s="13"/>
      <c r="B50" s="14"/>
      <c r="C50" s="15" t="s">
        <v>205</v>
      </c>
      <c r="D50" s="15" t="s">
        <v>688</v>
      </c>
      <c r="E50" s="15"/>
      <c r="F50" s="23" t="s">
        <v>238</v>
      </c>
      <c r="G50" s="55" t="s">
        <v>768</v>
      </c>
      <c r="H50" s="55" t="s">
        <v>768</v>
      </c>
      <c r="I50" s="55"/>
    </row>
    <row r="51" spans="1:9">
      <c r="A51" s="13"/>
      <c r="B51" s="14"/>
      <c r="C51" s="15" t="s">
        <v>206</v>
      </c>
      <c r="D51" s="15" t="s">
        <v>688</v>
      </c>
      <c r="E51" s="15"/>
      <c r="F51" s="23" t="s">
        <v>239</v>
      </c>
      <c r="G51" s="55" t="s">
        <v>704</v>
      </c>
      <c r="H51" s="55" t="s">
        <v>704</v>
      </c>
      <c r="I51" s="55"/>
    </row>
    <row r="52" spans="1:9">
      <c r="A52" s="13"/>
      <c r="B52" s="14"/>
      <c r="C52" s="15" t="s">
        <v>684</v>
      </c>
      <c r="D52" s="15" t="s">
        <v>688</v>
      </c>
      <c r="E52" s="15"/>
      <c r="F52" s="23" t="s">
        <v>692</v>
      </c>
      <c r="G52" s="76" t="s">
        <v>255</v>
      </c>
      <c r="H52" s="76" t="s">
        <v>255</v>
      </c>
      <c r="I52" s="76"/>
    </row>
    <row r="53" spans="1:9">
      <c r="A53" s="13"/>
      <c r="B53" s="14"/>
      <c r="C53" s="15" t="s">
        <v>207</v>
      </c>
      <c r="D53" s="15" t="s">
        <v>688</v>
      </c>
      <c r="E53" s="15"/>
      <c r="F53" s="23" t="s">
        <v>240</v>
      </c>
      <c r="G53" s="55" t="s">
        <v>729</v>
      </c>
      <c r="H53" s="55" t="s">
        <v>729</v>
      </c>
      <c r="I53" s="55"/>
    </row>
    <row r="54" spans="1:9">
      <c r="A54" s="13"/>
      <c r="B54" s="14"/>
      <c r="C54" s="15" t="s">
        <v>685</v>
      </c>
      <c r="D54" s="15" t="s">
        <v>688</v>
      </c>
      <c r="E54" s="15"/>
      <c r="F54" s="23" t="s">
        <v>208</v>
      </c>
      <c r="G54" s="76" t="s">
        <v>256</v>
      </c>
      <c r="H54" s="76" t="s">
        <v>256</v>
      </c>
      <c r="I54" s="76"/>
    </row>
    <row r="55" spans="1:9">
      <c r="A55" s="13"/>
      <c r="B55" s="14"/>
      <c r="C55" s="15" t="s">
        <v>209</v>
      </c>
      <c r="D55" s="15" t="s">
        <v>688</v>
      </c>
      <c r="E55" s="15"/>
      <c r="F55" s="23" t="s">
        <v>241</v>
      </c>
      <c r="G55" s="55" t="s">
        <v>730</v>
      </c>
      <c r="H55" s="55" t="s">
        <v>730</v>
      </c>
      <c r="I55" s="55"/>
    </row>
    <row r="56" spans="1:9">
      <c r="A56" s="13"/>
      <c r="B56" s="14"/>
      <c r="C56" s="15" t="s">
        <v>210</v>
      </c>
      <c r="D56" s="15" t="s">
        <v>688</v>
      </c>
      <c r="E56" s="15"/>
      <c r="F56" s="23" t="s">
        <v>690</v>
      </c>
      <c r="G56" s="77">
        <v>0.4</v>
      </c>
      <c r="H56" s="77">
        <v>0.4</v>
      </c>
      <c r="I56" s="77"/>
    </row>
    <row r="57" spans="1:9">
      <c r="A57" s="13"/>
      <c r="B57" s="14"/>
      <c r="C57" s="15" t="s">
        <v>211</v>
      </c>
      <c r="D57" s="15" t="s">
        <v>688</v>
      </c>
      <c r="E57" s="15"/>
      <c r="F57" s="23" t="s">
        <v>691</v>
      </c>
      <c r="G57" s="77">
        <v>0.9</v>
      </c>
      <c r="H57" s="77">
        <v>0.9</v>
      </c>
      <c r="I57" s="77"/>
    </row>
    <row r="58" spans="1:9">
      <c r="A58" s="13"/>
      <c r="B58" s="14"/>
      <c r="C58" s="15"/>
      <c r="D58" s="15"/>
      <c r="E58" s="15"/>
      <c r="F58" s="23"/>
      <c r="G58" s="15"/>
      <c r="H58" s="15"/>
      <c r="I58" s="25"/>
    </row>
    <row r="59" spans="1:9">
      <c r="A59" s="13"/>
      <c r="B59" s="14"/>
      <c r="C59" s="15"/>
      <c r="D59" s="15"/>
      <c r="E59" s="15"/>
      <c r="F59" s="16" t="s">
        <v>212</v>
      </c>
      <c r="G59" s="15"/>
      <c r="H59" s="15"/>
      <c r="I59" s="25"/>
    </row>
    <row r="60" spans="1:9">
      <c r="A60" s="13" t="s">
        <v>689</v>
      </c>
      <c r="B60" s="14"/>
      <c r="C60" s="15" t="s">
        <v>213</v>
      </c>
      <c r="D60" s="15" t="s">
        <v>1</v>
      </c>
      <c r="E60" s="15"/>
      <c r="F60" s="65" t="s">
        <v>242</v>
      </c>
      <c r="G60" s="20">
        <v>9000</v>
      </c>
      <c r="H60" s="20"/>
      <c r="I60" s="62">
        <f t="shared" ref="I60:I69" si="1">G60+H60</f>
        <v>9000</v>
      </c>
    </row>
    <row r="61" spans="1:9">
      <c r="A61" s="13" t="s">
        <v>689</v>
      </c>
      <c r="B61" s="14"/>
      <c r="C61" s="15" t="s">
        <v>214</v>
      </c>
      <c r="D61" s="15" t="s">
        <v>1</v>
      </c>
      <c r="E61" s="15"/>
      <c r="F61" s="65" t="s">
        <v>243</v>
      </c>
      <c r="G61" s="20">
        <v>8000</v>
      </c>
      <c r="H61" s="20"/>
      <c r="I61" s="62">
        <f t="shared" si="1"/>
        <v>8000</v>
      </c>
    </row>
    <row r="62" spans="1:9">
      <c r="A62" s="13" t="s">
        <v>689</v>
      </c>
      <c r="B62" s="14"/>
      <c r="C62" s="15" t="s">
        <v>215</v>
      </c>
      <c r="D62" s="15" t="s">
        <v>1</v>
      </c>
      <c r="E62" s="15"/>
      <c r="F62" s="66" t="s">
        <v>244</v>
      </c>
      <c r="G62" s="62">
        <f>G63+G64</f>
        <v>13000</v>
      </c>
      <c r="H62" s="62">
        <f>H63+H64</f>
        <v>0</v>
      </c>
      <c r="I62" s="62">
        <f t="shared" si="1"/>
        <v>13000</v>
      </c>
    </row>
    <row r="63" spans="1:9">
      <c r="A63" s="13" t="s">
        <v>689</v>
      </c>
      <c r="B63" s="14"/>
      <c r="C63" s="15" t="s">
        <v>216</v>
      </c>
      <c r="D63" s="15" t="s">
        <v>1</v>
      </c>
      <c r="E63" s="15"/>
      <c r="F63" s="67" t="s">
        <v>245</v>
      </c>
      <c r="G63" s="20">
        <v>7000</v>
      </c>
      <c r="H63" s="20"/>
      <c r="I63" s="62">
        <f t="shared" si="1"/>
        <v>7000</v>
      </c>
    </row>
    <row r="64" spans="1:9">
      <c r="A64" s="13" t="s">
        <v>689</v>
      </c>
      <c r="B64" s="14"/>
      <c r="C64" s="15" t="s">
        <v>217</v>
      </c>
      <c r="D64" s="15" t="s">
        <v>1</v>
      </c>
      <c r="E64" s="15"/>
      <c r="F64" s="67" t="s">
        <v>246</v>
      </c>
      <c r="G64" s="20">
        <v>6000</v>
      </c>
      <c r="H64" s="20"/>
      <c r="I64" s="62">
        <f t="shared" si="1"/>
        <v>6000</v>
      </c>
    </row>
    <row r="65" spans="1:9">
      <c r="A65" s="13" t="s">
        <v>689</v>
      </c>
      <c r="B65" s="14"/>
      <c r="C65" s="15" t="s">
        <v>218</v>
      </c>
      <c r="D65" s="15" t="s">
        <v>1</v>
      </c>
      <c r="E65" s="15"/>
      <c r="F65" s="66" t="s">
        <v>247</v>
      </c>
      <c r="G65" s="62">
        <f>G66+G67</f>
        <v>9000</v>
      </c>
      <c r="H65" s="62">
        <f>H66+H67</f>
        <v>0</v>
      </c>
      <c r="I65" s="62">
        <f t="shared" si="1"/>
        <v>9000</v>
      </c>
    </row>
    <row r="66" spans="1:9">
      <c r="A66" s="13" t="s">
        <v>689</v>
      </c>
      <c r="B66" s="14"/>
      <c r="C66" s="15" t="s">
        <v>219</v>
      </c>
      <c r="D66" s="15" t="s">
        <v>1</v>
      </c>
      <c r="E66" s="15"/>
      <c r="F66" s="67" t="s">
        <v>248</v>
      </c>
      <c r="G66" s="20">
        <v>5000</v>
      </c>
      <c r="H66" s="20"/>
      <c r="I66" s="62">
        <f t="shared" si="1"/>
        <v>5000</v>
      </c>
    </row>
    <row r="67" spans="1:9">
      <c r="A67" s="13" t="s">
        <v>689</v>
      </c>
      <c r="B67" s="14"/>
      <c r="C67" s="15" t="s">
        <v>220</v>
      </c>
      <c r="D67" s="15" t="s">
        <v>1</v>
      </c>
      <c r="E67" s="15"/>
      <c r="F67" s="67" t="s">
        <v>249</v>
      </c>
      <c r="G67" s="20">
        <v>4000</v>
      </c>
      <c r="H67" s="20"/>
      <c r="I67" s="62">
        <f t="shared" si="1"/>
        <v>4000</v>
      </c>
    </row>
    <row r="68" spans="1:9">
      <c r="A68" s="13" t="s">
        <v>689</v>
      </c>
      <c r="B68" s="14"/>
      <c r="C68" s="15" t="s">
        <v>221</v>
      </c>
      <c r="D68" s="15" t="s">
        <v>1</v>
      </c>
      <c r="E68" s="15"/>
      <c r="F68" s="65" t="s">
        <v>250</v>
      </c>
      <c r="G68" s="20">
        <v>3000</v>
      </c>
      <c r="H68" s="20"/>
      <c r="I68" s="62">
        <f t="shared" si="1"/>
        <v>3000</v>
      </c>
    </row>
    <row r="69" spans="1:9">
      <c r="A69" s="13" t="s">
        <v>689</v>
      </c>
      <c r="B69" s="14"/>
      <c r="C69" s="15" t="s">
        <v>222</v>
      </c>
      <c r="D69" s="15" t="s">
        <v>1</v>
      </c>
      <c r="E69" s="15"/>
      <c r="F69" s="16" t="s">
        <v>251</v>
      </c>
      <c r="G69" s="62">
        <f>G60+G61+G62+G65+G68</f>
        <v>42000</v>
      </c>
      <c r="H69" s="62">
        <f>H60+H61+H62+H65+H68</f>
        <v>0</v>
      </c>
      <c r="I69" s="62">
        <f t="shared" si="1"/>
        <v>42000</v>
      </c>
    </row>
    <row r="70" spans="1:9">
      <c r="A70" s="13"/>
      <c r="B70" s="14"/>
      <c r="C70" s="15"/>
      <c r="D70" s="15"/>
      <c r="E70" s="15"/>
      <c r="F70" s="16"/>
      <c r="G70" s="15"/>
      <c r="H70" s="15"/>
      <c r="I70" s="25"/>
    </row>
    <row r="71" spans="1:9">
      <c r="A71" s="13"/>
      <c r="B71" s="14"/>
      <c r="C71" s="15"/>
      <c r="D71" s="15"/>
      <c r="E71" s="15"/>
      <c r="F71" s="16" t="s">
        <v>223</v>
      </c>
      <c r="G71" s="15"/>
      <c r="H71" s="15"/>
      <c r="I71" s="25"/>
    </row>
    <row r="72" spans="1:9">
      <c r="A72" s="13" t="s">
        <v>689</v>
      </c>
      <c r="B72" s="14"/>
      <c r="C72" s="15" t="s">
        <v>14</v>
      </c>
      <c r="D72" s="15" t="s">
        <v>1</v>
      </c>
      <c r="E72" s="15"/>
      <c r="F72" s="66" t="s">
        <v>252</v>
      </c>
      <c r="G72" s="62">
        <f>G73+G74</f>
        <v>3000</v>
      </c>
      <c r="H72" s="62">
        <f>H73+H74</f>
        <v>0</v>
      </c>
      <c r="I72" s="62">
        <f t="shared" ref="I72:I83" si="2">G72+H72</f>
        <v>3000</v>
      </c>
    </row>
    <row r="73" spans="1:9">
      <c r="A73" s="13" t="s">
        <v>689</v>
      </c>
      <c r="B73" s="14"/>
      <c r="C73" s="15" t="s">
        <v>224</v>
      </c>
      <c r="D73" s="15" t="s">
        <v>1</v>
      </c>
      <c r="E73" s="15"/>
      <c r="F73" s="67" t="s">
        <v>242</v>
      </c>
      <c r="G73" s="20">
        <v>2000</v>
      </c>
      <c r="H73" s="20"/>
      <c r="I73" s="62">
        <f t="shared" si="2"/>
        <v>2000</v>
      </c>
    </row>
    <row r="74" spans="1:9">
      <c r="A74" s="13" t="s">
        <v>689</v>
      </c>
      <c r="B74" s="14"/>
      <c r="C74" s="15" t="s">
        <v>225</v>
      </c>
      <c r="D74" s="15" t="s">
        <v>1</v>
      </c>
      <c r="E74" s="15"/>
      <c r="F74" s="67" t="s">
        <v>243</v>
      </c>
      <c r="G74" s="20">
        <v>1000</v>
      </c>
      <c r="H74" s="20"/>
      <c r="I74" s="62">
        <f t="shared" si="2"/>
        <v>1000</v>
      </c>
    </row>
    <row r="75" spans="1:9">
      <c r="A75" s="13" t="s">
        <v>689</v>
      </c>
      <c r="B75" s="14"/>
      <c r="C75" s="15" t="s">
        <v>15</v>
      </c>
      <c r="D75" s="15" t="s">
        <v>1</v>
      </c>
      <c r="E75" s="15"/>
      <c r="F75" s="68" t="s">
        <v>253</v>
      </c>
      <c r="G75" s="62">
        <f>G76+G79+G82</f>
        <v>20000</v>
      </c>
      <c r="H75" s="62">
        <f>H76+H79+H82</f>
        <v>0</v>
      </c>
      <c r="I75" s="62">
        <f t="shared" si="2"/>
        <v>20000</v>
      </c>
    </row>
    <row r="76" spans="1:9">
      <c r="A76" s="13" t="s">
        <v>689</v>
      </c>
      <c r="B76" s="14"/>
      <c r="C76" s="15" t="s">
        <v>226</v>
      </c>
      <c r="D76" s="15" t="s">
        <v>1</v>
      </c>
      <c r="E76" s="15"/>
      <c r="F76" s="69" t="s">
        <v>244</v>
      </c>
      <c r="G76" s="62">
        <f>G77+G78</f>
        <v>5000</v>
      </c>
      <c r="H76" s="62">
        <f>H77+H78</f>
        <v>0</v>
      </c>
      <c r="I76" s="62">
        <f t="shared" si="2"/>
        <v>5000</v>
      </c>
    </row>
    <row r="77" spans="1:9">
      <c r="A77" s="13" t="s">
        <v>689</v>
      </c>
      <c r="B77" s="14"/>
      <c r="C77" s="15" t="s">
        <v>227</v>
      </c>
      <c r="D77" s="15" t="s">
        <v>1</v>
      </c>
      <c r="E77" s="15"/>
      <c r="F77" s="71" t="s">
        <v>245</v>
      </c>
      <c r="G77" s="20">
        <v>2000</v>
      </c>
      <c r="H77" s="20"/>
      <c r="I77" s="62">
        <f t="shared" si="2"/>
        <v>2000</v>
      </c>
    </row>
    <row r="78" spans="1:9">
      <c r="A78" s="13" t="s">
        <v>689</v>
      </c>
      <c r="B78" s="14"/>
      <c r="C78" s="15" t="s">
        <v>228</v>
      </c>
      <c r="D78" s="15" t="s">
        <v>1</v>
      </c>
      <c r="E78" s="15"/>
      <c r="F78" s="71" t="s">
        <v>246</v>
      </c>
      <c r="G78" s="20">
        <v>3000</v>
      </c>
      <c r="H78" s="20"/>
      <c r="I78" s="62">
        <f t="shared" si="2"/>
        <v>3000</v>
      </c>
    </row>
    <row r="79" spans="1:9">
      <c r="A79" s="13" t="s">
        <v>689</v>
      </c>
      <c r="B79" s="14"/>
      <c r="C79" s="15" t="s">
        <v>229</v>
      </c>
      <c r="D79" s="15" t="s">
        <v>1</v>
      </c>
      <c r="E79" s="15"/>
      <c r="F79" s="69" t="s">
        <v>247</v>
      </c>
      <c r="G79" s="62">
        <f>G80+G81</f>
        <v>9000</v>
      </c>
      <c r="H79" s="62">
        <f>H80+H81</f>
        <v>0</v>
      </c>
      <c r="I79" s="62">
        <f t="shared" si="2"/>
        <v>9000</v>
      </c>
    </row>
    <row r="80" spans="1:9">
      <c r="A80" s="13" t="s">
        <v>689</v>
      </c>
      <c r="B80" s="14"/>
      <c r="C80" s="15" t="s">
        <v>230</v>
      </c>
      <c r="D80" s="15" t="s">
        <v>1</v>
      </c>
      <c r="E80" s="15"/>
      <c r="F80" s="71" t="s">
        <v>248</v>
      </c>
      <c r="G80" s="20">
        <v>4000</v>
      </c>
      <c r="H80" s="20"/>
      <c r="I80" s="62">
        <f t="shared" si="2"/>
        <v>4000</v>
      </c>
    </row>
    <row r="81" spans="1:9">
      <c r="A81" s="13" t="s">
        <v>689</v>
      </c>
      <c r="B81" s="14"/>
      <c r="C81" s="15" t="s">
        <v>231</v>
      </c>
      <c r="D81" s="15" t="s">
        <v>1</v>
      </c>
      <c r="E81" s="15"/>
      <c r="F81" s="71" t="s">
        <v>249</v>
      </c>
      <c r="G81" s="20">
        <v>5000</v>
      </c>
      <c r="H81" s="20"/>
      <c r="I81" s="62">
        <f t="shared" si="2"/>
        <v>5000</v>
      </c>
    </row>
    <row r="82" spans="1:9">
      <c r="A82" s="13" t="s">
        <v>689</v>
      </c>
      <c r="B82" s="14"/>
      <c r="C82" s="15" t="s">
        <v>232</v>
      </c>
      <c r="D82" s="15" t="s">
        <v>1</v>
      </c>
      <c r="E82" s="15"/>
      <c r="F82" s="70" t="s">
        <v>250</v>
      </c>
      <c r="G82" s="20">
        <v>6000</v>
      </c>
      <c r="H82" s="20"/>
      <c r="I82" s="62">
        <f t="shared" si="2"/>
        <v>6000</v>
      </c>
    </row>
    <row r="83" spans="1:9">
      <c r="A83" s="13" t="s">
        <v>689</v>
      </c>
      <c r="B83" s="14"/>
      <c r="C83" s="15" t="s">
        <v>16</v>
      </c>
      <c r="D83" s="15" t="s">
        <v>1</v>
      </c>
      <c r="E83" s="15"/>
      <c r="F83" s="16" t="s">
        <v>254</v>
      </c>
      <c r="G83" s="62">
        <f>G72+G75</f>
        <v>23000</v>
      </c>
      <c r="H83" s="62">
        <f>H72+H75</f>
        <v>0</v>
      </c>
      <c r="I83" s="62">
        <f t="shared" si="2"/>
        <v>23000</v>
      </c>
    </row>
    <row r="84" spans="1:9" ht="22.5" customHeight="1">
      <c r="A84" s="13"/>
      <c r="B84" s="17"/>
      <c r="C84" s="18"/>
      <c r="D84" s="18"/>
      <c r="E84" s="18"/>
      <c r="F84" s="19"/>
      <c r="G84" s="18"/>
      <c r="H84" s="18"/>
      <c r="I84" s="26"/>
    </row>
    <row r="85" spans="1:9" ht="22.5" customHeight="1"/>
    <row r="86" spans="1:9" ht="22.5" customHeight="1"/>
    <row r="87" spans="1:9" ht="22.5" customHeight="1"/>
    <row r="88" spans="1:9" ht="22.5" customHeight="1"/>
    <row r="89" spans="1:9" ht="22.5" customHeight="1"/>
    <row r="90" spans="1:9" ht="22.5" customHeight="1"/>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'\\10.1.5.2\e$\DBNET-GX\gxCL\apps\in\empresa99\T202003_I00091\xls\[IFRS16-Cuadros(832610)_2020_1.xlsm]Codigo'!#REF!</xm:f>
          </x14:formula1>
          <xm:sqref>G4</xm:sqref>
        </x14:dataValidation>
        <x14:dataValidation type="list" allowBlank="1" showInputMessage="1" showErrorMessage="1" xr:uid="{00000000-0002-0000-0100-000001000000}">
          <x14:formula1>
            <xm:f>Codigo!$B$1:$B$249</xm:f>
          </x14:formula1>
          <xm:sqref>H14:I14 H52:I52</xm:sqref>
        </x14:dataValidation>
        <x14:dataValidation type="list" allowBlank="1" showInputMessage="1" showErrorMessage="1" xr:uid="{00000000-0002-0000-0100-000002000000}">
          <x14:formula1>
            <xm:f>Codigo!$C$1:$C$180</xm:f>
          </x14:formula1>
          <xm:sqref>H16:I16 H54:I54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tabColor theme="5" tint="0.39997558519241921"/>
  </sheetPr>
  <dimension ref="A1:AD38"/>
  <sheetViews>
    <sheetView topLeftCell="A5" zoomScale="70" zoomScaleNormal="70" workbookViewId="0">
      <selection activeCell="G24" sqref="G24:H31"/>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30" width="14.7109375" customWidth="1"/>
  </cols>
  <sheetData>
    <row r="1" spans="1:30" ht="60" customHeight="1" thickBot="1"/>
    <row r="2" spans="1:30" ht="171.75" customHeight="1" thickBot="1">
      <c r="F2" s="3" t="s">
        <v>4</v>
      </c>
    </row>
    <row r="3" spans="1:30" ht="15.75" thickBot="1">
      <c r="A3" s="4"/>
    </row>
    <row r="4" spans="1:30" ht="16.5" thickBot="1">
      <c r="A4" s="4"/>
      <c r="F4" s="27" t="s">
        <v>8</v>
      </c>
      <c r="G4" s="28" t="s">
        <v>9</v>
      </c>
    </row>
    <row r="5" spans="1:30" ht="15.75" thickBot="1">
      <c r="A5" s="4"/>
    </row>
    <row r="6" spans="1:30" ht="95.25" customHeight="1" thickBot="1">
      <c r="A6" s="8" t="s">
        <v>6</v>
      </c>
      <c r="B6" s="5"/>
      <c r="C6" s="6"/>
      <c r="D6" s="6"/>
      <c r="E6" s="6"/>
      <c r="F6" s="7" t="s">
        <v>196</v>
      </c>
      <c r="G6" s="22" t="s">
        <v>162</v>
      </c>
      <c r="H6" s="22" t="s">
        <v>163</v>
      </c>
      <c r="I6" s="22" t="s">
        <v>164</v>
      </c>
      <c r="J6" s="22" t="s">
        <v>165</v>
      </c>
      <c r="K6" s="22" t="s">
        <v>166</v>
      </c>
      <c r="L6" s="22" t="s">
        <v>167</v>
      </c>
      <c r="M6" s="22" t="s">
        <v>168</v>
      </c>
      <c r="N6" s="22" t="s">
        <v>169</v>
      </c>
      <c r="O6" s="22" t="s">
        <v>170</v>
      </c>
      <c r="P6" s="22" t="s">
        <v>171</v>
      </c>
      <c r="Q6" s="22" t="s">
        <v>172</v>
      </c>
      <c r="R6" s="22" t="s">
        <v>173</v>
      </c>
      <c r="S6" s="22" t="s">
        <v>174</v>
      </c>
      <c r="T6" s="22" t="s">
        <v>175</v>
      </c>
      <c r="U6" s="22" t="s">
        <v>176</v>
      </c>
      <c r="V6" s="22" t="s">
        <v>177</v>
      </c>
      <c r="W6" s="22" t="s">
        <v>178</v>
      </c>
      <c r="X6" s="22" t="s">
        <v>179</v>
      </c>
      <c r="Y6" s="22" t="s">
        <v>180</v>
      </c>
      <c r="Z6" s="22" t="s">
        <v>181</v>
      </c>
      <c r="AA6" s="22" t="s">
        <v>182</v>
      </c>
      <c r="AB6" s="22" t="s">
        <v>183</v>
      </c>
      <c r="AC6" s="22" t="s">
        <v>184</v>
      </c>
      <c r="AD6" s="22" t="s">
        <v>185</v>
      </c>
    </row>
    <row r="7" spans="1:30" hidden="1">
      <c r="A7" s="8" t="s">
        <v>5</v>
      </c>
      <c r="B7" s="9"/>
      <c r="C7" s="9"/>
      <c r="D7" s="9" t="s">
        <v>23</v>
      </c>
      <c r="E7" s="9" t="s">
        <v>24</v>
      </c>
      <c r="F7" s="9"/>
      <c r="G7" s="10" t="s">
        <v>28</v>
      </c>
      <c r="H7" s="10" t="s">
        <v>29</v>
      </c>
      <c r="I7" s="10" t="s">
        <v>27</v>
      </c>
      <c r="J7" s="10" t="s">
        <v>30</v>
      </c>
      <c r="K7" s="10" t="s">
        <v>32</v>
      </c>
      <c r="L7" s="10" t="s">
        <v>33</v>
      </c>
      <c r="M7" s="10" t="s">
        <v>34</v>
      </c>
      <c r="N7" s="10" t="s">
        <v>31</v>
      </c>
      <c r="O7" s="10" t="s">
        <v>35</v>
      </c>
      <c r="P7" s="10" t="s">
        <v>36</v>
      </c>
      <c r="Q7" s="10" t="s">
        <v>37</v>
      </c>
      <c r="R7" s="10" t="s">
        <v>38</v>
      </c>
      <c r="S7" s="10" t="s">
        <v>39</v>
      </c>
      <c r="T7" s="10" t="s">
        <v>40</v>
      </c>
      <c r="U7" s="10" t="s">
        <v>42</v>
      </c>
      <c r="V7" s="10" t="s">
        <v>41</v>
      </c>
      <c r="W7" s="10" t="s">
        <v>43</v>
      </c>
      <c r="X7" s="10" t="s">
        <v>44</v>
      </c>
      <c r="Y7" s="10" t="s">
        <v>45</v>
      </c>
      <c r="Z7" s="10" t="s">
        <v>46</v>
      </c>
      <c r="AA7" s="10" t="s">
        <v>26</v>
      </c>
      <c r="AB7" s="10" t="s">
        <v>47</v>
      </c>
      <c r="AC7" s="10" t="s">
        <v>48</v>
      </c>
      <c r="AD7" s="53" t="s">
        <v>25</v>
      </c>
    </row>
    <row r="8" spans="1:30">
      <c r="B8" s="11"/>
      <c r="C8" s="9"/>
      <c r="D8" s="9"/>
      <c r="E8" s="9"/>
      <c r="F8" s="9"/>
      <c r="G8" s="9"/>
      <c r="H8" s="9"/>
      <c r="I8" s="9"/>
      <c r="J8" s="9"/>
      <c r="K8" s="9"/>
      <c r="L8" s="9"/>
      <c r="M8" s="9"/>
      <c r="N8" s="9"/>
      <c r="O8" s="9"/>
      <c r="P8" s="9"/>
      <c r="Q8" s="9"/>
      <c r="R8" s="9"/>
      <c r="S8" s="9"/>
      <c r="T8" s="9"/>
      <c r="U8" s="9"/>
      <c r="V8" s="9"/>
      <c r="W8" s="9"/>
      <c r="X8" s="9"/>
      <c r="Y8" s="9"/>
      <c r="Z8" s="9"/>
      <c r="AA8" s="9"/>
      <c r="AB8" s="9"/>
      <c r="AC8" s="9"/>
      <c r="AD8" s="24"/>
    </row>
    <row r="9" spans="1:30" ht="22.5" customHeight="1">
      <c r="B9" s="11"/>
      <c r="C9" s="9"/>
      <c r="D9" s="9"/>
      <c r="E9" s="9"/>
      <c r="F9" s="12" t="s">
        <v>2</v>
      </c>
      <c r="G9" s="9"/>
      <c r="H9" s="9"/>
      <c r="I9" s="9"/>
      <c r="J9" s="9"/>
      <c r="K9" s="9"/>
      <c r="L9" s="9"/>
      <c r="M9" s="9"/>
      <c r="N9" s="9"/>
      <c r="O9" s="9"/>
      <c r="P9" s="9"/>
      <c r="Q9" s="9"/>
      <c r="R9" s="9"/>
      <c r="S9" s="9"/>
      <c r="T9" s="9"/>
      <c r="U9" s="9"/>
      <c r="V9" s="9"/>
      <c r="W9" s="9"/>
      <c r="X9" s="9"/>
      <c r="Y9" s="9"/>
      <c r="Z9" s="9"/>
      <c r="AA9" s="9"/>
      <c r="AB9" s="9"/>
      <c r="AC9" s="9"/>
      <c r="AD9" s="24"/>
    </row>
    <row r="10" spans="1:30">
      <c r="A10" s="13"/>
      <c r="B10" s="14"/>
      <c r="C10" s="15"/>
      <c r="D10" s="15"/>
      <c r="E10" s="15"/>
      <c r="F10" s="16"/>
      <c r="G10" s="15"/>
      <c r="H10" s="15"/>
      <c r="I10" s="15"/>
      <c r="J10" s="15"/>
      <c r="K10" s="15"/>
      <c r="L10" s="15"/>
      <c r="M10" s="15"/>
      <c r="N10" s="15"/>
      <c r="O10" s="15"/>
      <c r="P10" s="15"/>
      <c r="Q10" s="15"/>
      <c r="R10" s="15"/>
      <c r="S10" s="15"/>
      <c r="T10" s="15"/>
      <c r="U10" s="15"/>
      <c r="V10" s="15"/>
      <c r="W10" s="15"/>
      <c r="X10" s="15"/>
      <c r="Y10" s="15"/>
      <c r="Z10" s="15"/>
      <c r="AA10" s="15"/>
      <c r="AB10" s="15"/>
      <c r="AC10" s="15"/>
      <c r="AD10" s="25"/>
    </row>
    <row r="11" spans="1:30">
      <c r="A11" s="13"/>
      <c r="B11" s="14"/>
      <c r="C11" s="15"/>
      <c r="D11" s="15" t="s">
        <v>0</v>
      </c>
      <c r="E11" s="15" t="s">
        <v>0</v>
      </c>
      <c r="F11" s="16" t="s">
        <v>194</v>
      </c>
      <c r="G11" s="15"/>
      <c r="H11" s="15"/>
      <c r="I11" s="15"/>
      <c r="J11" s="15"/>
      <c r="K11" s="15"/>
      <c r="L11" s="15"/>
      <c r="M11" s="15"/>
      <c r="N11" s="15"/>
      <c r="O11" s="15"/>
      <c r="P11" s="15"/>
      <c r="Q11" s="15"/>
      <c r="R11" s="15"/>
      <c r="S11" s="15"/>
      <c r="T11" s="15"/>
      <c r="U11" s="15"/>
      <c r="V11" s="15"/>
      <c r="W11" s="15"/>
      <c r="X11" s="15"/>
      <c r="Y11" s="15"/>
      <c r="Z11" s="15"/>
      <c r="AA11" s="15"/>
      <c r="AB11" s="15"/>
      <c r="AC11" s="15"/>
      <c r="AD11" s="25"/>
    </row>
    <row r="12" spans="1:30">
      <c r="A12" s="13"/>
      <c r="B12" s="14"/>
      <c r="C12" s="15" t="s">
        <v>49</v>
      </c>
      <c r="D12" s="15" t="s">
        <v>1</v>
      </c>
      <c r="E12" s="15" t="s">
        <v>0</v>
      </c>
      <c r="F12" s="23" t="s">
        <v>50</v>
      </c>
      <c r="G12" s="20">
        <v>100000000</v>
      </c>
      <c r="H12" s="20">
        <v>2000</v>
      </c>
      <c r="I12" s="21">
        <f t="shared" ref="I12:I13" si="0">G12+H12</f>
        <v>100002000</v>
      </c>
      <c r="J12" s="20">
        <v>3000</v>
      </c>
      <c r="K12" s="20">
        <v>4000</v>
      </c>
      <c r="L12" s="20">
        <v>5000</v>
      </c>
      <c r="M12" s="20">
        <v>6000</v>
      </c>
      <c r="N12" s="21">
        <f t="shared" ref="N12:N13" si="1">K12+L12+M12</f>
        <v>15000</v>
      </c>
      <c r="O12" s="20">
        <v>7000</v>
      </c>
      <c r="P12" s="20">
        <v>8000</v>
      </c>
      <c r="Q12" s="20">
        <v>9000</v>
      </c>
      <c r="R12" s="20">
        <v>1000</v>
      </c>
      <c r="S12" s="20">
        <v>2000</v>
      </c>
      <c r="T12" s="20">
        <v>3000</v>
      </c>
      <c r="U12" s="20">
        <v>40000</v>
      </c>
      <c r="V12" s="21">
        <f t="shared" ref="V12:V13" si="2">U12</f>
        <v>40000</v>
      </c>
      <c r="W12" s="20">
        <v>5000</v>
      </c>
      <c r="X12" s="20">
        <v>6000</v>
      </c>
      <c r="Y12" s="20">
        <v>7000</v>
      </c>
      <c r="Z12" s="20">
        <v>8000</v>
      </c>
      <c r="AA12" s="21">
        <f t="shared" ref="AA12:AA13" si="3">I12+J12+N12+O12+P12+Q12+R12+S12+T12+V12+W12+X12+Y12+Z12</f>
        <v>100116000</v>
      </c>
      <c r="AB12" s="20">
        <v>9000</v>
      </c>
      <c r="AC12" s="20">
        <v>1000</v>
      </c>
      <c r="AD12" s="21">
        <f t="shared" ref="AD12:AD13" si="4">AA12+AB12+AC12</f>
        <v>100126000</v>
      </c>
    </row>
    <row r="13" spans="1:30">
      <c r="A13" s="13"/>
      <c r="B13" s="14"/>
      <c r="C13" s="15" t="s">
        <v>686</v>
      </c>
      <c r="D13" s="15" t="s">
        <v>1</v>
      </c>
      <c r="E13" s="15" t="s">
        <v>0</v>
      </c>
      <c r="F13" s="23" t="s">
        <v>51</v>
      </c>
      <c r="G13" s="20">
        <v>1000</v>
      </c>
      <c r="H13" s="20">
        <v>100000000</v>
      </c>
      <c r="I13" s="21">
        <f t="shared" si="0"/>
        <v>100001000</v>
      </c>
      <c r="J13" s="20">
        <v>2000</v>
      </c>
      <c r="K13" s="20">
        <v>3000</v>
      </c>
      <c r="L13" s="20">
        <v>4000</v>
      </c>
      <c r="M13" s="20">
        <v>50000</v>
      </c>
      <c r="N13" s="21">
        <f t="shared" si="1"/>
        <v>57000</v>
      </c>
      <c r="O13" s="20">
        <v>6000</v>
      </c>
      <c r="P13" s="20">
        <v>70000</v>
      </c>
      <c r="Q13" s="20">
        <v>8000</v>
      </c>
      <c r="R13" s="20">
        <v>90000</v>
      </c>
      <c r="S13" s="20">
        <v>100000</v>
      </c>
      <c r="T13" s="20">
        <v>11000</v>
      </c>
      <c r="U13" s="20">
        <v>12000</v>
      </c>
      <c r="V13" s="21">
        <f t="shared" si="2"/>
        <v>12000</v>
      </c>
      <c r="W13" s="20">
        <v>13000</v>
      </c>
      <c r="X13" s="20">
        <v>14000</v>
      </c>
      <c r="Y13" s="20">
        <v>150000</v>
      </c>
      <c r="Z13" s="20">
        <v>16000</v>
      </c>
      <c r="AA13" s="21">
        <f t="shared" si="3"/>
        <v>100550000</v>
      </c>
      <c r="AB13" s="20"/>
      <c r="AC13" s="20"/>
      <c r="AD13" s="21">
        <f t="shared" si="4"/>
        <v>100550000</v>
      </c>
    </row>
    <row r="14" spans="1:30">
      <c r="A14" s="13"/>
      <c r="B14" s="14"/>
      <c r="C14" s="15" t="s">
        <v>53</v>
      </c>
      <c r="D14" s="15" t="s">
        <v>1</v>
      </c>
      <c r="E14" s="15" t="s">
        <v>0</v>
      </c>
      <c r="F14" s="23" t="s">
        <v>52</v>
      </c>
      <c r="G14" s="55" t="s">
        <v>731</v>
      </c>
      <c r="H14" s="55" t="s">
        <v>732</v>
      </c>
      <c r="I14" s="55" t="s">
        <v>737</v>
      </c>
      <c r="J14" s="55" t="s">
        <v>739</v>
      </c>
      <c r="K14" s="55" t="s">
        <v>740</v>
      </c>
      <c r="L14" s="55" t="s">
        <v>741</v>
      </c>
      <c r="M14" s="55" t="s">
        <v>735</v>
      </c>
      <c r="N14" s="55" t="s">
        <v>749</v>
      </c>
      <c r="O14" s="55" t="s">
        <v>746</v>
      </c>
      <c r="P14" s="55" t="s">
        <v>747</v>
      </c>
      <c r="Q14" s="55" t="s">
        <v>748</v>
      </c>
      <c r="R14" s="55" t="s">
        <v>751</v>
      </c>
      <c r="S14" s="55" t="s">
        <v>752</v>
      </c>
      <c r="T14" s="55" t="s">
        <v>753</v>
      </c>
      <c r="U14" s="55" t="s">
        <v>754</v>
      </c>
      <c r="V14" s="55" t="s">
        <v>761</v>
      </c>
      <c r="W14" s="55" t="s">
        <v>733</v>
      </c>
      <c r="X14" s="55" t="s">
        <v>734</v>
      </c>
      <c r="Y14" s="55" t="s">
        <v>738</v>
      </c>
      <c r="Z14" s="55" t="s">
        <v>742</v>
      </c>
      <c r="AA14" s="55" t="s">
        <v>743</v>
      </c>
      <c r="AB14" s="55" t="s">
        <v>744</v>
      </c>
      <c r="AC14" s="55" t="s">
        <v>745</v>
      </c>
      <c r="AD14" s="55" t="s">
        <v>750</v>
      </c>
    </row>
    <row r="15" spans="1:30" ht="22.5">
      <c r="A15" s="13"/>
      <c r="B15" s="14"/>
      <c r="C15" s="15" t="s">
        <v>55</v>
      </c>
      <c r="D15" s="15" t="s">
        <v>1</v>
      </c>
      <c r="E15" s="15" t="s">
        <v>0</v>
      </c>
      <c r="F15" s="23" t="s">
        <v>54</v>
      </c>
      <c r="G15" s="55" t="s">
        <v>733</v>
      </c>
      <c r="H15" s="55" t="s">
        <v>734</v>
      </c>
      <c r="I15" s="55" t="s">
        <v>738</v>
      </c>
      <c r="J15" s="55" t="s">
        <v>742</v>
      </c>
      <c r="K15" s="55" t="s">
        <v>743</v>
      </c>
      <c r="L15" s="55" t="s">
        <v>744</v>
      </c>
      <c r="M15" s="55" t="s">
        <v>745</v>
      </c>
      <c r="N15" s="55" t="s">
        <v>750</v>
      </c>
      <c r="O15" s="55" t="s">
        <v>755</v>
      </c>
      <c r="P15" s="55" t="s">
        <v>756</v>
      </c>
      <c r="Q15" s="55" t="s">
        <v>757</v>
      </c>
      <c r="R15" s="55" t="s">
        <v>752</v>
      </c>
      <c r="S15" s="55" t="s">
        <v>751</v>
      </c>
      <c r="T15" s="55" t="s">
        <v>748</v>
      </c>
      <c r="U15" s="55" t="s">
        <v>758</v>
      </c>
      <c r="V15" s="55" t="s">
        <v>749</v>
      </c>
      <c r="W15" s="55" t="s">
        <v>735</v>
      </c>
      <c r="X15" s="55" t="s">
        <v>741</v>
      </c>
      <c r="Y15" s="55" t="s">
        <v>763</v>
      </c>
      <c r="Z15" s="55" t="s">
        <v>736</v>
      </c>
      <c r="AA15" s="55" t="s">
        <v>739</v>
      </c>
      <c r="AB15" s="55" t="s">
        <v>737</v>
      </c>
      <c r="AC15" s="55" t="s">
        <v>732</v>
      </c>
      <c r="AD15" s="55" t="s">
        <v>731</v>
      </c>
    </row>
    <row r="16" spans="1:30">
      <c r="A16" s="13"/>
      <c r="B16" s="14"/>
      <c r="C16" s="15" t="s">
        <v>56</v>
      </c>
      <c r="D16" s="15" t="s">
        <v>1</v>
      </c>
      <c r="E16" s="15" t="s">
        <v>0</v>
      </c>
      <c r="F16" s="23" t="s">
        <v>57</v>
      </c>
      <c r="G16" s="20">
        <v>1000</v>
      </c>
      <c r="H16" s="20">
        <v>40000</v>
      </c>
      <c r="I16" s="21">
        <f t="shared" ref="I16:I18" si="5">G16+H16</f>
        <v>41000</v>
      </c>
      <c r="J16" s="20">
        <v>7000</v>
      </c>
      <c r="K16" s="20">
        <v>1000</v>
      </c>
      <c r="L16" s="20">
        <v>4000</v>
      </c>
      <c r="M16" s="20">
        <v>7000</v>
      </c>
      <c r="N16" s="21">
        <f t="shared" ref="N16:N18" si="6">K16+L16+M16</f>
        <v>12000</v>
      </c>
      <c r="O16" s="20">
        <v>1000</v>
      </c>
      <c r="P16" s="20">
        <v>2000</v>
      </c>
      <c r="Q16" s="20">
        <v>3000</v>
      </c>
      <c r="R16" s="20">
        <v>4000</v>
      </c>
      <c r="S16" s="20">
        <v>5000</v>
      </c>
      <c r="T16" s="20">
        <v>6000</v>
      </c>
      <c r="U16" s="20">
        <v>7000</v>
      </c>
      <c r="V16" s="21">
        <f t="shared" ref="V16:V18" si="7">U16</f>
        <v>7000</v>
      </c>
      <c r="W16" s="20">
        <v>1000</v>
      </c>
      <c r="X16" s="20">
        <v>4000</v>
      </c>
      <c r="Y16" s="20">
        <v>7000</v>
      </c>
      <c r="Z16" s="20">
        <v>1000</v>
      </c>
      <c r="AA16" s="21">
        <f t="shared" ref="AA16:AA18" si="8">I16+J16+N16+O16+P16+Q16+R16+S16+T16+V16+W16+X16+Y16+Z16</f>
        <v>101000</v>
      </c>
      <c r="AB16" s="20">
        <v>1000</v>
      </c>
      <c r="AC16" s="20">
        <v>4000</v>
      </c>
      <c r="AD16" s="21">
        <f t="shared" ref="AD16:AD18" si="9">AA16+AB16+AC16</f>
        <v>106000</v>
      </c>
    </row>
    <row r="17" spans="1:30">
      <c r="A17" s="13"/>
      <c r="B17" s="14"/>
      <c r="C17" s="15" t="s">
        <v>58</v>
      </c>
      <c r="D17" s="15" t="s">
        <v>1</v>
      </c>
      <c r="E17" s="15" t="s">
        <v>0</v>
      </c>
      <c r="F17" s="23" t="s">
        <v>59</v>
      </c>
      <c r="G17" s="20">
        <v>2000</v>
      </c>
      <c r="H17" s="20">
        <v>5000</v>
      </c>
      <c r="I17" s="21">
        <f t="shared" si="5"/>
        <v>7000</v>
      </c>
      <c r="J17" s="20">
        <v>8000</v>
      </c>
      <c r="K17" s="20">
        <v>2000</v>
      </c>
      <c r="L17" s="20">
        <v>5000</v>
      </c>
      <c r="M17" s="20">
        <v>8000</v>
      </c>
      <c r="N17" s="21">
        <f t="shared" si="6"/>
        <v>15000</v>
      </c>
      <c r="O17" s="20">
        <v>2000</v>
      </c>
      <c r="P17" s="20">
        <v>3000</v>
      </c>
      <c r="Q17" s="20">
        <v>5000</v>
      </c>
      <c r="R17" s="20">
        <v>6000</v>
      </c>
      <c r="S17" s="20">
        <v>7000</v>
      </c>
      <c r="T17" s="20">
        <v>8000</v>
      </c>
      <c r="U17" s="20">
        <v>9000</v>
      </c>
      <c r="V17" s="21">
        <f t="shared" si="7"/>
        <v>9000</v>
      </c>
      <c r="W17" s="20">
        <v>2000</v>
      </c>
      <c r="X17" s="20">
        <v>5000</v>
      </c>
      <c r="Y17" s="20">
        <v>8000</v>
      </c>
      <c r="Z17" s="20">
        <v>2000</v>
      </c>
      <c r="AA17" s="21">
        <f t="shared" si="8"/>
        <v>87000</v>
      </c>
      <c r="AB17" s="20">
        <v>5000</v>
      </c>
      <c r="AC17" s="20">
        <v>2000</v>
      </c>
      <c r="AD17" s="21">
        <f t="shared" si="9"/>
        <v>94000</v>
      </c>
    </row>
    <row r="18" spans="1:30" ht="22.5">
      <c r="A18" s="13"/>
      <c r="B18" s="14"/>
      <c r="C18" s="15" t="s">
        <v>60</v>
      </c>
      <c r="D18" s="15" t="s">
        <v>1</v>
      </c>
      <c r="E18" s="15" t="s">
        <v>0</v>
      </c>
      <c r="F18" s="23" t="s">
        <v>61</v>
      </c>
      <c r="G18" s="20">
        <v>3000</v>
      </c>
      <c r="H18" s="20">
        <v>6000</v>
      </c>
      <c r="I18" s="21">
        <f t="shared" si="5"/>
        <v>9000</v>
      </c>
      <c r="J18" s="20">
        <v>9000</v>
      </c>
      <c r="K18" s="20">
        <v>3000</v>
      </c>
      <c r="L18" s="20">
        <v>6000</v>
      </c>
      <c r="M18" s="20">
        <v>9000</v>
      </c>
      <c r="N18" s="21">
        <f t="shared" si="6"/>
        <v>18000</v>
      </c>
      <c r="O18" s="20">
        <v>3000</v>
      </c>
      <c r="P18" s="20">
        <v>4000</v>
      </c>
      <c r="Q18" s="20">
        <v>5000</v>
      </c>
      <c r="R18" s="20">
        <v>6000</v>
      </c>
      <c r="S18" s="20">
        <v>7000</v>
      </c>
      <c r="T18" s="20">
        <v>8000</v>
      </c>
      <c r="U18" s="20">
        <v>9000</v>
      </c>
      <c r="V18" s="21">
        <f t="shared" si="7"/>
        <v>9000</v>
      </c>
      <c r="W18" s="20">
        <v>3000</v>
      </c>
      <c r="X18" s="20">
        <v>6000</v>
      </c>
      <c r="Y18" s="20">
        <v>9000</v>
      </c>
      <c r="Z18" s="20">
        <v>3000</v>
      </c>
      <c r="AA18" s="21">
        <f t="shared" si="8"/>
        <v>99000</v>
      </c>
      <c r="AB18" s="20">
        <v>6000</v>
      </c>
      <c r="AC18" s="20">
        <v>3000</v>
      </c>
      <c r="AD18" s="21">
        <f t="shared" si="9"/>
        <v>108000</v>
      </c>
    </row>
    <row r="19" spans="1:30" ht="22.5">
      <c r="A19" s="13"/>
      <c r="B19" s="14"/>
      <c r="C19" s="15" t="s">
        <v>63</v>
      </c>
      <c r="D19" s="15" t="s">
        <v>1</v>
      </c>
      <c r="E19" s="15" t="s">
        <v>0</v>
      </c>
      <c r="F19" s="23" t="s">
        <v>62</v>
      </c>
      <c r="G19" s="55" t="s">
        <v>735</v>
      </c>
      <c r="H19" s="55" t="s">
        <v>736</v>
      </c>
      <c r="I19" s="55" t="s">
        <v>737</v>
      </c>
      <c r="J19" s="55" t="s">
        <v>746</v>
      </c>
      <c r="K19" s="55" t="s">
        <v>733</v>
      </c>
      <c r="L19" s="55" t="s">
        <v>747</v>
      </c>
      <c r="M19" s="55" t="s">
        <v>748</v>
      </c>
      <c r="N19" s="55" t="s">
        <v>751</v>
      </c>
      <c r="O19" s="55" t="s">
        <v>744</v>
      </c>
      <c r="P19" s="55" t="s">
        <v>752</v>
      </c>
      <c r="Q19" s="55" t="s">
        <v>757</v>
      </c>
      <c r="R19" s="55" t="s">
        <v>759</v>
      </c>
      <c r="S19" s="55" t="s">
        <v>760</v>
      </c>
      <c r="T19" s="55" t="s">
        <v>745</v>
      </c>
      <c r="U19" s="55" t="s">
        <v>750</v>
      </c>
      <c r="V19" s="55" t="s">
        <v>762</v>
      </c>
      <c r="W19" s="55" t="s">
        <v>749</v>
      </c>
      <c r="X19" s="55" t="s">
        <v>738</v>
      </c>
      <c r="Y19" s="55" t="s">
        <v>743</v>
      </c>
      <c r="Z19" s="55" t="s">
        <v>739</v>
      </c>
      <c r="AA19" s="55" t="s">
        <v>761</v>
      </c>
      <c r="AB19" s="55" t="s">
        <v>732</v>
      </c>
      <c r="AC19" s="55" t="s">
        <v>742</v>
      </c>
      <c r="AD19" s="55" t="s">
        <v>731</v>
      </c>
    </row>
    <row r="20" spans="1:30">
      <c r="B20" s="14"/>
      <c r="C20" s="15"/>
      <c r="D20" s="15"/>
      <c r="E20" s="15"/>
      <c r="F20" s="23"/>
      <c r="G20" s="23"/>
      <c r="H20" s="23"/>
      <c r="I20" s="23"/>
      <c r="J20" s="23"/>
      <c r="K20" s="23"/>
      <c r="L20" s="23"/>
      <c r="M20" s="23"/>
      <c r="N20" s="23"/>
      <c r="O20" s="23"/>
      <c r="P20" s="23"/>
      <c r="Q20" s="23"/>
      <c r="R20" s="23"/>
      <c r="S20" s="23"/>
      <c r="T20" s="23"/>
      <c r="U20" s="23"/>
      <c r="V20" s="23"/>
      <c r="W20" s="23"/>
      <c r="X20" s="23"/>
      <c r="Y20" s="23"/>
      <c r="Z20" s="23"/>
      <c r="AA20" s="23"/>
      <c r="AB20" s="23"/>
      <c r="AC20" s="23"/>
      <c r="AD20" s="54"/>
    </row>
    <row r="21" spans="1:30" ht="22.5" customHeight="1">
      <c r="B21" s="11"/>
      <c r="C21" s="9"/>
      <c r="D21" s="9"/>
      <c r="E21" s="9"/>
      <c r="F21" s="12" t="s">
        <v>3</v>
      </c>
      <c r="G21" s="9"/>
      <c r="H21" s="9"/>
      <c r="I21" s="9"/>
      <c r="J21" s="9"/>
      <c r="K21" s="9"/>
      <c r="L21" s="9"/>
      <c r="M21" s="9"/>
      <c r="N21" s="9"/>
      <c r="O21" s="9"/>
      <c r="P21" s="9"/>
      <c r="Q21" s="9"/>
      <c r="R21" s="9"/>
      <c r="S21" s="9"/>
      <c r="T21" s="9"/>
      <c r="U21" s="9"/>
      <c r="V21" s="9"/>
      <c r="W21" s="9"/>
      <c r="X21" s="9"/>
      <c r="Y21" s="9"/>
      <c r="Z21" s="9"/>
      <c r="AA21" s="9"/>
      <c r="AB21" s="9"/>
      <c r="AC21" s="9"/>
      <c r="AD21" s="24"/>
    </row>
    <row r="22" spans="1:30">
      <c r="A22" s="13"/>
      <c r="B22" s="14"/>
      <c r="C22" s="15"/>
      <c r="D22" s="15"/>
      <c r="E22" s="15"/>
      <c r="F22" s="16"/>
      <c r="G22" s="15"/>
      <c r="H22" s="15"/>
      <c r="I22" s="15"/>
      <c r="J22" s="15"/>
      <c r="K22" s="15"/>
      <c r="L22" s="15"/>
      <c r="M22" s="15"/>
      <c r="N22" s="15"/>
      <c r="O22" s="15"/>
      <c r="P22" s="15"/>
      <c r="Q22" s="15"/>
      <c r="R22" s="15"/>
      <c r="S22" s="15"/>
      <c r="T22" s="15"/>
      <c r="U22" s="15"/>
      <c r="V22" s="15"/>
      <c r="W22" s="15"/>
      <c r="X22" s="15"/>
      <c r="Y22" s="15"/>
      <c r="Z22" s="15"/>
      <c r="AA22" s="15"/>
      <c r="AB22" s="15"/>
      <c r="AC22" s="15"/>
      <c r="AD22" s="25"/>
    </row>
    <row r="23" spans="1:30">
      <c r="A23" s="13"/>
      <c r="B23" s="14"/>
      <c r="C23" s="15"/>
      <c r="D23" s="15" t="s">
        <v>0</v>
      </c>
      <c r="E23" s="15" t="s">
        <v>0</v>
      </c>
      <c r="F23" s="16" t="s">
        <v>194</v>
      </c>
      <c r="G23" s="15"/>
      <c r="H23" s="15"/>
      <c r="I23" s="15"/>
      <c r="J23" s="15"/>
      <c r="K23" s="15"/>
      <c r="L23" s="15"/>
      <c r="M23" s="15"/>
      <c r="N23" s="15"/>
      <c r="O23" s="15"/>
      <c r="P23" s="15"/>
      <c r="Q23" s="15"/>
      <c r="R23" s="15"/>
      <c r="S23" s="15"/>
      <c r="T23" s="15"/>
      <c r="U23" s="15"/>
      <c r="V23" s="15"/>
      <c r="W23" s="15"/>
      <c r="X23" s="15"/>
      <c r="Y23" s="15"/>
      <c r="Z23" s="15"/>
      <c r="AA23" s="15"/>
      <c r="AB23" s="15"/>
      <c r="AC23" s="15"/>
      <c r="AD23" s="25"/>
    </row>
    <row r="24" spans="1:30">
      <c r="A24" s="13"/>
      <c r="B24" s="14"/>
      <c r="C24" s="15" t="s">
        <v>49</v>
      </c>
      <c r="D24" s="15" t="s">
        <v>7</v>
      </c>
      <c r="E24" s="15" t="s">
        <v>0</v>
      </c>
      <c r="F24" s="23" t="s">
        <v>50</v>
      </c>
      <c r="G24" s="20">
        <v>100000000</v>
      </c>
      <c r="H24" s="20">
        <v>10000</v>
      </c>
      <c r="I24" s="21">
        <f t="shared" ref="I24:I25" si="10">G24+H24</f>
        <v>100010000</v>
      </c>
      <c r="J24" s="20">
        <v>20000</v>
      </c>
      <c r="K24" s="20">
        <v>40000</v>
      </c>
      <c r="L24" s="20">
        <v>60000</v>
      </c>
      <c r="M24" s="20">
        <v>80000</v>
      </c>
      <c r="N24" s="21">
        <f t="shared" ref="N24:N25" si="11">K24+L24+M24</f>
        <v>180000</v>
      </c>
      <c r="O24" s="20">
        <v>10000</v>
      </c>
      <c r="P24" s="20">
        <v>30000</v>
      </c>
      <c r="Q24" s="20">
        <v>2000</v>
      </c>
      <c r="R24" s="20">
        <v>60000</v>
      </c>
      <c r="S24" s="20">
        <v>3000</v>
      </c>
      <c r="T24" s="20">
        <v>80000</v>
      </c>
      <c r="U24" s="20">
        <v>9000</v>
      </c>
      <c r="V24" s="21">
        <f t="shared" ref="V24:V25" si="12">U24</f>
        <v>9000</v>
      </c>
      <c r="W24" s="20">
        <v>1000</v>
      </c>
      <c r="X24" s="20">
        <v>3000</v>
      </c>
      <c r="Y24" s="20">
        <v>6000</v>
      </c>
      <c r="Z24" s="20">
        <v>6000</v>
      </c>
      <c r="AA24" s="21">
        <f t="shared" ref="AA24:AA25" si="13">I24+J24+N24+O24+P24+Q24+R24+S24+T24+V24+W24+X24+Y24+Z24</f>
        <v>100420000</v>
      </c>
      <c r="AB24" s="20">
        <v>2000</v>
      </c>
      <c r="AC24" s="20">
        <v>30000</v>
      </c>
      <c r="AD24" s="21">
        <f t="shared" ref="AD24:AD25" si="14">AA24+AB24+AC24</f>
        <v>100452000</v>
      </c>
    </row>
    <row r="25" spans="1:30">
      <c r="A25" s="13"/>
      <c r="B25" s="14"/>
      <c r="C25" s="15" t="s">
        <v>686</v>
      </c>
      <c r="D25" s="15" t="s">
        <v>7</v>
      </c>
      <c r="E25" s="15" t="s">
        <v>0</v>
      </c>
      <c r="F25" s="23" t="s">
        <v>51</v>
      </c>
      <c r="G25" s="20">
        <v>10000</v>
      </c>
      <c r="H25" s="20">
        <v>100000000</v>
      </c>
      <c r="I25" s="21">
        <f t="shared" si="10"/>
        <v>100010000</v>
      </c>
      <c r="J25" s="20">
        <v>30000</v>
      </c>
      <c r="K25" s="20">
        <v>50000</v>
      </c>
      <c r="L25" s="20">
        <v>70000</v>
      </c>
      <c r="M25" s="20">
        <v>9000</v>
      </c>
      <c r="N25" s="21">
        <f t="shared" si="11"/>
        <v>129000</v>
      </c>
      <c r="O25" s="20">
        <v>20000</v>
      </c>
      <c r="P25" s="20">
        <v>1000</v>
      </c>
      <c r="Q25" s="20">
        <v>400000</v>
      </c>
      <c r="R25" s="20">
        <v>50000</v>
      </c>
      <c r="S25" s="20">
        <v>2000</v>
      </c>
      <c r="T25" s="20">
        <v>1000</v>
      </c>
      <c r="U25" s="20">
        <v>4000</v>
      </c>
      <c r="V25" s="21">
        <f t="shared" si="12"/>
        <v>4000</v>
      </c>
      <c r="W25" s="20">
        <v>20000</v>
      </c>
      <c r="X25" s="20">
        <v>4000</v>
      </c>
      <c r="Y25" s="20">
        <v>5000</v>
      </c>
      <c r="Z25" s="20">
        <v>7000</v>
      </c>
      <c r="AA25" s="21">
        <f t="shared" si="13"/>
        <v>100683000</v>
      </c>
      <c r="AB25" s="20">
        <v>5000</v>
      </c>
      <c r="AC25" s="20">
        <v>4000</v>
      </c>
      <c r="AD25" s="21">
        <f t="shared" si="14"/>
        <v>100692000</v>
      </c>
    </row>
    <row r="26" spans="1:30">
      <c r="A26" s="13"/>
      <c r="B26" s="14"/>
      <c r="C26" s="15" t="s">
        <v>53</v>
      </c>
      <c r="D26" s="15" t="s">
        <v>7</v>
      </c>
      <c r="E26" s="15" t="s">
        <v>0</v>
      </c>
      <c r="F26" s="23" t="s">
        <v>52</v>
      </c>
      <c r="G26" s="55" t="s">
        <v>721</v>
      </c>
      <c r="H26" s="55" t="s">
        <v>725</v>
      </c>
      <c r="I26" s="55" t="s">
        <v>708</v>
      </c>
      <c r="J26" s="55" t="s">
        <v>722</v>
      </c>
      <c r="K26" s="55" t="s">
        <v>718</v>
      </c>
      <c r="L26" s="55" t="s">
        <v>727</v>
      </c>
      <c r="M26" s="55" t="s">
        <v>723</v>
      </c>
      <c r="N26" s="55" t="s">
        <v>713</v>
      </c>
      <c r="O26" s="55" t="s">
        <v>719</v>
      </c>
      <c r="P26" s="55" t="s">
        <v>720</v>
      </c>
      <c r="Q26" s="55" t="s">
        <v>765</v>
      </c>
      <c r="R26" s="55" t="s">
        <v>715</v>
      </c>
      <c r="S26" s="55" t="s">
        <v>714</v>
      </c>
      <c r="T26" s="55" t="s">
        <v>711</v>
      </c>
      <c r="U26" s="55" t="s">
        <v>710</v>
      </c>
      <c r="V26" s="55" t="s">
        <v>709</v>
      </c>
      <c r="W26" s="55" t="s">
        <v>707</v>
      </c>
      <c r="X26" s="55" t="s">
        <v>764</v>
      </c>
      <c r="Y26" s="55" t="s">
        <v>704</v>
      </c>
      <c r="Z26" s="55" t="s">
        <v>712</v>
      </c>
      <c r="AA26" s="55" t="s">
        <v>707</v>
      </c>
      <c r="AB26" s="55" t="s">
        <v>707</v>
      </c>
      <c r="AC26" s="55" t="s">
        <v>709</v>
      </c>
      <c r="AD26" s="55" t="s">
        <v>707</v>
      </c>
    </row>
    <row r="27" spans="1:30" ht="22.5">
      <c r="A27" s="13"/>
      <c r="B27" s="14"/>
      <c r="C27" s="15" t="s">
        <v>55</v>
      </c>
      <c r="D27" s="15" t="s">
        <v>7</v>
      </c>
      <c r="E27" s="15" t="s">
        <v>0</v>
      </c>
      <c r="F27" s="23" t="s">
        <v>54</v>
      </c>
      <c r="G27" s="55" t="s">
        <v>716</v>
      </c>
      <c r="H27" s="55" t="s">
        <v>717</v>
      </c>
      <c r="I27" s="55" t="s">
        <v>705</v>
      </c>
      <c r="J27" s="55" t="s">
        <v>724</v>
      </c>
      <c r="K27" s="55" t="s">
        <v>706</v>
      </c>
      <c r="L27" s="55" t="s">
        <v>726</v>
      </c>
      <c r="M27" s="55" t="s">
        <v>728</v>
      </c>
      <c r="N27" s="55" t="s">
        <v>704</v>
      </c>
      <c r="O27" s="55" t="s">
        <v>712</v>
      </c>
      <c r="P27" s="55" t="s">
        <v>707</v>
      </c>
      <c r="Q27" s="55" t="s">
        <v>709</v>
      </c>
      <c r="R27" s="55" t="s">
        <v>710</v>
      </c>
      <c r="S27" s="55" t="s">
        <v>711</v>
      </c>
      <c r="T27" s="55" t="s">
        <v>714</v>
      </c>
      <c r="U27" s="55" t="s">
        <v>715</v>
      </c>
      <c r="V27" s="55"/>
      <c r="W27" s="55" t="s">
        <v>765</v>
      </c>
      <c r="X27" s="55" t="s">
        <v>766</v>
      </c>
      <c r="Y27" s="55" t="s">
        <v>718</v>
      </c>
      <c r="Z27" s="55" t="s">
        <v>722</v>
      </c>
      <c r="AA27" s="55" t="s">
        <v>708</v>
      </c>
      <c r="AB27" s="55" t="s">
        <v>725</v>
      </c>
      <c r="AC27" s="55" t="s">
        <v>721</v>
      </c>
      <c r="AD27" s="55" t="s">
        <v>725</v>
      </c>
    </row>
    <row r="28" spans="1:30">
      <c r="A28" s="13"/>
      <c r="B28" s="14"/>
      <c r="C28" s="15" t="s">
        <v>56</v>
      </c>
      <c r="D28" s="15" t="s">
        <v>7</v>
      </c>
      <c r="E28" s="15" t="s">
        <v>0</v>
      </c>
      <c r="F28" s="23" t="s">
        <v>57</v>
      </c>
      <c r="G28" s="20">
        <v>10000</v>
      </c>
      <c r="H28" s="20">
        <v>40000</v>
      </c>
      <c r="I28" s="21">
        <f t="shared" ref="I28:I30" si="15">G28+H28</f>
        <v>50000</v>
      </c>
      <c r="J28" s="20">
        <v>100000</v>
      </c>
      <c r="K28" s="20">
        <v>40000</v>
      </c>
      <c r="L28" s="20">
        <v>70000</v>
      </c>
      <c r="M28" s="20">
        <v>1000</v>
      </c>
      <c r="N28" s="21">
        <f t="shared" ref="N28:N30" si="16">K28+L28+M28</f>
        <v>111000</v>
      </c>
      <c r="O28" s="20">
        <v>10000</v>
      </c>
      <c r="P28" s="20">
        <v>4000</v>
      </c>
      <c r="Q28" s="20">
        <v>7000</v>
      </c>
      <c r="R28" s="20">
        <v>1000</v>
      </c>
      <c r="S28" s="20">
        <v>3000</v>
      </c>
      <c r="T28" s="20">
        <v>9000</v>
      </c>
      <c r="U28" s="20">
        <v>4000</v>
      </c>
      <c r="V28" s="21">
        <f t="shared" ref="V28:V30" si="17">U28</f>
        <v>4000</v>
      </c>
      <c r="W28" s="20">
        <v>1000</v>
      </c>
      <c r="X28" s="20">
        <v>40000</v>
      </c>
      <c r="Y28" s="20">
        <v>7000</v>
      </c>
      <c r="Z28" s="20">
        <v>2000</v>
      </c>
      <c r="AA28" s="21">
        <f t="shared" ref="AA28:AA30" si="18">I28+J28+N28+O28+P28+Q28+R28+S28+T28+V28+W28+X28+Y28+Z28</f>
        <v>349000</v>
      </c>
      <c r="AB28" s="20">
        <v>1000</v>
      </c>
      <c r="AC28" s="20">
        <v>4000</v>
      </c>
      <c r="AD28" s="21">
        <f t="shared" ref="AD28:AD30" si="19">AA28+AB28+AC28</f>
        <v>354000</v>
      </c>
    </row>
    <row r="29" spans="1:30">
      <c r="A29" s="13"/>
      <c r="B29" s="14"/>
      <c r="C29" s="15" t="s">
        <v>58</v>
      </c>
      <c r="D29" s="15" t="s">
        <v>7</v>
      </c>
      <c r="E29" s="15" t="s">
        <v>0</v>
      </c>
      <c r="F29" s="23" t="s">
        <v>59</v>
      </c>
      <c r="G29" s="20">
        <v>2000</v>
      </c>
      <c r="H29" s="20">
        <v>5000</v>
      </c>
      <c r="I29" s="21">
        <f t="shared" si="15"/>
        <v>7000</v>
      </c>
      <c r="J29" s="20">
        <v>2000</v>
      </c>
      <c r="K29" s="20">
        <v>5000</v>
      </c>
      <c r="L29" s="20">
        <v>8000</v>
      </c>
      <c r="M29" s="20">
        <v>20000</v>
      </c>
      <c r="N29" s="21">
        <f t="shared" si="16"/>
        <v>33000</v>
      </c>
      <c r="O29" s="20">
        <v>2000</v>
      </c>
      <c r="P29" s="20">
        <v>5000</v>
      </c>
      <c r="Q29" s="20">
        <v>8000</v>
      </c>
      <c r="R29" s="20">
        <v>2000</v>
      </c>
      <c r="S29" s="20">
        <v>5000</v>
      </c>
      <c r="T29" s="20">
        <v>50000</v>
      </c>
      <c r="U29" s="20">
        <v>6000</v>
      </c>
      <c r="V29" s="21">
        <f t="shared" si="17"/>
        <v>6000</v>
      </c>
      <c r="W29" s="20">
        <v>2000</v>
      </c>
      <c r="X29" s="20">
        <v>50000</v>
      </c>
      <c r="Y29" s="20">
        <v>8000</v>
      </c>
      <c r="Z29" s="20">
        <v>3000</v>
      </c>
      <c r="AA29" s="21">
        <f t="shared" si="18"/>
        <v>183000</v>
      </c>
      <c r="AB29" s="20">
        <v>2000</v>
      </c>
      <c r="AC29" s="20">
        <v>5000</v>
      </c>
      <c r="AD29" s="21">
        <f t="shared" si="19"/>
        <v>190000</v>
      </c>
    </row>
    <row r="30" spans="1:30" ht="22.5">
      <c r="A30" s="13"/>
      <c r="B30" s="14"/>
      <c r="C30" s="15" t="s">
        <v>60</v>
      </c>
      <c r="D30" s="15" t="s">
        <v>7</v>
      </c>
      <c r="E30" s="15" t="s">
        <v>0</v>
      </c>
      <c r="F30" s="23" t="s">
        <v>61</v>
      </c>
      <c r="G30" s="20">
        <v>30000</v>
      </c>
      <c r="H30" s="20">
        <v>60000</v>
      </c>
      <c r="I30" s="21">
        <f t="shared" si="15"/>
        <v>90000</v>
      </c>
      <c r="J30" s="20">
        <v>3000</v>
      </c>
      <c r="K30" s="20">
        <v>60000</v>
      </c>
      <c r="L30" s="20">
        <v>90000</v>
      </c>
      <c r="M30" s="20">
        <v>3000</v>
      </c>
      <c r="N30" s="21">
        <f t="shared" si="16"/>
        <v>153000</v>
      </c>
      <c r="O30" s="20">
        <v>3000</v>
      </c>
      <c r="P30" s="20">
        <v>6000</v>
      </c>
      <c r="Q30" s="20">
        <v>9000</v>
      </c>
      <c r="R30" s="20">
        <v>3000</v>
      </c>
      <c r="S30" s="20">
        <v>6000</v>
      </c>
      <c r="T30" s="20">
        <v>5000</v>
      </c>
      <c r="U30" s="20">
        <v>90000</v>
      </c>
      <c r="V30" s="21">
        <f t="shared" si="17"/>
        <v>90000</v>
      </c>
      <c r="W30" s="20">
        <v>3000</v>
      </c>
      <c r="X30" s="20">
        <v>6000</v>
      </c>
      <c r="Y30" s="20">
        <v>9000</v>
      </c>
      <c r="Z30" s="20">
        <v>4000</v>
      </c>
      <c r="AA30" s="21">
        <f t="shared" si="18"/>
        <v>390000</v>
      </c>
      <c r="AB30" s="20">
        <v>3000</v>
      </c>
      <c r="AC30" s="20">
        <v>6000</v>
      </c>
      <c r="AD30" s="21">
        <f t="shared" si="19"/>
        <v>399000</v>
      </c>
    </row>
    <row r="31" spans="1:30" ht="22.5">
      <c r="A31" s="13"/>
      <c r="B31" s="14"/>
      <c r="C31" s="15" t="s">
        <v>63</v>
      </c>
      <c r="D31" s="15" t="s">
        <v>7</v>
      </c>
      <c r="E31" s="15" t="s">
        <v>0</v>
      </c>
      <c r="F31" s="23" t="s">
        <v>62</v>
      </c>
      <c r="G31" s="55" t="s">
        <v>726</v>
      </c>
      <c r="H31" s="55" t="s">
        <v>706</v>
      </c>
      <c r="I31" s="55" t="s">
        <v>724</v>
      </c>
      <c r="J31" s="55" t="s">
        <v>705</v>
      </c>
      <c r="K31" s="55" t="s">
        <v>717</v>
      </c>
      <c r="L31" s="55" t="s">
        <v>716</v>
      </c>
      <c r="M31" s="55" t="s">
        <v>714</v>
      </c>
      <c r="N31" s="55" t="s">
        <v>708</v>
      </c>
      <c r="O31" s="55" t="s">
        <v>722</v>
      </c>
      <c r="P31" s="55" t="s">
        <v>767</v>
      </c>
      <c r="Q31" s="55" t="s">
        <v>727</v>
      </c>
      <c r="R31" s="55" t="s">
        <v>723</v>
      </c>
      <c r="S31" s="55"/>
      <c r="T31" s="55" t="s">
        <v>713</v>
      </c>
      <c r="U31" s="55" t="s">
        <v>719</v>
      </c>
      <c r="V31" s="55" t="s">
        <v>765</v>
      </c>
      <c r="W31" s="55" t="s">
        <v>715</v>
      </c>
      <c r="X31" s="55" t="s">
        <v>714</v>
      </c>
      <c r="Y31" s="55" t="s">
        <v>711</v>
      </c>
      <c r="Z31" s="55" t="s">
        <v>710</v>
      </c>
      <c r="AA31" s="55" t="s">
        <v>709</v>
      </c>
      <c r="AB31" s="55" t="s">
        <v>707</v>
      </c>
      <c r="AC31" s="55" t="s">
        <v>712</v>
      </c>
      <c r="AD31" s="55" t="s">
        <v>704</v>
      </c>
    </row>
    <row r="32" spans="1:30" ht="22.5" customHeight="1">
      <c r="A32" s="13"/>
      <c r="B32" s="17"/>
      <c r="C32" s="18"/>
      <c r="D32" s="18"/>
      <c r="E32" s="18"/>
      <c r="F32" s="19"/>
      <c r="G32" s="18"/>
      <c r="H32" s="18"/>
      <c r="I32" s="18"/>
      <c r="J32" s="18"/>
      <c r="K32" s="18"/>
      <c r="L32" s="18"/>
      <c r="M32" s="18"/>
      <c r="N32" s="18"/>
      <c r="O32" s="18"/>
      <c r="P32" s="18"/>
      <c r="Q32" s="18"/>
      <c r="R32" s="18"/>
      <c r="S32" s="18"/>
      <c r="T32" s="18"/>
      <c r="U32" s="18"/>
      <c r="V32" s="18"/>
      <c r="W32" s="18"/>
      <c r="X32" s="18"/>
      <c r="Y32" s="18"/>
      <c r="Z32" s="18"/>
      <c r="AA32" s="18"/>
      <c r="AB32" s="18"/>
      <c r="AC32" s="18"/>
      <c r="AD32" s="26"/>
    </row>
    <row r="33" ht="22.5" customHeight="1"/>
    <row r="34" ht="22.5" customHeight="1"/>
    <row r="35" ht="22.5" customHeight="1"/>
    <row r="36" ht="22.5" customHeight="1"/>
    <row r="37" ht="22.5" customHeight="1"/>
    <row r="38" ht="22.5" customHeight="1"/>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200-000000000000}">
          <x14:formula1>
            <xm:f>Codigo!$A$1:$A$2</xm:f>
          </x14:formula1>
          <xm:sqref>G4</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theme="2" tint="-0.499984740745262"/>
  </sheetPr>
  <dimension ref="A1:M24"/>
  <sheetViews>
    <sheetView zoomScale="70" zoomScaleNormal="70" workbookViewId="0">
      <selection activeCell="T17" sqref="T17"/>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13" width="14.7109375" customWidth="1"/>
  </cols>
  <sheetData>
    <row r="1" spans="1:13" ht="60" customHeight="1" thickBot="1"/>
    <row r="2" spans="1:13" ht="171.75" customHeight="1" thickBot="1">
      <c r="F2" s="3" t="s">
        <v>4</v>
      </c>
    </row>
    <row r="3" spans="1:13" ht="15.75" thickBot="1">
      <c r="A3" s="4"/>
    </row>
    <row r="4" spans="1:13" ht="16.5" thickBot="1">
      <c r="A4" s="4"/>
      <c r="F4" s="27" t="s">
        <v>8</v>
      </c>
      <c r="G4" s="28" t="s">
        <v>9</v>
      </c>
    </row>
    <row r="5" spans="1:13" ht="15.75" thickBot="1">
      <c r="A5" s="4"/>
    </row>
    <row r="6" spans="1:13" ht="95.25" customHeight="1" thickBot="1">
      <c r="A6" s="8" t="s">
        <v>6</v>
      </c>
      <c r="B6" s="5"/>
      <c r="C6" s="6"/>
      <c r="D6" s="6"/>
      <c r="E6" s="6"/>
      <c r="F6" s="56" t="s">
        <v>197</v>
      </c>
      <c r="G6" s="22" t="s">
        <v>186</v>
      </c>
      <c r="H6" s="22" t="s">
        <v>187</v>
      </c>
      <c r="I6" s="22" t="s">
        <v>188</v>
      </c>
      <c r="J6" s="22" t="s">
        <v>189</v>
      </c>
      <c r="K6" s="22" t="s">
        <v>190</v>
      </c>
      <c r="L6" s="22" t="s">
        <v>191</v>
      </c>
      <c r="M6" s="22" t="s">
        <v>192</v>
      </c>
    </row>
    <row r="7" spans="1:13" hidden="1">
      <c r="A7" s="8" t="s">
        <v>5</v>
      </c>
      <c r="B7" s="9"/>
      <c r="C7" s="9"/>
      <c r="D7" s="9" t="s">
        <v>129</v>
      </c>
      <c r="E7" s="9" t="s">
        <v>130</v>
      </c>
      <c r="F7" s="9"/>
      <c r="G7" s="10" t="s">
        <v>132</v>
      </c>
      <c r="H7" s="10" t="s">
        <v>133</v>
      </c>
      <c r="I7" s="10" t="s">
        <v>134</v>
      </c>
      <c r="J7" s="10" t="s">
        <v>135</v>
      </c>
      <c r="K7" s="10" t="s">
        <v>136</v>
      </c>
      <c r="L7" s="10" t="s">
        <v>137</v>
      </c>
      <c r="M7" s="53" t="s">
        <v>131</v>
      </c>
    </row>
    <row r="8" spans="1:13">
      <c r="B8" s="11"/>
      <c r="C8" s="9"/>
      <c r="D8" s="9"/>
      <c r="E8" s="9"/>
      <c r="F8" s="9"/>
      <c r="G8" s="9"/>
      <c r="H8" s="9"/>
      <c r="I8" s="9"/>
      <c r="J8" s="9"/>
      <c r="K8" s="9"/>
      <c r="L8" s="9"/>
      <c r="M8" s="24"/>
    </row>
    <row r="9" spans="1:13" ht="22.5" customHeight="1">
      <c r="B9" s="11"/>
      <c r="C9" s="9"/>
      <c r="D9" s="9"/>
      <c r="E9" s="9"/>
      <c r="F9" s="12" t="s">
        <v>2</v>
      </c>
      <c r="G9" s="9"/>
      <c r="H9" s="9"/>
      <c r="I9" s="9"/>
      <c r="J9" s="9"/>
      <c r="K9" s="9"/>
      <c r="L9" s="9"/>
      <c r="M9" s="24"/>
    </row>
    <row r="10" spans="1:13">
      <c r="A10" s="13"/>
      <c r="B10" s="14"/>
      <c r="C10" s="15"/>
      <c r="D10" s="15"/>
      <c r="E10" s="15"/>
      <c r="F10" s="16"/>
      <c r="G10" s="15"/>
      <c r="H10" s="15"/>
      <c r="I10" s="15"/>
      <c r="J10" s="15"/>
      <c r="K10" s="15"/>
      <c r="L10" s="15"/>
      <c r="M10" s="25"/>
    </row>
    <row r="11" spans="1:13" ht="22.5">
      <c r="A11" s="13"/>
      <c r="B11" s="14"/>
      <c r="C11" s="15"/>
      <c r="D11" s="15" t="s">
        <v>0</v>
      </c>
      <c r="E11" s="15" t="s">
        <v>0</v>
      </c>
      <c r="F11" s="16" t="s">
        <v>193</v>
      </c>
      <c r="G11" s="15"/>
      <c r="H11" s="15"/>
      <c r="I11" s="15"/>
      <c r="J11" s="15"/>
      <c r="K11" s="15"/>
      <c r="L11" s="15"/>
      <c r="M11" s="25"/>
    </row>
    <row r="12" spans="1:13">
      <c r="A12" s="13"/>
      <c r="B12" s="14"/>
      <c r="C12" s="15" t="s">
        <v>138</v>
      </c>
      <c r="D12" s="15" t="s">
        <v>1</v>
      </c>
      <c r="E12" s="15" t="s">
        <v>0</v>
      </c>
      <c r="F12" s="23" t="s">
        <v>139</v>
      </c>
      <c r="G12" s="20">
        <v>10000</v>
      </c>
      <c r="H12" s="20">
        <v>20000</v>
      </c>
      <c r="I12" s="20">
        <v>30000</v>
      </c>
      <c r="J12" s="20">
        <v>40000</v>
      </c>
      <c r="K12" s="20">
        <v>50000</v>
      </c>
      <c r="L12" s="20">
        <v>60000</v>
      </c>
      <c r="M12" s="21">
        <f>G12+H12+I12+J12+K12+L12</f>
        <v>210000</v>
      </c>
    </row>
    <row r="13" spans="1:13">
      <c r="B13" s="14"/>
      <c r="C13" s="15"/>
      <c r="D13" s="15"/>
      <c r="E13" s="15"/>
      <c r="F13" s="23"/>
      <c r="G13" s="23"/>
      <c r="H13" s="23"/>
      <c r="I13" s="23"/>
      <c r="J13" s="23"/>
      <c r="K13" s="23"/>
      <c r="L13" s="23"/>
      <c r="M13" s="57"/>
    </row>
    <row r="14" spans="1:13" ht="22.5" customHeight="1">
      <c r="B14" s="11"/>
      <c r="C14" s="9"/>
      <c r="D14" s="9"/>
      <c r="E14" s="9"/>
      <c r="F14" s="12" t="s">
        <v>3</v>
      </c>
      <c r="G14" s="9"/>
      <c r="H14" s="9"/>
      <c r="I14" s="9"/>
      <c r="J14" s="9"/>
      <c r="K14" s="9"/>
      <c r="L14" s="9"/>
      <c r="M14" s="24"/>
    </row>
    <row r="15" spans="1:13">
      <c r="A15" s="13"/>
      <c r="B15" s="14"/>
      <c r="C15" s="15"/>
      <c r="D15" s="15"/>
      <c r="E15" s="15"/>
      <c r="F15" s="16"/>
      <c r="G15" s="15"/>
      <c r="H15" s="15"/>
      <c r="I15" s="15"/>
      <c r="J15" s="15"/>
      <c r="K15" s="15"/>
      <c r="L15" s="15"/>
      <c r="M15" s="25"/>
    </row>
    <row r="16" spans="1:13" ht="22.5">
      <c r="A16" s="13"/>
      <c r="B16" s="14"/>
      <c r="C16" s="15"/>
      <c r="D16" s="15" t="s">
        <v>0</v>
      </c>
      <c r="E16" s="15" t="s">
        <v>0</v>
      </c>
      <c r="F16" s="16" t="s">
        <v>193</v>
      </c>
      <c r="G16" s="15"/>
      <c r="H16" s="15"/>
      <c r="I16" s="15"/>
      <c r="J16" s="15"/>
      <c r="K16" s="15"/>
      <c r="L16" s="15"/>
      <c r="M16" s="25"/>
    </row>
    <row r="17" spans="1:13">
      <c r="A17" s="13" t="s">
        <v>689</v>
      </c>
      <c r="B17" s="14"/>
      <c r="C17" s="15" t="s">
        <v>138</v>
      </c>
      <c r="D17" s="15" t="s">
        <v>1</v>
      </c>
      <c r="E17" s="15" t="s">
        <v>0</v>
      </c>
      <c r="F17" s="23" t="s">
        <v>139</v>
      </c>
      <c r="G17" s="20">
        <v>70000</v>
      </c>
      <c r="H17" s="20">
        <v>70000</v>
      </c>
      <c r="I17" s="20">
        <v>70000</v>
      </c>
      <c r="J17" s="20">
        <v>70000</v>
      </c>
      <c r="K17" s="20">
        <v>70000</v>
      </c>
      <c r="L17" s="20">
        <v>70000</v>
      </c>
      <c r="M17" s="21">
        <f>G17+H17+I17+J17+K17+L17</f>
        <v>420000</v>
      </c>
    </row>
    <row r="18" spans="1:13" ht="22.5" customHeight="1">
      <c r="A18" s="13"/>
      <c r="B18" s="17"/>
      <c r="C18" s="18"/>
      <c r="D18" s="18"/>
      <c r="E18" s="18"/>
      <c r="F18" s="19"/>
      <c r="G18" s="18"/>
      <c r="H18" s="18"/>
      <c r="I18" s="18"/>
      <c r="J18" s="18"/>
      <c r="K18" s="18"/>
      <c r="L18" s="18"/>
      <c r="M18" s="26"/>
    </row>
    <row r="19" spans="1:13" ht="22.5" customHeight="1"/>
    <row r="20" spans="1:13" ht="22.5" customHeight="1"/>
    <row r="21" spans="1:13" ht="22.5" customHeight="1"/>
    <row r="22" spans="1:13" ht="22.5" customHeight="1"/>
    <row r="23" spans="1:13" ht="22.5" customHeight="1"/>
    <row r="24" spans="1:13" ht="22.5" customHeight="1"/>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0000000}">
          <x14:formula1>
            <xm:f>Codigo!$A$1:$A$2</xm:f>
          </x14:formula1>
          <xm:sqref>G4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theme="9" tint="0.39997558519241921"/>
  </sheetPr>
  <dimension ref="A1:M24"/>
  <sheetViews>
    <sheetView topLeftCell="A5" zoomScale="70" zoomScaleNormal="70" workbookViewId="0">
      <selection activeCell="G17" sqref="G17:L17"/>
    </sheetView>
  </sheetViews>
  <sheetFormatPr baseColWidth="10" defaultRowHeight="15"/>
  <cols>
    <col min="1" max="1" width="2.140625" customWidth="1"/>
    <col min="2" max="2" width="3.5703125" customWidth="1"/>
    <col min="3" max="3" width="4" customWidth="1"/>
    <col min="4" max="4" width="5" customWidth="1"/>
    <col min="5" max="5" width="3" customWidth="1"/>
    <col min="6" max="6" width="93.140625" customWidth="1"/>
    <col min="7" max="13" width="14.7109375" customWidth="1"/>
  </cols>
  <sheetData>
    <row r="1" spans="1:13" ht="60" customHeight="1" thickBot="1"/>
    <row r="2" spans="1:13" ht="171.75" customHeight="1" thickBot="1">
      <c r="F2" s="3" t="s">
        <v>4</v>
      </c>
    </row>
    <row r="3" spans="1:13" ht="15.75" thickBot="1">
      <c r="A3" s="4"/>
    </row>
    <row r="4" spans="1:13" ht="16.5" thickBot="1">
      <c r="A4" s="4"/>
      <c r="F4" s="27" t="s">
        <v>8</v>
      </c>
      <c r="G4" s="28" t="s">
        <v>9</v>
      </c>
    </row>
    <row r="5" spans="1:13" ht="15.75" thickBot="1">
      <c r="A5" s="4"/>
    </row>
    <row r="6" spans="1:13" ht="95.25" customHeight="1" thickBot="1">
      <c r="A6" s="8" t="s">
        <v>6</v>
      </c>
      <c r="B6" s="5"/>
      <c r="C6" s="6"/>
      <c r="D6" s="6"/>
      <c r="E6" s="6"/>
      <c r="F6" s="56" t="s">
        <v>198</v>
      </c>
      <c r="G6" s="22" t="s">
        <v>186</v>
      </c>
      <c r="H6" s="22" t="s">
        <v>187</v>
      </c>
      <c r="I6" s="22" t="s">
        <v>188</v>
      </c>
      <c r="J6" s="22" t="s">
        <v>189</v>
      </c>
      <c r="K6" s="22" t="s">
        <v>190</v>
      </c>
      <c r="L6" s="22" t="s">
        <v>191</v>
      </c>
      <c r="M6" s="22" t="s">
        <v>192</v>
      </c>
    </row>
    <row r="7" spans="1:13" hidden="1">
      <c r="A7" s="8" t="s">
        <v>5</v>
      </c>
      <c r="B7" s="9"/>
      <c r="C7" s="9"/>
      <c r="D7" s="9" t="s">
        <v>149</v>
      </c>
      <c r="E7" s="9" t="s">
        <v>130</v>
      </c>
      <c r="F7" s="9"/>
      <c r="G7" s="10" t="s">
        <v>132</v>
      </c>
      <c r="H7" s="10" t="s">
        <v>133</v>
      </c>
      <c r="I7" s="10" t="s">
        <v>134</v>
      </c>
      <c r="J7" s="10" t="s">
        <v>135</v>
      </c>
      <c r="K7" s="10" t="s">
        <v>136</v>
      </c>
      <c r="L7" s="10" t="s">
        <v>137</v>
      </c>
      <c r="M7" s="53" t="s">
        <v>131</v>
      </c>
    </row>
    <row r="8" spans="1:13">
      <c r="B8" s="11"/>
      <c r="C8" s="9"/>
      <c r="D8" s="9"/>
      <c r="E8" s="9"/>
      <c r="F8" s="9"/>
      <c r="G8" s="9"/>
      <c r="H8" s="9"/>
      <c r="I8" s="9"/>
      <c r="J8" s="9"/>
      <c r="K8" s="9"/>
      <c r="L8" s="9"/>
      <c r="M8" s="24"/>
    </row>
    <row r="9" spans="1:13" ht="22.5" customHeight="1">
      <c r="B9" s="11"/>
      <c r="C9" s="9"/>
      <c r="D9" s="9"/>
      <c r="E9" s="9"/>
      <c r="F9" s="12" t="s">
        <v>2</v>
      </c>
      <c r="G9" s="9"/>
      <c r="H9" s="9"/>
      <c r="I9" s="9"/>
      <c r="J9" s="9"/>
      <c r="K9" s="9"/>
      <c r="L9" s="9"/>
      <c r="M9" s="24"/>
    </row>
    <row r="10" spans="1:13">
      <c r="A10" s="13"/>
      <c r="B10" s="14"/>
      <c r="C10" s="15"/>
      <c r="D10" s="15"/>
      <c r="E10" s="15"/>
      <c r="F10" s="16"/>
      <c r="G10" s="15"/>
      <c r="H10" s="15"/>
      <c r="I10" s="15"/>
      <c r="J10" s="15"/>
      <c r="K10" s="15"/>
      <c r="L10" s="15"/>
      <c r="M10" s="25"/>
    </row>
    <row r="11" spans="1:13" ht="22.5">
      <c r="A11" s="13"/>
      <c r="B11" s="14"/>
      <c r="C11" s="15"/>
      <c r="D11" s="15" t="s">
        <v>0</v>
      </c>
      <c r="E11" s="15" t="s">
        <v>0</v>
      </c>
      <c r="F11" s="16" t="s">
        <v>193</v>
      </c>
      <c r="G11" s="15"/>
      <c r="H11" s="15"/>
      <c r="I11" s="15"/>
      <c r="J11" s="15"/>
      <c r="K11" s="15"/>
      <c r="L11" s="15"/>
      <c r="M11" s="25"/>
    </row>
    <row r="12" spans="1:13">
      <c r="A12" s="13"/>
      <c r="B12" s="14"/>
      <c r="C12" s="15" t="s">
        <v>150</v>
      </c>
      <c r="D12" s="15" t="s">
        <v>1</v>
      </c>
      <c r="E12" s="15" t="s">
        <v>0</v>
      </c>
      <c r="F12" s="23" t="s">
        <v>151</v>
      </c>
      <c r="G12" s="20">
        <v>50000</v>
      </c>
      <c r="H12" s="20">
        <v>40000</v>
      </c>
      <c r="I12" s="20">
        <v>30000</v>
      </c>
      <c r="J12" s="20">
        <v>20000</v>
      </c>
      <c r="K12" s="20">
        <v>10000</v>
      </c>
      <c r="L12" s="20">
        <v>9000</v>
      </c>
      <c r="M12" s="21">
        <f>G12+H12+I12+J12+K12+L12</f>
        <v>159000</v>
      </c>
    </row>
    <row r="13" spans="1:13">
      <c r="B13" s="14"/>
      <c r="C13" s="15"/>
      <c r="D13" s="15"/>
      <c r="E13" s="15"/>
      <c r="F13" s="23"/>
      <c r="G13" s="23"/>
      <c r="H13" s="23"/>
      <c r="I13" s="23"/>
      <c r="J13" s="23"/>
      <c r="K13" s="23"/>
      <c r="L13" s="23"/>
      <c r="M13" s="57"/>
    </row>
    <row r="14" spans="1:13" ht="22.5" customHeight="1">
      <c r="B14" s="11"/>
      <c r="C14" s="9"/>
      <c r="D14" s="9"/>
      <c r="E14" s="9"/>
      <c r="F14" s="12" t="s">
        <v>3</v>
      </c>
      <c r="G14" s="9"/>
      <c r="H14" s="9"/>
      <c r="I14" s="9"/>
      <c r="J14" s="9"/>
      <c r="K14" s="9"/>
      <c r="L14" s="9"/>
      <c r="M14" s="24"/>
    </row>
    <row r="15" spans="1:13">
      <c r="A15" s="13"/>
      <c r="B15" s="14"/>
      <c r="C15" s="15"/>
      <c r="D15" s="15"/>
      <c r="E15" s="15"/>
      <c r="F15" s="16"/>
      <c r="G15" s="15"/>
      <c r="H15" s="15"/>
      <c r="I15" s="15"/>
      <c r="J15" s="15"/>
      <c r="K15" s="15"/>
      <c r="L15" s="15"/>
      <c r="M15" s="25"/>
    </row>
    <row r="16" spans="1:13" ht="22.5">
      <c r="A16" s="13"/>
      <c r="B16" s="14"/>
      <c r="C16" s="15"/>
      <c r="D16" s="15" t="s">
        <v>0</v>
      </c>
      <c r="E16" s="15" t="s">
        <v>0</v>
      </c>
      <c r="F16" s="16" t="s">
        <v>193</v>
      </c>
      <c r="G16" s="15"/>
      <c r="H16" s="15"/>
      <c r="I16" s="15"/>
      <c r="J16" s="15"/>
      <c r="K16" s="15"/>
      <c r="L16" s="15"/>
      <c r="M16" s="25"/>
    </row>
    <row r="17" spans="1:13">
      <c r="A17" s="13" t="s">
        <v>689</v>
      </c>
      <c r="B17" s="14"/>
      <c r="C17" s="15" t="s">
        <v>150</v>
      </c>
      <c r="D17" s="15" t="s">
        <v>1</v>
      </c>
      <c r="E17" s="15" t="s">
        <v>0</v>
      </c>
      <c r="F17" s="23" t="s">
        <v>151</v>
      </c>
      <c r="G17" s="20">
        <v>7000</v>
      </c>
      <c r="H17" s="20">
        <v>60000</v>
      </c>
      <c r="I17" s="20">
        <v>5000</v>
      </c>
      <c r="J17" s="20">
        <v>40000</v>
      </c>
      <c r="K17" s="20">
        <v>30000</v>
      </c>
      <c r="L17" s="20">
        <v>2000</v>
      </c>
      <c r="M17" s="21">
        <f>G17+H17+I17+J17+K17+L17</f>
        <v>144000</v>
      </c>
    </row>
    <row r="18" spans="1:13" ht="22.5" customHeight="1">
      <c r="A18" s="13"/>
      <c r="B18" s="17"/>
      <c r="C18" s="18"/>
      <c r="D18" s="18"/>
      <c r="E18" s="18"/>
      <c r="F18" s="19"/>
      <c r="G18" s="18"/>
      <c r="H18" s="18"/>
      <c r="I18" s="18"/>
      <c r="J18" s="18"/>
      <c r="K18" s="18"/>
      <c r="L18" s="18"/>
      <c r="M18" s="26"/>
    </row>
    <row r="19" spans="1:13" ht="22.5" customHeight="1"/>
    <row r="20" spans="1:13" ht="22.5" customHeight="1"/>
    <row r="21" spans="1:13" ht="22.5" customHeight="1"/>
    <row r="22" spans="1:13" ht="22.5" customHeight="1"/>
    <row r="23" spans="1:13" ht="22.5" customHeight="1"/>
    <row r="24" spans="1:13" ht="22.5" customHeight="1"/>
  </sheetData>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Codigo!$A$1:$A$2</xm:f>
          </x14:formula1>
          <xm:sqref>G4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3"/>
  <dimension ref="A1:C249"/>
  <sheetViews>
    <sheetView workbookViewId="0"/>
  </sheetViews>
  <sheetFormatPr baseColWidth="10" defaultRowHeight="15"/>
  <sheetData>
    <row r="1" spans="1:3">
      <c r="A1" t="s">
        <v>9</v>
      </c>
      <c r="B1" t="s">
        <v>255</v>
      </c>
      <c r="C1" t="s">
        <v>256</v>
      </c>
    </row>
    <row r="2" spans="1:3">
      <c r="A2" t="s">
        <v>10</v>
      </c>
      <c r="B2" t="s">
        <v>257</v>
      </c>
      <c r="C2" t="s">
        <v>258</v>
      </c>
    </row>
    <row r="3" spans="1:3">
      <c r="B3" t="s">
        <v>259</v>
      </c>
      <c r="C3" t="s">
        <v>260</v>
      </c>
    </row>
    <row r="4" spans="1:3">
      <c r="B4" t="s">
        <v>261</v>
      </c>
      <c r="C4" t="s">
        <v>262</v>
      </c>
    </row>
    <row r="5" spans="1:3">
      <c r="B5" t="s">
        <v>263</v>
      </c>
      <c r="C5" t="s">
        <v>264</v>
      </c>
    </row>
    <row r="6" spans="1:3">
      <c r="B6" t="s">
        <v>265</v>
      </c>
      <c r="C6" t="s">
        <v>266</v>
      </c>
    </row>
    <row r="7" spans="1:3">
      <c r="B7" t="s">
        <v>267</v>
      </c>
      <c r="C7" t="s">
        <v>268</v>
      </c>
    </row>
    <row r="8" spans="1:3">
      <c r="B8" t="s">
        <v>269</v>
      </c>
      <c r="C8" t="s">
        <v>270</v>
      </c>
    </row>
    <row r="9" spans="1:3">
      <c r="B9" t="s">
        <v>271</v>
      </c>
      <c r="C9" t="s">
        <v>272</v>
      </c>
    </row>
    <row r="10" spans="1:3">
      <c r="B10" t="s">
        <v>273</v>
      </c>
      <c r="C10" t="s">
        <v>274</v>
      </c>
    </row>
    <row r="11" spans="1:3">
      <c r="B11" t="s">
        <v>275</v>
      </c>
      <c r="C11" t="s">
        <v>276</v>
      </c>
    </row>
    <row r="12" spans="1:3">
      <c r="B12" t="s">
        <v>277</v>
      </c>
      <c r="C12" t="s">
        <v>278</v>
      </c>
    </row>
    <row r="13" spans="1:3">
      <c r="B13" t="s">
        <v>279</v>
      </c>
      <c r="C13" t="s">
        <v>280</v>
      </c>
    </row>
    <row r="14" spans="1:3">
      <c r="B14" t="s">
        <v>281</v>
      </c>
      <c r="C14" t="s">
        <v>282</v>
      </c>
    </row>
    <row r="15" spans="1:3">
      <c r="B15" t="s">
        <v>283</v>
      </c>
      <c r="C15" t="s">
        <v>284</v>
      </c>
    </row>
    <row r="16" spans="1:3">
      <c r="B16" t="s">
        <v>285</v>
      </c>
      <c r="C16" t="s">
        <v>286</v>
      </c>
    </row>
    <row r="17" spans="2:3">
      <c r="B17" t="s">
        <v>287</v>
      </c>
      <c r="C17" t="s">
        <v>288</v>
      </c>
    </row>
    <row r="18" spans="2:3">
      <c r="B18" t="s">
        <v>289</v>
      </c>
      <c r="C18" t="s">
        <v>290</v>
      </c>
    </row>
    <row r="19" spans="2:3">
      <c r="B19" t="s">
        <v>291</v>
      </c>
      <c r="C19" t="s">
        <v>292</v>
      </c>
    </row>
    <row r="20" spans="2:3">
      <c r="B20" t="s">
        <v>293</v>
      </c>
      <c r="C20" t="s">
        <v>294</v>
      </c>
    </row>
    <row r="21" spans="2:3">
      <c r="B21" t="s">
        <v>295</v>
      </c>
      <c r="C21" t="s">
        <v>296</v>
      </c>
    </row>
    <row r="22" spans="2:3">
      <c r="B22" t="s">
        <v>297</v>
      </c>
      <c r="C22" t="s">
        <v>298</v>
      </c>
    </row>
    <row r="23" spans="2:3">
      <c r="B23" t="s">
        <v>299</v>
      </c>
      <c r="C23" t="s">
        <v>300</v>
      </c>
    </row>
    <row r="24" spans="2:3">
      <c r="B24" t="s">
        <v>301</v>
      </c>
      <c r="C24" t="s">
        <v>302</v>
      </c>
    </row>
    <row r="25" spans="2:3">
      <c r="B25" t="s">
        <v>303</v>
      </c>
      <c r="C25" t="s">
        <v>304</v>
      </c>
    </row>
    <row r="26" spans="2:3">
      <c r="B26" t="s">
        <v>305</v>
      </c>
      <c r="C26" t="s">
        <v>306</v>
      </c>
    </row>
    <row r="27" spans="2:3">
      <c r="B27" t="s">
        <v>307</v>
      </c>
      <c r="C27" t="s">
        <v>308</v>
      </c>
    </row>
    <row r="28" spans="2:3">
      <c r="B28" t="s">
        <v>309</v>
      </c>
      <c r="C28" t="s">
        <v>310</v>
      </c>
    </row>
    <row r="29" spans="2:3">
      <c r="B29" t="s">
        <v>311</v>
      </c>
      <c r="C29" t="s">
        <v>312</v>
      </c>
    </row>
    <row r="30" spans="2:3">
      <c r="B30" t="s">
        <v>313</v>
      </c>
      <c r="C30" t="s">
        <v>314</v>
      </c>
    </row>
    <row r="31" spans="2:3">
      <c r="B31" t="s">
        <v>315</v>
      </c>
      <c r="C31" t="s">
        <v>316</v>
      </c>
    </row>
    <row r="32" spans="2:3">
      <c r="B32" t="s">
        <v>317</v>
      </c>
      <c r="C32" t="s">
        <v>318</v>
      </c>
    </row>
    <row r="33" spans="2:3">
      <c r="B33" t="s">
        <v>319</v>
      </c>
      <c r="C33" t="s">
        <v>320</v>
      </c>
    </row>
    <row r="34" spans="2:3">
      <c r="B34" t="s">
        <v>321</v>
      </c>
      <c r="C34" t="s">
        <v>322</v>
      </c>
    </row>
    <row r="35" spans="2:3">
      <c r="B35" t="s">
        <v>323</v>
      </c>
      <c r="C35" t="s">
        <v>324</v>
      </c>
    </row>
    <row r="36" spans="2:3">
      <c r="B36" t="s">
        <v>325</v>
      </c>
      <c r="C36" t="s">
        <v>326</v>
      </c>
    </row>
    <row r="37" spans="2:3">
      <c r="B37" t="s">
        <v>327</v>
      </c>
      <c r="C37" t="s">
        <v>328</v>
      </c>
    </row>
    <row r="38" spans="2:3">
      <c r="B38" t="s">
        <v>329</v>
      </c>
      <c r="C38" t="s">
        <v>330</v>
      </c>
    </row>
    <row r="39" spans="2:3">
      <c r="B39" t="s">
        <v>331</v>
      </c>
      <c r="C39" t="s">
        <v>332</v>
      </c>
    </row>
    <row r="40" spans="2:3">
      <c r="B40" t="s">
        <v>333</v>
      </c>
      <c r="C40" t="s">
        <v>334</v>
      </c>
    </row>
    <row r="41" spans="2:3">
      <c r="B41" t="s">
        <v>335</v>
      </c>
      <c r="C41" t="s">
        <v>336</v>
      </c>
    </row>
    <row r="42" spans="2:3">
      <c r="B42" t="s">
        <v>337</v>
      </c>
      <c r="C42" t="s">
        <v>338</v>
      </c>
    </row>
    <row r="43" spans="2:3">
      <c r="B43" t="s">
        <v>339</v>
      </c>
      <c r="C43" t="s">
        <v>340</v>
      </c>
    </row>
    <row r="44" spans="2:3">
      <c r="B44" t="s">
        <v>341</v>
      </c>
      <c r="C44" t="s">
        <v>342</v>
      </c>
    </row>
    <row r="45" spans="2:3">
      <c r="B45" t="s">
        <v>343</v>
      </c>
      <c r="C45" t="s">
        <v>344</v>
      </c>
    </row>
    <row r="46" spans="2:3">
      <c r="B46" t="s">
        <v>345</v>
      </c>
      <c r="C46" t="s">
        <v>346</v>
      </c>
    </row>
    <row r="47" spans="2:3">
      <c r="B47" t="s">
        <v>347</v>
      </c>
      <c r="C47" t="s">
        <v>348</v>
      </c>
    </row>
    <row r="48" spans="2:3">
      <c r="B48" t="s">
        <v>349</v>
      </c>
      <c r="C48" t="s">
        <v>350</v>
      </c>
    </row>
    <row r="49" spans="2:3">
      <c r="B49" t="s">
        <v>351</v>
      </c>
      <c r="C49" t="s">
        <v>352</v>
      </c>
    </row>
    <row r="50" spans="2:3">
      <c r="B50" t="s">
        <v>353</v>
      </c>
      <c r="C50" t="s">
        <v>354</v>
      </c>
    </row>
    <row r="51" spans="2:3">
      <c r="B51" t="s">
        <v>355</v>
      </c>
      <c r="C51" t="s">
        <v>356</v>
      </c>
    </row>
    <row r="52" spans="2:3">
      <c r="B52" t="s">
        <v>357</v>
      </c>
      <c r="C52" t="s">
        <v>358</v>
      </c>
    </row>
    <row r="53" spans="2:3">
      <c r="B53" t="s">
        <v>359</v>
      </c>
      <c r="C53" t="s">
        <v>360</v>
      </c>
    </row>
    <row r="54" spans="2:3">
      <c r="B54" t="s">
        <v>361</v>
      </c>
      <c r="C54" t="s">
        <v>362</v>
      </c>
    </row>
    <row r="55" spans="2:3">
      <c r="B55" t="s">
        <v>363</v>
      </c>
      <c r="C55" t="s">
        <v>364</v>
      </c>
    </row>
    <row r="56" spans="2:3">
      <c r="B56" t="s">
        <v>365</v>
      </c>
      <c r="C56" t="s">
        <v>366</v>
      </c>
    </row>
    <row r="57" spans="2:3">
      <c r="B57" t="s">
        <v>367</v>
      </c>
      <c r="C57" t="s">
        <v>368</v>
      </c>
    </row>
    <row r="58" spans="2:3">
      <c r="B58" t="s">
        <v>369</v>
      </c>
      <c r="C58" t="s">
        <v>370</v>
      </c>
    </row>
    <row r="59" spans="2:3">
      <c r="B59" t="s">
        <v>371</v>
      </c>
      <c r="C59" t="s">
        <v>372</v>
      </c>
    </row>
    <row r="60" spans="2:3">
      <c r="B60" t="s">
        <v>373</v>
      </c>
      <c r="C60" t="s">
        <v>374</v>
      </c>
    </row>
    <row r="61" spans="2:3">
      <c r="B61" t="s">
        <v>375</v>
      </c>
      <c r="C61" t="s">
        <v>376</v>
      </c>
    </row>
    <row r="62" spans="2:3">
      <c r="B62" t="s">
        <v>377</v>
      </c>
      <c r="C62" t="s">
        <v>378</v>
      </c>
    </row>
    <row r="63" spans="2:3">
      <c r="B63" t="s">
        <v>379</v>
      </c>
      <c r="C63" t="s">
        <v>380</v>
      </c>
    </row>
    <row r="64" spans="2:3">
      <c r="B64" t="s">
        <v>381</v>
      </c>
      <c r="C64" t="s">
        <v>382</v>
      </c>
    </row>
    <row r="65" spans="2:3">
      <c r="B65" t="s">
        <v>383</v>
      </c>
      <c r="C65" t="s">
        <v>384</v>
      </c>
    </row>
    <row r="66" spans="2:3">
      <c r="B66" t="s">
        <v>385</v>
      </c>
      <c r="C66" t="s">
        <v>386</v>
      </c>
    </row>
    <row r="67" spans="2:3">
      <c r="B67" t="s">
        <v>387</v>
      </c>
      <c r="C67" t="s">
        <v>388</v>
      </c>
    </row>
    <row r="68" spans="2:3">
      <c r="B68" t="s">
        <v>389</v>
      </c>
      <c r="C68" t="s">
        <v>390</v>
      </c>
    </row>
    <row r="69" spans="2:3">
      <c r="B69" t="s">
        <v>391</v>
      </c>
      <c r="C69" t="s">
        <v>392</v>
      </c>
    </row>
    <row r="70" spans="2:3">
      <c r="B70" t="s">
        <v>393</v>
      </c>
      <c r="C70" t="s">
        <v>394</v>
      </c>
    </row>
    <row r="71" spans="2:3">
      <c r="B71" t="s">
        <v>395</v>
      </c>
      <c r="C71" t="s">
        <v>396</v>
      </c>
    </row>
    <row r="72" spans="2:3">
      <c r="B72" t="s">
        <v>397</v>
      </c>
      <c r="C72" t="s">
        <v>398</v>
      </c>
    </row>
    <row r="73" spans="2:3">
      <c r="B73" t="s">
        <v>399</v>
      </c>
      <c r="C73" t="s">
        <v>400</v>
      </c>
    </row>
    <row r="74" spans="2:3">
      <c r="B74" t="s">
        <v>401</v>
      </c>
      <c r="C74" t="s">
        <v>402</v>
      </c>
    </row>
    <row r="75" spans="2:3">
      <c r="B75" t="s">
        <v>403</v>
      </c>
      <c r="C75" t="s">
        <v>404</v>
      </c>
    </row>
    <row r="76" spans="2:3">
      <c r="B76" t="s">
        <v>405</v>
      </c>
      <c r="C76" t="s">
        <v>406</v>
      </c>
    </row>
    <row r="77" spans="2:3">
      <c r="B77" t="s">
        <v>407</v>
      </c>
      <c r="C77" t="s">
        <v>408</v>
      </c>
    </row>
    <row r="78" spans="2:3">
      <c r="B78" t="s">
        <v>409</v>
      </c>
      <c r="C78" t="s">
        <v>410</v>
      </c>
    </row>
    <row r="79" spans="2:3">
      <c r="B79" t="s">
        <v>411</v>
      </c>
      <c r="C79" t="s">
        <v>412</v>
      </c>
    </row>
    <row r="80" spans="2:3">
      <c r="B80" t="s">
        <v>413</v>
      </c>
      <c r="C80" t="s">
        <v>414</v>
      </c>
    </row>
    <row r="81" spans="2:3">
      <c r="B81" t="s">
        <v>415</v>
      </c>
      <c r="C81" t="s">
        <v>416</v>
      </c>
    </row>
    <row r="82" spans="2:3">
      <c r="B82" t="s">
        <v>417</v>
      </c>
      <c r="C82" t="s">
        <v>418</v>
      </c>
    </row>
    <row r="83" spans="2:3">
      <c r="B83" t="s">
        <v>419</v>
      </c>
      <c r="C83" t="s">
        <v>420</v>
      </c>
    </row>
    <row r="84" spans="2:3">
      <c r="B84" t="s">
        <v>421</v>
      </c>
      <c r="C84" t="s">
        <v>422</v>
      </c>
    </row>
    <row r="85" spans="2:3">
      <c r="B85" t="s">
        <v>423</v>
      </c>
      <c r="C85" t="s">
        <v>424</v>
      </c>
    </row>
    <row r="86" spans="2:3">
      <c r="B86" t="s">
        <v>425</v>
      </c>
      <c r="C86" t="s">
        <v>426</v>
      </c>
    </row>
    <row r="87" spans="2:3">
      <c r="B87" t="s">
        <v>427</v>
      </c>
      <c r="C87" t="s">
        <v>428</v>
      </c>
    </row>
    <row r="88" spans="2:3">
      <c r="B88" t="s">
        <v>429</v>
      </c>
      <c r="C88" t="s">
        <v>430</v>
      </c>
    </row>
    <row r="89" spans="2:3">
      <c r="B89" t="s">
        <v>431</v>
      </c>
      <c r="C89" t="s">
        <v>432</v>
      </c>
    </row>
    <row r="90" spans="2:3">
      <c r="B90" t="s">
        <v>433</v>
      </c>
      <c r="C90" t="s">
        <v>434</v>
      </c>
    </row>
    <row r="91" spans="2:3">
      <c r="B91" t="s">
        <v>435</v>
      </c>
      <c r="C91" t="s">
        <v>436</v>
      </c>
    </row>
    <row r="92" spans="2:3">
      <c r="B92" t="s">
        <v>437</v>
      </c>
      <c r="C92" t="s">
        <v>438</v>
      </c>
    </row>
    <row r="93" spans="2:3">
      <c r="B93" t="s">
        <v>439</v>
      </c>
      <c r="C93" t="s">
        <v>440</v>
      </c>
    </row>
    <row r="94" spans="2:3">
      <c r="B94" t="s">
        <v>441</v>
      </c>
      <c r="C94" t="s">
        <v>442</v>
      </c>
    </row>
    <row r="95" spans="2:3">
      <c r="B95" t="s">
        <v>443</v>
      </c>
      <c r="C95" t="s">
        <v>444</v>
      </c>
    </row>
    <row r="96" spans="2:3">
      <c r="B96" t="s">
        <v>445</v>
      </c>
      <c r="C96" t="s">
        <v>446</v>
      </c>
    </row>
    <row r="97" spans="2:3">
      <c r="B97" t="s">
        <v>447</v>
      </c>
      <c r="C97" t="s">
        <v>448</v>
      </c>
    </row>
    <row r="98" spans="2:3">
      <c r="B98" t="s">
        <v>449</v>
      </c>
      <c r="C98" t="s">
        <v>450</v>
      </c>
    </row>
    <row r="99" spans="2:3">
      <c r="B99" t="s">
        <v>451</v>
      </c>
      <c r="C99" t="s">
        <v>452</v>
      </c>
    </row>
    <row r="100" spans="2:3">
      <c r="B100" t="s">
        <v>453</v>
      </c>
      <c r="C100" t="s">
        <v>454</v>
      </c>
    </row>
    <row r="101" spans="2:3">
      <c r="B101" t="s">
        <v>455</v>
      </c>
      <c r="C101" t="s">
        <v>456</v>
      </c>
    </row>
    <row r="102" spans="2:3">
      <c r="B102" t="s">
        <v>457</v>
      </c>
      <c r="C102" t="s">
        <v>458</v>
      </c>
    </row>
    <row r="103" spans="2:3">
      <c r="B103" t="s">
        <v>459</v>
      </c>
      <c r="C103" t="s">
        <v>460</v>
      </c>
    </row>
    <row r="104" spans="2:3">
      <c r="B104" t="s">
        <v>461</v>
      </c>
      <c r="C104" t="s">
        <v>462</v>
      </c>
    </row>
    <row r="105" spans="2:3">
      <c r="B105" t="s">
        <v>463</v>
      </c>
      <c r="C105" t="s">
        <v>464</v>
      </c>
    </row>
    <row r="106" spans="2:3">
      <c r="B106" t="s">
        <v>465</v>
      </c>
      <c r="C106" t="s">
        <v>466</v>
      </c>
    </row>
    <row r="107" spans="2:3">
      <c r="B107" t="s">
        <v>467</v>
      </c>
      <c r="C107" t="s">
        <v>468</v>
      </c>
    </row>
    <row r="108" spans="2:3">
      <c r="B108" t="s">
        <v>469</v>
      </c>
      <c r="C108" t="s">
        <v>470</v>
      </c>
    </row>
    <row r="109" spans="2:3">
      <c r="B109" t="s">
        <v>471</v>
      </c>
      <c r="C109" t="s">
        <v>472</v>
      </c>
    </row>
    <row r="110" spans="2:3">
      <c r="B110" t="s">
        <v>473</v>
      </c>
      <c r="C110" t="s">
        <v>474</v>
      </c>
    </row>
    <row r="111" spans="2:3">
      <c r="B111" t="s">
        <v>475</v>
      </c>
      <c r="C111" t="s">
        <v>476</v>
      </c>
    </row>
    <row r="112" spans="2:3">
      <c r="B112" t="s">
        <v>477</v>
      </c>
      <c r="C112" t="s">
        <v>478</v>
      </c>
    </row>
    <row r="113" spans="2:3">
      <c r="B113" t="s">
        <v>479</v>
      </c>
      <c r="C113" t="s">
        <v>480</v>
      </c>
    </row>
    <row r="114" spans="2:3">
      <c r="B114" t="s">
        <v>481</v>
      </c>
      <c r="C114" t="s">
        <v>482</v>
      </c>
    </row>
    <row r="115" spans="2:3">
      <c r="B115" t="s">
        <v>483</v>
      </c>
      <c r="C115" t="s">
        <v>484</v>
      </c>
    </row>
    <row r="116" spans="2:3">
      <c r="B116" t="s">
        <v>485</v>
      </c>
      <c r="C116" t="s">
        <v>486</v>
      </c>
    </row>
    <row r="117" spans="2:3">
      <c r="B117" t="s">
        <v>487</v>
      </c>
      <c r="C117" t="s">
        <v>488</v>
      </c>
    </row>
    <row r="118" spans="2:3">
      <c r="B118" t="s">
        <v>489</v>
      </c>
      <c r="C118" t="s">
        <v>490</v>
      </c>
    </row>
    <row r="119" spans="2:3">
      <c r="B119" t="s">
        <v>491</v>
      </c>
      <c r="C119" t="s">
        <v>492</v>
      </c>
    </row>
    <row r="120" spans="2:3">
      <c r="B120" t="s">
        <v>493</v>
      </c>
      <c r="C120" t="s">
        <v>494</v>
      </c>
    </row>
    <row r="121" spans="2:3">
      <c r="B121" t="s">
        <v>495</v>
      </c>
      <c r="C121" t="s">
        <v>496</v>
      </c>
    </row>
    <row r="122" spans="2:3">
      <c r="B122" t="s">
        <v>497</v>
      </c>
      <c r="C122" t="s">
        <v>498</v>
      </c>
    </row>
    <row r="123" spans="2:3">
      <c r="B123" t="s">
        <v>499</v>
      </c>
      <c r="C123" t="s">
        <v>500</v>
      </c>
    </row>
    <row r="124" spans="2:3">
      <c r="B124" t="s">
        <v>501</v>
      </c>
      <c r="C124" t="s">
        <v>502</v>
      </c>
    </row>
    <row r="125" spans="2:3">
      <c r="B125" t="s">
        <v>503</v>
      </c>
      <c r="C125" t="s">
        <v>504</v>
      </c>
    </row>
    <row r="126" spans="2:3">
      <c r="B126" t="s">
        <v>505</v>
      </c>
      <c r="C126" t="s">
        <v>506</v>
      </c>
    </row>
    <row r="127" spans="2:3">
      <c r="B127" t="s">
        <v>507</v>
      </c>
      <c r="C127" t="s">
        <v>508</v>
      </c>
    </row>
    <row r="128" spans="2:3">
      <c r="B128" t="s">
        <v>509</v>
      </c>
      <c r="C128" t="s">
        <v>510</v>
      </c>
    </row>
    <row r="129" spans="2:3">
      <c r="B129" t="s">
        <v>511</v>
      </c>
      <c r="C129" t="s">
        <v>512</v>
      </c>
    </row>
    <row r="130" spans="2:3">
      <c r="B130" t="s">
        <v>513</v>
      </c>
      <c r="C130" t="s">
        <v>514</v>
      </c>
    </row>
    <row r="131" spans="2:3">
      <c r="B131" t="s">
        <v>515</v>
      </c>
      <c r="C131" t="s">
        <v>516</v>
      </c>
    </row>
    <row r="132" spans="2:3">
      <c r="B132" t="s">
        <v>517</v>
      </c>
      <c r="C132" t="s">
        <v>518</v>
      </c>
    </row>
    <row r="133" spans="2:3">
      <c r="B133" t="s">
        <v>519</v>
      </c>
      <c r="C133" t="s">
        <v>520</v>
      </c>
    </row>
    <row r="134" spans="2:3">
      <c r="B134" t="s">
        <v>521</v>
      </c>
      <c r="C134" t="s">
        <v>522</v>
      </c>
    </row>
    <row r="135" spans="2:3">
      <c r="B135" t="s">
        <v>523</v>
      </c>
      <c r="C135" t="s">
        <v>524</v>
      </c>
    </row>
    <row r="136" spans="2:3">
      <c r="B136" t="s">
        <v>525</v>
      </c>
      <c r="C136" t="s">
        <v>526</v>
      </c>
    </row>
    <row r="137" spans="2:3">
      <c r="B137" t="s">
        <v>527</v>
      </c>
      <c r="C137" t="s">
        <v>528</v>
      </c>
    </row>
    <row r="138" spans="2:3">
      <c r="B138" t="s">
        <v>529</v>
      </c>
      <c r="C138" t="s">
        <v>530</v>
      </c>
    </row>
    <row r="139" spans="2:3">
      <c r="B139" t="s">
        <v>531</v>
      </c>
      <c r="C139" t="s">
        <v>532</v>
      </c>
    </row>
    <row r="140" spans="2:3">
      <c r="B140" t="s">
        <v>533</v>
      </c>
      <c r="C140" t="s">
        <v>534</v>
      </c>
    </row>
    <row r="141" spans="2:3">
      <c r="B141" t="s">
        <v>535</v>
      </c>
      <c r="C141" t="s">
        <v>536</v>
      </c>
    </row>
    <row r="142" spans="2:3">
      <c r="B142" t="s">
        <v>537</v>
      </c>
      <c r="C142" t="s">
        <v>538</v>
      </c>
    </row>
    <row r="143" spans="2:3">
      <c r="B143" t="s">
        <v>539</v>
      </c>
      <c r="C143" t="s">
        <v>540</v>
      </c>
    </row>
    <row r="144" spans="2:3">
      <c r="B144" t="s">
        <v>541</v>
      </c>
      <c r="C144" t="s">
        <v>542</v>
      </c>
    </row>
    <row r="145" spans="2:3">
      <c r="B145" t="s">
        <v>543</v>
      </c>
      <c r="C145" t="s">
        <v>544</v>
      </c>
    </row>
    <row r="146" spans="2:3">
      <c r="B146" t="s">
        <v>545</v>
      </c>
      <c r="C146" t="s">
        <v>546</v>
      </c>
    </row>
    <row r="147" spans="2:3">
      <c r="B147" t="s">
        <v>547</v>
      </c>
      <c r="C147" t="s">
        <v>548</v>
      </c>
    </row>
    <row r="148" spans="2:3">
      <c r="B148" t="s">
        <v>549</v>
      </c>
      <c r="C148" t="s">
        <v>550</v>
      </c>
    </row>
    <row r="149" spans="2:3">
      <c r="B149" t="s">
        <v>551</v>
      </c>
      <c r="C149" t="s">
        <v>552</v>
      </c>
    </row>
    <row r="150" spans="2:3">
      <c r="B150" t="s">
        <v>553</v>
      </c>
      <c r="C150" t="s">
        <v>554</v>
      </c>
    </row>
    <row r="151" spans="2:3">
      <c r="B151" t="s">
        <v>555</v>
      </c>
      <c r="C151" t="s">
        <v>556</v>
      </c>
    </row>
    <row r="152" spans="2:3">
      <c r="B152" t="s">
        <v>557</v>
      </c>
      <c r="C152" t="s">
        <v>558</v>
      </c>
    </row>
    <row r="153" spans="2:3">
      <c r="B153" t="s">
        <v>559</v>
      </c>
      <c r="C153" t="s">
        <v>560</v>
      </c>
    </row>
    <row r="154" spans="2:3">
      <c r="B154" t="s">
        <v>561</v>
      </c>
      <c r="C154" t="s">
        <v>562</v>
      </c>
    </row>
    <row r="155" spans="2:3">
      <c r="B155" t="s">
        <v>563</v>
      </c>
      <c r="C155" t="s">
        <v>564</v>
      </c>
    </row>
    <row r="156" spans="2:3">
      <c r="B156" t="s">
        <v>565</v>
      </c>
      <c r="C156" t="s">
        <v>566</v>
      </c>
    </row>
    <row r="157" spans="2:3">
      <c r="B157" t="s">
        <v>567</v>
      </c>
      <c r="C157" t="s">
        <v>568</v>
      </c>
    </row>
    <row r="158" spans="2:3">
      <c r="B158" t="s">
        <v>569</v>
      </c>
      <c r="C158" t="s">
        <v>570</v>
      </c>
    </row>
    <row r="159" spans="2:3">
      <c r="B159" t="s">
        <v>571</v>
      </c>
      <c r="C159" t="s">
        <v>572</v>
      </c>
    </row>
    <row r="160" spans="2:3">
      <c r="B160" t="s">
        <v>573</v>
      </c>
      <c r="C160" t="s">
        <v>574</v>
      </c>
    </row>
    <row r="161" spans="2:3">
      <c r="B161" t="s">
        <v>575</v>
      </c>
      <c r="C161" t="s">
        <v>576</v>
      </c>
    </row>
    <row r="162" spans="2:3">
      <c r="B162" t="s">
        <v>577</v>
      </c>
      <c r="C162" t="s">
        <v>578</v>
      </c>
    </row>
    <row r="163" spans="2:3">
      <c r="B163" t="s">
        <v>579</v>
      </c>
      <c r="C163" t="s">
        <v>580</v>
      </c>
    </row>
    <row r="164" spans="2:3">
      <c r="B164" t="s">
        <v>581</v>
      </c>
      <c r="C164" t="s">
        <v>582</v>
      </c>
    </row>
    <row r="165" spans="2:3">
      <c r="B165" t="s">
        <v>583</v>
      </c>
      <c r="C165" t="s">
        <v>584</v>
      </c>
    </row>
    <row r="166" spans="2:3">
      <c r="B166" t="s">
        <v>585</v>
      </c>
      <c r="C166" t="s">
        <v>586</v>
      </c>
    </row>
    <row r="167" spans="2:3">
      <c r="B167" t="s">
        <v>587</v>
      </c>
      <c r="C167" t="s">
        <v>588</v>
      </c>
    </row>
    <row r="168" spans="2:3">
      <c r="B168" t="s">
        <v>589</v>
      </c>
      <c r="C168" t="s">
        <v>590</v>
      </c>
    </row>
    <row r="169" spans="2:3">
      <c r="B169" t="s">
        <v>591</v>
      </c>
      <c r="C169" t="s">
        <v>592</v>
      </c>
    </row>
    <row r="170" spans="2:3">
      <c r="B170" t="s">
        <v>593</v>
      </c>
      <c r="C170" t="s">
        <v>594</v>
      </c>
    </row>
    <row r="171" spans="2:3">
      <c r="B171" t="s">
        <v>595</v>
      </c>
      <c r="C171" t="s">
        <v>596</v>
      </c>
    </row>
    <row r="172" spans="2:3">
      <c r="B172" t="s">
        <v>597</v>
      </c>
      <c r="C172" t="s">
        <v>598</v>
      </c>
    </row>
    <row r="173" spans="2:3">
      <c r="B173" t="s">
        <v>599</v>
      </c>
      <c r="C173" t="s">
        <v>600</v>
      </c>
    </row>
    <row r="174" spans="2:3">
      <c r="B174" t="s">
        <v>601</v>
      </c>
      <c r="C174" t="s">
        <v>602</v>
      </c>
    </row>
    <row r="175" spans="2:3">
      <c r="B175" t="s">
        <v>603</v>
      </c>
      <c r="C175" t="s">
        <v>604</v>
      </c>
    </row>
    <row r="176" spans="2:3">
      <c r="B176" t="s">
        <v>605</v>
      </c>
      <c r="C176" t="s">
        <v>606</v>
      </c>
    </row>
    <row r="177" spans="2:3">
      <c r="B177" t="s">
        <v>607</v>
      </c>
      <c r="C177" t="s">
        <v>608</v>
      </c>
    </row>
    <row r="178" spans="2:3">
      <c r="B178" t="s">
        <v>609</v>
      </c>
      <c r="C178" t="s">
        <v>610</v>
      </c>
    </row>
    <row r="179" spans="2:3">
      <c r="B179" t="s">
        <v>611</v>
      </c>
      <c r="C179" t="s">
        <v>612</v>
      </c>
    </row>
    <row r="180" spans="2:3">
      <c r="B180" t="s">
        <v>613</v>
      </c>
      <c r="C180" t="s">
        <v>614</v>
      </c>
    </row>
    <row r="181" spans="2:3">
      <c r="B181" t="s">
        <v>615</v>
      </c>
    </row>
    <row r="182" spans="2:3">
      <c r="B182" t="s">
        <v>616</v>
      </c>
    </row>
    <row r="183" spans="2:3">
      <c r="B183" t="s">
        <v>617</v>
      </c>
    </row>
    <row r="184" spans="2:3">
      <c r="B184" t="s">
        <v>618</v>
      </c>
    </row>
    <row r="185" spans="2:3">
      <c r="B185" t="s">
        <v>619</v>
      </c>
    </row>
    <row r="186" spans="2:3">
      <c r="B186" t="s">
        <v>620</v>
      </c>
    </row>
    <row r="187" spans="2:3">
      <c r="B187" t="s">
        <v>621</v>
      </c>
    </row>
    <row r="188" spans="2:3">
      <c r="B188" t="s">
        <v>622</v>
      </c>
    </row>
    <row r="189" spans="2:3">
      <c r="B189" t="s">
        <v>623</v>
      </c>
    </row>
    <row r="190" spans="2:3">
      <c r="B190" t="s">
        <v>624</v>
      </c>
    </row>
    <row r="191" spans="2:3">
      <c r="B191" t="s">
        <v>625</v>
      </c>
    </row>
    <row r="192" spans="2:3">
      <c r="B192" t="s">
        <v>626</v>
      </c>
    </row>
    <row r="193" spans="2:2">
      <c r="B193" t="s">
        <v>627</v>
      </c>
    </row>
    <row r="194" spans="2:2">
      <c r="B194" t="s">
        <v>628</v>
      </c>
    </row>
    <row r="195" spans="2:2">
      <c r="B195" t="s">
        <v>629</v>
      </c>
    </row>
    <row r="196" spans="2:2">
      <c r="B196" t="s">
        <v>630</v>
      </c>
    </row>
    <row r="197" spans="2:2">
      <c r="B197" t="s">
        <v>631</v>
      </c>
    </row>
    <row r="198" spans="2:2">
      <c r="B198" t="s">
        <v>632</v>
      </c>
    </row>
    <row r="199" spans="2:2">
      <c r="B199" t="s">
        <v>633</v>
      </c>
    </row>
    <row r="200" spans="2:2">
      <c r="B200" t="s">
        <v>634</v>
      </c>
    </row>
    <row r="201" spans="2:2">
      <c r="B201" t="s">
        <v>635</v>
      </c>
    </row>
    <row r="202" spans="2:2">
      <c r="B202" t="s">
        <v>636</v>
      </c>
    </row>
    <row r="203" spans="2:2">
      <c r="B203" t="s">
        <v>637</v>
      </c>
    </row>
    <row r="204" spans="2:2">
      <c r="B204" t="s">
        <v>638</v>
      </c>
    </row>
    <row r="205" spans="2:2">
      <c r="B205" t="s">
        <v>639</v>
      </c>
    </row>
    <row r="206" spans="2:2">
      <c r="B206" t="s">
        <v>640</v>
      </c>
    </row>
    <row r="207" spans="2:2">
      <c r="B207" t="s">
        <v>641</v>
      </c>
    </row>
    <row r="208" spans="2:2">
      <c r="B208" t="s">
        <v>642</v>
      </c>
    </row>
    <row r="209" spans="2:2">
      <c r="B209" t="s">
        <v>643</v>
      </c>
    </row>
    <row r="210" spans="2:2">
      <c r="B210" t="s">
        <v>644</v>
      </c>
    </row>
    <row r="211" spans="2:2">
      <c r="B211" t="s">
        <v>645</v>
      </c>
    </row>
    <row r="212" spans="2:2">
      <c r="B212" t="s">
        <v>646</v>
      </c>
    </row>
    <row r="213" spans="2:2">
      <c r="B213" t="s">
        <v>647</v>
      </c>
    </row>
    <row r="214" spans="2:2">
      <c r="B214" t="s">
        <v>648</v>
      </c>
    </row>
    <row r="215" spans="2:2">
      <c r="B215" t="s">
        <v>649</v>
      </c>
    </row>
    <row r="216" spans="2:2">
      <c r="B216" t="s">
        <v>650</v>
      </c>
    </row>
    <row r="217" spans="2:2">
      <c r="B217" t="s">
        <v>651</v>
      </c>
    </row>
    <row r="218" spans="2:2">
      <c r="B218" t="s">
        <v>652</v>
      </c>
    </row>
    <row r="219" spans="2:2">
      <c r="B219" t="s">
        <v>653</v>
      </c>
    </row>
    <row r="220" spans="2:2">
      <c r="B220" t="s">
        <v>654</v>
      </c>
    </row>
    <row r="221" spans="2:2">
      <c r="B221" t="s">
        <v>655</v>
      </c>
    </row>
    <row r="222" spans="2:2">
      <c r="B222" t="s">
        <v>656</v>
      </c>
    </row>
    <row r="223" spans="2:2">
      <c r="B223" t="s">
        <v>657</v>
      </c>
    </row>
    <row r="224" spans="2:2">
      <c r="B224" t="s">
        <v>658</v>
      </c>
    </row>
    <row r="225" spans="2:2">
      <c r="B225" t="s">
        <v>659</v>
      </c>
    </row>
    <row r="226" spans="2:2">
      <c r="B226" t="s">
        <v>660</v>
      </c>
    </row>
    <row r="227" spans="2:2">
      <c r="B227" t="s">
        <v>661</v>
      </c>
    </row>
    <row r="228" spans="2:2">
      <c r="B228" t="s">
        <v>662</v>
      </c>
    </row>
    <row r="229" spans="2:2">
      <c r="B229" t="s">
        <v>663</v>
      </c>
    </row>
    <row r="230" spans="2:2">
      <c r="B230" t="s">
        <v>664</v>
      </c>
    </row>
    <row r="231" spans="2:2">
      <c r="B231" t="s">
        <v>665</v>
      </c>
    </row>
    <row r="232" spans="2:2">
      <c r="B232" t="s">
        <v>666</v>
      </c>
    </row>
    <row r="233" spans="2:2">
      <c r="B233" t="s">
        <v>667</v>
      </c>
    </row>
    <row r="234" spans="2:2">
      <c r="B234" t="s">
        <v>668</v>
      </c>
    </row>
    <row r="235" spans="2:2">
      <c r="B235" t="s">
        <v>669</v>
      </c>
    </row>
    <row r="236" spans="2:2">
      <c r="B236" t="s">
        <v>670</v>
      </c>
    </row>
    <row r="237" spans="2:2">
      <c r="B237" t="s">
        <v>671</v>
      </c>
    </row>
    <row r="238" spans="2:2">
      <c r="B238" t="s">
        <v>672</v>
      </c>
    </row>
    <row r="239" spans="2:2">
      <c r="B239" t="s">
        <v>673</v>
      </c>
    </row>
    <row r="240" spans="2:2">
      <c r="B240" t="s">
        <v>674</v>
      </c>
    </row>
    <row r="241" spans="2:2">
      <c r="B241" t="s">
        <v>675</v>
      </c>
    </row>
    <row r="242" spans="2:2">
      <c r="B242" t="s">
        <v>676</v>
      </c>
    </row>
    <row r="243" spans="2:2">
      <c r="B243" t="s">
        <v>677</v>
      </c>
    </row>
    <row r="244" spans="2:2">
      <c r="B244" t="s">
        <v>678</v>
      </c>
    </row>
    <row r="245" spans="2:2">
      <c r="B245" t="s">
        <v>679</v>
      </c>
    </row>
    <row r="246" spans="2:2">
      <c r="B246" t="s">
        <v>680</v>
      </c>
    </row>
    <row r="247" spans="2:2">
      <c r="B247" t="s">
        <v>681</v>
      </c>
    </row>
    <row r="248" spans="2:2">
      <c r="B248" t="s">
        <v>682</v>
      </c>
    </row>
    <row r="249" spans="2:2">
      <c r="B249" t="s">
        <v>683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IFRS16-Cuadros</vt:lpstr>
      <vt:lpstr>IFRS16-PasiPorArre</vt:lpstr>
      <vt:lpstr>IFRS16-InfoActiDereUso</vt:lpstr>
      <vt:lpstr>IFRS16-InfoAnalArreFina</vt:lpstr>
      <vt:lpstr>IFRS16-InfoAnalArreOper</vt:lpstr>
      <vt:lpstr>Codigo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Daniel San Martin (DBNeTCorp)</dc:creator>
  <cp:lastModifiedBy>Waldo González</cp:lastModifiedBy>
  <dcterms:created xsi:type="dcterms:W3CDTF">2013-03-21T17:58:38Z</dcterms:created>
  <dcterms:modified xsi:type="dcterms:W3CDTF">2024-06-19T17:33:19Z</dcterms:modified>
</cp:coreProperties>
</file>