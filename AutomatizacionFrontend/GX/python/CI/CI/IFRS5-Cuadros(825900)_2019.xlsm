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ime\Desktop\Jaime\TESTING\Testing CI 2023\svs-cl-ci-2023-01-02\"/>
    </mc:Choice>
  </mc:AlternateContent>
  <xr:revisionPtr revIDLastSave="0" documentId="13_ncr:1_{94336E8B-8A88-4436-B991-FD727B6D8E8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FRS5-Cuadros" sheetId="1" r:id="rId1"/>
    <sheet name="IFRS5-AnalImpoDisc" sheetId="3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" i="1" l="1"/>
  <c r="K13" i="1" l="1"/>
  <c r="J13" i="1"/>
  <c r="I13" i="1"/>
  <c r="H13" i="1"/>
  <c r="I23" i="1" l="1"/>
  <c r="I18" i="1"/>
  <c r="H23" i="1" l="1"/>
  <c r="K25" i="1" l="1"/>
  <c r="J25" i="1"/>
  <c r="I25" i="1"/>
  <c r="K18" i="1" l="1"/>
  <c r="J18" i="1"/>
  <c r="H18" i="1"/>
  <c r="K23" i="1"/>
  <c r="J23" i="1"/>
</calcChain>
</file>

<file path=xl/sharedStrings.xml><?xml version="1.0" encoding="utf-8"?>
<sst xmlns="http://schemas.openxmlformats.org/spreadsheetml/2006/main" count="257" uniqueCount="96">
  <si>
    <t xml:space="preserve"> </t>
  </si>
  <si>
    <t xml:space="preserve">    Información a revelar sobre activos no corrientes mantenidos para la venta y operaciones discontinuadas [bloque de texto]  </t>
  </si>
  <si>
    <t xml:space="preserve">      Flujos de efectivo procedentes de operaciones continuadas y discontinuadas [sinopsis]  </t>
  </si>
  <si>
    <t xml:space="preserve">          Flujos de efectivo procedentes de (utilizados en) actividades de operación, operaciones continuadas [Número]</t>
  </si>
  <si>
    <t xml:space="preserve">          Flujos de efectivo procedentes de (utilizados en) actividades de operación, operaciones discontinuadas [Número]</t>
  </si>
  <si>
    <t xml:space="preserve">          Flujos de efectivo procedentes de (utilizados en) actividades de operación [Número]</t>
  </si>
  <si>
    <t xml:space="preserve">          Flujos de efectivo procedentes de (utilizados en) actividades de inversión, operaciones continuadas [Número]</t>
  </si>
  <si>
    <t xml:space="preserve">          Flujos de efectivo procedentes (utilizados en) actividades de inversión, operaciones discontinuadas [Número]</t>
  </si>
  <si>
    <t xml:space="preserve">          Flujos de efectivo procedentes de (utilizados en) actividades de inversión [Número]</t>
  </si>
  <si>
    <t xml:space="preserve">          Flujos de efectivo procedentes de (utilizados en) actividades de financiación, operaciones continuadas [Número]</t>
  </si>
  <si>
    <t xml:space="preserve">          Flujos de efectivo procedentes de (utilizados en) actividades de financiación, operaciones discontinuadas [Número]</t>
  </si>
  <si>
    <t xml:space="preserve">      Ingresos de operaciones continuadas atribuibles a los propietarios de la controladora [Número]</t>
  </si>
  <si>
    <t xml:space="preserve">      Ingresos de operaciones discontinuadas atribuibles a los propietarios de la controladora [Número]</t>
  </si>
  <si>
    <t xml:space="preserve">      Ganancia (pérdida) por operaciones continuadas atribuible a participaciones no controladoras [Número]</t>
  </si>
  <si>
    <t xml:space="preserve">      Ganancia (pérdida) por operaciones discontinuadas atribuible a participaciones no controladoras [Número]</t>
  </si>
  <si>
    <t xml:space="preserve">      Explicación de la naturaleza y ajustes a importes anteriormente presentados en operaciones discontinuadas [Texto]</t>
  </si>
  <si>
    <t xml:space="preserve">      Descripción de los activos no corrientes o grupos de activos para su disposición mantenidos para la venta que fueron vendido o reclasificados [Texto]</t>
  </si>
  <si>
    <t xml:space="preserve">      Explicación de hechos y circunstancias de venta o reclasificación y disposiciones esperadas, forma y plazos [Texto]</t>
  </si>
  <si>
    <t xml:space="preserve">      Ganancias (pérdidas) por incrementos posteriores en el valor razonable menos los costos de venta que no exceden las pérdidas por deterioro del valor acumulado reconocidas o disminuciones del valor razonable menos los costos de venta [Número]</t>
  </si>
  <si>
    <t xml:space="preserve">      Descripción del segmento en el que se presenta el activo no corriente o grupos de activos para su disposición mantenidos para la venta [Texto]</t>
  </si>
  <si>
    <t xml:space="preserve">      Explicación del efecto de cambios en el plan de venta de activos no corrientes o grupos de activos para su disposición mantenidos para la venta en los resultados de las operaciones del periodo corriente [Texto]</t>
  </si>
  <si>
    <t xml:space="preserve">      Explicación del efecto de cambios en el plan de venta de activos no corrientes o grupos de activos para su disposición mantenidos para la venta en los resultados de las operaciones de periodos anteriores [Texto]</t>
  </si>
  <si>
    <t xml:space="preserve">      Descripción de cambios en el plan de venta de activos no corrientes o grupos de activos para su disposición mantenidos para la venta [Texto]</t>
  </si>
  <si>
    <t>Periodo Actual</t>
  </si>
  <si>
    <t>Periodo Anterior</t>
  </si>
  <si>
    <t>Ultimo Trimestre Actual</t>
  </si>
  <si>
    <t>Ultimo Trimestre Anterior</t>
  </si>
  <si>
    <t>full_ifrs-cor_2015-03-11.xsd#ifrs-full_DisclosureOfNoncurrentAssetsHeldForSaleAndDiscontinuedOperationsExplanatory</t>
  </si>
  <si>
    <t>full_ifrs-cor_2015-03-11.xsd#ifrs-full_TaxExpenseRelatingToProfitLossFromOrdinaryActivitiesOfDiscontinuedOperations</t>
  </si>
  <si>
    <t>full_ifrs-cor_2015-03-11.xsd#ifrs-full_GainLossRecognisedOnMeasurementToFairValueLessCostsToSellOrOnDisposalOfAssetsOrDisposalGroupsConstitutingDiscontinuedOperation</t>
  </si>
  <si>
    <t>full_ifrs-cor_2015-03-11.xsd#ifrs-full_TaxExpenseRelatingToGainLossOnDiscontinuance</t>
  </si>
  <si>
    <t>full_ifrs-cor_2015-03-11.xsd#ifrs-full_CashFlowsFromUsedInOperatingActivitiesContinuingOperations</t>
  </si>
  <si>
    <t>full_ifrs-cor_2015-03-11.xsd#ifrs-full_CashFlowsFromUsedInOperatingActivitiesDiscontinuedOperations</t>
  </si>
  <si>
    <t>full_ifrs-cor_2015-03-11.xsd#ifrs-full_CashFlowsFromUsedInOperatingActivities</t>
  </si>
  <si>
    <t>full_ifrs-cor_2015-03-11.xsd#ifrs-full_CashFlowsFromUsedInInvestingActivitiesAbstract</t>
  </si>
  <si>
    <t>full_ifrs-cor_2015-03-11.xsd#ifrs-full_CashFlowsFromUsedInInvestingActivitiesContinuingOperations</t>
  </si>
  <si>
    <t>full_ifrs-cor_2015-03-11.xsd#ifrs-full_CashFlowsFromUsedInInvestingActivitiesDiscontinuedOperations</t>
  </si>
  <si>
    <t>full_ifrs-cor_2015-03-11.xsd#ifrs-full_CashFlowsFromUsedInInvestingActivities</t>
  </si>
  <si>
    <t>full_ifrs-cor_2015-03-11.xsd#ifrs-full_CashFlowsFromUsedInFinancingActivitiesContinuingOperations</t>
  </si>
  <si>
    <t>full_ifrs-cor_2015-03-11.xsd#ifrs-full_CashFlowsFromUsedInFinancingActivitiesDiscontinuedOperations</t>
  </si>
  <si>
    <t>full_ifrs-cor_2015-03-11.xsd#ifrs-full_CashFlowsFromUsedInFinancingActivities</t>
  </si>
  <si>
    <t>full_ifrs-cor_2015-03-11.xsd#ifrs-full_IncreaseDecreaseInCashAndCashEquivalentsDiscontinuedOperations</t>
  </si>
  <si>
    <t>full_ifrs-cor_2015-03-11.xsd#ifrs-full_IncomeFromContinuingOperationsAttributableToOwnersOfParent</t>
  </si>
  <si>
    <t>full_ifrs-cor_2015-03-11.xsd#ifrs-full_IncomeFromDiscontinuedOperationsAttributableToOwnersOfParent</t>
  </si>
  <si>
    <t>full_ifrs-cor_2015-03-11.xsd#ifrs-full_ProfitLossFromContinuingOperationsAttributableToNoncontrollingInterests</t>
  </si>
  <si>
    <t>full_ifrs-cor_2015-03-11.xsd#ifrs-full_ProfitLossFromDiscontinuedOperationsAttributableToNoncontrollingInterests</t>
  </si>
  <si>
    <t>full_ifrs-cor_2015-03-11.xsd#ifrs-full_ExplanationOfNatureAndAdjustmentsToAmountsPreviouslyPresentedInDiscontinuedOperations</t>
  </si>
  <si>
    <t>full_ifrs-cor_2015-03-11.xsd#ifrs-full_DescriptionOfNoncurrentAssetOrDisposalGroupHeldForSaleWhichWereSoldOrReclassified</t>
  </si>
  <si>
    <t>full_ifrs-cor_2015-03-11.xsd#ifrs-full_ExplanationOfFactsAndCircumstancesOfSaleOrReclassificationAndExpectedDisposalMannerAndTiming</t>
  </si>
  <si>
    <t>full_ifrs-cor_2015-03-11.xsd#ifrs-full_GainsLossesOnSubsequentIncreaseInFairValueLessCostsToSellNotInExcessOfRecognisedCumulativeImpairmentLoss</t>
  </si>
  <si>
    <t>full_ifrs-cor_2015-03-11.xsd#ifrs-full_SegmentInWhichNoncurrentAssetOrDisposalGroupHeldForSaleIsPresented</t>
  </si>
  <si>
    <t>full_ifrs-cor_2015-03-11.xsd#ifrs-full_ExplanationOfEffectOfChangesInPlanToSellNoncurrentAssetOrDisposalGroupHeldForSaleOnResultsOfOperationsForCurrentPeriod</t>
  </si>
  <si>
    <t>full_ifrs-cor_2015-03-11.xsd#ifrs-full_ExplanationOfEffectOfChangesInPlanToSellNoncurrentAssetOrDisposalGroupHeldForSaleOnResultsOfOperationsForPriorPeriod</t>
  </si>
  <si>
    <t>full_ifrs-cor_2015-03-11.xsd#ifrs-full_DescriptionOfChangesInPlanToSellNoncurrentAssetOrDisposalGroupHeldForSale</t>
  </si>
  <si>
    <t>9.0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</si>
  <si>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columnas marcadas con línea punteada roja y con fondo verde indican las posiciones donde es posible agregar elementos.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sz val="10"/>
        <color indexed="10"/>
        <rFont val="Calibri"/>
        <family val="2"/>
      </rPr>
      <t xml:space="preserve">-Si se presiona el botón </t>
    </r>
    <r>
      <rPr>
        <b/>
        <sz val="10"/>
        <color indexed="10"/>
        <rFont val="Calibri"/>
        <family val="2"/>
      </rPr>
      <t>'Copiar Columna'</t>
    </r>
    <r>
      <rPr>
        <sz val="10"/>
        <color indexed="10"/>
        <rFont val="Calibri"/>
        <family val="2"/>
      </rPr>
      <t xml:space="preserve"> se copiará una columna  a la derecha de la columna actualmente seleccionada. </t>
    </r>
    <r>
      <rPr>
        <sz val="10"/>
        <rFont val="Calibri"/>
        <family val="2"/>
      </rPr>
      <t xml:space="preserve">
-Edite las columnas</t>
    </r>
    <r>
      <rPr>
        <b/>
        <sz val="10"/>
        <rFont val="Calibri"/>
        <family val="2"/>
      </rPr>
      <t xml:space="preserve"> coloreadas verde </t>
    </r>
    <r>
      <rPr>
        <sz val="10"/>
        <rFont val="Calibri"/>
        <family val="2"/>
      </rPr>
      <t xml:space="preserve">de acuerdo a sus necesidades.
-Las columnas verdes pueden ser editadas, eliminadas o duplicadas, así puede agregar mas detalle donde corresponda. Asegúrese de copiar la columna completa si desea duplicar un elemento (Se recomienda utilizar el botón 'Copiar Columna').
-Las columnas marcadas en plomo </t>
    </r>
    <r>
      <rPr>
        <b/>
        <sz val="10"/>
        <rFont val="Calibri"/>
        <family val="2"/>
      </rPr>
      <t>no deben ser editadas, eliminadas ni movidas.</t>
    </r>
  </si>
  <si>
    <t>Elimine la(s) columnas en verde que no apliquen para usted</t>
  </si>
  <si>
    <t>Cargar hoja:</t>
  </si>
  <si>
    <t>SI</t>
  </si>
  <si>
    <t>DIMENUE</t>
  </si>
  <si>
    <t>DIMEAVA</t>
  </si>
  <si>
    <t>ACT</t>
  </si>
  <si>
    <t>ANT</t>
  </si>
  <si>
    <t>pre_ifrs_5_2018-03-16_role-825900</t>
  </si>
  <si>
    <t>Información a revelar del análisis del importe único de operaciones discontinuas [tabla]</t>
  </si>
  <si>
    <t>full_ifrs-cor_2015-03-11.xsd#ifrs-full_ProfitLossBeforeTax</t>
  </si>
  <si>
    <t>full_ifrs-cor_2015-03-11.xsd#ifrs-full_Revenue</t>
  </si>
  <si>
    <t>full_ifrs-cor_2015-03-11.xsd#ifrs-full_ProfitLossFromDiscontinuedOperations</t>
  </si>
  <si>
    <t>Operaciones discontinuadas [miembro]</t>
  </si>
  <si>
    <t>Operaciones continuadas [miembro]</t>
  </si>
  <si>
    <t>full_ifrs-cor_2014-03-05.xsd#ifrs-full_DiscontinuedOperationsMember</t>
  </si>
  <si>
    <t>full_ifrs-cor_2014-03-05.xsd#ifrs-full_ContinuingOperationsMember</t>
  </si>
  <si>
    <t>full_ifrs-cor_2018-03-16.xsd#ifrs-full_DisclosureOfAnalysisOfSingleAmountOfDiscontinuedOperationsTable</t>
  </si>
  <si>
    <t>full_ifrs-cor_2014-03-05.xsd#ifrs-full_ContinuingAndDiscontinuedOperationsAxis</t>
  </si>
  <si>
    <t>Incrementos (disminuciones) del efectivo y equivalentes al efectivo, operaciones discontinuadas [Número]</t>
  </si>
  <si>
    <t>Flujos de efectivo procedentes de (utilizados en) actividades de financiación [Número]</t>
  </si>
  <si>
    <t xml:space="preserve">Flujos de efectivo procedentes de (utilizados en) actividades de financiación [sinopsis]  </t>
  </si>
  <si>
    <t xml:space="preserve">Flujos de efectivo procedentes de (utilizados en) actividades de inversión [sinopsis]  </t>
  </si>
  <si>
    <t xml:space="preserve">Flujos de efectivo procedentes de (utilizados en) actividades de operación [sinopsis]  </t>
  </si>
  <si>
    <t>Periodo actual</t>
  </si>
  <si>
    <t>Periodo anterior</t>
  </si>
  <si>
    <t>Ganancia (pérdida), antes de impuestos [Número]</t>
  </si>
  <si>
    <t>Ingresos de actividades ordinarias [Número]</t>
  </si>
  <si>
    <t>Gasto por impuestos relacionado con ganancias (pérdidas) procedentes de actividades ordinarias de operaciones discontinuadas [Número]</t>
  </si>
  <si>
    <t>Ganancias (pérdidas) reconocidas por la medición a valor razonable menos los costos de venta o en la disposición de activos o grupos de activos para su disposición que constituyen operaciones discontinuadas [Número]</t>
  </si>
  <si>
    <t>Gasto por impuestos relacionado con ganancias (pérdidas) derivadas de la discontinuación [Número]</t>
  </si>
  <si>
    <t>Ganancia (pérdida) procedente de operaciones discontinuadas [Número]</t>
  </si>
  <si>
    <t>Información a revelar del análisis del importe único de operaciones discontinuas [825900]</t>
  </si>
  <si>
    <t>H</t>
  </si>
  <si>
    <t>A</t>
  </si>
  <si>
    <t>B</t>
  </si>
  <si>
    <t>C</t>
  </si>
  <si>
    <t>D</t>
  </si>
  <si>
    <t>E</t>
  </si>
  <si>
    <t>F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</si>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</sst>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sz val="11"/>
      <color indexed="9"/>
      <name val="Czcionka tekstu podstawowego"/>
      <family val="2"/>
      <charset val="238"/>
    </font>
    <font>
      <b/>
      <sz val="9"/>
      <color indexed="9"/>
      <name val="Verdana"/>
      <family val="2"/>
    </font>
    <font>
      <sz val="9"/>
      <color indexed="8"/>
      <name val="Verdana"/>
      <family val="2"/>
    </font>
    <font>
      <b/>
      <sz val="9"/>
      <name val="Calibri"/>
      <family val="2"/>
      <scheme val="minor"/>
    </font>
    <font>
      <b/>
      <sz val="9"/>
      <name val="Verdana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b/>
      <sz val="10"/>
      <name val="Calibri"/>
      <family val="2"/>
    </font>
    <font>
      <b/>
      <sz val="12"/>
      <name val="Calibri"/>
      <family val="2"/>
      <scheme val="minor"/>
    </font>
    <font>
      <sz val="9"/>
      <color rgb="FFFF0000"/>
      <name val="Verdana"/>
      <family val="2"/>
    </font>
    <font>
      <sz val="9"/>
      <color indexed="9"/>
      <name val="Verdana"/>
      <family val="2"/>
    </font>
    <font>
      <sz val="11"/>
      <name val="Calibri"/>
      <family val="2"/>
      <scheme val="minor"/>
    </font>
    <font>
      <sz val="9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sz val="9"/>
      <color indexed="8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63377788628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>
      <alignment vertical="center"/>
    </xf>
    <xf numFmtId="0" fontId="4" fillId="4" borderId="0" applyNumberFormat="0" applyBorder="0" applyAlignment="0" applyProtection="0"/>
    <xf numFmtId="0" fontId="1" fillId="0" borderId="0" applyNumberFormat="0" applyFill="0" applyBorder="0">
      <alignment vertical="center"/>
    </xf>
    <xf numFmtId="0" fontId="21" fillId="0" borderId="0" applyNumberFormat="0" applyFill="0" applyBorder="0" applyAlignment="0" applyProtection="0"/>
  </cellStyleXfs>
  <cellXfs count="58">
    <xf numFmtId="0" fontId="0" fillId="0" borderId="0" xfId="0"/>
    <xf numFmtId="3" fontId="2" fillId="2" borderId="0" xfId="1" applyNumberFormat="1" applyFont="1" applyFill="1" applyBorder="1">
      <alignment vertical="center"/>
    </xf>
    <xf numFmtId="3" fontId="2" fillId="2" borderId="2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5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3" fontId="2" fillId="2" borderId="8" xfId="1" applyNumberFormat="1" applyFont="1" applyFill="1" applyBorder="1">
      <alignment vertical="center"/>
    </xf>
    <xf numFmtId="0" fontId="3" fillId="2" borderId="8" xfId="0" applyFont="1" applyFill="1" applyBorder="1" applyAlignment="1">
      <alignment horizontal="left" vertical="center" indent="3"/>
    </xf>
    <xf numFmtId="3" fontId="2" fillId="2" borderId="9" xfId="1" applyNumberFormat="1" applyFont="1" applyFill="1" applyBorder="1">
      <alignment vertical="center"/>
    </xf>
    <xf numFmtId="3" fontId="2" fillId="2" borderId="0" xfId="1" applyNumberFormat="1" applyFont="1" applyFill="1" applyBorder="1" applyAlignment="1">
      <alignment vertical="center" wrapText="1"/>
    </xf>
    <xf numFmtId="3" fontId="2" fillId="3" borderId="1" xfId="1" applyNumberFormat="1" applyFont="1" applyFill="1" applyBorder="1">
      <alignment vertical="center"/>
    </xf>
    <xf numFmtId="0" fontId="5" fillId="5" borderId="12" xfId="2" applyFont="1" applyFill="1" applyBorder="1" applyAlignment="1">
      <alignment horizontal="center" vertical="center" wrapText="1"/>
    </xf>
    <xf numFmtId="3" fontId="6" fillId="0" borderId="1" xfId="0" applyNumberFormat="1" applyFont="1" applyBorder="1" applyProtection="1">
      <protection locked="0"/>
    </xf>
    <xf numFmtId="3" fontId="7" fillId="2" borderId="0" xfId="1" applyNumberFormat="1" applyFont="1" applyFill="1" applyBorder="1">
      <alignment vertical="center"/>
    </xf>
    <xf numFmtId="3" fontId="8" fillId="3" borderId="1" xfId="3" applyNumberFormat="1" applyFont="1" applyFill="1" applyBorder="1">
      <alignment vertical="center"/>
    </xf>
    <xf numFmtId="0" fontId="9" fillId="8" borderId="10" xfId="0" applyFont="1" applyFill="1" applyBorder="1"/>
    <xf numFmtId="0" fontId="10" fillId="8" borderId="11" xfId="0" applyFont="1" applyFill="1" applyBorder="1"/>
    <xf numFmtId="0" fontId="11" fillId="9" borderId="13" xfId="0" applyFont="1" applyFill="1" applyBorder="1" applyAlignment="1">
      <alignment horizontal="center" vertical="center" wrapText="1"/>
    </xf>
    <xf numFmtId="0" fontId="16" fillId="9" borderId="13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10" borderId="13" xfId="0" applyFont="1" applyFill="1" applyBorder="1" applyAlignment="1">
      <alignment horizontal="right" vertical="center" wrapText="1"/>
    </xf>
    <xf numFmtId="0" fontId="0" fillId="10" borderId="14" xfId="0" applyFill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5" borderId="10" xfId="2" applyNumberFormat="1" applyFont="1" applyFill="1" applyBorder="1" applyAlignment="1">
      <alignment horizontal="center" vertical="center" wrapText="1"/>
    </xf>
    <xf numFmtId="0" fontId="17" fillId="5" borderId="15" xfId="2" applyNumberFormat="1" applyFont="1" applyFill="1" applyBorder="1" applyAlignment="1">
      <alignment horizontal="center" vertical="center" wrapText="1"/>
    </xf>
    <xf numFmtId="0" fontId="18" fillId="5" borderId="15" xfId="2" applyNumberFormat="1" applyFont="1" applyFill="1" applyBorder="1" applyAlignment="1">
      <alignment horizontal="center" vertical="center" wrapText="1"/>
    </xf>
    <xf numFmtId="0" fontId="18" fillId="5" borderId="1" xfId="2" applyNumberFormat="1" applyFont="1" applyFill="1" applyBorder="1" applyAlignment="1">
      <alignment horizontal="center" vertical="center" wrapText="1"/>
    </xf>
    <xf numFmtId="0" fontId="3" fillId="11" borderId="5" xfId="3" applyFont="1" applyFill="1" applyBorder="1">
      <alignment vertical="center"/>
    </xf>
    <xf numFmtId="0" fontId="8" fillId="11" borderId="0" xfId="3" applyFont="1" applyFill="1" applyBorder="1">
      <alignment vertical="center"/>
    </xf>
    <xf numFmtId="0" fontId="3" fillId="11" borderId="0" xfId="3" applyFont="1" applyFill="1" applyBorder="1">
      <alignment vertical="center"/>
    </xf>
    <xf numFmtId="0" fontId="3" fillId="11" borderId="3" xfId="3" applyFont="1" applyFill="1" applyBorder="1" applyAlignment="1">
      <alignment horizontal="center" vertical="center" wrapText="1"/>
    </xf>
    <xf numFmtId="0" fontId="0" fillId="2" borderId="0" xfId="0" applyFill="1"/>
    <xf numFmtId="0" fontId="19" fillId="11" borderId="0" xfId="3" applyFont="1" applyFill="1" applyBorder="1" applyAlignment="1">
      <alignment vertical="center" wrapText="1"/>
    </xf>
    <xf numFmtId="0" fontId="3" fillId="0" borderId="0" xfId="0" applyFont="1"/>
    <xf numFmtId="0" fontId="3" fillId="2" borderId="5" xfId="0" applyFont="1" applyFill="1" applyBorder="1"/>
    <xf numFmtId="0" fontId="3" fillId="2" borderId="0" xfId="0" applyFont="1" applyFill="1"/>
    <xf numFmtId="0" fontId="20" fillId="2" borderId="0" xfId="0" applyFont="1" applyFill="1"/>
    <xf numFmtId="0" fontId="8" fillId="11" borderId="0" xfId="3" applyFont="1" applyFill="1" applyBorder="1" applyAlignment="1">
      <alignment vertical="center" wrapText="1"/>
    </xf>
    <xf numFmtId="0" fontId="3" fillId="2" borderId="0" xfId="3" applyFont="1" applyFill="1" applyBorder="1">
      <alignment vertical="center"/>
    </xf>
    <xf numFmtId="0" fontId="3" fillId="2" borderId="6" xfId="3" applyFont="1" applyFill="1" applyBorder="1">
      <alignment vertical="center"/>
    </xf>
    <xf numFmtId="0" fontId="3" fillId="2" borderId="5" xfId="0" applyFont="1" applyFill="1" applyBorder="1" applyAlignment="1">
      <alignment vertical="top"/>
    </xf>
    <xf numFmtId="0" fontId="3" fillId="2" borderId="0" xfId="0" applyFont="1" applyFill="1" applyAlignment="1">
      <alignment vertical="top"/>
    </xf>
    <xf numFmtId="0" fontId="3" fillId="2" borderId="0" xfId="2" applyNumberFormat="1" applyFont="1" applyFill="1" applyBorder="1" applyAlignment="1">
      <alignment horizontal="center" vertical="top" wrapText="1"/>
    </xf>
    <xf numFmtId="0" fontId="3" fillId="2" borderId="0" xfId="0" applyFont="1" applyFill="1" applyAlignment="1">
      <alignment vertical="top" wrapText="1"/>
    </xf>
    <xf numFmtId="0" fontId="3" fillId="2" borderId="7" xfId="0" applyFont="1" applyFill="1" applyBorder="1" applyAlignment="1">
      <alignment vertical="top"/>
    </xf>
    <xf numFmtId="0" fontId="3" fillId="2" borderId="8" xfId="0" applyFont="1" applyFill="1" applyBorder="1" applyAlignment="1">
      <alignment vertical="top"/>
    </xf>
    <xf numFmtId="0" fontId="19" fillId="11" borderId="0" xfId="3" applyFont="1" applyFill="1" applyBorder="1">
      <alignment vertical="center"/>
    </xf>
    <xf numFmtId="0" fontId="19" fillId="11" borderId="4" xfId="3" applyFont="1" applyFill="1" applyBorder="1">
      <alignment vertical="center"/>
    </xf>
    <xf numFmtId="0" fontId="3" fillId="2" borderId="11" xfId="0" applyFont="1" applyFill="1" applyBorder="1" applyAlignment="1">
      <alignment vertical="top"/>
    </xf>
    <xf numFmtId="3" fontId="21" fillId="8" borderId="0" xfId="4" applyNumberFormat="1" applyFill="1" applyBorder="1" applyAlignment="1">
      <alignment vertical="center"/>
    </xf>
    <xf numFmtId="3" fontId="8" fillId="7" borderId="1" xfId="3" applyNumberFormat="1" applyFont="1" applyFill="1" applyBorder="1">
      <alignment vertical="center"/>
    </xf>
    <xf numFmtId="3" fontId="22" fillId="6" borderId="1" xfId="0" applyNumberFormat="1" applyFont="1" applyFill="1" applyBorder="1" applyProtection="1">
      <protection locked="0"/>
    </xf>
    <xf numFmtId="3" fontId="3" fillId="3" borderId="1" xfId="0" applyNumberFormat="1" applyFont="1" applyFill="1" applyBorder="1" applyProtection="1">
      <protection locked="0"/>
    </xf>
    <xf numFmtId="0" fontId="19" fillId="11" borderId="6" xfId="3" applyFont="1" applyFill="1" applyBorder="1">
      <alignment vertical="center"/>
    </xf>
    <xf numFmtId="0" fontId="8" fillId="11" borderId="8" xfId="3" applyFont="1" applyFill="1" applyBorder="1" applyAlignment="1">
      <alignment vertical="center" wrapText="1"/>
    </xf>
    <xf numFmtId="0" fontId="3" fillId="2" borderId="0" xfId="0" applyFont="1" applyFill="1" applyAlignment="1">
      <alignment horizontal="left" vertical="top" wrapText="1" indent="1"/>
    </xf>
  </cellXfs>
  <cellStyles count="5">
    <cellStyle name="60% - akcent 1" xfId="2" xr:uid="{00000000-0005-0000-0000-000000000000}"/>
    <cellStyle name="Hipervínculo" xfId="4" builtinId="8"/>
    <cellStyle name="Normal" xfId="0" builtinId="0"/>
    <cellStyle name="Normal 10" xfId="1" xr:uid="{00000000-0005-0000-0000-000003000000}"/>
    <cellStyle name="Normal 12" xfId="3" xr:uid="{00000000-0005-0000-0000-000004000000}"/>
  </cellStyles>
  <dxfs count="1"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1950" y="142876"/>
          <a:ext cx="1356518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5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83569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bnet/xbrl/entregables/parches/parche20190121_v3.7.37/backend/in/base/svs-cl-ci-2019-01-02/xls/IAS1-Cuadros%20(810000)_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AS1-Cuadros"/>
      <sheetName val="IAS1-ValorInscr"/>
      <sheetName val="IAS1-InfoReveSubs"/>
      <sheetName val="IAS1-InfoReveReCa"/>
      <sheetName val="IAS1-InfoReveAcPa"/>
      <sheetName val="IAS1-InfoReveObPo"/>
      <sheetName val="IAS1-ClasCapiAcci"/>
      <sheetName val="IAS1-ResePatr"/>
      <sheetName val="IAS1-InfoAdicDivi"/>
      <sheetName val="IAS1-CompInveCapi"/>
      <sheetName val="IAS1-RemuAudiTabla"/>
      <sheetName val="IAS1-NumePromEmpl"/>
      <sheetName val="Codigo_Actividad"/>
      <sheetName val="IAS1-Cuadros (810000)_201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55"/>
  <sheetViews>
    <sheetView tabSelected="1" topLeftCell="A32" zoomScale="80" zoomScaleNormal="80" workbookViewId="0">
      <selection activeCell="I45" sqref="I45"/>
    </sheetView>
  </sheetViews>
  <sheetFormatPr baseColWidth="10" defaultRowHeight="15"/>
  <cols>
    <col min="1" max="5" width="2.7109375" customWidth="1"/>
    <col min="6" max="6" width="101.85546875" bestFit="1" customWidth="1"/>
    <col min="7" max="7" width="2.7109375" customWidth="1"/>
    <col min="8" max="11" width="16.7109375" customWidth="1"/>
    <col min="12" max="12" width="4.42578125" customWidth="1"/>
  </cols>
  <sheetData>
    <row r="1" spans="1:12" ht="105" customHeight="1">
      <c r="A1" t="s">
        <v>0</v>
      </c>
    </row>
    <row r="2" spans="1:12">
      <c r="G2" s="17" t="s">
        <v>0</v>
      </c>
      <c r="H2" s="18" t="s">
        <v>54</v>
      </c>
    </row>
    <row r="3" spans="1:12">
      <c r="B3" s="2" t="s">
        <v>0</v>
      </c>
      <c r="C3" s="3" t="s">
        <v>0</v>
      </c>
      <c r="D3" s="3" t="s">
        <v>0</v>
      </c>
      <c r="E3" s="3" t="s">
        <v>0</v>
      </c>
      <c r="F3" s="3"/>
      <c r="G3" s="3" t="s">
        <v>0</v>
      </c>
      <c r="H3" s="3"/>
      <c r="I3" s="3"/>
      <c r="J3" s="3"/>
      <c r="K3" s="3"/>
      <c r="L3" s="4"/>
    </row>
    <row r="4" spans="1:12">
      <c r="B4" s="5"/>
      <c r="C4" s="1"/>
      <c r="D4" s="1" t="s">
        <v>0</v>
      </c>
      <c r="E4" s="1" t="s">
        <v>0</v>
      </c>
      <c r="F4" s="1" t="s">
        <v>1</v>
      </c>
      <c r="G4" s="1"/>
      <c r="H4" s="1"/>
      <c r="I4" s="1"/>
      <c r="J4" s="1"/>
      <c r="K4" s="1"/>
      <c r="L4" s="6"/>
    </row>
    <row r="5" spans="1:12">
      <c r="B5" s="5" t="s">
        <v>63</v>
      </c>
      <c r="C5" s="1" t="s">
        <v>27</v>
      </c>
      <c r="D5" s="1" t="s">
        <v>0</v>
      </c>
      <c r="E5" s="1" t="s">
        <v>0</v>
      </c>
      <c r="F5" s="12" t="s">
        <v>88</v>
      </c>
      <c r="G5" s="1"/>
      <c r="H5" s="1"/>
      <c r="I5" s="1"/>
      <c r="J5" s="1"/>
      <c r="K5" s="1"/>
      <c r="L5" s="6"/>
    </row>
    <row r="6" spans="1:12">
      <c r="B6" s="5"/>
      <c r="C6" s="1"/>
      <c r="D6" s="1"/>
      <c r="E6" s="1"/>
      <c r="F6" s="1"/>
      <c r="G6" s="1"/>
      <c r="H6" s="1"/>
      <c r="I6" s="1"/>
      <c r="J6" s="1"/>
      <c r="K6" s="1"/>
      <c r="L6" s="6"/>
    </row>
    <row r="7" spans="1:12">
      <c r="B7" s="5"/>
      <c r="C7" s="1"/>
      <c r="D7" s="1"/>
      <c r="E7" s="1"/>
      <c r="F7" s="51" t="s">
        <v>64</v>
      </c>
      <c r="G7" s="1"/>
      <c r="H7" s="1"/>
      <c r="I7" s="1"/>
      <c r="J7" s="1"/>
      <c r="K7" s="1"/>
      <c r="L7" s="6"/>
    </row>
    <row r="8" spans="1:12">
      <c r="B8" s="5"/>
      <c r="C8" s="1"/>
      <c r="D8" s="1"/>
      <c r="E8" s="1"/>
      <c r="F8" s="1"/>
      <c r="G8" s="1"/>
      <c r="H8" s="1"/>
      <c r="I8" s="1"/>
      <c r="J8" s="1"/>
      <c r="K8" s="1"/>
      <c r="L8" s="6"/>
    </row>
    <row r="9" spans="1:12">
      <c r="B9" s="5"/>
      <c r="C9" s="1"/>
      <c r="D9" s="1"/>
      <c r="E9" s="1"/>
      <c r="F9" s="15" t="s">
        <v>2</v>
      </c>
      <c r="G9" s="1"/>
      <c r="H9" s="1"/>
      <c r="I9" s="1"/>
      <c r="J9" s="1"/>
      <c r="K9" s="1"/>
      <c r="L9" s="6"/>
    </row>
    <row r="10" spans="1:12">
      <c r="B10" s="5"/>
      <c r="C10" s="1"/>
      <c r="D10" s="1" t="s">
        <v>0</v>
      </c>
      <c r="E10" s="1" t="s">
        <v>0</v>
      </c>
      <c r="F10" s="15" t="s">
        <v>78</v>
      </c>
      <c r="G10" s="1"/>
      <c r="H10" s="1"/>
      <c r="I10" s="1"/>
      <c r="J10" s="1"/>
      <c r="K10" s="1"/>
      <c r="L10" s="6"/>
    </row>
    <row r="11" spans="1:12">
      <c r="B11" s="5" t="s">
        <v>63</v>
      </c>
      <c r="C11" s="1" t="s">
        <v>31</v>
      </c>
      <c r="D11" s="1" t="s">
        <v>0</v>
      </c>
      <c r="E11" s="1" t="s">
        <v>0</v>
      </c>
      <c r="F11" s="1" t="s">
        <v>3</v>
      </c>
      <c r="G11" s="1"/>
      <c r="H11" s="16">
        <v>76428216000</v>
      </c>
      <c r="I11" s="16">
        <v>81016428000</v>
      </c>
      <c r="J11" s="14"/>
      <c r="K11" s="14"/>
      <c r="L11" s="6"/>
    </row>
    <row r="12" spans="1:12">
      <c r="B12" s="5" t="s">
        <v>63</v>
      </c>
      <c r="C12" s="1" t="s">
        <v>32</v>
      </c>
      <c r="D12" s="1" t="s">
        <v>0</v>
      </c>
      <c r="E12" s="1" t="s">
        <v>0</v>
      </c>
      <c r="F12" s="1" t="s">
        <v>4</v>
      </c>
      <c r="G12" s="1"/>
      <c r="H12" s="14"/>
      <c r="I12" s="14"/>
      <c r="J12" s="14"/>
      <c r="K12" s="14"/>
      <c r="L12" s="6"/>
    </row>
    <row r="13" spans="1:12">
      <c r="B13" s="5" t="s">
        <v>63</v>
      </c>
      <c r="C13" s="1" t="s">
        <v>33</v>
      </c>
      <c r="D13" s="1" t="s">
        <v>0</v>
      </c>
      <c r="E13" s="1" t="s">
        <v>0</v>
      </c>
      <c r="F13" s="1" t="s">
        <v>5</v>
      </c>
      <c r="G13" s="1"/>
      <c r="H13" s="52">
        <f t="shared" ref="H13:K13" si="0">H11+H12</f>
        <v>76428216000</v>
      </c>
      <c r="I13" s="52">
        <f t="shared" si="0"/>
        <v>81016428000</v>
      </c>
      <c r="J13" s="53">
        <f t="shared" si="0"/>
        <v>0</v>
      </c>
      <c r="K13" s="53">
        <f t="shared" si="0"/>
        <v>0</v>
      </c>
      <c r="L13" s="6"/>
    </row>
    <row r="14" spans="1:12">
      <c r="B14" s="5"/>
      <c r="C14" s="1"/>
      <c r="D14" s="1"/>
      <c r="E14" s="1"/>
      <c r="F14" s="1"/>
      <c r="G14" s="1"/>
      <c r="H14" s="1"/>
      <c r="I14" s="1"/>
      <c r="J14" s="1"/>
      <c r="K14" s="1"/>
      <c r="L14" s="6"/>
    </row>
    <row r="15" spans="1:12">
      <c r="B15" s="5" t="s">
        <v>63</v>
      </c>
      <c r="C15" s="1" t="s">
        <v>34</v>
      </c>
      <c r="D15" s="1" t="s">
        <v>0</v>
      </c>
      <c r="E15" s="1" t="s">
        <v>0</v>
      </c>
      <c r="F15" s="15" t="s">
        <v>77</v>
      </c>
      <c r="G15" s="1"/>
      <c r="H15" s="1"/>
      <c r="I15" s="1"/>
      <c r="J15" s="1"/>
      <c r="K15" s="1"/>
      <c r="L15" s="6"/>
    </row>
    <row r="16" spans="1:12">
      <c r="B16" s="5" t="s">
        <v>63</v>
      </c>
      <c r="C16" s="1" t="s">
        <v>35</v>
      </c>
      <c r="D16" s="1" t="s">
        <v>0</v>
      </c>
      <c r="E16" s="1" t="s">
        <v>0</v>
      </c>
      <c r="F16" s="1" t="s">
        <v>6</v>
      </c>
      <c r="G16" s="1"/>
      <c r="H16" s="14">
        <v>-239366196000</v>
      </c>
      <c r="I16" s="14">
        <v>-119152156000</v>
      </c>
      <c r="J16" s="14"/>
      <c r="K16" s="14"/>
      <c r="L16" s="6"/>
    </row>
    <row r="17" spans="2:12">
      <c r="B17" s="5" t="s">
        <v>63</v>
      </c>
      <c r="C17" s="1" t="s">
        <v>36</v>
      </c>
      <c r="D17" s="1" t="s">
        <v>0</v>
      </c>
      <c r="E17" s="1" t="s">
        <v>0</v>
      </c>
      <c r="F17" s="1" t="s">
        <v>7</v>
      </c>
      <c r="G17" s="1"/>
      <c r="H17" s="14"/>
      <c r="I17" s="14"/>
      <c r="J17" s="14"/>
      <c r="K17" s="14"/>
      <c r="L17" s="6"/>
    </row>
    <row r="18" spans="2:12">
      <c r="B18" s="5" t="s">
        <v>63</v>
      </c>
      <c r="C18" s="1" t="s">
        <v>37</v>
      </c>
      <c r="D18" s="1" t="s">
        <v>0</v>
      </c>
      <c r="E18" s="1" t="s">
        <v>0</v>
      </c>
      <c r="F18" s="1" t="s">
        <v>8</v>
      </c>
      <c r="G18" s="1"/>
      <c r="H18" s="52">
        <f t="shared" ref="H18:K18" si="1">H16+H17</f>
        <v>-239366196000</v>
      </c>
      <c r="I18" s="52">
        <f t="shared" si="1"/>
        <v>-119152156000</v>
      </c>
      <c r="J18" s="53">
        <f t="shared" si="1"/>
        <v>0</v>
      </c>
      <c r="K18" s="53">
        <f t="shared" si="1"/>
        <v>0</v>
      </c>
      <c r="L18" s="6"/>
    </row>
    <row r="19" spans="2:12">
      <c r="B19" s="5"/>
      <c r="C19" s="1"/>
      <c r="D19" s="1"/>
      <c r="E19" s="1"/>
      <c r="F19" s="1"/>
      <c r="G19" s="1"/>
      <c r="H19" s="1"/>
      <c r="I19" s="1"/>
      <c r="J19" s="1"/>
      <c r="K19" s="1"/>
      <c r="L19" s="6"/>
    </row>
    <row r="20" spans="2:12" ht="33.75">
      <c r="B20" s="5"/>
      <c r="C20" s="1"/>
      <c r="D20" s="1" t="s">
        <v>0</v>
      </c>
      <c r="E20" s="1" t="s">
        <v>0</v>
      </c>
      <c r="F20" s="15" t="s">
        <v>76</v>
      </c>
      <c r="G20" s="1"/>
      <c r="H20" s="13" t="s">
        <v>23</v>
      </c>
      <c r="I20" s="13" t="s">
        <v>24</v>
      </c>
      <c r="J20" s="13" t="s">
        <v>25</v>
      </c>
      <c r="K20" s="13" t="s">
        <v>26</v>
      </c>
      <c r="L20" s="6"/>
    </row>
    <row r="21" spans="2:12">
      <c r="B21" s="5" t="s">
        <v>63</v>
      </c>
      <c r="C21" s="1" t="s">
        <v>38</v>
      </c>
      <c r="D21" s="1" t="s">
        <v>0</v>
      </c>
      <c r="E21" s="1" t="s">
        <v>0</v>
      </c>
      <c r="F21" s="1" t="s">
        <v>9</v>
      </c>
      <c r="G21" s="1"/>
      <c r="H21" s="14">
        <v>79053000000</v>
      </c>
      <c r="I21" s="14">
        <v>38687076000</v>
      </c>
      <c r="J21" s="14"/>
      <c r="K21" s="14"/>
      <c r="L21" s="6"/>
    </row>
    <row r="22" spans="2:12">
      <c r="B22" s="5" t="s">
        <v>63</v>
      </c>
      <c r="C22" s="1" t="s">
        <v>39</v>
      </c>
      <c r="D22" s="1" t="s">
        <v>0</v>
      </c>
      <c r="E22" s="1" t="s">
        <v>0</v>
      </c>
      <c r="F22" s="1" t="s">
        <v>10</v>
      </c>
      <c r="G22" s="1"/>
      <c r="H22" s="14">
        <v>79052999000</v>
      </c>
      <c r="I22" s="14">
        <v>38687075000</v>
      </c>
      <c r="J22" s="14"/>
      <c r="K22" s="14"/>
      <c r="L22" s="6"/>
    </row>
    <row r="23" spans="2:12">
      <c r="B23" s="5" t="s">
        <v>63</v>
      </c>
      <c r="C23" s="1" t="s">
        <v>40</v>
      </c>
      <c r="D23" s="1" t="s">
        <v>0</v>
      </c>
      <c r="E23" s="1" t="s">
        <v>0</v>
      </c>
      <c r="F23" s="15" t="s">
        <v>75</v>
      </c>
      <c r="G23" s="1"/>
      <c r="H23" s="52">
        <f>H21+H22</f>
        <v>158105999000</v>
      </c>
      <c r="I23" s="52">
        <f>I21+I22</f>
        <v>77374151000</v>
      </c>
      <c r="J23" s="53">
        <f t="shared" ref="J23:K23" si="2">J21+J22</f>
        <v>0</v>
      </c>
      <c r="K23" s="53">
        <f t="shared" si="2"/>
        <v>0</v>
      </c>
      <c r="L23" s="6"/>
    </row>
    <row r="24" spans="2:12">
      <c r="B24" s="5"/>
      <c r="C24" s="1"/>
      <c r="D24" s="1"/>
      <c r="E24" s="1"/>
      <c r="F24" s="15"/>
      <c r="G24" s="1"/>
      <c r="H24" s="15"/>
      <c r="I24" s="15"/>
      <c r="J24" s="15"/>
      <c r="K24" s="15"/>
      <c r="L24" s="6"/>
    </row>
    <row r="25" spans="2:12">
      <c r="B25" s="5" t="s">
        <v>63</v>
      </c>
      <c r="C25" s="1" t="s">
        <v>41</v>
      </c>
      <c r="D25" s="1" t="s">
        <v>0</v>
      </c>
      <c r="E25" s="1" t="s">
        <v>0</v>
      </c>
      <c r="F25" s="15" t="s">
        <v>74</v>
      </c>
      <c r="G25" s="1"/>
      <c r="H25" s="53">
        <f>H12+H17+H22</f>
        <v>79052999000</v>
      </c>
      <c r="I25" s="53">
        <f t="shared" ref="I25:K25" si="3">I12+I17+I22</f>
        <v>38687075000</v>
      </c>
      <c r="J25" s="53">
        <f t="shared" si="3"/>
        <v>0</v>
      </c>
      <c r="K25" s="53">
        <f t="shared" si="3"/>
        <v>0</v>
      </c>
      <c r="L25" s="6"/>
    </row>
    <row r="26" spans="2:12">
      <c r="B26" s="5"/>
      <c r="C26" s="1"/>
      <c r="D26" s="1"/>
      <c r="E26" s="1"/>
      <c r="F26" s="15"/>
      <c r="G26" s="1"/>
      <c r="H26" s="15"/>
      <c r="I26" s="15"/>
      <c r="J26" s="15"/>
      <c r="K26" s="15"/>
      <c r="L26" s="6"/>
    </row>
    <row r="27" spans="2:12">
      <c r="B27" s="5" t="s">
        <v>63</v>
      </c>
      <c r="C27" s="1" t="s">
        <v>42</v>
      </c>
      <c r="D27" s="1" t="s">
        <v>0</v>
      </c>
      <c r="E27" s="1" t="s">
        <v>0</v>
      </c>
      <c r="F27" s="1" t="s">
        <v>11</v>
      </c>
      <c r="G27" s="1"/>
      <c r="H27" s="14">
        <v>110000</v>
      </c>
      <c r="I27" s="14">
        <v>120000</v>
      </c>
      <c r="J27" s="14"/>
      <c r="K27" s="14"/>
      <c r="L27" s="6"/>
    </row>
    <row r="28" spans="2:12">
      <c r="B28" s="5" t="s">
        <v>63</v>
      </c>
      <c r="C28" s="1" t="s">
        <v>43</v>
      </c>
      <c r="D28" s="1" t="s">
        <v>0</v>
      </c>
      <c r="E28" s="1" t="s">
        <v>0</v>
      </c>
      <c r="F28" s="1" t="s">
        <v>12</v>
      </c>
      <c r="G28" s="1"/>
      <c r="H28" s="14">
        <v>110000</v>
      </c>
      <c r="I28" s="14">
        <v>120000</v>
      </c>
      <c r="J28" s="14"/>
      <c r="K28" s="14"/>
      <c r="L28" s="6"/>
    </row>
    <row r="29" spans="2:12">
      <c r="B29" s="5" t="s">
        <v>63</v>
      </c>
      <c r="C29" s="1" t="s">
        <v>44</v>
      </c>
      <c r="D29" s="1" t="s">
        <v>0</v>
      </c>
      <c r="E29" s="1" t="s">
        <v>0</v>
      </c>
      <c r="F29" s="1" t="s">
        <v>13</v>
      </c>
      <c r="G29" s="1"/>
      <c r="H29" s="14">
        <v>11662845000</v>
      </c>
      <c r="I29" s="14">
        <v>3043370000</v>
      </c>
      <c r="J29" s="14"/>
      <c r="K29" s="14"/>
      <c r="L29" s="6"/>
    </row>
    <row r="30" spans="2:12">
      <c r="B30" s="5" t="s">
        <v>63</v>
      </c>
      <c r="C30" s="1" t="s">
        <v>45</v>
      </c>
      <c r="D30" s="1" t="s">
        <v>0</v>
      </c>
      <c r="E30" s="1" t="s">
        <v>0</v>
      </c>
      <c r="F30" s="1" t="s">
        <v>14</v>
      </c>
      <c r="G30" s="1"/>
      <c r="H30" s="14"/>
      <c r="I30" s="14"/>
      <c r="J30" s="14"/>
      <c r="K30" s="14"/>
      <c r="L30" s="6"/>
    </row>
    <row r="31" spans="2:12">
      <c r="B31" s="5"/>
      <c r="C31" s="1"/>
      <c r="D31" s="1"/>
      <c r="E31" s="1"/>
      <c r="F31" s="1"/>
      <c r="G31" s="1"/>
      <c r="H31" s="1"/>
      <c r="I31" s="1"/>
      <c r="J31" s="1"/>
      <c r="K31" s="1"/>
      <c r="L31" s="6"/>
    </row>
    <row r="32" spans="2:12">
      <c r="B32" s="5"/>
      <c r="C32" s="1"/>
      <c r="D32" s="1" t="s">
        <v>0</v>
      </c>
      <c r="E32" s="1" t="s">
        <v>0</v>
      </c>
      <c r="F32" s="1" t="s">
        <v>15</v>
      </c>
      <c r="G32" s="1"/>
      <c r="H32" s="1"/>
      <c r="I32" s="1"/>
      <c r="J32" s="1"/>
      <c r="K32" s="1"/>
      <c r="L32" s="6"/>
    </row>
    <row r="33" spans="2:12">
      <c r="B33" s="5" t="s">
        <v>63</v>
      </c>
      <c r="C33" s="1" t="s">
        <v>46</v>
      </c>
      <c r="D33" s="1" t="s">
        <v>0</v>
      </c>
      <c r="E33" s="1" t="s">
        <v>0</v>
      </c>
      <c r="F33" s="12" t="s">
        <v>89</v>
      </c>
      <c r="G33" s="1"/>
      <c r="H33" s="1"/>
      <c r="I33" s="1"/>
      <c r="J33" s="1"/>
      <c r="K33" s="1"/>
      <c r="L33" s="6"/>
    </row>
    <row r="34" spans="2:12">
      <c r="B34" s="5" t="s">
        <v>0</v>
      </c>
      <c r="C34" s="1" t="s">
        <v>0</v>
      </c>
      <c r="D34" s="1" t="s">
        <v>0</v>
      </c>
      <c r="E34" s="1" t="s">
        <v>0</v>
      </c>
      <c r="F34" s="1"/>
      <c r="G34" s="1"/>
      <c r="H34" s="1"/>
      <c r="I34" s="1"/>
      <c r="J34" s="1"/>
      <c r="K34" s="1"/>
      <c r="L34" s="6"/>
    </row>
    <row r="35" spans="2:12" ht="24">
      <c r="B35" s="5"/>
      <c r="C35" s="1"/>
      <c r="D35" s="1" t="s">
        <v>0</v>
      </c>
      <c r="E35" s="1" t="s">
        <v>0</v>
      </c>
      <c r="F35" s="11" t="s">
        <v>16</v>
      </c>
      <c r="G35" s="1"/>
      <c r="H35" s="1"/>
      <c r="I35" s="1"/>
      <c r="J35" s="1"/>
      <c r="K35" s="1"/>
      <c r="L35" s="6"/>
    </row>
    <row r="36" spans="2:12">
      <c r="B36" s="5" t="s">
        <v>63</v>
      </c>
      <c r="C36" s="1" t="s">
        <v>47</v>
      </c>
      <c r="D36" s="1" t="s">
        <v>0</v>
      </c>
      <c r="E36" s="1" t="s">
        <v>0</v>
      </c>
      <c r="F36" s="12" t="s">
        <v>90</v>
      </c>
      <c r="G36" s="1"/>
      <c r="H36" s="1"/>
      <c r="I36" s="1"/>
      <c r="J36" s="1"/>
      <c r="K36" s="1"/>
      <c r="L36" s="6"/>
    </row>
    <row r="37" spans="2:12">
      <c r="B37" s="5" t="s">
        <v>0</v>
      </c>
      <c r="C37" s="1" t="s">
        <v>0</v>
      </c>
      <c r="D37" s="1" t="s">
        <v>0</v>
      </c>
      <c r="E37" s="1" t="s">
        <v>0</v>
      </c>
      <c r="F37" s="1"/>
      <c r="G37" s="1"/>
      <c r="H37" s="1"/>
      <c r="I37" s="1"/>
      <c r="J37" s="1"/>
      <c r="K37" s="1"/>
      <c r="L37" s="6"/>
    </row>
    <row r="38" spans="2:12">
      <c r="B38" s="5"/>
      <c r="C38" s="1"/>
      <c r="D38" s="1" t="s">
        <v>0</v>
      </c>
      <c r="E38" s="1" t="s">
        <v>0</v>
      </c>
      <c r="F38" s="1" t="s">
        <v>17</v>
      </c>
      <c r="G38" s="1"/>
      <c r="H38" s="1"/>
      <c r="I38" s="1"/>
      <c r="J38" s="1"/>
      <c r="K38" s="1"/>
      <c r="L38" s="6"/>
    </row>
    <row r="39" spans="2:12">
      <c r="B39" s="5" t="s">
        <v>63</v>
      </c>
      <c r="C39" s="1" t="s">
        <v>48</v>
      </c>
      <c r="D39" s="1" t="s">
        <v>0</v>
      </c>
      <c r="E39" s="1" t="s">
        <v>0</v>
      </c>
      <c r="F39" s="12" t="s">
        <v>91</v>
      </c>
      <c r="G39" s="1"/>
      <c r="H39" s="1"/>
      <c r="I39" s="1"/>
      <c r="J39" s="1"/>
      <c r="K39" s="1"/>
      <c r="L39" s="6"/>
    </row>
    <row r="40" spans="2:12" ht="33.75">
      <c r="B40" s="5"/>
      <c r="C40" s="1"/>
      <c r="D40" s="1"/>
      <c r="E40" s="1"/>
      <c r="F40" s="1"/>
      <c r="G40" s="1"/>
      <c r="H40" s="13" t="s">
        <v>23</v>
      </c>
      <c r="I40" s="13" t="s">
        <v>24</v>
      </c>
      <c r="J40" s="13" t="s">
        <v>25</v>
      </c>
      <c r="K40" s="13" t="s">
        <v>26</v>
      </c>
      <c r="L40" s="6"/>
    </row>
    <row r="41" spans="2:12" ht="36">
      <c r="B41" s="5" t="s">
        <v>63</v>
      </c>
      <c r="C41" s="1" t="s">
        <v>49</v>
      </c>
      <c r="D41" s="1" t="s">
        <v>0</v>
      </c>
      <c r="E41" s="1" t="s">
        <v>0</v>
      </c>
      <c r="F41" s="11" t="s">
        <v>18</v>
      </c>
      <c r="G41" s="1"/>
      <c r="H41" s="14">
        <v>1000</v>
      </c>
      <c r="I41" s="14">
        <v>2000</v>
      </c>
      <c r="J41" s="14"/>
      <c r="K41" s="14"/>
      <c r="L41" s="6"/>
    </row>
    <row r="42" spans="2:12">
      <c r="B42" s="5" t="s">
        <v>0</v>
      </c>
      <c r="C42" s="1" t="s">
        <v>0</v>
      </c>
      <c r="D42" s="1" t="s">
        <v>0</v>
      </c>
      <c r="E42" s="1" t="s">
        <v>0</v>
      </c>
      <c r="F42" s="1"/>
      <c r="G42" s="1"/>
      <c r="H42" s="1"/>
      <c r="I42" s="1"/>
      <c r="J42" s="1"/>
      <c r="K42" s="1"/>
      <c r="L42" s="6"/>
    </row>
    <row r="43" spans="2:12" ht="24">
      <c r="B43" s="5"/>
      <c r="C43" s="1"/>
      <c r="D43" s="1" t="s">
        <v>0</v>
      </c>
      <c r="E43" s="1" t="s">
        <v>0</v>
      </c>
      <c r="F43" s="11" t="s">
        <v>19</v>
      </c>
      <c r="G43" s="1"/>
      <c r="H43" s="1"/>
      <c r="I43" s="1"/>
      <c r="J43" s="1"/>
      <c r="K43" s="1"/>
      <c r="L43" s="6"/>
    </row>
    <row r="44" spans="2:12">
      <c r="B44" s="5" t="s">
        <v>63</v>
      </c>
      <c r="C44" s="1" t="s">
        <v>50</v>
      </c>
      <c r="D44" s="1" t="s">
        <v>0</v>
      </c>
      <c r="E44" s="1" t="s">
        <v>0</v>
      </c>
      <c r="F44" s="12" t="s">
        <v>92</v>
      </c>
      <c r="G44" s="1"/>
      <c r="H44" s="1"/>
      <c r="I44" s="1"/>
      <c r="J44" s="1"/>
      <c r="K44" s="1"/>
      <c r="L44" s="6"/>
    </row>
    <row r="45" spans="2:12">
      <c r="B45" s="5" t="s">
        <v>0</v>
      </c>
      <c r="C45" s="1" t="s">
        <v>0</v>
      </c>
      <c r="D45" s="1" t="s">
        <v>0</v>
      </c>
      <c r="E45" s="1" t="s">
        <v>0</v>
      </c>
      <c r="F45" s="1"/>
      <c r="G45" s="1"/>
      <c r="H45" s="1"/>
      <c r="I45" s="1"/>
      <c r="J45" s="1"/>
      <c r="K45" s="1"/>
      <c r="L45" s="6"/>
    </row>
    <row r="46" spans="2:12" ht="24">
      <c r="B46" s="5"/>
      <c r="C46" s="1"/>
      <c r="D46" s="1" t="s">
        <v>0</v>
      </c>
      <c r="E46" s="1" t="s">
        <v>0</v>
      </c>
      <c r="F46" s="11" t="s">
        <v>20</v>
      </c>
      <c r="G46" s="1"/>
      <c r="H46" s="1"/>
      <c r="I46" s="1"/>
      <c r="J46" s="1"/>
      <c r="K46" s="1"/>
      <c r="L46" s="6"/>
    </row>
    <row r="47" spans="2:12">
      <c r="B47" s="5" t="s">
        <v>63</v>
      </c>
      <c r="C47" s="1" t="s">
        <v>51</v>
      </c>
      <c r="D47" s="1" t="s">
        <v>0</v>
      </c>
      <c r="E47" s="1" t="s">
        <v>0</v>
      </c>
      <c r="F47" s="12" t="s">
        <v>93</v>
      </c>
      <c r="G47" s="1"/>
      <c r="H47" s="1"/>
      <c r="I47" s="1"/>
      <c r="J47" s="1"/>
      <c r="K47" s="1"/>
      <c r="L47" s="6"/>
    </row>
    <row r="48" spans="2:12">
      <c r="B48" s="5" t="s">
        <v>0</v>
      </c>
      <c r="C48" s="1" t="s">
        <v>0</v>
      </c>
      <c r="D48" s="1" t="s">
        <v>0</v>
      </c>
      <c r="E48" s="1" t="s">
        <v>0</v>
      </c>
      <c r="F48" s="1"/>
      <c r="G48" s="1"/>
      <c r="H48" s="1"/>
      <c r="I48" s="1"/>
      <c r="J48" s="1"/>
      <c r="K48" s="1"/>
      <c r="L48" s="6"/>
    </row>
    <row r="49" spans="2:12" ht="24">
      <c r="B49" s="5"/>
      <c r="C49" s="1"/>
      <c r="D49" s="1" t="s">
        <v>0</v>
      </c>
      <c r="E49" s="1" t="s">
        <v>0</v>
      </c>
      <c r="F49" s="11" t="s">
        <v>21</v>
      </c>
      <c r="G49" s="1"/>
      <c r="H49" s="1"/>
      <c r="I49" s="1"/>
      <c r="J49" s="1"/>
      <c r="K49" s="1"/>
      <c r="L49" s="6"/>
    </row>
    <row r="50" spans="2:12">
      <c r="B50" s="5" t="s">
        <v>63</v>
      </c>
      <c r="C50" s="1" t="s">
        <v>52</v>
      </c>
      <c r="D50" s="1" t="s">
        <v>0</v>
      </c>
      <c r="E50" s="1" t="s">
        <v>0</v>
      </c>
      <c r="F50" s="12" t="s">
        <v>94</v>
      </c>
      <c r="G50" s="1"/>
      <c r="H50" s="1"/>
      <c r="I50" s="1"/>
      <c r="J50" s="1"/>
      <c r="K50" s="1"/>
      <c r="L50" s="6"/>
    </row>
    <row r="51" spans="2:12">
      <c r="B51" s="5" t="s">
        <v>0</v>
      </c>
      <c r="C51" s="1" t="s">
        <v>0</v>
      </c>
      <c r="D51" s="1" t="s">
        <v>0</v>
      </c>
      <c r="E51" s="1" t="s">
        <v>0</v>
      </c>
      <c r="F51" s="1"/>
      <c r="G51" s="1"/>
      <c r="H51" s="1"/>
      <c r="I51" s="1"/>
      <c r="J51" s="1"/>
      <c r="K51" s="1"/>
      <c r="L51" s="6"/>
    </row>
    <row r="52" spans="2:12" ht="24">
      <c r="B52" s="5"/>
      <c r="C52" s="1"/>
      <c r="D52" s="1" t="s">
        <v>0</v>
      </c>
      <c r="E52" s="1" t="s">
        <v>0</v>
      </c>
      <c r="F52" s="11" t="s">
        <v>22</v>
      </c>
      <c r="G52" s="1"/>
      <c r="H52" s="1"/>
      <c r="I52" s="1"/>
      <c r="J52" s="1"/>
      <c r="K52" s="1"/>
      <c r="L52" s="6"/>
    </row>
    <row r="53" spans="2:12">
      <c r="B53" s="5" t="s">
        <v>63</v>
      </c>
      <c r="C53" s="1" t="s">
        <v>53</v>
      </c>
      <c r="D53" s="1" t="s">
        <v>0</v>
      </c>
      <c r="E53" s="1" t="s">
        <v>0</v>
      </c>
      <c r="F53" s="12" t="s">
        <v>95</v>
      </c>
      <c r="G53" s="1"/>
      <c r="H53" s="1"/>
      <c r="I53" s="1"/>
      <c r="J53" s="1"/>
      <c r="K53" s="1"/>
      <c r="L53" s="6"/>
    </row>
    <row r="54" spans="2:12">
      <c r="B54" s="5"/>
      <c r="C54" s="1"/>
      <c r="D54" s="1"/>
      <c r="E54" s="1"/>
      <c r="F54" s="1"/>
      <c r="G54" s="1"/>
      <c r="H54" s="1"/>
      <c r="I54" s="1"/>
      <c r="J54" s="1"/>
      <c r="K54" s="1"/>
      <c r="L54" s="6"/>
    </row>
    <row r="55" spans="2:12">
      <c r="B55" s="7"/>
      <c r="C55" s="8"/>
      <c r="D55" s="8"/>
      <c r="E55" s="8"/>
      <c r="F55" s="9"/>
      <c r="G55" s="8"/>
      <c r="H55" s="8"/>
      <c r="I55" s="8"/>
      <c r="J55" s="8"/>
      <c r="K55" s="8"/>
      <c r="L55" s="10"/>
    </row>
  </sheetData>
  <conditionalFormatting sqref="H18:I18 H23:I23 H13:I13">
    <cfRule type="expression" dxfId="0" priority="37">
      <formula>OR(IF(NOT(ISERR(FIND("ERR",#REF!)))=TRUE,TRUE,FALSE),IF(NOT(ISERR(FIND("ERR",#REF!)))=TRUE,TRUE,FALSE))</formula>
    </cfRule>
  </conditionalFormatting>
  <hyperlinks>
    <hyperlink ref="F7" location="'IFRS5-AnalImpoDisc'!A1" display="Información a revelar del análisis del importe único de operaciones discontinuas [tabla]" xr:uid="{00000000-0004-0000-0000-000000000000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>
    <tabColor rgb="FFFFFF66"/>
  </sheetPr>
  <dimension ref="A1:H25"/>
  <sheetViews>
    <sheetView topLeftCell="A2" zoomScale="90" zoomScaleNormal="90" workbookViewId="0">
      <selection activeCell="G19" sqref="G19:H24"/>
    </sheetView>
  </sheetViews>
  <sheetFormatPr baseColWidth="10" defaultRowHeight="15"/>
  <cols>
    <col min="1" max="3" width="2.7109375" customWidth="1"/>
    <col min="4" max="4" width="5" customWidth="1"/>
    <col min="5" max="5" width="2.7109375" customWidth="1"/>
    <col min="6" max="6" width="90.7109375" customWidth="1"/>
    <col min="7" max="8" width="15.7109375" customWidth="1"/>
  </cols>
  <sheetData>
    <row r="1" spans="1:8" ht="54.95" customHeight="1" thickBot="1"/>
    <row r="2" spans="1:8" ht="177" customHeight="1" thickBot="1">
      <c r="F2" s="19" t="s">
        <v>55</v>
      </c>
    </row>
    <row r="3" spans="1:8" ht="16.5" thickBot="1">
      <c r="F3" s="20" t="s">
        <v>56</v>
      </c>
    </row>
    <row r="4" spans="1:8" ht="16.5" thickBot="1">
      <c r="F4" s="21"/>
    </row>
    <row r="5" spans="1:8" ht="16.5" thickBot="1">
      <c r="F5" s="22" t="s">
        <v>57</v>
      </c>
      <c r="G5" s="23" t="s">
        <v>58</v>
      </c>
    </row>
    <row r="6" spans="1:8" ht="15.75">
      <c r="F6" s="21"/>
    </row>
    <row r="7" spans="1:8" ht="174" customHeight="1">
      <c r="A7" s="24" t="s">
        <v>59</v>
      </c>
      <c r="B7" s="25"/>
      <c r="C7" s="26"/>
      <c r="D7" s="26"/>
      <c r="E7" s="27"/>
      <c r="F7" s="27" t="s">
        <v>87</v>
      </c>
      <c r="G7" s="28" t="s">
        <v>68</v>
      </c>
      <c r="H7" s="28" t="s">
        <v>69</v>
      </c>
    </row>
    <row r="8" spans="1:8" ht="50.1" hidden="1" customHeight="1">
      <c r="A8" s="24" t="s">
        <v>60</v>
      </c>
      <c r="B8" s="29"/>
      <c r="C8" s="30"/>
      <c r="D8" s="31" t="s">
        <v>72</v>
      </c>
      <c r="E8" s="32" t="s">
        <v>73</v>
      </c>
      <c r="F8" s="33"/>
      <c r="G8" s="34" t="s">
        <v>70</v>
      </c>
      <c r="H8" s="34" t="s">
        <v>71</v>
      </c>
    </row>
    <row r="9" spans="1:8">
      <c r="A9" s="35"/>
      <c r="B9" s="36"/>
      <c r="C9" s="37"/>
      <c r="D9" s="38" t="s">
        <v>0</v>
      </c>
      <c r="E9" s="31" t="s">
        <v>0</v>
      </c>
      <c r="F9" s="39"/>
      <c r="G9" s="40"/>
      <c r="H9" s="41"/>
    </row>
    <row r="10" spans="1:8">
      <c r="A10" s="35"/>
      <c r="B10" s="36"/>
      <c r="C10" s="37"/>
      <c r="D10" s="38"/>
      <c r="E10" s="31"/>
      <c r="F10" s="56" t="s">
        <v>79</v>
      </c>
      <c r="G10" s="40"/>
      <c r="H10" s="41"/>
    </row>
    <row r="11" spans="1:8">
      <c r="A11" s="35"/>
      <c r="B11" s="42"/>
      <c r="C11" s="43" t="s">
        <v>65</v>
      </c>
      <c r="D11" s="44" t="s">
        <v>61</v>
      </c>
      <c r="E11" s="38" t="s">
        <v>0</v>
      </c>
      <c r="F11" s="45" t="s">
        <v>81</v>
      </c>
      <c r="G11" s="54">
        <v>1000</v>
      </c>
      <c r="H11" s="54">
        <v>71750587000</v>
      </c>
    </row>
    <row r="12" spans="1:8">
      <c r="A12" s="35"/>
      <c r="B12" s="42"/>
      <c r="C12" s="43" t="s">
        <v>66</v>
      </c>
      <c r="D12" s="44" t="s">
        <v>61</v>
      </c>
      <c r="E12" s="38" t="s">
        <v>0</v>
      </c>
      <c r="F12" s="57" t="s">
        <v>82</v>
      </c>
      <c r="G12" s="54">
        <v>2000</v>
      </c>
      <c r="H12" s="54">
        <v>146210509000</v>
      </c>
    </row>
    <row r="13" spans="1:8" ht="22.5">
      <c r="A13" s="35"/>
      <c r="B13" s="42"/>
      <c r="C13" s="43" t="s">
        <v>28</v>
      </c>
      <c r="D13" s="44" t="s">
        <v>61</v>
      </c>
      <c r="E13" s="38" t="s">
        <v>0</v>
      </c>
      <c r="F13" s="45" t="s">
        <v>83</v>
      </c>
      <c r="G13" s="54">
        <v>3000</v>
      </c>
      <c r="H13" s="54">
        <v>70000</v>
      </c>
    </row>
    <row r="14" spans="1:8" ht="33.75">
      <c r="A14" s="35"/>
      <c r="B14" s="42"/>
      <c r="C14" s="43" t="s">
        <v>29</v>
      </c>
      <c r="D14" s="44" t="s">
        <v>61</v>
      </c>
      <c r="E14" s="38" t="s">
        <v>0</v>
      </c>
      <c r="F14" s="45" t="s">
        <v>84</v>
      </c>
      <c r="G14" s="54">
        <v>4000</v>
      </c>
      <c r="H14" s="54">
        <v>6000</v>
      </c>
    </row>
    <row r="15" spans="1:8" ht="22.5">
      <c r="A15" s="35"/>
      <c r="B15" s="42"/>
      <c r="C15" s="43" t="s">
        <v>30</v>
      </c>
      <c r="D15" s="44" t="s">
        <v>61</v>
      </c>
      <c r="E15" s="38" t="s">
        <v>0</v>
      </c>
      <c r="F15" s="45" t="s">
        <v>85</v>
      </c>
      <c r="G15" s="54">
        <v>5000</v>
      </c>
      <c r="H15" s="54">
        <v>110000</v>
      </c>
    </row>
    <row r="16" spans="1:8">
      <c r="A16" s="35"/>
      <c r="B16" s="42"/>
      <c r="C16" s="43" t="s">
        <v>67</v>
      </c>
      <c r="D16" s="44" t="s">
        <v>61</v>
      </c>
      <c r="E16" s="38" t="s">
        <v>0</v>
      </c>
      <c r="F16" s="45" t="s">
        <v>86</v>
      </c>
      <c r="G16" s="54">
        <v>6000</v>
      </c>
      <c r="H16" s="54">
        <v>18083655000</v>
      </c>
    </row>
    <row r="17" spans="1:8">
      <c r="B17" s="29"/>
      <c r="C17" s="30"/>
      <c r="D17" s="31"/>
      <c r="E17" s="31"/>
      <c r="F17" s="33"/>
      <c r="G17" s="48"/>
      <c r="H17" s="49"/>
    </row>
    <row r="18" spans="1:8">
      <c r="B18" s="29"/>
      <c r="C18" s="30"/>
      <c r="D18" s="31"/>
      <c r="E18" s="31"/>
      <c r="F18" s="56" t="s">
        <v>80</v>
      </c>
      <c r="G18" s="48"/>
      <c r="H18" s="55"/>
    </row>
    <row r="19" spans="1:8">
      <c r="A19" s="35"/>
      <c r="B19" s="42"/>
      <c r="C19" s="43" t="s">
        <v>65</v>
      </c>
      <c r="D19" s="44" t="s">
        <v>62</v>
      </c>
      <c r="E19" s="38" t="s">
        <v>0</v>
      </c>
      <c r="F19" s="45" t="s">
        <v>81</v>
      </c>
      <c r="G19" s="54">
        <v>9000</v>
      </c>
      <c r="H19" s="54">
        <v>60792770000</v>
      </c>
    </row>
    <row r="20" spans="1:8">
      <c r="A20" s="35"/>
      <c r="B20" s="42"/>
      <c r="C20" s="43" t="s">
        <v>66</v>
      </c>
      <c r="D20" s="44" t="s">
        <v>62</v>
      </c>
      <c r="E20" s="38" t="s">
        <v>0</v>
      </c>
      <c r="F20" s="57" t="s">
        <v>82</v>
      </c>
      <c r="G20" s="54">
        <v>8000</v>
      </c>
      <c r="H20" s="54">
        <v>125886312000</v>
      </c>
    </row>
    <row r="21" spans="1:8" ht="22.5">
      <c r="A21" s="35"/>
      <c r="B21" s="42"/>
      <c r="C21" s="43" t="s">
        <v>28</v>
      </c>
      <c r="D21" s="44" t="s">
        <v>62</v>
      </c>
      <c r="E21" s="38" t="s">
        <v>0</v>
      </c>
      <c r="F21" s="45" t="s">
        <v>83</v>
      </c>
      <c r="G21" s="54">
        <v>7000</v>
      </c>
      <c r="H21" s="54">
        <v>80000</v>
      </c>
    </row>
    <row r="22" spans="1:8" ht="33.75">
      <c r="A22" s="35"/>
      <c r="B22" s="42"/>
      <c r="C22" s="43" t="s">
        <v>29</v>
      </c>
      <c r="D22" s="44" t="s">
        <v>62</v>
      </c>
      <c r="E22" s="38" t="s">
        <v>0</v>
      </c>
      <c r="F22" s="45" t="s">
        <v>84</v>
      </c>
      <c r="G22" s="54">
        <v>6000</v>
      </c>
      <c r="H22" s="54">
        <v>4000</v>
      </c>
    </row>
    <row r="23" spans="1:8" ht="22.5">
      <c r="A23" s="35"/>
      <c r="B23" s="42"/>
      <c r="C23" s="43" t="s">
        <v>30</v>
      </c>
      <c r="D23" s="44" t="s">
        <v>62</v>
      </c>
      <c r="E23" s="38" t="s">
        <v>0</v>
      </c>
      <c r="F23" s="45" t="s">
        <v>85</v>
      </c>
      <c r="G23" s="54">
        <v>5000</v>
      </c>
      <c r="H23" s="54">
        <v>120000</v>
      </c>
    </row>
    <row r="24" spans="1:8">
      <c r="A24" s="35"/>
      <c r="B24" s="42"/>
      <c r="C24" s="43" t="s">
        <v>67</v>
      </c>
      <c r="D24" s="44" t="s">
        <v>62</v>
      </c>
      <c r="E24" s="38" t="s">
        <v>0</v>
      </c>
      <c r="F24" s="45" t="s">
        <v>86</v>
      </c>
      <c r="G24" s="54">
        <v>4000</v>
      </c>
      <c r="H24" s="54">
        <v>11744400000</v>
      </c>
    </row>
    <row r="25" spans="1:8">
      <c r="B25" s="46"/>
      <c r="C25" s="47"/>
      <c r="D25" s="47"/>
      <c r="E25" s="47"/>
      <c r="F25" s="47"/>
      <c r="G25" s="47"/>
      <c r="H25" s="50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'C:\dbnet\xbrl\entregables\parches\parche20190121_v3.7.37\backend\in\base\svs-cl-ci-2019-01-02\xls\[IAS1-Cuadros (810000)_2019.xlsm]Codigo_Actividad'!#REF!</xm:f>
          </x14:formula1>
          <xm:sqref>G5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IFRS5-Cuadros</vt:lpstr>
      <vt:lpstr>IFRS5-AnalImpoDisc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jaime</cp:lastModifiedBy>
  <dcterms:created xsi:type="dcterms:W3CDTF">2013-03-21T17:58:38Z</dcterms:created>
  <dcterms:modified xsi:type="dcterms:W3CDTF">2023-02-14T19:08:14Z</dcterms:modified>
</cp:coreProperties>
</file>