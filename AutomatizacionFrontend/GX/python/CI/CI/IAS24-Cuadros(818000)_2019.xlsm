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xl/drawings/drawing4.xml" ContentType="application/vnd.openxmlformats-officedocument.drawing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updateLinks="always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escirtorio\taxos\CI\xls\"/>
    </mc:Choice>
  </mc:AlternateContent>
  <bookViews>
    <workbookView xWindow="5580" yWindow="0" windowWidth="27300" windowHeight="20295" activeTab="2"/>
  </bookViews>
  <sheets>
    <sheet name="IAS24-Cuadros" sheetId="1" r:id="rId1"/>
    <sheet name="IAS24-RemuPersClav" sheetId="5" r:id="rId2"/>
    <sheet name="IAS24-InfoPartRela" sheetId="2" r:id="rId3"/>
    <sheet name="IAS24-InfoInfoIncu" sheetId="3" r:id="rId4"/>
    <sheet name="Hoja1" sheetId="4" state="hidden" r:id="rId5"/>
  </sheets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24" i="5" l="1"/>
  <c r="I23" i="5"/>
  <c r="I22" i="5"/>
  <c r="I21" i="5"/>
  <c r="I20" i="5"/>
  <c r="I19" i="5"/>
  <c r="I13" i="5"/>
  <c r="I12" i="5"/>
  <c r="I11" i="5"/>
  <c r="I10" i="5"/>
  <c r="I9" i="5"/>
  <c r="I8" i="5"/>
  <c r="F16" i="5" l="1"/>
  <c r="I16" i="5"/>
  <c r="G16" i="5"/>
  <c r="H16" i="5"/>
  <c r="H5" i="5"/>
  <c r="G5" i="5"/>
  <c r="Z39" i="2" l="1"/>
  <c r="Y39" i="2"/>
  <c r="Z36" i="2"/>
  <c r="Y36" i="2"/>
  <c r="W39" i="2"/>
  <c r="V39" i="2"/>
  <c r="W36" i="2"/>
  <c r="V36" i="2"/>
  <c r="T39" i="2"/>
  <c r="S39" i="2"/>
  <c r="T36" i="2"/>
  <c r="S36" i="2"/>
  <c r="Q39" i="2"/>
  <c r="P39" i="2"/>
  <c r="Q36" i="2"/>
  <c r="P36" i="2"/>
  <c r="N39" i="2"/>
  <c r="M39" i="2"/>
  <c r="N36" i="2"/>
  <c r="M36" i="2"/>
  <c r="K36" i="2"/>
  <c r="J36" i="2"/>
  <c r="K39" i="2" l="1"/>
  <c r="J39" i="2"/>
  <c r="H5" i="3" l="1"/>
  <c r="G5" i="3"/>
  <c r="H11" i="3"/>
  <c r="G11" i="3"/>
  <c r="AA94" i="2" l="1"/>
  <c r="X94" i="2"/>
  <c r="U94" i="2"/>
  <c r="R94" i="2"/>
  <c r="O94" i="2"/>
  <c r="L94" i="2"/>
  <c r="I94" i="2"/>
  <c r="AA93" i="2"/>
  <c r="X93" i="2"/>
  <c r="U93" i="2"/>
  <c r="R93" i="2"/>
  <c r="O93" i="2"/>
  <c r="L93" i="2"/>
  <c r="I93" i="2"/>
  <c r="AA90" i="2"/>
  <c r="X90" i="2"/>
  <c r="U90" i="2"/>
  <c r="R90" i="2"/>
  <c r="O90" i="2"/>
  <c r="L90" i="2"/>
  <c r="I90" i="2"/>
  <c r="AA89" i="2"/>
  <c r="X89" i="2"/>
  <c r="U89" i="2"/>
  <c r="R89" i="2"/>
  <c r="O89" i="2"/>
  <c r="L89" i="2"/>
  <c r="I89" i="2"/>
  <c r="AA87" i="2"/>
  <c r="X87" i="2"/>
  <c r="U87" i="2"/>
  <c r="R87" i="2"/>
  <c r="O87" i="2"/>
  <c r="L87" i="2"/>
  <c r="I87" i="2"/>
  <c r="AA86" i="2"/>
  <c r="X86" i="2"/>
  <c r="U86" i="2"/>
  <c r="R86" i="2"/>
  <c r="O86" i="2"/>
  <c r="L86" i="2"/>
  <c r="L85" i="2" s="1"/>
  <c r="I86" i="2"/>
  <c r="Z85" i="2"/>
  <c r="Y85" i="2"/>
  <c r="W85" i="2"/>
  <c r="V85" i="2"/>
  <c r="T85" i="2"/>
  <c r="S85" i="2"/>
  <c r="Q85" i="2"/>
  <c r="P85" i="2"/>
  <c r="N85" i="2"/>
  <c r="M85" i="2"/>
  <c r="K85" i="2"/>
  <c r="J85" i="2"/>
  <c r="H85" i="2"/>
  <c r="G85" i="2"/>
  <c r="AA84" i="2"/>
  <c r="X84" i="2"/>
  <c r="U84" i="2"/>
  <c r="R84" i="2"/>
  <c r="O84" i="2"/>
  <c r="L84" i="2"/>
  <c r="I84" i="2"/>
  <c r="AA83" i="2"/>
  <c r="X83" i="2"/>
  <c r="U83" i="2"/>
  <c r="R83" i="2"/>
  <c r="O83" i="2"/>
  <c r="L83" i="2"/>
  <c r="I83" i="2"/>
  <c r="Z82" i="2"/>
  <c r="Y82" i="2"/>
  <c r="W82" i="2"/>
  <c r="V82" i="2"/>
  <c r="T82" i="2"/>
  <c r="S82" i="2"/>
  <c r="Q82" i="2"/>
  <c r="P82" i="2"/>
  <c r="N82" i="2"/>
  <c r="M82" i="2"/>
  <c r="K82" i="2"/>
  <c r="J82" i="2"/>
  <c r="H82" i="2"/>
  <c r="G82" i="2"/>
  <c r="AA80" i="2"/>
  <c r="X80" i="2"/>
  <c r="U80" i="2"/>
  <c r="R80" i="2"/>
  <c r="O80" i="2"/>
  <c r="L80" i="2"/>
  <c r="I80" i="2"/>
  <c r="AA79" i="2"/>
  <c r="X79" i="2"/>
  <c r="U79" i="2"/>
  <c r="R79" i="2"/>
  <c r="O79" i="2"/>
  <c r="L79" i="2"/>
  <c r="I79" i="2"/>
  <c r="AA78" i="2"/>
  <c r="X78" i="2"/>
  <c r="U78" i="2"/>
  <c r="R78" i="2"/>
  <c r="O78" i="2"/>
  <c r="L78" i="2"/>
  <c r="I78" i="2"/>
  <c r="AA77" i="2"/>
  <c r="X77" i="2"/>
  <c r="U77" i="2"/>
  <c r="R77" i="2"/>
  <c r="O77" i="2"/>
  <c r="L77" i="2"/>
  <c r="I77" i="2"/>
  <c r="AA76" i="2"/>
  <c r="X76" i="2"/>
  <c r="U76" i="2"/>
  <c r="R76" i="2"/>
  <c r="O76" i="2"/>
  <c r="L76" i="2"/>
  <c r="I76" i="2"/>
  <c r="AA75" i="2"/>
  <c r="X75" i="2"/>
  <c r="U75" i="2"/>
  <c r="R75" i="2"/>
  <c r="O75" i="2"/>
  <c r="L75" i="2"/>
  <c r="I75" i="2"/>
  <c r="AA74" i="2"/>
  <c r="X74" i="2"/>
  <c r="U74" i="2"/>
  <c r="R74" i="2"/>
  <c r="O74" i="2"/>
  <c r="L74" i="2"/>
  <c r="I74" i="2"/>
  <c r="AA73" i="2"/>
  <c r="X73" i="2"/>
  <c r="U73" i="2"/>
  <c r="R73" i="2"/>
  <c r="O73" i="2"/>
  <c r="L73" i="2"/>
  <c r="I73" i="2"/>
  <c r="AA72" i="2"/>
  <c r="X72" i="2"/>
  <c r="U72" i="2"/>
  <c r="R72" i="2"/>
  <c r="O72" i="2"/>
  <c r="L72" i="2"/>
  <c r="I72" i="2"/>
  <c r="AA71" i="2"/>
  <c r="X71" i="2"/>
  <c r="U71" i="2"/>
  <c r="R71" i="2"/>
  <c r="O71" i="2"/>
  <c r="L71" i="2"/>
  <c r="I71" i="2"/>
  <c r="AA70" i="2"/>
  <c r="X70" i="2"/>
  <c r="U70" i="2"/>
  <c r="R70" i="2"/>
  <c r="O70" i="2"/>
  <c r="L70" i="2"/>
  <c r="I70" i="2"/>
  <c r="AA69" i="2"/>
  <c r="X69" i="2"/>
  <c r="U69" i="2"/>
  <c r="R69" i="2"/>
  <c r="O69" i="2"/>
  <c r="L69" i="2"/>
  <c r="I69" i="2"/>
  <c r="AA68" i="2"/>
  <c r="X68" i="2"/>
  <c r="U68" i="2"/>
  <c r="R68" i="2"/>
  <c r="O68" i="2"/>
  <c r="L68" i="2"/>
  <c r="I68" i="2"/>
  <c r="AA67" i="2"/>
  <c r="X67" i="2"/>
  <c r="U67" i="2"/>
  <c r="R67" i="2"/>
  <c r="O67" i="2"/>
  <c r="L67" i="2"/>
  <c r="I67" i="2"/>
  <c r="AA66" i="2"/>
  <c r="X66" i="2"/>
  <c r="U66" i="2"/>
  <c r="R66" i="2"/>
  <c r="O66" i="2"/>
  <c r="L66" i="2"/>
  <c r="I66" i="2"/>
  <c r="AA65" i="2"/>
  <c r="X65" i="2"/>
  <c r="U65" i="2"/>
  <c r="R65" i="2"/>
  <c r="O65" i="2"/>
  <c r="L65" i="2"/>
  <c r="I65" i="2"/>
  <c r="AA64" i="2"/>
  <c r="X64" i="2"/>
  <c r="U64" i="2"/>
  <c r="R64" i="2"/>
  <c r="O64" i="2"/>
  <c r="L64" i="2"/>
  <c r="I64" i="2"/>
  <c r="AA63" i="2"/>
  <c r="X63" i="2"/>
  <c r="U63" i="2"/>
  <c r="R63" i="2"/>
  <c r="O63" i="2"/>
  <c r="L63" i="2"/>
  <c r="I63" i="2"/>
  <c r="AA62" i="2"/>
  <c r="X62" i="2"/>
  <c r="U62" i="2"/>
  <c r="R62" i="2"/>
  <c r="O62" i="2"/>
  <c r="L62" i="2"/>
  <c r="I62" i="2"/>
  <c r="AA61" i="2"/>
  <c r="X61" i="2"/>
  <c r="U61" i="2"/>
  <c r="R61" i="2"/>
  <c r="O61" i="2"/>
  <c r="L61" i="2"/>
  <c r="I61" i="2"/>
  <c r="AA60" i="2"/>
  <c r="X60" i="2"/>
  <c r="U60" i="2"/>
  <c r="R60" i="2"/>
  <c r="O60" i="2"/>
  <c r="L60" i="2"/>
  <c r="I60" i="2"/>
  <c r="X85" i="2" l="1"/>
  <c r="O82" i="2"/>
  <c r="AA82" i="2"/>
  <c r="L82" i="2"/>
  <c r="R82" i="2"/>
  <c r="I82" i="2"/>
  <c r="U82" i="2"/>
  <c r="X82" i="2"/>
  <c r="AA85" i="2"/>
  <c r="O85" i="2"/>
  <c r="AB78" i="2"/>
  <c r="AB76" i="2"/>
  <c r="R85" i="2"/>
  <c r="AB89" i="2"/>
  <c r="AB60" i="2"/>
  <c r="AB64" i="2"/>
  <c r="AB68" i="2"/>
  <c r="AB71" i="2"/>
  <c r="AB73" i="2"/>
  <c r="AB63" i="2"/>
  <c r="AB67" i="2"/>
  <c r="AB70" i="2"/>
  <c r="AB75" i="2"/>
  <c r="AB80" i="2"/>
  <c r="AB84" i="2"/>
  <c r="AB87" i="2"/>
  <c r="AB94" i="2"/>
  <c r="AB66" i="2"/>
  <c r="AB74" i="2"/>
  <c r="AB79" i="2"/>
  <c r="AB83" i="2"/>
  <c r="AB86" i="2"/>
  <c r="U85" i="2"/>
  <c r="AB93" i="2"/>
  <c r="AB62" i="2"/>
  <c r="AB61" i="2"/>
  <c r="AB65" i="2"/>
  <c r="AB69" i="2"/>
  <c r="AB72" i="2"/>
  <c r="AB77" i="2"/>
  <c r="AB90" i="2"/>
  <c r="I85" i="2"/>
  <c r="AB82" i="2" l="1"/>
  <c r="AB85" i="2"/>
  <c r="AA48" i="2"/>
  <c r="AA47" i="2"/>
  <c r="AA44" i="2"/>
  <c r="AA43" i="2"/>
  <c r="AA41" i="2"/>
  <c r="AA40" i="2"/>
  <c r="AA38" i="2"/>
  <c r="AA37" i="2"/>
  <c r="X48" i="2"/>
  <c r="X47" i="2"/>
  <c r="X44" i="2"/>
  <c r="X43" i="2"/>
  <c r="X41" i="2"/>
  <c r="X40" i="2"/>
  <c r="X38" i="2"/>
  <c r="X37" i="2"/>
  <c r="U48" i="2"/>
  <c r="U47" i="2"/>
  <c r="U44" i="2"/>
  <c r="U43" i="2"/>
  <c r="U41" i="2"/>
  <c r="U40" i="2"/>
  <c r="U38" i="2"/>
  <c r="U37" i="2"/>
  <c r="R48" i="2"/>
  <c r="R47" i="2"/>
  <c r="R44" i="2"/>
  <c r="R43" i="2"/>
  <c r="R41" i="2"/>
  <c r="R40" i="2"/>
  <c r="R38" i="2"/>
  <c r="R37" i="2"/>
  <c r="O48" i="2"/>
  <c r="O47" i="2"/>
  <c r="O44" i="2"/>
  <c r="O43" i="2"/>
  <c r="O41" i="2"/>
  <c r="O40" i="2"/>
  <c r="O38" i="2"/>
  <c r="O37" i="2"/>
  <c r="AA15" i="2"/>
  <c r="AA16" i="2"/>
  <c r="AA17" i="2"/>
  <c r="AA18" i="2"/>
  <c r="AA19" i="2"/>
  <c r="AA20" i="2"/>
  <c r="AA21" i="2"/>
  <c r="AA22" i="2"/>
  <c r="AA23" i="2"/>
  <c r="AA24" i="2"/>
  <c r="AA25" i="2"/>
  <c r="AA26" i="2"/>
  <c r="AA27" i="2"/>
  <c r="AA28" i="2"/>
  <c r="AA29" i="2"/>
  <c r="AA30" i="2"/>
  <c r="AA31" i="2"/>
  <c r="AA32" i="2"/>
  <c r="AA33" i="2"/>
  <c r="AA34" i="2"/>
  <c r="X15" i="2"/>
  <c r="X16" i="2"/>
  <c r="X17" i="2"/>
  <c r="X18" i="2"/>
  <c r="X19" i="2"/>
  <c r="X20" i="2"/>
  <c r="X21" i="2"/>
  <c r="X22" i="2"/>
  <c r="X23" i="2"/>
  <c r="X24" i="2"/>
  <c r="X25" i="2"/>
  <c r="X26" i="2"/>
  <c r="X27" i="2"/>
  <c r="X28" i="2"/>
  <c r="X29" i="2"/>
  <c r="X30" i="2"/>
  <c r="X31" i="2"/>
  <c r="X32" i="2"/>
  <c r="X33" i="2"/>
  <c r="X34" i="2"/>
  <c r="U15" i="2"/>
  <c r="U16" i="2"/>
  <c r="U17" i="2"/>
  <c r="U18" i="2"/>
  <c r="U19" i="2"/>
  <c r="U20" i="2"/>
  <c r="U21" i="2"/>
  <c r="U22" i="2"/>
  <c r="U23" i="2"/>
  <c r="U24" i="2"/>
  <c r="U25" i="2"/>
  <c r="U26" i="2"/>
  <c r="U27" i="2"/>
  <c r="U28" i="2"/>
  <c r="U29" i="2"/>
  <c r="U30" i="2"/>
  <c r="U31" i="2"/>
  <c r="U32" i="2"/>
  <c r="U33" i="2"/>
  <c r="U34" i="2"/>
  <c r="R15" i="2"/>
  <c r="R16" i="2"/>
  <c r="R17" i="2"/>
  <c r="R18" i="2"/>
  <c r="R19" i="2"/>
  <c r="R20" i="2"/>
  <c r="R21" i="2"/>
  <c r="R22" i="2"/>
  <c r="R23" i="2"/>
  <c r="R24" i="2"/>
  <c r="R25" i="2"/>
  <c r="R26" i="2"/>
  <c r="R27" i="2"/>
  <c r="R28" i="2"/>
  <c r="R29" i="2"/>
  <c r="R30" i="2"/>
  <c r="R31" i="2"/>
  <c r="R32" i="2"/>
  <c r="R33" i="2"/>
  <c r="R34" i="2"/>
  <c r="O15" i="2"/>
  <c r="O16" i="2"/>
  <c r="O17" i="2"/>
  <c r="O18" i="2"/>
  <c r="O19" i="2"/>
  <c r="O20" i="2"/>
  <c r="O21" i="2"/>
  <c r="O22" i="2"/>
  <c r="O23" i="2"/>
  <c r="O24" i="2"/>
  <c r="O25" i="2"/>
  <c r="O26" i="2"/>
  <c r="O27" i="2"/>
  <c r="O28" i="2"/>
  <c r="O29" i="2"/>
  <c r="O30" i="2"/>
  <c r="O31" i="2"/>
  <c r="O32" i="2"/>
  <c r="O33" i="2"/>
  <c r="O34" i="2"/>
  <c r="AA14" i="2"/>
  <c r="X14" i="2"/>
  <c r="U14" i="2"/>
  <c r="R14" i="2"/>
  <c r="O14" i="2"/>
  <c r="L48" i="2"/>
  <c r="L47" i="2"/>
  <c r="L44" i="2"/>
  <c r="L43" i="2"/>
  <c r="L41" i="2"/>
  <c r="L40" i="2"/>
  <c r="L38" i="2"/>
  <c r="L37" i="2"/>
  <c r="L15" i="2"/>
  <c r="L16" i="2"/>
  <c r="L17" i="2"/>
  <c r="L18" i="2"/>
  <c r="L19" i="2"/>
  <c r="L20" i="2"/>
  <c r="L21" i="2"/>
  <c r="L22" i="2"/>
  <c r="L23" i="2"/>
  <c r="L24" i="2"/>
  <c r="L25" i="2"/>
  <c r="L26" i="2"/>
  <c r="L27" i="2"/>
  <c r="L28" i="2"/>
  <c r="L29" i="2"/>
  <c r="L30" i="2"/>
  <c r="L31" i="2"/>
  <c r="L32" i="2"/>
  <c r="L33" i="2"/>
  <c r="L34" i="2"/>
  <c r="L14" i="2"/>
  <c r="I41" i="2"/>
  <c r="I43" i="2"/>
  <c r="I44" i="2"/>
  <c r="I47" i="2"/>
  <c r="I48" i="2"/>
  <c r="I40" i="2"/>
  <c r="I38" i="2"/>
  <c r="I37" i="2"/>
  <c r="I15" i="2"/>
  <c r="I16" i="2"/>
  <c r="I17" i="2"/>
  <c r="I18" i="2"/>
  <c r="I19" i="2"/>
  <c r="I20" i="2"/>
  <c r="I21" i="2"/>
  <c r="I22" i="2"/>
  <c r="I23" i="2"/>
  <c r="I24" i="2"/>
  <c r="I25" i="2"/>
  <c r="I26" i="2"/>
  <c r="I27" i="2"/>
  <c r="I28" i="2"/>
  <c r="I29" i="2"/>
  <c r="I30" i="2"/>
  <c r="I31" i="2"/>
  <c r="I32" i="2"/>
  <c r="I33" i="2"/>
  <c r="I34" i="2"/>
  <c r="I14" i="2"/>
  <c r="AB48" i="2" l="1"/>
  <c r="AB30" i="2"/>
  <c r="AB37" i="2"/>
  <c r="AB14" i="2"/>
  <c r="AB15" i="2"/>
  <c r="AB26" i="2"/>
  <c r="AB41" i="2"/>
  <c r="AB34" i="2"/>
  <c r="AB31" i="2"/>
  <c r="AB27" i="2"/>
  <c r="AB23" i="2"/>
  <c r="AB22" i="2"/>
  <c r="AB19" i="2"/>
  <c r="AB18" i="2"/>
  <c r="AB47" i="2"/>
  <c r="AB25" i="2"/>
  <c r="AB38" i="2"/>
  <c r="AB33" i="2"/>
  <c r="AB29" i="2"/>
  <c r="AB21" i="2"/>
  <c r="AB17" i="2"/>
  <c r="AB44" i="2"/>
  <c r="AB32" i="2"/>
  <c r="AB28" i="2"/>
  <c r="AB24" i="2"/>
  <c r="AB20" i="2"/>
  <c r="AB16" i="2"/>
  <c r="AB40" i="2"/>
  <c r="AB43" i="2"/>
  <c r="Z51" i="2"/>
  <c r="Y51" i="2"/>
  <c r="W51" i="2"/>
  <c r="V51" i="2"/>
  <c r="T51" i="2"/>
  <c r="S51" i="2"/>
  <c r="Q51" i="2"/>
  <c r="P51" i="2"/>
  <c r="N51" i="2"/>
  <c r="M51" i="2"/>
  <c r="K51" i="2"/>
  <c r="J51" i="2"/>
  <c r="H51" i="2"/>
  <c r="G51" i="2"/>
  <c r="Y5" i="2"/>
  <c r="V5" i="2"/>
  <c r="S5" i="2"/>
  <c r="P5" i="2"/>
  <c r="M5" i="2"/>
  <c r="J5" i="2"/>
  <c r="G39" i="2"/>
  <c r="G36" i="2"/>
  <c r="G5" i="2"/>
  <c r="Z5" i="2"/>
  <c r="W5" i="2"/>
  <c r="T5" i="2"/>
  <c r="Q5" i="2"/>
  <c r="N5" i="2"/>
  <c r="K5" i="2"/>
  <c r="L36" i="2"/>
  <c r="L39" i="2"/>
  <c r="R36" i="2"/>
  <c r="R39" i="2"/>
  <c r="X36" i="2"/>
  <c r="X39" i="2"/>
  <c r="AB36" i="2" l="1"/>
  <c r="AB39" i="2"/>
  <c r="AA39" i="2"/>
  <c r="U39" i="2"/>
  <c r="O39" i="2"/>
  <c r="I39" i="2"/>
  <c r="H39" i="2"/>
  <c r="AA36" i="2"/>
  <c r="U36" i="2"/>
  <c r="O36" i="2"/>
  <c r="I36" i="2"/>
  <c r="H36" i="2"/>
  <c r="H5" i="2" l="1"/>
</calcChain>
</file>

<file path=xl/comments1.xml><?xml version="1.0" encoding="utf-8"?>
<comments xmlns="http://schemas.openxmlformats.org/spreadsheetml/2006/main">
  <authors>
    <author>Mauricio Ahumada (DBNeTCorp)</author>
  </authors>
  <commentList>
    <comment ref="AC4" authorId="0" shapeId="0">
      <text>
        <r>
          <rPr>
            <b/>
            <sz val="9"/>
            <color indexed="81"/>
            <rFont val="Tahoma"/>
            <family val="2"/>
          </rPr>
          <t>Según instructivo de la SVS, este bloque no es validado como la suma de los elementos anteriores.</t>
        </r>
      </text>
    </comment>
  </commentList>
</comments>
</file>

<file path=xl/comments2.xml><?xml version="1.0" encoding="utf-8"?>
<comments xmlns="http://schemas.openxmlformats.org/spreadsheetml/2006/main">
  <authors>
    <author>Mauricio Ahumada (DBNeTCorp)</author>
  </authors>
  <commentList>
    <comment ref="I4" authorId="0" shapeId="0">
      <text>
        <r>
          <rPr>
            <b/>
            <sz val="9"/>
            <color indexed="81"/>
            <rFont val="Tahoma"/>
            <family val="2"/>
          </rPr>
          <t>Según instructivo de la SVS, este bloque no es validado como la suma de los elementos anteriores.</t>
        </r>
      </text>
    </comment>
  </commentList>
</comments>
</file>

<file path=xl/sharedStrings.xml><?xml version="1.0" encoding="utf-8"?>
<sst xmlns="http://schemas.openxmlformats.org/spreadsheetml/2006/main" count="1083" uniqueCount="603">
  <si>
    <t xml:space="preserve"> </t>
  </si>
  <si>
    <t>Agregar columna opcional</t>
  </si>
  <si>
    <r>
      <t xml:space="preserve">INSTRUCCIONES DE LLENADO
</t>
    </r>
    <r>
      <rPr>
        <sz val="10"/>
        <rFont val="Calibri"/>
        <family val="2"/>
      </rPr>
      <t xml:space="preserve">Esta dimensión puede ser extendida agregando columnas (miembros) adicionales a las definidas por taxonomía.
-Las columnas marcadas con línea punteada roja y con fondo verde indican las posiciones donde es posible agregar elementos.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t>
    </r>
    <r>
      <rPr>
        <sz val="10"/>
        <color indexed="10"/>
        <rFont val="Calibri"/>
        <family val="2"/>
      </rPr>
      <t xml:space="preserve">-Si se presiona el botón </t>
    </r>
    <r>
      <rPr>
        <b/>
        <sz val="10"/>
        <color indexed="10"/>
        <rFont val="Calibri"/>
        <family val="2"/>
      </rPr>
      <t>'Copiar Columna'</t>
    </r>
    <r>
      <rPr>
        <sz val="10"/>
        <color indexed="10"/>
        <rFont val="Calibri"/>
        <family val="2"/>
      </rPr>
      <t xml:space="preserve"> se copiará una columna  a la derecha de la columna actualmente seleccionada. </t>
    </r>
    <r>
      <rPr>
        <sz val="10"/>
        <rFont val="Calibri"/>
        <family val="2"/>
      </rPr>
      <t xml:space="preserve">
-Edite las columnas</t>
    </r>
    <r>
      <rPr>
        <b/>
        <sz val="10"/>
        <rFont val="Calibri"/>
        <family val="2"/>
      </rPr>
      <t xml:space="preserve"> coloreadas verde </t>
    </r>
    <r>
      <rPr>
        <sz val="10"/>
        <rFont val="Calibri"/>
        <family val="2"/>
      </rPr>
      <t xml:space="preserve">de acuerdo a sus necesidades.
-Las columnas verdes pueden ser editadas, eliminadas o duplicadas, así puede agregar mas detalle donde corresponda. Asegúrese de copiar la columna completa si desea duplicar un elemento (Se recomienda utilizar el botón 'Copiar Columna').
-Las columnas marcadas en plomo </t>
    </r>
    <r>
      <rPr>
        <b/>
        <sz val="10"/>
        <rFont val="Calibri"/>
        <family val="2"/>
      </rPr>
      <t>no deben ser editadas, eliminadas ni movidas.</t>
    </r>
  </si>
  <si>
    <t>Elimine la(s) columnas en verde que no apliquen para usted</t>
  </si>
  <si>
    <t>ACT</t>
  </si>
  <si>
    <t xml:space="preserve">    Información a revelar sobre partes relacionadas [bloque de texto]  </t>
  </si>
  <si>
    <t xml:space="preserve">      Nombre de la entidad controladora  [Texto]</t>
  </si>
  <si>
    <t xml:space="preserve">      Nombre de la controladora última del grupo  [Texto]</t>
  </si>
  <si>
    <t xml:space="preserve">      El nombre de la controladora intermedia más próxima que elabora estados financieros disponibles públicamente  [Texto]</t>
  </si>
  <si>
    <t xml:space="preserve">      Explicación de la relación entre controladoras y subsidiarias  [Texto]</t>
  </si>
  <si>
    <t xml:space="preserve">      Información a revelar sobre transacciones entre partes relacionadas [bloque de texto]  </t>
  </si>
  <si>
    <t xml:space="preserve">Controladora [miembro]  </t>
  </si>
  <si>
    <t xml:space="preserve">Control conjunto o influencia significativa [miembro]  </t>
  </si>
  <si>
    <t xml:space="preserve">Subsidiarias [miembro]  </t>
  </si>
  <si>
    <t xml:space="preserve">Asociadas [miembro]  </t>
  </si>
  <si>
    <t xml:space="preserve">Negocios conjuntos en los que la entidad es partícipe [miembro]  </t>
  </si>
  <si>
    <t xml:space="preserve">Personal clave de la gerencia de la entidad o de la controladora [miembro]  </t>
  </si>
  <si>
    <t xml:space="preserve">Otras partes relacionadas [miembro]  </t>
  </si>
  <si>
    <t xml:space="preserve">Partes relacionadas [miembro]  </t>
  </si>
  <si>
    <t xml:space="preserve">Total de la entidad por partes relacionadas [miembro]  </t>
  </si>
  <si>
    <t xml:space="preserve">          Información a revelar sobre transacciones entre partes relacionadas [partidas]  </t>
  </si>
  <si>
    <t xml:space="preserve">            Nombre parte relacionada  [Texto]</t>
  </si>
  <si>
    <t xml:space="preserve">            RUT parte relacionada  [Texto]</t>
  </si>
  <si>
    <t xml:space="preserve">            Descripción de transacciones con partes relacionadas  [Texto]</t>
  </si>
  <si>
    <t xml:space="preserve">            Descripción de la naturaleza de la relación entre partes relacionadas  [Texto]</t>
  </si>
  <si>
    <t xml:space="preserve">            Transacciones con partes relacionadas [sinopsis]  </t>
  </si>
  <si>
    <t xml:space="preserve">              Compras de bienes, transacciones con partes relacionadas  [Número]</t>
  </si>
  <si>
    <t xml:space="preserve">              Ingresos por venta de bienes, transacciones con partes relacionadas  [Número]</t>
  </si>
  <si>
    <t xml:space="preserve">              Compras de inmuebles y otros activos, transacciones con partes relacionadas  [Número]</t>
  </si>
  <si>
    <t xml:space="preserve">              Ventas de inmuebles y otros activos, transacciones con partes relacionadas  [Número]</t>
  </si>
  <si>
    <t xml:space="preserve">              Servicios recibidos, transacciones con partes relacionadas  [Número]</t>
  </si>
  <si>
    <t xml:space="preserve">              Ingresos por servicios prestados, transacciones con partes relacionadas  [Número]</t>
  </si>
  <si>
    <t xml:space="preserve">              Arrendamientos como arrendador, transacciones con partes relacionadas  [Número]</t>
  </si>
  <si>
    <t xml:space="preserve">              Arrendamientos como arrendatario, transacciones con partes relacionadas  [Número]</t>
  </si>
  <si>
    <t xml:space="preserve">              Transferencias de investigación y desarrollo desde la entidad, transacciones con partes relacionadas  [Número]</t>
  </si>
  <si>
    <t xml:space="preserve">              Transferencias de investigación y desarrollo a la entidad, transacciones con partes relacionadas  [Número]</t>
  </si>
  <si>
    <t xml:space="preserve">              Transferencias en función de acuerdos de licencias desde la entidad, transacciones con partes relacionadas  [Número]</t>
  </si>
  <si>
    <t xml:space="preserve">              Transferencias en función de acuerdos de licencias a la entidad, transacciones con partes relacionadas  [Número]</t>
  </si>
  <si>
    <t xml:space="preserve">              Transferencias en función de acuerdos de financiación desde la entidad, transacciones con partes relacionadas  [Número]</t>
  </si>
  <si>
    <t xml:space="preserve">              Transferencias en función de acuerdos de financiación a la entidad, transacciones con partes relacionadas  [Número]</t>
  </si>
  <si>
    <t xml:space="preserve">              Otorgamiento de garantías y avales por la entidad, transacciones partes relacionadas  [Número]</t>
  </si>
  <si>
    <t xml:space="preserve">              Otorgamiento de garantías y avales a la entidad, transacciones partes relacionadas  [Número]</t>
  </si>
  <si>
    <t xml:space="preserve">              Compromisos asumidos por la entidad, transacciones partes relacionadas  [Número]</t>
  </si>
  <si>
    <t xml:space="preserve">              Compromisos asumidos en nombre de la entidad, transacciones partes relacionadas  [Número]</t>
  </si>
  <si>
    <t xml:space="preserve">              Liquidación de pasivos por la entidad en nombre de esa parte relacionada, transacciones partes relacionadas  [Número]</t>
  </si>
  <si>
    <t xml:space="preserve">              Liquidación de pasivos en nombre de la entidad por esa parte relacionada, transacciones partes relacionadas  [Número]</t>
  </si>
  <si>
    <t xml:space="preserve">              Participación en planes de beneficios definidos donde se comparte riesgos entre entidades del grupo, transacciones partes relacionadas  [Número]</t>
  </si>
  <si>
    <t xml:space="preserve">            Saldos pendientes por transacciones con partes relacionadas [sinopsis]  </t>
  </si>
  <si>
    <t xml:space="preserve">              Cuentas por cobrar a entidades relacionadas  [Número]</t>
  </si>
  <si>
    <t xml:space="preserve">                Cuentas por cobrar a entidades relacionadas, corrientes  [Número]</t>
  </si>
  <si>
    <t xml:space="preserve">                Cuentas por cobrar a entidades relacionadas, no corrientes  [Número]</t>
  </si>
  <si>
    <t xml:space="preserve">              Cuentas por pagar a entidades relacionadas  [Número]</t>
  </si>
  <si>
    <t xml:space="preserve">                Cuentas por pagar a entidades relacionadas, corrientes  [Número]</t>
  </si>
  <si>
    <t xml:space="preserve">                Cuentas por pagar a entidades relacionadas, no corrientes  [Número]</t>
  </si>
  <si>
    <t xml:space="preserve">              Compromisos pendientes hechos por la entidad, transacciones partes relacionadas  [Número]</t>
  </si>
  <si>
    <t xml:space="preserve">              Compromisos pendientes hechos en nombre de la entidad, transacciones partes relacionadas  [Número]</t>
  </si>
  <si>
    <t xml:space="preserve">              Explicación de los términos y condiciones de saldos existentes por transacciones entre partes relacionadas  [Texto]</t>
  </si>
  <si>
    <t xml:space="preserve">              Explicación de los detalles de garantías otorgadas o recibidas de saldos pendientes para transacciones con partes relacionadas  [Texto]</t>
  </si>
  <si>
    <t xml:space="preserve">            Provisiones por deudas de dudoso cobro relativas a saldos pendientes de transacciones con partes relacionadas  [Número]</t>
  </si>
  <si>
    <t xml:space="preserve">            Gastos reconocidos durante el periodo por deudas de dudoso cobro para transacciones entre partes relacionadas  [Número]</t>
  </si>
  <si>
    <t xml:space="preserve">Información a revelar sobre transacciones entre partes relacionadas [sinopsis]  </t>
  </si>
  <si>
    <t xml:space="preserve">      Información a revelar de que las transacciones entre partes relacionadas se han llevado a cabo en condiciones de equivalencia a las transacciones con independencia mutua entre las partes  [Texto]</t>
  </si>
  <si>
    <t xml:space="preserve">      Explicación de si la entidad aplica la exención del NIC24.25  [Texto]</t>
  </si>
  <si>
    <t xml:space="preserve">        Nombre del gobierno y naturaleza de la relación con el gobierno  [Texto]</t>
  </si>
  <si>
    <t xml:space="preserve">        Explicación de la naturaleza e importe de transacciones significativas  [Texto]</t>
  </si>
  <si>
    <t xml:space="preserve">        Descripción de otras transacciones que son conjuntamente significativas  [Texto]</t>
  </si>
  <si>
    <t>AAN</t>
  </si>
  <si>
    <t>INI</t>
  </si>
  <si>
    <t xml:space="preserve">        Información a revelar sobre transacciones entre partes relacionadas - Periodo Actual [sinopsis]  </t>
  </si>
  <si>
    <t xml:space="preserve">        Información a revelar sobre transacciones entre partes relacionadas - Cierre Anual Anterior [sinopsis]  </t>
  </si>
  <si>
    <t xml:space="preserve">          Información a revelar sobre importes incurridos por la entidad para la provisión de servicios de personal clave de la gerencia que se presten por una entidad de gestión separada [partidas]</t>
  </si>
  <si>
    <t>Entidades de gestión separadas [miembro]</t>
  </si>
  <si>
    <t xml:space="preserve">        Información a revelar sobre importes incurridos por la entidad para la provisión de servicios de personal clave de la gerencia que se presten por una entidad de gestión separada - Periodo Actual [sinopsis]  </t>
  </si>
  <si>
    <t>CHL: Chile</t>
  </si>
  <si>
    <t>AND: Andorra</t>
  </si>
  <si>
    <t>ARE: United Arab Emirates (the)</t>
  </si>
  <si>
    <t>AFG: Afghanistan</t>
  </si>
  <si>
    <t>ATG: Antigua and Barbuda</t>
  </si>
  <si>
    <t>AIA: Anguilla</t>
  </si>
  <si>
    <t>ALB: Albania</t>
  </si>
  <si>
    <t>ARM: Armenia</t>
  </si>
  <si>
    <t>AGO: Angola</t>
  </si>
  <si>
    <t>ATA: Antarctica</t>
  </si>
  <si>
    <t>ARG: Argentina</t>
  </si>
  <si>
    <t>ASM: American Samoa</t>
  </si>
  <si>
    <t>AUT: Austria</t>
  </si>
  <si>
    <t>AUS: Australia</t>
  </si>
  <si>
    <t>ABW: Aruba</t>
  </si>
  <si>
    <t>AZE: Azerbaijan</t>
  </si>
  <si>
    <t>BIH: Bosnia and Herzegovina</t>
  </si>
  <si>
    <t>BRB: Barbados</t>
  </si>
  <si>
    <t>BGD: Bangladesh</t>
  </si>
  <si>
    <t>BEL: Belgium</t>
  </si>
  <si>
    <t>BFA: Burkina Faso</t>
  </si>
  <si>
    <t>BGR: Bulgaria</t>
  </si>
  <si>
    <t>BHR: Bahrain</t>
  </si>
  <si>
    <t>BDI: Burundi</t>
  </si>
  <si>
    <t>BEN: Benin</t>
  </si>
  <si>
    <t>BMU: Bermuda</t>
  </si>
  <si>
    <t>BRN: Brunei Darussalam</t>
  </si>
  <si>
    <t>BOL: Bolivia, Plurinational State of</t>
  </si>
  <si>
    <t>BES: Bonaire, Sint Eustatius and Saba</t>
  </si>
  <si>
    <t>BRA: Brazil</t>
  </si>
  <si>
    <t>BHS: Bahamas (the)</t>
  </si>
  <si>
    <t>BTN: Bhutan</t>
  </si>
  <si>
    <t>BVT: Bouvet Island</t>
  </si>
  <si>
    <t>BWA: Botswana</t>
  </si>
  <si>
    <t>BLR: Belarus</t>
  </si>
  <si>
    <t>BLZ: Belize</t>
  </si>
  <si>
    <t>CAN: Canada</t>
  </si>
  <si>
    <t>CCK: Cocos (Keeling) Islands (the)</t>
  </si>
  <si>
    <t>COD: Congo (the Democratic Republic of the)</t>
  </si>
  <si>
    <t>CAF: Central African Republic (the)</t>
  </si>
  <si>
    <t>COG: Congo</t>
  </si>
  <si>
    <t>CHE: Switzerland</t>
  </si>
  <si>
    <t>COK: Cook Islands (the)</t>
  </si>
  <si>
    <t>CMR: Cameroon</t>
  </si>
  <si>
    <t>CHN: China</t>
  </si>
  <si>
    <t>COL: Colombia</t>
  </si>
  <si>
    <t>CRI: Costa Rica</t>
  </si>
  <si>
    <t>CUB: Cuba</t>
  </si>
  <si>
    <t>CPV: Cabo Verde</t>
  </si>
  <si>
    <t>CXR: Christmas Island</t>
  </si>
  <si>
    <t>CYP: Cyprus</t>
  </si>
  <si>
    <t>CZE: Czech Republic (the)</t>
  </si>
  <si>
    <t>DEU: Germany</t>
  </si>
  <si>
    <t>DJI: Djibouti</t>
  </si>
  <si>
    <t>DNK: Denmark</t>
  </si>
  <si>
    <t>DMA: Dominica</t>
  </si>
  <si>
    <t>DOM: Dominican Republic (the)</t>
  </si>
  <si>
    <t>DZA: Algeria</t>
  </si>
  <si>
    <t>ECU: Ecuador</t>
  </si>
  <si>
    <t>EST: Estonia</t>
  </si>
  <si>
    <t>EGY: Egypt</t>
  </si>
  <si>
    <t>ESH: Western Sahara*</t>
  </si>
  <si>
    <t>ERI: Eritrea</t>
  </si>
  <si>
    <t>ESP: Spain</t>
  </si>
  <si>
    <t>ETH: Ethiopia</t>
  </si>
  <si>
    <t>FIN: Finland</t>
  </si>
  <si>
    <t>FJI: Fiji</t>
  </si>
  <si>
    <t>FLK: Falkland Islands (the) [Malvinas]</t>
  </si>
  <si>
    <t>FSM: Micronesia (the Federated States of)</t>
  </si>
  <si>
    <t>FRO: Faroe Islands (the)</t>
  </si>
  <si>
    <t>FRA: France</t>
  </si>
  <si>
    <t>GAB: Gabon</t>
  </si>
  <si>
    <t>GBR: United Kingdom (the)</t>
  </si>
  <si>
    <t>GRD: Grenada</t>
  </si>
  <si>
    <t>GEO: Georgia</t>
  </si>
  <si>
    <t>GUF: French Guiana</t>
  </si>
  <si>
    <t>GGY: Guernsey</t>
  </si>
  <si>
    <t>GHA: Ghana</t>
  </si>
  <si>
    <t>GIB: Gibraltar</t>
  </si>
  <si>
    <t>GRL: Greenland</t>
  </si>
  <si>
    <t>GMB: Gambia (The)</t>
  </si>
  <si>
    <t>GIN: Guinea</t>
  </si>
  <si>
    <t>GLP: Guadeloupe</t>
  </si>
  <si>
    <t>GNQ: Equatorial Guinea</t>
  </si>
  <si>
    <t>GRC: Greece</t>
  </si>
  <si>
    <t>SGS: South Georgia and the South Sandwich Islands</t>
  </si>
  <si>
    <t>GTM: Guatemala</t>
  </si>
  <si>
    <t>GUM: Guam</t>
  </si>
  <si>
    <t>GNB: Guinea-Bissau</t>
  </si>
  <si>
    <t>GUY: Guyana</t>
  </si>
  <si>
    <t>HKG: Hong Kong</t>
  </si>
  <si>
    <t>HMD: Heard Island and McDonald Islands</t>
  </si>
  <si>
    <t>HND: Honduras</t>
  </si>
  <si>
    <t>HRV: Croatia</t>
  </si>
  <si>
    <t>HTI: Haiti</t>
  </si>
  <si>
    <t>HUN: Hungary</t>
  </si>
  <si>
    <t>IDN: Indonesia</t>
  </si>
  <si>
    <t>IRL: Ireland</t>
  </si>
  <si>
    <t>ISR: Israel</t>
  </si>
  <si>
    <t>IMN: Isle of Man</t>
  </si>
  <si>
    <t>IND: India</t>
  </si>
  <si>
    <t>IOT: British Indian Ocean Territory (the)</t>
  </si>
  <si>
    <t>IRQ: Iraq</t>
  </si>
  <si>
    <t>IRN: Iran (the Islamic Republic of)</t>
  </si>
  <si>
    <t>ISL: Iceland</t>
  </si>
  <si>
    <t>ITA: Italy</t>
  </si>
  <si>
    <t>JEY: Jersey</t>
  </si>
  <si>
    <t>JAM: Jamaica</t>
  </si>
  <si>
    <t>JOR: Jordan</t>
  </si>
  <si>
    <t>JPN: Japan</t>
  </si>
  <si>
    <t>KEN: Kenya</t>
  </si>
  <si>
    <t>KGZ: Kyrgyzstan</t>
  </si>
  <si>
    <t>KHM: Cambodia</t>
  </si>
  <si>
    <t>KIR: Kiribati</t>
  </si>
  <si>
    <t>COM: Comoros</t>
  </si>
  <si>
    <t>KNA: Saint Kitts and Nevis</t>
  </si>
  <si>
    <t>PRK: Korea (the Democratic People's Republic of)</t>
  </si>
  <si>
    <t>KOR: Korea (the Republic of)</t>
  </si>
  <si>
    <t>KWT: Kuwait</t>
  </si>
  <si>
    <t>CYM: Cayman Islands (the)</t>
  </si>
  <si>
    <t>KAZ: Kazakhstan</t>
  </si>
  <si>
    <t>LAO: Lao People's Democratic Republic (the)</t>
  </si>
  <si>
    <t>LBN: Lebanon</t>
  </si>
  <si>
    <t>LCA: Saint Lucia</t>
  </si>
  <si>
    <t>LIE: Liechtenstein</t>
  </si>
  <si>
    <t>LKA: Sri Lanka</t>
  </si>
  <si>
    <t>LBR: Liberia</t>
  </si>
  <si>
    <t>LSO: Lesotho</t>
  </si>
  <si>
    <t>LTU: Lithuania</t>
  </si>
  <si>
    <t>LUX: Luxembourg</t>
  </si>
  <si>
    <t>LVA: Latvia</t>
  </si>
  <si>
    <t>LBY: Libya</t>
  </si>
  <si>
    <t>MAR: Morocco</t>
  </si>
  <si>
    <t>MCO: Monaco</t>
  </si>
  <si>
    <t>MDA: Moldova (the Republic of)</t>
  </si>
  <si>
    <t>MNE: Montenegro</t>
  </si>
  <si>
    <t>MAF: Saint Martin (French part)</t>
  </si>
  <si>
    <t>MDG: Madagascar</t>
  </si>
  <si>
    <t>MHL: Marshall Islands (the)</t>
  </si>
  <si>
    <t>MKD: Macedonia (the former Yugoslav Republic of)</t>
  </si>
  <si>
    <t>MLI: Mali</t>
  </si>
  <si>
    <t>MMR: Myanmar</t>
  </si>
  <si>
    <t>MNG: Mongolia</t>
  </si>
  <si>
    <t>MAC: Macao</t>
  </si>
  <si>
    <t>MNP: Northern Mariana Islands (the)</t>
  </si>
  <si>
    <t>MTQ: Martinique</t>
  </si>
  <si>
    <t>MRT: Mauritania</t>
  </si>
  <si>
    <t>MSR: Montserrat</t>
  </si>
  <si>
    <t>MLT: Malta</t>
  </si>
  <si>
    <t>MUS: Mauritius</t>
  </si>
  <si>
    <t>MDV: Maldives</t>
  </si>
  <si>
    <t>MWI: Malawi</t>
  </si>
  <si>
    <t>MEX: Mexico</t>
  </si>
  <si>
    <t>MYS: Malaysia</t>
  </si>
  <si>
    <t>MOZ: Mozambique</t>
  </si>
  <si>
    <t>NAM: Namibia</t>
  </si>
  <si>
    <t>NCL: New Caledonia</t>
  </si>
  <si>
    <t>NER: Niger (the)</t>
  </si>
  <si>
    <t>NFK: Norfolk Island</t>
  </si>
  <si>
    <t>NGA: Nigeria</t>
  </si>
  <si>
    <t>NIC: Nicaragua</t>
  </si>
  <si>
    <t>NLD: Netherlands (the)</t>
  </si>
  <si>
    <t>NOR: Norway</t>
  </si>
  <si>
    <t>NPL: Nepal</t>
  </si>
  <si>
    <t>NRU: Nauru</t>
  </si>
  <si>
    <t>NIU: Niue</t>
  </si>
  <si>
    <t>NZL: New Zealand</t>
  </si>
  <si>
    <t>OMN: Oman</t>
  </si>
  <si>
    <t>PAN: Panama</t>
  </si>
  <si>
    <t>PER: Peru</t>
  </si>
  <si>
    <t>PYF: French Polynesia</t>
  </si>
  <si>
    <t>PNG: Papua New Guinea</t>
  </si>
  <si>
    <t>PHL: Philippines (the)</t>
  </si>
  <si>
    <t>PAK: Pakistan</t>
  </si>
  <si>
    <t>POL: Poland</t>
  </si>
  <si>
    <t>SPM: Saint Pierre and Miquelon</t>
  </si>
  <si>
    <t>PCN: Pitcairn</t>
  </si>
  <si>
    <t>PRI: Puerto Rico</t>
  </si>
  <si>
    <t>PSE: Palestine, State of</t>
  </si>
  <si>
    <t>PRT: Portugal</t>
  </si>
  <si>
    <t>PLW: Palau</t>
  </si>
  <si>
    <t>PRY: Paraguay</t>
  </si>
  <si>
    <t>QAT: Qatar</t>
  </si>
  <si>
    <t>ROU: Romania</t>
  </si>
  <si>
    <t>SRB: Serbia</t>
  </si>
  <si>
    <t>RUS: Russian Federation (the)</t>
  </si>
  <si>
    <t>RWA: Rwanda</t>
  </si>
  <si>
    <t>SAU: Saudi Arabia</t>
  </si>
  <si>
    <t>SLB: Solomon Islands (the)</t>
  </si>
  <si>
    <t>SYC: Seychelles</t>
  </si>
  <si>
    <t>SDN: Sudan (the)</t>
  </si>
  <si>
    <t>SWE: Sweden</t>
  </si>
  <si>
    <t>SGP: Singapore</t>
  </si>
  <si>
    <t>SHN: Saint Helena, Ascension and Tristan da Cunha</t>
  </si>
  <si>
    <t>SVN: Slovenia</t>
  </si>
  <si>
    <t>SJM: Svalbard and Jan Mayen</t>
  </si>
  <si>
    <t>SVK: Slovakia</t>
  </si>
  <si>
    <t>SLE: Sierra Leone</t>
  </si>
  <si>
    <t>SMR: San Marino</t>
  </si>
  <si>
    <t>SEN: Senegal</t>
  </si>
  <si>
    <t>SOM: Somalia</t>
  </si>
  <si>
    <t>SUR: Suriname</t>
  </si>
  <si>
    <t>SSD: South Sudan</t>
  </si>
  <si>
    <t>STP: Sao Tome and Principe</t>
  </si>
  <si>
    <t>SLV: El Salvador</t>
  </si>
  <si>
    <t>SXM: Sint Maarten (Dutch part)</t>
  </si>
  <si>
    <t>SYR: Syrian Arab Republic (the)</t>
  </si>
  <si>
    <t>SWZ: Swaziland</t>
  </si>
  <si>
    <t>TCA: Turks and Caicos Islands (the)</t>
  </si>
  <si>
    <t>TCD: Chad</t>
  </si>
  <si>
    <t>ATF: French Southern Territories (the)</t>
  </si>
  <si>
    <t>TGO: Togo</t>
  </si>
  <si>
    <t>THA: Thailand</t>
  </si>
  <si>
    <t>TJK: Tajikistan</t>
  </si>
  <si>
    <t>TKL: Tokelau</t>
  </si>
  <si>
    <t>TLS: Timor-Leste</t>
  </si>
  <si>
    <t>TKM: Turkmenistan</t>
  </si>
  <si>
    <t>TUN: Tunisia</t>
  </si>
  <si>
    <t>TON: Tonga</t>
  </si>
  <si>
    <t>TUR: Turkey</t>
  </si>
  <si>
    <t>TTO: Trinidad and Tobago</t>
  </si>
  <si>
    <t>TUV: Tuvalu</t>
  </si>
  <si>
    <t>TWN: Taiwan (Province of China)</t>
  </si>
  <si>
    <t>TZA: Tanzania, United Republic of</t>
  </si>
  <si>
    <t>UKR: Ukraine</t>
  </si>
  <si>
    <t>UGA: Uganda</t>
  </si>
  <si>
    <t>UMI: United States Minor Outlying Islands (the)</t>
  </si>
  <si>
    <t>USA: United States (the)</t>
  </si>
  <si>
    <t>URY: Uruguay</t>
  </si>
  <si>
    <t>UZB: Uzbekistan</t>
  </si>
  <si>
    <t>VAT: Holy See (the) [Vatican City State]</t>
  </si>
  <si>
    <t>VCT: Saint Vincent and the Grenadines</t>
  </si>
  <si>
    <t>VGB: Virgin Islands (British)</t>
  </si>
  <si>
    <t>VIR: Virgin Islands (U.S.)</t>
  </si>
  <si>
    <t>VNM: Viet Nam</t>
  </si>
  <si>
    <t>VUT: Vanuatu</t>
  </si>
  <si>
    <t>WLF: Wallis and Futuna</t>
  </si>
  <si>
    <t>WSM: Samoa</t>
  </si>
  <si>
    <t>YEM: Yemen</t>
  </si>
  <si>
    <t>MYT: Mayotte</t>
  </si>
  <si>
    <t>ZAF: South Africa</t>
  </si>
  <si>
    <t>ZMB: Zambia</t>
  </si>
  <si>
    <t>ZWE: Zimbabwe</t>
  </si>
  <si>
    <t>CLP: Chilean Peso</t>
  </si>
  <si>
    <t>CLF: Unidad de Fomento</t>
  </si>
  <si>
    <t>USD: US Dollar</t>
  </si>
  <si>
    <t>AED: UAE Dirham</t>
  </si>
  <si>
    <t>AFN: Afghani</t>
  </si>
  <si>
    <t>ALL: Lek</t>
  </si>
  <si>
    <t>AMD: Armenian Dram</t>
  </si>
  <si>
    <t>ANG: Netherlands Antillean Guilder</t>
  </si>
  <si>
    <t>AOA: Kwanza</t>
  </si>
  <si>
    <t>ARS: Argentine Peso</t>
  </si>
  <si>
    <t>AUD: Australian Dollar</t>
  </si>
  <si>
    <t>AWG: Aruban Florin</t>
  </si>
  <si>
    <t>AZN: Azerbaijanian Manat</t>
  </si>
  <si>
    <t>BAM: Convertible Mark</t>
  </si>
  <si>
    <t>BBD: Barbados Dollar</t>
  </si>
  <si>
    <t>BDT: Taka</t>
  </si>
  <si>
    <t>BGN: Bulgarian Lev</t>
  </si>
  <si>
    <t>BHD: Bahraini Dinar</t>
  </si>
  <si>
    <t>BIF: Burundi Franc</t>
  </si>
  <si>
    <t>BMD: Bermudian Dollar</t>
  </si>
  <si>
    <t>BND: Brunei Dollar</t>
  </si>
  <si>
    <t>BOB: Boliviano</t>
  </si>
  <si>
    <t>BOV: Mvdol</t>
  </si>
  <si>
    <t>BRL: Brazilian Real</t>
  </si>
  <si>
    <t>BSD: Bahamian Dollar</t>
  </si>
  <si>
    <t>BTN: Ngultrum</t>
  </si>
  <si>
    <t>BWP: Pula</t>
  </si>
  <si>
    <t>BYR: Belarussian Ruble</t>
  </si>
  <si>
    <t>BZD: Belize Dollar</t>
  </si>
  <si>
    <t>CAD: Canadian Dollar</t>
  </si>
  <si>
    <t>CDF: Congolese Franc</t>
  </si>
  <si>
    <t>CHE: WIR Euro</t>
  </si>
  <si>
    <t>CHF: Swiss Franc</t>
  </si>
  <si>
    <t>CHW: WIR Franc</t>
  </si>
  <si>
    <t>CNY: Yuan Renminbi</t>
  </si>
  <si>
    <t>COP: Colombian Peso</t>
  </si>
  <si>
    <t>COU: Unidad de Valor Real</t>
  </si>
  <si>
    <t>CRC: Costa Rican Colon</t>
  </si>
  <si>
    <t>CUC: Peso Convertible</t>
  </si>
  <si>
    <t>CUP: Cuban Peso</t>
  </si>
  <si>
    <t>CVE: Cabo Verde Escudo</t>
  </si>
  <si>
    <t>CZK: Czech Koruna</t>
  </si>
  <si>
    <t>DJF: Djibouti Franc</t>
  </si>
  <si>
    <t>DKK: Danish Krone</t>
  </si>
  <si>
    <t>DOP: Dominican Peso</t>
  </si>
  <si>
    <t>DZD: Algerian Dinar</t>
  </si>
  <si>
    <t>EGP: Egyptian Pound</t>
  </si>
  <si>
    <t>ERN: Nakfa</t>
  </si>
  <si>
    <t>ETB: Ethiopian Birr</t>
  </si>
  <si>
    <t>EUR: Euro</t>
  </si>
  <si>
    <t>FJD: Fiji Dollar</t>
  </si>
  <si>
    <t>FKP: Falkland Islands Pound</t>
  </si>
  <si>
    <t>GBP: Pound Sterling</t>
  </si>
  <si>
    <t>GEL: Lari</t>
  </si>
  <si>
    <t>GHS: Ghana Cedi</t>
  </si>
  <si>
    <t>GIP: Gibraltar Pound</t>
  </si>
  <si>
    <t>GMD: Dalasi</t>
  </si>
  <si>
    <t>GNF: Guinea Franc</t>
  </si>
  <si>
    <t>GTQ: Quetzal</t>
  </si>
  <si>
    <t>HKD: Hong Kong Dollar</t>
  </si>
  <si>
    <t>HNL: Lempira</t>
  </si>
  <si>
    <t>HTG: Gourde</t>
  </si>
  <si>
    <t>HUF: Forint</t>
  </si>
  <si>
    <t>IDR: Rupiah</t>
  </si>
  <si>
    <t>ILS: New Israeli Sheqel</t>
  </si>
  <si>
    <t>INR: Indian Rupee</t>
  </si>
  <si>
    <t>IQD: Iraqi Dinar</t>
  </si>
  <si>
    <t>IRR: Iranian Rial</t>
  </si>
  <si>
    <t>ISK: Iceland Krona</t>
  </si>
  <si>
    <t>JMD: Jamaican Dollar</t>
  </si>
  <si>
    <t>JOD: Jordanian Dinar</t>
  </si>
  <si>
    <t>JPY: Yen</t>
  </si>
  <si>
    <t>KES: Kenyan Shilling</t>
  </si>
  <si>
    <t>KGS: Som</t>
  </si>
  <si>
    <t>KHR: Riel</t>
  </si>
  <si>
    <t>KMF: Comoro Franc</t>
  </si>
  <si>
    <t>KPW: North Korean Won</t>
  </si>
  <si>
    <t>KRW: Won</t>
  </si>
  <si>
    <t>KWD: Kuwaiti Dinar</t>
  </si>
  <si>
    <t>KYD: Cayman Islands Dollar</t>
  </si>
  <si>
    <t>KZT: Tenge</t>
  </si>
  <si>
    <t>LAK: Kip</t>
  </si>
  <si>
    <t>LBP: Lebanese Pound</t>
  </si>
  <si>
    <t>LKR: Sri Lanka Rupee</t>
  </si>
  <si>
    <t>LRD: Liberian Dollar</t>
  </si>
  <si>
    <t>LSL: Loti</t>
  </si>
  <si>
    <t>LYD: Libyan Dinar</t>
  </si>
  <si>
    <t>MAD: Moroccan Dirham</t>
  </si>
  <si>
    <t>MDL: Moldovan Leu</t>
  </si>
  <si>
    <t>MKD: Denar</t>
  </si>
  <si>
    <t>MMK: Kyat</t>
  </si>
  <si>
    <t>MNT: Tugrik</t>
  </si>
  <si>
    <t>MOP: Pataca</t>
  </si>
  <si>
    <t>MRO: Ouguiya</t>
  </si>
  <si>
    <t>MUR: Mauritius Rupee</t>
  </si>
  <si>
    <t>MVR: Rufiyaa</t>
  </si>
  <si>
    <t>MWK: Kwacha</t>
  </si>
  <si>
    <t>MXN: Mexican Peso</t>
  </si>
  <si>
    <t>MXV: Mexican Unidad de Inversion (UDI)</t>
  </si>
  <si>
    <t>MYR: Malaysian Ringgit</t>
  </si>
  <si>
    <t>MZN: Mozambique Metical</t>
  </si>
  <si>
    <t>NAD: Namibia Dollar</t>
  </si>
  <si>
    <t>NGN: Naira</t>
  </si>
  <si>
    <t>NIO: Cordoba Oro</t>
  </si>
  <si>
    <t>NOK: Norwegian Krone</t>
  </si>
  <si>
    <t>NPR: Nepalese Rupee</t>
  </si>
  <si>
    <t>NZD: New Zealand Dollar</t>
  </si>
  <si>
    <t>OMR: Rial Omani</t>
  </si>
  <si>
    <t>PAB: Balboa</t>
  </si>
  <si>
    <t>PGK: Kina</t>
  </si>
  <si>
    <t>PHP: Philippine Peso</t>
  </si>
  <si>
    <t>PKR: Pakistan Rupee</t>
  </si>
  <si>
    <t>PLN: Zloty</t>
  </si>
  <si>
    <t>PYG: Guarani</t>
  </si>
  <si>
    <t>QAR: Qatari Rial</t>
  </si>
  <si>
    <t>RON: New Romanian Leu</t>
  </si>
  <si>
    <t>RSD: Serbian Dinar</t>
  </si>
  <si>
    <t>RUB: Russian Ruble</t>
  </si>
  <si>
    <t>RWF: Rwanda Franc</t>
  </si>
  <si>
    <t>SAR: Saudi Riyal</t>
  </si>
  <si>
    <t>SBD: Solomon Islands Dollar</t>
  </si>
  <si>
    <t>SCR: Seychelles Rupee</t>
  </si>
  <si>
    <t>SDG: Sudanese Pound</t>
  </si>
  <si>
    <t>SEK: Swedish Krona</t>
  </si>
  <si>
    <t>SGD: Singapore Dollar</t>
  </si>
  <si>
    <t>SHP: Saint Helena Pound</t>
  </si>
  <si>
    <t>SLL: Leone</t>
  </si>
  <si>
    <t>SOS: Somali Shilling</t>
  </si>
  <si>
    <t>SRD: Surinam Dollar</t>
  </si>
  <si>
    <t>SSP: South Sudanese Pound</t>
  </si>
  <si>
    <t>STD: Dobra</t>
  </si>
  <si>
    <t>SVC: El Salvador Colon</t>
  </si>
  <si>
    <t>SYP: Syrian Pound</t>
  </si>
  <si>
    <t>SZL: Lilangeni</t>
  </si>
  <si>
    <t>THB: Baht</t>
  </si>
  <si>
    <t>TJS: Somoni</t>
  </si>
  <si>
    <t>TMT: Turkmenistan New Manat</t>
  </si>
  <si>
    <t>TND: Tunisian Dinar</t>
  </si>
  <si>
    <t>TRY: Turkish Lira</t>
  </si>
  <si>
    <t>TTD: Trinidad and Tobago Dollar</t>
  </si>
  <si>
    <t>TWD: New Taiwan Dollar</t>
  </si>
  <si>
    <t>TZS: Tanzanian Shilling</t>
  </si>
  <si>
    <t>UAH: Hryvnia</t>
  </si>
  <si>
    <t>UGX: Uganda Shilling</t>
  </si>
  <si>
    <t>USN: US Dollar (Next day)</t>
  </si>
  <si>
    <t>UYI: Uruguay Peso en Unidades Indexadas (URUIURUI)</t>
  </si>
  <si>
    <t>UYU: Peso Uruguayo</t>
  </si>
  <si>
    <t>UZS: Uzbekistan Sum</t>
  </si>
  <si>
    <t>VND: Dong</t>
  </si>
  <si>
    <t>VUV: Vatu</t>
  </si>
  <si>
    <t>WST: Tala</t>
  </si>
  <si>
    <t>XAF: CFA Franc BEAC</t>
  </si>
  <si>
    <t>XAG: Silver</t>
  </si>
  <si>
    <t>XAU: Gold</t>
  </si>
  <si>
    <t>XBA: Bond Markets Unit European Composite Unit (EURCO)</t>
  </si>
  <si>
    <t>XBB: Bond Markets Unit European Monetary Unit (E.M.U.-6)</t>
  </si>
  <si>
    <t>XBC: Bond Markets Unit European Unit of Account 9 (E.U.A.-9)</t>
  </si>
  <si>
    <t>XBD: Bond Markets Unit European Unit of Account 17 (E.U.A.-17)</t>
  </si>
  <si>
    <t>XCD: East Caribbean Dollar</t>
  </si>
  <si>
    <t>XDR: SDR (Special Drawing Right)</t>
  </si>
  <si>
    <t>XOF: CFA Franc BCEAO</t>
  </si>
  <si>
    <t>XPD: Palladium</t>
  </si>
  <si>
    <t>XPF: CFP Franc</t>
  </si>
  <si>
    <t>XPT: Platinum</t>
  </si>
  <si>
    <t>XSU: Sucre</t>
  </si>
  <si>
    <t>XTS: Codes specifically reserved for testing purposes</t>
  </si>
  <si>
    <t>XUA: ADB Unit of Account</t>
  </si>
  <si>
    <t>XXX: The codes assigned for transactions where no currency is involved</t>
  </si>
  <si>
    <t>YER: Yemeni Rial</t>
  </si>
  <si>
    <t>ZAR: Rand</t>
  </si>
  <si>
    <t>ZMW: Zambian Kwacha</t>
  </si>
  <si>
    <t>ZWL: Zimbabwe Dollar</t>
  </si>
  <si>
    <t>Información a revelar sobre importes incurridos por la entidad para la provisión de servicios de personal clave de la gerencia que se presten por una entidad de gestión separada [bloque de texto]</t>
  </si>
  <si>
    <t>Información a revelar sobre importes incurridos por la entidad para la provisión de servicios de personal clave de la gerencia que se presten por una entidad de gestión separada [tabla]</t>
  </si>
  <si>
    <t>full_ifrs-cor_2015-03-11.xsd#ifrs-full_DisclosureOfRelatedPartyExplanatory</t>
  </si>
  <si>
    <t>full_ifrs-cor_2015-03-11.xsd#ifrs-full_NameOfParentEntity</t>
  </si>
  <si>
    <t>full_ifrs-cor_2015-03-11.xsd#ifrs-full_NameOfUltimateParentOfGroup</t>
  </si>
  <si>
    <t>full_ifrs-cor_2015-03-11.xsd#ifrs-full_NameOfMostSeniorParentEntityProducingPubliclyAvailableFinancialStatements</t>
  </si>
  <si>
    <t>full_ifrs-cor_2015-03-11.xsd#ifrs-full_ExplanationOfRelationshipsBetweenParentsAndEntity</t>
  </si>
  <si>
    <t>full_ifrs-cor_2015-03-11.xsd#ifrs-full_KeyManagementPersonnelCompensationShorttermEmployeeBenefits</t>
  </si>
  <si>
    <t>full_ifrs-cor_2015-03-11.xsd#ifrs-full_KeyManagementPersonnelCompensationPostemploymentBenefits</t>
  </si>
  <si>
    <t>full_ifrs-cor_2015-03-11.xsd#ifrs-full_KeyManagementPersonnelCompensationOtherLongtermBenefits</t>
  </si>
  <si>
    <t>full_ifrs-cor_2015-03-11.xsd#ifrs-full_KeyManagementPersonnelCompensationTerminationBenefits</t>
  </si>
  <si>
    <t>full_ifrs-cor_2015-03-11.xsd#ifrs-full_KeyManagementPersonnelCompensationSharebasedPayment</t>
  </si>
  <si>
    <t>full_ifrs-cor_2015-03-11.xsd#ifrs-full_KeyManagementPersonnelCompensation</t>
  </si>
  <si>
    <t>full_ifrs-cor_2015-03-11.xsd#ifrs-full_DisclosureOfTransactionsBetweenRelatedPartiesExplanatory</t>
  </si>
  <si>
    <t>full_ifrs-cor_2015-03-11.xsd#ifrs-full_DisclosureOfAmountsIncurredByEntityForProvisionOfKeyManagementPersonnelServicesProvidedBySeparateManagementEntitiesExplanatory</t>
  </si>
  <si>
    <t>full_ifrs-cor_2015-03-11.xsd#ifrs-full_DisclosureThatRelatedPartyTransactionsWereMadeOnTermsEquivalentToThoseThatPrevailInArmsLengthTransactions</t>
  </si>
  <si>
    <t>full_ifrs-cor_2015-03-11.xsd#ifrs-full_ExplanationOfWhetherEntityAppliesExemptionInIAS2425</t>
  </si>
  <si>
    <t>full_ifrs-cor_2015-03-11.xsd#ifrs-full_NameOfGovernmentAndNatureOfRelationshipWithGovernment</t>
  </si>
  <si>
    <t>full_ifrs-cor_2015-03-11.xsd#ifrs-full_ExplanationOfNatureAndAmountOfSignificantTransactions</t>
  </si>
  <si>
    <t>full_ifrs-cor_2015-03-11.xsd#ifrs-full_DescriptionOfOtherTransactionsThatAreCollectivelySignificant</t>
  </si>
  <si>
    <t>full_ifrs-cor_2015-03-11.xsd#ifrs-full_ParentMember</t>
  </si>
  <si>
    <t>full_ifrs-cor_2015-03-11.xsd#ifrs-full_JointControlOrSignificantInfluenceMember</t>
  </si>
  <si>
    <t>full_ifrs-cor_2015-03-11.xsd#ifrs-full_SubsidiariesMember</t>
  </si>
  <si>
    <t>full_ifrs-cor_2015-03-11.xsd#ifrs-full_AssociatesMember</t>
  </si>
  <si>
    <t>full_ifrs-cor_2015-03-11.xsd#ifrs-full_JointVenturesWhereEntityIsVenturerMember</t>
  </si>
  <si>
    <t>full_ifrs-cor_2015-03-11.xsd#ifrs-full_KeyManagementPersonnelOfEntityOrParentMember</t>
  </si>
  <si>
    <t>full_ifrs-cor_2015-03-11.xsd#ifrs-full_OtherRelatedPartiesMember</t>
  </si>
  <si>
    <t>full_ifrs-cor_2015-03-11.xsd#ifrs-full_RelatedPartiesMember</t>
  </si>
  <si>
    <t>full_ifrs-cor_2015-03-11.xsd#ifrs-full_EntitysTotalForRelatedPartiesMember</t>
  </si>
  <si>
    <t>full_ifrs-cor_2015-03-11.xsd#ifrs-full_DescriptionOfTransactionsWithRelatedParty</t>
  </si>
  <si>
    <t>full_ifrs-cor_2015-03-11.xsd#ifrs-full_DescriptionOfNatureOfRelatedPartyRelationship</t>
  </si>
  <si>
    <t>full_ifrs-cor_2015-03-11.xsd#ifrs-full_PurchasesOfGoodsRelatedPartyTransactions</t>
  </si>
  <si>
    <t>full_ifrs-cor_2015-03-11.xsd#ifrs-full_RevenueFromSaleOfGoodsRelatedPartyTransactions</t>
  </si>
  <si>
    <t>full_ifrs-cor_2015-03-11.xsd#ifrs-full_PurchasesOfPropertyAndOtherAssetsRelatedPartyTransactions</t>
  </si>
  <si>
    <t>full_ifrs-cor_2015-03-11.xsd#ifrs-full_SalesOfPropertyAndOtherAssetsRelatedPartyTransactions</t>
  </si>
  <si>
    <t>full_ifrs-cor_2015-03-11.xsd#ifrs-full_ServicesReceivedRelatedPartyTransactions</t>
  </si>
  <si>
    <t>full_ifrs-cor_2015-03-11.xsd#ifrs-full_RevenueFromRenderingOfServicesRelatedPartyTransactions</t>
  </si>
  <si>
    <t>full_ifrs-cor_2015-03-11.xsd#ifrs-full_LeasesAsLessorRelatedPartyTransactions</t>
  </si>
  <si>
    <t>full_ifrs-cor_2015-03-11.xsd#ifrs-full_LeasesAsLesseeRelatedPartyTransactions</t>
  </si>
  <si>
    <t>full_ifrs-cor_2015-03-11.xsd#ifrs-full_TransfersOfResearchAndDevelopmentFromEntityRelatedPartyTransactions</t>
  </si>
  <si>
    <t>full_ifrs-cor_2015-03-11.xsd#ifrs-full_TransfersOfResearchAndDevelopmentToEntityRelatedPartyTransactions</t>
  </si>
  <si>
    <t>full_ifrs-cor_2015-03-11.xsd#ifrs-full_TransfersUnderLicenseAgreementsFromEntityRelatedPartyTransactions</t>
  </si>
  <si>
    <t>full_ifrs-cor_2015-03-11.xsd#ifrs-full_TransfersUnderLicenseAgreementsToEntityRelatedPartyTransactions</t>
  </si>
  <si>
    <t>full_ifrs-cor_2015-03-11.xsd#ifrs-full_TransfersUnderFinanceAgreementsFromEntityRelatedPartyTransactions</t>
  </si>
  <si>
    <t>full_ifrs-cor_2015-03-11.xsd#ifrs-full_TransfersUnderFinanceAgreementsToEntityRelatedPartyTransactions</t>
  </si>
  <si>
    <t>full_ifrs-cor_2015-03-11.xsd#ifrs-full_ProvisionOfGuaranteesOrCollateralByEntityRelatedPartyTransactions</t>
  </si>
  <si>
    <t>full_ifrs-cor_2015-03-11.xsd#ifrs-full_ProvisionOfGuaranteesOrCollateralToEntityRelatedPartyTransactions</t>
  </si>
  <si>
    <t>full_ifrs-cor_2015-03-11.xsd#ifrs-full_CommitmentsMadeByEntityRelatedPartyTransactions</t>
  </si>
  <si>
    <t>full_ifrs-cor_2015-03-11.xsd#ifrs-full_CommitmentsMadeOnBehalfOfEntityRelatedPartyTransactions</t>
  </si>
  <si>
    <t>full_ifrs-cor_2015-03-11.xsd#ifrs-full_SettlementOfLiabilitiesByEntityOnBehalfOfRelatedPartyRelatedPartyTransactions</t>
  </si>
  <si>
    <t>full_ifrs-cor_2015-03-11.xsd#ifrs-full_SettlementOfLiabilitiesOnBehalfOfEntityByRelatedPartyRelatedPartyTransactions</t>
  </si>
  <si>
    <t>full_ifrs-cor_2015-03-11.xsd#ifrs-full_ParticipationInDefinedBenefitPlanThatSharesRisksBetweenGroupEntitiesRelatedPartyTransactions</t>
  </si>
  <si>
    <t>full_ifrs-cor_2015-03-11.xsd#ifrs-full_OutstandingCommitmentsMadeByEntityRelatedPartyTransactions</t>
  </si>
  <si>
    <t>full_ifrs-cor_2015-03-11.xsd#ifrs-full_OutstandingCommitmentsMadeOnBehalfOfEntityRelatedPartyTransactions</t>
  </si>
  <si>
    <t>full_ifrs-cor_2015-03-11.xsd#ifrs-full_ExplanationOfTermsAndConditionsOfOutstandingBalancesForRelatedPartyTransaction</t>
  </si>
  <si>
    <t>full_ifrs-cor_2015-03-11.xsd#ifrs-full_ExplanationOfDetailsOfGuaranteesGivenOrReceivedOfOutstandingBalancesForRelatedPartyTransaction</t>
  </si>
  <si>
    <t>full_ifrs-cor_2015-03-11.xsd#ifrs-full_ProvisionsForDoubtfulDebtsRelatedToOutstandingBalancesOfRelatedPartyTransaction</t>
  </si>
  <si>
    <t>full_ifrs-cor_2015-03-11.xsd#ifrs-full_ExpenseRecognisedDuringPeriodForBadAndDoubtfulDebtsForRelatedPartyTransaction</t>
  </si>
  <si>
    <t>full_ifrs-cor_2015-03-11.xsd#ifrs-full_SeparateManagementEntitiesMember</t>
  </si>
  <si>
    <t>full_ifrs-cor_2015-03-11.xsd#ifrs-full_AmountIncurredByEntityForProvisionOfKeyManagementPersonnelServicesProvidedBySeparateManagementEntity</t>
  </si>
  <si>
    <t>cl-ci_cor_2016-01-11.xsd#cl-ci_NombreParteRelacionada</t>
  </si>
  <si>
    <t>cl-ci_cor_2016-01-11.xsd#cl-ci_RUTParteRelacionada</t>
  </si>
  <si>
    <t>cl-ci_cor_2016-01-11.xsd#cl-ci_CuentasCobrarEntidadesRelacionadas</t>
  </si>
  <si>
    <t>cl-ci_cor_2016-01-11.xsd#cl-ci_CuentasCobrarEntidadesRelacionadasCorrientes</t>
  </si>
  <si>
    <t>cl-ci_cor_2016-01-11.xsd#cl-ci_CuentasCobrarEntidadesRelacionadasNoCorrientes</t>
  </si>
  <si>
    <t>cl-ci_cor_2016-01-11.xsd#cl-ci_CuentasPagarEntidadesRelacionadas</t>
  </si>
  <si>
    <t>cl-ci_cor_2016-01-11.xsd#cl-ci_CuentasPagarEntidadesRelacionadasCorrientes</t>
  </si>
  <si>
    <t>cl-ci_cor_2016-01-11.xsd#cl-ci_CuentasPagarEntidadesRelacionadasNoCorrientes</t>
  </si>
  <si>
    <t>DIMENUE</t>
  </si>
  <si>
    <t>DIMEAVA</t>
  </si>
  <si>
    <t>full_ifrs-cor_2015-03-11.xsd#ifrs-full_CategoriesOfRelatedPartiesAxis</t>
  </si>
  <si>
    <t>full_ifrs-cor_2015-03-11.xsd#ifrs-full_DisclosureOfTransactionsBetweenRelatedPartiesTable</t>
  </si>
  <si>
    <t>full_ifrs-cor_2015-03-11.xsd#ifrs-full_SeparateManagementEntitiesAxis</t>
  </si>
  <si>
    <t>full_ifrs-cor_2015-03-11.xsd#ifrs-full_DisclosureOfAmountsIncurredByEntityForProvisionOfKeyManagementPersonnelServicesProvidedBySeparateManagementEntitiesTable</t>
  </si>
  <si>
    <t>TOP: Pa anga</t>
  </si>
  <si>
    <t>ALA: Aland Islands</t>
  </si>
  <si>
    <t>BLM: Saint Barthelemy</t>
  </si>
  <si>
    <t>CIV: Cote d'Ivoire</t>
  </si>
  <si>
    <t>CUW: Curazao</t>
  </si>
  <si>
    <t>REU: Reunion</t>
  </si>
  <si>
    <t>VEN: Venezuela, Bolivarian Republic of</t>
  </si>
  <si>
    <t>Remuneración al personal clave de la gerencia, beneficios a los empleados a corto plazo  [Número]</t>
  </si>
  <si>
    <t>Remuneración al personal clave de la gerencia, beneficios post-empleo  [Número]</t>
  </si>
  <si>
    <t>Remuneración al personal clave de la gerencia, distinta de beneficios a largo plazo  [Número]</t>
  </si>
  <si>
    <t>Remuneración al personal clave de la gerencia, beneficios por terminación  [Número]</t>
  </si>
  <si>
    <t>Remuneración al personal clave de la gerencia, pagos basados en acciones  [Número]</t>
  </si>
  <si>
    <t>Remuneración al personal clave de la gerencia  [Número]</t>
  </si>
  <si>
    <t>pre_cl-ci_ias-24_2018-03-16_role-818000</t>
  </si>
  <si>
    <t>Remuneración al personal clave de la gerencia [partidas]</t>
  </si>
  <si>
    <t>Remuneración al personal clave de la gerencia [miembro]</t>
  </si>
  <si>
    <t>cl-ci_cor_2019-01-02.xsd#cl-ci_RemuneracionPersonalClaveGerenciaMiembro</t>
  </si>
  <si>
    <t>cl-ci_cor_2019-01-02.xsd#cl-ci_RemuneracionPersonalClaveGerenciaTabla</t>
  </si>
  <si>
    <t>ANT</t>
  </si>
  <si>
    <t>Remuneración al personal clave de la gerencia [sinopsis]</t>
  </si>
  <si>
    <t>Periodo anterior</t>
  </si>
  <si>
    <t>cl-ci_cor_2019-01-02.xsd#cl-ci_RemuneracionPersonalClaveGerenciaEje</t>
  </si>
  <si>
    <t>GYD: Dólar guyanés</t>
  </si>
  <si>
    <t>HRK: Kuna</t>
  </si>
  <si>
    <t>MGA: Ariary malgache</t>
  </si>
  <si>
    <t>PEN: Sol</t>
  </si>
  <si>
    <t>VES: Bolívar soberano</t>
  </si>
  <si>
    <t>OTRAS: Otras Monedas</t>
  </si>
  <si>
    <t>cl-ci_cor_2019-01-02.xsd#cl-ci_PaisOrigen</t>
  </si>
  <si>
    <t>cl-ci_cor_2019-01-02.xsd#cl-ci_TipoMonedaOUnidadReajuste</t>
  </si>
  <si>
    <t xml:space="preserve">            País de origen  [Lista]</t>
  </si>
  <si>
    <t xml:space="preserve">              Tipo de moneda o unidad de reajuste  [Lista]</t>
  </si>
  <si>
    <t xml:space="preserve">            Importe incurrido por la entidad para la provisión de servicios de personal clave de la gerencia que se presten por una entidad de gestión separada  [Moneda]</t>
  </si>
  <si>
    <t>9.2</t>
  </si>
  <si>
    <t>test1</t>
  </si>
  <si>
    <t>78079790-8</t>
  </si>
  <si>
    <t>Dbnet</t>
  </si>
  <si>
    <t>aaa</t>
  </si>
  <si>
    <t>waldo</t>
  </si>
  <si>
    <t>18050200-9</t>
  </si>
  <si>
    <t>bbb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</si>
</sst>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1">
    <font>
      <sz val="11"/>
      <color theme="1"/>
      <name val="Calibri"/>
      <family val="2"/>
      <scheme val="minor"/>
    </font>
    <font>
      <sz val="8"/>
      <name val="ＭＳ Ｐゴシック"/>
      <family val="3"/>
      <charset val="128"/>
    </font>
    <font>
      <sz val="9"/>
      <name val="Calibri"/>
      <family val="2"/>
      <scheme val="minor"/>
    </font>
    <font>
      <sz val="9"/>
      <name val="Verdana"/>
      <family val="2"/>
    </font>
    <font>
      <b/>
      <sz val="9"/>
      <name val="Verdana"/>
      <family val="2"/>
    </font>
    <font>
      <sz val="11"/>
      <color indexed="9"/>
      <name val="Czcionka tekstu podstawowego"/>
      <family val="2"/>
      <charset val="238"/>
    </font>
    <font>
      <sz val="8"/>
      <color theme="1"/>
      <name val="Calibri"/>
      <family val="2"/>
      <scheme val="minor"/>
    </font>
    <font>
      <sz val="9"/>
      <color rgb="FFFF0000"/>
      <name val="Verdana"/>
      <family val="2"/>
    </font>
    <font>
      <sz val="9"/>
      <color indexed="9"/>
      <name val="Verdana"/>
      <family val="2"/>
    </font>
    <font>
      <b/>
      <sz val="9"/>
      <color indexed="9"/>
      <name val="Verdana"/>
      <family val="2"/>
    </font>
    <font>
      <b/>
      <sz val="9"/>
      <color rgb="FFFF0000"/>
      <name val="Verdana"/>
      <family val="2"/>
    </font>
    <font>
      <sz val="11"/>
      <name val="Calibri"/>
      <family val="2"/>
      <scheme val="minor"/>
    </font>
    <font>
      <sz val="9"/>
      <color theme="1"/>
      <name val="Verdana"/>
      <family val="2"/>
    </font>
    <font>
      <b/>
      <sz val="18"/>
      <name val="Calibri"/>
      <family val="2"/>
      <scheme val="minor"/>
    </font>
    <font>
      <sz val="10"/>
      <name val="Calibri"/>
      <family val="2"/>
    </font>
    <font>
      <sz val="10"/>
      <color indexed="10"/>
      <name val="Calibri"/>
      <family val="2"/>
    </font>
    <font>
      <b/>
      <sz val="10"/>
      <color indexed="10"/>
      <name val="Calibri"/>
      <family val="2"/>
    </font>
    <font>
      <b/>
      <sz val="10"/>
      <name val="Calibri"/>
      <family val="2"/>
    </font>
    <font>
      <b/>
      <sz val="12"/>
      <name val="Calibri"/>
      <family val="2"/>
      <scheme val="minor"/>
    </font>
    <font>
      <u/>
      <sz val="9.9"/>
      <color theme="10"/>
      <name val="Calibri"/>
      <family val="2"/>
    </font>
    <font>
      <b/>
      <sz val="9"/>
      <color indexed="81"/>
      <name val="Tahoma"/>
      <family val="2"/>
    </font>
  </fonts>
  <fills count="16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30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59996337778862885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</fills>
  <borders count="2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Dashed">
        <color rgb="FFFF0000"/>
      </left>
      <right style="mediumDashed">
        <color rgb="FFFF0000"/>
      </right>
      <top style="mediumDashed">
        <color rgb="FFFF0000"/>
      </top>
      <bottom style="thin">
        <color indexed="64"/>
      </bottom>
      <diagonal/>
    </border>
    <border>
      <left style="mediumDashed">
        <color rgb="FFFF0000"/>
      </left>
      <right style="mediumDashed">
        <color rgb="FFFF0000"/>
      </right>
      <top style="thin">
        <color indexed="64"/>
      </top>
      <bottom style="thin">
        <color indexed="64"/>
      </bottom>
      <diagonal/>
    </border>
    <border>
      <left style="mediumDashed">
        <color rgb="FFFF0000"/>
      </left>
      <right style="mediumDashed">
        <color rgb="FFFF0000"/>
      </right>
      <top/>
      <bottom style="thin">
        <color indexed="64"/>
      </bottom>
      <diagonal/>
    </border>
    <border>
      <left style="mediumDashed">
        <color rgb="FFFF0000"/>
      </left>
      <right style="mediumDashed">
        <color rgb="FFFF0000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Dashed">
        <color rgb="FFFF0000"/>
      </right>
      <top style="thin">
        <color indexed="64"/>
      </top>
      <bottom/>
      <diagonal/>
    </border>
    <border>
      <left/>
      <right style="mediumDashed">
        <color rgb="FFFF0000"/>
      </right>
      <top/>
      <bottom/>
      <diagonal/>
    </border>
    <border>
      <left/>
      <right style="mediumDashed">
        <color rgb="FFFF0000"/>
      </right>
      <top/>
      <bottom style="thin">
        <color indexed="64"/>
      </bottom>
      <diagonal/>
    </border>
    <border>
      <left style="mediumDashed">
        <color rgb="FFFF0000"/>
      </left>
      <right style="mediumDashed">
        <color rgb="FFFF0000"/>
      </right>
      <top/>
      <bottom/>
      <diagonal/>
    </border>
    <border>
      <left style="mediumDashed">
        <color rgb="FFFF0000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5">
    <xf numFmtId="0" fontId="0" fillId="0" borderId="0"/>
    <xf numFmtId="0" fontId="1" fillId="0" borderId="0" applyNumberFormat="0" applyFill="0" applyBorder="0">
      <alignment vertical="center"/>
    </xf>
    <xf numFmtId="0" fontId="5" fillId="4" borderId="0" applyNumberFormat="0" applyBorder="0" applyAlignment="0" applyProtection="0"/>
    <xf numFmtId="0" fontId="1" fillId="0" borderId="0" applyNumberFormat="0" applyFill="0" applyBorder="0">
      <alignment vertical="center"/>
    </xf>
    <xf numFmtId="0" fontId="19" fillId="0" borderId="0" applyNumberFormat="0" applyFill="0" applyBorder="0" applyAlignment="0" applyProtection="0">
      <alignment vertical="top"/>
      <protection locked="0"/>
    </xf>
  </cellStyleXfs>
  <cellXfs count="92">
    <xf numFmtId="0" fontId="0" fillId="0" borderId="0" xfId="0"/>
    <xf numFmtId="3" fontId="2" fillId="2" borderId="0" xfId="1" applyNumberFormat="1" applyFont="1" applyFill="1" applyBorder="1">
      <alignment vertical="center"/>
    </xf>
    <xf numFmtId="0" fontId="3" fillId="2" borderId="0" xfId="0" applyFont="1" applyFill="1" applyAlignment="1">
      <alignment horizontal="left" vertical="center" indent="3"/>
    </xf>
    <xf numFmtId="0" fontId="3" fillId="2" borderId="0" xfId="0" applyFont="1" applyFill="1" applyAlignment="1">
      <alignment horizontal="left" vertical="center" wrapText="1" indent="3"/>
    </xf>
    <xf numFmtId="0" fontId="3" fillId="3" borderId="1" xfId="0" applyFont="1" applyFill="1" applyBorder="1" applyAlignment="1">
      <alignment horizontal="left" vertical="center" indent="3"/>
    </xf>
    <xf numFmtId="0" fontId="4" fillId="2" borderId="0" xfId="0" applyFont="1" applyFill="1" applyAlignment="1">
      <alignment horizontal="left" vertical="center" indent="3"/>
    </xf>
    <xf numFmtId="0" fontId="4" fillId="2" borderId="0" xfId="0" applyFont="1" applyFill="1" applyAlignment="1">
      <alignment horizontal="left" vertical="center" wrapText="1" indent="3"/>
    </xf>
    <xf numFmtId="3" fontId="2" fillId="2" borderId="2" xfId="1" applyNumberFormat="1" applyFont="1" applyFill="1" applyBorder="1">
      <alignment vertical="center"/>
    </xf>
    <xf numFmtId="3" fontId="2" fillId="2" borderId="3" xfId="1" applyNumberFormat="1" applyFont="1" applyFill="1" applyBorder="1">
      <alignment vertical="center"/>
    </xf>
    <xf numFmtId="3" fontId="2" fillId="2" borderId="4" xfId="1" applyNumberFormat="1" applyFont="1" applyFill="1" applyBorder="1">
      <alignment vertical="center"/>
    </xf>
    <xf numFmtId="3" fontId="2" fillId="2" borderId="5" xfId="1" applyNumberFormat="1" applyFont="1" applyFill="1" applyBorder="1">
      <alignment vertical="center"/>
    </xf>
    <xf numFmtId="3" fontId="2" fillId="2" borderId="6" xfId="1" applyNumberFormat="1" applyFont="1" applyFill="1" applyBorder="1">
      <alignment vertical="center"/>
    </xf>
    <xf numFmtId="3" fontId="2" fillId="2" borderId="7" xfId="1" applyNumberFormat="1" applyFont="1" applyFill="1" applyBorder="1">
      <alignment vertical="center"/>
    </xf>
    <xf numFmtId="3" fontId="2" fillId="2" borderId="8" xfId="1" applyNumberFormat="1" applyFont="1" applyFill="1" applyBorder="1">
      <alignment vertical="center"/>
    </xf>
    <xf numFmtId="0" fontId="3" fillId="2" borderId="8" xfId="0" applyFont="1" applyFill="1" applyBorder="1" applyAlignment="1">
      <alignment horizontal="left" vertical="center" indent="3"/>
    </xf>
    <xf numFmtId="3" fontId="2" fillId="2" borderId="9" xfId="1" applyNumberFormat="1" applyFont="1" applyFill="1" applyBorder="1">
      <alignment vertical="center"/>
    </xf>
    <xf numFmtId="0" fontId="7" fillId="0" borderId="0" xfId="0" applyFont="1" applyAlignment="1">
      <alignment horizontal="center" vertical="center"/>
    </xf>
    <xf numFmtId="0" fontId="7" fillId="5" borderId="10" xfId="2" applyNumberFormat="1" applyFont="1" applyFill="1" applyBorder="1" applyAlignment="1">
      <alignment horizontal="center" vertical="center" wrapText="1"/>
    </xf>
    <xf numFmtId="0" fontId="7" fillId="5" borderId="12" xfId="2" applyNumberFormat="1" applyFont="1" applyFill="1" applyBorder="1" applyAlignment="1">
      <alignment horizontal="center" vertical="center" wrapText="1"/>
    </xf>
    <xf numFmtId="0" fontId="8" fillId="5" borderId="12" xfId="2" applyNumberFormat="1" applyFont="1" applyFill="1" applyBorder="1" applyAlignment="1">
      <alignment horizontal="center" vertical="center" wrapText="1"/>
    </xf>
    <xf numFmtId="0" fontId="9" fillId="5" borderId="12" xfId="2" applyNumberFormat="1" applyFont="1" applyFill="1" applyBorder="1" applyAlignment="1">
      <alignment horizontal="center" vertical="center" wrapText="1"/>
    </xf>
    <xf numFmtId="0" fontId="10" fillId="6" borderId="13" xfId="2" applyNumberFormat="1" applyFont="1" applyFill="1" applyBorder="1" applyAlignment="1">
      <alignment horizontal="center" vertical="center" wrapText="1"/>
    </xf>
    <xf numFmtId="0" fontId="8" fillId="5" borderId="11" xfId="2" applyNumberFormat="1" applyFont="1" applyFill="1" applyBorder="1" applyAlignment="1">
      <alignment horizontal="center" vertical="center" wrapText="1"/>
    </xf>
    <xf numFmtId="0" fontId="3" fillId="0" borderId="0" xfId="0" applyFont="1" applyAlignment="1">
      <alignment horizontal="center" vertical="center" wrapText="1"/>
    </xf>
    <xf numFmtId="0" fontId="3" fillId="7" borderId="5" xfId="3" applyFont="1" applyFill="1" applyBorder="1">
      <alignment vertical="center"/>
    </xf>
    <xf numFmtId="0" fontId="4" fillId="7" borderId="0" xfId="3" applyFont="1" applyFill="1" applyBorder="1">
      <alignment vertical="center"/>
    </xf>
    <xf numFmtId="0" fontId="3" fillId="7" borderId="0" xfId="3" applyFont="1" applyFill="1" applyBorder="1">
      <alignment vertical="center"/>
    </xf>
    <xf numFmtId="0" fontId="3" fillId="7" borderId="3" xfId="3" applyFont="1" applyFill="1" applyBorder="1" applyAlignment="1">
      <alignment horizontal="center" vertical="center" wrapText="1"/>
    </xf>
    <xf numFmtId="0" fontId="0" fillId="2" borderId="0" xfId="0" applyFill="1"/>
    <xf numFmtId="0" fontId="3" fillId="7" borderId="4" xfId="3" applyFont="1" applyFill="1" applyBorder="1" applyAlignment="1">
      <alignment vertical="center" wrapText="1"/>
    </xf>
    <xf numFmtId="0" fontId="3" fillId="0" borderId="0" xfId="0" applyFont="1"/>
    <xf numFmtId="0" fontId="3" fillId="2" borderId="5" xfId="0" applyFont="1" applyFill="1" applyBorder="1" applyAlignment="1">
      <alignment horizontal="left" vertical="center"/>
    </xf>
    <xf numFmtId="0" fontId="3" fillId="2" borderId="0" xfId="0" applyFont="1" applyFill="1" applyAlignment="1">
      <alignment horizontal="left" vertical="center"/>
    </xf>
    <xf numFmtId="0" fontId="3" fillId="2" borderId="0" xfId="2" applyNumberFormat="1" applyFont="1" applyFill="1" applyBorder="1" applyAlignment="1">
      <alignment horizontal="left" vertical="center"/>
    </xf>
    <xf numFmtId="0" fontId="12" fillId="2" borderId="0" xfId="0" applyFont="1" applyFill="1" applyAlignment="1">
      <alignment horizontal="left" vertical="center"/>
    </xf>
    <xf numFmtId="3" fontId="3" fillId="3" borderId="11" xfId="0" applyNumberFormat="1" applyFont="1" applyFill="1" applyBorder="1"/>
    <xf numFmtId="0" fontId="11" fillId="6" borderId="16" xfId="3" applyFont="1" applyFill="1" applyBorder="1" applyAlignment="1">
      <alignment horizontal="center" vertical="center" wrapText="1"/>
    </xf>
    <xf numFmtId="0" fontId="3" fillId="2" borderId="2" xfId="0" applyFont="1" applyFill="1" applyBorder="1"/>
    <xf numFmtId="0" fontId="3" fillId="2" borderId="3" xfId="0" applyFont="1" applyFill="1" applyBorder="1"/>
    <xf numFmtId="0" fontId="12" fillId="2" borderId="3" xfId="0" applyFont="1" applyFill="1" applyBorder="1"/>
    <xf numFmtId="0" fontId="3" fillId="7" borderId="3" xfId="3" applyFont="1" applyFill="1" applyBorder="1">
      <alignment vertical="center"/>
    </xf>
    <xf numFmtId="0" fontId="3" fillId="2" borderId="7" xfId="0" applyFont="1" applyFill="1" applyBorder="1" applyAlignment="1">
      <alignment horizontal="left" vertical="center"/>
    </xf>
    <xf numFmtId="0" fontId="3" fillId="2" borderId="8" xfId="0" applyFont="1" applyFill="1" applyBorder="1" applyAlignment="1">
      <alignment horizontal="left" vertical="center"/>
    </xf>
    <xf numFmtId="0" fontId="3" fillId="7" borderId="12" xfId="3" applyFont="1" applyFill="1" applyBorder="1">
      <alignment vertical="center"/>
    </xf>
    <xf numFmtId="0" fontId="13" fillId="8" borderId="17" xfId="0" applyFont="1" applyFill="1" applyBorder="1" applyAlignment="1">
      <alignment horizontal="center" vertical="center" wrapText="1"/>
    </xf>
    <xf numFmtId="0" fontId="18" fillId="8" borderId="17" xfId="0" applyFont="1" applyFill="1" applyBorder="1" applyAlignment="1">
      <alignment horizontal="center" vertical="center" wrapText="1"/>
    </xf>
    <xf numFmtId="0" fontId="4" fillId="7" borderId="18" xfId="3" applyFont="1" applyFill="1" applyBorder="1" applyAlignment="1">
      <alignment vertical="center" wrapText="1"/>
    </xf>
    <xf numFmtId="0" fontId="4" fillId="2" borderId="19" xfId="0" applyFont="1" applyFill="1" applyBorder="1" applyAlignment="1">
      <alignment horizontal="left" vertical="center"/>
    </xf>
    <xf numFmtId="0" fontId="3" fillId="2" borderId="19" xfId="0" applyFont="1" applyFill="1" applyBorder="1" applyAlignment="1">
      <alignment horizontal="left" vertical="center"/>
    </xf>
    <xf numFmtId="0" fontId="3" fillId="2" borderId="19" xfId="0" applyFont="1" applyFill="1" applyBorder="1" applyAlignment="1">
      <alignment horizontal="left" vertical="center" wrapText="1"/>
    </xf>
    <xf numFmtId="0" fontId="3" fillId="2" borderId="20" xfId="0" applyFont="1" applyFill="1" applyBorder="1" applyAlignment="1">
      <alignment horizontal="left" vertical="center"/>
    </xf>
    <xf numFmtId="0" fontId="3" fillId="7" borderId="16" xfId="3" applyFont="1" applyFill="1" applyBorder="1">
      <alignment vertical="center"/>
    </xf>
    <xf numFmtId="0" fontId="3" fillId="2" borderId="21" xfId="0" applyFont="1" applyFill="1" applyBorder="1" applyAlignment="1">
      <alignment horizontal="left" vertical="center"/>
    </xf>
    <xf numFmtId="0" fontId="3" fillId="2" borderId="15" xfId="0" applyFont="1" applyFill="1" applyBorder="1" applyAlignment="1">
      <alignment horizontal="left" vertical="center"/>
    </xf>
    <xf numFmtId="3" fontId="3" fillId="3" borderId="14" xfId="0" applyNumberFormat="1" applyFont="1" applyFill="1" applyBorder="1" applyProtection="1">
      <protection locked="0"/>
    </xf>
    <xf numFmtId="0" fontId="3" fillId="2" borderId="0" xfId="0" applyFont="1" applyFill="1" applyAlignment="1">
      <alignment horizontal="center" vertical="center"/>
    </xf>
    <xf numFmtId="0" fontId="4" fillId="2" borderId="0" xfId="2" applyNumberFormat="1" applyFont="1" applyFill="1" applyBorder="1" applyAlignment="1">
      <alignment horizontal="left" vertical="center"/>
    </xf>
    <xf numFmtId="0" fontId="4" fillId="2" borderId="19" xfId="0" applyFont="1" applyFill="1" applyBorder="1" applyAlignment="1">
      <alignment horizontal="left" vertical="center" wrapText="1"/>
    </xf>
    <xf numFmtId="0" fontId="10" fillId="5" borderId="13" xfId="2" applyNumberFormat="1" applyFont="1" applyFill="1" applyBorder="1" applyAlignment="1">
      <alignment horizontal="center" vertical="center" wrapText="1"/>
    </xf>
    <xf numFmtId="0" fontId="19" fillId="9" borderId="0" xfId="4" applyFill="1" applyBorder="1" applyAlignment="1" applyProtection="1">
      <alignment horizontal="left" vertical="center" wrapText="1" indent="3"/>
    </xf>
    <xf numFmtId="3" fontId="3" fillId="10" borderId="11" xfId="0" applyNumberFormat="1" applyFont="1" applyFill="1" applyBorder="1"/>
    <xf numFmtId="3" fontId="3" fillId="11" borderId="11" xfId="0" applyNumberFormat="1" applyFont="1" applyFill="1" applyBorder="1"/>
    <xf numFmtId="3" fontId="3" fillId="11" borderId="14" xfId="0" applyNumberFormat="1" applyFont="1" applyFill="1" applyBorder="1" applyProtection="1">
      <protection locked="0"/>
    </xf>
    <xf numFmtId="0" fontId="3" fillId="7" borderId="4" xfId="3" applyFont="1" applyFill="1" applyBorder="1">
      <alignment vertical="center"/>
    </xf>
    <xf numFmtId="0" fontId="3" fillId="2" borderId="9" xfId="0" applyFont="1" applyFill="1" applyBorder="1" applyAlignment="1">
      <alignment horizontal="left" vertical="center"/>
    </xf>
    <xf numFmtId="0" fontId="3" fillId="2" borderId="11" xfId="2" applyNumberFormat="1" applyFont="1" applyFill="1" applyBorder="1" applyAlignment="1">
      <alignment horizontal="left" vertical="center"/>
    </xf>
    <xf numFmtId="0" fontId="3" fillId="7" borderId="11" xfId="3" applyFont="1" applyFill="1" applyBorder="1">
      <alignment vertical="center"/>
    </xf>
    <xf numFmtId="0" fontId="3" fillId="3" borderId="14" xfId="0" applyFont="1" applyFill="1" applyBorder="1" applyProtection="1">
      <protection locked="0"/>
    </xf>
    <xf numFmtId="0" fontId="3" fillId="3" borderId="11" xfId="0" applyFont="1" applyFill="1" applyBorder="1"/>
    <xf numFmtId="0" fontId="7" fillId="3" borderId="11" xfId="0" applyFont="1" applyFill="1" applyBorder="1"/>
    <xf numFmtId="0" fontId="3" fillId="12" borderId="0" xfId="0" applyFont="1" applyFill="1" applyAlignment="1">
      <alignment horizontal="left" vertical="center" wrapText="1" indent="3"/>
    </xf>
    <xf numFmtId="0" fontId="3" fillId="14" borderId="14" xfId="0" applyFont="1" applyFill="1" applyBorder="1" applyProtection="1">
      <protection locked="0"/>
    </xf>
    <xf numFmtId="3" fontId="3" fillId="0" borderId="1" xfId="3" applyNumberFormat="1" applyFont="1" applyFill="1" applyBorder="1" applyProtection="1">
      <alignment vertical="center"/>
      <protection locked="0"/>
    </xf>
    <xf numFmtId="0" fontId="3" fillId="3" borderId="22" xfId="0" applyFont="1" applyFill="1" applyBorder="1"/>
    <xf numFmtId="0" fontId="3" fillId="3" borderId="1" xfId="0" applyFont="1" applyFill="1" applyBorder="1"/>
    <xf numFmtId="3" fontId="3" fillId="10" borderId="22" xfId="0" applyNumberFormat="1" applyFont="1" applyFill="1" applyBorder="1"/>
    <xf numFmtId="0" fontId="3" fillId="14" borderId="22" xfId="0" applyFont="1" applyFill="1" applyBorder="1" applyProtection="1">
      <protection locked="0"/>
    </xf>
    <xf numFmtId="3" fontId="3" fillId="0" borderId="11" xfId="3" applyNumberFormat="1" applyFont="1" applyFill="1" applyBorder="1" applyProtection="1">
      <alignment vertical="center"/>
      <protection locked="0"/>
    </xf>
    <xf numFmtId="3" fontId="3" fillId="10" borderId="1" xfId="0" applyNumberFormat="1" applyFont="1" applyFill="1" applyBorder="1"/>
    <xf numFmtId="0" fontId="3" fillId="14" borderId="1" xfId="0" applyFont="1" applyFill="1" applyBorder="1" applyProtection="1">
      <protection locked="0"/>
    </xf>
    <xf numFmtId="3" fontId="3" fillId="3" borderId="1" xfId="0" applyNumberFormat="1" applyFont="1" applyFill="1" applyBorder="1"/>
    <xf numFmtId="0" fontId="0" fillId="15" borderId="10" xfId="0" applyFill="1" applyBorder="1"/>
    <xf numFmtId="0" fontId="6" fillId="15" borderId="11" xfId="0" applyFont="1" applyFill="1" applyBorder="1"/>
    <xf numFmtId="0" fontId="3" fillId="2" borderId="0" xfId="0" applyFont="1" applyFill="1" applyAlignment="1">
      <alignment horizontal="left" vertical="center" wrapText="1" indent="1"/>
    </xf>
    <xf numFmtId="0" fontId="19" fillId="15" borderId="0" xfId="4" applyFill="1" applyBorder="1" applyAlignment="1" applyProtection="1">
      <alignment horizontal="left" vertical="center" wrapText="1" indent="3"/>
    </xf>
    <xf numFmtId="3" fontId="19" fillId="13" borderId="0" xfId="4" applyNumberFormat="1" applyFill="1" applyBorder="1" applyAlignment="1" applyProtection="1">
      <alignment horizontal="left" vertical="center" indent="3"/>
    </xf>
    <xf numFmtId="3" fontId="4" fillId="10" borderId="11" xfId="0" applyNumberFormat="1" applyFont="1" applyFill="1" applyBorder="1"/>
    <xf numFmtId="0" fontId="3" fillId="15" borderId="0" xfId="0" applyFont="1" applyFill="1" applyAlignment="1">
      <alignment horizontal="left" vertical="center"/>
    </xf>
    <xf numFmtId="0" fontId="3" fillId="15" borderId="19" xfId="0" applyFont="1" applyFill="1" applyBorder="1" applyAlignment="1">
      <alignment horizontal="left" vertical="center"/>
    </xf>
    <xf numFmtId="0" fontId="3" fillId="15" borderId="19" xfId="0" applyFont="1" applyFill="1" applyBorder="1" applyAlignment="1">
      <alignment horizontal="left" vertical="center" wrapText="1"/>
    </xf>
    <xf numFmtId="0" fontId="3" fillId="15" borderId="5" xfId="0" applyFont="1" applyFill="1" applyBorder="1" applyAlignment="1">
      <alignment horizontal="left" vertical="center"/>
    </xf>
    <xf numFmtId="0" fontId="3" fillId="15" borderId="0" xfId="2" applyNumberFormat="1" applyFont="1" applyFill="1" applyBorder="1" applyAlignment="1">
      <alignment horizontal="left" vertical="center"/>
    </xf>
  </cellXfs>
  <cellStyles count="5">
    <cellStyle name="60% - akcent 1" xfId="2"/>
    <cellStyle name="Hipervínculo" xfId="4" builtinId="8"/>
    <cellStyle name="Normal" xfId="0" builtinId="0"/>
    <cellStyle name="Normal 10" xfId="1"/>
    <cellStyle name="Normal 12" xfId="3"/>
  </cellStyles>
  <dxfs count="1">
    <dxf>
      <font>
        <color rgb="FFFF0000"/>
      </font>
      <fill>
        <patternFill>
          <bgColor rgb="FFFFFF00"/>
        </patternFill>
      </fill>
      <border>
        <left style="hair">
          <color rgb="FFFF0000"/>
        </left>
        <right style="hair">
          <color rgb="FFFF0000"/>
        </right>
        <top style="hair">
          <color rgb="FFFF0000"/>
        </top>
        <bottom style="hair">
          <color rgb="FFFF0000"/>
        </bottom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5</xdr:col>
      <xdr:colOff>1966383</xdr:colOff>
      <xdr:row>0</xdr:row>
      <xdr:rowOff>809625</xdr:rowOff>
    </xdr:to>
    <xdr:pic>
      <xdr:nvPicPr>
        <xdr:cNvPr id="6" name="4 Imagen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2871258" cy="8096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5</xdr:col>
      <xdr:colOff>2328333</xdr:colOff>
      <xdr:row>0</xdr:row>
      <xdr:rowOff>83608</xdr:rowOff>
    </xdr:from>
    <xdr:to>
      <xdr:col>5</xdr:col>
      <xdr:colOff>5936737</xdr:colOff>
      <xdr:row>1</xdr:row>
      <xdr:rowOff>10108</xdr:rowOff>
    </xdr:to>
    <xdr:sp macro="" textlink="">
      <xdr:nvSpPr>
        <xdr:cNvPr id="7" name="6 CuadroTexto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 txBox="1"/>
      </xdr:nvSpPr>
      <xdr:spPr>
        <a:xfrm>
          <a:off x="3233208" y="83608"/>
          <a:ext cx="3608404" cy="1260000"/>
        </a:xfrm>
        <a:prstGeom prst="rect">
          <a:avLst/>
        </a:prstGeom>
        <a:solidFill>
          <a:schemeClr val="bg1">
            <a:lumMod val="85000"/>
          </a:schemeClr>
        </a:solidFill>
        <a:ln/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es-CL" sz="1100" b="1" i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IMPORTANTE</a:t>
          </a:r>
          <a:r>
            <a:rPr lang="es-CL" sz="1100" b="0" i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: El presente documento esta protegido por el registro de </a:t>
          </a:r>
          <a:r>
            <a:rPr lang="es-CL" sz="1100" b="0" i="0" u="none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propiedad</a:t>
          </a:r>
          <a:r>
            <a:rPr lang="es-CL" sz="1100" b="0" i="0" u="none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s-CL" sz="1100" b="0" i="0" u="none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intelectual </a:t>
          </a:r>
          <a:r>
            <a:rPr lang="es-CL" sz="1100" b="0" i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 No. 132.246, del Departamento de Derechos Intelectuales de Chile.  Este documento no puede ser utilizado por personas no autorizadas ni distribuido sin autorización expresa y por escrito de DBNeT S.A.</a:t>
          </a:r>
          <a:endParaRPr lang="es-CL" sz="1100">
            <a:solidFill>
              <a:schemeClr val="tx1"/>
            </a:solidFill>
          </a:endParaRPr>
        </a:p>
      </xdr:txBody>
    </xdr:sp>
    <xdr:clientData/>
  </xdr:twoCellAnchor>
  <xdr:twoCellAnchor>
    <xdr:from>
      <xdr:col>1</xdr:col>
      <xdr:colOff>122767</xdr:colOff>
      <xdr:row>0</xdr:row>
      <xdr:rowOff>1000124</xdr:rowOff>
    </xdr:from>
    <xdr:to>
      <xdr:col>5</xdr:col>
      <xdr:colOff>474633</xdr:colOff>
      <xdr:row>1</xdr:row>
      <xdr:rowOff>98624</xdr:rowOff>
    </xdr:to>
    <xdr:sp macro="[0]!Guarda_Hojas_CSV" textlink="">
      <xdr:nvSpPr>
        <xdr:cNvPr id="8" name="7 Rectángulo redondeado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/>
      </xdr:nvSpPr>
      <xdr:spPr>
        <a:xfrm>
          <a:off x="303742" y="1000124"/>
          <a:ext cx="1075766" cy="432000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indent="0" algn="ctr"/>
          <a:r>
            <a:rPr lang="es-ES" sz="1100">
              <a:solidFill>
                <a:schemeClr val="lt1">
                  <a:lumMod val="100000"/>
                </a:schemeClr>
              </a:solidFill>
              <a:latin typeface="+mn-lt"/>
              <a:ea typeface="+mn-ea"/>
              <a:cs typeface="+mn-cs"/>
            </a:rPr>
            <a:t>Crear CSV</a:t>
          </a:r>
        </a:p>
      </xdr:txBody>
    </xdr:sp>
    <xdr:clientData/>
  </xdr:twoCellAnchor>
  <xdr:twoCellAnchor>
    <xdr:from>
      <xdr:col>5</xdr:col>
      <xdr:colOff>642408</xdr:colOff>
      <xdr:row>0</xdr:row>
      <xdr:rowOff>1000124</xdr:rowOff>
    </xdr:from>
    <xdr:to>
      <xdr:col>5</xdr:col>
      <xdr:colOff>1722408</xdr:colOff>
      <xdr:row>1</xdr:row>
      <xdr:rowOff>98624</xdr:rowOff>
    </xdr:to>
    <xdr:sp macro="[0]!Guarda_Hojas_ZIP" textlink="">
      <xdr:nvSpPr>
        <xdr:cNvPr id="9" name="8 Rectángulo redondeado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/>
      </xdr:nvSpPr>
      <xdr:spPr>
        <a:xfrm>
          <a:off x="1547283" y="1000124"/>
          <a:ext cx="1080000" cy="432000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indent="0" algn="ctr"/>
          <a:r>
            <a:rPr lang="es-ES" sz="900">
              <a:solidFill>
                <a:schemeClr val="lt1">
                  <a:lumMod val="100000"/>
                </a:schemeClr>
              </a:solidFill>
              <a:latin typeface="+mn-lt"/>
              <a:ea typeface="+mn-ea"/>
              <a:cs typeface="+mn-cs"/>
            </a:rPr>
            <a:t>Crear/Comprimir</a:t>
          </a:r>
          <a:r>
            <a:rPr lang="es-ES" sz="900" baseline="0">
              <a:solidFill>
                <a:schemeClr val="lt1">
                  <a:lumMod val="100000"/>
                </a:schemeClr>
              </a:solidFill>
              <a:latin typeface="+mn-lt"/>
              <a:ea typeface="+mn-ea"/>
              <a:cs typeface="+mn-cs"/>
            </a:rPr>
            <a:t> CSV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0</xdr:row>
      <xdr:rowOff>142876</xdr:rowOff>
    </xdr:from>
    <xdr:to>
      <xdr:col>5</xdr:col>
      <xdr:colOff>661193</xdr:colOff>
      <xdr:row>0</xdr:row>
      <xdr:rowOff>523876</xdr:rowOff>
    </xdr:to>
    <xdr:sp macro="[0]!Guarda_Hojas_CSV" textlink="">
      <xdr:nvSpPr>
        <xdr:cNvPr id="2" name="1 Rectángulo redondeado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400050" y="142876"/>
          <a:ext cx="1385093" cy="381000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s-ES" sz="1100"/>
            <a:t>Crear CSV</a:t>
          </a:r>
        </a:p>
      </xdr:txBody>
    </xdr:sp>
    <xdr:clientData/>
  </xdr:twoCellAnchor>
  <xdr:twoCellAnchor editAs="absolute">
    <xdr:from>
      <xdr:col>5</xdr:col>
      <xdr:colOff>4691064</xdr:colOff>
      <xdr:row>0</xdr:row>
      <xdr:rowOff>154782</xdr:rowOff>
    </xdr:from>
    <xdr:to>
      <xdr:col>5</xdr:col>
      <xdr:colOff>5991226</xdr:colOff>
      <xdr:row>0</xdr:row>
      <xdr:rowOff>547688</xdr:rowOff>
    </xdr:to>
    <xdr:sp macro="[0]!Copiar_columna" textlink="">
      <xdr:nvSpPr>
        <xdr:cNvPr id="3" name="2 Rectángulo redondeado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>
          <a:spLocks/>
        </xdr:cNvSpPr>
      </xdr:nvSpPr>
      <xdr:spPr>
        <a:xfrm>
          <a:off x="5815014" y="154782"/>
          <a:ext cx="1300162" cy="392906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s-ES" sz="1100"/>
            <a:t>Copiar Columna</a:t>
          </a:r>
        </a:p>
      </xdr:txBody>
    </xdr:sp>
    <xdr:clientData/>
  </xdr:twoCellAnchor>
  <xdr:twoCellAnchor>
    <xdr:from>
      <xdr:col>5</xdr:col>
      <xdr:colOff>826294</xdr:colOff>
      <xdr:row>0</xdr:row>
      <xdr:rowOff>142875</xdr:rowOff>
    </xdr:from>
    <xdr:to>
      <xdr:col>5</xdr:col>
      <xdr:colOff>1846527</xdr:colOff>
      <xdr:row>0</xdr:row>
      <xdr:rowOff>535781</xdr:rowOff>
    </xdr:to>
    <xdr:sp macro="[0]!Guarda_Hojas_ZIP" textlink="">
      <xdr:nvSpPr>
        <xdr:cNvPr id="4" name="3 Rectángulo redondeado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>
        <a:xfrm>
          <a:off x="1950244" y="142875"/>
          <a:ext cx="1020233" cy="392906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s-ES" sz="1100"/>
            <a:t>Crear/Comprimir CSV</a:t>
          </a:r>
        </a:p>
      </xdr:txBody>
    </xdr:sp>
    <xdr:clientData/>
  </xdr:twoCellAnchor>
  <xdr:twoCellAnchor>
    <xdr:from>
      <xdr:col>7</xdr:col>
      <xdr:colOff>189940</xdr:colOff>
      <xdr:row>1</xdr:row>
      <xdr:rowOff>912720</xdr:rowOff>
    </xdr:from>
    <xdr:to>
      <xdr:col>7</xdr:col>
      <xdr:colOff>537323</xdr:colOff>
      <xdr:row>1</xdr:row>
      <xdr:rowOff>1831602</xdr:rowOff>
    </xdr:to>
    <xdr:sp macro="" textlink="">
      <xdr:nvSpPr>
        <xdr:cNvPr id="17" name="16 Flecha abajo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SpPr/>
      </xdr:nvSpPr>
      <xdr:spPr>
        <a:xfrm>
          <a:off x="23973865" y="1608045"/>
          <a:ext cx="347383" cy="918882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s-CL"/>
        </a:p>
      </xdr:txBody>
    </xdr:sp>
    <xdr:clientData/>
  </xdr:twoCellAnchor>
  <xdr:twoCellAnchor>
    <xdr:from>
      <xdr:col>6</xdr:col>
      <xdr:colOff>447675</xdr:colOff>
      <xdr:row>1</xdr:row>
      <xdr:rowOff>161925</xdr:rowOff>
    </xdr:from>
    <xdr:to>
      <xdr:col>8</xdr:col>
      <xdr:colOff>0</xdr:colOff>
      <xdr:row>1</xdr:row>
      <xdr:rowOff>834278</xdr:rowOff>
    </xdr:to>
    <xdr:sp macro="" textlink="">
      <xdr:nvSpPr>
        <xdr:cNvPr id="18" name="17 Rectángulo redondeado">
          <a:extLst>
            <a:ext uri="{FF2B5EF4-FFF2-40B4-BE49-F238E27FC236}">
              <a16:creationId xmlns:a16="http://schemas.microsoft.com/office/drawing/2014/main" id="{00000000-0008-0000-0100-000012000000}"/>
            </a:ext>
          </a:extLst>
        </xdr:cNvPr>
        <xdr:cNvSpPr/>
      </xdr:nvSpPr>
      <xdr:spPr>
        <a:xfrm>
          <a:off x="22745700" y="857250"/>
          <a:ext cx="2191871" cy="672353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CL" sz="1100"/>
            <a:t>Ubique</a:t>
          </a:r>
          <a:r>
            <a:rPr lang="es-CL" sz="1100" baseline="0"/>
            <a:t> el cursor en esta celda y presione "Copiar Columna"</a:t>
          </a:r>
          <a:endParaRPr lang="es-CL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0</xdr:row>
      <xdr:rowOff>142876</xdr:rowOff>
    </xdr:from>
    <xdr:to>
      <xdr:col>5</xdr:col>
      <xdr:colOff>661193</xdr:colOff>
      <xdr:row>0</xdr:row>
      <xdr:rowOff>523876</xdr:rowOff>
    </xdr:to>
    <xdr:sp macro="[0]!Guarda_Hojas_CSV" textlink="">
      <xdr:nvSpPr>
        <xdr:cNvPr id="2" name="1 Rectángulo redondeado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361950" y="142876"/>
          <a:ext cx="1356518" cy="381000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s-ES" sz="1100"/>
            <a:t>Crear CSV</a:t>
          </a:r>
        </a:p>
      </xdr:txBody>
    </xdr:sp>
    <xdr:clientData/>
  </xdr:twoCellAnchor>
  <xdr:twoCellAnchor editAs="absolute">
    <xdr:from>
      <xdr:col>5</xdr:col>
      <xdr:colOff>4691064</xdr:colOff>
      <xdr:row>0</xdr:row>
      <xdr:rowOff>154782</xdr:rowOff>
    </xdr:from>
    <xdr:to>
      <xdr:col>5</xdr:col>
      <xdr:colOff>5991226</xdr:colOff>
      <xdr:row>0</xdr:row>
      <xdr:rowOff>547688</xdr:rowOff>
    </xdr:to>
    <xdr:sp macro="[0]!Copiar_columna" textlink="">
      <xdr:nvSpPr>
        <xdr:cNvPr id="3" name="2 Rectángulo redondeado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>
          <a:spLocks/>
        </xdr:cNvSpPr>
      </xdr:nvSpPr>
      <xdr:spPr>
        <a:xfrm>
          <a:off x="5815014" y="154782"/>
          <a:ext cx="1300162" cy="392906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s-ES" sz="1100"/>
            <a:t>Copiar Columna</a:t>
          </a:r>
        </a:p>
      </xdr:txBody>
    </xdr:sp>
    <xdr:clientData/>
  </xdr:twoCellAnchor>
  <xdr:twoCellAnchor>
    <xdr:from>
      <xdr:col>5</xdr:col>
      <xdr:colOff>826294</xdr:colOff>
      <xdr:row>0</xdr:row>
      <xdr:rowOff>142875</xdr:rowOff>
    </xdr:from>
    <xdr:to>
      <xdr:col>5</xdr:col>
      <xdr:colOff>1846527</xdr:colOff>
      <xdr:row>0</xdr:row>
      <xdr:rowOff>535781</xdr:rowOff>
    </xdr:to>
    <xdr:sp macro="[0]!Guarda_Hojas_ZIP" textlink="">
      <xdr:nvSpPr>
        <xdr:cNvPr id="4" name="3 Rectángulo redondeado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>
        <a:xfrm>
          <a:off x="1883569" y="142875"/>
          <a:ext cx="1020233" cy="392906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s-ES" sz="1100"/>
            <a:t>Crear/Comprimir CSV</a:t>
          </a:r>
        </a:p>
      </xdr:txBody>
    </xdr:sp>
    <xdr:clientData/>
  </xdr:twoCellAnchor>
  <xdr:twoCellAnchor>
    <xdr:from>
      <xdr:col>7</xdr:col>
      <xdr:colOff>189940</xdr:colOff>
      <xdr:row>1</xdr:row>
      <xdr:rowOff>979395</xdr:rowOff>
    </xdr:from>
    <xdr:to>
      <xdr:col>7</xdr:col>
      <xdr:colOff>537323</xdr:colOff>
      <xdr:row>1</xdr:row>
      <xdr:rowOff>1898277</xdr:rowOff>
    </xdr:to>
    <xdr:sp macro="" textlink="">
      <xdr:nvSpPr>
        <xdr:cNvPr id="5" name="4 Flecha abajo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8124265" y="1674720"/>
          <a:ext cx="347383" cy="918882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s-CL"/>
        </a:p>
      </xdr:txBody>
    </xdr:sp>
    <xdr:clientData/>
  </xdr:twoCellAnchor>
  <xdr:twoCellAnchor>
    <xdr:from>
      <xdr:col>6</xdr:col>
      <xdr:colOff>447675</xdr:colOff>
      <xdr:row>1</xdr:row>
      <xdr:rowOff>228600</xdr:rowOff>
    </xdr:from>
    <xdr:to>
      <xdr:col>8</xdr:col>
      <xdr:colOff>391646</xdr:colOff>
      <xdr:row>1</xdr:row>
      <xdr:rowOff>900953</xdr:rowOff>
    </xdr:to>
    <xdr:sp macro="" textlink="">
      <xdr:nvSpPr>
        <xdr:cNvPr id="6" name="5 Rectángulo redondeado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/>
      </xdr:nvSpPr>
      <xdr:spPr>
        <a:xfrm>
          <a:off x="7620000" y="923925"/>
          <a:ext cx="1467971" cy="672353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CL" sz="1100"/>
            <a:t>Ubique</a:t>
          </a:r>
          <a:r>
            <a:rPr lang="es-CL" sz="1100" baseline="0"/>
            <a:t> el cursor en esta celda y presione "Copiar Columna"</a:t>
          </a:r>
          <a:endParaRPr lang="es-CL" sz="1100"/>
        </a:p>
      </xdr:txBody>
    </xdr:sp>
    <xdr:clientData/>
  </xdr:twoCellAnchor>
  <xdr:twoCellAnchor>
    <xdr:from>
      <xdr:col>10</xdr:col>
      <xdr:colOff>170890</xdr:colOff>
      <xdr:row>1</xdr:row>
      <xdr:rowOff>988920</xdr:rowOff>
    </xdr:from>
    <xdr:to>
      <xdr:col>10</xdr:col>
      <xdr:colOff>518273</xdr:colOff>
      <xdr:row>1</xdr:row>
      <xdr:rowOff>1907802</xdr:rowOff>
    </xdr:to>
    <xdr:sp macro="" textlink="">
      <xdr:nvSpPr>
        <xdr:cNvPr id="7" name="6 Flecha abajo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/>
      </xdr:nvSpPr>
      <xdr:spPr>
        <a:xfrm>
          <a:off x="10467415" y="1684245"/>
          <a:ext cx="347383" cy="918882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s-CL"/>
        </a:p>
      </xdr:txBody>
    </xdr:sp>
    <xdr:clientData/>
  </xdr:twoCellAnchor>
  <xdr:twoCellAnchor>
    <xdr:from>
      <xdr:col>9</xdr:col>
      <xdr:colOff>428625</xdr:colOff>
      <xdr:row>1</xdr:row>
      <xdr:rowOff>238125</xdr:rowOff>
    </xdr:from>
    <xdr:to>
      <xdr:col>11</xdr:col>
      <xdr:colOff>372596</xdr:colOff>
      <xdr:row>1</xdr:row>
      <xdr:rowOff>910478</xdr:rowOff>
    </xdr:to>
    <xdr:sp macro="" textlink="">
      <xdr:nvSpPr>
        <xdr:cNvPr id="8" name="7 Rectángulo redondeado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SpPr/>
      </xdr:nvSpPr>
      <xdr:spPr>
        <a:xfrm>
          <a:off x="9963150" y="933450"/>
          <a:ext cx="1467971" cy="672353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CL" sz="1100"/>
            <a:t>Ubique</a:t>
          </a:r>
          <a:r>
            <a:rPr lang="es-CL" sz="1100" baseline="0"/>
            <a:t> el cursor en esta celda y presione "Copiar Columna"</a:t>
          </a:r>
          <a:endParaRPr lang="es-CL" sz="1100"/>
        </a:p>
      </xdr:txBody>
    </xdr:sp>
    <xdr:clientData/>
  </xdr:twoCellAnchor>
  <xdr:twoCellAnchor>
    <xdr:from>
      <xdr:col>13</xdr:col>
      <xdr:colOff>180415</xdr:colOff>
      <xdr:row>1</xdr:row>
      <xdr:rowOff>969870</xdr:rowOff>
    </xdr:from>
    <xdr:to>
      <xdr:col>13</xdr:col>
      <xdr:colOff>527798</xdr:colOff>
      <xdr:row>1</xdr:row>
      <xdr:rowOff>1888752</xdr:rowOff>
    </xdr:to>
    <xdr:sp macro="" textlink="">
      <xdr:nvSpPr>
        <xdr:cNvPr id="9" name="8 Flecha abajo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SpPr/>
      </xdr:nvSpPr>
      <xdr:spPr>
        <a:xfrm>
          <a:off x="12886765" y="1665195"/>
          <a:ext cx="347383" cy="918882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s-CL"/>
        </a:p>
      </xdr:txBody>
    </xdr:sp>
    <xdr:clientData/>
  </xdr:twoCellAnchor>
  <xdr:twoCellAnchor>
    <xdr:from>
      <xdr:col>12</xdr:col>
      <xdr:colOff>438150</xdr:colOff>
      <xdr:row>1</xdr:row>
      <xdr:rowOff>219075</xdr:rowOff>
    </xdr:from>
    <xdr:to>
      <xdr:col>14</xdr:col>
      <xdr:colOff>382121</xdr:colOff>
      <xdr:row>1</xdr:row>
      <xdr:rowOff>891428</xdr:rowOff>
    </xdr:to>
    <xdr:sp macro="" textlink="">
      <xdr:nvSpPr>
        <xdr:cNvPr id="10" name="9 Rectángulo redondeado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SpPr/>
      </xdr:nvSpPr>
      <xdr:spPr>
        <a:xfrm>
          <a:off x="12382500" y="914400"/>
          <a:ext cx="1467971" cy="672353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CL" sz="1100"/>
            <a:t>Ubique</a:t>
          </a:r>
          <a:r>
            <a:rPr lang="es-CL" sz="1100" baseline="0"/>
            <a:t> el cursor en esta celda y presione "Copiar Columna"</a:t>
          </a:r>
          <a:endParaRPr lang="es-CL" sz="1100"/>
        </a:p>
      </xdr:txBody>
    </xdr:sp>
    <xdr:clientData/>
  </xdr:twoCellAnchor>
  <xdr:twoCellAnchor>
    <xdr:from>
      <xdr:col>16</xdr:col>
      <xdr:colOff>161365</xdr:colOff>
      <xdr:row>1</xdr:row>
      <xdr:rowOff>922245</xdr:rowOff>
    </xdr:from>
    <xdr:to>
      <xdr:col>16</xdr:col>
      <xdr:colOff>508748</xdr:colOff>
      <xdr:row>1</xdr:row>
      <xdr:rowOff>1841127</xdr:rowOff>
    </xdr:to>
    <xdr:sp macro="" textlink="">
      <xdr:nvSpPr>
        <xdr:cNvPr id="11" name="10 Flecha abajo"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SpPr/>
      </xdr:nvSpPr>
      <xdr:spPr>
        <a:xfrm>
          <a:off x="15172765" y="1617570"/>
          <a:ext cx="347383" cy="918882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s-CL"/>
        </a:p>
      </xdr:txBody>
    </xdr:sp>
    <xdr:clientData/>
  </xdr:twoCellAnchor>
  <xdr:twoCellAnchor>
    <xdr:from>
      <xdr:col>15</xdr:col>
      <xdr:colOff>419100</xdr:colOff>
      <xdr:row>1</xdr:row>
      <xdr:rowOff>171450</xdr:rowOff>
    </xdr:from>
    <xdr:to>
      <xdr:col>17</xdr:col>
      <xdr:colOff>363071</xdr:colOff>
      <xdr:row>1</xdr:row>
      <xdr:rowOff>843803</xdr:rowOff>
    </xdr:to>
    <xdr:sp macro="" textlink="">
      <xdr:nvSpPr>
        <xdr:cNvPr id="12" name="11 Rectángulo redondeado"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SpPr/>
      </xdr:nvSpPr>
      <xdr:spPr>
        <a:xfrm>
          <a:off x="14668500" y="866775"/>
          <a:ext cx="1467971" cy="672353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CL" sz="1100"/>
            <a:t>Ubique</a:t>
          </a:r>
          <a:r>
            <a:rPr lang="es-CL" sz="1100" baseline="0"/>
            <a:t> el cursor en esta celda y presione "Copiar Columna"</a:t>
          </a:r>
          <a:endParaRPr lang="es-CL" sz="1100"/>
        </a:p>
      </xdr:txBody>
    </xdr:sp>
    <xdr:clientData/>
  </xdr:twoCellAnchor>
  <xdr:twoCellAnchor>
    <xdr:from>
      <xdr:col>19</xdr:col>
      <xdr:colOff>151840</xdr:colOff>
      <xdr:row>1</xdr:row>
      <xdr:rowOff>931770</xdr:rowOff>
    </xdr:from>
    <xdr:to>
      <xdr:col>19</xdr:col>
      <xdr:colOff>499223</xdr:colOff>
      <xdr:row>1</xdr:row>
      <xdr:rowOff>1850652</xdr:rowOff>
    </xdr:to>
    <xdr:sp macro="" textlink="">
      <xdr:nvSpPr>
        <xdr:cNvPr id="13" name="12 Flecha abajo">
          <a:extLs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SpPr/>
      </xdr:nvSpPr>
      <xdr:spPr>
        <a:xfrm>
          <a:off x="17487340" y="1627095"/>
          <a:ext cx="347383" cy="918882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s-CL"/>
        </a:p>
      </xdr:txBody>
    </xdr:sp>
    <xdr:clientData/>
  </xdr:twoCellAnchor>
  <xdr:twoCellAnchor>
    <xdr:from>
      <xdr:col>18</xdr:col>
      <xdr:colOff>409575</xdr:colOff>
      <xdr:row>1</xdr:row>
      <xdr:rowOff>180975</xdr:rowOff>
    </xdr:from>
    <xdr:to>
      <xdr:col>20</xdr:col>
      <xdr:colOff>353546</xdr:colOff>
      <xdr:row>1</xdr:row>
      <xdr:rowOff>853328</xdr:rowOff>
    </xdr:to>
    <xdr:sp macro="" textlink="">
      <xdr:nvSpPr>
        <xdr:cNvPr id="14" name="13 Rectángulo redondeado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SpPr/>
      </xdr:nvSpPr>
      <xdr:spPr>
        <a:xfrm>
          <a:off x="16983075" y="876300"/>
          <a:ext cx="1467971" cy="672353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CL" sz="1100"/>
            <a:t>Ubique</a:t>
          </a:r>
          <a:r>
            <a:rPr lang="es-CL" sz="1100" baseline="0"/>
            <a:t> el cursor en esta celda y presione "Copiar Columna"</a:t>
          </a:r>
          <a:endParaRPr lang="es-CL" sz="1100"/>
        </a:p>
      </xdr:txBody>
    </xdr:sp>
    <xdr:clientData/>
  </xdr:twoCellAnchor>
  <xdr:twoCellAnchor>
    <xdr:from>
      <xdr:col>22</xdr:col>
      <xdr:colOff>123265</xdr:colOff>
      <xdr:row>1</xdr:row>
      <xdr:rowOff>893670</xdr:rowOff>
    </xdr:from>
    <xdr:to>
      <xdr:col>22</xdr:col>
      <xdr:colOff>470648</xdr:colOff>
      <xdr:row>1</xdr:row>
      <xdr:rowOff>1812552</xdr:rowOff>
    </xdr:to>
    <xdr:sp macro="" textlink="">
      <xdr:nvSpPr>
        <xdr:cNvPr id="15" name="14 Flecha abajo">
          <a:extLst>
            <a:ext uri="{FF2B5EF4-FFF2-40B4-BE49-F238E27FC236}">
              <a16:creationId xmlns:a16="http://schemas.microsoft.com/office/drawing/2014/main" id="{00000000-0008-0000-0200-00000F000000}"/>
            </a:ext>
          </a:extLst>
        </xdr:cNvPr>
        <xdr:cNvSpPr/>
      </xdr:nvSpPr>
      <xdr:spPr>
        <a:xfrm>
          <a:off x="19744765" y="1588995"/>
          <a:ext cx="347383" cy="918882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s-CL"/>
        </a:p>
      </xdr:txBody>
    </xdr:sp>
    <xdr:clientData/>
  </xdr:twoCellAnchor>
  <xdr:twoCellAnchor>
    <xdr:from>
      <xdr:col>21</xdr:col>
      <xdr:colOff>381000</xdr:colOff>
      <xdr:row>1</xdr:row>
      <xdr:rowOff>142875</xdr:rowOff>
    </xdr:from>
    <xdr:to>
      <xdr:col>23</xdr:col>
      <xdr:colOff>324971</xdr:colOff>
      <xdr:row>1</xdr:row>
      <xdr:rowOff>815228</xdr:rowOff>
    </xdr:to>
    <xdr:sp macro="" textlink="">
      <xdr:nvSpPr>
        <xdr:cNvPr id="16" name="15 Rectángulo redondeado">
          <a:extLst>
            <a:ext uri="{FF2B5EF4-FFF2-40B4-BE49-F238E27FC236}">
              <a16:creationId xmlns:a16="http://schemas.microsoft.com/office/drawing/2014/main" id="{00000000-0008-0000-0200-000010000000}"/>
            </a:ext>
          </a:extLst>
        </xdr:cNvPr>
        <xdr:cNvSpPr/>
      </xdr:nvSpPr>
      <xdr:spPr>
        <a:xfrm>
          <a:off x="19240500" y="838200"/>
          <a:ext cx="1467971" cy="672353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CL" sz="1100"/>
            <a:t>Ubique</a:t>
          </a:r>
          <a:r>
            <a:rPr lang="es-CL" sz="1100" baseline="0"/>
            <a:t> el cursor en esta celda y presione "Copiar Columna"</a:t>
          </a:r>
          <a:endParaRPr lang="es-CL" sz="1100"/>
        </a:p>
      </xdr:txBody>
    </xdr:sp>
    <xdr:clientData/>
  </xdr:twoCellAnchor>
  <xdr:twoCellAnchor>
    <xdr:from>
      <xdr:col>25</xdr:col>
      <xdr:colOff>189940</xdr:colOff>
      <xdr:row>1</xdr:row>
      <xdr:rowOff>912720</xdr:rowOff>
    </xdr:from>
    <xdr:to>
      <xdr:col>25</xdr:col>
      <xdr:colOff>537323</xdr:colOff>
      <xdr:row>1</xdr:row>
      <xdr:rowOff>1831602</xdr:rowOff>
    </xdr:to>
    <xdr:sp macro="" textlink="">
      <xdr:nvSpPr>
        <xdr:cNvPr id="17" name="16 Flecha abajo">
          <a:extLst>
            <a:ext uri="{FF2B5EF4-FFF2-40B4-BE49-F238E27FC236}">
              <a16:creationId xmlns:a16="http://schemas.microsoft.com/office/drawing/2014/main" id="{00000000-0008-0000-0200-000011000000}"/>
            </a:ext>
          </a:extLst>
        </xdr:cNvPr>
        <xdr:cNvSpPr/>
      </xdr:nvSpPr>
      <xdr:spPr>
        <a:xfrm>
          <a:off x="22097440" y="1608045"/>
          <a:ext cx="347383" cy="918882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s-CL"/>
        </a:p>
      </xdr:txBody>
    </xdr:sp>
    <xdr:clientData/>
  </xdr:twoCellAnchor>
  <xdr:twoCellAnchor>
    <xdr:from>
      <xdr:col>24</xdr:col>
      <xdr:colOff>447675</xdr:colOff>
      <xdr:row>1</xdr:row>
      <xdr:rowOff>161925</xdr:rowOff>
    </xdr:from>
    <xdr:to>
      <xdr:col>26</xdr:col>
      <xdr:colOff>391646</xdr:colOff>
      <xdr:row>1</xdr:row>
      <xdr:rowOff>834278</xdr:rowOff>
    </xdr:to>
    <xdr:sp macro="" textlink="">
      <xdr:nvSpPr>
        <xdr:cNvPr id="18" name="17 Rectángulo redondeado">
          <a:extLst>
            <a:ext uri="{FF2B5EF4-FFF2-40B4-BE49-F238E27FC236}">
              <a16:creationId xmlns:a16="http://schemas.microsoft.com/office/drawing/2014/main" id="{00000000-0008-0000-0200-000012000000}"/>
            </a:ext>
          </a:extLst>
        </xdr:cNvPr>
        <xdr:cNvSpPr/>
      </xdr:nvSpPr>
      <xdr:spPr>
        <a:xfrm>
          <a:off x="21593175" y="857250"/>
          <a:ext cx="1467971" cy="672353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CL" sz="1100"/>
            <a:t>Ubique</a:t>
          </a:r>
          <a:r>
            <a:rPr lang="es-CL" sz="1100" baseline="0"/>
            <a:t> el cursor en esta celda y presione "Copiar Columna"</a:t>
          </a:r>
          <a:endParaRPr lang="es-CL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0</xdr:row>
      <xdr:rowOff>142876</xdr:rowOff>
    </xdr:from>
    <xdr:to>
      <xdr:col>5</xdr:col>
      <xdr:colOff>661193</xdr:colOff>
      <xdr:row>0</xdr:row>
      <xdr:rowOff>523876</xdr:rowOff>
    </xdr:to>
    <xdr:sp macro="[0]!Guarda_Hojas_CSV" textlink="">
      <xdr:nvSpPr>
        <xdr:cNvPr id="2" name="1 Rectángulo redondeado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400050" y="142876"/>
          <a:ext cx="1385093" cy="381000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s-ES" sz="1100"/>
            <a:t>Crear CSV</a:t>
          </a:r>
        </a:p>
      </xdr:txBody>
    </xdr:sp>
    <xdr:clientData/>
  </xdr:twoCellAnchor>
  <xdr:twoCellAnchor>
    <xdr:from>
      <xdr:col>5</xdr:col>
      <xdr:colOff>826294</xdr:colOff>
      <xdr:row>0</xdr:row>
      <xdr:rowOff>142875</xdr:rowOff>
    </xdr:from>
    <xdr:to>
      <xdr:col>5</xdr:col>
      <xdr:colOff>1846527</xdr:colOff>
      <xdr:row>0</xdr:row>
      <xdr:rowOff>535781</xdr:rowOff>
    </xdr:to>
    <xdr:sp macro="[0]!Guarda_Hojas_ZIP" textlink="">
      <xdr:nvSpPr>
        <xdr:cNvPr id="3" name="2 Rectángulo redondeado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1950244" y="142875"/>
          <a:ext cx="1020233" cy="392906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s-ES" sz="1100"/>
            <a:t>Crear/Comprimir CSV</a:t>
          </a:r>
        </a:p>
      </xdr:txBody>
    </xdr:sp>
    <xdr:clientData/>
  </xdr:twoCellAnchor>
  <xdr:twoCellAnchor>
    <xdr:from>
      <xdr:col>7</xdr:col>
      <xdr:colOff>189940</xdr:colOff>
      <xdr:row>1</xdr:row>
      <xdr:rowOff>979395</xdr:rowOff>
    </xdr:from>
    <xdr:to>
      <xdr:col>7</xdr:col>
      <xdr:colOff>537323</xdr:colOff>
      <xdr:row>1</xdr:row>
      <xdr:rowOff>1898277</xdr:rowOff>
    </xdr:to>
    <xdr:sp macro="" textlink="">
      <xdr:nvSpPr>
        <xdr:cNvPr id="4" name="3 Flecha abajo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/>
      </xdr:nvSpPr>
      <xdr:spPr>
        <a:xfrm>
          <a:off x="8124265" y="1674720"/>
          <a:ext cx="347383" cy="918882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s-CL"/>
        </a:p>
      </xdr:txBody>
    </xdr:sp>
    <xdr:clientData/>
  </xdr:twoCellAnchor>
  <xdr:twoCellAnchor>
    <xdr:from>
      <xdr:col>6</xdr:col>
      <xdr:colOff>447675</xdr:colOff>
      <xdr:row>1</xdr:row>
      <xdr:rowOff>228600</xdr:rowOff>
    </xdr:from>
    <xdr:to>
      <xdr:col>8</xdr:col>
      <xdr:colOff>0</xdr:colOff>
      <xdr:row>1</xdr:row>
      <xdr:rowOff>900953</xdr:rowOff>
    </xdr:to>
    <xdr:sp macro="" textlink="">
      <xdr:nvSpPr>
        <xdr:cNvPr id="5" name="4 Rectángulo redondeado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/>
      </xdr:nvSpPr>
      <xdr:spPr>
        <a:xfrm>
          <a:off x="7620000" y="923925"/>
          <a:ext cx="1467971" cy="672353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CL" sz="1100"/>
            <a:t>Ubique</a:t>
          </a:r>
          <a:r>
            <a:rPr lang="es-CL" sz="1100" baseline="0"/>
            <a:t> el cursor en esta celda y presione "Copiar Columna"</a:t>
          </a:r>
          <a:endParaRPr lang="es-CL" sz="1100"/>
        </a:p>
      </xdr:txBody>
    </xdr:sp>
    <xdr:clientData/>
  </xdr:twoCellAnchor>
  <xdr:twoCellAnchor editAs="absolute">
    <xdr:from>
      <xdr:col>5</xdr:col>
      <xdr:colOff>4750594</xdr:colOff>
      <xdr:row>0</xdr:row>
      <xdr:rowOff>130969</xdr:rowOff>
    </xdr:from>
    <xdr:to>
      <xdr:col>6</xdr:col>
      <xdr:colOff>2381</xdr:colOff>
      <xdr:row>0</xdr:row>
      <xdr:rowOff>523875</xdr:rowOff>
    </xdr:to>
    <xdr:sp macro="[0]!Copiar_columna" textlink="">
      <xdr:nvSpPr>
        <xdr:cNvPr id="6" name="2 Rectángulo redondeado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>
          <a:spLocks/>
        </xdr:cNvSpPr>
      </xdr:nvSpPr>
      <xdr:spPr>
        <a:xfrm>
          <a:off x="5857875" y="130969"/>
          <a:ext cx="1300162" cy="392906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s-ES" sz="1100"/>
            <a:t>Copiar Columna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L45"/>
  <sheetViews>
    <sheetView topLeftCell="A22" zoomScale="80" zoomScaleNormal="80" workbookViewId="0">
      <selection activeCell="F44" sqref="F44"/>
    </sheetView>
  </sheetViews>
  <sheetFormatPr baseColWidth="10" defaultRowHeight="15"/>
  <cols>
    <col min="1" max="5" width="2.7109375" customWidth="1"/>
    <col min="6" max="6" width="97.85546875" customWidth="1"/>
    <col min="7" max="7" width="2.7109375" customWidth="1"/>
    <col min="8" max="11" width="16.7109375" customWidth="1"/>
  </cols>
  <sheetData>
    <row r="1" spans="1:12" ht="105" customHeight="1">
      <c r="A1" t="s">
        <v>0</v>
      </c>
    </row>
    <row r="2" spans="1:12">
      <c r="G2" s="81" t="s">
        <v>0</v>
      </c>
      <c r="H2" s="82" t="s">
        <v>595</v>
      </c>
    </row>
    <row r="3" spans="1:12">
      <c r="B3" s="7"/>
      <c r="C3" s="8"/>
      <c r="D3" s="8"/>
      <c r="E3" s="8"/>
      <c r="F3" s="8"/>
      <c r="G3" s="8"/>
      <c r="H3" s="8"/>
      <c r="I3" s="8"/>
      <c r="J3" s="8"/>
      <c r="K3" s="8"/>
      <c r="L3" s="9"/>
    </row>
    <row r="4" spans="1:12">
      <c r="B4" s="10"/>
      <c r="C4" s="1"/>
      <c r="D4" s="1" t="s">
        <v>0</v>
      </c>
      <c r="E4" s="1" t="s">
        <v>0</v>
      </c>
      <c r="F4" s="2" t="s">
        <v>5</v>
      </c>
      <c r="G4" s="1"/>
      <c r="H4" s="1"/>
      <c r="I4" s="1"/>
      <c r="J4" s="1"/>
      <c r="K4" s="1"/>
      <c r="L4" s="11"/>
    </row>
    <row r="5" spans="1:12">
      <c r="B5" s="10" t="s">
        <v>575</v>
      </c>
      <c r="C5" s="1" t="s">
        <v>490</v>
      </c>
      <c r="D5" s="1" t="s">
        <v>0</v>
      </c>
      <c r="E5" s="1" t="s">
        <v>0</v>
      </c>
      <c r="F5" s="4" t="s">
        <v>596</v>
      </c>
      <c r="G5" s="1"/>
      <c r="H5" s="1"/>
      <c r="I5" s="1"/>
      <c r="J5" s="1"/>
      <c r="K5" s="1"/>
      <c r="L5" s="11"/>
    </row>
    <row r="6" spans="1:12">
      <c r="B6" s="10" t="s">
        <v>0</v>
      </c>
      <c r="C6" s="1" t="s">
        <v>0</v>
      </c>
      <c r="D6" s="1" t="s">
        <v>0</v>
      </c>
      <c r="E6" s="1" t="s">
        <v>0</v>
      </c>
      <c r="F6" s="5"/>
      <c r="G6" s="1"/>
      <c r="H6" s="1"/>
      <c r="I6" s="1"/>
      <c r="J6" s="1"/>
      <c r="K6" s="1"/>
      <c r="L6" s="11"/>
    </row>
    <row r="7" spans="1:12">
      <c r="B7" s="10"/>
      <c r="C7" s="1"/>
      <c r="D7" s="1" t="s">
        <v>0</v>
      </c>
      <c r="E7" s="1" t="s">
        <v>0</v>
      </c>
      <c r="F7" s="3" t="s">
        <v>6</v>
      </c>
      <c r="G7" s="1"/>
      <c r="H7" s="1"/>
      <c r="I7" s="1"/>
      <c r="J7" s="1"/>
      <c r="K7" s="1"/>
      <c r="L7" s="11"/>
    </row>
    <row r="8" spans="1:12">
      <c r="B8" s="10" t="s">
        <v>575</v>
      </c>
      <c r="C8" s="1" t="s">
        <v>491</v>
      </c>
      <c r="D8" s="1" t="s">
        <v>0</v>
      </c>
      <c r="E8" s="1" t="s">
        <v>0</v>
      </c>
      <c r="F8" s="4" t="s">
        <v>596</v>
      </c>
      <c r="G8" s="1"/>
      <c r="H8" s="1"/>
      <c r="I8" s="1"/>
      <c r="J8" s="1"/>
      <c r="K8" s="1"/>
      <c r="L8" s="11"/>
    </row>
    <row r="9" spans="1:12">
      <c r="B9" s="10" t="s">
        <v>0</v>
      </c>
      <c r="C9" s="1" t="s">
        <v>0</v>
      </c>
      <c r="D9" s="1" t="s">
        <v>0</v>
      </c>
      <c r="E9" s="1" t="s">
        <v>0</v>
      </c>
      <c r="F9" s="2"/>
      <c r="G9" s="1"/>
      <c r="H9" s="1"/>
      <c r="I9" s="1"/>
      <c r="J9" s="1"/>
      <c r="K9" s="1"/>
      <c r="L9" s="11"/>
    </row>
    <row r="10" spans="1:12">
      <c r="B10" s="10"/>
      <c r="C10" s="1"/>
      <c r="D10" s="1" t="s">
        <v>0</v>
      </c>
      <c r="E10" s="1" t="s">
        <v>0</v>
      </c>
      <c r="F10" s="3" t="s">
        <v>7</v>
      </c>
      <c r="G10" s="6"/>
      <c r="H10" s="1"/>
      <c r="I10" s="1"/>
      <c r="J10" s="1"/>
      <c r="K10" s="6"/>
      <c r="L10" s="11"/>
    </row>
    <row r="11" spans="1:12">
      <c r="B11" s="10" t="s">
        <v>575</v>
      </c>
      <c r="C11" s="1" t="s">
        <v>492</v>
      </c>
      <c r="D11" s="1" t="s">
        <v>0</v>
      </c>
      <c r="E11" s="1" t="s">
        <v>0</v>
      </c>
      <c r="F11" s="4"/>
      <c r="G11" s="6"/>
      <c r="H11" s="1"/>
      <c r="I11" s="1"/>
      <c r="J11" s="1"/>
      <c r="K11" s="6"/>
      <c r="L11" s="11"/>
    </row>
    <row r="12" spans="1:12">
      <c r="B12" s="10" t="s">
        <v>0</v>
      </c>
      <c r="C12" s="1" t="s">
        <v>0</v>
      </c>
      <c r="D12" s="1" t="s">
        <v>0</v>
      </c>
      <c r="E12" s="1" t="s">
        <v>0</v>
      </c>
      <c r="F12" s="3" t="s">
        <v>596</v>
      </c>
      <c r="G12" s="6"/>
      <c r="H12" s="1"/>
      <c r="I12" s="1"/>
      <c r="J12" s="1"/>
      <c r="K12" s="6"/>
      <c r="L12" s="11"/>
    </row>
    <row r="13" spans="1:12" ht="29.25" customHeight="1">
      <c r="B13" s="10"/>
      <c r="C13" s="1"/>
      <c r="D13" s="1" t="s">
        <v>0</v>
      </c>
      <c r="E13" s="1" t="s">
        <v>0</v>
      </c>
      <c r="F13" s="3" t="s">
        <v>8</v>
      </c>
      <c r="G13" s="6"/>
      <c r="H13" s="6"/>
      <c r="I13" s="6"/>
      <c r="J13" s="6"/>
      <c r="K13" s="6"/>
      <c r="L13" s="11"/>
    </row>
    <row r="14" spans="1:12">
      <c r="B14" s="10" t="s">
        <v>575</v>
      </c>
      <c r="C14" s="1" t="s">
        <v>493</v>
      </c>
      <c r="D14" s="1" t="s">
        <v>0</v>
      </c>
      <c r="E14" s="1" t="s">
        <v>0</v>
      </c>
      <c r="F14" s="4" t="s">
        <v>596</v>
      </c>
      <c r="G14" s="6"/>
      <c r="H14" s="6"/>
      <c r="I14" s="6"/>
      <c r="J14" s="6"/>
      <c r="K14" s="6"/>
      <c r="L14" s="11"/>
    </row>
    <row r="15" spans="1:12">
      <c r="B15" s="10" t="s">
        <v>0</v>
      </c>
      <c r="C15" s="1" t="s">
        <v>0</v>
      </c>
      <c r="D15" s="1" t="s">
        <v>0</v>
      </c>
      <c r="E15" s="1" t="s">
        <v>0</v>
      </c>
      <c r="F15" s="3"/>
      <c r="G15" s="6"/>
      <c r="H15" s="6"/>
      <c r="I15" s="6"/>
      <c r="J15" s="6"/>
      <c r="K15" s="6"/>
      <c r="L15" s="11"/>
    </row>
    <row r="16" spans="1:12">
      <c r="B16" s="10"/>
      <c r="C16" s="1"/>
      <c r="D16" s="1" t="s">
        <v>0</v>
      </c>
      <c r="E16" s="1" t="s">
        <v>0</v>
      </c>
      <c r="F16" s="3" t="s">
        <v>9</v>
      </c>
      <c r="G16" s="6"/>
      <c r="H16" s="6"/>
      <c r="I16" s="6"/>
      <c r="J16" s="6"/>
      <c r="K16" s="6"/>
      <c r="L16" s="11"/>
    </row>
    <row r="17" spans="2:12">
      <c r="B17" s="10" t="s">
        <v>575</v>
      </c>
      <c r="C17" s="1" t="s">
        <v>494</v>
      </c>
      <c r="D17" s="1" t="s">
        <v>0</v>
      </c>
      <c r="E17" s="1" t="s">
        <v>0</v>
      </c>
      <c r="F17" s="4" t="s">
        <v>596</v>
      </c>
      <c r="G17" s="6"/>
      <c r="H17" s="6"/>
      <c r="I17" s="6"/>
      <c r="J17" s="6"/>
      <c r="K17" s="6"/>
      <c r="L17" s="11"/>
    </row>
    <row r="18" spans="2:12">
      <c r="B18" s="10" t="s">
        <v>0</v>
      </c>
      <c r="C18" s="1" t="s">
        <v>0</v>
      </c>
      <c r="D18" s="1" t="s">
        <v>0</v>
      </c>
      <c r="E18" s="1" t="s">
        <v>0</v>
      </c>
      <c r="F18" s="3"/>
      <c r="G18" s="6"/>
      <c r="H18" s="6"/>
      <c r="I18" s="6"/>
      <c r="J18" s="6"/>
      <c r="K18" s="6"/>
      <c r="L18" s="11"/>
    </row>
    <row r="19" spans="2:12">
      <c r="B19" s="10"/>
      <c r="C19" s="1"/>
      <c r="D19" s="1"/>
      <c r="E19" s="1"/>
      <c r="F19" s="84" t="s">
        <v>581</v>
      </c>
      <c r="G19" s="6"/>
      <c r="H19" s="6"/>
      <c r="I19" s="6"/>
      <c r="J19" s="6"/>
      <c r="K19" s="6"/>
      <c r="L19" s="11"/>
    </row>
    <row r="20" spans="2:12">
      <c r="B20" s="10"/>
      <c r="C20" s="1"/>
      <c r="D20" s="1"/>
      <c r="E20" s="1"/>
      <c r="F20" s="3"/>
      <c r="G20" s="6"/>
      <c r="H20" s="6"/>
      <c r="I20" s="6"/>
      <c r="J20" s="6"/>
      <c r="K20" s="6"/>
      <c r="L20" s="11"/>
    </row>
    <row r="21" spans="2:12">
      <c r="B21" s="10"/>
      <c r="C21" s="1"/>
      <c r="D21" s="1" t="s">
        <v>0</v>
      </c>
      <c r="E21" s="1" t="s">
        <v>0</v>
      </c>
      <c r="F21" s="3" t="s">
        <v>10</v>
      </c>
      <c r="G21" s="6"/>
      <c r="H21" s="6"/>
      <c r="I21" s="6"/>
      <c r="J21" s="6"/>
      <c r="K21" s="6"/>
      <c r="L21" s="11"/>
    </row>
    <row r="22" spans="2:12">
      <c r="B22" s="10" t="s">
        <v>575</v>
      </c>
      <c r="C22" s="1" t="s">
        <v>501</v>
      </c>
      <c r="D22" s="1" t="s">
        <v>0</v>
      </c>
      <c r="E22" s="1" t="s">
        <v>0</v>
      </c>
      <c r="F22" s="4" t="s">
        <v>596</v>
      </c>
      <c r="G22" s="6"/>
      <c r="H22" s="6"/>
      <c r="I22" s="6"/>
      <c r="J22" s="6"/>
      <c r="K22" s="6"/>
      <c r="L22" s="11"/>
    </row>
    <row r="23" spans="2:12">
      <c r="B23" s="10"/>
      <c r="C23" s="1"/>
      <c r="D23" s="1"/>
      <c r="E23" s="1"/>
      <c r="F23" s="6"/>
      <c r="G23" s="6"/>
      <c r="H23" s="6"/>
      <c r="I23" s="6"/>
      <c r="J23" s="6"/>
      <c r="K23" s="6"/>
      <c r="L23" s="11"/>
    </row>
    <row r="24" spans="2:12">
      <c r="B24" s="10"/>
      <c r="C24" s="1"/>
      <c r="D24" s="1"/>
      <c r="E24" s="1"/>
      <c r="F24" s="59" t="s">
        <v>60</v>
      </c>
      <c r="G24" s="6"/>
      <c r="H24" s="6"/>
      <c r="I24" s="6"/>
      <c r="J24" s="6"/>
      <c r="K24" s="6"/>
      <c r="L24" s="11"/>
    </row>
    <row r="25" spans="2:12">
      <c r="B25" s="10"/>
      <c r="C25" s="1"/>
      <c r="D25" s="1"/>
      <c r="E25" s="1"/>
      <c r="F25" s="6"/>
      <c r="G25" s="6"/>
      <c r="H25" s="6"/>
      <c r="I25" s="6"/>
      <c r="J25" s="6"/>
      <c r="K25" s="6"/>
      <c r="L25" s="11"/>
    </row>
    <row r="26" spans="2:12" ht="33.75">
      <c r="B26" s="10"/>
      <c r="C26" s="1"/>
      <c r="D26" s="1" t="s">
        <v>0</v>
      </c>
      <c r="E26" s="1" t="s">
        <v>0</v>
      </c>
      <c r="F26" s="70" t="s">
        <v>488</v>
      </c>
      <c r="G26" s="6"/>
      <c r="H26" s="6"/>
      <c r="I26" s="6"/>
      <c r="J26" s="6"/>
      <c r="K26" s="6"/>
      <c r="L26" s="11"/>
    </row>
    <row r="27" spans="2:12">
      <c r="B27" s="10" t="s">
        <v>575</v>
      </c>
      <c r="C27" s="1" t="s">
        <v>502</v>
      </c>
      <c r="D27" s="1" t="s">
        <v>0</v>
      </c>
      <c r="E27" s="1" t="s">
        <v>0</v>
      </c>
      <c r="F27" s="4" t="s">
        <v>596</v>
      </c>
      <c r="G27" s="6"/>
      <c r="H27" s="6"/>
      <c r="I27" s="6"/>
      <c r="J27" s="6"/>
      <c r="K27" s="6"/>
      <c r="L27" s="11"/>
    </row>
    <row r="28" spans="2:12">
      <c r="B28" s="10"/>
      <c r="C28" s="1"/>
      <c r="D28" s="1"/>
      <c r="E28" s="1"/>
      <c r="F28" s="1"/>
      <c r="G28" s="6"/>
      <c r="H28" s="6"/>
      <c r="I28" s="6"/>
      <c r="J28" s="6"/>
      <c r="K28" s="6"/>
      <c r="L28" s="11"/>
    </row>
    <row r="29" spans="2:12">
      <c r="B29" s="10"/>
      <c r="C29" s="1"/>
      <c r="D29" s="1"/>
      <c r="E29" s="1"/>
      <c r="F29" s="85" t="s">
        <v>489</v>
      </c>
      <c r="G29" s="6"/>
      <c r="H29" s="6"/>
      <c r="I29" s="6"/>
      <c r="J29" s="6"/>
      <c r="K29" s="6"/>
      <c r="L29" s="11"/>
    </row>
    <row r="30" spans="2:12">
      <c r="B30" s="10"/>
      <c r="C30" s="1"/>
      <c r="D30" s="1"/>
      <c r="E30" s="1"/>
      <c r="F30" s="1"/>
      <c r="G30" s="6"/>
      <c r="H30" s="6"/>
      <c r="I30" s="6"/>
      <c r="J30" s="6"/>
      <c r="K30" s="6"/>
      <c r="L30" s="11"/>
    </row>
    <row r="31" spans="2:12" ht="37.5" customHeight="1">
      <c r="B31" s="10"/>
      <c r="C31" s="1"/>
      <c r="D31" s="1" t="s">
        <v>0</v>
      </c>
      <c r="E31" s="1" t="s">
        <v>0</v>
      </c>
      <c r="F31" s="3" t="s">
        <v>61</v>
      </c>
      <c r="G31" s="6"/>
      <c r="H31" s="6"/>
      <c r="I31" s="6"/>
      <c r="J31" s="6"/>
      <c r="K31" s="6"/>
      <c r="L31" s="11"/>
    </row>
    <row r="32" spans="2:12">
      <c r="B32" s="10" t="s">
        <v>575</v>
      </c>
      <c r="C32" s="1" t="s">
        <v>503</v>
      </c>
      <c r="D32" s="1" t="s">
        <v>0</v>
      </c>
      <c r="E32" s="1" t="s">
        <v>0</v>
      </c>
      <c r="F32" s="4" t="s">
        <v>596</v>
      </c>
      <c r="G32" s="6"/>
      <c r="H32" s="6"/>
      <c r="I32" s="6"/>
      <c r="J32" s="6"/>
      <c r="K32" s="6"/>
      <c r="L32" s="11"/>
    </row>
    <row r="33" spans="2:12">
      <c r="B33" s="10" t="s">
        <v>0</v>
      </c>
      <c r="C33" s="1" t="s">
        <v>0</v>
      </c>
      <c r="D33" s="1" t="s">
        <v>0</v>
      </c>
      <c r="E33" s="1" t="s">
        <v>0</v>
      </c>
      <c r="F33" s="3"/>
      <c r="G33" s="6"/>
      <c r="H33" s="6"/>
      <c r="I33" s="6"/>
      <c r="J33" s="6"/>
      <c r="K33" s="6"/>
      <c r="L33" s="11"/>
    </row>
    <row r="34" spans="2:12">
      <c r="B34" s="10"/>
      <c r="C34" s="1"/>
      <c r="D34" s="1" t="s">
        <v>0</v>
      </c>
      <c r="E34" s="1" t="s">
        <v>0</v>
      </c>
      <c r="F34" s="3" t="s">
        <v>62</v>
      </c>
      <c r="G34" s="6"/>
      <c r="H34" s="6"/>
      <c r="I34" s="6"/>
      <c r="J34" s="6"/>
      <c r="K34" s="6"/>
      <c r="L34" s="11"/>
    </row>
    <row r="35" spans="2:12">
      <c r="B35" s="10" t="s">
        <v>575</v>
      </c>
      <c r="C35" s="1" t="s">
        <v>504</v>
      </c>
      <c r="D35" s="1" t="s">
        <v>0</v>
      </c>
      <c r="E35" s="1" t="s">
        <v>0</v>
      </c>
      <c r="F35" s="4" t="s">
        <v>596</v>
      </c>
      <c r="G35" s="6"/>
      <c r="H35" s="6"/>
      <c r="I35" s="6"/>
      <c r="J35" s="6"/>
      <c r="K35" s="6"/>
      <c r="L35" s="11"/>
    </row>
    <row r="36" spans="2:12">
      <c r="B36" s="10" t="s">
        <v>0</v>
      </c>
      <c r="C36" s="1" t="s">
        <v>0</v>
      </c>
      <c r="D36" s="1" t="s">
        <v>0</v>
      </c>
      <c r="E36" s="1" t="s">
        <v>0</v>
      </c>
      <c r="F36" s="3"/>
      <c r="G36" s="6"/>
      <c r="H36" s="6"/>
      <c r="I36" s="6"/>
      <c r="J36" s="6"/>
      <c r="K36" s="6"/>
      <c r="L36" s="11"/>
    </row>
    <row r="37" spans="2:12">
      <c r="B37" s="10"/>
      <c r="C37" s="1"/>
      <c r="D37" s="1" t="s">
        <v>0</v>
      </c>
      <c r="E37" s="1" t="s">
        <v>0</v>
      </c>
      <c r="F37" s="3" t="s">
        <v>63</v>
      </c>
      <c r="G37" s="6"/>
      <c r="H37" s="6"/>
      <c r="I37" s="6"/>
      <c r="J37" s="6"/>
      <c r="K37" s="6"/>
      <c r="L37" s="11"/>
    </row>
    <row r="38" spans="2:12">
      <c r="B38" s="10" t="s">
        <v>575</v>
      </c>
      <c r="C38" s="1" t="s">
        <v>505</v>
      </c>
      <c r="D38" s="1" t="s">
        <v>0</v>
      </c>
      <c r="E38" s="1" t="s">
        <v>0</v>
      </c>
      <c r="F38" s="4" t="s">
        <v>596</v>
      </c>
      <c r="G38" s="6"/>
      <c r="H38" s="6"/>
      <c r="I38" s="6"/>
      <c r="J38" s="6"/>
      <c r="K38" s="6"/>
      <c r="L38" s="11"/>
    </row>
    <row r="39" spans="2:12">
      <c r="B39" s="10" t="s">
        <v>0</v>
      </c>
      <c r="C39" s="1" t="s">
        <v>0</v>
      </c>
      <c r="D39" s="1" t="s">
        <v>0</v>
      </c>
      <c r="E39" s="1" t="s">
        <v>0</v>
      </c>
      <c r="F39" s="3"/>
      <c r="G39" s="6"/>
      <c r="H39" s="6"/>
      <c r="I39" s="6"/>
      <c r="J39" s="6"/>
      <c r="K39" s="6"/>
      <c r="L39" s="11"/>
    </row>
    <row r="40" spans="2:12" ht="15" customHeight="1">
      <c r="B40" s="10"/>
      <c r="C40" s="1"/>
      <c r="D40" s="1" t="s">
        <v>0</v>
      </c>
      <c r="E40" s="1" t="s">
        <v>0</v>
      </c>
      <c r="F40" s="3" t="s">
        <v>64</v>
      </c>
      <c r="G40" s="6"/>
      <c r="H40" s="6"/>
      <c r="I40" s="6"/>
      <c r="J40" s="6"/>
      <c r="K40" s="6"/>
      <c r="L40" s="11"/>
    </row>
    <row r="41" spans="2:12">
      <c r="B41" s="10" t="s">
        <v>575</v>
      </c>
      <c r="C41" s="1" t="s">
        <v>506</v>
      </c>
      <c r="D41" s="1" t="s">
        <v>0</v>
      </c>
      <c r="E41" s="1" t="s">
        <v>0</v>
      </c>
      <c r="F41" s="4" t="s">
        <v>596</v>
      </c>
      <c r="G41" s="6"/>
      <c r="H41" s="6"/>
      <c r="I41" s="6"/>
      <c r="J41" s="6"/>
      <c r="K41" s="6"/>
      <c r="L41" s="11"/>
    </row>
    <row r="42" spans="2:12">
      <c r="B42" s="10" t="s">
        <v>0</v>
      </c>
      <c r="C42" s="1" t="s">
        <v>0</v>
      </c>
      <c r="D42" s="1" t="s">
        <v>0</v>
      </c>
      <c r="E42" s="1" t="s">
        <v>0</v>
      </c>
      <c r="F42" s="3"/>
      <c r="G42" s="6"/>
      <c r="H42" s="6"/>
      <c r="I42" s="6"/>
      <c r="J42" s="6"/>
      <c r="K42" s="6"/>
      <c r="L42" s="11"/>
    </row>
    <row r="43" spans="2:12">
      <c r="B43" s="10"/>
      <c r="C43" s="1"/>
      <c r="D43" s="1" t="s">
        <v>0</v>
      </c>
      <c r="E43" s="1" t="s">
        <v>0</v>
      </c>
      <c r="F43" s="3" t="s">
        <v>65</v>
      </c>
      <c r="G43" s="6"/>
      <c r="H43" s="6"/>
      <c r="I43" s="6"/>
      <c r="J43" s="6"/>
      <c r="K43" s="6"/>
      <c r="L43" s="11"/>
    </row>
    <row r="44" spans="2:12">
      <c r="B44" s="10" t="s">
        <v>575</v>
      </c>
      <c r="C44" s="1" t="s">
        <v>507</v>
      </c>
      <c r="D44" s="1" t="s">
        <v>0</v>
      </c>
      <c r="E44" s="1" t="s">
        <v>0</v>
      </c>
      <c r="F44" s="4" t="s">
        <v>596</v>
      </c>
      <c r="G44" s="6"/>
      <c r="H44" s="6"/>
      <c r="I44" s="6"/>
      <c r="J44" s="6"/>
      <c r="K44" s="6"/>
      <c r="L44" s="11"/>
    </row>
    <row r="45" spans="2:12">
      <c r="B45" s="12"/>
      <c r="C45" s="13"/>
      <c r="D45" s="13"/>
      <c r="E45" s="13"/>
      <c r="F45" s="14"/>
      <c r="G45" s="13"/>
      <c r="H45" s="13"/>
      <c r="I45" s="13"/>
      <c r="J45" s="13"/>
      <c r="K45" s="13"/>
      <c r="L45" s="15"/>
    </row>
  </sheetData>
  <hyperlinks>
    <hyperlink ref="F24" location="'IAS24-InfoPartRela'!A1" display="Información a revelar sobre transacciones entre partes relacionadas [sinopsis]  "/>
    <hyperlink ref="F29" location="'IAS24-InfoInfoIncu'!A1" display="Información a revelar sobre importes incurridos por la entidad para la provisión de servicios de personal clave de la gerencia que se presten por una entidad de gestión separada [tabla]"/>
    <hyperlink ref="F19" location="'IAS24-RemuPersClav'!A1" display="Remuneración al personal clave de la gerencia [sinopsis]"/>
  </hyperlinks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>
    <tabColor rgb="FF00B0F0"/>
  </sheetPr>
  <dimension ref="A1:I25"/>
  <sheetViews>
    <sheetView zoomScale="85" zoomScaleNormal="85" workbookViewId="0">
      <selection activeCell="F8" sqref="F8"/>
    </sheetView>
  </sheetViews>
  <sheetFormatPr baseColWidth="10" defaultRowHeight="15"/>
  <cols>
    <col min="1" max="1" width="2.7109375" customWidth="1"/>
    <col min="2" max="2" width="3.28515625" customWidth="1"/>
    <col min="3" max="3" width="2.7109375" customWidth="1"/>
    <col min="4" max="4" width="5.42578125" customWidth="1"/>
    <col min="5" max="5" width="2.7109375" customWidth="1"/>
    <col min="6" max="6" width="90.7109375" customWidth="1"/>
    <col min="7" max="9" width="20.7109375" customWidth="1"/>
  </cols>
  <sheetData>
    <row r="1" spans="1:9" ht="54.95" customHeight="1" thickBot="1"/>
    <row r="2" spans="1:9" ht="177" customHeight="1" thickBot="1">
      <c r="F2" s="44" t="s">
        <v>2</v>
      </c>
    </row>
    <row r="3" spans="1:9" ht="16.5" thickBot="1">
      <c r="F3" s="45" t="s">
        <v>3</v>
      </c>
    </row>
    <row r="4" spans="1:9" ht="96.75" customHeight="1">
      <c r="A4" s="16" t="s">
        <v>556</v>
      </c>
      <c r="B4" s="17"/>
      <c r="C4" s="18"/>
      <c r="D4" s="18"/>
      <c r="E4" s="19"/>
      <c r="F4" s="20" t="s">
        <v>581</v>
      </c>
      <c r="G4" s="21" t="s">
        <v>1</v>
      </c>
      <c r="H4" s="21" t="s">
        <v>1</v>
      </c>
      <c r="I4" s="22" t="s">
        <v>577</v>
      </c>
    </row>
    <row r="5" spans="1:9" ht="121.5" hidden="1" customHeight="1">
      <c r="A5" s="23" t="s">
        <v>557</v>
      </c>
      <c r="B5" s="24"/>
      <c r="C5" s="25"/>
      <c r="D5" s="26" t="s">
        <v>579</v>
      </c>
      <c r="E5" s="27" t="s">
        <v>583</v>
      </c>
      <c r="F5" s="28"/>
      <c r="G5" s="36" t="str">
        <f>SUBSTITUTE(CONCATENATE("IAS24-RemuPersClav_",TRIM(G4),"_",COLUMN(G5),"|",G4)," ","")</f>
        <v>IAS24-RemuPersClav_Agregarcolumnaopcional_7|Agregarcolumnaopcional</v>
      </c>
      <c r="H5" s="36" t="str">
        <f>SUBSTITUTE(CONCATENATE("IAS24-RemuPersClav_",TRIM(H4),"_",COLUMN(H5),"|",H4)," ","")</f>
        <v>IAS24-RemuPersClav_Agregarcolumnaopcional_8|Agregarcolumnaopcional</v>
      </c>
      <c r="I5" s="29" t="s">
        <v>578</v>
      </c>
    </row>
    <row r="6" spans="1:9">
      <c r="A6" s="30"/>
      <c r="B6" s="37"/>
      <c r="C6" s="38"/>
      <c r="D6" s="39"/>
      <c r="E6" s="40"/>
      <c r="F6" s="46"/>
      <c r="G6" s="51"/>
      <c r="H6" s="51"/>
      <c r="I6" s="63"/>
    </row>
    <row r="7" spans="1:9">
      <c r="A7" s="30"/>
      <c r="B7" s="31"/>
      <c r="C7" s="32"/>
      <c r="D7" s="33"/>
      <c r="E7" s="34"/>
      <c r="F7" s="47" t="s">
        <v>576</v>
      </c>
      <c r="G7" s="52"/>
      <c r="H7" s="52"/>
      <c r="I7" s="64"/>
    </row>
    <row r="8" spans="1:9" ht="12.75" customHeight="1">
      <c r="A8" s="30"/>
      <c r="B8" s="31" t="s">
        <v>575</v>
      </c>
      <c r="C8" s="1" t="s">
        <v>495</v>
      </c>
      <c r="D8" s="1" t="s">
        <v>4</v>
      </c>
      <c r="E8" s="1" t="s">
        <v>0</v>
      </c>
      <c r="F8" s="83" t="s">
        <v>569</v>
      </c>
      <c r="G8" s="54">
        <v>1000</v>
      </c>
      <c r="H8" s="54"/>
      <c r="I8" s="86">
        <f>SUM(G8:H8)</f>
        <v>1000</v>
      </c>
    </row>
    <row r="9" spans="1:9">
      <c r="A9" s="30"/>
      <c r="B9" s="31" t="s">
        <v>575</v>
      </c>
      <c r="C9" s="1" t="s">
        <v>496</v>
      </c>
      <c r="D9" s="1" t="s">
        <v>4</v>
      </c>
      <c r="E9" s="1" t="s">
        <v>0</v>
      </c>
      <c r="F9" s="83" t="s">
        <v>570</v>
      </c>
      <c r="G9" s="54">
        <v>1000</v>
      </c>
      <c r="H9" s="54"/>
      <c r="I9" s="86">
        <f t="shared" ref="I9:I13" si="0">SUM(G9:H9)</f>
        <v>1000</v>
      </c>
    </row>
    <row r="10" spans="1:9">
      <c r="A10" s="30"/>
      <c r="B10" s="31" t="s">
        <v>575</v>
      </c>
      <c r="C10" s="1" t="s">
        <v>497</v>
      </c>
      <c r="D10" s="1" t="s">
        <v>4</v>
      </c>
      <c r="E10" s="1" t="s">
        <v>0</v>
      </c>
      <c r="F10" s="83" t="s">
        <v>571</v>
      </c>
      <c r="G10" s="54">
        <v>1000</v>
      </c>
      <c r="H10" s="54"/>
      <c r="I10" s="86">
        <f t="shared" si="0"/>
        <v>1000</v>
      </c>
    </row>
    <row r="11" spans="1:9">
      <c r="B11" s="31" t="s">
        <v>575</v>
      </c>
      <c r="C11" s="1" t="s">
        <v>498</v>
      </c>
      <c r="D11" s="1" t="s">
        <v>4</v>
      </c>
      <c r="E11" s="1" t="s">
        <v>0</v>
      </c>
      <c r="F11" s="83" t="s">
        <v>572</v>
      </c>
      <c r="G11" s="54">
        <v>1000</v>
      </c>
      <c r="H11" s="54"/>
      <c r="I11" s="86">
        <f t="shared" si="0"/>
        <v>1000</v>
      </c>
    </row>
    <row r="12" spans="1:9">
      <c r="B12" s="31" t="s">
        <v>575</v>
      </c>
      <c r="C12" s="1" t="s">
        <v>499</v>
      </c>
      <c r="D12" s="1" t="s">
        <v>4</v>
      </c>
      <c r="E12" s="1" t="s">
        <v>0</v>
      </c>
      <c r="F12" s="83" t="s">
        <v>573</v>
      </c>
      <c r="G12" s="54">
        <v>1000</v>
      </c>
      <c r="H12" s="54"/>
      <c r="I12" s="86">
        <f t="shared" si="0"/>
        <v>1000</v>
      </c>
    </row>
    <row r="13" spans="1:9">
      <c r="B13" s="31" t="s">
        <v>575</v>
      </c>
      <c r="C13" s="1" t="s">
        <v>500</v>
      </c>
      <c r="D13" s="1" t="s">
        <v>4</v>
      </c>
      <c r="E13" s="1" t="s">
        <v>0</v>
      </c>
      <c r="F13" s="83" t="s">
        <v>574</v>
      </c>
      <c r="G13" s="54">
        <v>1000</v>
      </c>
      <c r="H13" s="54"/>
      <c r="I13" s="86">
        <f t="shared" si="0"/>
        <v>1000</v>
      </c>
    </row>
    <row r="14" spans="1:9">
      <c r="B14" s="41"/>
      <c r="C14" s="42"/>
      <c r="D14" s="42"/>
      <c r="E14" s="42"/>
      <c r="F14" s="50"/>
      <c r="G14" s="53"/>
      <c r="H14" s="53"/>
      <c r="I14" s="66"/>
    </row>
    <row r="15" spans="1:9" ht="15.75" thickBot="1"/>
    <row r="16" spans="1:9" ht="96.75" customHeight="1">
      <c r="A16" s="16"/>
      <c r="B16" s="17"/>
      <c r="C16" s="18"/>
      <c r="D16" s="18"/>
      <c r="E16" s="19"/>
      <c r="F16" s="20" t="str">
        <f>F4</f>
        <v>Remuneración al personal clave de la gerencia [sinopsis]</v>
      </c>
      <c r="G16" s="58" t="str">
        <f>G4</f>
        <v>Agregar columna opcional</v>
      </c>
      <c r="H16" s="58" t="str">
        <f>H4</f>
        <v>Agregar columna opcional</v>
      </c>
      <c r="I16" s="22" t="str">
        <f>I4</f>
        <v>Remuneración al personal clave de la gerencia [miembro]</v>
      </c>
    </row>
    <row r="17" spans="1:9">
      <c r="A17" s="30"/>
      <c r="B17" s="37"/>
      <c r="C17" s="38"/>
      <c r="D17" s="39"/>
      <c r="E17" s="40"/>
      <c r="F17" s="46"/>
      <c r="G17" s="51"/>
      <c r="H17" s="51"/>
      <c r="I17" s="40"/>
    </row>
    <row r="18" spans="1:9">
      <c r="A18" s="30"/>
      <c r="B18" s="31"/>
      <c r="C18" s="32"/>
      <c r="D18" s="33"/>
      <c r="E18" s="34"/>
      <c r="F18" s="47" t="s">
        <v>582</v>
      </c>
      <c r="G18" s="52"/>
      <c r="H18" s="52"/>
      <c r="I18" s="32"/>
    </row>
    <row r="19" spans="1:9" ht="12.75" customHeight="1">
      <c r="A19" s="30"/>
      <c r="B19" s="31" t="s">
        <v>575</v>
      </c>
      <c r="C19" s="1" t="s">
        <v>495</v>
      </c>
      <c r="D19" s="1" t="s">
        <v>580</v>
      </c>
      <c r="E19" s="1" t="s">
        <v>0</v>
      </c>
      <c r="F19" s="83" t="s">
        <v>569</v>
      </c>
      <c r="G19" s="54">
        <v>1000</v>
      </c>
      <c r="H19" s="54"/>
      <c r="I19" s="86">
        <f>SUM(G19:H19)</f>
        <v>1000</v>
      </c>
    </row>
    <row r="20" spans="1:9">
      <c r="A20" s="30"/>
      <c r="B20" s="31" t="s">
        <v>575</v>
      </c>
      <c r="C20" s="1" t="s">
        <v>496</v>
      </c>
      <c r="D20" s="1" t="s">
        <v>580</v>
      </c>
      <c r="E20" s="1" t="s">
        <v>0</v>
      </c>
      <c r="F20" s="83" t="s">
        <v>570</v>
      </c>
      <c r="G20" s="54">
        <v>1000</v>
      </c>
      <c r="H20" s="54"/>
      <c r="I20" s="86">
        <f t="shared" ref="I20:I24" si="1">SUM(G20:H20)</f>
        <v>1000</v>
      </c>
    </row>
    <row r="21" spans="1:9">
      <c r="A21" s="30"/>
      <c r="B21" s="31" t="s">
        <v>575</v>
      </c>
      <c r="C21" s="1" t="s">
        <v>497</v>
      </c>
      <c r="D21" s="1" t="s">
        <v>580</v>
      </c>
      <c r="E21" s="1" t="s">
        <v>0</v>
      </c>
      <c r="F21" s="83" t="s">
        <v>571</v>
      </c>
      <c r="G21" s="54">
        <v>1000</v>
      </c>
      <c r="H21" s="54"/>
      <c r="I21" s="86">
        <f t="shared" si="1"/>
        <v>1000</v>
      </c>
    </row>
    <row r="22" spans="1:9">
      <c r="B22" s="31" t="s">
        <v>575</v>
      </c>
      <c r="C22" s="1" t="s">
        <v>498</v>
      </c>
      <c r="D22" s="1" t="s">
        <v>580</v>
      </c>
      <c r="E22" s="1" t="s">
        <v>0</v>
      </c>
      <c r="F22" s="83" t="s">
        <v>572</v>
      </c>
      <c r="G22" s="54">
        <v>1000</v>
      </c>
      <c r="H22" s="54"/>
      <c r="I22" s="86">
        <f t="shared" si="1"/>
        <v>1000</v>
      </c>
    </row>
    <row r="23" spans="1:9">
      <c r="B23" s="31" t="s">
        <v>575</v>
      </c>
      <c r="C23" s="1" t="s">
        <v>499</v>
      </c>
      <c r="D23" s="1" t="s">
        <v>580</v>
      </c>
      <c r="E23" s="1" t="s">
        <v>0</v>
      </c>
      <c r="F23" s="83" t="s">
        <v>573</v>
      </c>
      <c r="G23" s="54">
        <v>1000</v>
      </c>
      <c r="H23" s="54"/>
      <c r="I23" s="86">
        <f t="shared" si="1"/>
        <v>1000</v>
      </c>
    </row>
    <row r="24" spans="1:9">
      <c r="B24" s="31" t="s">
        <v>575</v>
      </c>
      <c r="C24" s="1" t="s">
        <v>500</v>
      </c>
      <c r="D24" s="1" t="s">
        <v>580</v>
      </c>
      <c r="E24" s="1" t="s">
        <v>0</v>
      </c>
      <c r="F24" s="83" t="s">
        <v>574</v>
      </c>
      <c r="G24" s="54">
        <v>1000</v>
      </c>
      <c r="H24" s="54"/>
      <c r="I24" s="86">
        <f t="shared" si="1"/>
        <v>1000</v>
      </c>
    </row>
    <row r="25" spans="1:9">
      <c r="B25" s="41"/>
      <c r="C25" s="42"/>
      <c r="D25" s="42"/>
      <c r="E25" s="42"/>
      <c r="F25" s="50"/>
      <c r="G25" s="53"/>
      <c r="H25" s="53"/>
      <c r="I25" s="43"/>
    </row>
  </sheetData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2">
    <tabColor theme="9" tint="0.39997558519241921"/>
  </sheetPr>
  <dimension ref="A1:AC95"/>
  <sheetViews>
    <sheetView tabSelected="1" topLeftCell="A7" zoomScale="85" zoomScaleNormal="85" workbookViewId="0">
      <selection activeCell="G18" sqref="G18"/>
    </sheetView>
  </sheetViews>
  <sheetFormatPr baseColWidth="10" defaultRowHeight="15"/>
  <cols>
    <col min="1" max="1" width="2.7109375" customWidth="1"/>
    <col min="2" max="2" width="3.28515625" customWidth="1"/>
    <col min="3" max="3" width="2.7109375" customWidth="1"/>
    <col min="4" max="4" width="5.42578125" customWidth="1"/>
    <col min="5" max="5" width="2.7109375" customWidth="1"/>
    <col min="6" max="6" width="90.7109375" customWidth="1"/>
    <col min="7" max="9" width="16.5703125" bestFit="1" customWidth="1"/>
    <col min="10" max="10" width="14.42578125" bestFit="1" customWidth="1"/>
    <col min="12" max="12" width="13.28515625" customWidth="1"/>
    <col min="15" max="15" width="11.7109375" customWidth="1"/>
    <col min="18" max="18" width="12" customWidth="1"/>
    <col min="25" max="25" width="22.28515625" bestFit="1" customWidth="1"/>
    <col min="27" max="27" width="15.7109375" bestFit="1" customWidth="1"/>
    <col min="28" max="28" width="16.5703125" bestFit="1" customWidth="1"/>
    <col min="29" max="29" width="12.42578125" customWidth="1"/>
  </cols>
  <sheetData>
    <row r="1" spans="1:29" ht="54.95" customHeight="1" thickBot="1"/>
    <row r="2" spans="1:29" ht="177" customHeight="1" thickBot="1">
      <c r="F2" s="44" t="s">
        <v>2</v>
      </c>
    </row>
    <row r="3" spans="1:29" ht="16.5" thickBot="1">
      <c r="F3" s="45" t="s">
        <v>3</v>
      </c>
    </row>
    <row r="4" spans="1:29" ht="96.75" customHeight="1">
      <c r="A4" s="16" t="s">
        <v>556</v>
      </c>
      <c r="B4" s="17"/>
      <c r="C4" s="18"/>
      <c r="D4" s="18"/>
      <c r="E4" s="19"/>
      <c r="F4" s="20" t="s">
        <v>68</v>
      </c>
      <c r="G4" s="21" t="s">
        <v>1</v>
      </c>
      <c r="H4" s="21" t="s">
        <v>1</v>
      </c>
      <c r="I4" s="22" t="s">
        <v>11</v>
      </c>
      <c r="J4" s="21" t="s">
        <v>1</v>
      </c>
      <c r="K4" s="21" t="s">
        <v>1</v>
      </c>
      <c r="L4" s="22" t="s">
        <v>12</v>
      </c>
      <c r="M4" s="21" t="s">
        <v>1</v>
      </c>
      <c r="N4" s="21" t="s">
        <v>1</v>
      </c>
      <c r="O4" s="22" t="s">
        <v>13</v>
      </c>
      <c r="P4" s="21" t="s">
        <v>1</v>
      </c>
      <c r="Q4" s="21" t="s">
        <v>1</v>
      </c>
      <c r="R4" s="22" t="s">
        <v>14</v>
      </c>
      <c r="S4" s="21" t="s">
        <v>1</v>
      </c>
      <c r="T4" s="21" t="s">
        <v>1</v>
      </c>
      <c r="U4" s="22" t="s">
        <v>15</v>
      </c>
      <c r="V4" s="21" t="s">
        <v>1</v>
      </c>
      <c r="W4" s="21" t="s">
        <v>1</v>
      </c>
      <c r="X4" s="22" t="s">
        <v>16</v>
      </c>
      <c r="Y4" s="21" t="s">
        <v>1</v>
      </c>
      <c r="Z4" s="21" t="s">
        <v>1</v>
      </c>
      <c r="AA4" s="22" t="s">
        <v>17</v>
      </c>
      <c r="AB4" s="22" t="s">
        <v>18</v>
      </c>
      <c r="AC4" s="22" t="s">
        <v>19</v>
      </c>
    </row>
    <row r="5" spans="1:29" ht="121.5" hidden="1" customHeight="1">
      <c r="A5" s="23" t="s">
        <v>557</v>
      </c>
      <c r="B5" s="24"/>
      <c r="C5" s="25"/>
      <c r="D5" s="26" t="s">
        <v>559</v>
      </c>
      <c r="E5" s="27" t="s">
        <v>558</v>
      </c>
      <c r="F5" s="28"/>
      <c r="G5" s="36" t="str">
        <f>SUBSTITUTE(CONCATENATE("IAS24-InfoPartRela_",TRIM(G4),"_",COLUMN(G5),"|",G4)," ","")</f>
        <v>IAS24-InfoPartRela_Agregarcolumnaopcional_7|Agregarcolumnaopcional</v>
      </c>
      <c r="H5" s="36" t="str">
        <f>SUBSTITUTE(CONCATENATE("IAS24-InfoPartRela_",TRIM(H4),"_",COLUMN(H5),"|",H4)," ","")</f>
        <v>IAS24-InfoPartRela_Agregarcolumnaopcional_8|Agregarcolumnaopcional</v>
      </c>
      <c r="I5" s="29" t="s">
        <v>508</v>
      </c>
      <c r="J5" s="36" t="str">
        <f>SUBSTITUTE(CONCATENATE("IAS24-InfoPartRela_",TRIM(J4),"_",COLUMN(J5),"|",J4)," ","")</f>
        <v>IAS24-InfoPartRela_Agregarcolumnaopcional_10|Agregarcolumnaopcional</v>
      </c>
      <c r="K5" s="36" t="str">
        <f>SUBSTITUTE(CONCATENATE("IAS24-InfoPartRela_",TRIM(K4),"_",COLUMN(K5),"|",K4)," ","")</f>
        <v>IAS24-InfoPartRela_Agregarcolumnaopcional_11|Agregarcolumnaopcional</v>
      </c>
      <c r="L5" s="29" t="s">
        <v>509</v>
      </c>
      <c r="M5" s="36" t="str">
        <f>SUBSTITUTE(CONCATENATE("IAS24-InfoPartRela_",TRIM(M4),"_",COLUMN(M5),"|",M4)," ","")</f>
        <v>IAS24-InfoPartRela_Agregarcolumnaopcional_13|Agregarcolumnaopcional</v>
      </c>
      <c r="N5" s="36" t="str">
        <f>SUBSTITUTE(CONCATENATE("IAS24-InfoPartRela_",TRIM(N4),"_",COLUMN(N5),"|",N4)," ","")</f>
        <v>IAS24-InfoPartRela_Agregarcolumnaopcional_14|Agregarcolumnaopcional</v>
      </c>
      <c r="O5" s="29" t="s">
        <v>510</v>
      </c>
      <c r="P5" s="36" t="str">
        <f>SUBSTITUTE(CONCATENATE("IAS24-InfoPartRela_",TRIM(P4),"_",COLUMN(P5),"|",P4)," ","")</f>
        <v>IAS24-InfoPartRela_Agregarcolumnaopcional_16|Agregarcolumnaopcional</v>
      </c>
      <c r="Q5" s="36" t="str">
        <f>SUBSTITUTE(CONCATENATE("IAS24-InfoPartRela_",TRIM(Q4),"_",COLUMN(Q5),"|",Q4)," ","")</f>
        <v>IAS24-InfoPartRela_Agregarcolumnaopcional_17|Agregarcolumnaopcional</v>
      </c>
      <c r="R5" s="29" t="s">
        <v>511</v>
      </c>
      <c r="S5" s="36" t="str">
        <f>SUBSTITUTE(CONCATENATE("IAS24-InfoPartRela_",TRIM(S4),"_",COLUMN(S5),"|",S4)," ","")</f>
        <v>IAS24-InfoPartRela_Agregarcolumnaopcional_19|Agregarcolumnaopcional</v>
      </c>
      <c r="T5" s="36" t="str">
        <f>SUBSTITUTE(CONCATENATE("IAS24-InfoPartRela_",TRIM(T4),"_",COLUMN(T5),"|",T4)," ","")</f>
        <v>IAS24-InfoPartRela_Agregarcolumnaopcional_20|Agregarcolumnaopcional</v>
      </c>
      <c r="U5" s="29" t="s">
        <v>512</v>
      </c>
      <c r="V5" s="36" t="str">
        <f>SUBSTITUTE(CONCATENATE("IAS24-InfoPartRela_",TRIM(V4),"_",COLUMN(V5),"|",V4)," ","")</f>
        <v>IAS24-InfoPartRela_Agregarcolumnaopcional_22|Agregarcolumnaopcional</v>
      </c>
      <c r="W5" s="36" t="str">
        <f>SUBSTITUTE(CONCATENATE("IAS24-InfoPartRela_",TRIM(W4),"_",COLUMN(W5),"|",W4)," ","")</f>
        <v>IAS24-InfoPartRela_Agregarcolumnaopcional_23|Agregarcolumnaopcional</v>
      </c>
      <c r="X5" s="29" t="s">
        <v>513</v>
      </c>
      <c r="Y5" s="36" t="str">
        <f>SUBSTITUTE(CONCATENATE("IAS24-InfoPartRela_",TRIM(Y4),"_",COLUMN(Y5),"|",Y4)," ","")</f>
        <v>IAS24-InfoPartRela_Agregarcolumnaopcional_25|Agregarcolumnaopcional</v>
      </c>
      <c r="Z5" s="36" t="str">
        <f>SUBSTITUTE(CONCATENATE("IAS24-InfoPartRela_",TRIM(Z4),"_",COLUMN(Z5),"|",Z4)," ","")</f>
        <v>IAS24-InfoPartRela_Agregarcolumnaopcional_26|Agregarcolumnaopcional</v>
      </c>
      <c r="AA5" s="29" t="s">
        <v>514</v>
      </c>
      <c r="AB5" s="29" t="s">
        <v>515</v>
      </c>
      <c r="AC5" s="29" t="s">
        <v>516</v>
      </c>
    </row>
    <row r="6" spans="1:29">
      <c r="A6" s="30"/>
      <c r="B6" s="37"/>
      <c r="C6" s="38"/>
      <c r="D6" s="39"/>
      <c r="E6" s="40"/>
      <c r="F6" s="46"/>
      <c r="G6" s="51"/>
      <c r="H6" s="51"/>
      <c r="I6" s="40"/>
      <c r="J6" s="51"/>
      <c r="K6" s="51"/>
      <c r="L6" s="40"/>
      <c r="M6" s="51"/>
      <c r="N6" s="51"/>
      <c r="O6" s="40"/>
      <c r="P6" s="51"/>
      <c r="Q6" s="51"/>
      <c r="R6" s="40"/>
      <c r="S6" s="51"/>
      <c r="T6" s="51"/>
      <c r="U6" s="40"/>
      <c r="V6" s="51"/>
      <c r="W6" s="51"/>
      <c r="X6" s="40"/>
      <c r="Y6" s="51"/>
      <c r="Z6" s="51"/>
      <c r="AA6" s="40"/>
      <c r="AB6" s="40"/>
      <c r="AC6" s="63"/>
    </row>
    <row r="7" spans="1:29">
      <c r="A7" s="30"/>
      <c r="B7" s="31"/>
      <c r="C7" s="32"/>
      <c r="D7" s="33"/>
      <c r="E7" s="34"/>
      <c r="F7" s="47" t="s">
        <v>20</v>
      </c>
      <c r="G7" s="52"/>
      <c r="H7" s="52"/>
      <c r="I7" s="32"/>
      <c r="J7" s="52"/>
      <c r="K7" s="52"/>
      <c r="L7" s="32"/>
      <c r="M7" s="52"/>
      <c r="N7" s="52"/>
      <c r="O7" s="32"/>
      <c r="P7" s="52"/>
      <c r="Q7" s="52"/>
      <c r="R7" s="32"/>
      <c r="S7" s="52"/>
      <c r="T7" s="52"/>
      <c r="U7" s="32"/>
      <c r="V7" s="52"/>
      <c r="W7" s="52"/>
      <c r="X7" s="32"/>
      <c r="Y7" s="52"/>
      <c r="Z7" s="52"/>
      <c r="AA7" s="32"/>
      <c r="AB7" s="32"/>
      <c r="AC7" s="64"/>
    </row>
    <row r="8" spans="1:29" ht="12.75" customHeight="1">
      <c r="A8" s="30"/>
      <c r="B8" s="31" t="s">
        <v>575</v>
      </c>
      <c r="C8" s="55" t="s">
        <v>548</v>
      </c>
      <c r="D8" s="33" t="s">
        <v>4</v>
      </c>
      <c r="E8" s="32" t="s">
        <v>0</v>
      </c>
      <c r="F8" s="48" t="s">
        <v>21</v>
      </c>
      <c r="G8" s="67" t="s">
        <v>598</v>
      </c>
      <c r="H8" s="67"/>
      <c r="I8" s="68"/>
      <c r="J8" s="67"/>
      <c r="K8" s="67"/>
      <c r="L8" s="68"/>
      <c r="M8" s="67"/>
      <c r="N8" s="67"/>
      <c r="O8" s="68"/>
      <c r="P8" s="67"/>
      <c r="Q8" s="67"/>
      <c r="R8" s="68"/>
      <c r="S8" s="67"/>
      <c r="T8" s="67"/>
      <c r="U8" s="68"/>
      <c r="V8" s="67"/>
      <c r="W8" s="67"/>
      <c r="X8" s="68"/>
      <c r="Y8" s="67"/>
      <c r="Z8" s="67"/>
      <c r="AA8" s="68"/>
      <c r="AB8" s="68"/>
      <c r="AC8" s="68"/>
    </row>
    <row r="9" spans="1:29">
      <c r="A9" s="30"/>
      <c r="B9" s="31" t="s">
        <v>575</v>
      </c>
      <c r="C9" s="32" t="s">
        <v>549</v>
      </c>
      <c r="D9" s="33" t="s">
        <v>4</v>
      </c>
      <c r="E9" s="32"/>
      <c r="F9" s="48" t="s">
        <v>22</v>
      </c>
      <c r="G9" s="67" t="s">
        <v>597</v>
      </c>
      <c r="H9" s="67"/>
      <c r="I9" s="68"/>
      <c r="J9" s="67"/>
      <c r="K9" s="67"/>
      <c r="L9" s="68"/>
      <c r="M9" s="67"/>
      <c r="N9" s="67"/>
      <c r="O9" s="68"/>
      <c r="P9" s="67"/>
      <c r="Q9" s="67"/>
      <c r="R9" s="68"/>
      <c r="S9" s="67"/>
      <c r="T9" s="67"/>
      <c r="U9" s="68"/>
      <c r="V9" s="67"/>
      <c r="W9" s="67"/>
      <c r="X9" s="68"/>
      <c r="Y9" s="67"/>
      <c r="Z9" s="67"/>
      <c r="AA9" s="68"/>
      <c r="AB9" s="74"/>
      <c r="AC9" s="74"/>
    </row>
    <row r="10" spans="1:29">
      <c r="A10" s="30"/>
      <c r="B10" s="90" t="s">
        <v>575</v>
      </c>
      <c r="C10" s="87" t="s">
        <v>590</v>
      </c>
      <c r="D10" s="91" t="s">
        <v>4</v>
      </c>
      <c r="E10" s="87"/>
      <c r="F10" s="88" t="s">
        <v>592</v>
      </c>
      <c r="G10" s="71" t="s">
        <v>73</v>
      </c>
      <c r="H10" s="71"/>
      <c r="I10" s="71"/>
      <c r="J10" s="71"/>
      <c r="K10" s="71"/>
      <c r="L10" s="71"/>
      <c r="M10" s="71"/>
      <c r="N10" s="71"/>
      <c r="O10" s="71"/>
      <c r="P10" s="71"/>
      <c r="Q10" s="71"/>
      <c r="R10" s="71"/>
      <c r="S10" s="71"/>
      <c r="T10" s="71"/>
      <c r="U10" s="71"/>
      <c r="V10" s="71"/>
      <c r="W10" s="71"/>
      <c r="X10" s="71"/>
      <c r="Y10" s="71"/>
      <c r="Z10" s="71"/>
      <c r="AA10" s="76"/>
      <c r="AB10" s="79"/>
      <c r="AC10" s="79"/>
    </row>
    <row r="11" spans="1:29">
      <c r="B11" s="31" t="s">
        <v>575</v>
      </c>
      <c r="C11" s="32" t="s">
        <v>517</v>
      </c>
      <c r="D11" s="33" t="s">
        <v>4</v>
      </c>
      <c r="E11" s="32"/>
      <c r="F11" s="48" t="s">
        <v>23</v>
      </c>
      <c r="G11" s="67" t="s">
        <v>599</v>
      </c>
      <c r="H11" s="67"/>
      <c r="I11" s="68"/>
      <c r="J11" s="67"/>
      <c r="K11" s="67"/>
      <c r="L11" s="68"/>
      <c r="M11" s="67"/>
      <c r="N11" s="67"/>
      <c r="O11" s="68"/>
      <c r="P11" s="67"/>
      <c r="Q11" s="67"/>
      <c r="R11" s="68"/>
      <c r="S11" s="67"/>
      <c r="T11" s="67"/>
      <c r="U11" s="68"/>
      <c r="V11" s="67"/>
      <c r="W11" s="67"/>
      <c r="X11" s="68"/>
      <c r="Y11" s="67"/>
      <c r="Z11" s="67"/>
      <c r="AA11" s="73"/>
      <c r="AB11" s="68"/>
      <c r="AC11" s="74"/>
    </row>
    <row r="12" spans="1:29">
      <c r="B12" s="31" t="s">
        <v>575</v>
      </c>
      <c r="C12" s="32" t="s">
        <v>518</v>
      </c>
      <c r="D12" s="33" t="s">
        <v>4</v>
      </c>
      <c r="E12" s="32"/>
      <c r="F12" s="48" t="s">
        <v>24</v>
      </c>
      <c r="G12" s="67" t="s">
        <v>599</v>
      </c>
      <c r="H12" s="67"/>
      <c r="I12" s="68"/>
      <c r="J12" s="67"/>
      <c r="K12" s="67"/>
      <c r="L12" s="68"/>
      <c r="M12" s="67"/>
      <c r="N12" s="67"/>
      <c r="O12" s="68"/>
      <c r="P12" s="67"/>
      <c r="Q12" s="67"/>
      <c r="R12" s="68"/>
      <c r="S12" s="67"/>
      <c r="T12" s="67"/>
      <c r="U12" s="68"/>
      <c r="V12" s="67"/>
      <c r="W12" s="67"/>
      <c r="X12" s="68"/>
      <c r="Y12" s="67"/>
      <c r="Z12" s="67"/>
      <c r="AA12" s="73"/>
      <c r="AB12" s="68"/>
      <c r="AC12" s="68"/>
    </row>
    <row r="13" spans="1:29">
      <c r="B13" s="31"/>
      <c r="C13" s="32"/>
      <c r="D13" s="33"/>
      <c r="E13" s="32"/>
      <c r="F13" s="56" t="s">
        <v>25</v>
      </c>
      <c r="G13" s="33"/>
      <c r="H13" s="33"/>
      <c r="I13" s="33"/>
      <c r="J13" s="33"/>
      <c r="K13" s="33"/>
      <c r="L13" s="33"/>
      <c r="M13" s="33"/>
      <c r="N13" s="33"/>
      <c r="O13" s="33"/>
      <c r="P13" s="33"/>
      <c r="Q13" s="33"/>
      <c r="R13" s="33"/>
      <c r="S13" s="33"/>
      <c r="T13" s="33"/>
      <c r="U13" s="33"/>
      <c r="V13" s="33"/>
      <c r="W13" s="33"/>
      <c r="X13" s="33"/>
      <c r="Y13" s="33"/>
      <c r="Z13" s="33"/>
      <c r="AA13" s="33"/>
      <c r="AB13" s="33"/>
      <c r="AC13" s="65"/>
    </row>
    <row r="14" spans="1:29">
      <c r="B14" s="31" t="s">
        <v>575</v>
      </c>
      <c r="C14" s="32" t="s">
        <v>519</v>
      </c>
      <c r="D14" s="33" t="s">
        <v>4</v>
      </c>
      <c r="E14" s="32" t="s">
        <v>0</v>
      </c>
      <c r="F14" s="48" t="s">
        <v>26</v>
      </c>
      <c r="G14" s="54"/>
      <c r="H14" s="54"/>
      <c r="I14" s="60">
        <f>SUM(G14:H14)</f>
        <v>0</v>
      </c>
      <c r="J14" s="54"/>
      <c r="K14" s="54"/>
      <c r="L14" s="60">
        <f>SUM(J14:K14)</f>
        <v>0</v>
      </c>
      <c r="M14" s="54"/>
      <c r="N14" s="54"/>
      <c r="O14" s="60">
        <f>SUM(M14:N14)</f>
        <v>0</v>
      </c>
      <c r="P14" s="54"/>
      <c r="Q14" s="54"/>
      <c r="R14" s="60">
        <f>SUM(P14:Q14)</f>
        <v>0</v>
      </c>
      <c r="S14" s="54"/>
      <c r="T14" s="54"/>
      <c r="U14" s="60">
        <f>SUM(S14:T14)</f>
        <v>0</v>
      </c>
      <c r="V14" s="54"/>
      <c r="W14" s="54"/>
      <c r="X14" s="60">
        <f>SUM(V14:W14)</f>
        <v>0</v>
      </c>
      <c r="Y14" s="54"/>
      <c r="Z14" s="54"/>
      <c r="AA14" s="60">
        <f>SUM(Y14:Z14)</f>
        <v>0</v>
      </c>
      <c r="AB14" s="60">
        <f>I14+L14+O14+R14+U14+X14+AA14</f>
        <v>0</v>
      </c>
      <c r="AC14" s="35"/>
    </row>
    <row r="15" spans="1:29">
      <c r="B15" s="31" t="s">
        <v>575</v>
      </c>
      <c r="C15" s="32" t="s">
        <v>520</v>
      </c>
      <c r="D15" s="33" t="s">
        <v>4</v>
      </c>
      <c r="E15" s="32" t="s">
        <v>0</v>
      </c>
      <c r="F15" s="48" t="s">
        <v>27</v>
      </c>
      <c r="G15" s="54"/>
      <c r="H15" s="54"/>
      <c r="I15" s="60">
        <f t="shared" ref="I15:I34" si="0">SUM(G15:H15)</f>
        <v>0</v>
      </c>
      <c r="J15" s="54"/>
      <c r="K15" s="54"/>
      <c r="L15" s="60">
        <f t="shared" ref="L15:L34" si="1">SUM(J15:K15)</f>
        <v>0</v>
      </c>
      <c r="M15" s="54"/>
      <c r="N15" s="54"/>
      <c r="O15" s="60">
        <f t="shared" ref="O15:O34" si="2">SUM(M15:N15)</f>
        <v>0</v>
      </c>
      <c r="P15" s="54"/>
      <c r="Q15" s="54"/>
      <c r="R15" s="60">
        <f t="shared" ref="R15:R34" si="3">SUM(P15:Q15)</f>
        <v>0</v>
      </c>
      <c r="S15" s="54"/>
      <c r="T15" s="54"/>
      <c r="U15" s="60">
        <f t="shared" ref="U15:U34" si="4">SUM(S15:T15)</f>
        <v>0</v>
      </c>
      <c r="V15" s="54"/>
      <c r="W15" s="54"/>
      <c r="X15" s="60">
        <f t="shared" ref="X15:X34" si="5">SUM(V15:W15)</f>
        <v>0</v>
      </c>
      <c r="Y15" s="54"/>
      <c r="Z15" s="54"/>
      <c r="AA15" s="60">
        <f t="shared" ref="AA15:AA34" si="6">SUM(Y15:Z15)</f>
        <v>0</v>
      </c>
      <c r="AB15" s="60">
        <f t="shared" ref="AB15:AB34" si="7">I15+L15+O15+R15+U15+X15+AA15</f>
        <v>0</v>
      </c>
      <c r="AC15" s="35"/>
    </row>
    <row r="16" spans="1:29">
      <c r="B16" s="31" t="s">
        <v>575</v>
      </c>
      <c r="C16" s="32" t="s">
        <v>521</v>
      </c>
      <c r="D16" s="33" t="s">
        <v>4</v>
      </c>
      <c r="E16" s="32" t="s">
        <v>0</v>
      </c>
      <c r="F16" s="48" t="s">
        <v>28</v>
      </c>
      <c r="G16" s="54"/>
      <c r="H16" s="54"/>
      <c r="I16" s="60">
        <f t="shared" si="0"/>
        <v>0</v>
      </c>
      <c r="J16" s="54"/>
      <c r="K16" s="54"/>
      <c r="L16" s="60">
        <f t="shared" si="1"/>
        <v>0</v>
      </c>
      <c r="M16" s="54"/>
      <c r="N16" s="54"/>
      <c r="O16" s="60">
        <f t="shared" si="2"/>
        <v>0</v>
      </c>
      <c r="P16" s="54"/>
      <c r="Q16" s="54"/>
      <c r="R16" s="60">
        <f t="shared" si="3"/>
        <v>0</v>
      </c>
      <c r="S16" s="54"/>
      <c r="T16" s="54"/>
      <c r="U16" s="60">
        <f t="shared" si="4"/>
        <v>0</v>
      </c>
      <c r="V16" s="54"/>
      <c r="W16" s="54"/>
      <c r="X16" s="60">
        <f t="shared" si="5"/>
        <v>0</v>
      </c>
      <c r="Y16" s="54"/>
      <c r="Z16" s="54"/>
      <c r="AA16" s="60">
        <f t="shared" si="6"/>
        <v>0</v>
      </c>
      <c r="AB16" s="60">
        <f t="shared" si="7"/>
        <v>0</v>
      </c>
      <c r="AC16" s="35"/>
    </row>
    <row r="17" spans="2:29">
      <c r="B17" s="31" t="s">
        <v>575</v>
      </c>
      <c r="C17" s="32" t="s">
        <v>522</v>
      </c>
      <c r="D17" s="33" t="s">
        <v>4</v>
      </c>
      <c r="E17" s="32" t="s">
        <v>0</v>
      </c>
      <c r="F17" s="48" t="s">
        <v>29</v>
      </c>
      <c r="G17" s="54">
        <v>1000</v>
      </c>
      <c r="H17" s="54"/>
      <c r="I17" s="60">
        <f t="shared" si="0"/>
        <v>1000</v>
      </c>
      <c r="J17" s="54"/>
      <c r="K17" s="54"/>
      <c r="L17" s="60">
        <f t="shared" si="1"/>
        <v>0</v>
      </c>
      <c r="M17" s="54"/>
      <c r="N17" s="54"/>
      <c r="O17" s="60">
        <f t="shared" si="2"/>
        <v>0</v>
      </c>
      <c r="P17" s="54"/>
      <c r="Q17" s="54"/>
      <c r="R17" s="60">
        <f t="shared" si="3"/>
        <v>0</v>
      </c>
      <c r="S17" s="54"/>
      <c r="T17" s="54"/>
      <c r="U17" s="60">
        <f t="shared" si="4"/>
        <v>0</v>
      </c>
      <c r="V17" s="54"/>
      <c r="W17" s="54"/>
      <c r="X17" s="60">
        <f t="shared" si="5"/>
        <v>0</v>
      </c>
      <c r="Y17" s="54"/>
      <c r="Z17" s="54"/>
      <c r="AA17" s="60">
        <f t="shared" si="6"/>
        <v>0</v>
      </c>
      <c r="AB17" s="60">
        <f t="shared" si="7"/>
        <v>1000</v>
      </c>
      <c r="AC17" s="35"/>
    </row>
    <row r="18" spans="2:29">
      <c r="B18" s="31" t="s">
        <v>575</v>
      </c>
      <c r="C18" s="32" t="s">
        <v>523</v>
      </c>
      <c r="D18" s="33" t="s">
        <v>4</v>
      </c>
      <c r="E18" s="32" t="s">
        <v>0</v>
      </c>
      <c r="F18" s="48" t="s">
        <v>30</v>
      </c>
      <c r="G18" s="54"/>
      <c r="H18" s="54"/>
      <c r="I18" s="60">
        <f t="shared" si="0"/>
        <v>0</v>
      </c>
      <c r="J18" s="54"/>
      <c r="K18" s="54"/>
      <c r="L18" s="60">
        <f t="shared" si="1"/>
        <v>0</v>
      </c>
      <c r="M18" s="54"/>
      <c r="N18" s="54"/>
      <c r="O18" s="60">
        <f t="shared" si="2"/>
        <v>0</v>
      </c>
      <c r="P18" s="54"/>
      <c r="Q18" s="54"/>
      <c r="R18" s="60">
        <f t="shared" si="3"/>
        <v>0</v>
      </c>
      <c r="S18" s="54"/>
      <c r="T18" s="54"/>
      <c r="U18" s="60">
        <f t="shared" si="4"/>
        <v>0</v>
      </c>
      <c r="V18" s="54"/>
      <c r="W18" s="54"/>
      <c r="X18" s="60">
        <f t="shared" si="5"/>
        <v>0</v>
      </c>
      <c r="Y18" s="54"/>
      <c r="Z18" s="54"/>
      <c r="AA18" s="60">
        <f t="shared" si="6"/>
        <v>0</v>
      </c>
      <c r="AB18" s="60">
        <f t="shared" si="7"/>
        <v>0</v>
      </c>
      <c r="AC18" s="35"/>
    </row>
    <row r="19" spans="2:29">
      <c r="B19" s="31" t="s">
        <v>575</v>
      </c>
      <c r="C19" s="32" t="s">
        <v>524</v>
      </c>
      <c r="D19" s="33" t="s">
        <v>4</v>
      </c>
      <c r="E19" s="32" t="s">
        <v>0</v>
      </c>
      <c r="F19" s="48" t="s">
        <v>31</v>
      </c>
      <c r="G19" s="54"/>
      <c r="H19" s="54"/>
      <c r="I19" s="60">
        <f t="shared" si="0"/>
        <v>0</v>
      </c>
      <c r="J19" s="54"/>
      <c r="K19" s="54"/>
      <c r="L19" s="60">
        <f t="shared" si="1"/>
        <v>0</v>
      </c>
      <c r="M19" s="54"/>
      <c r="N19" s="54"/>
      <c r="O19" s="60">
        <f t="shared" si="2"/>
        <v>0</v>
      </c>
      <c r="P19" s="54"/>
      <c r="Q19" s="54"/>
      <c r="R19" s="60">
        <f t="shared" si="3"/>
        <v>0</v>
      </c>
      <c r="S19" s="54"/>
      <c r="T19" s="54"/>
      <c r="U19" s="60">
        <f t="shared" si="4"/>
        <v>0</v>
      </c>
      <c r="V19" s="54"/>
      <c r="W19" s="54"/>
      <c r="X19" s="60">
        <f t="shared" si="5"/>
        <v>0</v>
      </c>
      <c r="Y19" s="54"/>
      <c r="Z19" s="54"/>
      <c r="AA19" s="60">
        <f t="shared" si="6"/>
        <v>0</v>
      </c>
      <c r="AB19" s="60">
        <f t="shared" si="7"/>
        <v>0</v>
      </c>
      <c r="AC19" s="35"/>
    </row>
    <row r="20" spans="2:29">
      <c r="B20" s="31" t="s">
        <v>575</v>
      </c>
      <c r="C20" s="32" t="s">
        <v>525</v>
      </c>
      <c r="D20" s="33" t="s">
        <v>4</v>
      </c>
      <c r="E20" s="32" t="s">
        <v>0</v>
      </c>
      <c r="F20" s="48" t="s">
        <v>32</v>
      </c>
      <c r="G20" s="54"/>
      <c r="H20" s="54"/>
      <c r="I20" s="60">
        <f t="shared" si="0"/>
        <v>0</v>
      </c>
      <c r="J20" s="54"/>
      <c r="K20" s="54"/>
      <c r="L20" s="60">
        <f t="shared" si="1"/>
        <v>0</v>
      </c>
      <c r="M20" s="54"/>
      <c r="N20" s="54"/>
      <c r="O20" s="60">
        <f t="shared" si="2"/>
        <v>0</v>
      </c>
      <c r="P20" s="54"/>
      <c r="Q20" s="54"/>
      <c r="R20" s="60">
        <f t="shared" si="3"/>
        <v>0</v>
      </c>
      <c r="S20" s="54"/>
      <c r="T20" s="54"/>
      <c r="U20" s="60">
        <f t="shared" si="4"/>
        <v>0</v>
      </c>
      <c r="V20" s="54"/>
      <c r="W20" s="54"/>
      <c r="X20" s="60">
        <f t="shared" si="5"/>
        <v>0</v>
      </c>
      <c r="Y20" s="54"/>
      <c r="Z20" s="54"/>
      <c r="AA20" s="60">
        <f t="shared" si="6"/>
        <v>0</v>
      </c>
      <c r="AB20" s="60">
        <f t="shared" si="7"/>
        <v>0</v>
      </c>
      <c r="AC20" s="35"/>
    </row>
    <row r="21" spans="2:29">
      <c r="B21" s="31" t="s">
        <v>575</v>
      </c>
      <c r="C21" s="32" t="s">
        <v>526</v>
      </c>
      <c r="D21" s="33" t="s">
        <v>4</v>
      </c>
      <c r="E21" s="32" t="s">
        <v>0</v>
      </c>
      <c r="F21" s="49" t="s">
        <v>33</v>
      </c>
      <c r="G21" s="54"/>
      <c r="H21" s="54"/>
      <c r="I21" s="60">
        <f t="shared" si="0"/>
        <v>0</v>
      </c>
      <c r="J21" s="54"/>
      <c r="K21" s="54"/>
      <c r="L21" s="60">
        <f t="shared" si="1"/>
        <v>0</v>
      </c>
      <c r="M21" s="54"/>
      <c r="N21" s="54"/>
      <c r="O21" s="60">
        <f t="shared" si="2"/>
        <v>0</v>
      </c>
      <c r="P21" s="54"/>
      <c r="Q21" s="54"/>
      <c r="R21" s="60">
        <f t="shared" si="3"/>
        <v>0</v>
      </c>
      <c r="S21" s="54"/>
      <c r="T21" s="54"/>
      <c r="U21" s="60">
        <f t="shared" si="4"/>
        <v>0</v>
      </c>
      <c r="V21" s="54"/>
      <c r="W21" s="54"/>
      <c r="X21" s="60">
        <f t="shared" si="5"/>
        <v>0</v>
      </c>
      <c r="Y21" s="54"/>
      <c r="Z21" s="54"/>
      <c r="AA21" s="60">
        <f t="shared" si="6"/>
        <v>0</v>
      </c>
      <c r="AB21" s="60">
        <f t="shared" si="7"/>
        <v>0</v>
      </c>
      <c r="AC21" s="35"/>
    </row>
    <row r="22" spans="2:29" ht="22.5">
      <c r="B22" s="31" t="s">
        <v>575</v>
      </c>
      <c r="C22" s="32" t="s">
        <v>527</v>
      </c>
      <c r="D22" s="33" t="s">
        <v>4</v>
      </c>
      <c r="E22" s="32" t="s">
        <v>0</v>
      </c>
      <c r="F22" s="49" t="s">
        <v>34</v>
      </c>
      <c r="G22" s="54"/>
      <c r="H22" s="54"/>
      <c r="I22" s="60">
        <f t="shared" si="0"/>
        <v>0</v>
      </c>
      <c r="J22" s="54"/>
      <c r="K22" s="54"/>
      <c r="L22" s="60">
        <f t="shared" si="1"/>
        <v>0</v>
      </c>
      <c r="M22" s="54"/>
      <c r="N22" s="54"/>
      <c r="O22" s="60">
        <f t="shared" si="2"/>
        <v>0</v>
      </c>
      <c r="P22" s="54"/>
      <c r="Q22" s="54"/>
      <c r="R22" s="60">
        <f t="shared" si="3"/>
        <v>0</v>
      </c>
      <c r="S22" s="54"/>
      <c r="T22" s="54"/>
      <c r="U22" s="60">
        <f t="shared" si="4"/>
        <v>0</v>
      </c>
      <c r="V22" s="54"/>
      <c r="W22" s="54"/>
      <c r="X22" s="60">
        <f t="shared" si="5"/>
        <v>0</v>
      </c>
      <c r="Y22" s="54"/>
      <c r="Z22" s="54"/>
      <c r="AA22" s="60">
        <f t="shared" si="6"/>
        <v>0</v>
      </c>
      <c r="AB22" s="60">
        <f t="shared" si="7"/>
        <v>0</v>
      </c>
      <c r="AC22" s="35"/>
    </row>
    <row r="23" spans="2:29" ht="22.5">
      <c r="B23" s="31" t="s">
        <v>575</v>
      </c>
      <c r="C23" s="32" t="s">
        <v>528</v>
      </c>
      <c r="D23" s="33" t="s">
        <v>4</v>
      </c>
      <c r="E23" s="32" t="s">
        <v>0</v>
      </c>
      <c r="F23" s="49" t="s">
        <v>35</v>
      </c>
      <c r="G23" s="54"/>
      <c r="H23" s="54"/>
      <c r="I23" s="60">
        <f t="shared" si="0"/>
        <v>0</v>
      </c>
      <c r="J23" s="54"/>
      <c r="K23" s="54"/>
      <c r="L23" s="60">
        <f t="shared" si="1"/>
        <v>0</v>
      </c>
      <c r="M23" s="54"/>
      <c r="N23" s="54"/>
      <c r="O23" s="60">
        <f t="shared" si="2"/>
        <v>0</v>
      </c>
      <c r="P23" s="54"/>
      <c r="Q23" s="54"/>
      <c r="R23" s="60">
        <f t="shared" si="3"/>
        <v>0</v>
      </c>
      <c r="S23" s="54"/>
      <c r="T23" s="54"/>
      <c r="U23" s="60">
        <f t="shared" si="4"/>
        <v>0</v>
      </c>
      <c r="V23" s="54"/>
      <c r="W23" s="54"/>
      <c r="X23" s="60">
        <f t="shared" si="5"/>
        <v>0</v>
      </c>
      <c r="Y23" s="54"/>
      <c r="Z23" s="54"/>
      <c r="AA23" s="60">
        <f t="shared" si="6"/>
        <v>0</v>
      </c>
      <c r="AB23" s="60">
        <f t="shared" si="7"/>
        <v>0</v>
      </c>
      <c r="AC23" s="35"/>
    </row>
    <row r="24" spans="2:29" ht="22.5">
      <c r="B24" s="31" t="s">
        <v>575</v>
      </c>
      <c r="C24" s="32" t="s">
        <v>529</v>
      </c>
      <c r="D24" s="33" t="s">
        <v>4</v>
      </c>
      <c r="E24" s="32" t="s">
        <v>0</v>
      </c>
      <c r="F24" s="49" t="s">
        <v>36</v>
      </c>
      <c r="G24" s="54"/>
      <c r="H24" s="54"/>
      <c r="I24" s="60">
        <f t="shared" si="0"/>
        <v>0</v>
      </c>
      <c r="J24" s="54"/>
      <c r="K24" s="54"/>
      <c r="L24" s="60">
        <f t="shared" si="1"/>
        <v>0</v>
      </c>
      <c r="M24" s="54"/>
      <c r="N24" s="54"/>
      <c r="O24" s="60">
        <f t="shared" si="2"/>
        <v>0</v>
      </c>
      <c r="P24" s="54"/>
      <c r="Q24" s="54"/>
      <c r="R24" s="60">
        <f t="shared" si="3"/>
        <v>0</v>
      </c>
      <c r="S24" s="54"/>
      <c r="T24" s="54"/>
      <c r="U24" s="60">
        <f t="shared" si="4"/>
        <v>0</v>
      </c>
      <c r="V24" s="54"/>
      <c r="W24" s="54"/>
      <c r="X24" s="60">
        <f t="shared" si="5"/>
        <v>0</v>
      </c>
      <c r="Y24" s="54"/>
      <c r="Z24" s="54"/>
      <c r="AA24" s="60">
        <f t="shared" si="6"/>
        <v>0</v>
      </c>
      <c r="AB24" s="60">
        <f t="shared" si="7"/>
        <v>0</v>
      </c>
      <c r="AC24" s="35"/>
    </row>
    <row r="25" spans="2:29" ht="22.5">
      <c r="B25" s="31" t="s">
        <v>575</v>
      </c>
      <c r="C25" s="32" t="s">
        <v>530</v>
      </c>
      <c r="D25" s="33" t="s">
        <v>4</v>
      </c>
      <c r="E25" s="32" t="s">
        <v>0</v>
      </c>
      <c r="F25" s="49" t="s">
        <v>37</v>
      </c>
      <c r="G25" s="54"/>
      <c r="H25" s="54"/>
      <c r="I25" s="60">
        <f t="shared" si="0"/>
        <v>0</v>
      </c>
      <c r="J25" s="54"/>
      <c r="K25" s="54"/>
      <c r="L25" s="60">
        <f t="shared" si="1"/>
        <v>0</v>
      </c>
      <c r="M25" s="54"/>
      <c r="N25" s="54"/>
      <c r="O25" s="60">
        <f t="shared" si="2"/>
        <v>0</v>
      </c>
      <c r="P25" s="54"/>
      <c r="Q25" s="54"/>
      <c r="R25" s="60">
        <f t="shared" si="3"/>
        <v>0</v>
      </c>
      <c r="S25" s="54"/>
      <c r="T25" s="54"/>
      <c r="U25" s="60">
        <f t="shared" si="4"/>
        <v>0</v>
      </c>
      <c r="V25" s="54"/>
      <c r="W25" s="54"/>
      <c r="X25" s="60">
        <f t="shared" si="5"/>
        <v>0</v>
      </c>
      <c r="Y25" s="54"/>
      <c r="Z25" s="54"/>
      <c r="AA25" s="60">
        <f t="shared" si="6"/>
        <v>0</v>
      </c>
      <c r="AB25" s="60">
        <f t="shared" si="7"/>
        <v>0</v>
      </c>
      <c r="AC25" s="35"/>
    </row>
    <row r="26" spans="2:29" ht="22.5">
      <c r="B26" s="31" t="s">
        <v>575</v>
      </c>
      <c r="C26" s="32" t="s">
        <v>531</v>
      </c>
      <c r="D26" s="33" t="s">
        <v>4</v>
      </c>
      <c r="E26" s="32" t="s">
        <v>0</v>
      </c>
      <c r="F26" s="49" t="s">
        <v>38</v>
      </c>
      <c r="G26" s="54"/>
      <c r="H26" s="54"/>
      <c r="I26" s="60">
        <f t="shared" si="0"/>
        <v>0</v>
      </c>
      <c r="J26" s="54"/>
      <c r="K26" s="54"/>
      <c r="L26" s="60">
        <f t="shared" si="1"/>
        <v>0</v>
      </c>
      <c r="M26" s="54"/>
      <c r="N26" s="54"/>
      <c r="O26" s="60">
        <f t="shared" si="2"/>
        <v>0</v>
      </c>
      <c r="P26" s="54"/>
      <c r="Q26" s="54"/>
      <c r="R26" s="60">
        <f t="shared" si="3"/>
        <v>0</v>
      </c>
      <c r="S26" s="54"/>
      <c r="T26" s="54"/>
      <c r="U26" s="60">
        <f t="shared" si="4"/>
        <v>0</v>
      </c>
      <c r="V26" s="54"/>
      <c r="W26" s="54"/>
      <c r="X26" s="60">
        <f t="shared" si="5"/>
        <v>0</v>
      </c>
      <c r="Y26" s="54"/>
      <c r="Z26" s="54"/>
      <c r="AA26" s="60">
        <f t="shared" si="6"/>
        <v>0</v>
      </c>
      <c r="AB26" s="60">
        <f t="shared" si="7"/>
        <v>0</v>
      </c>
      <c r="AC26" s="35"/>
    </row>
    <row r="27" spans="2:29" ht="22.5">
      <c r="B27" s="31" t="s">
        <v>575</v>
      </c>
      <c r="C27" s="32" t="s">
        <v>532</v>
      </c>
      <c r="D27" s="33" t="s">
        <v>4</v>
      </c>
      <c r="E27" s="32" t="s">
        <v>0</v>
      </c>
      <c r="F27" s="49" t="s">
        <v>39</v>
      </c>
      <c r="G27" s="54"/>
      <c r="H27" s="54"/>
      <c r="I27" s="60">
        <f t="shared" si="0"/>
        <v>0</v>
      </c>
      <c r="J27" s="54"/>
      <c r="K27" s="54"/>
      <c r="L27" s="60">
        <f t="shared" si="1"/>
        <v>0</v>
      </c>
      <c r="M27" s="54"/>
      <c r="N27" s="54"/>
      <c r="O27" s="60">
        <f t="shared" si="2"/>
        <v>0</v>
      </c>
      <c r="P27" s="54"/>
      <c r="Q27" s="54"/>
      <c r="R27" s="60">
        <f t="shared" si="3"/>
        <v>0</v>
      </c>
      <c r="S27" s="54"/>
      <c r="T27" s="54"/>
      <c r="U27" s="60">
        <f t="shared" si="4"/>
        <v>0</v>
      </c>
      <c r="V27" s="54"/>
      <c r="W27" s="54"/>
      <c r="X27" s="60">
        <f t="shared" si="5"/>
        <v>0</v>
      </c>
      <c r="Y27" s="54"/>
      <c r="Z27" s="54"/>
      <c r="AA27" s="60">
        <f t="shared" si="6"/>
        <v>0</v>
      </c>
      <c r="AB27" s="60">
        <f t="shared" si="7"/>
        <v>0</v>
      </c>
      <c r="AC27" s="35"/>
    </row>
    <row r="28" spans="2:29" ht="22.5">
      <c r="B28" s="31" t="s">
        <v>575</v>
      </c>
      <c r="C28" s="32" t="s">
        <v>533</v>
      </c>
      <c r="D28" s="33" t="s">
        <v>4</v>
      </c>
      <c r="E28" s="32" t="s">
        <v>0</v>
      </c>
      <c r="F28" s="49" t="s">
        <v>40</v>
      </c>
      <c r="G28" s="54"/>
      <c r="H28" s="54"/>
      <c r="I28" s="60">
        <f t="shared" si="0"/>
        <v>0</v>
      </c>
      <c r="J28" s="54"/>
      <c r="K28" s="54"/>
      <c r="L28" s="60">
        <f t="shared" si="1"/>
        <v>0</v>
      </c>
      <c r="M28" s="54"/>
      <c r="N28" s="54"/>
      <c r="O28" s="60">
        <f t="shared" si="2"/>
        <v>0</v>
      </c>
      <c r="P28" s="54"/>
      <c r="Q28" s="54"/>
      <c r="R28" s="60">
        <f t="shared" si="3"/>
        <v>0</v>
      </c>
      <c r="S28" s="54"/>
      <c r="T28" s="54"/>
      <c r="U28" s="60">
        <f t="shared" si="4"/>
        <v>0</v>
      </c>
      <c r="V28" s="54"/>
      <c r="W28" s="54"/>
      <c r="X28" s="60">
        <f t="shared" si="5"/>
        <v>0</v>
      </c>
      <c r="Y28" s="54"/>
      <c r="Z28" s="54"/>
      <c r="AA28" s="60">
        <f t="shared" si="6"/>
        <v>0</v>
      </c>
      <c r="AB28" s="60">
        <f t="shared" si="7"/>
        <v>0</v>
      </c>
      <c r="AC28" s="35"/>
    </row>
    <row r="29" spans="2:29" ht="22.5">
      <c r="B29" s="31" t="s">
        <v>575</v>
      </c>
      <c r="C29" s="32" t="s">
        <v>534</v>
      </c>
      <c r="D29" s="33" t="s">
        <v>4</v>
      </c>
      <c r="E29" s="32" t="s">
        <v>0</v>
      </c>
      <c r="F29" s="49" t="s">
        <v>41</v>
      </c>
      <c r="G29" s="54"/>
      <c r="H29" s="54"/>
      <c r="I29" s="60">
        <f t="shared" si="0"/>
        <v>0</v>
      </c>
      <c r="J29" s="54"/>
      <c r="K29" s="54"/>
      <c r="L29" s="60">
        <f t="shared" si="1"/>
        <v>0</v>
      </c>
      <c r="M29" s="54"/>
      <c r="N29" s="54"/>
      <c r="O29" s="60">
        <f t="shared" si="2"/>
        <v>0</v>
      </c>
      <c r="P29" s="54"/>
      <c r="Q29" s="54"/>
      <c r="R29" s="60">
        <f t="shared" si="3"/>
        <v>0</v>
      </c>
      <c r="S29" s="54"/>
      <c r="T29" s="54"/>
      <c r="U29" s="60">
        <f t="shared" si="4"/>
        <v>0</v>
      </c>
      <c r="V29" s="54"/>
      <c r="W29" s="54"/>
      <c r="X29" s="60">
        <f t="shared" si="5"/>
        <v>0</v>
      </c>
      <c r="Y29" s="54"/>
      <c r="Z29" s="54"/>
      <c r="AA29" s="60">
        <f t="shared" si="6"/>
        <v>0</v>
      </c>
      <c r="AB29" s="60">
        <f t="shared" si="7"/>
        <v>0</v>
      </c>
      <c r="AC29" s="35"/>
    </row>
    <row r="30" spans="2:29">
      <c r="B30" s="31" t="s">
        <v>575</v>
      </c>
      <c r="C30" s="32" t="s">
        <v>535</v>
      </c>
      <c r="D30" s="33" t="s">
        <v>4</v>
      </c>
      <c r="E30" s="32" t="s">
        <v>0</v>
      </c>
      <c r="F30" s="49" t="s">
        <v>42</v>
      </c>
      <c r="G30" s="54"/>
      <c r="H30" s="54"/>
      <c r="I30" s="60">
        <f t="shared" si="0"/>
        <v>0</v>
      </c>
      <c r="J30" s="54"/>
      <c r="K30" s="54"/>
      <c r="L30" s="60">
        <f t="shared" si="1"/>
        <v>0</v>
      </c>
      <c r="M30" s="54"/>
      <c r="N30" s="54"/>
      <c r="O30" s="60">
        <f t="shared" si="2"/>
        <v>0</v>
      </c>
      <c r="P30" s="54"/>
      <c r="Q30" s="54"/>
      <c r="R30" s="60">
        <f t="shared" si="3"/>
        <v>0</v>
      </c>
      <c r="S30" s="54"/>
      <c r="T30" s="54"/>
      <c r="U30" s="60">
        <f t="shared" si="4"/>
        <v>0</v>
      </c>
      <c r="V30" s="54"/>
      <c r="W30" s="54"/>
      <c r="X30" s="60">
        <f t="shared" si="5"/>
        <v>0</v>
      </c>
      <c r="Y30" s="54"/>
      <c r="Z30" s="54"/>
      <c r="AA30" s="60">
        <f t="shared" si="6"/>
        <v>0</v>
      </c>
      <c r="AB30" s="60">
        <f t="shared" si="7"/>
        <v>0</v>
      </c>
      <c r="AC30" s="35"/>
    </row>
    <row r="31" spans="2:29" ht="22.5">
      <c r="B31" s="31" t="s">
        <v>575</v>
      </c>
      <c r="C31" s="32" t="s">
        <v>536</v>
      </c>
      <c r="D31" s="33" t="s">
        <v>4</v>
      </c>
      <c r="E31" s="32" t="s">
        <v>0</v>
      </c>
      <c r="F31" s="49" t="s">
        <v>43</v>
      </c>
      <c r="G31" s="54"/>
      <c r="H31" s="54"/>
      <c r="I31" s="60">
        <f t="shared" si="0"/>
        <v>0</v>
      </c>
      <c r="J31" s="54"/>
      <c r="K31" s="54"/>
      <c r="L31" s="60">
        <f t="shared" si="1"/>
        <v>0</v>
      </c>
      <c r="M31" s="54"/>
      <c r="N31" s="54"/>
      <c r="O31" s="60">
        <f t="shared" si="2"/>
        <v>0</v>
      </c>
      <c r="P31" s="54"/>
      <c r="Q31" s="54"/>
      <c r="R31" s="60">
        <f t="shared" si="3"/>
        <v>0</v>
      </c>
      <c r="S31" s="54"/>
      <c r="T31" s="54"/>
      <c r="U31" s="60">
        <f t="shared" si="4"/>
        <v>0</v>
      </c>
      <c r="V31" s="54"/>
      <c r="W31" s="54"/>
      <c r="X31" s="60">
        <f t="shared" si="5"/>
        <v>0</v>
      </c>
      <c r="Y31" s="54"/>
      <c r="Z31" s="54"/>
      <c r="AA31" s="60">
        <f t="shared" si="6"/>
        <v>0</v>
      </c>
      <c r="AB31" s="60">
        <f t="shared" si="7"/>
        <v>0</v>
      </c>
      <c r="AC31" s="35"/>
    </row>
    <row r="32" spans="2:29" ht="22.5">
      <c r="B32" s="31" t="s">
        <v>575</v>
      </c>
      <c r="C32" s="32" t="s">
        <v>537</v>
      </c>
      <c r="D32" s="33" t="s">
        <v>4</v>
      </c>
      <c r="E32" s="32" t="s">
        <v>0</v>
      </c>
      <c r="F32" s="49" t="s">
        <v>44</v>
      </c>
      <c r="G32" s="54"/>
      <c r="H32" s="54"/>
      <c r="I32" s="60">
        <f t="shared" si="0"/>
        <v>0</v>
      </c>
      <c r="J32" s="54"/>
      <c r="K32" s="54"/>
      <c r="L32" s="60">
        <f t="shared" si="1"/>
        <v>0</v>
      </c>
      <c r="M32" s="54"/>
      <c r="N32" s="54"/>
      <c r="O32" s="60">
        <f t="shared" si="2"/>
        <v>0</v>
      </c>
      <c r="P32" s="54"/>
      <c r="Q32" s="54"/>
      <c r="R32" s="60">
        <f t="shared" si="3"/>
        <v>0</v>
      </c>
      <c r="S32" s="54"/>
      <c r="T32" s="54"/>
      <c r="U32" s="60">
        <f t="shared" si="4"/>
        <v>0</v>
      </c>
      <c r="V32" s="54"/>
      <c r="W32" s="54"/>
      <c r="X32" s="60">
        <f t="shared" si="5"/>
        <v>0</v>
      </c>
      <c r="Y32" s="54"/>
      <c r="Z32" s="54"/>
      <c r="AA32" s="60">
        <f t="shared" si="6"/>
        <v>0</v>
      </c>
      <c r="AB32" s="60">
        <f t="shared" si="7"/>
        <v>0</v>
      </c>
      <c r="AC32" s="35"/>
    </row>
    <row r="33" spans="2:29" ht="22.5">
      <c r="B33" s="31" t="s">
        <v>575</v>
      </c>
      <c r="C33" s="32" t="s">
        <v>538</v>
      </c>
      <c r="D33" s="33" t="s">
        <v>4</v>
      </c>
      <c r="E33" s="32" t="s">
        <v>0</v>
      </c>
      <c r="F33" s="49" t="s">
        <v>45</v>
      </c>
      <c r="G33" s="54"/>
      <c r="H33" s="54"/>
      <c r="I33" s="60">
        <f t="shared" si="0"/>
        <v>0</v>
      </c>
      <c r="J33" s="54"/>
      <c r="K33" s="54"/>
      <c r="L33" s="60">
        <f t="shared" si="1"/>
        <v>0</v>
      </c>
      <c r="M33" s="54"/>
      <c r="N33" s="54"/>
      <c r="O33" s="60">
        <f t="shared" si="2"/>
        <v>0</v>
      </c>
      <c r="P33" s="54"/>
      <c r="Q33" s="54"/>
      <c r="R33" s="60">
        <f t="shared" si="3"/>
        <v>0</v>
      </c>
      <c r="S33" s="54"/>
      <c r="T33" s="54"/>
      <c r="U33" s="60">
        <f t="shared" si="4"/>
        <v>0</v>
      </c>
      <c r="V33" s="54"/>
      <c r="W33" s="54"/>
      <c r="X33" s="60">
        <f t="shared" si="5"/>
        <v>0</v>
      </c>
      <c r="Y33" s="54"/>
      <c r="Z33" s="54"/>
      <c r="AA33" s="60">
        <f t="shared" si="6"/>
        <v>0</v>
      </c>
      <c r="AB33" s="60">
        <f t="shared" si="7"/>
        <v>0</v>
      </c>
      <c r="AC33" s="35"/>
    </row>
    <row r="34" spans="2:29" ht="22.5" customHeight="1">
      <c r="B34" s="31" t="s">
        <v>575</v>
      </c>
      <c r="C34" s="32" t="s">
        <v>539</v>
      </c>
      <c r="D34" s="33" t="s">
        <v>4</v>
      </c>
      <c r="E34" s="32" t="s">
        <v>0</v>
      </c>
      <c r="F34" s="49" t="s">
        <v>46</v>
      </c>
      <c r="G34" s="54"/>
      <c r="H34" s="54"/>
      <c r="I34" s="60">
        <f t="shared" si="0"/>
        <v>0</v>
      </c>
      <c r="J34" s="54"/>
      <c r="K34" s="54"/>
      <c r="L34" s="60">
        <f t="shared" si="1"/>
        <v>0</v>
      </c>
      <c r="M34" s="54"/>
      <c r="N34" s="54"/>
      <c r="O34" s="60">
        <f t="shared" si="2"/>
        <v>0</v>
      </c>
      <c r="P34" s="54"/>
      <c r="Q34" s="54"/>
      <c r="R34" s="60">
        <f t="shared" si="3"/>
        <v>0</v>
      </c>
      <c r="S34" s="54"/>
      <c r="T34" s="54"/>
      <c r="U34" s="60">
        <f t="shared" si="4"/>
        <v>0</v>
      </c>
      <c r="V34" s="54"/>
      <c r="W34" s="54"/>
      <c r="X34" s="60">
        <f t="shared" si="5"/>
        <v>0</v>
      </c>
      <c r="Y34" s="54"/>
      <c r="Z34" s="54"/>
      <c r="AA34" s="60">
        <f t="shared" si="6"/>
        <v>0</v>
      </c>
      <c r="AB34" s="60">
        <f t="shared" si="7"/>
        <v>0</v>
      </c>
      <c r="AC34" s="35"/>
    </row>
    <row r="35" spans="2:29">
      <c r="B35" s="31"/>
      <c r="C35" s="32"/>
      <c r="D35" s="33"/>
      <c r="E35" s="32"/>
      <c r="F35" s="57" t="s">
        <v>47</v>
      </c>
      <c r="G35" s="33"/>
      <c r="H35" s="33"/>
      <c r="I35" s="33"/>
      <c r="J35" s="33"/>
      <c r="K35" s="33"/>
      <c r="L35" s="33"/>
      <c r="M35" s="33"/>
      <c r="N35" s="33"/>
      <c r="O35" s="33"/>
      <c r="P35" s="33"/>
      <c r="Q35" s="33"/>
      <c r="R35" s="33"/>
      <c r="S35" s="33"/>
      <c r="T35" s="33"/>
      <c r="U35" s="33"/>
      <c r="V35" s="33"/>
      <c r="W35" s="33"/>
      <c r="X35" s="33"/>
      <c r="Y35" s="33"/>
      <c r="Z35" s="33"/>
      <c r="AA35" s="33"/>
      <c r="AB35" s="33"/>
      <c r="AC35" s="65"/>
    </row>
    <row r="36" spans="2:29">
      <c r="B36" s="31" t="s">
        <v>575</v>
      </c>
      <c r="C36" s="32" t="s">
        <v>550</v>
      </c>
      <c r="D36" s="33" t="s">
        <v>4</v>
      </c>
      <c r="E36" s="32" t="s">
        <v>0</v>
      </c>
      <c r="F36" s="57" t="s">
        <v>48</v>
      </c>
      <c r="G36" s="62">
        <f t="shared" ref="G36:L36" si="8">G37+G38</f>
        <v>0</v>
      </c>
      <c r="H36" s="62">
        <f t="shared" si="8"/>
        <v>0</v>
      </c>
      <c r="I36" s="61">
        <f t="shared" si="8"/>
        <v>0</v>
      </c>
      <c r="J36" s="62">
        <f t="shared" ref="J36:K36" si="9">J37+J38</f>
        <v>0</v>
      </c>
      <c r="K36" s="62">
        <f t="shared" si="9"/>
        <v>0</v>
      </c>
      <c r="L36" s="61">
        <f t="shared" si="8"/>
        <v>0</v>
      </c>
      <c r="M36" s="62">
        <f t="shared" ref="M36:N36" si="10">M37+M38</f>
        <v>0</v>
      </c>
      <c r="N36" s="62">
        <f t="shared" si="10"/>
        <v>0</v>
      </c>
      <c r="O36" s="61">
        <f t="shared" ref="O36:AB36" si="11">O37+O38</f>
        <v>0</v>
      </c>
      <c r="P36" s="62">
        <f t="shared" si="11"/>
        <v>0</v>
      </c>
      <c r="Q36" s="62">
        <f t="shared" si="11"/>
        <v>0</v>
      </c>
      <c r="R36" s="61">
        <f t="shared" si="11"/>
        <v>0</v>
      </c>
      <c r="S36" s="62">
        <f t="shared" si="11"/>
        <v>0</v>
      </c>
      <c r="T36" s="62">
        <f t="shared" si="11"/>
        <v>0</v>
      </c>
      <c r="U36" s="61">
        <f t="shared" si="11"/>
        <v>0</v>
      </c>
      <c r="V36" s="62">
        <f t="shared" si="11"/>
        <v>0</v>
      </c>
      <c r="W36" s="62">
        <f t="shared" si="11"/>
        <v>0</v>
      </c>
      <c r="X36" s="61">
        <f t="shared" si="11"/>
        <v>0</v>
      </c>
      <c r="Y36" s="62">
        <f t="shared" si="11"/>
        <v>0</v>
      </c>
      <c r="Z36" s="62">
        <f t="shared" si="11"/>
        <v>0</v>
      </c>
      <c r="AA36" s="61">
        <f t="shared" si="11"/>
        <v>0</v>
      </c>
      <c r="AB36" s="61">
        <f t="shared" si="11"/>
        <v>0</v>
      </c>
      <c r="AC36" s="72"/>
    </row>
    <row r="37" spans="2:29">
      <c r="B37" s="31" t="s">
        <v>575</v>
      </c>
      <c r="C37" s="32" t="s">
        <v>551</v>
      </c>
      <c r="D37" s="33" t="s">
        <v>4</v>
      </c>
      <c r="E37" s="32" t="s">
        <v>0</v>
      </c>
      <c r="F37" s="49" t="s">
        <v>49</v>
      </c>
      <c r="G37" s="54"/>
      <c r="H37" s="54"/>
      <c r="I37" s="60">
        <f t="shared" ref="I37:I48" si="12">SUM(G37:H37)</f>
        <v>0</v>
      </c>
      <c r="J37" s="54"/>
      <c r="K37" s="54"/>
      <c r="L37" s="60">
        <f t="shared" ref="L37:L44" si="13">SUM(J37:K37)</f>
        <v>0</v>
      </c>
      <c r="M37" s="54"/>
      <c r="N37" s="54"/>
      <c r="O37" s="60">
        <f t="shared" ref="O37:O44" si="14">SUM(M37:N37)</f>
        <v>0</v>
      </c>
      <c r="P37" s="54"/>
      <c r="Q37" s="54"/>
      <c r="R37" s="60">
        <f t="shared" ref="R37:R44" si="15">SUM(P37:Q37)</f>
        <v>0</v>
      </c>
      <c r="S37" s="54"/>
      <c r="T37" s="54"/>
      <c r="U37" s="60">
        <f t="shared" ref="U37:U44" si="16">SUM(S37:T37)</f>
        <v>0</v>
      </c>
      <c r="V37" s="54"/>
      <c r="W37" s="54"/>
      <c r="X37" s="60">
        <f t="shared" ref="X37:X44" si="17">SUM(V37:W37)</f>
        <v>0</v>
      </c>
      <c r="Y37" s="54"/>
      <c r="Z37" s="54"/>
      <c r="AA37" s="60">
        <f t="shared" ref="AA37:AA44" si="18">SUM(Y37:Z37)</f>
        <v>0</v>
      </c>
      <c r="AB37" s="60">
        <f t="shared" ref="AB37:AB38" si="19">I37+L37+O37+R37+U37+X37+AA37</f>
        <v>0</v>
      </c>
      <c r="AC37" s="72"/>
    </row>
    <row r="38" spans="2:29">
      <c r="B38" s="31" t="s">
        <v>575</v>
      </c>
      <c r="C38" s="32" t="s">
        <v>552</v>
      </c>
      <c r="D38" s="33" t="s">
        <v>4</v>
      </c>
      <c r="E38" s="32" t="s">
        <v>0</v>
      </c>
      <c r="F38" s="49" t="s">
        <v>50</v>
      </c>
      <c r="G38" s="54"/>
      <c r="H38" s="54"/>
      <c r="I38" s="60">
        <f t="shared" si="12"/>
        <v>0</v>
      </c>
      <c r="J38" s="54"/>
      <c r="K38" s="54"/>
      <c r="L38" s="60">
        <f t="shared" si="13"/>
        <v>0</v>
      </c>
      <c r="M38" s="54"/>
      <c r="N38" s="54"/>
      <c r="O38" s="60">
        <f t="shared" si="14"/>
        <v>0</v>
      </c>
      <c r="P38" s="54"/>
      <c r="Q38" s="54"/>
      <c r="R38" s="60">
        <f t="shared" si="15"/>
        <v>0</v>
      </c>
      <c r="S38" s="54"/>
      <c r="T38" s="54"/>
      <c r="U38" s="60">
        <f t="shared" si="16"/>
        <v>0</v>
      </c>
      <c r="V38" s="54"/>
      <c r="W38" s="54"/>
      <c r="X38" s="60">
        <f t="shared" si="17"/>
        <v>0</v>
      </c>
      <c r="Y38" s="54"/>
      <c r="Z38" s="54"/>
      <c r="AA38" s="60">
        <f t="shared" si="18"/>
        <v>0</v>
      </c>
      <c r="AB38" s="60">
        <f t="shared" si="19"/>
        <v>0</v>
      </c>
      <c r="AC38" s="72"/>
    </row>
    <row r="39" spans="2:29">
      <c r="B39" s="31" t="s">
        <v>575</v>
      </c>
      <c r="C39" s="32" t="s">
        <v>553</v>
      </c>
      <c r="D39" s="33" t="s">
        <v>4</v>
      </c>
      <c r="E39" s="32" t="s">
        <v>0</v>
      </c>
      <c r="F39" s="57" t="s">
        <v>51</v>
      </c>
      <c r="G39" s="62">
        <f t="shared" ref="G39:L39" si="20">G40+G41</f>
        <v>0</v>
      </c>
      <c r="H39" s="62">
        <f t="shared" si="20"/>
        <v>0</v>
      </c>
      <c r="I39" s="61">
        <f t="shared" si="20"/>
        <v>0</v>
      </c>
      <c r="J39" s="62">
        <f t="shared" ref="J39:K39" si="21">J40+J41</f>
        <v>0</v>
      </c>
      <c r="K39" s="62">
        <f t="shared" si="21"/>
        <v>0</v>
      </c>
      <c r="L39" s="61">
        <f t="shared" si="20"/>
        <v>0</v>
      </c>
      <c r="M39" s="62">
        <f t="shared" ref="M39:N39" si="22">M40+M41</f>
        <v>0</v>
      </c>
      <c r="N39" s="62">
        <f t="shared" si="22"/>
        <v>0</v>
      </c>
      <c r="O39" s="61">
        <f t="shared" ref="O39:AB39" si="23">O40+O41</f>
        <v>0</v>
      </c>
      <c r="P39" s="62">
        <f t="shared" si="23"/>
        <v>0</v>
      </c>
      <c r="Q39" s="62">
        <f t="shared" si="23"/>
        <v>0</v>
      </c>
      <c r="R39" s="61">
        <f t="shared" si="23"/>
        <v>0</v>
      </c>
      <c r="S39" s="62">
        <f t="shared" si="23"/>
        <v>0</v>
      </c>
      <c r="T39" s="62">
        <f t="shared" si="23"/>
        <v>0</v>
      </c>
      <c r="U39" s="61">
        <f t="shared" si="23"/>
        <v>0</v>
      </c>
      <c r="V39" s="62">
        <f t="shared" si="23"/>
        <v>0</v>
      </c>
      <c r="W39" s="62">
        <f t="shared" si="23"/>
        <v>0</v>
      </c>
      <c r="X39" s="61">
        <f t="shared" si="23"/>
        <v>0</v>
      </c>
      <c r="Y39" s="62">
        <f t="shared" si="23"/>
        <v>0</v>
      </c>
      <c r="Z39" s="62">
        <f t="shared" si="23"/>
        <v>0</v>
      </c>
      <c r="AA39" s="61">
        <f t="shared" si="23"/>
        <v>0</v>
      </c>
      <c r="AB39" s="61">
        <f t="shared" si="23"/>
        <v>0</v>
      </c>
      <c r="AC39" s="72"/>
    </row>
    <row r="40" spans="2:29">
      <c r="B40" s="31" t="s">
        <v>575</v>
      </c>
      <c r="C40" s="32" t="s">
        <v>554</v>
      </c>
      <c r="D40" s="33" t="s">
        <v>4</v>
      </c>
      <c r="E40" s="32" t="s">
        <v>0</v>
      </c>
      <c r="F40" s="49" t="s">
        <v>52</v>
      </c>
      <c r="G40" s="54"/>
      <c r="H40" s="54"/>
      <c r="I40" s="60">
        <f t="shared" si="12"/>
        <v>0</v>
      </c>
      <c r="J40" s="54"/>
      <c r="K40" s="54"/>
      <c r="L40" s="60">
        <f t="shared" si="13"/>
        <v>0</v>
      </c>
      <c r="M40" s="54"/>
      <c r="N40" s="54"/>
      <c r="O40" s="60">
        <f t="shared" si="14"/>
        <v>0</v>
      </c>
      <c r="P40" s="54"/>
      <c r="Q40" s="54"/>
      <c r="R40" s="60">
        <f t="shared" si="15"/>
        <v>0</v>
      </c>
      <c r="S40" s="54"/>
      <c r="T40" s="54"/>
      <c r="U40" s="60">
        <f t="shared" si="16"/>
        <v>0</v>
      </c>
      <c r="V40" s="54"/>
      <c r="W40" s="54"/>
      <c r="X40" s="60">
        <f t="shared" si="17"/>
        <v>0</v>
      </c>
      <c r="Y40" s="54"/>
      <c r="Z40" s="54"/>
      <c r="AA40" s="60">
        <f t="shared" si="18"/>
        <v>0</v>
      </c>
      <c r="AB40" s="60">
        <f t="shared" ref="AB40:AB41" si="24">I40+L40+O40+R40+U40+X40+AA40</f>
        <v>0</v>
      </c>
      <c r="AC40" s="72"/>
    </row>
    <row r="41" spans="2:29">
      <c r="B41" s="31" t="s">
        <v>575</v>
      </c>
      <c r="C41" s="32" t="s">
        <v>555</v>
      </c>
      <c r="D41" s="33" t="s">
        <v>4</v>
      </c>
      <c r="E41" s="32" t="s">
        <v>0</v>
      </c>
      <c r="F41" s="49" t="s">
        <v>53</v>
      </c>
      <c r="G41" s="54"/>
      <c r="H41" s="54"/>
      <c r="I41" s="60">
        <f t="shared" si="12"/>
        <v>0</v>
      </c>
      <c r="J41" s="54"/>
      <c r="K41" s="54"/>
      <c r="L41" s="60">
        <f t="shared" si="13"/>
        <v>0</v>
      </c>
      <c r="M41" s="54"/>
      <c r="N41" s="54"/>
      <c r="O41" s="60">
        <f t="shared" si="14"/>
        <v>0</v>
      </c>
      <c r="P41" s="54"/>
      <c r="Q41" s="54"/>
      <c r="R41" s="60">
        <f t="shared" si="15"/>
        <v>0</v>
      </c>
      <c r="S41" s="54"/>
      <c r="T41" s="54"/>
      <c r="U41" s="60">
        <f t="shared" si="16"/>
        <v>0</v>
      </c>
      <c r="V41" s="54"/>
      <c r="W41" s="54"/>
      <c r="X41" s="60">
        <f t="shared" si="17"/>
        <v>0</v>
      </c>
      <c r="Y41" s="54"/>
      <c r="Z41" s="54"/>
      <c r="AA41" s="75">
        <f t="shared" si="18"/>
        <v>0</v>
      </c>
      <c r="AB41" s="78">
        <f t="shared" si="24"/>
        <v>0</v>
      </c>
      <c r="AC41" s="77"/>
    </row>
    <row r="42" spans="2:29">
      <c r="B42" s="90" t="s">
        <v>575</v>
      </c>
      <c r="C42" s="87" t="s">
        <v>591</v>
      </c>
      <c r="D42" s="91" t="s">
        <v>4</v>
      </c>
      <c r="E42" s="87" t="s">
        <v>0</v>
      </c>
      <c r="F42" s="89" t="s">
        <v>593</v>
      </c>
      <c r="G42" s="71"/>
      <c r="H42" s="71"/>
      <c r="I42" s="71"/>
      <c r="J42" s="71"/>
      <c r="K42" s="71"/>
      <c r="L42" s="71"/>
      <c r="M42" s="71"/>
      <c r="N42" s="71"/>
      <c r="O42" s="71"/>
      <c r="P42" s="71"/>
      <c r="Q42" s="71"/>
      <c r="R42" s="71"/>
      <c r="S42" s="71"/>
      <c r="T42" s="71"/>
      <c r="U42" s="71"/>
      <c r="V42" s="71"/>
      <c r="W42" s="71"/>
      <c r="X42" s="71"/>
      <c r="Y42" s="71"/>
      <c r="Z42" s="71"/>
      <c r="AA42" s="76"/>
      <c r="AB42" s="79"/>
      <c r="AC42" s="79"/>
    </row>
    <row r="43" spans="2:29" ht="22.5">
      <c r="B43" s="31" t="s">
        <v>575</v>
      </c>
      <c r="C43" s="32" t="s">
        <v>540</v>
      </c>
      <c r="D43" s="33" t="s">
        <v>4</v>
      </c>
      <c r="E43" s="32" t="s">
        <v>0</v>
      </c>
      <c r="F43" s="49" t="s">
        <v>54</v>
      </c>
      <c r="G43" s="54"/>
      <c r="H43" s="54"/>
      <c r="I43" s="60">
        <f t="shared" si="12"/>
        <v>0</v>
      </c>
      <c r="J43" s="54"/>
      <c r="K43" s="54"/>
      <c r="L43" s="60">
        <f t="shared" si="13"/>
        <v>0</v>
      </c>
      <c r="M43" s="54"/>
      <c r="N43" s="54"/>
      <c r="O43" s="60">
        <f t="shared" si="14"/>
        <v>0</v>
      </c>
      <c r="P43" s="54"/>
      <c r="Q43" s="54"/>
      <c r="R43" s="60">
        <f t="shared" si="15"/>
        <v>0</v>
      </c>
      <c r="S43" s="54"/>
      <c r="T43" s="54"/>
      <c r="U43" s="60">
        <f t="shared" si="16"/>
        <v>0</v>
      </c>
      <c r="V43" s="54"/>
      <c r="W43" s="54"/>
      <c r="X43" s="60">
        <f t="shared" si="17"/>
        <v>0</v>
      </c>
      <c r="Y43" s="54"/>
      <c r="Z43" s="54"/>
      <c r="AA43" s="75">
        <f t="shared" si="18"/>
        <v>0</v>
      </c>
      <c r="AB43" s="78">
        <f t="shared" ref="AB43:AB44" si="25">I43+L43+O43+R43+U43+X43+AA43</f>
        <v>0</v>
      </c>
      <c r="AC43" s="80"/>
    </row>
    <row r="44" spans="2:29" ht="22.5">
      <c r="B44" s="31" t="s">
        <v>575</v>
      </c>
      <c r="C44" s="32" t="s">
        <v>541</v>
      </c>
      <c r="D44" s="33" t="s">
        <v>4</v>
      </c>
      <c r="E44" s="32" t="s">
        <v>0</v>
      </c>
      <c r="F44" s="49" t="s">
        <v>55</v>
      </c>
      <c r="G44" s="54"/>
      <c r="H44" s="54"/>
      <c r="I44" s="60">
        <f t="shared" si="12"/>
        <v>0</v>
      </c>
      <c r="J44" s="54"/>
      <c r="K44" s="54"/>
      <c r="L44" s="60">
        <f t="shared" si="13"/>
        <v>0</v>
      </c>
      <c r="M44" s="54"/>
      <c r="N44" s="54"/>
      <c r="O44" s="60">
        <f t="shared" si="14"/>
        <v>0</v>
      </c>
      <c r="P44" s="54"/>
      <c r="Q44" s="54"/>
      <c r="R44" s="60">
        <f t="shared" si="15"/>
        <v>0</v>
      </c>
      <c r="S44" s="54"/>
      <c r="T44" s="54"/>
      <c r="U44" s="60">
        <f t="shared" si="16"/>
        <v>0</v>
      </c>
      <c r="V44" s="54"/>
      <c r="W44" s="54"/>
      <c r="X44" s="60">
        <f t="shared" si="17"/>
        <v>0</v>
      </c>
      <c r="Y44" s="54"/>
      <c r="Z44" s="54"/>
      <c r="AA44" s="60">
        <f t="shared" si="18"/>
        <v>0</v>
      </c>
      <c r="AB44" s="60">
        <f t="shared" si="25"/>
        <v>0</v>
      </c>
      <c r="AC44" s="35"/>
    </row>
    <row r="45" spans="2:29" ht="22.5">
      <c r="B45" s="31" t="s">
        <v>575</v>
      </c>
      <c r="C45" s="32" t="s">
        <v>542</v>
      </c>
      <c r="D45" s="33" t="s">
        <v>4</v>
      </c>
      <c r="E45" s="32"/>
      <c r="F45" s="49" t="s">
        <v>56</v>
      </c>
      <c r="G45" s="67"/>
      <c r="H45" s="67"/>
      <c r="I45" s="69"/>
      <c r="J45" s="67"/>
      <c r="K45" s="67"/>
      <c r="L45" s="68"/>
      <c r="M45" s="67"/>
      <c r="N45" s="67"/>
      <c r="O45" s="68"/>
      <c r="P45" s="67"/>
      <c r="Q45" s="67"/>
      <c r="R45" s="68"/>
      <c r="S45" s="67"/>
      <c r="T45" s="67"/>
      <c r="U45" s="68"/>
      <c r="V45" s="67"/>
      <c r="W45" s="67"/>
      <c r="X45" s="68"/>
      <c r="Y45" s="67"/>
      <c r="Z45" s="67"/>
      <c r="AA45" s="68"/>
      <c r="AB45" s="68"/>
      <c r="AC45" s="68"/>
    </row>
    <row r="46" spans="2:29" ht="22.5" customHeight="1">
      <c r="B46" s="31" t="s">
        <v>575</v>
      </c>
      <c r="C46" s="32" t="s">
        <v>543</v>
      </c>
      <c r="D46" s="33" t="s">
        <v>4</v>
      </c>
      <c r="E46" s="32"/>
      <c r="F46" s="49" t="s">
        <v>57</v>
      </c>
      <c r="G46" s="67"/>
      <c r="H46" s="67"/>
      <c r="I46" s="69"/>
      <c r="J46" s="67"/>
      <c r="K46" s="67"/>
      <c r="L46" s="68"/>
      <c r="M46" s="67"/>
      <c r="N46" s="67"/>
      <c r="O46" s="68"/>
      <c r="P46" s="67"/>
      <c r="Q46" s="67"/>
      <c r="R46" s="68"/>
      <c r="S46" s="67"/>
      <c r="T46" s="67"/>
      <c r="U46" s="68"/>
      <c r="V46" s="67"/>
      <c r="W46" s="67"/>
      <c r="X46" s="68"/>
      <c r="Y46" s="67"/>
      <c r="Z46" s="67"/>
      <c r="AA46" s="68"/>
      <c r="AB46" s="68"/>
      <c r="AC46" s="68"/>
    </row>
    <row r="47" spans="2:29" ht="22.5">
      <c r="B47" s="31" t="s">
        <v>575</v>
      </c>
      <c r="C47" s="32" t="s">
        <v>544</v>
      </c>
      <c r="D47" s="33" t="s">
        <v>4</v>
      </c>
      <c r="E47" s="32" t="s">
        <v>0</v>
      </c>
      <c r="F47" s="49" t="s">
        <v>58</v>
      </c>
      <c r="G47" s="54"/>
      <c r="H47" s="54"/>
      <c r="I47" s="60">
        <f t="shared" si="12"/>
        <v>0</v>
      </c>
      <c r="J47" s="54"/>
      <c r="K47" s="54"/>
      <c r="L47" s="60">
        <f t="shared" ref="L47:L48" si="26">SUM(J47:K47)</f>
        <v>0</v>
      </c>
      <c r="M47" s="54"/>
      <c r="N47" s="54"/>
      <c r="O47" s="60">
        <f t="shared" ref="O47:O48" si="27">SUM(M47:N47)</f>
        <v>0</v>
      </c>
      <c r="P47" s="54"/>
      <c r="Q47" s="54"/>
      <c r="R47" s="60">
        <f t="shared" ref="R47:R48" si="28">SUM(P47:Q47)</f>
        <v>0</v>
      </c>
      <c r="S47" s="54"/>
      <c r="T47" s="54"/>
      <c r="U47" s="60">
        <f t="shared" ref="U47:U48" si="29">SUM(S47:T47)</f>
        <v>0</v>
      </c>
      <c r="V47" s="54"/>
      <c r="W47" s="54"/>
      <c r="X47" s="60">
        <f t="shared" ref="X47:X48" si="30">SUM(V47:W47)</f>
        <v>0</v>
      </c>
      <c r="Y47" s="54"/>
      <c r="Z47" s="54"/>
      <c r="AA47" s="60">
        <f t="shared" ref="AA47:AA48" si="31">SUM(Y47:Z47)</f>
        <v>0</v>
      </c>
      <c r="AB47" s="60">
        <f t="shared" ref="AB47:AB48" si="32">I47+L47+O47+R47+U47+X47+AA47</f>
        <v>0</v>
      </c>
      <c r="AC47" s="35"/>
    </row>
    <row r="48" spans="2:29" ht="22.5">
      <c r="B48" s="31" t="s">
        <v>575</v>
      </c>
      <c r="C48" s="32" t="s">
        <v>545</v>
      </c>
      <c r="D48" s="33" t="s">
        <v>4</v>
      </c>
      <c r="E48" s="32" t="s">
        <v>0</v>
      </c>
      <c r="F48" s="49" t="s">
        <v>59</v>
      </c>
      <c r="G48" s="54"/>
      <c r="H48" s="54"/>
      <c r="I48" s="60">
        <f t="shared" si="12"/>
        <v>0</v>
      </c>
      <c r="J48" s="54"/>
      <c r="K48" s="54"/>
      <c r="L48" s="60">
        <f t="shared" si="26"/>
        <v>0</v>
      </c>
      <c r="M48" s="54"/>
      <c r="N48" s="54"/>
      <c r="O48" s="60">
        <f t="shared" si="27"/>
        <v>0</v>
      </c>
      <c r="P48" s="54"/>
      <c r="Q48" s="54"/>
      <c r="R48" s="60">
        <f t="shared" si="28"/>
        <v>0</v>
      </c>
      <c r="S48" s="54"/>
      <c r="T48" s="54"/>
      <c r="U48" s="60">
        <f t="shared" si="29"/>
        <v>0</v>
      </c>
      <c r="V48" s="54"/>
      <c r="W48" s="54"/>
      <c r="X48" s="60">
        <f t="shared" si="30"/>
        <v>0</v>
      </c>
      <c r="Y48" s="54"/>
      <c r="Z48" s="54"/>
      <c r="AA48" s="60">
        <f t="shared" si="31"/>
        <v>0</v>
      </c>
      <c r="AB48" s="60">
        <f t="shared" si="32"/>
        <v>0</v>
      </c>
      <c r="AC48" s="35"/>
    </row>
    <row r="49" spans="1:29">
      <c r="B49" s="41"/>
      <c r="C49" s="42"/>
      <c r="D49" s="42"/>
      <c r="E49" s="42"/>
      <c r="F49" s="50"/>
      <c r="G49" s="53"/>
      <c r="H49" s="53"/>
      <c r="I49" s="43"/>
      <c r="J49" s="53"/>
      <c r="K49" s="53"/>
      <c r="L49" s="43"/>
      <c r="M49" s="53"/>
      <c r="N49" s="53"/>
      <c r="O49" s="43"/>
      <c r="P49" s="53"/>
      <c r="Q49" s="53"/>
      <c r="R49" s="43"/>
      <c r="S49" s="53"/>
      <c r="T49" s="53"/>
      <c r="U49" s="43"/>
      <c r="V49" s="53"/>
      <c r="W49" s="53"/>
      <c r="X49" s="43"/>
      <c r="Y49" s="53"/>
      <c r="Z49" s="53"/>
      <c r="AA49" s="43"/>
      <c r="AB49" s="43"/>
      <c r="AC49" s="66"/>
    </row>
    <row r="50" spans="1:29" ht="15.75" thickBot="1"/>
    <row r="51" spans="1:29" ht="96.75" customHeight="1">
      <c r="A51" s="16"/>
      <c r="B51" s="17"/>
      <c r="C51" s="18"/>
      <c r="D51" s="18"/>
      <c r="E51" s="19"/>
      <c r="F51" s="20" t="s">
        <v>69</v>
      </c>
      <c r="G51" s="58" t="str">
        <f>G4</f>
        <v>Agregar columna opcional</v>
      </c>
      <c r="H51" s="58" t="str">
        <f>H4</f>
        <v>Agregar columna opcional</v>
      </c>
      <c r="I51" s="22" t="s">
        <v>11</v>
      </c>
      <c r="J51" s="58" t="str">
        <f>J4</f>
        <v>Agregar columna opcional</v>
      </c>
      <c r="K51" s="58" t="str">
        <f>K4</f>
        <v>Agregar columna opcional</v>
      </c>
      <c r="L51" s="22" t="s">
        <v>12</v>
      </c>
      <c r="M51" s="58" t="str">
        <f>M4</f>
        <v>Agregar columna opcional</v>
      </c>
      <c r="N51" s="58" t="str">
        <f>N4</f>
        <v>Agregar columna opcional</v>
      </c>
      <c r="O51" s="22" t="s">
        <v>13</v>
      </c>
      <c r="P51" s="58" t="str">
        <f>P4</f>
        <v>Agregar columna opcional</v>
      </c>
      <c r="Q51" s="58" t="str">
        <f>Q4</f>
        <v>Agregar columna opcional</v>
      </c>
      <c r="R51" s="22" t="s">
        <v>14</v>
      </c>
      <c r="S51" s="58" t="str">
        <f>S4</f>
        <v>Agregar columna opcional</v>
      </c>
      <c r="T51" s="58" t="str">
        <f>T4</f>
        <v>Agregar columna opcional</v>
      </c>
      <c r="U51" s="22" t="s">
        <v>15</v>
      </c>
      <c r="V51" s="58" t="str">
        <f>V4</f>
        <v>Agregar columna opcional</v>
      </c>
      <c r="W51" s="58" t="str">
        <f>W4</f>
        <v>Agregar columna opcional</v>
      </c>
      <c r="X51" s="22" t="s">
        <v>16</v>
      </c>
      <c r="Y51" s="58" t="str">
        <f>Y4</f>
        <v>Agregar columna opcional</v>
      </c>
      <c r="Z51" s="58" t="str">
        <f>Z4</f>
        <v>Agregar columna opcional</v>
      </c>
      <c r="AA51" s="22" t="s">
        <v>17</v>
      </c>
      <c r="AB51" s="22" t="s">
        <v>18</v>
      </c>
      <c r="AC51" s="22" t="s">
        <v>19</v>
      </c>
    </row>
    <row r="52" spans="1:29">
      <c r="A52" s="30"/>
      <c r="B52" s="37"/>
      <c r="C52" s="38"/>
      <c r="D52" s="39"/>
      <c r="E52" s="40"/>
      <c r="F52" s="46"/>
      <c r="G52" s="51"/>
      <c r="H52" s="51"/>
      <c r="I52" s="40"/>
      <c r="J52" s="51"/>
      <c r="K52" s="51"/>
      <c r="L52" s="40"/>
      <c r="M52" s="51"/>
      <c r="N52" s="51"/>
      <c r="O52" s="40"/>
      <c r="P52" s="51"/>
      <c r="Q52" s="51"/>
      <c r="R52" s="40"/>
      <c r="S52" s="51"/>
      <c r="T52" s="51"/>
      <c r="U52" s="40"/>
      <c r="V52" s="51"/>
      <c r="W52" s="51"/>
      <c r="X52" s="40"/>
      <c r="Y52" s="51"/>
      <c r="Z52" s="51"/>
      <c r="AA52" s="40"/>
      <c r="AB52" s="40"/>
      <c r="AC52" s="40"/>
    </row>
    <row r="53" spans="1:29">
      <c r="A53" s="30"/>
      <c r="B53" s="31"/>
      <c r="C53" s="32"/>
      <c r="D53" s="33"/>
      <c r="E53" s="34"/>
      <c r="F53" s="47" t="s">
        <v>20</v>
      </c>
      <c r="G53" s="52"/>
      <c r="H53" s="52"/>
      <c r="I53" s="32"/>
      <c r="J53" s="52"/>
      <c r="K53" s="52"/>
      <c r="L53" s="32"/>
      <c r="M53" s="52"/>
      <c r="N53" s="52"/>
      <c r="O53" s="32"/>
      <c r="P53" s="52"/>
      <c r="Q53" s="52"/>
      <c r="R53" s="32"/>
      <c r="S53" s="52"/>
      <c r="T53" s="52"/>
      <c r="U53" s="32"/>
      <c r="V53" s="52"/>
      <c r="W53" s="52"/>
      <c r="X53" s="32"/>
      <c r="Y53" s="52"/>
      <c r="Z53" s="52"/>
      <c r="AA53" s="32"/>
      <c r="AB53" s="32"/>
      <c r="AC53" s="32"/>
    </row>
    <row r="54" spans="1:29" ht="12.75" customHeight="1">
      <c r="A54" s="30"/>
      <c r="B54" s="31" t="s">
        <v>575</v>
      </c>
      <c r="C54" s="55" t="s">
        <v>548</v>
      </c>
      <c r="D54" s="33" t="s">
        <v>66</v>
      </c>
      <c r="E54" s="32"/>
      <c r="F54" s="48" t="s">
        <v>21</v>
      </c>
      <c r="G54" s="67" t="s">
        <v>600</v>
      </c>
      <c r="H54" s="67"/>
      <c r="I54" s="68"/>
      <c r="J54" s="67"/>
      <c r="K54" s="67"/>
      <c r="L54" s="68"/>
      <c r="M54" s="67"/>
      <c r="N54" s="67"/>
      <c r="O54" s="68"/>
      <c r="P54" s="67"/>
      <c r="Q54" s="67"/>
      <c r="R54" s="68"/>
      <c r="S54" s="67"/>
      <c r="T54" s="67"/>
      <c r="U54" s="68"/>
      <c r="V54" s="67"/>
      <c r="W54" s="67"/>
      <c r="X54" s="68"/>
      <c r="Y54" s="67"/>
      <c r="Z54" s="67"/>
      <c r="AA54" s="68"/>
      <c r="AB54" s="68"/>
      <c r="AC54" s="68"/>
    </row>
    <row r="55" spans="1:29">
      <c r="A55" s="30"/>
      <c r="B55" s="31" t="s">
        <v>575</v>
      </c>
      <c r="C55" s="32" t="s">
        <v>549</v>
      </c>
      <c r="D55" s="33" t="s">
        <v>66</v>
      </c>
      <c r="E55" s="32"/>
      <c r="F55" s="48" t="s">
        <v>22</v>
      </c>
      <c r="G55" s="67" t="s">
        <v>601</v>
      </c>
      <c r="H55" s="67"/>
      <c r="I55" s="68"/>
      <c r="J55" s="67"/>
      <c r="K55" s="67"/>
      <c r="L55" s="68"/>
      <c r="M55" s="67"/>
      <c r="N55" s="67"/>
      <c r="O55" s="68"/>
      <c r="P55" s="67"/>
      <c r="Q55" s="67"/>
      <c r="R55" s="68"/>
      <c r="S55" s="67"/>
      <c r="T55" s="67"/>
      <c r="U55" s="68"/>
      <c r="V55" s="67"/>
      <c r="W55" s="67"/>
      <c r="X55" s="68"/>
      <c r="Y55" s="67"/>
      <c r="Z55" s="67"/>
      <c r="AA55" s="68"/>
      <c r="AB55" s="68"/>
      <c r="AC55" s="68"/>
    </row>
    <row r="56" spans="1:29">
      <c r="A56" s="30"/>
      <c r="B56" s="90" t="s">
        <v>575</v>
      </c>
      <c r="C56" s="87" t="s">
        <v>590</v>
      </c>
      <c r="D56" s="91" t="s">
        <v>66</v>
      </c>
      <c r="E56" s="87"/>
      <c r="F56" s="88" t="s">
        <v>592</v>
      </c>
      <c r="G56" s="71" t="s">
        <v>73</v>
      </c>
      <c r="H56" s="71"/>
      <c r="I56" s="71"/>
      <c r="J56" s="71"/>
      <c r="K56" s="71"/>
      <c r="L56" s="71"/>
      <c r="M56" s="71"/>
      <c r="N56" s="71"/>
      <c r="O56" s="71"/>
      <c r="P56" s="71"/>
      <c r="Q56" s="71"/>
      <c r="R56" s="71"/>
      <c r="S56" s="71"/>
      <c r="T56" s="71"/>
      <c r="U56" s="71"/>
      <c r="V56" s="71"/>
      <c r="W56" s="71"/>
      <c r="X56" s="71"/>
      <c r="Y56" s="71"/>
      <c r="Z56" s="71"/>
      <c r="AA56" s="76"/>
      <c r="AB56" s="79"/>
      <c r="AC56" s="79"/>
    </row>
    <row r="57" spans="1:29">
      <c r="B57" s="31" t="s">
        <v>575</v>
      </c>
      <c r="C57" s="32" t="s">
        <v>517</v>
      </c>
      <c r="D57" s="33" t="s">
        <v>66</v>
      </c>
      <c r="E57" s="32"/>
      <c r="F57" s="48" t="s">
        <v>23</v>
      </c>
      <c r="G57" s="67" t="s">
        <v>602</v>
      </c>
      <c r="H57" s="67"/>
      <c r="I57" s="68"/>
      <c r="J57" s="67"/>
      <c r="K57" s="67"/>
      <c r="L57" s="68"/>
      <c r="M57" s="67"/>
      <c r="N57" s="67"/>
      <c r="O57" s="68"/>
      <c r="P57" s="67"/>
      <c r="Q57" s="67"/>
      <c r="R57" s="68"/>
      <c r="S57" s="67"/>
      <c r="T57" s="67"/>
      <c r="U57" s="68"/>
      <c r="V57" s="67"/>
      <c r="W57" s="67"/>
      <c r="X57" s="68"/>
      <c r="Y57" s="67"/>
      <c r="Z57" s="67"/>
      <c r="AA57" s="68"/>
      <c r="AB57" s="68"/>
      <c r="AC57" s="68"/>
    </row>
    <row r="58" spans="1:29">
      <c r="B58" s="31" t="s">
        <v>575</v>
      </c>
      <c r="C58" s="32" t="s">
        <v>518</v>
      </c>
      <c r="D58" s="33" t="s">
        <v>66</v>
      </c>
      <c r="E58" s="32"/>
      <c r="F58" s="48" t="s">
        <v>24</v>
      </c>
      <c r="G58" s="67" t="s">
        <v>602</v>
      </c>
      <c r="H58" s="67"/>
      <c r="I58" s="68"/>
      <c r="J58" s="67"/>
      <c r="K58" s="67"/>
      <c r="L58" s="68"/>
      <c r="M58" s="67"/>
      <c r="N58" s="67"/>
      <c r="O58" s="68"/>
      <c r="P58" s="67"/>
      <c r="Q58" s="67"/>
      <c r="R58" s="68"/>
      <c r="S58" s="67"/>
      <c r="T58" s="67"/>
      <c r="U58" s="68"/>
      <c r="V58" s="67"/>
      <c r="W58" s="67"/>
      <c r="X58" s="68"/>
      <c r="Y58" s="67"/>
      <c r="Z58" s="67"/>
      <c r="AA58" s="68"/>
      <c r="AB58" s="68"/>
      <c r="AC58" s="68"/>
    </row>
    <row r="59" spans="1:29">
      <c r="B59" s="31"/>
      <c r="C59" s="32"/>
      <c r="D59" s="33"/>
      <c r="E59" s="32"/>
      <c r="F59" s="56" t="s">
        <v>25</v>
      </c>
      <c r="G59" s="33"/>
      <c r="H59" s="33"/>
      <c r="I59" s="33"/>
      <c r="J59" s="33"/>
      <c r="K59" s="33"/>
      <c r="L59" s="33"/>
      <c r="M59" s="33"/>
      <c r="N59" s="33"/>
      <c r="O59" s="33"/>
      <c r="P59" s="33"/>
      <c r="Q59" s="33"/>
      <c r="R59" s="33"/>
      <c r="S59" s="33"/>
      <c r="T59" s="33"/>
      <c r="U59" s="33"/>
      <c r="V59" s="33"/>
      <c r="W59" s="33"/>
      <c r="X59" s="33"/>
      <c r="Y59" s="33"/>
      <c r="Z59" s="33"/>
      <c r="AA59" s="33"/>
      <c r="AB59" s="33"/>
      <c r="AC59" s="65"/>
    </row>
    <row r="60" spans="1:29">
      <c r="B60" s="31" t="s">
        <v>575</v>
      </c>
      <c r="C60" s="32" t="s">
        <v>519</v>
      </c>
      <c r="D60" s="33" t="s">
        <v>66</v>
      </c>
      <c r="E60" s="32"/>
      <c r="F60" s="48" t="s">
        <v>26</v>
      </c>
      <c r="G60" s="54"/>
      <c r="H60" s="54"/>
      <c r="I60" s="60">
        <f>SUM(G60:H60)</f>
        <v>0</v>
      </c>
      <c r="J60" s="54"/>
      <c r="K60" s="54"/>
      <c r="L60" s="60">
        <f>SUM(J60:K60)</f>
        <v>0</v>
      </c>
      <c r="M60" s="54"/>
      <c r="N60" s="54"/>
      <c r="O60" s="60">
        <f>SUM(M60:N60)</f>
        <v>0</v>
      </c>
      <c r="P60" s="54"/>
      <c r="Q60" s="54"/>
      <c r="R60" s="60">
        <f>SUM(P60:Q60)</f>
        <v>0</v>
      </c>
      <c r="S60" s="54"/>
      <c r="T60" s="54"/>
      <c r="U60" s="60">
        <f>SUM(S60:T60)</f>
        <v>0</v>
      </c>
      <c r="V60" s="54"/>
      <c r="W60" s="54"/>
      <c r="X60" s="60">
        <f>SUM(V60:W60)</f>
        <v>0</v>
      </c>
      <c r="Y60" s="54"/>
      <c r="Z60" s="54"/>
      <c r="AA60" s="60">
        <f>SUM(Y60:Z60)</f>
        <v>0</v>
      </c>
      <c r="AB60" s="60">
        <f>I60+L60+O60+R60+U60+X60+AA60</f>
        <v>0</v>
      </c>
      <c r="AC60" s="35"/>
    </row>
    <row r="61" spans="1:29">
      <c r="B61" s="31" t="s">
        <v>575</v>
      </c>
      <c r="C61" s="32" t="s">
        <v>520</v>
      </c>
      <c r="D61" s="33" t="s">
        <v>66</v>
      </c>
      <c r="E61" s="32"/>
      <c r="F61" s="48" t="s">
        <v>27</v>
      </c>
      <c r="G61" s="54"/>
      <c r="H61" s="54"/>
      <c r="I61" s="60">
        <f t="shared" ref="I61:I80" si="33">SUM(G61:H61)</f>
        <v>0</v>
      </c>
      <c r="J61" s="54"/>
      <c r="K61" s="54"/>
      <c r="L61" s="60">
        <f t="shared" ref="L61:L80" si="34">SUM(J61:K61)</f>
        <v>0</v>
      </c>
      <c r="M61" s="54"/>
      <c r="N61" s="54"/>
      <c r="O61" s="60">
        <f t="shared" ref="O61:O80" si="35">SUM(M61:N61)</f>
        <v>0</v>
      </c>
      <c r="P61" s="54"/>
      <c r="Q61" s="54"/>
      <c r="R61" s="60">
        <f t="shared" ref="R61:R80" si="36">SUM(P61:Q61)</f>
        <v>0</v>
      </c>
      <c r="S61" s="54"/>
      <c r="T61" s="54"/>
      <c r="U61" s="60">
        <f t="shared" ref="U61:U80" si="37">SUM(S61:T61)</f>
        <v>0</v>
      </c>
      <c r="V61" s="54"/>
      <c r="W61" s="54"/>
      <c r="X61" s="60">
        <f t="shared" ref="X61:X80" si="38">SUM(V61:W61)</f>
        <v>0</v>
      </c>
      <c r="Y61" s="54"/>
      <c r="Z61" s="54"/>
      <c r="AA61" s="60">
        <f t="shared" ref="AA61:AA80" si="39">SUM(Y61:Z61)</f>
        <v>0</v>
      </c>
      <c r="AB61" s="60">
        <f t="shared" ref="AB61:AB80" si="40">I61+L61+O61+R61+U61+X61+AA61</f>
        <v>0</v>
      </c>
      <c r="AC61" s="35"/>
    </row>
    <row r="62" spans="1:29">
      <c r="B62" s="31" t="s">
        <v>575</v>
      </c>
      <c r="C62" s="32" t="s">
        <v>521</v>
      </c>
      <c r="D62" s="33" t="s">
        <v>66</v>
      </c>
      <c r="E62" s="32"/>
      <c r="F62" s="48" t="s">
        <v>28</v>
      </c>
      <c r="G62" s="54"/>
      <c r="H62" s="54"/>
      <c r="I62" s="60">
        <f t="shared" si="33"/>
        <v>0</v>
      </c>
      <c r="J62" s="54"/>
      <c r="K62" s="54"/>
      <c r="L62" s="60">
        <f t="shared" si="34"/>
        <v>0</v>
      </c>
      <c r="M62" s="54"/>
      <c r="N62" s="54"/>
      <c r="O62" s="60">
        <f t="shared" si="35"/>
        <v>0</v>
      </c>
      <c r="P62" s="54"/>
      <c r="Q62" s="54"/>
      <c r="R62" s="60">
        <f t="shared" si="36"/>
        <v>0</v>
      </c>
      <c r="S62" s="54"/>
      <c r="T62" s="54"/>
      <c r="U62" s="60">
        <f t="shared" si="37"/>
        <v>0</v>
      </c>
      <c r="V62" s="54"/>
      <c r="W62" s="54"/>
      <c r="X62" s="60">
        <f t="shared" si="38"/>
        <v>0</v>
      </c>
      <c r="Y62" s="54"/>
      <c r="Z62" s="54"/>
      <c r="AA62" s="60">
        <f t="shared" si="39"/>
        <v>0</v>
      </c>
      <c r="AB62" s="60">
        <f t="shared" si="40"/>
        <v>0</v>
      </c>
      <c r="AC62" s="35"/>
    </row>
    <row r="63" spans="1:29">
      <c r="B63" s="31" t="s">
        <v>575</v>
      </c>
      <c r="C63" s="32" t="s">
        <v>522</v>
      </c>
      <c r="D63" s="33" t="s">
        <v>66</v>
      </c>
      <c r="E63" s="32"/>
      <c r="F63" s="48" t="s">
        <v>29</v>
      </c>
      <c r="G63" s="54">
        <v>1000</v>
      </c>
      <c r="H63" s="54"/>
      <c r="I63" s="60">
        <f t="shared" si="33"/>
        <v>1000</v>
      </c>
      <c r="J63" s="54"/>
      <c r="K63" s="54"/>
      <c r="L63" s="60">
        <f t="shared" si="34"/>
        <v>0</v>
      </c>
      <c r="M63" s="54"/>
      <c r="N63" s="54"/>
      <c r="O63" s="60">
        <f t="shared" si="35"/>
        <v>0</v>
      </c>
      <c r="P63" s="54"/>
      <c r="Q63" s="54"/>
      <c r="R63" s="60">
        <f t="shared" si="36"/>
        <v>0</v>
      </c>
      <c r="S63" s="54"/>
      <c r="T63" s="54"/>
      <c r="U63" s="60">
        <f t="shared" si="37"/>
        <v>0</v>
      </c>
      <c r="V63" s="54"/>
      <c r="W63" s="54"/>
      <c r="X63" s="60">
        <f t="shared" si="38"/>
        <v>0</v>
      </c>
      <c r="Y63" s="54"/>
      <c r="Z63" s="54"/>
      <c r="AA63" s="60">
        <f t="shared" si="39"/>
        <v>0</v>
      </c>
      <c r="AB63" s="60">
        <f t="shared" si="40"/>
        <v>1000</v>
      </c>
      <c r="AC63" s="35"/>
    </row>
    <row r="64" spans="1:29">
      <c r="B64" s="31" t="s">
        <v>575</v>
      </c>
      <c r="C64" s="32" t="s">
        <v>523</v>
      </c>
      <c r="D64" s="33" t="s">
        <v>66</v>
      </c>
      <c r="E64" s="32"/>
      <c r="F64" s="48" t="s">
        <v>30</v>
      </c>
      <c r="G64" s="54"/>
      <c r="H64" s="54"/>
      <c r="I64" s="60">
        <f t="shared" si="33"/>
        <v>0</v>
      </c>
      <c r="J64" s="54"/>
      <c r="K64" s="54"/>
      <c r="L64" s="60">
        <f t="shared" si="34"/>
        <v>0</v>
      </c>
      <c r="M64" s="54"/>
      <c r="N64" s="54"/>
      <c r="O64" s="60">
        <f t="shared" si="35"/>
        <v>0</v>
      </c>
      <c r="P64" s="54"/>
      <c r="Q64" s="54"/>
      <c r="R64" s="60">
        <f t="shared" si="36"/>
        <v>0</v>
      </c>
      <c r="S64" s="54"/>
      <c r="T64" s="54"/>
      <c r="U64" s="60">
        <f t="shared" si="37"/>
        <v>0</v>
      </c>
      <c r="V64" s="54"/>
      <c r="W64" s="54"/>
      <c r="X64" s="60">
        <f t="shared" si="38"/>
        <v>0</v>
      </c>
      <c r="Y64" s="54"/>
      <c r="Z64" s="54"/>
      <c r="AA64" s="60">
        <f t="shared" si="39"/>
        <v>0</v>
      </c>
      <c r="AB64" s="60">
        <f t="shared" si="40"/>
        <v>0</v>
      </c>
      <c r="AC64" s="35"/>
    </row>
    <row r="65" spans="2:29">
      <c r="B65" s="31" t="s">
        <v>575</v>
      </c>
      <c r="C65" s="32" t="s">
        <v>524</v>
      </c>
      <c r="D65" s="33" t="s">
        <v>66</v>
      </c>
      <c r="E65" s="32"/>
      <c r="F65" s="48" t="s">
        <v>31</v>
      </c>
      <c r="G65" s="54"/>
      <c r="H65" s="54"/>
      <c r="I65" s="60">
        <f t="shared" si="33"/>
        <v>0</v>
      </c>
      <c r="J65" s="54"/>
      <c r="K65" s="54"/>
      <c r="L65" s="60">
        <f t="shared" si="34"/>
        <v>0</v>
      </c>
      <c r="M65" s="54"/>
      <c r="N65" s="54"/>
      <c r="O65" s="60">
        <f t="shared" si="35"/>
        <v>0</v>
      </c>
      <c r="P65" s="54"/>
      <c r="Q65" s="54"/>
      <c r="R65" s="60">
        <f t="shared" si="36"/>
        <v>0</v>
      </c>
      <c r="S65" s="54"/>
      <c r="T65" s="54"/>
      <c r="U65" s="60">
        <f t="shared" si="37"/>
        <v>0</v>
      </c>
      <c r="V65" s="54"/>
      <c r="W65" s="54"/>
      <c r="X65" s="60">
        <f t="shared" si="38"/>
        <v>0</v>
      </c>
      <c r="Y65" s="54"/>
      <c r="Z65" s="54"/>
      <c r="AA65" s="60">
        <f t="shared" si="39"/>
        <v>0</v>
      </c>
      <c r="AB65" s="60">
        <f t="shared" si="40"/>
        <v>0</v>
      </c>
      <c r="AC65" s="35"/>
    </row>
    <row r="66" spans="2:29">
      <c r="B66" s="31" t="s">
        <v>575</v>
      </c>
      <c r="C66" s="32" t="s">
        <v>525</v>
      </c>
      <c r="D66" s="33" t="s">
        <v>66</v>
      </c>
      <c r="E66" s="32"/>
      <c r="F66" s="48" t="s">
        <v>32</v>
      </c>
      <c r="G66" s="54"/>
      <c r="H66" s="54"/>
      <c r="I66" s="60">
        <f t="shared" si="33"/>
        <v>0</v>
      </c>
      <c r="J66" s="54"/>
      <c r="K66" s="54"/>
      <c r="L66" s="60">
        <f t="shared" si="34"/>
        <v>0</v>
      </c>
      <c r="M66" s="54"/>
      <c r="N66" s="54"/>
      <c r="O66" s="60">
        <f t="shared" si="35"/>
        <v>0</v>
      </c>
      <c r="P66" s="54"/>
      <c r="Q66" s="54"/>
      <c r="R66" s="60">
        <f t="shared" si="36"/>
        <v>0</v>
      </c>
      <c r="S66" s="54"/>
      <c r="T66" s="54"/>
      <c r="U66" s="60">
        <f t="shared" si="37"/>
        <v>0</v>
      </c>
      <c r="V66" s="54"/>
      <c r="W66" s="54"/>
      <c r="X66" s="60">
        <f t="shared" si="38"/>
        <v>0</v>
      </c>
      <c r="Y66" s="54"/>
      <c r="Z66" s="54"/>
      <c r="AA66" s="60">
        <f t="shared" si="39"/>
        <v>0</v>
      </c>
      <c r="AB66" s="60">
        <f t="shared" si="40"/>
        <v>0</v>
      </c>
      <c r="AC66" s="35"/>
    </row>
    <row r="67" spans="2:29">
      <c r="B67" s="31" t="s">
        <v>575</v>
      </c>
      <c r="C67" s="32" t="s">
        <v>526</v>
      </c>
      <c r="D67" s="33" t="s">
        <v>66</v>
      </c>
      <c r="E67" s="32"/>
      <c r="F67" s="49" t="s">
        <v>33</v>
      </c>
      <c r="G67" s="54"/>
      <c r="H67" s="54"/>
      <c r="I67" s="60">
        <f t="shared" si="33"/>
        <v>0</v>
      </c>
      <c r="J67" s="54"/>
      <c r="K67" s="54"/>
      <c r="L67" s="60">
        <f t="shared" si="34"/>
        <v>0</v>
      </c>
      <c r="M67" s="54"/>
      <c r="N67" s="54"/>
      <c r="O67" s="60">
        <f t="shared" si="35"/>
        <v>0</v>
      </c>
      <c r="P67" s="54"/>
      <c r="Q67" s="54"/>
      <c r="R67" s="60">
        <f t="shared" si="36"/>
        <v>0</v>
      </c>
      <c r="S67" s="54"/>
      <c r="T67" s="54"/>
      <c r="U67" s="60">
        <f t="shared" si="37"/>
        <v>0</v>
      </c>
      <c r="V67" s="54"/>
      <c r="W67" s="54"/>
      <c r="X67" s="60">
        <f t="shared" si="38"/>
        <v>0</v>
      </c>
      <c r="Y67" s="54"/>
      <c r="Z67" s="54"/>
      <c r="AA67" s="60">
        <f t="shared" si="39"/>
        <v>0</v>
      </c>
      <c r="AB67" s="60">
        <f t="shared" si="40"/>
        <v>0</v>
      </c>
      <c r="AC67" s="35"/>
    </row>
    <row r="68" spans="2:29" ht="22.5">
      <c r="B68" s="31" t="s">
        <v>575</v>
      </c>
      <c r="C68" s="32" t="s">
        <v>527</v>
      </c>
      <c r="D68" s="33" t="s">
        <v>66</v>
      </c>
      <c r="E68" s="32"/>
      <c r="F68" s="49" t="s">
        <v>34</v>
      </c>
      <c r="G68" s="54"/>
      <c r="H68" s="54"/>
      <c r="I68" s="60">
        <f t="shared" si="33"/>
        <v>0</v>
      </c>
      <c r="J68" s="54"/>
      <c r="K68" s="54"/>
      <c r="L68" s="60">
        <f t="shared" si="34"/>
        <v>0</v>
      </c>
      <c r="M68" s="54"/>
      <c r="N68" s="54"/>
      <c r="O68" s="60">
        <f t="shared" si="35"/>
        <v>0</v>
      </c>
      <c r="P68" s="54"/>
      <c r="Q68" s="54"/>
      <c r="R68" s="60">
        <f t="shared" si="36"/>
        <v>0</v>
      </c>
      <c r="S68" s="54"/>
      <c r="T68" s="54"/>
      <c r="U68" s="60">
        <f t="shared" si="37"/>
        <v>0</v>
      </c>
      <c r="V68" s="54"/>
      <c r="W68" s="54"/>
      <c r="X68" s="60">
        <f t="shared" si="38"/>
        <v>0</v>
      </c>
      <c r="Y68" s="54"/>
      <c r="Z68" s="54"/>
      <c r="AA68" s="60">
        <f t="shared" si="39"/>
        <v>0</v>
      </c>
      <c r="AB68" s="60">
        <f t="shared" si="40"/>
        <v>0</v>
      </c>
      <c r="AC68" s="35"/>
    </row>
    <row r="69" spans="2:29" ht="22.5">
      <c r="B69" s="31" t="s">
        <v>575</v>
      </c>
      <c r="C69" s="32" t="s">
        <v>528</v>
      </c>
      <c r="D69" s="33" t="s">
        <v>66</v>
      </c>
      <c r="E69" s="32"/>
      <c r="F69" s="49" t="s">
        <v>35</v>
      </c>
      <c r="G69" s="54"/>
      <c r="H69" s="54"/>
      <c r="I69" s="60">
        <f t="shared" si="33"/>
        <v>0</v>
      </c>
      <c r="J69" s="54"/>
      <c r="K69" s="54"/>
      <c r="L69" s="60">
        <f t="shared" si="34"/>
        <v>0</v>
      </c>
      <c r="M69" s="54"/>
      <c r="N69" s="54"/>
      <c r="O69" s="60">
        <f t="shared" si="35"/>
        <v>0</v>
      </c>
      <c r="P69" s="54"/>
      <c r="Q69" s="54"/>
      <c r="R69" s="60">
        <f t="shared" si="36"/>
        <v>0</v>
      </c>
      <c r="S69" s="54"/>
      <c r="T69" s="54"/>
      <c r="U69" s="60">
        <f t="shared" si="37"/>
        <v>0</v>
      </c>
      <c r="V69" s="54"/>
      <c r="W69" s="54"/>
      <c r="X69" s="60">
        <f t="shared" si="38"/>
        <v>0</v>
      </c>
      <c r="Y69" s="54"/>
      <c r="Z69" s="54"/>
      <c r="AA69" s="60">
        <f t="shared" si="39"/>
        <v>0</v>
      </c>
      <c r="AB69" s="60">
        <f t="shared" si="40"/>
        <v>0</v>
      </c>
      <c r="AC69" s="35"/>
    </row>
    <row r="70" spans="2:29" ht="22.5">
      <c r="B70" s="31" t="s">
        <v>575</v>
      </c>
      <c r="C70" s="32" t="s">
        <v>529</v>
      </c>
      <c r="D70" s="33" t="s">
        <v>66</v>
      </c>
      <c r="E70" s="32"/>
      <c r="F70" s="49" t="s">
        <v>36</v>
      </c>
      <c r="G70" s="54"/>
      <c r="H70" s="54"/>
      <c r="I70" s="60">
        <f t="shared" si="33"/>
        <v>0</v>
      </c>
      <c r="J70" s="54"/>
      <c r="K70" s="54"/>
      <c r="L70" s="60">
        <f t="shared" si="34"/>
        <v>0</v>
      </c>
      <c r="M70" s="54"/>
      <c r="N70" s="54"/>
      <c r="O70" s="60">
        <f t="shared" si="35"/>
        <v>0</v>
      </c>
      <c r="P70" s="54"/>
      <c r="Q70" s="54"/>
      <c r="R70" s="60">
        <f t="shared" si="36"/>
        <v>0</v>
      </c>
      <c r="S70" s="54"/>
      <c r="T70" s="54"/>
      <c r="U70" s="60">
        <f t="shared" si="37"/>
        <v>0</v>
      </c>
      <c r="V70" s="54"/>
      <c r="W70" s="54"/>
      <c r="X70" s="60">
        <f t="shared" si="38"/>
        <v>0</v>
      </c>
      <c r="Y70" s="54"/>
      <c r="Z70" s="54"/>
      <c r="AA70" s="60">
        <f t="shared" si="39"/>
        <v>0</v>
      </c>
      <c r="AB70" s="60">
        <f t="shared" si="40"/>
        <v>0</v>
      </c>
      <c r="AC70" s="35"/>
    </row>
    <row r="71" spans="2:29" ht="22.5">
      <c r="B71" s="31" t="s">
        <v>575</v>
      </c>
      <c r="C71" s="32" t="s">
        <v>530</v>
      </c>
      <c r="D71" s="33" t="s">
        <v>66</v>
      </c>
      <c r="E71" s="32"/>
      <c r="F71" s="49" t="s">
        <v>37</v>
      </c>
      <c r="G71" s="54"/>
      <c r="H71" s="54"/>
      <c r="I71" s="60">
        <f t="shared" si="33"/>
        <v>0</v>
      </c>
      <c r="J71" s="54"/>
      <c r="K71" s="54"/>
      <c r="L71" s="60">
        <f t="shared" si="34"/>
        <v>0</v>
      </c>
      <c r="M71" s="54"/>
      <c r="N71" s="54"/>
      <c r="O71" s="60">
        <f t="shared" si="35"/>
        <v>0</v>
      </c>
      <c r="P71" s="54"/>
      <c r="Q71" s="54"/>
      <c r="R71" s="60">
        <f t="shared" si="36"/>
        <v>0</v>
      </c>
      <c r="S71" s="54"/>
      <c r="T71" s="54"/>
      <c r="U71" s="60">
        <f t="shared" si="37"/>
        <v>0</v>
      </c>
      <c r="V71" s="54"/>
      <c r="W71" s="54"/>
      <c r="X71" s="60">
        <f t="shared" si="38"/>
        <v>0</v>
      </c>
      <c r="Y71" s="54"/>
      <c r="Z71" s="54"/>
      <c r="AA71" s="60">
        <f t="shared" si="39"/>
        <v>0</v>
      </c>
      <c r="AB71" s="60">
        <f t="shared" si="40"/>
        <v>0</v>
      </c>
      <c r="AC71" s="35"/>
    </row>
    <row r="72" spans="2:29" ht="22.5">
      <c r="B72" s="31" t="s">
        <v>575</v>
      </c>
      <c r="C72" s="32" t="s">
        <v>531</v>
      </c>
      <c r="D72" s="33" t="s">
        <v>66</v>
      </c>
      <c r="E72" s="32"/>
      <c r="F72" s="49" t="s">
        <v>38</v>
      </c>
      <c r="G72" s="54"/>
      <c r="H72" s="54"/>
      <c r="I72" s="60">
        <f t="shared" si="33"/>
        <v>0</v>
      </c>
      <c r="J72" s="54"/>
      <c r="K72" s="54"/>
      <c r="L72" s="60">
        <f t="shared" si="34"/>
        <v>0</v>
      </c>
      <c r="M72" s="54"/>
      <c r="N72" s="54"/>
      <c r="O72" s="60">
        <f t="shared" si="35"/>
        <v>0</v>
      </c>
      <c r="P72" s="54"/>
      <c r="Q72" s="54"/>
      <c r="R72" s="60">
        <f t="shared" si="36"/>
        <v>0</v>
      </c>
      <c r="S72" s="54"/>
      <c r="T72" s="54"/>
      <c r="U72" s="60">
        <f t="shared" si="37"/>
        <v>0</v>
      </c>
      <c r="V72" s="54"/>
      <c r="W72" s="54"/>
      <c r="X72" s="60">
        <f t="shared" si="38"/>
        <v>0</v>
      </c>
      <c r="Y72" s="54"/>
      <c r="Z72" s="54"/>
      <c r="AA72" s="60">
        <f t="shared" si="39"/>
        <v>0</v>
      </c>
      <c r="AB72" s="60">
        <f t="shared" si="40"/>
        <v>0</v>
      </c>
      <c r="AC72" s="35"/>
    </row>
    <row r="73" spans="2:29" ht="22.5">
      <c r="B73" s="31" t="s">
        <v>575</v>
      </c>
      <c r="C73" s="32" t="s">
        <v>532</v>
      </c>
      <c r="D73" s="33" t="s">
        <v>66</v>
      </c>
      <c r="E73" s="32"/>
      <c r="F73" s="49" t="s">
        <v>39</v>
      </c>
      <c r="G73" s="54"/>
      <c r="H73" s="54"/>
      <c r="I73" s="60">
        <f t="shared" si="33"/>
        <v>0</v>
      </c>
      <c r="J73" s="54"/>
      <c r="K73" s="54"/>
      <c r="L73" s="60">
        <f t="shared" si="34"/>
        <v>0</v>
      </c>
      <c r="M73" s="54"/>
      <c r="N73" s="54"/>
      <c r="O73" s="60">
        <f t="shared" si="35"/>
        <v>0</v>
      </c>
      <c r="P73" s="54"/>
      <c r="Q73" s="54"/>
      <c r="R73" s="60">
        <f t="shared" si="36"/>
        <v>0</v>
      </c>
      <c r="S73" s="54"/>
      <c r="T73" s="54"/>
      <c r="U73" s="60">
        <f t="shared" si="37"/>
        <v>0</v>
      </c>
      <c r="V73" s="54"/>
      <c r="W73" s="54"/>
      <c r="X73" s="60">
        <f t="shared" si="38"/>
        <v>0</v>
      </c>
      <c r="Y73" s="54"/>
      <c r="Z73" s="54"/>
      <c r="AA73" s="60">
        <f t="shared" si="39"/>
        <v>0</v>
      </c>
      <c r="AB73" s="60">
        <f t="shared" si="40"/>
        <v>0</v>
      </c>
      <c r="AC73" s="35"/>
    </row>
    <row r="74" spans="2:29" ht="22.5">
      <c r="B74" s="31" t="s">
        <v>575</v>
      </c>
      <c r="C74" s="32" t="s">
        <v>533</v>
      </c>
      <c r="D74" s="33" t="s">
        <v>66</v>
      </c>
      <c r="E74" s="32"/>
      <c r="F74" s="49" t="s">
        <v>40</v>
      </c>
      <c r="G74" s="54"/>
      <c r="H74" s="54"/>
      <c r="I74" s="60">
        <f t="shared" si="33"/>
        <v>0</v>
      </c>
      <c r="J74" s="54"/>
      <c r="K74" s="54"/>
      <c r="L74" s="60">
        <f t="shared" si="34"/>
        <v>0</v>
      </c>
      <c r="M74" s="54"/>
      <c r="N74" s="54"/>
      <c r="O74" s="60">
        <f t="shared" si="35"/>
        <v>0</v>
      </c>
      <c r="P74" s="54"/>
      <c r="Q74" s="54"/>
      <c r="R74" s="60">
        <f t="shared" si="36"/>
        <v>0</v>
      </c>
      <c r="S74" s="54"/>
      <c r="T74" s="54"/>
      <c r="U74" s="60">
        <f t="shared" si="37"/>
        <v>0</v>
      </c>
      <c r="V74" s="54"/>
      <c r="W74" s="54"/>
      <c r="X74" s="60">
        <f t="shared" si="38"/>
        <v>0</v>
      </c>
      <c r="Y74" s="54"/>
      <c r="Z74" s="54"/>
      <c r="AA74" s="60">
        <f t="shared" si="39"/>
        <v>0</v>
      </c>
      <c r="AB74" s="60">
        <f t="shared" si="40"/>
        <v>0</v>
      </c>
      <c r="AC74" s="35"/>
    </row>
    <row r="75" spans="2:29" ht="22.5">
      <c r="B75" s="31" t="s">
        <v>575</v>
      </c>
      <c r="C75" s="32" t="s">
        <v>534</v>
      </c>
      <c r="D75" s="33" t="s">
        <v>66</v>
      </c>
      <c r="E75" s="32"/>
      <c r="F75" s="49" t="s">
        <v>41</v>
      </c>
      <c r="G75" s="54"/>
      <c r="H75" s="54"/>
      <c r="I75" s="60">
        <f t="shared" si="33"/>
        <v>0</v>
      </c>
      <c r="J75" s="54"/>
      <c r="K75" s="54"/>
      <c r="L75" s="60">
        <f t="shared" si="34"/>
        <v>0</v>
      </c>
      <c r="M75" s="54"/>
      <c r="N75" s="54"/>
      <c r="O75" s="60">
        <f t="shared" si="35"/>
        <v>0</v>
      </c>
      <c r="P75" s="54"/>
      <c r="Q75" s="54"/>
      <c r="R75" s="60">
        <f t="shared" si="36"/>
        <v>0</v>
      </c>
      <c r="S75" s="54"/>
      <c r="T75" s="54"/>
      <c r="U75" s="60">
        <f t="shared" si="37"/>
        <v>0</v>
      </c>
      <c r="V75" s="54"/>
      <c r="W75" s="54"/>
      <c r="X75" s="60">
        <f t="shared" si="38"/>
        <v>0</v>
      </c>
      <c r="Y75" s="54"/>
      <c r="Z75" s="54"/>
      <c r="AA75" s="60">
        <f t="shared" si="39"/>
        <v>0</v>
      </c>
      <c r="AB75" s="60">
        <f t="shared" si="40"/>
        <v>0</v>
      </c>
      <c r="AC75" s="35"/>
    </row>
    <row r="76" spans="2:29">
      <c r="B76" s="31" t="s">
        <v>575</v>
      </c>
      <c r="C76" s="32" t="s">
        <v>535</v>
      </c>
      <c r="D76" s="33" t="s">
        <v>66</v>
      </c>
      <c r="E76" s="32"/>
      <c r="F76" s="49" t="s">
        <v>42</v>
      </c>
      <c r="G76" s="54"/>
      <c r="H76" s="54"/>
      <c r="I76" s="60">
        <f t="shared" si="33"/>
        <v>0</v>
      </c>
      <c r="J76" s="54"/>
      <c r="K76" s="54"/>
      <c r="L76" s="60">
        <f t="shared" si="34"/>
        <v>0</v>
      </c>
      <c r="M76" s="54"/>
      <c r="N76" s="54"/>
      <c r="O76" s="60">
        <f t="shared" si="35"/>
        <v>0</v>
      </c>
      <c r="P76" s="54"/>
      <c r="Q76" s="54"/>
      <c r="R76" s="60">
        <f t="shared" si="36"/>
        <v>0</v>
      </c>
      <c r="S76" s="54"/>
      <c r="T76" s="54"/>
      <c r="U76" s="60">
        <f t="shared" si="37"/>
        <v>0</v>
      </c>
      <c r="V76" s="54"/>
      <c r="W76" s="54"/>
      <c r="X76" s="60">
        <f t="shared" si="38"/>
        <v>0</v>
      </c>
      <c r="Y76" s="54"/>
      <c r="Z76" s="54"/>
      <c r="AA76" s="60">
        <f t="shared" si="39"/>
        <v>0</v>
      </c>
      <c r="AB76" s="60">
        <f t="shared" si="40"/>
        <v>0</v>
      </c>
      <c r="AC76" s="35"/>
    </row>
    <row r="77" spans="2:29" ht="22.5">
      <c r="B77" s="31" t="s">
        <v>575</v>
      </c>
      <c r="C77" s="32" t="s">
        <v>536</v>
      </c>
      <c r="D77" s="33" t="s">
        <v>66</v>
      </c>
      <c r="E77" s="32"/>
      <c r="F77" s="49" t="s">
        <v>43</v>
      </c>
      <c r="G77" s="54"/>
      <c r="H77" s="54"/>
      <c r="I77" s="60">
        <f t="shared" si="33"/>
        <v>0</v>
      </c>
      <c r="J77" s="54"/>
      <c r="K77" s="54"/>
      <c r="L77" s="60">
        <f t="shared" si="34"/>
        <v>0</v>
      </c>
      <c r="M77" s="54"/>
      <c r="N77" s="54"/>
      <c r="O77" s="60">
        <f t="shared" si="35"/>
        <v>0</v>
      </c>
      <c r="P77" s="54"/>
      <c r="Q77" s="54"/>
      <c r="R77" s="60">
        <f t="shared" si="36"/>
        <v>0</v>
      </c>
      <c r="S77" s="54"/>
      <c r="T77" s="54"/>
      <c r="U77" s="60">
        <f t="shared" si="37"/>
        <v>0</v>
      </c>
      <c r="V77" s="54"/>
      <c r="W77" s="54"/>
      <c r="X77" s="60">
        <f t="shared" si="38"/>
        <v>0</v>
      </c>
      <c r="Y77" s="54"/>
      <c r="Z77" s="54"/>
      <c r="AA77" s="60">
        <f t="shared" si="39"/>
        <v>0</v>
      </c>
      <c r="AB77" s="60">
        <f t="shared" si="40"/>
        <v>0</v>
      </c>
      <c r="AC77" s="35"/>
    </row>
    <row r="78" spans="2:29" ht="22.5">
      <c r="B78" s="31" t="s">
        <v>575</v>
      </c>
      <c r="C78" s="32" t="s">
        <v>537</v>
      </c>
      <c r="D78" s="33" t="s">
        <v>66</v>
      </c>
      <c r="E78" s="32"/>
      <c r="F78" s="49" t="s">
        <v>44</v>
      </c>
      <c r="G78" s="54"/>
      <c r="H78" s="54"/>
      <c r="I78" s="60">
        <f t="shared" si="33"/>
        <v>0</v>
      </c>
      <c r="J78" s="54"/>
      <c r="K78" s="54"/>
      <c r="L78" s="60">
        <f t="shared" si="34"/>
        <v>0</v>
      </c>
      <c r="M78" s="54"/>
      <c r="N78" s="54"/>
      <c r="O78" s="60">
        <f t="shared" si="35"/>
        <v>0</v>
      </c>
      <c r="P78" s="54"/>
      <c r="Q78" s="54"/>
      <c r="R78" s="60">
        <f t="shared" si="36"/>
        <v>0</v>
      </c>
      <c r="S78" s="54"/>
      <c r="T78" s="54"/>
      <c r="U78" s="60">
        <f t="shared" si="37"/>
        <v>0</v>
      </c>
      <c r="V78" s="54"/>
      <c r="W78" s="54"/>
      <c r="X78" s="60">
        <f t="shared" si="38"/>
        <v>0</v>
      </c>
      <c r="Y78" s="54"/>
      <c r="Z78" s="54"/>
      <c r="AA78" s="60">
        <f t="shared" si="39"/>
        <v>0</v>
      </c>
      <c r="AB78" s="60">
        <f t="shared" si="40"/>
        <v>0</v>
      </c>
      <c r="AC78" s="35"/>
    </row>
    <row r="79" spans="2:29" ht="22.5">
      <c r="B79" s="31" t="s">
        <v>575</v>
      </c>
      <c r="C79" s="32" t="s">
        <v>538</v>
      </c>
      <c r="D79" s="33" t="s">
        <v>66</v>
      </c>
      <c r="E79" s="32"/>
      <c r="F79" s="49" t="s">
        <v>45</v>
      </c>
      <c r="G79" s="54"/>
      <c r="H79" s="54"/>
      <c r="I79" s="60">
        <f t="shared" si="33"/>
        <v>0</v>
      </c>
      <c r="J79" s="54"/>
      <c r="K79" s="54"/>
      <c r="L79" s="60">
        <f t="shared" si="34"/>
        <v>0</v>
      </c>
      <c r="M79" s="54"/>
      <c r="N79" s="54"/>
      <c r="O79" s="60">
        <f t="shared" si="35"/>
        <v>0</v>
      </c>
      <c r="P79" s="54"/>
      <c r="Q79" s="54"/>
      <c r="R79" s="60">
        <f t="shared" si="36"/>
        <v>0</v>
      </c>
      <c r="S79" s="54"/>
      <c r="T79" s="54"/>
      <c r="U79" s="60">
        <f t="shared" si="37"/>
        <v>0</v>
      </c>
      <c r="V79" s="54"/>
      <c r="W79" s="54"/>
      <c r="X79" s="60">
        <f t="shared" si="38"/>
        <v>0</v>
      </c>
      <c r="Y79" s="54"/>
      <c r="Z79" s="54"/>
      <c r="AA79" s="60">
        <f t="shared" si="39"/>
        <v>0</v>
      </c>
      <c r="AB79" s="60">
        <f t="shared" si="40"/>
        <v>0</v>
      </c>
      <c r="AC79" s="35"/>
    </row>
    <row r="80" spans="2:29" ht="22.5" customHeight="1">
      <c r="B80" s="31" t="s">
        <v>575</v>
      </c>
      <c r="C80" s="32" t="s">
        <v>539</v>
      </c>
      <c r="D80" s="33" t="s">
        <v>66</v>
      </c>
      <c r="E80" s="32"/>
      <c r="F80" s="49" t="s">
        <v>46</v>
      </c>
      <c r="G80" s="54"/>
      <c r="H80" s="54"/>
      <c r="I80" s="60">
        <f t="shared" si="33"/>
        <v>0</v>
      </c>
      <c r="J80" s="54"/>
      <c r="K80" s="54"/>
      <c r="L80" s="60">
        <f t="shared" si="34"/>
        <v>0</v>
      </c>
      <c r="M80" s="54"/>
      <c r="N80" s="54"/>
      <c r="O80" s="60">
        <f t="shared" si="35"/>
        <v>0</v>
      </c>
      <c r="P80" s="54"/>
      <c r="Q80" s="54"/>
      <c r="R80" s="60">
        <f t="shared" si="36"/>
        <v>0</v>
      </c>
      <c r="S80" s="54"/>
      <c r="T80" s="54"/>
      <c r="U80" s="60">
        <f t="shared" si="37"/>
        <v>0</v>
      </c>
      <c r="V80" s="54"/>
      <c r="W80" s="54"/>
      <c r="X80" s="60">
        <f t="shared" si="38"/>
        <v>0</v>
      </c>
      <c r="Y80" s="54"/>
      <c r="Z80" s="54"/>
      <c r="AA80" s="60">
        <f t="shared" si="39"/>
        <v>0</v>
      </c>
      <c r="AB80" s="60">
        <f t="shared" si="40"/>
        <v>0</v>
      </c>
      <c r="AC80" s="35"/>
    </row>
    <row r="81" spans="1:29">
      <c r="B81" s="31"/>
      <c r="C81" s="32"/>
      <c r="D81" s="33"/>
      <c r="E81" s="32"/>
      <c r="F81" s="57" t="s">
        <v>47</v>
      </c>
      <c r="G81" s="33"/>
      <c r="H81" s="33"/>
      <c r="I81" s="33"/>
      <c r="J81" s="33"/>
      <c r="K81" s="33"/>
      <c r="L81" s="33"/>
      <c r="M81" s="33"/>
      <c r="N81" s="33"/>
      <c r="O81" s="33"/>
      <c r="P81" s="33"/>
      <c r="Q81" s="33"/>
      <c r="R81" s="33"/>
      <c r="S81" s="33"/>
      <c r="T81" s="33"/>
      <c r="U81" s="33"/>
      <c r="V81" s="33"/>
      <c r="W81" s="33"/>
      <c r="X81" s="33"/>
      <c r="Y81" s="33"/>
      <c r="Z81" s="33"/>
      <c r="AA81" s="33"/>
      <c r="AB81" s="33"/>
      <c r="AC81" s="65"/>
    </row>
    <row r="82" spans="1:29">
      <c r="A82" t="s">
        <v>67</v>
      </c>
      <c r="B82" s="31" t="s">
        <v>575</v>
      </c>
      <c r="C82" s="32" t="s">
        <v>550</v>
      </c>
      <c r="D82" s="33" t="s">
        <v>4</v>
      </c>
      <c r="E82" s="32"/>
      <c r="F82" s="49" t="s">
        <v>48</v>
      </c>
      <c r="G82" s="62">
        <f t="shared" ref="G82:O82" si="41">G83+G84</f>
        <v>0</v>
      </c>
      <c r="H82" s="62">
        <f t="shared" si="41"/>
        <v>0</v>
      </c>
      <c r="I82" s="61">
        <f t="shared" si="41"/>
        <v>0</v>
      </c>
      <c r="J82" s="62">
        <f t="shared" si="41"/>
        <v>0</v>
      </c>
      <c r="K82" s="62">
        <f t="shared" si="41"/>
        <v>0</v>
      </c>
      <c r="L82" s="61">
        <f t="shared" si="41"/>
        <v>0</v>
      </c>
      <c r="M82" s="62">
        <f t="shared" si="41"/>
        <v>0</v>
      </c>
      <c r="N82" s="62">
        <f t="shared" si="41"/>
        <v>0</v>
      </c>
      <c r="O82" s="61">
        <f t="shared" si="41"/>
        <v>0</v>
      </c>
      <c r="P82" s="62">
        <f>P83+P84</f>
        <v>0</v>
      </c>
      <c r="Q82" s="62">
        <f>Q83+Q84</f>
        <v>0</v>
      </c>
      <c r="R82" s="61">
        <f t="shared" ref="R82" si="42">R83+R84</f>
        <v>0</v>
      </c>
      <c r="S82" s="62">
        <f>S83+S84</f>
        <v>0</v>
      </c>
      <c r="T82" s="62">
        <f>T83+T84</f>
        <v>0</v>
      </c>
      <c r="U82" s="61">
        <f t="shared" ref="U82" si="43">U83+U84</f>
        <v>0</v>
      </c>
      <c r="V82" s="62">
        <f>V83+V84</f>
        <v>0</v>
      </c>
      <c r="W82" s="62">
        <f>W83+W84</f>
        <v>0</v>
      </c>
      <c r="X82" s="61">
        <f t="shared" ref="X82" si="44">X83+X84</f>
        <v>0</v>
      </c>
      <c r="Y82" s="62">
        <f>Y83+Y84</f>
        <v>0</v>
      </c>
      <c r="Z82" s="62">
        <f>Z83+Z84</f>
        <v>0</v>
      </c>
      <c r="AA82" s="61">
        <f t="shared" ref="AA82:AB82" si="45">AA83+AA84</f>
        <v>0</v>
      </c>
      <c r="AB82" s="61">
        <f t="shared" si="45"/>
        <v>0</v>
      </c>
      <c r="AC82" s="72"/>
    </row>
    <row r="83" spans="1:29">
      <c r="A83" t="s">
        <v>67</v>
      </c>
      <c r="B83" s="31" t="s">
        <v>575</v>
      </c>
      <c r="C83" s="32" t="s">
        <v>551</v>
      </c>
      <c r="D83" s="33" t="s">
        <v>4</v>
      </c>
      <c r="E83" s="32"/>
      <c r="F83" s="49" t="s">
        <v>49</v>
      </c>
      <c r="G83" s="54"/>
      <c r="H83" s="54"/>
      <c r="I83" s="60">
        <f t="shared" ref="I83:I84" si="46">SUM(G83:H83)</f>
        <v>0</v>
      </c>
      <c r="J83" s="54"/>
      <c r="K83" s="54"/>
      <c r="L83" s="60">
        <f t="shared" ref="L83:L84" si="47">SUM(J83:K83)</f>
        <v>0</v>
      </c>
      <c r="M83" s="54"/>
      <c r="N83" s="54"/>
      <c r="O83" s="60">
        <f t="shared" ref="O83:O84" si="48">SUM(M83:N83)</f>
        <v>0</v>
      </c>
      <c r="P83" s="54"/>
      <c r="Q83" s="54"/>
      <c r="R83" s="60">
        <f t="shared" ref="R83:R84" si="49">SUM(P83:Q83)</f>
        <v>0</v>
      </c>
      <c r="S83" s="54"/>
      <c r="T83" s="54"/>
      <c r="U83" s="60">
        <f t="shared" ref="U83:U84" si="50">SUM(S83:T83)</f>
        <v>0</v>
      </c>
      <c r="V83" s="54"/>
      <c r="W83" s="54"/>
      <c r="X83" s="60">
        <f t="shared" ref="X83:X84" si="51">SUM(V83:W83)</f>
        <v>0</v>
      </c>
      <c r="Y83" s="54"/>
      <c r="Z83" s="54"/>
      <c r="AA83" s="60">
        <f t="shared" ref="AA83:AA84" si="52">SUM(Y83:Z83)</f>
        <v>0</v>
      </c>
      <c r="AB83" s="60">
        <f t="shared" ref="AB83:AB84" si="53">I83+L83+O83+R83+U83+X83+AA83</f>
        <v>0</v>
      </c>
      <c r="AC83" s="72"/>
    </row>
    <row r="84" spans="1:29">
      <c r="A84" t="s">
        <v>67</v>
      </c>
      <c r="B84" s="31" t="s">
        <v>575</v>
      </c>
      <c r="C84" s="32" t="s">
        <v>552</v>
      </c>
      <c r="D84" s="33" t="s">
        <v>4</v>
      </c>
      <c r="E84" s="32"/>
      <c r="F84" s="49" t="s">
        <v>50</v>
      </c>
      <c r="G84" s="54"/>
      <c r="H84" s="54"/>
      <c r="I84" s="60">
        <f t="shared" si="46"/>
        <v>0</v>
      </c>
      <c r="J84" s="54"/>
      <c r="K84" s="54"/>
      <c r="L84" s="60">
        <f t="shared" si="47"/>
        <v>0</v>
      </c>
      <c r="M84" s="54"/>
      <c r="N84" s="54"/>
      <c r="O84" s="60">
        <f t="shared" si="48"/>
        <v>0</v>
      </c>
      <c r="P84" s="54"/>
      <c r="Q84" s="54"/>
      <c r="R84" s="60">
        <f t="shared" si="49"/>
        <v>0</v>
      </c>
      <c r="S84" s="54"/>
      <c r="T84" s="54"/>
      <c r="U84" s="60">
        <f t="shared" si="50"/>
        <v>0</v>
      </c>
      <c r="V84" s="54"/>
      <c r="W84" s="54"/>
      <c r="X84" s="60">
        <f t="shared" si="51"/>
        <v>0</v>
      </c>
      <c r="Y84" s="54"/>
      <c r="Z84" s="54"/>
      <c r="AA84" s="60">
        <f t="shared" si="52"/>
        <v>0</v>
      </c>
      <c r="AB84" s="60">
        <f t="shared" si="53"/>
        <v>0</v>
      </c>
      <c r="AC84" s="72"/>
    </row>
    <row r="85" spans="1:29">
      <c r="A85" t="s">
        <v>67</v>
      </c>
      <c r="B85" s="31" t="s">
        <v>575</v>
      </c>
      <c r="C85" s="32" t="s">
        <v>553</v>
      </c>
      <c r="D85" s="33" t="s">
        <v>4</v>
      </c>
      <c r="E85" s="32"/>
      <c r="F85" s="49" t="s">
        <v>51</v>
      </c>
      <c r="G85" s="62">
        <f t="shared" ref="G85:O85" si="54">G86+G87</f>
        <v>0</v>
      </c>
      <c r="H85" s="62">
        <f t="shared" si="54"/>
        <v>0</v>
      </c>
      <c r="I85" s="61">
        <f t="shared" si="54"/>
        <v>0</v>
      </c>
      <c r="J85" s="62">
        <f t="shared" si="54"/>
        <v>0</v>
      </c>
      <c r="K85" s="62">
        <f t="shared" si="54"/>
        <v>0</v>
      </c>
      <c r="L85" s="61">
        <f t="shared" si="54"/>
        <v>0</v>
      </c>
      <c r="M85" s="62">
        <f t="shared" si="54"/>
        <v>0</v>
      </c>
      <c r="N85" s="62">
        <f t="shared" si="54"/>
        <v>0</v>
      </c>
      <c r="O85" s="61">
        <f t="shared" si="54"/>
        <v>0</v>
      </c>
      <c r="P85" s="62">
        <f>P86+P87</f>
        <v>0</v>
      </c>
      <c r="Q85" s="62">
        <f>Q86+Q87</f>
        <v>0</v>
      </c>
      <c r="R85" s="61">
        <f t="shared" ref="R85" si="55">R86+R87</f>
        <v>0</v>
      </c>
      <c r="S85" s="62">
        <f>S86+S87</f>
        <v>0</v>
      </c>
      <c r="T85" s="62">
        <f>T86+T87</f>
        <v>0</v>
      </c>
      <c r="U85" s="61">
        <f t="shared" ref="U85" si="56">U86+U87</f>
        <v>0</v>
      </c>
      <c r="V85" s="62">
        <f>V86+V87</f>
        <v>0</v>
      </c>
      <c r="W85" s="62">
        <f>W86+W87</f>
        <v>0</v>
      </c>
      <c r="X85" s="61">
        <f t="shared" ref="X85" si="57">X86+X87</f>
        <v>0</v>
      </c>
      <c r="Y85" s="62">
        <f>Y86+Y87</f>
        <v>0</v>
      </c>
      <c r="Z85" s="62">
        <f>Z86+Z87</f>
        <v>0</v>
      </c>
      <c r="AA85" s="61">
        <f t="shared" ref="AA85:AB85" si="58">AA86+AA87</f>
        <v>0</v>
      </c>
      <c r="AB85" s="61">
        <f t="shared" si="58"/>
        <v>0</v>
      </c>
      <c r="AC85" s="72"/>
    </row>
    <row r="86" spans="1:29">
      <c r="A86" t="s">
        <v>67</v>
      </c>
      <c r="B86" s="31" t="s">
        <v>575</v>
      </c>
      <c r="C86" s="32" t="s">
        <v>554</v>
      </c>
      <c r="D86" s="33" t="s">
        <v>4</v>
      </c>
      <c r="E86" s="32"/>
      <c r="F86" s="49" t="s">
        <v>52</v>
      </c>
      <c r="G86" s="54"/>
      <c r="H86" s="54"/>
      <c r="I86" s="60">
        <f t="shared" ref="I86:I87" si="59">SUM(G86:H86)</f>
        <v>0</v>
      </c>
      <c r="J86" s="54"/>
      <c r="K86" s="54"/>
      <c r="L86" s="60">
        <f t="shared" ref="L86:L87" si="60">SUM(J86:K86)</f>
        <v>0</v>
      </c>
      <c r="M86" s="54"/>
      <c r="N86" s="54"/>
      <c r="O86" s="60">
        <f t="shared" ref="O86:O87" si="61">SUM(M86:N86)</f>
        <v>0</v>
      </c>
      <c r="P86" s="54"/>
      <c r="Q86" s="54"/>
      <c r="R86" s="60">
        <f t="shared" ref="R86:R87" si="62">SUM(P86:Q86)</f>
        <v>0</v>
      </c>
      <c r="S86" s="54"/>
      <c r="T86" s="54"/>
      <c r="U86" s="60">
        <f t="shared" ref="U86:U87" si="63">SUM(S86:T86)</f>
        <v>0</v>
      </c>
      <c r="V86" s="54"/>
      <c r="W86" s="54"/>
      <c r="X86" s="60">
        <f t="shared" ref="X86:X87" si="64">SUM(V86:W86)</f>
        <v>0</v>
      </c>
      <c r="Y86" s="54"/>
      <c r="Z86" s="54"/>
      <c r="AA86" s="60">
        <f t="shared" ref="AA86:AA87" si="65">SUM(Y86:Z86)</f>
        <v>0</v>
      </c>
      <c r="AB86" s="60">
        <f t="shared" ref="AB86:AB87" si="66">I86+L86+O86+R86+U86+X86+AA86</f>
        <v>0</v>
      </c>
      <c r="AC86" s="72"/>
    </row>
    <row r="87" spans="1:29">
      <c r="A87" t="s">
        <v>67</v>
      </c>
      <c r="B87" s="31" t="s">
        <v>575</v>
      </c>
      <c r="C87" s="32" t="s">
        <v>555</v>
      </c>
      <c r="D87" s="33" t="s">
        <v>4</v>
      </c>
      <c r="E87" s="32"/>
      <c r="F87" s="49" t="s">
        <v>53</v>
      </c>
      <c r="G87" s="54"/>
      <c r="H87" s="54"/>
      <c r="I87" s="60">
        <f t="shared" si="59"/>
        <v>0</v>
      </c>
      <c r="J87" s="54"/>
      <c r="K87" s="54"/>
      <c r="L87" s="60">
        <f t="shared" si="60"/>
        <v>0</v>
      </c>
      <c r="M87" s="54"/>
      <c r="N87" s="54"/>
      <c r="O87" s="60">
        <f t="shared" si="61"/>
        <v>0</v>
      </c>
      <c r="P87" s="54"/>
      <c r="Q87" s="54"/>
      <c r="R87" s="60">
        <f t="shared" si="62"/>
        <v>0</v>
      </c>
      <c r="S87" s="54"/>
      <c r="T87" s="54"/>
      <c r="U87" s="60">
        <f t="shared" si="63"/>
        <v>0</v>
      </c>
      <c r="V87" s="54"/>
      <c r="W87" s="54"/>
      <c r="X87" s="60">
        <f t="shared" si="64"/>
        <v>0</v>
      </c>
      <c r="Y87" s="54"/>
      <c r="Z87" s="54"/>
      <c r="AA87" s="60">
        <f t="shared" si="65"/>
        <v>0</v>
      </c>
      <c r="AB87" s="60">
        <f t="shared" si="66"/>
        <v>0</v>
      </c>
      <c r="AC87" s="72"/>
    </row>
    <row r="88" spans="1:29">
      <c r="B88" s="90" t="s">
        <v>575</v>
      </c>
      <c r="C88" s="87" t="s">
        <v>591</v>
      </c>
      <c r="D88" s="91" t="s">
        <v>66</v>
      </c>
      <c r="E88" s="87" t="s">
        <v>0</v>
      </c>
      <c r="F88" s="89" t="s">
        <v>593</v>
      </c>
      <c r="G88" s="71"/>
      <c r="H88" s="71"/>
      <c r="I88" s="71"/>
      <c r="J88" s="71"/>
      <c r="K88" s="71"/>
      <c r="L88" s="71"/>
      <c r="M88" s="71"/>
      <c r="N88" s="71"/>
      <c r="O88" s="71"/>
      <c r="P88" s="71"/>
      <c r="Q88" s="71"/>
      <c r="R88" s="71"/>
      <c r="S88" s="71"/>
      <c r="T88" s="71"/>
      <c r="U88" s="71"/>
      <c r="V88" s="71"/>
      <c r="W88" s="71"/>
      <c r="X88" s="71"/>
      <c r="Y88" s="71"/>
      <c r="Z88" s="71"/>
      <c r="AA88" s="76"/>
      <c r="AB88" s="79"/>
      <c r="AC88" s="79"/>
    </row>
    <row r="89" spans="1:29" ht="22.5">
      <c r="A89" t="s">
        <v>67</v>
      </c>
      <c r="B89" s="31" t="s">
        <v>575</v>
      </c>
      <c r="C89" s="32" t="s">
        <v>540</v>
      </c>
      <c r="D89" s="33" t="s">
        <v>4</v>
      </c>
      <c r="E89" s="32"/>
      <c r="F89" s="49" t="s">
        <v>54</v>
      </c>
      <c r="G89" s="54"/>
      <c r="H89" s="54"/>
      <c r="I89" s="60">
        <f t="shared" ref="I89:I90" si="67">SUM(G89:H89)</f>
        <v>0</v>
      </c>
      <c r="J89" s="54"/>
      <c r="K89" s="54"/>
      <c r="L89" s="60">
        <f t="shared" ref="L89:L90" si="68">SUM(J89:K89)</f>
        <v>0</v>
      </c>
      <c r="M89" s="54"/>
      <c r="N89" s="54"/>
      <c r="O89" s="60">
        <f t="shared" ref="O89:O90" si="69">SUM(M89:N89)</f>
        <v>0</v>
      </c>
      <c r="P89" s="54"/>
      <c r="Q89" s="54"/>
      <c r="R89" s="60">
        <f t="shared" ref="R89:R90" si="70">SUM(P89:Q89)</f>
        <v>0</v>
      </c>
      <c r="S89" s="54"/>
      <c r="T89" s="54"/>
      <c r="U89" s="60">
        <f t="shared" ref="U89:U90" si="71">SUM(S89:T89)</f>
        <v>0</v>
      </c>
      <c r="V89" s="54"/>
      <c r="W89" s="54"/>
      <c r="X89" s="60">
        <f t="shared" ref="X89:X90" si="72">SUM(V89:W89)</f>
        <v>0</v>
      </c>
      <c r="Y89" s="54"/>
      <c r="Z89" s="54"/>
      <c r="AA89" s="60">
        <f t="shared" ref="AA89:AA90" si="73">SUM(Y89:Z89)</f>
        <v>0</v>
      </c>
      <c r="AB89" s="60">
        <f t="shared" ref="AB89:AB90" si="74">I89+L89+O89+R89+U89+X89+AA89</f>
        <v>0</v>
      </c>
      <c r="AC89" s="35"/>
    </row>
    <row r="90" spans="1:29" ht="22.5">
      <c r="A90" t="s">
        <v>67</v>
      </c>
      <c r="B90" s="31" t="s">
        <v>575</v>
      </c>
      <c r="C90" s="32" t="s">
        <v>541</v>
      </c>
      <c r="D90" s="33" t="s">
        <v>4</v>
      </c>
      <c r="E90" s="32"/>
      <c r="F90" s="49" t="s">
        <v>55</v>
      </c>
      <c r="G90" s="54"/>
      <c r="H90" s="54"/>
      <c r="I90" s="60">
        <f t="shared" si="67"/>
        <v>0</v>
      </c>
      <c r="J90" s="54"/>
      <c r="K90" s="54"/>
      <c r="L90" s="60">
        <f t="shared" si="68"/>
        <v>0</v>
      </c>
      <c r="M90" s="54"/>
      <c r="N90" s="54"/>
      <c r="O90" s="60">
        <f t="shared" si="69"/>
        <v>0</v>
      </c>
      <c r="P90" s="54"/>
      <c r="Q90" s="54"/>
      <c r="R90" s="60">
        <f t="shared" si="70"/>
        <v>0</v>
      </c>
      <c r="S90" s="54"/>
      <c r="T90" s="54"/>
      <c r="U90" s="60">
        <f t="shared" si="71"/>
        <v>0</v>
      </c>
      <c r="V90" s="54"/>
      <c r="W90" s="54"/>
      <c r="X90" s="60">
        <f t="shared" si="72"/>
        <v>0</v>
      </c>
      <c r="Y90" s="54"/>
      <c r="Z90" s="54"/>
      <c r="AA90" s="60">
        <f t="shared" si="73"/>
        <v>0</v>
      </c>
      <c r="AB90" s="60">
        <f t="shared" si="74"/>
        <v>0</v>
      </c>
      <c r="AC90" s="35"/>
    </row>
    <row r="91" spans="1:29" ht="22.5">
      <c r="B91" s="31" t="s">
        <v>575</v>
      </c>
      <c r="C91" s="32" t="s">
        <v>542</v>
      </c>
      <c r="D91" s="33" t="s">
        <v>66</v>
      </c>
      <c r="E91" s="32"/>
      <c r="F91" s="49" t="s">
        <v>56</v>
      </c>
      <c r="G91" s="67"/>
      <c r="H91" s="67"/>
      <c r="I91" s="69"/>
      <c r="J91" s="67"/>
      <c r="K91" s="67"/>
      <c r="L91" s="68"/>
      <c r="M91" s="67"/>
      <c r="N91" s="67"/>
      <c r="O91" s="68"/>
      <c r="P91" s="67"/>
      <c r="Q91" s="67"/>
      <c r="R91" s="68"/>
      <c r="S91" s="67"/>
      <c r="T91" s="67"/>
      <c r="U91" s="68"/>
      <c r="V91" s="67"/>
      <c r="W91" s="67"/>
      <c r="X91" s="68"/>
      <c r="Y91" s="67"/>
      <c r="Z91" s="67"/>
      <c r="AA91" s="68"/>
      <c r="AB91" s="68"/>
      <c r="AC91" s="68"/>
    </row>
    <row r="92" spans="1:29" ht="22.5" customHeight="1">
      <c r="B92" s="31" t="s">
        <v>575</v>
      </c>
      <c r="C92" s="32" t="s">
        <v>543</v>
      </c>
      <c r="D92" s="33" t="s">
        <v>66</v>
      </c>
      <c r="E92" s="32"/>
      <c r="F92" s="49" t="s">
        <v>57</v>
      </c>
      <c r="G92" s="67"/>
      <c r="H92" s="67"/>
      <c r="I92" s="69"/>
      <c r="J92" s="67"/>
      <c r="K92" s="67"/>
      <c r="L92" s="68"/>
      <c r="M92" s="67"/>
      <c r="N92" s="67"/>
      <c r="O92" s="68"/>
      <c r="P92" s="67"/>
      <c r="Q92" s="67"/>
      <c r="R92" s="68"/>
      <c r="S92" s="67"/>
      <c r="T92" s="67"/>
      <c r="U92" s="68"/>
      <c r="V92" s="67"/>
      <c r="W92" s="67"/>
      <c r="X92" s="68"/>
      <c r="Y92" s="67"/>
      <c r="Z92" s="67"/>
      <c r="AA92" s="68"/>
      <c r="AB92" s="68"/>
      <c r="AC92" s="68"/>
    </row>
    <row r="93" spans="1:29" ht="22.5">
      <c r="A93" t="s">
        <v>67</v>
      </c>
      <c r="B93" s="31" t="s">
        <v>575</v>
      </c>
      <c r="C93" s="32" t="s">
        <v>544</v>
      </c>
      <c r="D93" s="33" t="s">
        <v>4</v>
      </c>
      <c r="E93" s="32"/>
      <c r="F93" s="49" t="s">
        <v>58</v>
      </c>
      <c r="G93" s="54"/>
      <c r="H93" s="54"/>
      <c r="I93" s="60">
        <f t="shared" ref="I93:I94" si="75">SUM(G93:H93)</f>
        <v>0</v>
      </c>
      <c r="J93" s="54"/>
      <c r="K93" s="54"/>
      <c r="L93" s="60">
        <f t="shared" ref="L93:L94" si="76">SUM(J93:K93)</f>
        <v>0</v>
      </c>
      <c r="M93" s="54"/>
      <c r="N93" s="54"/>
      <c r="O93" s="60">
        <f t="shared" ref="O93:O94" si="77">SUM(M93:N93)</f>
        <v>0</v>
      </c>
      <c r="P93" s="54"/>
      <c r="Q93" s="54"/>
      <c r="R93" s="60">
        <f t="shared" ref="R93:R94" si="78">SUM(P93:Q93)</f>
        <v>0</v>
      </c>
      <c r="S93" s="54"/>
      <c r="T93" s="54"/>
      <c r="U93" s="60">
        <f t="shared" ref="U93:U94" si="79">SUM(S93:T93)</f>
        <v>0</v>
      </c>
      <c r="V93" s="54"/>
      <c r="W93" s="54"/>
      <c r="X93" s="60">
        <f t="shared" ref="X93:X94" si="80">SUM(V93:W93)</f>
        <v>0</v>
      </c>
      <c r="Y93" s="54"/>
      <c r="Z93" s="54"/>
      <c r="AA93" s="60">
        <f t="shared" ref="AA93:AA94" si="81">SUM(Y93:Z93)</f>
        <v>0</v>
      </c>
      <c r="AB93" s="60">
        <f t="shared" ref="AB93:AB94" si="82">I93+L93+O93+R93+U93+X93+AA93</f>
        <v>0</v>
      </c>
      <c r="AC93" s="35"/>
    </row>
    <row r="94" spans="1:29" ht="22.5">
      <c r="B94" s="31" t="s">
        <v>575</v>
      </c>
      <c r="C94" s="32" t="s">
        <v>545</v>
      </c>
      <c r="D94" s="33" t="s">
        <v>66</v>
      </c>
      <c r="E94" s="32"/>
      <c r="F94" s="49" t="s">
        <v>59</v>
      </c>
      <c r="G94" s="54"/>
      <c r="H94" s="54"/>
      <c r="I94" s="60">
        <f t="shared" si="75"/>
        <v>0</v>
      </c>
      <c r="J94" s="54"/>
      <c r="K94" s="54"/>
      <c r="L94" s="60">
        <f t="shared" si="76"/>
        <v>0</v>
      </c>
      <c r="M94" s="54"/>
      <c r="N94" s="54"/>
      <c r="O94" s="60">
        <f t="shared" si="77"/>
        <v>0</v>
      </c>
      <c r="P94" s="54"/>
      <c r="Q94" s="54"/>
      <c r="R94" s="60">
        <f t="shared" si="78"/>
        <v>0</v>
      </c>
      <c r="S94" s="54"/>
      <c r="T94" s="54"/>
      <c r="U94" s="60">
        <f t="shared" si="79"/>
        <v>0</v>
      </c>
      <c r="V94" s="54"/>
      <c r="W94" s="54"/>
      <c r="X94" s="60">
        <f t="shared" si="80"/>
        <v>0</v>
      </c>
      <c r="Y94" s="54"/>
      <c r="Z94" s="54"/>
      <c r="AA94" s="60">
        <f t="shared" si="81"/>
        <v>0</v>
      </c>
      <c r="AB94" s="60">
        <f t="shared" si="82"/>
        <v>0</v>
      </c>
      <c r="AC94" s="35"/>
    </row>
    <row r="95" spans="1:29">
      <c r="B95" s="41"/>
      <c r="C95" s="42"/>
      <c r="D95" s="42"/>
      <c r="E95" s="42"/>
      <c r="F95" s="50"/>
      <c r="G95" s="53"/>
      <c r="H95" s="53"/>
      <c r="I95" s="43"/>
      <c r="J95" s="53"/>
      <c r="K95" s="53"/>
      <c r="L95" s="43"/>
      <c r="M95" s="53"/>
      <c r="N95" s="53"/>
      <c r="O95" s="43"/>
      <c r="P95" s="53"/>
      <c r="Q95" s="53"/>
      <c r="R95" s="43"/>
      <c r="S95" s="53"/>
      <c r="T95" s="53"/>
      <c r="U95" s="43"/>
      <c r="V95" s="53"/>
      <c r="W95" s="53"/>
      <c r="X95" s="43"/>
      <c r="Y95" s="53"/>
      <c r="Z95" s="53"/>
      <c r="AA95" s="43"/>
      <c r="AB95" s="43"/>
      <c r="AC95" s="43"/>
    </row>
  </sheetData>
  <conditionalFormatting sqref="AC36:AC41 AC82:AC87">
    <cfRule type="expression" dxfId="0" priority="30">
      <formula>OR(IF(NOT(ISERR(FIND("ERR",#REF!)))=TRUE,TRUE,FALSE),)</formula>
    </cfRule>
  </conditionalFormatting>
  <pageMargins left="0.7" right="0.7" top="0.75" bottom="0.75" header="0.3" footer="0.3"/>
  <pageSetup orientation="portrait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Hoja1!$A$1:$A$249</xm:f>
          </x14:formula1>
          <xm:sqref>G10:AC10 G56:AC56</xm:sqref>
        </x14:dataValidation>
        <x14:dataValidation type="list" allowBlank="1" showInputMessage="1" showErrorMessage="1">
          <x14:formula1>
            <xm:f>Hoja1!$B$1:$B$179</xm:f>
          </x14:formula1>
          <xm:sqref>G42:AC42 G88:AC88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3">
    <tabColor theme="2" tint="-0.249977111117893"/>
  </sheetPr>
  <dimension ref="A1:I15"/>
  <sheetViews>
    <sheetView topLeftCell="A4" zoomScale="80" zoomScaleNormal="80" workbookViewId="0">
      <selection activeCell="I14" sqref="I14"/>
    </sheetView>
  </sheetViews>
  <sheetFormatPr baseColWidth="10" defaultRowHeight="15"/>
  <cols>
    <col min="1" max="1" width="2.7109375" customWidth="1"/>
    <col min="2" max="2" width="3.28515625" customWidth="1"/>
    <col min="3" max="3" width="2.7109375" customWidth="1"/>
    <col min="4" max="4" width="5.42578125" customWidth="1"/>
    <col min="5" max="5" width="2.7109375" customWidth="1"/>
    <col min="6" max="6" width="90.7109375" customWidth="1"/>
    <col min="9" max="9" width="12.42578125" customWidth="1"/>
  </cols>
  <sheetData>
    <row r="1" spans="1:9" ht="54.95" customHeight="1" thickBot="1"/>
    <row r="2" spans="1:9" ht="177" customHeight="1" thickBot="1">
      <c r="F2" s="44" t="s">
        <v>2</v>
      </c>
    </row>
    <row r="3" spans="1:9" ht="16.5" thickBot="1">
      <c r="F3" s="45" t="s">
        <v>3</v>
      </c>
    </row>
    <row r="4" spans="1:9" ht="96.75" customHeight="1">
      <c r="A4" s="16" t="s">
        <v>556</v>
      </c>
      <c r="B4" s="17"/>
      <c r="C4" s="18"/>
      <c r="D4" s="18"/>
      <c r="E4" s="19"/>
      <c r="F4" s="20" t="s">
        <v>72</v>
      </c>
      <c r="G4" s="21" t="s">
        <v>1</v>
      </c>
      <c r="H4" s="21" t="s">
        <v>1</v>
      </c>
      <c r="I4" s="22" t="s">
        <v>71</v>
      </c>
    </row>
    <row r="5" spans="1:9" ht="121.5" customHeight="1">
      <c r="A5" s="23" t="s">
        <v>557</v>
      </c>
      <c r="B5" s="24"/>
      <c r="C5" s="25"/>
      <c r="D5" s="26" t="s">
        <v>561</v>
      </c>
      <c r="E5" s="27" t="s">
        <v>560</v>
      </c>
      <c r="F5" s="28"/>
      <c r="G5" s="36" t="str">
        <f>SUBSTITUTE(CONCATENATE("IAS24-InfoInfoIncu_",TRIM(G4),"_",COLUMN(G5),"|",G4)," ","")</f>
        <v>IAS24-InfoInfoIncu_Agregarcolumnaopcional_7|Agregarcolumnaopcional</v>
      </c>
      <c r="H5" s="36" t="str">
        <f>SUBSTITUTE(CONCATENATE("IAS24-InfoInfoIncu_",TRIM(H4),"_",COLUMN(H5),"|",H4)," ","")</f>
        <v>IAS24-InfoInfoIncu_Agregarcolumnaopcional_8|Agregarcolumnaopcional</v>
      </c>
      <c r="I5" s="29" t="s">
        <v>546</v>
      </c>
    </row>
    <row r="6" spans="1:9">
      <c r="A6" s="30"/>
      <c r="B6" s="37"/>
      <c r="C6" s="38"/>
      <c r="D6" s="39"/>
      <c r="E6" s="40"/>
      <c r="F6" s="46"/>
      <c r="G6" s="51"/>
      <c r="H6" s="51"/>
      <c r="I6" s="63"/>
    </row>
    <row r="7" spans="1:9">
      <c r="A7" s="30"/>
      <c r="B7" s="31"/>
      <c r="C7" s="32"/>
      <c r="D7" s="33"/>
      <c r="E7" s="34"/>
      <c r="F7" s="47" t="s">
        <v>70</v>
      </c>
      <c r="G7" s="52"/>
      <c r="H7" s="52"/>
      <c r="I7" s="64"/>
    </row>
    <row r="8" spans="1:9" ht="22.5">
      <c r="A8" s="30"/>
      <c r="B8" s="31" t="s">
        <v>575</v>
      </c>
      <c r="C8" s="55" t="s">
        <v>547</v>
      </c>
      <c r="D8" s="33" t="s">
        <v>4</v>
      </c>
      <c r="E8" s="32" t="s">
        <v>0</v>
      </c>
      <c r="F8" s="49" t="s">
        <v>594</v>
      </c>
      <c r="G8" s="54">
        <v>1000</v>
      </c>
      <c r="H8" s="54"/>
      <c r="I8" s="54">
        <v>1000</v>
      </c>
    </row>
    <row r="9" spans="1:9">
      <c r="B9" s="41"/>
      <c r="C9" s="42"/>
      <c r="D9" s="42"/>
      <c r="E9" s="42"/>
      <c r="F9" s="50"/>
      <c r="G9" s="53"/>
      <c r="H9" s="53"/>
      <c r="I9" s="66"/>
    </row>
    <row r="10" spans="1:9" ht="15.75" thickBot="1"/>
    <row r="11" spans="1:9" ht="96.75" customHeight="1">
      <c r="A11" s="16"/>
      <c r="B11" s="17"/>
      <c r="C11" s="18"/>
      <c r="D11" s="18"/>
      <c r="E11" s="19"/>
      <c r="F11" s="20" t="s">
        <v>72</v>
      </c>
      <c r="G11" s="58" t="str">
        <f>G4</f>
        <v>Agregar columna opcional</v>
      </c>
      <c r="H11" s="58" t="str">
        <f>H4</f>
        <v>Agregar columna opcional</v>
      </c>
      <c r="I11" s="22" t="s">
        <v>19</v>
      </c>
    </row>
    <row r="12" spans="1:9">
      <c r="A12" s="30"/>
      <c r="B12" s="37"/>
      <c r="C12" s="38"/>
      <c r="D12" s="39"/>
      <c r="E12" s="40"/>
      <c r="F12" s="46"/>
      <c r="G12" s="51"/>
      <c r="H12" s="51"/>
      <c r="I12" s="40"/>
    </row>
    <row r="13" spans="1:9">
      <c r="A13" s="30"/>
      <c r="B13" s="31"/>
      <c r="C13" s="32"/>
      <c r="D13" s="33"/>
      <c r="E13" s="34"/>
      <c r="F13" s="47" t="s">
        <v>70</v>
      </c>
      <c r="G13" s="52"/>
      <c r="H13" s="52"/>
      <c r="I13" s="32"/>
    </row>
    <row r="14" spans="1:9" ht="22.5">
      <c r="A14" s="30"/>
      <c r="B14" s="31" t="s">
        <v>575</v>
      </c>
      <c r="C14" s="55" t="s">
        <v>547</v>
      </c>
      <c r="D14" s="33" t="s">
        <v>66</v>
      </c>
      <c r="E14" s="32"/>
      <c r="F14" s="49" t="s">
        <v>594</v>
      </c>
      <c r="G14" s="54">
        <v>1000</v>
      </c>
      <c r="H14" s="54"/>
      <c r="I14" s="54">
        <v>1000</v>
      </c>
    </row>
    <row r="15" spans="1:9">
      <c r="B15" s="41"/>
      <c r="C15" s="42"/>
      <c r="D15" s="42"/>
      <c r="E15" s="42"/>
      <c r="F15" s="50"/>
      <c r="G15" s="53"/>
      <c r="H15" s="53"/>
      <c r="I15" s="43"/>
    </row>
  </sheetData>
  <pageMargins left="0.7" right="0.7" top="0.75" bottom="0.75" header="0.3" footer="0.3"/>
  <drawing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B249"/>
  <sheetViews>
    <sheetView topLeftCell="A150" workbookViewId="0">
      <selection activeCell="D179" sqref="D179"/>
    </sheetView>
  </sheetViews>
  <sheetFormatPr baseColWidth="10" defaultRowHeight="15"/>
  <cols>
    <col min="1" max="1" width="46.7109375" bestFit="1" customWidth="1"/>
  </cols>
  <sheetData>
    <row r="1" spans="1:2">
      <c r="A1" t="s">
        <v>73</v>
      </c>
      <c r="B1" t="s">
        <v>316</v>
      </c>
    </row>
    <row r="2" spans="1:2">
      <c r="A2" t="s">
        <v>300</v>
      </c>
      <c r="B2" t="s">
        <v>317</v>
      </c>
    </row>
    <row r="3" spans="1:2">
      <c r="A3" t="s">
        <v>74</v>
      </c>
      <c r="B3" t="s">
        <v>318</v>
      </c>
    </row>
    <row r="4" spans="1:2">
      <c r="A4" t="s">
        <v>75</v>
      </c>
      <c r="B4" t="s">
        <v>460</v>
      </c>
    </row>
    <row r="5" spans="1:2">
      <c r="A5" t="s">
        <v>76</v>
      </c>
      <c r="B5" t="s">
        <v>319</v>
      </c>
    </row>
    <row r="6" spans="1:2">
      <c r="A6" t="s">
        <v>77</v>
      </c>
      <c r="B6" t="s">
        <v>320</v>
      </c>
    </row>
    <row r="7" spans="1:2">
      <c r="A7" t="s">
        <v>78</v>
      </c>
      <c r="B7" t="s">
        <v>321</v>
      </c>
    </row>
    <row r="8" spans="1:2">
      <c r="A8" t="s">
        <v>79</v>
      </c>
      <c r="B8" t="s">
        <v>322</v>
      </c>
    </row>
    <row r="9" spans="1:2">
      <c r="A9" t="s">
        <v>80</v>
      </c>
      <c r="B9" t="s">
        <v>323</v>
      </c>
    </row>
    <row r="10" spans="1:2">
      <c r="A10" t="s">
        <v>81</v>
      </c>
      <c r="B10" t="s">
        <v>324</v>
      </c>
    </row>
    <row r="11" spans="1:2">
      <c r="A11" t="s">
        <v>82</v>
      </c>
      <c r="B11" t="s">
        <v>325</v>
      </c>
    </row>
    <row r="12" spans="1:2">
      <c r="A12" t="s">
        <v>83</v>
      </c>
      <c r="B12" t="s">
        <v>326</v>
      </c>
    </row>
    <row r="13" spans="1:2">
      <c r="A13" t="s">
        <v>84</v>
      </c>
      <c r="B13" t="s">
        <v>327</v>
      </c>
    </row>
    <row r="14" spans="1:2">
      <c r="A14" t="s">
        <v>85</v>
      </c>
      <c r="B14" t="s">
        <v>328</v>
      </c>
    </row>
    <row r="15" spans="1:2">
      <c r="A15" t="s">
        <v>86</v>
      </c>
      <c r="B15" t="s">
        <v>329</v>
      </c>
    </row>
    <row r="16" spans="1:2">
      <c r="A16" t="s">
        <v>87</v>
      </c>
      <c r="B16" t="s">
        <v>330</v>
      </c>
    </row>
    <row r="17" spans="1:2">
      <c r="A17" t="s">
        <v>563</v>
      </c>
      <c r="B17" t="s">
        <v>331</v>
      </c>
    </row>
    <row r="18" spans="1:2">
      <c r="A18" t="s">
        <v>88</v>
      </c>
      <c r="B18" t="s">
        <v>332</v>
      </c>
    </row>
    <row r="19" spans="1:2">
      <c r="A19" t="s">
        <v>89</v>
      </c>
      <c r="B19" t="s">
        <v>333</v>
      </c>
    </row>
    <row r="20" spans="1:2">
      <c r="A20" t="s">
        <v>90</v>
      </c>
      <c r="B20" t="s">
        <v>334</v>
      </c>
    </row>
    <row r="21" spans="1:2">
      <c r="A21" t="s">
        <v>91</v>
      </c>
      <c r="B21" t="s">
        <v>335</v>
      </c>
    </row>
    <row r="22" spans="1:2">
      <c r="A22" t="s">
        <v>92</v>
      </c>
      <c r="B22" t="s">
        <v>336</v>
      </c>
    </row>
    <row r="23" spans="1:2">
      <c r="A23" t="s">
        <v>93</v>
      </c>
      <c r="B23" t="s">
        <v>337</v>
      </c>
    </row>
    <row r="24" spans="1:2">
      <c r="A24" t="s">
        <v>94</v>
      </c>
      <c r="B24" t="s">
        <v>338</v>
      </c>
    </row>
    <row r="25" spans="1:2">
      <c r="A25" t="s">
        <v>95</v>
      </c>
      <c r="B25" t="s">
        <v>339</v>
      </c>
    </row>
    <row r="26" spans="1:2">
      <c r="A26" t="s">
        <v>96</v>
      </c>
      <c r="B26" t="s">
        <v>340</v>
      </c>
    </row>
    <row r="27" spans="1:2">
      <c r="A27" t="s">
        <v>97</v>
      </c>
      <c r="B27" t="s">
        <v>341</v>
      </c>
    </row>
    <row r="28" spans="1:2">
      <c r="A28" t="s">
        <v>564</v>
      </c>
      <c r="B28" t="s">
        <v>342</v>
      </c>
    </row>
    <row r="29" spans="1:2">
      <c r="A29" t="s">
        <v>98</v>
      </c>
      <c r="B29" t="s">
        <v>343</v>
      </c>
    </row>
    <row r="30" spans="1:2">
      <c r="A30" t="s">
        <v>99</v>
      </c>
      <c r="B30" t="s">
        <v>344</v>
      </c>
    </row>
    <row r="31" spans="1:2">
      <c r="A31" t="s">
        <v>100</v>
      </c>
      <c r="B31" t="s">
        <v>345</v>
      </c>
    </row>
    <row r="32" spans="1:2">
      <c r="A32" t="s">
        <v>101</v>
      </c>
      <c r="B32" t="s">
        <v>346</v>
      </c>
    </row>
    <row r="33" spans="1:2">
      <c r="A33" t="s">
        <v>102</v>
      </c>
      <c r="B33" t="s">
        <v>347</v>
      </c>
    </row>
    <row r="34" spans="1:2">
      <c r="A34" t="s">
        <v>103</v>
      </c>
      <c r="B34" t="s">
        <v>348</v>
      </c>
    </row>
    <row r="35" spans="1:2">
      <c r="A35" t="s">
        <v>104</v>
      </c>
      <c r="B35" t="s">
        <v>349</v>
      </c>
    </row>
    <row r="36" spans="1:2">
      <c r="A36" t="s">
        <v>105</v>
      </c>
      <c r="B36" t="s">
        <v>350</v>
      </c>
    </row>
    <row r="37" spans="1:2">
      <c r="A37" t="s">
        <v>106</v>
      </c>
      <c r="B37" t="s">
        <v>351</v>
      </c>
    </row>
    <row r="38" spans="1:2">
      <c r="A38" t="s">
        <v>107</v>
      </c>
      <c r="B38" t="s">
        <v>352</v>
      </c>
    </row>
    <row r="39" spans="1:2">
      <c r="A39" t="s">
        <v>108</v>
      </c>
      <c r="B39" t="s">
        <v>353</v>
      </c>
    </row>
    <row r="40" spans="1:2">
      <c r="A40" t="s">
        <v>109</v>
      </c>
      <c r="B40" t="s">
        <v>354</v>
      </c>
    </row>
    <row r="41" spans="1:2">
      <c r="A41" t="s">
        <v>110</v>
      </c>
      <c r="B41" t="s">
        <v>355</v>
      </c>
    </row>
    <row r="42" spans="1:2">
      <c r="A42" t="s">
        <v>111</v>
      </c>
      <c r="B42" t="s">
        <v>356</v>
      </c>
    </row>
    <row r="43" spans="1:2">
      <c r="A43" t="s">
        <v>112</v>
      </c>
      <c r="B43" t="s">
        <v>357</v>
      </c>
    </row>
    <row r="44" spans="1:2">
      <c r="A44" t="s">
        <v>113</v>
      </c>
      <c r="B44" t="s">
        <v>358</v>
      </c>
    </row>
    <row r="45" spans="1:2">
      <c r="A45" t="s">
        <v>114</v>
      </c>
      <c r="B45" t="s">
        <v>359</v>
      </c>
    </row>
    <row r="46" spans="1:2">
      <c r="A46" t="s">
        <v>565</v>
      </c>
      <c r="B46" t="s">
        <v>360</v>
      </c>
    </row>
    <row r="47" spans="1:2">
      <c r="A47" t="s">
        <v>115</v>
      </c>
      <c r="B47" t="s">
        <v>361</v>
      </c>
    </row>
    <row r="48" spans="1:2">
      <c r="A48" t="s">
        <v>116</v>
      </c>
      <c r="B48" t="s">
        <v>362</v>
      </c>
    </row>
    <row r="49" spans="1:2">
      <c r="A49" t="s">
        <v>117</v>
      </c>
      <c r="B49" t="s">
        <v>363</v>
      </c>
    </row>
    <row r="50" spans="1:2">
      <c r="A50" t="s">
        <v>118</v>
      </c>
      <c r="B50" t="s">
        <v>364</v>
      </c>
    </row>
    <row r="51" spans="1:2">
      <c r="A51" t="s">
        <v>120</v>
      </c>
      <c r="B51" t="s">
        <v>365</v>
      </c>
    </row>
    <row r="52" spans="1:2">
      <c r="A52" t="s">
        <v>121</v>
      </c>
      <c r="B52" t="s">
        <v>366</v>
      </c>
    </row>
    <row r="53" spans="1:2">
      <c r="A53" t="s">
        <v>119</v>
      </c>
      <c r="B53" t="s">
        <v>367</v>
      </c>
    </row>
    <row r="54" spans="1:2">
      <c r="A54" t="s">
        <v>566</v>
      </c>
      <c r="B54" t="s">
        <v>368</v>
      </c>
    </row>
    <row r="55" spans="1:2">
      <c r="A55" t="s">
        <v>122</v>
      </c>
      <c r="B55" t="s">
        <v>369</v>
      </c>
    </row>
    <row r="56" spans="1:2">
      <c r="A56" t="s">
        <v>123</v>
      </c>
      <c r="B56" t="s">
        <v>370</v>
      </c>
    </row>
    <row r="57" spans="1:2">
      <c r="A57" t="s">
        <v>124</v>
      </c>
      <c r="B57" t="s">
        <v>371</v>
      </c>
    </row>
    <row r="58" spans="1:2">
      <c r="A58" t="s">
        <v>125</v>
      </c>
      <c r="B58" t="s">
        <v>372</v>
      </c>
    </row>
    <row r="59" spans="1:2">
      <c r="A59" t="s">
        <v>126</v>
      </c>
      <c r="B59" t="s">
        <v>373</v>
      </c>
    </row>
    <row r="60" spans="1:2">
      <c r="A60" t="s">
        <v>127</v>
      </c>
      <c r="B60" t="s">
        <v>374</v>
      </c>
    </row>
    <row r="61" spans="1:2">
      <c r="A61" t="s">
        <v>128</v>
      </c>
      <c r="B61" t="s">
        <v>584</v>
      </c>
    </row>
    <row r="62" spans="1:2">
      <c r="A62" t="s">
        <v>129</v>
      </c>
      <c r="B62" t="s">
        <v>375</v>
      </c>
    </row>
    <row r="63" spans="1:2">
      <c r="A63" t="s">
        <v>130</v>
      </c>
      <c r="B63" t="s">
        <v>376</v>
      </c>
    </row>
    <row r="64" spans="1:2">
      <c r="A64" t="s">
        <v>131</v>
      </c>
      <c r="B64" t="s">
        <v>585</v>
      </c>
    </row>
    <row r="65" spans="1:2">
      <c r="A65" t="s">
        <v>132</v>
      </c>
      <c r="B65" t="s">
        <v>377</v>
      </c>
    </row>
    <row r="66" spans="1:2">
      <c r="A66" t="s">
        <v>133</v>
      </c>
      <c r="B66" t="s">
        <v>378</v>
      </c>
    </row>
    <row r="67" spans="1:2">
      <c r="A67" t="s">
        <v>134</v>
      </c>
      <c r="B67" t="s">
        <v>379</v>
      </c>
    </row>
    <row r="68" spans="1:2">
      <c r="A68" t="s">
        <v>135</v>
      </c>
      <c r="B68" t="s">
        <v>380</v>
      </c>
    </row>
    <row r="69" spans="1:2">
      <c r="A69" t="s">
        <v>136</v>
      </c>
      <c r="B69" t="s">
        <v>381</v>
      </c>
    </row>
    <row r="70" spans="1:2">
      <c r="A70" t="s">
        <v>137</v>
      </c>
      <c r="B70" t="s">
        <v>382</v>
      </c>
    </row>
    <row r="71" spans="1:2">
      <c r="A71" t="s">
        <v>138</v>
      </c>
      <c r="B71" t="s">
        <v>383</v>
      </c>
    </row>
    <row r="72" spans="1:2">
      <c r="A72" t="s">
        <v>139</v>
      </c>
      <c r="B72" t="s">
        <v>384</v>
      </c>
    </row>
    <row r="73" spans="1:2">
      <c r="A73" t="s">
        <v>140</v>
      </c>
      <c r="B73" t="s">
        <v>385</v>
      </c>
    </row>
    <row r="74" spans="1:2">
      <c r="A74" t="s">
        <v>141</v>
      </c>
      <c r="B74" t="s">
        <v>386</v>
      </c>
    </row>
    <row r="75" spans="1:2">
      <c r="A75" t="s">
        <v>142</v>
      </c>
      <c r="B75" t="s">
        <v>387</v>
      </c>
    </row>
    <row r="76" spans="1:2">
      <c r="A76" t="s">
        <v>143</v>
      </c>
      <c r="B76" t="s">
        <v>388</v>
      </c>
    </row>
    <row r="77" spans="1:2">
      <c r="A77" t="s">
        <v>144</v>
      </c>
      <c r="B77" t="s">
        <v>389</v>
      </c>
    </row>
    <row r="78" spans="1:2">
      <c r="A78" t="s">
        <v>145</v>
      </c>
      <c r="B78" t="s">
        <v>390</v>
      </c>
    </row>
    <row r="79" spans="1:2">
      <c r="A79" t="s">
        <v>146</v>
      </c>
      <c r="B79" t="s">
        <v>391</v>
      </c>
    </row>
    <row r="80" spans="1:2">
      <c r="A80" t="s">
        <v>147</v>
      </c>
      <c r="B80" t="s">
        <v>392</v>
      </c>
    </row>
    <row r="81" spans="1:2">
      <c r="A81" t="s">
        <v>148</v>
      </c>
      <c r="B81" t="s">
        <v>393</v>
      </c>
    </row>
    <row r="82" spans="1:2">
      <c r="A82" t="s">
        <v>149</v>
      </c>
      <c r="B82" t="s">
        <v>394</v>
      </c>
    </row>
    <row r="83" spans="1:2">
      <c r="A83" t="s">
        <v>150</v>
      </c>
      <c r="B83" t="s">
        <v>395</v>
      </c>
    </row>
    <row r="84" spans="1:2">
      <c r="A84" t="s">
        <v>151</v>
      </c>
      <c r="B84" t="s">
        <v>396</v>
      </c>
    </row>
    <row r="85" spans="1:2">
      <c r="A85" t="s">
        <v>152</v>
      </c>
      <c r="B85" t="s">
        <v>397</v>
      </c>
    </row>
    <row r="86" spans="1:2">
      <c r="A86" t="s">
        <v>153</v>
      </c>
      <c r="B86" t="s">
        <v>398</v>
      </c>
    </row>
    <row r="87" spans="1:2">
      <c r="A87" t="s">
        <v>154</v>
      </c>
      <c r="B87" t="s">
        <v>399</v>
      </c>
    </row>
    <row r="88" spans="1:2">
      <c r="A88" t="s">
        <v>155</v>
      </c>
      <c r="B88" t="s">
        <v>400</v>
      </c>
    </row>
    <row r="89" spans="1:2">
      <c r="A89" t="s">
        <v>156</v>
      </c>
      <c r="B89" t="s">
        <v>401</v>
      </c>
    </row>
    <row r="90" spans="1:2">
      <c r="A90" t="s">
        <v>157</v>
      </c>
      <c r="B90" t="s">
        <v>402</v>
      </c>
    </row>
    <row r="91" spans="1:2">
      <c r="A91" t="s">
        <v>158</v>
      </c>
      <c r="B91" t="s">
        <v>403</v>
      </c>
    </row>
    <row r="92" spans="1:2">
      <c r="A92" t="s">
        <v>159</v>
      </c>
      <c r="B92" t="s">
        <v>404</v>
      </c>
    </row>
    <row r="93" spans="1:2">
      <c r="A93" t="s">
        <v>160</v>
      </c>
      <c r="B93" t="s">
        <v>586</v>
      </c>
    </row>
    <row r="94" spans="1:2">
      <c r="A94" t="s">
        <v>161</v>
      </c>
      <c r="B94" t="s">
        <v>405</v>
      </c>
    </row>
    <row r="95" spans="1:2">
      <c r="A95" t="s">
        <v>162</v>
      </c>
      <c r="B95" t="s">
        <v>406</v>
      </c>
    </row>
    <row r="96" spans="1:2">
      <c r="A96" t="s">
        <v>163</v>
      </c>
      <c r="B96" t="s">
        <v>407</v>
      </c>
    </row>
    <row r="97" spans="1:2">
      <c r="A97" t="s">
        <v>164</v>
      </c>
      <c r="B97" t="s">
        <v>408</v>
      </c>
    </row>
    <row r="98" spans="1:2">
      <c r="A98" t="s">
        <v>165</v>
      </c>
      <c r="B98" t="s">
        <v>409</v>
      </c>
    </row>
    <row r="99" spans="1:2">
      <c r="A99" t="s">
        <v>166</v>
      </c>
      <c r="B99" t="s">
        <v>410</v>
      </c>
    </row>
    <row r="100" spans="1:2">
      <c r="A100" t="s">
        <v>167</v>
      </c>
      <c r="B100" t="s">
        <v>411</v>
      </c>
    </row>
    <row r="101" spans="1:2">
      <c r="A101" t="s">
        <v>168</v>
      </c>
      <c r="B101" t="s">
        <v>412</v>
      </c>
    </row>
    <row r="102" spans="1:2">
      <c r="A102" t="s">
        <v>169</v>
      </c>
      <c r="B102" t="s">
        <v>413</v>
      </c>
    </row>
    <row r="103" spans="1:2">
      <c r="A103" t="s">
        <v>170</v>
      </c>
      <c r="B103" t="s">
        <v>414</v>
      </c>
    </row>
    <row r="104" spans="1:2">
      <c r="A104" t="s">
        <v>171</v>
      </c>
      <c r="B104" t="s">
        <v>415</v>
      </c>
    </row>
    <row r="105" spans="1:2">
      <c r="A105" t="s">
        <v>172</v>
      </c>
      <c r="B105" t="s">
        <v>416</v>
      </c>
    </row>
    <row r="106" spans="1:2">
      <c r="A106" t="s">
        <v>173</v>
      </c>
      <c r="B106" t="s">
        <v>417</v>
      </c>
    </row>
    <row r="107" spans="1:2">
      <c r="A107" t="s">
        <v>174</v>
      </c>
      <c r="B107" t="s">
        <v>418</v>
      </c>
    </row>
    <row r="108" spans="1:2">
      <c r="A108" t="s">
        <v>175</v>
      </c>
      <c r="B108" t="s">
        <v>419</v>
      </c>
    </row>
    <row r="109" spans="1:2">
      <c r="A109" t="s">
        <v>176</v>
      </c>
      <c r="B109" t="s">
        <v>420</v>
      </c>
    </row>
    <row r="110" spans="1:2">
      <c r="A110" t="s">
        <v>177</v>
      </c>
      <c r="B110" t="s">
        <v>421</v>
      </c>
    </row>
    <row r="111" spans="1:2">
      <c r="A111" t="s">
        <v>178</v>
      </c>
      <c r="B111" t="s">
        <v>422</v>
      </c>
    </row>
    <row r="112" spans="1:2">
      <c r="A112" t="s">
        <v>179</v>
      </c>
      <c r="B112" t="s">
        <v>423</v>
      </c>
    </row>
    <row r="113" spans="1:2">
      <c r="A113" t="s">
        <v>180</v>
      </c>
      <c r="B113" t="s">
        <v>589</v>
      </c>
    </row>
    <row r="114" spans="1:2">
      <c r="A114" t="s">
        <v>181</v>
      </c>
      <c r="B114" t="s">
        <v>424</v>
      </c>
    </row>
    <row r="115" spans="1:2">
      <c r="A115" t="s">
        <v>182</v>
      </c>
      <c r="B115" t="s">
        <v>587</v>
      </c>
    </row>
    <row r="116" spans="1:2">
      <c r="A116" t="s">
        <v>183</v>
      </c>
      <c r="B116" t="s">
        <v>425</v>
      </c>
    </row>
    <row r="117" spans="1:2">
      <c r="A117" t="s">
        <v>184</v>
      </c>
      <c r="B117" t="s">
        <v>426</v>
      </c>
    </row>
    <row r="118" spans="1:2">
      <c r="A118" t="s">
        <v>185</v>
      </c>
      <c r="B118" t="s">
        <v>427</v>
      </c>
    </row>
    <row r="119" spans="1:2">
      <c r="A119" t="s">
        <v>186</v>
      </c>
      <c r="B119" t="s">
        <v>428</v>
      </c>
    </row>
    <row r="120" spans="1:2">
      <c r="A120" t="s">
        <v>187</v>
      </c>
      <c r="B120" t="s">
        <v>429</v>
      </c>
    </row>
    <row r="121" spans="1:2">
      <c r="A121" t="s">
        <v>188</v>
      </c>
      <c r="B121" t="s">
        <v>430</v>
      </c>
    </row>
    <row r="122" spans="1:2">
      <c r="A122" t="s">
        <v>189</v>
      </c>
      <c r="B122" t="s">
        <v>431</v>
      </c>
    </row>
    <row r="123" spans="1:2">
      <c r="A123" t="s">
        <v>190</v>
      </c>
      <c r="B123" t="s">
        <v>432</v>
      </c>
    </row>
    <row r="124" spans="1:2">
      <c r="A124" t="s">
        <v>191</v>
      </c>
      <c r="B124" t="s">
        <v>433</v>
      </c>
    </row>
    <row r="125" spans="1:2">
      <c r="A125" t="s">
        <v>192</v>
      </c>
      <c r="B125" t="s">
        <v>434</v>
      </c>
    </row>
    <row r="126" spans="1:2">
      <c r="A126" t="s">
        <v>193</v>
      </c>
      <c r="B126" t="s">
        <v>435</v>
      </c>
    </row>
    <row r="127" spans="1:2">
      <c r="A127" t="s">
        <v>194</v>
      </c>
      <c r="B127" t="s">
        <v>436</v>
      </c>
    </row>
    <row r="128" spans="1:2">
      <c r="A128" t="s">
        <v>195</v>
      </c>
      <c r="B128" t="s">
        <v>437</v>
      </c>
    </row>
    <row r="129" spans="1:2">
      <c r="A129" t="s">
        <v>196</v>
      </c>
      <c r="B129" t="s">
        <v>438</v>
      </c>
    </row>
    <row r="130" spans="1:2">
      <c r="A130" t="s">
        <v>197</v>
      </c>
      <c r="B130" t="s">
        <v>439</v>
      </c>
    </row>
    <row r="131" spans="1:2">
      <c r="A131" t="s">
        <v>198</v>
      </c>
      <c r="B131" t="s">
        <v>440</v>
      </c>
    </row>
    <row r="132" spans="1:2">
      <c r="A132" t="s">
        <v>199</v>
      </c>
      <c r="B132" t="s">
        <v>441</v>
      </c>
    </row>
    <row r="133" spans="1:2">
      <c r="A133" t="s">
        <v>200</v>
      </c>
      <c r="B133" t="s">
        <v>442</v>
      </c>
    </row>
    <row r="134" spans="1:2">
      <c r="A134" t="s">
        <v>201</v>
      </c>
      <c r="B134" t="s">
        <v>443</v>
      </c>
    </row>
    <row r="135" spans="1:2">
      <c r="A135" t="s">
        <v>202</v>
      </c>
      <c r="B135" t="s">
        <v>444</v>
      </c>
    </row>
    <row r="136" spans="1:2">
      <c r="A136" t="s">
        <v>203</v>
      </c>
      <c r="B136" t="s">
        <v>445</v>
      </c>
    </row>
    <row r="137" spans="1:2">
      <c r="A137" t="s">
        <v>204</v>
      </c>
      <c r="B137" t="s">
        <v>446</v>
      </c>
    </row>
    <row r="138" spans="1:2">
      <c r="A138" t="s">
        <v>205</v>
      </c>
      <c r="B138" t="s">
        <v>447</v>
      </c>
    </row>
    <row r="139" spans="1:2">
      <c r="A139" t="s">
        <v>206</v>
      </c>
      <c r="B139" t="s">
        <v>448</v>
      </c>
    </row>
    <row r="140" spans="1:2">
      <c r="A140" t="s">
        <v>207</v>
      </c>
      <c r="B140" t="s">
        <v>449</v>
      </c>
    </row>
    <row r="141" spans="1:2">
      <c r="A141" t="s">
        <v>208</v>
      </c>
      <c r="B141" t="s">
        <v>450</v>
      </c>
    </row>
    <row r="142" spans="1:2">
      <c r="A142" t="s">
        <v>209</v>
      </c>
      <c r="B142" t="s">
        <v>451</v>
      </c>
    </row>
    <row r="143" spans="1:2">
      <c r="A143" t="s">
        <v>210</v>
      </c>
      <c r="B143" t="s">
        <v>452</v>
      </c>
    </row>
    <row r="144" spans="1:2">
      <c r="A144" t="s">
        <v>211</v>
      </c>
      <c r="B144" t="s">
        <v>453</v>
      </c>
    </row>
    <row r="145" spans="1:2">
      <c r="A145" t="s">
        <v>212</v>
      </c>
      <c r="B145" t="s">
        <v>562</v>
      </c>
    </row>
    <row r="146" spans="1:2">
      <c r="A146" t="s">
        <v>213</v>
      </c>
      <c r="B146" t="s">
        <v>454</v>
      </c>
    </row>
    <row r="147" spans="1:2">
      <c r="A147" t="s">
        <v>214</v>
      </c>
      <c r="B147" t="s">
        <v>455</v>
      </c>
    </row>
    <row r="148" spans="1:2">
      <c r="A148" t="s">
        <v>215</v>
      </c>
      <c r="B148" t="s">
        <v>456</v>
      </c>
    </row>
    <row r="149" spans="1:2">
      <c r="A149" t="s">
        <v>216</v>
      </c>
      <c r="B149" t="s">
        <v>457</v>
      </c>
    </row>
    <row r="150" spans="1:2">
      <c r="A150" t="s">
        <v>217</v>
      </c>
      <c r="B150" t="s">
        <v>458</v>
      </c>
    </row>
    <row r="151" spans="1:2">
      <c r="A151" t="s">
        <v>218</v>
      </c>
      <c r="B151" t="s">
        <v>459</v>
      </c>
    </row>
    <row r="152" spans="1:2">
      <c r="A152" t="s">
        <v>219</v>
      </c>
      <c r="B152" t="s">
        <v>461</v>
      </c>
    </row>
    <row r="153" spans="1:2">
      <c r="A153" t="s">
        <v>220</v>
      </c>
      <c r="B153" t="s">
        <v>462</v>
      </c>
    </row>
    <row r="154" spans="1:2">
      <c r="A154" t="s">
        <v>221</v>
      </c>
      <c r="B154" t="s">
        <v>463</v>
      </c>
    </row>
    <row r="155" spans="1:2">
      <c r="A155" t="s">
        <v>222</v>
      </c>
      <c r="B155" t="s">
        <v>588</v>
      </c>
    </row>
    <row r="156" spans="1:2">
      <c r="A156" t="s">
        <v>223</v>
      </c>
      <c r="B156" t="s">
        <v>464</v>
      </c>
    </row>
    <row r="157" spans="1:2">
      <c r="A157" t="s">
        <v>224</v>
      </c>
      <c r="B157" t="s">
        <v>465</v>
      </c>
    </row>
    <row r="158" spans="1:2">
      <c r="A158" t="s">
        <v>225</v>
      </c>
      <c r="B158" t="s">
        <v>466</v>
      </c>
    </row>
    <row r="159" spans="1:2">
      <c r="A159" t="s">
        <v>226</v>
      </c>
      <c r="B159" t="s">
        <v>467</v>
      </c>
    </row>
    <row r="160" spans="1:2">
      <c r="A160" t="s">
        <v>227</v>
      </c>
      <c r="B160" t="s">
        <v>468</v>
      </c>
    </row>
    <row r="161" spans="1:2">
      <c r="A161" t="s">
        <v>228</v>
      </c>
      <c r="B161" t="s">
        <v>469</v>
      </c>
    </row>
    <row r="162" spans="1:2">
      <c r="A162" t="s">
        <v>229</v>
      </c>
      <c r="B162" t="s">
        <v>470</v>
      </c>
    </row>
    <row r="163" spans="1:2">
      <c r="A163" t="s">
        <v>230</v>
      </c>
      <c r="B163" t="s">
        <v>471</v>
      </c>
    </row>
    <row r="164" spans="1:2">
      <c r="A164" t="s">
        <v>231</v>
      </c>
      <c r="B164" t="s">
        <v>472</v>
      </c>
    </row>
    <row r="165" spans="1:2">
      <c r="A165" t="s">
        <v>232</v>
      </c>
      <c r="B165" t="s">
        <v>473</v>
      </c>
    </row>
    <row r="166" spans="1:2">
      <c r="A166" t="s">
        <v>233</v>
      </c>
      <c r="B166" t="s">
        <v>474</v>
      </c>
    </row>
    <row r="167" spans="1:2">
      <c r="A167" t="s">
        <v>234</v>
      </c>
      <c r="B167" t="s">
        <v>475</v>
      </c>
    </row>
    <row r="168" spans="1:2">
      <c r="A168" t="s">
        <v>235</v>
      </c>
      <c r="B168" t="s">
        <v>476</v>
      </c>
    </row>
    <row r="169" spans="1:2">
      <c r="A169" t="s">
        <v>236</v>
      </c>
      <c r="B169" t="s">
        <v>477</v>
      </c>
    </row>
    <row r="170" spans="1:2">
      <c r="A170" t="s">
        <v>237</v>
      </c>
      <c r="B170" t="s">
        <v>478</v>
      </c>
    </row>
    <row r="171" spans="1:2">
      <c r="A171" t="s">
        <v>238</v>
      </c>
      <c r="B171" t="s">
        <v>479</v>
      </c>
    </row>
    <row r="172" spans="1:2">
      <c r="A172" t="s">
        <v>239</v>
      </c>
      <c r="B172" t="s">
        <v>480</v>
      </c>
    </row>
    <row r="173" spans="1:2">
      <c r="A173" t="s">
        <v>240</v>
      </c>
      <c r="B173" t="s">
        <v>481</v>
      </c>
    </row>
    <row r="174" spans="1:2">
      <c r="A174" t="s">
        <v>241</v>
      </c>
      <c r="B174" t="s">
        <v>482</v>
      </c>
    </row>
    <row r="175" spans="1:2">
      <c r="A175" t="s">
        <v>242</v>
      </c>
      <c r="B175" t="s">
        <v>483</v>
      </c>
    </row>
    <row r="176" spans="1:2">
      <c r="A176" t="s">
        <v>243</v>
      </c>
      <c r="B176" t="s">
        <v>484</v>
      </c>
    </row>
    <row r="177" spans="1:2">
      <c r="A177" t="s">
        <v>244</v>
      </c>
      <c r="B177" t="s">
        <v>485</v>
      </c>
    </row>
    <row r="178" spans="1:2">
      <c r="A178" t="s">
        <v>245</v>
      </c>
      <c r="B178" t="s">
        <v>486</v>
      </c>
    </row>
    <row r="179" spans="1:2">
      <c r="A179" t="s">
        <v>246</v>
      </c>
      <c r="B179" t="s">
        <v>487</v>
      </c>
    </row>
    <row r="180" spans="1:2">
      <c r="A180" t="s">
        <v>247</v>
      </c>
    </row>
    <row r="181" spans="1:2">
      <c r="A181" t="s">
        <v>248</v>
      </c>
    </row>
    <row r="182" spans="1:2">
      <c r="A182" t="s">
        <v>249</v>
      </c>
    </row>
    <row r="183" spans="1:2">
      <c r="A183" t="s">
        <v>250</v>
      </c>
    </row>
    <row r="184" spans="1:2">
      <c r="A184" t="s">
        <v>251</v>
      </c>
    </row>
    <row r="185" spans="1:2">
      <c r="A185" t="s">
        <v>252</v>
      </c>
    </row>
    <row r="186" spans="1:2">
      <c r="A186" t="s">
        <v>253</v>
      </c>
    </row>
    <row r="187" spans="1:2">
      <c r="A187" t="s">
        <v>254</v>
      </c>
    </row>
    <row r="188" spans="1:2">
      <c r="A188" t="s">
        <v>255</v>
      </c>
    </row>
    <row r="189" spans="1:2">
      <c r="A189" t="s">
        <v>567</v>
      </c>
    </row>
    <row r="190" spans="1:2">
      <c r="A190" t="s">
        <v>256</v>
      </c>
    </row>
    <row r="191" spans="1:2">
      <c r="A191" t="s">
        <v>257</v>
      </c>
    </row>
    <row r="192" spans="1:2">
      <c r="A192" t="s">
        <v>258</v>
      </c>
    </row>
    <row r="193" spans="1:1">
      <c r="A193" t="s">
        <v>259</v>
      </c>
    </row>
    <row r="194" spans="1:1">
      <c r="A194" t="s">
        <v>260</v>
      </c>
    </row>
    <row r="195" spans="1:1">
      <c r="A195" t="s">
        <v>261</v>
      </c>
    </row>
    <row r="196" spans="1:1">
      <c r="A196" t="s">
        <v>262</v>
      </c>
    </row>
    <row r="197" spans="1:1">
      <c r="A197" t="s">
        <v>263</v>
      </c>
    </row>
    <row r="198" spans="1:1">
      <c r="A198" t="s">
        <v>264</v>
      </c>
    </row>
    <row r="199" spans="1:1">
      <c r="A199" t="s">
        <v>265</v>
      </c>
    </row>
    <row r="200" spans="1:1">
      <c r="A200" t="s">
        <v>266</v>
      </c>
    </row>
    <row r="201" spans="1:1">
      <c r="A201" t="s">
        <v>267</v>
      </c>
    </row>
    <row r="202" spans="1:1">
      <c r="A202" t="s">
        <v>268</v>
      </c>
    </row>
    <row r="203" spans="1:1">
      <c r="A203" t="s">
        <v>269</v>
      </c>
    </row>
    <row r="204" spans="1:1">
      <c r="A204" t="s">
        <v>270</v>
      </c>
    </row>
    <row r="205" spans="1:1">
      <c r="A205" t="s">
        <v>271</v>
      </c>
    </row>
    <row r="206" spans="1:1">
      <c r="A206" t="s">
        <v>272</v>
      </c>
    </row>
    <row r="207" spans="1:1">
      <c r="A207" t="s">
        <v>273</v>
      </c>
    </row>
    <row r="208" spans="1:1">
      <c r="A208" t="s">
        <v>274</v>
      </c>
    </row>
    <row r="209" spans="1:1">
      <c r="A209" t="s">
        <v>275</v>
      </c>
    </row>
    <row r="210" spans="1:1">
      <c r="A210" t="s">
        <v>276</v>
      </c>
    </row>
    <row r="211" spans="1:1">
      <c r="A211" t="s">
        <v>277</v>
      </c>
    </row>
    <row r="212" spans="1:1">
      <c r="A212" t="s">
        <v>278</v>
      </c>
    </row>
    <row r="213" spans="1:1">
      <c r="A213" t="s">
        <v>279</v>
      </c>
    </row>
    <row r="214" spans="1:1">
      <c r="A214" t="s">
        <v>280</v>
      </c>
    </row>
    <row r="215" spans="1:1">
      <c r="A215" t="s">
        <v>281</v>
      </c>
    </row>
    <row r="216" spans="1:1">
      <c r="A216" t="s">
        <v>282</v>
      </c>
    </row>
    <row r="217" spans="1:1">
      <c r="A217" t="s">
        <v>283</v>
      </c>
    </row>
    <row r="218" spans="1:1">
      <c r="A218" t="s">
        <v>284</v>
      </c>
    </row>
    <row r="219" spans="1:1">
      <c r="A219" t="s">
        <v>285</v>
      </c>
    </row>
    <row r="220" spans="1:1">
      <c r="A220" t="s">
        <v>286</v>
      </c>
    </row>
    <row r="221" spans="1:1">
      <c r="A221" t="s">
        <v>287</v>
      </c>
    </row>
    <row r="222" spans="1:1">
      <c r="A222" t="s">
        <v>288</v>
      </c>
    </row>
    <row r="223" spans="1:1">
      <c r="A223" t="s">
        <v>289</v>
      </c>
    </row>
    <row r="224" spans="1:1">
      <c r="A224" t="s">
        <v>290</v>
      </c>
    </row>
    <row r="225" spans="1:1">
      <c r="A225" t="s">
        <v>291</v>
      </c>
    </row>
    <row r="226" spans="1:1">
      <c r="A226" t="s">
        <v>292</v>
      </c>
    </row>
    <row r="227" spans="1:1">
      <c r="A227" t="s">
        <v>293</v>
      </c>
    </row>
    <row r="228" spans="1:1">
      <c r="A228" t="s">
        <v>294</v>
      </c>
    </row>
    <row r="229" spans="1:1">
      <c r="A229" t="s">
        <v>295</v>
      </c>
    </row>
    <row r="230" spans="1:1">
      <c r="A230" t="s">
        <v>296</v>
      </c>
    </row>
    <row r="231" spans="1:1">
      <c r="A231" t="s">
        <v>297</v>
      </c>
    </row>
    <row r="232" spans="1:1">
      <c r="A232" t="s">
        <v>298</v>
      </c>
    </row>
    <row r="233" spans="1:1">
      <c r="A233" t="s">
        <v>299</v>
      </c>
    </row>
    <row r="234" spans="1:1">
      <c r="A234" t="s">
        <v>301</v>
      </c>
    </row>
    <row r="235" spans="1:1">
      <c r="A235" t="s">
        <v>302</v>
      </c>
    </row>
    <row r="236" spans="1:1">
      <c r="A236" t="s">
        <v>303</v>
      </c>
    </row>
    <row r="237" spans="1:1">
      <c r="A237" t="s">
        <v>304</v>
      </c>
    </row>
    <row r="238" spans="1:1">
      <c r="A238" t="s">
        <v>568</v>
      </c>
    </row>
    <row r="239" spans="1:1">
      <c r="A239" t="s">
        <v>305</v>
      </c>
    </row>
    <row r="240" spans="1:1">
      <c r="A240" t="s">
        <v>306</v>
      </c>
    </row>
    <row r="241" spans="1:1">
      <c r="A241" t="s">
        <v>307</v>
      </c>
    </row>
    <row r="242" spans="1:1">
      <c r="A242" t="s">
        <v>308</v>
      </c>
    </row>
    <row r="243" spans="1:1">
      <c r="A243" t="s">
        <v>309</v>
      </c>
    </row>
    <row r="244" spans="1:1">
      <c r="A244" t="s">
        <v>310</v>
      </c>
    </row>
    <row r="245" spans="1:1">
      <c r="A245" t="s">
        <v>311</v>
      </c>
    </row>
    <row r="246" spans="1:1">
      <c r="A246" t="s">
        <v>312</v>
      </c>
    </row>
    <row r="247" spans="1:1">
      <c r="A247" t="s">
        <v>313</v>
      </c>
    </row>
    <row r="248" spans="1:1">
      <c r="A248" t="s">
        <v>314</v>
      </c>
    </row>
    <row r="249" spans="1:1">
      <c r="A249" t="s">
        <v>315</v>
      </c>
    </row>
  </sheetData>
  <sortState ref="A1:A745">
    <sortCondition ref="A745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5</vt:i4>
      </vt:variant>
    </vt:vector>
  </HeadingPairs>
  <TitlesOfParts>
    <vt:vector size="5" baseType="lpstr">
      <vt:lpstr>IAS24-Cuadros</vt:lpstr>
      <vt:lpstr>IAS24-RemuPersClav</vt:lpstr>
      <vt:lpstr>IAS24-InfoPartRela</vt:lpstr>
      <vt:lpstr>IAS24-InfoInfoIncu</vt:lpstr>
      <vt:lpstr>Hoja1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Daniel San Martin (DBNeTCorp)</dc:creator>
  <cp:lastModifiedBy>Waldo Byron Gonzalez Serrano</cp:lastModifiedBy>
  <dcterms:created xsi:type="dcterms:W3CDTF">2013-03-21T17:58:38Z</dcterms:created>
  <dcterms:modified xsi:type="dcterms:W3CDTF">2024-07-22T17:01:25Z</dcterms:modified>
</cp:coreProperties>
</file>