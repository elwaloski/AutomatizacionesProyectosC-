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62EA886C-9BF8-4E9B-809B-88BF74F90E9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IAS37-Cuadros" sheetId="1" r:id="rId1"/>
    <sheet name="IAS37-InfoReveOtraProv" sheetId="2" r:id="rId2"/>
    <sheet name="IAS37-InfoRevePasiCont" sheetId="3" r:id="rId3"/>
    <sheet name="Hoja1" sheetId="4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2" l="1"/>
  <c r="S20" i="3" l="1"/>
  <c r="S11" i="3" l="1"/>
  <c r="Q60" i="2"/>
  <c r="Q59" i="2"/>
  <c r="Q52" i="2"/>
  <c r="Q51" i="2"/>
  <c r="Q50" i="2"/>
  <c r="Q49" i="2"/>
  <c r="Q48" i="2"/>
  <c r="Q47" i="2"/>
  <c r="Q46" i="2"/>
  <c r="Q45" i="2"/>
  <c r="Q44" i="2"/>
  <c r="Q42" i="2"/>
  <c r="Q41" i="2"/>
  <c r="Q38" i="2"/>
  <c r="Q32" i="2"/>
  <c r="Q31" i="2"/>
  <c r="Q24" i="2"/>
  <c r="Q23" i="2"/>
  <c r="Q22" i="2"/>
  <c r="Q21" i="2"/>
  <c r="Q20" i="2"/>
  <c r="Q19" i="2"/>
  <c r="Q18" i="2"/>
  <c r="Q17" i="2"/>
  <c r="Q16" i="2"/>
  <c r="Q14" i="2"/>
  <c r="Q13" i="2"/>
  <c r="P43" i="2" l="1"/>
  <c r="P53" i="2" s="1"/>
  <c r="P54" i="2" s="1"/>
  <c r="P63" i="2" s="1"/>
  <c r="O43" i="2"/>
  <c r="O53" i="2" s="1"/>
  <c r="O54" i="2" s="1"/>
  <c r="O63" i="2" s="1"/>
  <c r="N43" i="2"/>
  <c r="N53" i="2" s="1"/>
  <c r="N54" i="2" s="1"/>
  <c r="N63" i="2" s="1"/>
  <c r="M43" i="2"/>
  <c r="M53" i="2" s="1"/>
  <c r="M54" i="2" s="1"/>
  <c r="M63" i="2" s="1"/>
  <c r="L43" i="2"/>
  <c r="L53" i="2" s="1"/>
  <c r="L54" i="2" s="1"/>
  <c r="L63" i="2" s="1"/>
  <c r="K43" i="2"/>
  <c r="K53" i="2" s="1"/>
  <c r="K54" i="2" s="1"/>
  <c r="K63" i="2" s="1"/>
  <c r="J43" i="2"/>
  <c r="J53" i="2" s="1"/>
  <c r="J54" i="2" s="1"/>
  <c r="J63" i="2" s="1"/>
  <c r="I43" i="2"/>
  <c r="I53" i="2" s="1"/>
  <c r="I54" i="2" s="1"/>
  <c r="I63" i="2" s="1"/>
  <c r="H43" i="2"/>
  <c r="G43" i="2"/>
  <c r="G53" i="2" s="1"/>
  <c r="G54" i="2" s="1"/>
  <c r="G63" i="2" s="1"/>
  <c r="P15" i="2"/>
  <c r="P25" i="2" s="1"/>
  <c r="P26" i="2" s="1"/>
  <c r="O15" i="2"/>
  <c r="O25" i="2" s="1"/>
  <c r="O26" i="2" s="1"/>
  <c r="N15" i="2"/>
  <c r="N25" i="2" s="1"/>
  <c r="N26" i="2" s="1"/>
  <c r="M15" i="2"/>
  <c r="M25" i="2" s="1"/>
  <c r="M26" i="2" s="1"/>
  <c r="L15" i="2"/>
  <c r="L25" i="2" s="1"/>
  <c r="L26" i="2" s="1"/>
  <c r="K15" i="2"/>
  <c r="K25" i="2" s="1"/>
  <c r="K26" i="2" s="1"/>
  <c r="J15" i="2"/>
  <c r="J25" i="2" s="1"/>
  <c r="J26" i="2" s="1"/>
  <c r="I15" i="2"/>
  <c r="I25" i="2" s="1"/>
  <c r="I26" i="2" s="1"/>
  <c r="H15" i="2"/>
  <c r="G15" i="2"/>
  <c r="G25" i="2" s="1"/>
  <c r="G26" i="2" s="1"/>
  <c r="Q15" i="2" l="1"/>
  <c r="Q25" i="2" s="1"/>
  <c r="Q26" i="2" s="1"/>
  <c r="H25" i="2"/>
  <c r="H26" i="2" s="1"/>
  <c r="H53" i="2"/>
  <c r="H54" i="2" s="1"/>
  <c r="H63" i="2" s="1"/>
  <c r="Q43" i="2"/>
  <c r="Q53" i="2" s="1"/>
  <c r="Q54" i="2" s="1"/>
  <c r="Q63" i="2" s="1"/>
</calcChain>
</file>

<file path=xl/sharedStrings.xml><?xml version="1.0" encoding="utf-8"?>
<sst xmlns="http://schemas.openxmlformats.org/spreadsheetml/2006/main" count="521" uniqueCount="174">
  <si>
    <t xml:space="preserve"> </t>
  </si>
  <si>
    <t>ACT</t>
  </si>
  <si>
    <t>Periodo Actual</t>
  </si>
  <si>
    <t>Periodo Anterior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</si>
  <si>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</si>
  <si>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DIMEAVA</t>
  </si>
  <si>
    <t>DIMENUE</t>
  </si>
  <si>
    <t>ANT</t>
  </si>
  <si>
    <t>INI</t>
  </si>
  <si>
    <t xml:space="preserve">    Información a revelar sobre otras provisiones, pasivos contingentes y activos contingentes [bloque de texto]  </t>
  </si>
  <si>
    <t xml:space="preserve">      Información a revelar sobre otras provisiones [bloque de texto]  </t>
  </si>
  <si>
    <t xml:space="preserve">      Información a revelar sobre pasivos contingentes [bloque de texto]  </t>
  </si>
  <si>
    <t xml:space="preserve">      Descripción de la naturaleza de activos contingentes [Texto]</t>
  </si>
  <si>
    <t xml:space="preserve">      Explicación del efecto financiero estimado de activos contingentes [Texto]</t>
  </si>
  <si>
    <t xml:space="preserve">      Efecto financiero esperado de activos contingentes [Número]</t>
  </si>
  <si>
    <t xml:space="preserve">      Información sobre activos contingentes cuya información a revelar no es practicable [Texto]</t>
  </si>
  <si>
    <t xml:space="preserve">      Información sobre pasivos contingentes cuya información a revelar no es practicable [Texto]</t>
  </si>
  <si>
    <t xml:space="preserve">      Explicación de la naturaleza general del conflicto y de la razón para no revelar información con respecto a provisiones [Texto]</t>
  </si>
  <si>
    <t xml:space="preserve">      Explicación de la naturaleza general del conflicto y de la razón para no revelar información con respecto a pasivos contingentes [Texto]</t>
  </si>
  <si>
    <t xml:space="preserve">      Explicación de la naturaleza general del conflicto y de la razón para no revelar información con respecto a activos contingentes [Texto]</t>
  </si>
  <si>
    <t xml:space="preserve">                Provisiones por costos de dejar fuera de servicio, restauración y rehabilitación [miembro]  </t>
  </si>
  <si>
    <t xml:space="preserve">Provisión por garantías [miembro]  </t>
  </si>
  <si>
    <t xml:space="preserve">Provisión por reestructuración [miembro]  </t>
  </si>
  <si>
    <t xml:space="preserve">Provisiones por procesos legales [miembro]  </t>
  </si>
  <si>
    <t xml:space="preserve">Provisión por reembolsos [miembro]  </t>
  </si>
  <si>
    <t xml:space="preserve">Provisión por contratos onerosos [miembro]  </t>
  </si>
  <si>
    <t xml:space="preserve">Otra provisión relacionada con el medioambiente [miembro]  </t>
  </si>
  <si>
    <t xml:space="preserve">Provisiones por compromisos de crédito [miembro]  </t>
  </si>
  <si>
    <t xml:space="preserve">Provisión por impuestos distintos a los impuestos a las ganancias [miembro]  </t>
  </si>
  <si>
    <t xml:space="preserve">Otras provisiones diversas [miembro]  </t>
  </si>
  <si>
    <t xml:space="preserve">Otras provisiones [miembro]  </t>
  </si>
  <si>
    <t xml:space="preserve">        Información a revelar sobre otras provisiones [sinopsis]  </t>
  </si>
  <si>
    <t xml:space="preserve">            Conciliación de cambios en otras provisiones [sinopsis]  </t>
  </si>
  <si>
    <t xml:space="preserve">              Cambios en otras provisiones [sinopsis]  </t>
  </si>
  <si>
    <t xml:space="preserve">                Provisiones adicionales, otras provisiones [resumen]  </t>
  </si>
  <si>
    <t xml:space="preserve">                  Provisiones nuevas, otras provisiones [Número]</t>
  </si>
  <si>
    <t xml:space="preserve">                  Aumento de provisiones existentes, otras provisiones [Número]</t>
  </si>
  <si>
    <t xml:space="preserve">                  Provisiones adicionales, otras provisiones [Número]</t>
  </si>
  <si>
    <t xml:space="preserve">                Adquisiciones realizadas mediante combinaciones de negocios, otras provisiones [Número]</t>
  </si>
  <si>
    <t xml:space="preserve">                Provisiones utilizadas, otras provisiones [Número]</t>
  </si>
  <si>
    <t xml:space="preserve">                Provisiones revertidas no utilizadas, otras provisiones [Número]</t>
  </si>
  <si>
    <t xml:space="preserve">                Incremento por ajustes que surgen por el paso del tiempo, otras provisiones [Número]</t>
  </si>
  <si>
    <t xml:space="preserve">                Incremento (disminución) por cambios en la tasa de descuento, otras provisiones [Número]</t>
  </si>
  <si>
    <t xml:space="preserve">                Incremento (disminución) por diferencias de cambio netas, otras provisiones [Número]</t>
  </si>
  <si>
    <t xml:space="preserve">                Disminución por la pérdida de control de una subsidiaria, otras provisiones [Número]</t>
  </si>
  <si>
    <t xml:space="preserve">                Incremento (disminución) por transferencias y otros cambios, otras provisiones [Número]</t>
  </si>
  <si>
    <t xml:space="preserve">                  Disminución por transferencias a pasivos incluidos en grupos de activos para su disposición clasificados como mantenidos para la venta, otras provisiones [Número]</t>
  </si>
  <si>
    <t xml:space="preserve">                Incremento (disminución) en otras provisiones [Número]</t>
  </si>
  <si>
    <t xml:space="preserve">            Descripción de la naturaleza de obligaciones, otras provisiones [Texto]</t>
  </si>
  <si>
    <t xml:space="preserve">            Descripción del calendario esperado de flujos de salida, otras provisiones [Texto]</t>
  </si>
  <si>
    <t xml:space="preserve">            Indicación de incertidumbres de importes o calendario de salidas, otras provisiones [Texto]</t>
  </si>
  <si>
    <t xml:space="preserve">            Descripción de las hipótesis más importantes realizadas sobre eventos futuros, otras provisiones [Texto]</t>
  </si>
  <si>
    <t xml:space="preserve">            Activo reconocido por reembolsos esperados, otras provisiones [Número]</t>
  </si>
  <si>
    <t xml:space="preserve">            Reembolso esperado, otras provisiones [Número]</t>
  </si>
  <si>
    <t xml:space="preserve">Pasivo contingente derivado de garantía [miembro]  </t>
  </si>
  <si>
    <t xml:space="preserve">Pasivo contingente por reestructuración [miembro]  </t>
  </si>
  <si>
    <t xml:space="preserve">Pasivos contingentes por procesos legales [miembro]  </t>
  </si>
  <si>
    <t xml:space="preserve">Pasivos contingentes por contratos onerosos [miembro]  </t>
  </si>
  <si>
    <t xml:space="preserve">Pasivos contingentes por costos de retiro del servicio, restauración y rehabilitación [miembro]  </t>
  </si>
  <si>
    <t xml:space="preserve">Otro pasivo contingente relacionado con el medioambiente [miembro]  </t>
  </si>
  <si>
    <t xml:space="preserve">Pasivo contingente por impuestos [miembro]  </t>
  </si>
  <si>
    <t xml:space="preserve">Pasivo contingente por garantías [miembro]  </t>
  </si>
  <si>
    <t xml:space="preserve">Pasivos contingentes relacionados con negocios conjuntos [miembro]  </t>
  </si>
  <si>
    <t xml:space="preserve">Participación en pasivos contingentes de asociadas [miembro]  </t>
  </si>
  <si>
    <t xml:space="preserve">Pasivo contingente que surge de obligaciones por beneficios post-empleo [miembro]  </t>
  </si>
  <si>
    <t xml:space="preserve">Otros pasivos contingentes [miembro]  </t>
  </si>
  <si>
    <t xml:space="preserve">Pasivos contingentes [miembro]  </t>
  </si>
  <si>
    <t xml:space="preserve">            Descripción de la naturaleza de obligaciones, pasivos contingentes [Texto]</t>
  </si>
  <si>
    <t xml:space="preserve">            Explicación del efecto financiero estimado de los pasivos contingentes [Texto]</t>
  </si>
  <si>
    <t xml:space="preserve">            Efecto financiero esperado de pasivos contingentes [Número]</t>
  </si>
  <si>
    <t xml:space="preserve">            Explicación de la posibilidad de reembolso, pasivos contingentes [Texto]</t>
  </si>
  <si>
    <t xml:space="preserve">            Indicación de incertidumbres de importes o calendario de salidas, pasivos contingentes [Texto]</t>
  </si>
  <si>
    <t xml:space="preserve">        Información a revelar sobre pasivos contingentes [sinopsis]  </t>
  </si>
  <si>
    <t>Información a revelar sobre otras provisiones [tabla]</t>
  </si>
  <si>
    <t>Información a revelar sobre pasivos contingentes [tabla]</t>
  </si>
  <si>
    <t>Cierre periodo año actual</t>
  </si>
  <si>
    <t>Cierre periodo año anterior</t>
  </si>
  <si>
    <t xml:space="preserve">            Otras provisiones [Número]</t>
  </si>
  <si>
    <t>AAN</t>
  </si>
  <si>
    <t>SI</t>
  </si>
  <si>
    <t>NO</t>
  </si>
  <si>
    <t>Cargar hoja:</t>
  </si>
  <si>
    <t>full_ifrs-cor_2015-03-11.xsd#ifrs-full_DisclosureOfOtherProvisionsContingentLiabilitiesAndContingentAssetsExplanatory</t>
  </si>
  <si>
    <t>full_ifrs-cor_2015-03-11.xsd#ifrs-full_DisclosureOfOtherProvisionsExplanatory</t>
  </si>
  <si>
    <t>full_ifrs-cor_2015-03-11.xsd#ifrs-full_DisclosureOfContingentLiabilitiesExplanatory</t>
  </si>
  <si>
    <t>full_ifrs-cor_2015-03-11.xsd#ifrs-full_DescriptionOfNatureOfContingentAssets</t>
  </si>
  <si>
    <t>full_ifrs-cor_2015-03-11.xsd#ifrs-full_ExplanationOfEstimatedFinancialEffectOfContingentAssets</t>
  </si>
  <si>
    <t>full_ifrs-cor_2015-03-11.xsd#ifrs-full_EstimatedFinancialEffectOfContingentAssets</t>
  </si>
  <si>
    <t>full_ifrs-cor_2015-03-11.xsd#ifrs-full_InformationAboutContingentAssetsThatDisclosureIsNotPracticable</t>
  </si>
  <si>
    <t>full_ifrs-cor_2015-03-11.xsd#ifrs-full_InformationAboutContingentLiabilitiesThatDisclosureIsNotPracticable</t>
  </si>
  <si>
    <t>full_ifrs-cor_2015-03-11.xsd#ifrs-full_ExplanationOfReasonForNondisclosureOfInformationRegardingProvision</t>
  </si>
  <si>
    <t>full_ifrs-cor_2015-03-11.xsd#ifrs-full_ExplanationOfReasonForNondisclosureOfInformationRegardingContingentLiability</t>
  </si>
  <si>
    <t>full_ifrs-cor_2015-03-11.xsd#ifrs-full_ExplanationOfReasonForNondisclosureOfInformationRegardingContingentAsset</t>
  </si>
  <si>
    <t>full_ifrs-cor_2015-03-11.xsd#ifrs-full_DisclosureOfOtherProvisionsTable</t>
  </si>
  <si>
    <t>full_ifrs-cor_2015-03-11.xsd#ifrs-full_ClassesOfProvisionsAxis</t>
  </si>
  <si>
    <t>full_ifrs-cor_2015-03-11.xsd#ifrs-full_WarrantyProvisionMember</t>
  </si>
  <si>
    <t>full_ifrs-cor_2015-03-11.xsd#ifrs-full_RestructuringProvisionMember</t>
  </si>
  <si>
    <t>full_ifrs-cor_2015-03-11.xsd#ifrs-full_LegalProceedingsProvisionMember</t>
  </si>
  <si>
    <t>full_ifrs-cor_2015-03-11.xsd#ifrs-full_RefundsProvisionMember</t>
  </si>
  <si>
    <t>full_ifrs-cor_2015-03-11.xsd#ifrs-full_OnerousContractsProvisionMember</t>
  </si>
  <si>
    <t>full_ifrs-cor_2015-03-11.xsd#ifrs-full_ProvisionForDecommissioningRestorationAndRehabilitationCostsMember</t>
  </si>
  <si>
    <t>full_ifrs-cor_2015-03-11.xsd#ifrs-full_OtherEnvironmentRelatedProvisionMember</t>
  </si>
  <si>
    <t>full_ifrs-cor_2015-03-11.xsd#ifrs-full_ProvisionForCreditCommitmentsMember</t>
  </si>
  <si>
    <t>full_ifrs-cor_2015-03-11.xsd#ifrs-full_ProvisionForTaxesOtherThanIncomeTaxMember</t>
  </si>
  <si>
    <t>full_ifrs-cor_2015-03-11.xsd#ifrs-full_MiscellaneousOtherProvisionsMember</t>
  </si>
  <si>
    <t>full_ifrs-cor_2015-03-11.xsd#ifrs-full_OtherProvisionsMember</t>
  </si>
  <si>
    <t>full_ifrs-cor_2015-03-11.xsd#ifrs-full_OtherProvisions</t>
  </si>
  <si>
    <t>full_ifrs-cor_2015-03-11.xsd#ifrs-full_NewProvisionsOtherProvisions</t>
  </si>
  <si>
    <t>full_ifrs-cor_2015-03-11.xsd#ifrs-full_IncreaseDecreaseInExistingProvisionsOtherProvisions</t>
  </si>
  <si>
    <t>full_ifrs-cor_2015-03-11.xsd#ifrs-full_AdditionalProvisionsOtherProvisions</t>
  </si>
  <si>
    <t>full_ifrs-cor_2015-03-11.xsd#ifrs-full_AcquisitionsThroughBusinessCombinationsOtherProvisions</t>
  </si>
  <si>
    <t>full_ifrs-cor_2015-03-11.xsd#ifrs-full_ProvisionUsedOtherProvisions</t>
  </si>
  <si>
    <t>full_ifrs-cor_2015-03-11.xsd#ifrs-full_UnusedProvisionReversedOtherProvisions</t>
  </si>
  <si>
    <t>full_ifrs-cor_2015-03-11.xsd#ifrs-full_IncreaseDecreaseThroughTimeValueOfMoneyAdjustmentOtherProvisions</t>
  </si>
  <si>
    <t>full_ifrs-cor_2015-03-11.xsd#ifrs-full_IncreaseDecreaseThroughChangeInDiscountRateOtherProvisions</t>
  </si>
  <si>
    <t>full_ifrs-cor_2015-03-11.xsd#ifrs-full_IncreaseDecreaseThroughNetExchangeDifferencesOtherProvisions</t>
  </si>
  <si>
    <t>full_ifrs-cor_2015-03-11.xsd#ifrs-full_DecreaseThroughLossOfControlOfSubsidiaryOtherProvisions</t>
  </si>
  <si>
    <t>full_ifrs-cor_2015-03-11.xsd#ifrs-full_IncreaseDecreaseThroughTransfersAndOtherChangesOtherProvisions</t>
  </si>
  <si>
    <t>full_ifrs-cor_2015-03-11.xsd#ifrs-full_DecreaseThroughTransferToLiabilitiesIncludedInDisposalGroupsClassifiedAsHeldForSaleOtherProvisions</t>
  </si>
  <si>
    <t>full_ifrs-cor_2015-03-11.xsd#ifrs-full_ChangesInOtherProvisions</t>
  </si>
  <si>
    <t>full_ifrs-cor_2015-03-11.xsd#ifrs-full_DescriptionOfNatureOfObligationOtherProvisions</t>
  </si>
  <si>
    <t>full_ifrs-cor_2015-03-11.xsd#ifrs-full_DescriptionOfExpectedTimingOfOutflowsOtherProvisions</t>
  </si>
  <si>
    <t>full_ifrs-cor_2015-03-11.xsd#ifrs-full_IndicationOfUncertaintiesOfAmountOrTimingOfOutflowsOtherProvisions</t>
  </si>
  <si>
    <t>full_ifrs-cor_2015-03-11.xsd#ifrs-full_DescriptionOfMajorAssumptionsMadeConcerningFutureEventsOtherProvisions</t>
  </si>
  <si>
    <t>full_ifrs-cor_2015-03-11.xsd#ifrs-full_AssetRecognisedForExpectedReimbursementOtherProvisions</t>
  </si>
  <si>
    <t>full_ifrs-cor_2015-03-11.xsd#ifrs-full_ExpectedReimbursementOtherProvisions</t>
  </si>
  <si>
    <t>full_ifrs-cor_2015-03-11.xsd#ifrs-full_DisclosureOfContingentLiabilitiesTable</t>
  </si>
  <si>
    <t>full_ifrs-cor_2015-03-11.xsd#ifrs-full_ClassesOfContingentLiabilitiesAxis</t>
  </si>
  <si>
    <t>full_ifrs-cor_2015-03-11.xsd#ifrs-full_WarrantyContingentLiabilityMember</t>
  </si>
  <si>
    <t>full_ifrs-cor_2015-03-11.xsd#ifrs-full_RestructuringContingentLiabilityMember</t>
  </si>
  <si>
    <t>full_ifrs-cor_2015-03-11.xsd#ifrs-full_LegalProceedingsContingentLiabilityMember</t>
  </si>
  <si>
    <t>full_ifrs-cor_2015-03-11.xsd#ifrs-full_OnerousContractsContingentLiabilityMember</t>
  </si>
  <si>
    <t>full_ifrs-cor_2015-03-11.xsd#ifrs-full_ContingentLiabilityForDecommissioningRestorationAndRehabilitationCostsMember</t>
  </si>
  <si>
    <t>full_ifrs-cor_2015-03-11.xsd#ifrs-full_OtherEnvironmentRelatedContingentLiabilityMember</t>
  </si>
  <si>
    <t>full_ifrs-cor_2015-03-11.xsd#ifrs-full_TaxContingentLiabilityMember</t>
  </si>
  <si>
    <t>full_ifrs-cor_2015-03-11.xsd#ifrs-full_ContingentLiabilityForGuaranteesMember</t>
  </si>
  <si>
    <t>full_ifrs-cor_2015-03-11.xsd#ifrs-full_ContingentLiabilitiesOfJointVentureMember</t>
  </si>
  <si>
    <t>full_ifrs-cor_2015-03-11.xsd#ifrs-full_ShareOfContingentLiabilitiesOfAssociatesMember</t>
  </si>
  <si>
    <t>full_ifrs-cor_2015-03-11.xsd#ifrs-full_ContingentLiabilityArisingFromPostemploymentBenefitObligationsMember</t>
  </si>
  <si>
    <t>full_ifrs-cor_2015-03-11.xsd#ifrs-full_OtherContingentLiabilitiesMember</t>
  </si>
  <si>
    <t>full_ifrs-cor_2015-03-11.xsd#ifrs-full_ContingentLiabilitiesMember</t>
  </si>
  <si>
    <t>full_ifrs-cor_2015-03-11.xsd#ifrs-full_DescriptionOfNatureOfObligationContingentLiabilities</t>
  </si>
  <si>
    <t>full_ifrs-cor_2015-03-11.xsd#ifrs-full_ExplanationOfFinancialEffectOfContingentLiabilities</t>
  </si>
  <si>
    <t>full_ifrs-cor_2015-03-11.xsd#ifrs-full_EstimatedFinancialEffectOfContingentLiabilities</t>
  </si>
  <si>
    <t>full_ifrs-cor_2015-03-11.xsd#ifrs-full_ExplanationOfPossibilityOfReimbursementContingentLiabilities</t>
  </si>
  <si>
    <t>full_ifrs-cor_2015-03-11.xsd#ifrs-full_IndicationOfUncertaintiesOfAmountOrTimingOfOutflowsContingentLiabilities</t>
  </si>
  <si>
    <t>6.0</t>
  </si>
  <si>
    <t>pre_cl-ci_ias-37_2015-03-11_role-827570</t>
  </si>
  <si>
    <t>Fila de cuadratura con saldo inicial al 31-12-2015</t>
  </si>
  <si>
    <t xml:space="preserve">            Otras provisiones ( 31/12/2016) [Número]</t>
  </si>
  <si>
    <t xml:space="preserve">          Otras provisiones al (31/12/2015) [Número]</t>
  </si>
  <si>
    <t xml:space="preserve">          Otras provisiones  al  (31/12/2016) [Número]</t>
  </si>
  <si>
    <t>Bloque Texto IAS37 test 1</t>
  </si>
  <si>
    <t>Bloque Texto IAS37 test 2</t>
  </si>
  <si>
    <t>Bloque Texto IAS37 test 3</t>
  </si>
  <si>
    <t>Bloque Texto IAS37 test 4</t>
  </si>
  <si>
    <t>Bloque Texto IAS37 test 5</t>
  </si>
  <si>
    <t>Bloque Texto IAS37 test 6</t>
  </si>
  <si>
    <t>Bloque Texto IAS37 test 7</t>
  </si>
  <si>
    <t>Bloque Texto IAS37 test 8</t>
  </si>
  <si>
    <t>Bloque Texto IAS37 test 9</t>
  </si>
  <si>
    <t>Bloque Texto IAS37 test 10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</si>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</sst>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11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1"/>
      <color theme="0"/>
      <name val="Calibri"/>
      <family val="2"/>
      <scheme val="minor"/>
    </font>
    <font>
      <b/>
      <sz val="18"/>
      <name val="Calibri"/>
      <family val="2"/>
    </font>
    <font>
      <sz val="11"/>
      <color indexed="10"/>
      <name val="Calibri"/>
      <family val="2"/>
    </font>
    <font>
      <b/>
      <sz val="11"/>
      <name val="Verdana"/>
      <family val="2"/>
    </font>
    <font>
      <sz val="8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1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4" fillId="0" borderId="0" applyNumberFormat="0" applyFill="0" applyBorder="0" applyAlignment="0" applyProtection="0"/>
  </cellStyleXfs>
  <cellXfs count="52">
    <xf numFmtId="0" fontId="0" fillId="0" borderId="0" xfId="0"/>
    <xf numFmtId="3" fontId="2" fillId="2" borderId="0" xfId="1" applyNumberFormat="1" applyFont="1" applyFill="1" applyBorder="1">
      <alignment vertical="center"/>
    </xf>
    <xf numFmtId="3" fontId="2" fillId="3" borderId="1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3" fontId="2" fillId="2" borderId="9" xfId="1" applyNumberFormat="1" applyFont="1" applyFill="1" applyBorder="1">
      <alignment vertical="center"/>
    </xf>
    <xf numFmtId="0" fontId="3" fillId="2" borderId="9" xfId="0" applyFont="1" applyFill="1" applyBorder="1" applyAlignment="1">
      <alignment horizontal="left" vertical="center" indent="3"/>
    </xf>
    <xf numFmtId="3" fontId="2" fillId="2" borderId="10" xfId="1" applyNumberFormat="1" applyFont="1" applyFill="1" applyBorder="1">
      <alignment vertical="center"/>
    </xf>
    <xf numFmtId="0" fontId="0" fillId="5" borderId="11" xfId="0" applyFill="1" applyBorder="1"/>
    <xf numFmtId="0" fontId="4" fillId="2" borderId="9" xfId="0" applyFont="1" applyFill="1" applyBorder="1" applyAlignment="1">
      <alignment horizontal="left" vertical="center" wrapText="1" indent="3"/>
    </xf>
    <xf numFmtId="0" fontId="10" fillId="8" borderId="13" xfId="0" applyFont="1" applyFill="1" applyBorder="1" applyAlignment="1">
      <alignment horizontal="center" vertical="center" wrapText="1"/>
    </xf>
    <xf numFmtId="0" fontId="11" fillId="0" borderId="0" xfId="0" applyFont="1"/>
    <xf numFmtId="0" fontId="9" fillId="6" borderId="14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7" borderId="0" xfId="0" applyFill="1" applyProtection="1">
      <protection locked="0"/>
    </xf>
    <xf numFmtId="0" fontId="6" fillId="6" borderId="0" xfId="0" applyFont="1" applyFill="1" applyProtection="1">
      <protection locked="0"/>
    </xf>
    <xf numFmtId="0" fontId="0" fillId="7" borderId="6" xfId="0" applyFill="1" applyBorder="1" applyProtection="1">
      <protection locked="0"/>
    </xf>
    <xf numFmtId="0" fontId="12" fillId="2" borderId="9" xfId="3" applyFont="1" applyFill="1" applyBorder="1" applyAlignment="1" applyProtection="1">
      <alignment horizontal="left" vertical="center" wrapText="1"/>
      <protection locked="0"/>
    </xf>
    <xf numFmtId="0" fontId="0" fillId="0" borderId="15" xfId="0" applyBorder="1"/>
    <xf numFmtId="0" fontId="3" fillId="2" borderId="6" xfId="3" applyFont="1" applyFill="1" applyBorder="1" applyProtection="1">
      <alignment vertical="center"/>
      <protection locked="0"/>
    </xf>
    <xf numFmtId="0" fontId="3" fillId="2" borderId="0" xfId="3" applyFont="1" applyFill="1" applyBorder="1" applyProtection="1">
      <alignment vertical="center"/>
      <protection locked="0"/>
    </xf>
    <xf numFmtId="0" fontId="4" fillId="2" borderId="0" xfId="3" applyFont="1" applyFill="1" applyBorder="1" applyAlignment="1" applyProtection="1">
      <alignment horizontal="left" vertical="center" wrapText="1"/>
      <protection locked="0"/>
    </xf>
    <xf numFmtId="0" fontId="3" fillId="2" borderId="8" xfId="3" applyFont="1" applyFill="1" applyBorder="1" applyProtection="1">
      <alignment vertical="center"/>
      <protection locked="0"/>
    </xf>
    <xf numFmtId="0" fontId="3" fillId="2" borderId="9" xfId="3" applyFont="1" applyFill="1" applyBorder="1" applyProtection="1">
      <alignment vertical="center"/>
      <protection locked="0"/>
    </xf>
    <xf numFmtId="0" fontId="3" fillId="2" borderId="9" xfId="3" applyFont="1" applyFill="1" applyBorder="1" applyAlignment="1" applyProtection="1">
      <alignment horizontal="left" vertical="center" wrapText="1" indent="1"/>
      <protection locked="0"/>
    </xf>
    <xf numFmtId="0" fontId="3" fillId="2" borderId="0" xfId="3" applyFont="1" applyFill="1" applyBorder="1" applyAlignment="1" applyProtection="1">
      <alignment horizontal="left" vertical="center" wrapText="1"/>
      <protection locked="0"/>
    </xf>
    <xf numFmtId="3" fontId="13" fillId="9" borderId="1" xfId="3" applyNumberFormat="1" applyFont="1" applyFill="1" applyBorder="1" applyProtection="1">
      <alignment vertical="center"/>
      <protection locked="0"/>
    </xf>
    <xf numFmtId="3" fontId="13" fillId="10" borderId="1" xfId="3" applyNumberFormat="1" applyFont="1" applyFill="1" applyBorder="1" applyProtection="1">
      <alignment vertical="center"/>
      <protection locked="0"/>
    </xf>
    <xf numFmtId="3" fontId="2" fillId="2" borderId="0" xfId="1" applyNumberFormat="1" applyFont="1" applyFill="1" applyBorder="1" applyAlignment="1">
      <alignment vertical="center" wrapText="1"/>
    </xf>
    <xf numFmtId="0" fontId="9" fillId="6" borderId="16" xfId="0" applyFont="1" applyFill="1" applyBorder="1" applyProtection="1">
      <protection locked="0"/>
    </xf>
    <xf numFmtId="0" fontId="9" fillId="6" borderId="11" xfId="0" applyFont="1" applyFill="1" applyBorder="1" applyProtection="1">
      <protection locked="0"/>
    </xf>
    <xf numFmtId="0" fontId="11" fillId="0" borderId="7" xfId="0" applyFont="1" applyBorder="1"/>
    <xf numFmtId="0" fontId="9" fillId="6" borderId="17" xfId="0" applyFont="1" applyFill="1" applyBorder="1" applyAlignment="1" applyProtection="1">
      <alignment horizontal="center" vertical="center" wrapText="1"/>
      <protection locked="0"/>
    </xf>
    <xf numFmtId="0" fontId="3" fillId="2" borderId="0" xfId="3" applyFont="1" applyFill="1" applyBorder="1" applyAlignment="1" applyProtection="1">
      <alignment horizontal="left" vertical="center"/>
      <protection locked="0"/>
    </xf>
    <xf numFmtId="0" fontId="6" fillId="6" borderId="18" xfId="0" applyFont="1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" fillId="2" borderId="19" xfId="3" applyFont="1" applyFill="1" applyBorder="1" applyProtection="1">
      <alignment vertical="center"/>
      <protection locked="0"/>
    </xf>
    <xf numFmtId="0" fontId="3" fillId="2" borderId="20" xfId="3" applyFont="1" applyFill="1" applyBorder="1" applyProtection="1">
      <alignment vertical="center"/>
      <protection locked="0"/>
    </xf>
    <xf numFmtId="0" fontId="3" fillId="2" borderId="21" xfId="3" applyFont="1" applyFill="1" applyBorder="1" applyProtection="1">
      <alignment vertical="center"/>
      <protection locked="0"/>
    </xf>
    <xf numFmtId="3" fontId="14" fillId="11" borderId="0" xfId="4" applyNumberFormat="1" applyFill="1" applyBorder="1" applyAlignment="1">
      <alignment vertical="center"/>
    </xf>
    <xf numFmtId="0" fontId="15" fillId="6" borderId="2" xfId="2" applyFont="1" applyFill="1" applyBorder="1" applyAlignment="1">
      <alignment horizontal="center" vertical="center" wrapText="1"/>
    </xf>
    <xf numFmtId="3" fontId="14" fillId="5" borderId="0" xfId="4" applyNumberFormat="1" applyFill="1" applyBorder="1" applyAlignment="1">
      <alignment vertical="center"/>
    </xf>
    <xf numFmtId="0" fontId="12" fillId="2" borderId="0" xfId="3" applyFont="1" applyFill="1" applyBorder="1" applyAlignment="1" applyProtection="1">
      <alignment horizontal="left" vertical="center" wrapText="1"/>
      <protection locked="0"/>
    </xf>
    <xf numFmtId="0" fontId="16" fillId="5" borderId="12" xfId="0" applyFont="1" applyFill="1" applyBorder="1"/>
    <xf numFmtId="0" fontId="17" fillId="12" borderId="13" xfId="0" applyFont="1" applyFill="1" applyBorder="1" applyAlignment="1">
      <alignment horizontal="right" vertical="center" wrapText="1"/>
    </xf>
    <xf numFmtId="0" fontId="0" fillId="12" borderId="14" xfId="0" applyFill="1" applyBorder="1" applyAlignment="1">
      <alignment vertical="center"/>
    </xf>
    <xf numFmtId="0" fontId="4" fillId="2" borderId="1" xfId="3" applyFont="1" applyFill="1" applyBorder="1" applyAlignment="1" applyProtection="1">
      <alignment horizontal="left" vertical="center" wrapText="1"/>
      <protection locked="0"/>
    </xf>
    <xf numFmtId="3" fontId="0" fillId="5" borderId="1" xfId="0" applyNumberFormat="1" applyFill="1" applyBorder="1"/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4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topLeftCell="A22" zoomScaleNormal="100" workbookViewId="0">
      <selection activeCell="F26" sqref="F26:F38"/>
    </sheetView>
  </sheetViews>
  <sheetFormatPr baseColWidth="10" defaultRowHeight="15"/>
  <cols>
    <col min="1" max="5" width="2.7109375" customWidth="1"/>
    <col min="6" max="6" width="97.85546875" customWidth="1"/>
    <col min="7" max="7" width="2.7109375" customWidth="1"/>
    <col min="8" max="9" width="16.7109375" customWidth="1"/>
  </cols>
  <sheetData>
    <row r="1" spans="1:10" ht="105" customHeight="1">
      <c r="A1" t="s">
        <v>0</v>
      </c>
    </row>
    <row r="2" spans="1:10">
      <c r="G2" s="12" t="s">
        <v>0</v>
      </c>
      <c r="H2" s="47" t="s">
        <v>146</v>
      </c>
    </row>
    <row r="3" spans="1:10">
      <c r="B3" s="3"/>
      <c r="C3" s="4"/>
      <c r="D3" s="4"/>
      <c r="E3" s="4"/>
      <c r="F3" s="4"/>
      <c r="G3" s="4"/>
      <c r="H3" s="4"/>
      <c r="I3" s="4"/>
      <c r="J3" s="5"/>
    </row>
    <row r="4" spans="1:10">
      <c r="B4" s="6"/>
      <c r="C4" s="1"/>
      <c r="D4" s="1" t="s">
        <v>0</v>
      </c>
      <c r="E4" s="1" t="s">
        <v>0</v>
      </c>
      <c r="F4" s="1" t="s">
        <v>9</v>
      </c>
      <c r="G4" s="1"/>
      <c r="H4" s="1"/>
      <c r="I4" s="1"/>
      <c r="J4" s="7"/>
    </row>
    <row r="5" spans="1:10">
      <c r="B5" s="6" t="s">
        <v>147</v>
      </c>
      <c r="C5" s="1" t="s">
        <v>82</v>
      </c>
      <c r="D5" s="1" t="s">
        <v>0</v>
      </c>
      <c r="E5" s="1" t="s">
        <v>0</v>
      </c>
      <c r="F5" s="2" t="s">
        <v>152</v>
      </c>
      <c r="G5" s="1"/>
      <c r="H5" s="1"/>
      <c r="I5" s="1"/>
      <c r="J5" s="7"/>
    </row>
    <row r="6" spans="1:10">
      <c r="B6" s="6" t="s">
        <v>0</v>
      </c>
      <c r="C6" s="1" t="s">
        <v>0</v>
      </c>
      <c r="D6" s="1" t="s">
        <v>0</v>
      </c>
      <c r="E6" s="1" t="s">
        <v>0</v>
      </c>
      <c r="F6" s="1"/>
      <c r="G6" s="1"/>
      <c r="H6" s="1"/>
      <c r="I6" s="1"/>
      <c r="J6" s="7"/>
    </row>
    <row r="7" spans="1:10">
      <c r="B7" s="6"/>
      <c r="C7" s="1"/>
      <c r="D7" s="1" t="s">
        <v>0</v>
      </c>
      <c r="E7" s="1" t="s">
        <v>0</v>
      </c>
      <c r="F7" s="1" t="s">
        <v>10</v>
      </c>
      <c r="G7" s="1"/>
      <c r="H7" s="1"/>
      <c r="I7" s="1"/>
      <c r="J7" s="7"/>
    </row>
    <row r="8" spans="1:10">
      <c r="B8" s="6" t="s">
        <v>147</v>
      </c>
      <c r="C8" s="1" t="s">
        <v>83</v>
      </c>
      <c r="D8" s="1" t="s">
        <v>0</v>
      </c>
      <c r="E8" s="1" t="s">
        <v>0</v>
      </c>
      <c r="F8" s="2" t="s">
        <v>153</v>
      </c>
      <c r="G8" s="1"/>
      <c r="H8" s="1"/>
      <c r="I8" s="1"/>
      <c r="J8" s="7"/>
    </row>
    <row r="9" spans="1:10">
      <c r="B9" s="6"/>
      <c r="C9" s="1"/>
      <c r="D9" s="1"/>
      <c r="E9" s="1"/>
      <c r="F9" s="1"/>
      <c r="G9" s="1"/>
      <c r="H9" s="1"/>
      <c r="I9" s="1"/>
      <c r="J9" s="7"/>
    </row>
    <row r="10" spans="1:10">
      <c r="B10" s="6"/>
      <c r="C10" s="1"/>
      <c r="D10" s="1"/>
      <c r="E10" s="1"/>
      <c r="F10" s="43" t="s">
        <v>73</v>
      </c>
      <c r="G10" s="1"/>
      <c r="H10" s="1"/>
      <c r="I10" s="1"/>
      <c r="J10" s="7"/>
    </row>
    <row r="11" spans="1:10">
      <c r="B11" s="6"/>
      <c r="C11" s="1"/>
      <c r="D11" s="1"/>
      <c r="E11" s="1"/>
      <c r="F11" s="1"/>
      <c r="G11" s="1"/>
      <c r="H11" s="1"/>
      <c r="I11" s="1"/>
      <c r="J11" s="7"/>
    </row>
    <row r="12" spans="1:10">
      <c r="B12" s="6"/>
      <c r="C12" s="1"/>
      <c r="D12" s="1" t="s">
        <v>0</v>
      </c>
      <c r="E12" s="1" t="s">
        <v>0</v>
      </c>
      <c r="F12" s="1" t="s">
        <v>11</v>
      </c>
      <c r="G12" s="1"/>
      <c r="H12" s="1"/>
      <c r="I12" s="1"/>
      <c r="J12" s="7"/>
    </row>
    <row r="13" spans="1:10">
      <c r="B13" s="6" t="s">
        <v>147</v>
      </c>
      <c r="C13" s="1" t="s">
        <v>84</v>
      </c>
      <c r="D13" s="1" t="s">
        <v>0</v>
      </c>
      <c r="E13" s="1" t="s">
        <v>0</v>
      </c>
      <c r="F13" s="2" t="s">
        <v>154</v>
      </c>
      <c r="G13" s="1"/>
      <c r="H13" s="1"/>
      <c r="I13" s="1"/>
      <c r="J13" s="7"/>
    </row>
    <row r="14" spans="1:10">
      <c r="B14" s="6"/>
      <c r="C14" s="1"/>
      <c r="D14" s="1"/>
      <c r="E14" s="1"/>
      <c r="F14" s="1"/>
      <c r="G14" s="1"/>
      <c r="H14" s="1"/>
      <c r="I14" s="1"/>
      <c r="J14" s="7"/>
    </row>
    <row r="15" spans="1:10">
      <c r="B15" s="6"/>
      <c r="C15" s="1"/>
      <c r="D15" s="1"/>
      <c r="E15" s="1"/>
      <c r="F15" s="45" t="s">
        <v>74</v>
      </c>
      <c r="G15" s="1"/>
      <c r="H15" s="1"/>
      <c r="I15" s="1"/>
      <c r="J15" s="7"/>
    </row>
    <row r="16" spans="1:10">
      <c r="B16" s="6"/>
      <c r="C16" s="1"/>
      <c r="D16" s="1"/>
      <c r="E16" s="1"/>
      <c r="F16" s="1"/>
      <c r="G16" s="1"/>
      <c r="H16" s="1"/>
      <c r="I16" s="1"/>
      <c r="J16" s="7"/>
    </row>
    <row r="17" spans="2:10">
      <c r="B17" s="6"/>
      <c r="C17" s="1"/>
      <c r="D17" s="1" t="s">
        <v>0</v>
      </c>
      <c r="E17" s="1" t="s">
        <v>0</v>
      </c>
      <c r="F17" s="1" t="s">
        <v>12</v>
      </c>
      <c r="G17" s="1"/>
      <c r="H17" s="1"/>
      <c r="I17" s="1"/>
      <c r="J17" s="7"/>
    </row>
    <row r="18" spans="2:10">
      <c r="B18" s="6" t="s">
        <v>147</v>
      </c>
      <c r="C18" s="1" t="s">
        <v>85</v>
      </c>
      <c r="D18" s="1" t="s">
        <v>0</v>
      </c>
      <c r="E18" s="1" t="s">
        <v>0</v>
      </c>
      <c r="F18" s="2" t="s">
        <v>155</v>
      </c>
      <c r="G18" s="1"/>
      <c r="H18" s="1"/>
      <c r="I18" s="1"/>
      <c r="J18" s="7"/>
    </row>
    <row r="19" spans="2:10">
      <c r="B19" s="6" t="s">
        <v>0</v>
      </c>
      <c r="C19" s="1" t="s">
        <v>0</v>
      </c>
      <c r="D19" s="1" t="s">
        <v>0</v>
      </c>
      <c r="E19" s="1" t="s">
        <v>0</v>
      </c>
      <c r="F19" s="1"/>
      <c r="G19" s="1"/>
      <c r="H19" s="1"/>
      <c r="I19" s="1"/>
      <c r="J19" s="7"/>
    </row>
    <row r="20" spans="2:10">
      <c r="B20" s="6"/>
      <c r="C20" s="1"/>
      <c r="D20" s="1" t="s">
        <v>0</v>
      </c>
      <c r="E20" s="1" t="s">
        <v>0</v>
      </c>
      <c r="F20" s="1" t="s">
        <v>13</v>
      </c>
      <c r="G20" s="1"/>
      <c r="H20" s="1"/>
      <c r="I20" s="1"/>
      <c r="J20" s="7"/>
    </row>
    <row r="21" spans="2:10">
      <c r="B21" s="6" t="s">
        <v>147</v>
      </c>
      <c r="C21" s="1" t="s">
        <v>86</v>
      </c>
      <c r="D21" s="1" t="s">
        <v>0</v>
      </c>
      <c r="E21" s="1" t="s">
        <v>0</v>
      </c>
      <c r="F21" s="2" t="s">
        <v>156</v>
      </c>
      <c r="G21" s="1"/>
      <c r="H21" s="1"/>
      <c r="I21" s="1"/>
      <c r="J21" s="7"/>
    </row>
    <row r="22" spans="2:10" ht="24">
      <c r="B22" s="6"/>
      <c r="C22" s="1"/>
      <c r="D22" s="1"/>
      <c r="E22" s="1"/>
      <c r="F22" s="1"/>
      <c r="G22" s="1"/>
      <c r="H22" s="44" t="s">
        <v>75</v>
      </c>
      <c r="I22" s="44" t="s">
        <v>76</v>
      </c>
      <c r="J22" s="7"/>
    </row>
    <row r="23" spans="2:10">
      <c r="B23" s="6" t="s">
        <v>147</v>
      </c>
      <c r="C23" s="1" t="s">
        <v>87</v>
      </c>
      <c r="D23" s="1" t="s">
        <v>0</v>
      </c>
      <c r="E23" s="1" t="s">
        <v>0</v>
      </c>
      <c r="F23" s="1" t="s">
        <v>14</v>
      </c>
      <c r="G23" s="1"/>
      <c r="H23" s="2">
        <v>1000</v>
      </c>
      <c r="I23" s="2">
        <v>2000</v>
      </c>
      <c r="J23" s="7"/>
    </row>
    <row r="24" spans="2:10">
      <c r="B24" s="6" t="s">
        <v>0</v>
      </c>
      <c r="C24" s="1" t="s">
        <v>0</v>
      </c>
      <c r="D24" s="1" t="s">
        <v>0</v>
      </c>
      <c r="E24" s="1" t="s">
        <v>0</v>
      </c>
      <c r="F24" s="1"/>
      <c r="G24" s="1"/>
      <c r="H24" s="1"/>
      <c r="I24" s="1"/>
      <c r="J24" s="7"/>
    </row>
    <row r="25" spans="2:10">
      <c r="B25" s="6"/>
      <c r="C25" s="1"/>
      <c r="D25" s="1" t="s">
        <v>0</v>
      </c>
      <c r="E25" s="1" t="s">
        <v>0</v>
      </c>
      <c r="F25" s="1" t="s">
        <v>15</v>
      </c>
      <c r="G25" s="1"/>
      <c r="H25" s="1"/>
      <c r="I25" s="1"/>
      <c r="J25" s="7"/>
    </row>
    <row r="26" spans="2:10">
      <c r="B26" s="6" t="s">
        <v>147</v>
      </c>
      <c r="C26" s="1" t="s">
        <v>88</v>
      </c>
      <c r="D26" s="1" t="s">
        <v>0</v>
      </c>
      <c r="E26" s="1" t="s">
        <v>0</v>
      </c>
      <c r="F26" s="2" t="s">
        <v>157</v>
      </c>
      <c r="G26" s="1"/>
      <c r="H26" s="1"/>
      <c r="I26" s="1"/>
      <c r="J26" s="7"/>
    </row>
    <row r="27" spans="2:10">
      <c r="B27" s="6" t="s">
        <v>0</v>
      </c>
      <c r="C27" s="1" t="s">
        <v>0</v>
      </c>
      <c r="D27" s="1" t="s">
        <v>0</v>
      </c>
      <c r="E27" s="1" t="s">
        <v>0</v>
      </c>
      <c r="F27" s="1"/>
      <c r="G27" s="1"/>
      <c r="H27" s="1"/>
      <c r="I27" s="1"/>
      <c r="J27" s="7"/>
    </row>
    <row r="28" spans="2:10">
      <c r="B28" s="6"/>
      <c r="C28" s="1"/>
      <c r="D28" s="1" t="s">
        <v>0</v>
      </c>
      <c r="E28" s="1" t="s">
        <v>0</v>
      </c>
      <c r="F28" s="1" t="s">
        <v>16</v>
      </c>
      <c r="G28" s="1"/>
      <c r="H28" s="1"/>
      <c r="I28" s="1"/>
      <c r="J28" s="7"/>
    </row>
    <row r="29" spans="2:10">
      <c r="B29" s="6" t="s">
        <v>147</v>
      </c>
      <c r="C29" s="1" t="s">
        <v>89</v>
      </c>
      <c r="D29" s="1" t="s">
        <v>0</v>
      </c>
      <c r="E29" s="1" t="s">
        <v>0</v>
      </c>
      <c r="F29" s="2" t="s">
        <v>158</v>
      </c>
      <c r="G29" s="1"/>
      <c r="H29" s="1"/>
      <c r="I29" s="1"/>
      <c r="J29" s="7"/>
    </row>
    <row r="30" spans="2:10">
      <c r="B30" s="6" t="s">
        <v>0</v>
      </c>
      <c r="C30" s="1" t="s">
        <v>0</v>
      </c>
      <c r="D30" s="1" t="s">
        <v>0</v>
      </c>
      <c r="E30" s="1" t="s">
        <v>0</v>
      </c>
      <c r="F30" s="1"/>
      <c r="G30" s="1"/>
      <c r="H30" s="1"/>
      <c r="I30" s="1"/>
      <c r="J30" s="7"/>
    </row>
    <row r="31" spans="2:10" ht="24">
      <c r="B31" s="6"/>
      <c r="C31" s="1"/>
      <c r="D31" s="1" t="s">
        <v>0</v>
      </c>
      <c r="E31" s="1" t="s">
        <v>0</v>
      </c>
      <c r="F31" s="32" t="s">
        <v>17</v>
      </c>
      <c r="G31" s="1"/>
      <c r="H31" s="1"/>
      <c r="I31" s="1"/>
      <c r="J31" s="7"/>
    </row>
    <row r="32" spans="2:10">
      <c r="B32" s="6" t="s">
        <v>147</v>
      </c>
      <c r="C32" s="1" t="s">
        <v>90</v>
      </c>
      <c r="D32" s="1" t="s">
        <v>0</v>
      </c>
      <c r="E32" s="1" t="s">
        <v>0</v>
      </c>
      <c r="F32" s="2" t="s">
        <v>159</v>
      </c>
      <c r="G32" s="1"/>
      <c r="H32" s="1"/>
      <c r="I32" s="1"/>
      <c r="J32" s="7"/>
    </row>
    <row r="33" spans="2:10">
      <c r="B33" s="6" t="s">
        <v>0</v>
      </c>
      <c r="C33" s="1" t="s">
        <v>0</v>
      </c>
      <c r="D33" s="1" t="s">
        <v>0</v>
      </c>
      <c r="E33" s="1" t="s">
        <v>0</v>
      </c>
      <c r="F33" s="1"/>
      <c r="G33" s="1"/>
      <c r="H33" s="1"/>
      <c r="I33" s="1"/>
      <c r="J33" s="7"/>
    </row>
    <row r="34" spans="2:10" ht="24">
      <c r="B34" s="6"/>
      <c r="C34" s="1"/>
      <c r="D34" s="1" t="s">
        <v>0</v>
      </c>
      <c r="E34" s="1" t="s">
        <v>0</v>
      </c>
      <c r="F34" s="32" t="s">
        <v>18</v>
      </c>
      <c r="G34" s="1"/>
      <c r="H34" s="1"/>
      <c r="I34" s="1"/>
      <c r="J34" s="7"/>
    </row>
    <row r="35" spans="2:10">
      <c r="B35" s="6" t="s">
        <v>147</v>
      </c>
      <c r="C35" s="1" t="s">
        <v>91</v>
      </c>
      <c r="D35" s="1" t="s">
        <v>0</v>
      </c>
      <c r="E35" s="1" t="s">
        <v>0</v>
      </c>
      <c r="F35" s="2" t="s">
        <v>160</v>
      </c>
      <c r="G35" s="1"/>
      <c r="H35" s="1"/>
      <c r="I35" s="1"/>
      <c r="J35" s="7"/>
    </row>
    <row r="36" spans="2:10">
      <c r="B36" s="6" t="s">
        <v>0</v>
      </c>
      <c r="C36" s="1" t="s">
        <v>0</v>
      </c>
      <c r="D36" s="1" t="s">
        <v>0</v>
      </c>
      <c r="E36" s="1" t="s">
        <v>0</v>
      </c>
      <c r="F36" s="1"/>
      <c r="G36" s="1"/>
      <c r="H36" s="1"/>
      <c r="I36" s="1"/>
      <c r="J36" s="7"/>
    </row>
    <row r="37" spans="2:10" ht="24">
      <c r="B37" s="6"/>
      <c r="C37" s="1"/>
      <c r="D37" s="1" t="s">
        <v>0</v>
      </c>
      <c r="E37" s="1" t="s">
        <v>0</v>
      </c>
      <c r="F37" s="32" t="s">
        <v>19</v>
      </c>
      <c r="G37" s="1"/>
      <c r="H37" s="1"/>
      <c r="I37" s="1"/>
      <c r="J37" s="7"/>
    </row>
    <row r="38" spans="2:10">
      <c r="B38" s="6" t="s">
        <v>147</v>
      </c>
      <c r="C38" s="1" t="s">
        <v>92</v>
      </c>
      <c r="D38" s="1" t="s">
        <v>0</v>
      </c>
      <c r="E38" s="1" t="s">
        <v>0</v>
      </c>
      <c r="F38" s="2" t="s">
        <v>161</v>
      </c>
      <c r="G38" s="1"/>
      <c r="H38" s="1"/>
      <c r="I38" s="1"/>
      <c r="J38" s="7"/>
    </row>
    <row r="39" spans="2:10">
      <c r="B39" s="8"/>
      <c r="C39" s="9"/>
      <c r="D39" s="9"/>
      <c r="E39" s="9"/>
      <c r="F39" s="10"/>
      <c r="G39" s="13"/>
      <c r="H39" s="13"/>
      <c r="I39" s="13"/>
      <c r="J39" s="11"/>
    </row>
  </sheetData>
  <hyperlinks>
    <hyperlink ref="F10" location="'IAS37-InfoReveOtraProv'!A1" display="Información a revelar sobre otras provisiones [tabla]" xr:uid="{00000000-0004-0000-0000-000000000000}"/>
    <hyperlink ref="F15" location="'IAS37-InfoRevePasiCont'!A1" display="Información a revelar sobre pasivos contingentes [tabla]" xr:uid="{00000000-0004-0000-0000-000001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6" tint="-0.249977111117893"/>
  </sheetPr>
  <dimension ref="A1:Q63"/>
  <sheetViews>
    <sheetView topLeftCell="F42" zoomScale="80" zoomScaleNormal="80" workbookViewId="0">
      <selection activeCell="P44" sqref="P44:P49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17" width="16.7109375" customWidth="1"/>
  </cols>
  <sheetData>
    <row r="1" spans="1:17" ht="60" customHeight="1" thickBot="1"/>
    <row r="2" spans="1:17" ht="171.75" customHeight="1" thickBot="1">
      <c r="F2" s="14" t="s">
        <v>4</v>
      </c>
    </row>
    <row r="3" spans="1:17" ht="16.5" thickBot="1">
      <c r="A3" s="15"/>
      <c r="F3" s="48" t="s">
        <v>81</v>
      </c>
      <c r="G3" s="49" t="s">
        <v>79</v>
      </c>
    </row>
    <row r="4" spans="1:17" ht="104.25" customHeight="1" thickBot="1">
      <c r="A4" s="35" t="s">
        <v>6</v>
      </c>
      <c r="B4" s="34" t="s">
        <v>0</v>
      </c>
      <c r="C4" s="33"/>
      <c r="D4" s="33"/>
      <c r="E4" s="33"/>
      <c r="F4" s="36" t="s">
        <v>31</v>
      </c>
      <c r="G4" s="16" t="s">
        <v>21</v>
      </c>
      <c r="H4" s="16" t="s">
        <v>22</v>
      </c>
      <c r="I4" s="16" t="s">
        <v>23</v>
      </c>
      <c r="J4" s="16" t="s">
        <v>24</v>
      </c>
      <c r="K4" s="16" t="s">
        <v>25</v>
      </c>
      <c r="L4" s="16" t="s">
        <v>20</v>
      </c>
      <c r="M4" s="16" t="s">
        <v>26</v>
      </c>
      <c r="N4" s="16" t="s">
        <v>27</v>
      </c>
      <c r="O4" s="16" t="s">
        <v>28</v>
      </c>
      <c r="P4" s="16" t="s">
        <v>29</v>
      </c>
      <c r="Q4" s="16" t="s">
        <v>30</v>
      </c>
    </row>
    <row r="5" spans="1:17" hidden="1">
      <c r="A5" s="17" t="s">
        <v>5</v>
      </c>
      <c r="B5" s="18"/>
      <c r="C5" s="18"/>
      <c r="D5" s="18" t="s">
        <v>93</v>
      </c>
      <c r="E5" s="18" t="s">
        <v>94</v>
      </c>
      <c r="F5" s="18"/>
      <c r="G5" s="19" t="s">
        <v>95</v>
      </c>
      <c r="H5" s="19" t="s">
        <v>96</v>
      </c>
      <c r="I5" s="19" t="s">
        <v>97</v>
      </c>
      <c r="J5" s="19" t="s">
        <v>98</v>
      </c>
      <c r="K5" s="19" t="s">
        <v>99</v>
      </c>
      <c r="L5" s="19" t="s">
        <v>100</v>
      </c>
      <c r="M5" s="19" t="s">
        <v>101</v>
      </c>
      <c r="N5" s="19" t="s">
        <v>102</v>
      </c>
      <c r="O5" s="19" t="s">
        <v>103</v>
      </c>
      <c r="P5" s="19" t="s">
        <v>104</v>
      </c>
      <c r="Q5" s="19" t="s">
        <v>105</v>
      </c>
    </row>
    <row r="6" spans="1:17" ht="22.5" customHeight="1">
      <c r="B6" s="20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1:17" ht="22.5" customHeight="1">
      <c r="B7" s="20"/>
      <c r="C7" s="18"/>
      <c r="D7" s="18"/>
      <c r="E7" s="18"/>
      <c r="F7" s="21" t="s">
        <v>2</v>
      </c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</row>
    <row r="8" spans="1:17">
      <c r="A8" s="22"/>
      <c r="B8" s="23"/>
      <c r="C8" s="24"/>
      <c r="D8" s="24"/>
      <c r="E8" s="24"/>
      <c r="F8" s="25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</row>
    <row r="9" spans="1:17">
      <c r="A9" s="22"/>
      <c r="B9" s="23"/>
      <c r="C9" s="24"/>
      <c r="D9" s="24" t="s">
        <v>0</v>
      </c>
      <c r="E9" s="24" t="s">
        <v>0</v>
      </c>
      <c r="F9" s="25" t="s">
        <v>32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</row>
    <row r="10" spans="1:17">
      <c r="A10" s="22" t="s">
        <v>8</v>
      </c>
      <c r="B10" s="23"/>
      <c r="C10" s="24" t="s">
        <v>106</v>
      </c>
      <c r="D10" s="24" t="s">
        <v>1</v>
      </c>
      <c r="E10" s="24" t="s">
        <v>0</v>
      </c>
      <c r="F10" s="46" t="s">
        <v>149</v>
      </c>
      <c r="G10" s="30"/>
      <c r="H10" s="30"/>
      <c r="I10" s="30">
        <v>1253461000</v>
      </c>
      <c r="J10" s="30"/>
      <c r="K10" s="30"/>
      <c r="L10" s="30"/>
      <c r="M10" s="30"/>
      <c r="N10" s="30"/>
      <c r="O10" s="30"/>
      <c r="P10" s="30">
        <v>350485000</v>
      </c>
      <c r="Q10" s="31">
        <f>SUM(G10:P10)</f>
        <v>1603946000</v>
      </c>
    </row>
    <row r="11" spans="1:17">
      <c r="A11" s="22"/>
      <c r="B11" s="23"/>
      <c r="C11" s="24"/>
      <c r="D11" s="24" t="s">
        <v>0</v>
      </c>
      <c r="E11" s="24" t="s">
        <v>0</v>
      </c>
      <c r="F11" s="25" t="s">
        <v>33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7">
      <c r="A12" s="22"/>
      <c r="B12" s="23"/>
      <c r="C12" s="24"/>
      <c r="D12" s="24" t="s">
        <v>0</v>
      </c>
      <c r="E12" s="24" t="s">
        <v>0</v>
      </c>
      <c r="F12" s="25" t="s">
        <v>34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</row>
    <row r="13" spans="1:17">
      <c r="A13" s="22"/>
      <c r="B13" s="23"/>
      <c r="C13" s="24" t="s">
        <v>107</v>
      </c>
      <c r="D13" s="24" t="s">
        <v>1</v>
      </c>
      <c r="E13" s="24" t="s">
        <v>0</v>
      </c>
      <c r="F13" s="29" t="s">
        <v>35</v>
      </c>
      <c r="G13" s="30"/>
      <c r="H13" s="30"/>
      <c r="I13" s="30">
        <v>1429526000</v>
      </c>
      <c r="J13" s="30"/>
      <c r="K13" s="30"/>
      <c r="L13" s="30"/>
      <c r="M13" s="30"/>
      <c r="N13" s="30"/>
      <c r="O13" s="30"/>
      <c r="P13" s="30">
        <v>76572000</v>
      </c>
      <c r="Q13" s="31">
        <f t="shared" ref="Q13:Q24" si="0">SUM(G13:P13)</f>
        <v>1506098000</v>
      </c>
    </row>
    <row r="14" spans="1:17">
      <c r="A14" s="22"/>
      <c r="B14" s="23"/>
      <c r="C14" s="24" t="s">
        <v>108</v>
      </c>
      <c r="D14" s="24" t="s">
        <v>1</v>
      </c>
      <c r="E14" s="24" t="s">
        <v>0</v>
      </c>
      <c r="F14" s="29" t="s">
        <v>36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1">
        <f t="shared" si="0"/>
        <v>0</v>
      </c>
    </row>
    <row r="15" spans="1:17">
      <c r="A15" s="22"/>
      <c r="B15" s="23"/>
      <c r="C15" s="24" t="s">
        <v>109</v>
      </c>
      <c r="D15" s="24" t="s">
        <v>1</v>
      </c>
      <c r="E15" s="24" t="s">
        <v>0</v>
      </c>
      <c r="F15" s="25" t="s">
        <v>37</v>
      </c>
      <c r="G15" s="31">
        <f>G13+G14</f>
        <v>0</v>
      </c>
      <c r="H15" s="31">
        <f t="shared" ref="H15:P15" si="1">H13+H14</f>
        <v>0</v>
      </c>
      <c r="I15" s="31">
        <f t="shared" si="1"/>
        <v>1429526000</v>
      </c>
      <c r="J15" s="31">
        <f t="shared" si="1"/>
        <v>0</v>
      </c>
      <c r="K15" s="31">
        <f t="shared" si="1"/>
        <v>0</v>
      </c>
      <c r="L15" s="31">
        <f t="shared" si="1"/>
        <v>0</v>
      </c>
      <c r="M15" s="31">
        <f t="shared" si="1"/>
        <v>0</v>
      </c>
      <c r="N15" s="31">
        <f t="shared" si="1"/>
        <v>0</v>
      </c>
      <c r="O15" s="31">
        <f t="shared" si="1"/>
        <v>0</v>
      </c>
      <c r="P15" s="31">
        <f t="shared" si="1"/>
        <v>76572000</v>
      </c>
      <c r="Q15" s="31">
        <f t="shared" si="0"/>
        <v>1506098000</v>
      </c>
    </row>
    <row r="16" spans="1:17">
      <c r="A16" s="22"/>
      <c r="B16" s="23"/>
      <c r="C16" s="24" t="s">
        <v>110</v>
      </c>
      <c r="D16" s="24" t="s">
        <v>1</v>
      </c>
      <c r="E16" s="24" t="s">
        <v>0</v>
      </c>
      <c r="F16" s="37" t="s">
        <v>38</v>
      </c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1">
        <f t="shared" si="0"/>
        <v>0</v>
      </c>
    </row>
    <row r="17" spans="1:17">
      <c r="A17" s="22"/>
      <c r="B17" s="23"/>
      <c r="C17" s="24" t="s">
        <v>111</v>
      </c>
      <c r="D17" s="24" t="s">
        <v>1</v>
      </c>
      <c r="E17" s="24" t="s">
        <v>0</v>
      </c>
      <c r="F17" s="29" t="s">
        <v>39</v>
      </c>
      <c r="G17" s="30"/>
      <c r="H17" s="30"/>
      <c r="I17" s="30">
        <v>831668000</v>
      </c>
      <c r="J17" s="30"/>
      <c r="K17" s="30"/>
      <c r="L17" s="30"/>
      <c r="M17" s="30"/>
      <c r="N17" s="30"/>
      <c r="O17" s="30"/>
      <c r="P17" s="30"/>
      <c r="Q17" s="31">
        <f t="shared" si="0"/>
        <v>831668000</v>
      </c>
    </row>
    <row r="18" spans="1:17">
      <c r="A18" s="22"/>
      <c r="B18" s="23"/>
      <c r="C18" s="24" t="s">
        <v>112</v>
      </c>
      <c r="D18" s="24" t="s">
        <v>1</v>
      </c>
      <c r="E18" s="24" t="s">
        <v>0</v>
      </c>
      <c r="F18" s="29" t="s">
        <v>40</v>
      </c>
      <c r="G18" s="30"/>
      <c r="H18" s="30"/>
      <c r="I18" s="30">
        <v>600592000</v>
      </c>
      <c r="J18" s="30"/>
      <c r="K18" s="30"/>
      <c r="L18" s="30"/>
      <c r="M18" s="30"/>
      <c r="N18" s="30"/>
      <c r="O18" s="30"/>
      <c r="P18" s="30">
        <v>144051000</v>
      </c>
      <c r="Q18" s="31">
        <f t="shared" si="0"/>
        <v>744643000</v>
      </c>
    </row>
    <row r="19" spans="1:17">
      <c r="A19" s="22"/>
      <c r="B19" s="23"/>
      <c r="C19" s="24" t="s">
        <v>113</v>
      </c>
      <c r="D19" s="24" t="s">
        <v>1</v>
      </c>
      <c r="E19" s="24" t="s">
        <v>0</v>
      </c>
      <c r="F19" s="29" t="s">
        <v>41</v>
      </c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1">
        <f t="shared" si="0"/>
        <v>0</v>
      </c>
    </row>
    <row r="20" spans="1:17" ht="22.5">
      <c r="A20" s="22"/>
      <c r="B20" s="23"/>
      <c r="C20" s="24" t="s">
        <v>114</v>
      </c>
      <c r="D20" s="24" t="s">
        <v>1</v>
      </c>
      <c r="E20" s="24" t="s">
        <v>0</v>
      </c>
      <c r="F20" s="29" t="s">
        <v>42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1">
        <f t="shared" si="0"/>
        <v>0</v>
      </c>
    </row>
    <row r="21" spans="1:17">
      <c r="A21" s="22"/>
      <c r="B21" s="23"/>
      <c r="C21" s="24" t="s">
        <v>115</v>
      </c>
      <c r="D21" s="24" t="s">
        <v>1</v>
      </c>
      <c r="E21" s="24" t="s">
        <v>0</v>
      </c>
      <c r="F21" s="29" t="s">
        <v>43</v>
      </c>
      <c r="G21" s="30"/>
      <c r="H21" s="30"/>
      <c r="I21" s="30"/>
      <c r="J21" s="30"/>
      <c r="K21" s="30"/>
      <c r="L21" s="30"/>
      <c r="M21" s="30"/>
      <c r="N21" s="30"/>
      <c r="O21" s="30"/>
      <c r="P21" s="30">
        <v>6133000</v>
      </c>
      <c r="Q21" s="31">
        <f t="shared" si="0"/>
        <v>6133000</v>
      </c>
    </row>
    <row r="22" spans="1:17">
      <c r="A22" s="22"/>
      <c r="B22" s="23"/>
      <c r="C22" s="24" t="s">
        <v>116</v>
      </c>
      <c r="D22" s="24" t="s">
        <v>1</v>
      </c>
      <c r="E22" s="24" t="s">
        <v>0</v>
      </c>
      <c r="F22" s="29" t="s">
        <v>44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1">
        <f t="shared" si="0"/>
        <v>0</v>
      </c>
    </row>
    <row r="23" spans="1:17">
      <c r="A23" s="22"/>
      <c r="B23" s="23"/>
      <c r="C23" s="24" t="s">
        <v>117</v>
      </c>
      <c r="D23" s="24" t="s">
        <v>1</v>
      </c>
      <c r="E23" s="24" t="s">
        <v>0</v>
      </c>
      <c r="F23" s="29" t="s">
        <v>45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1">
        <f t="shared" si="0"/>
        <v>0</v>
      </c>
    </row>
    <row r="24" spans="1:17" ht="22.5">
      <c r="A24" s="22"/>
      <c r="B24" s="23"/>
      <c r="C24" s="24" t="s">
        <v>118</v>
      </c>
      <c r="D24" s="24" t="s">
        <v>1</v>
      </c>
      <c r="E24" s="24" t="s">
        <v>0</v>
      </c>
      <c r="F24" s="29" t="s">
        <v>46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1">
        <f t="shared" si="0"/>
        <v>0</v>
      </c>
    </row>
    <row r="25" spans="1:17">
      <c r="A25" s="22"/>
      <c r="B25" s="23"/>
      <c r="C25" s="24" t="s">
        <v>119</v>
      </c>
      <c r="D25" s="24" t="s">
        <v>1</v>
      </c>
      <c r="E25" s="24" t="s">
        <v>0</v>
      </c>
      <c r="F25" s="25" t="s">
        <v>47</v>
      </c>
      <c r="G25" s="31">
        <f>G15+G16-G17-G18+G19+G20+G21-G22+G23</f>
        <v>0</v>
      </c>
      <c r="H25" s="31">
        <f t="shared" ref="H25:Q25" si="2">H15+H16-H17-H18+H19+H20+H21-H22+H23</f>
        <v>0</v>
      </c>
      <c r="I25" s="31">
        <f t="shared" si="2"/>
        <v>-2734000</v>
      </c>
      <c r="J25" s="31">
        <f t="shared" si="2"/>
        <v>0</v>
      </c>
      <c r="K25" s="31">
        <f t="shared" si="2"/>
        <v>0</v>
      </c>
      <c r="L25" s="31">
        <f t="shared" si="2"/>
        <v>0</v>
      </c>
      <c r="M25" s="31">
        <f t="shared" si="2"/>
        <v>0</v>
      </c>
      <c r="N25" s="31">
        <f t="shared" si="2"/>
        <v>0</v>
      </c>
      <c r="O25" s="31">
        <f t="shared" si="2"/>
        <v>0</v>
      </c>
      <c r="P25" s="31">
        <f t="shared" si="2"/>
        <v>-61346000</v>
      </c>
      <c r="Q25" s="31">
        <f t="shared" si="2"/>
        <v>-64080000</v>
      </c>
    </row>
    <row r="26" spans="1:17">
      <c r="A26" s="22"/>
      <c r="B26" s="23"/>
      <c r="C26" s="24" t="s">
        <v>106</v>
      </c>
      <c r="D26" s="24" t="s">
        <v>1</v>
      </c>
      <c r="E26" s="24" t="s">
        <v>0</v>
      </c>
      <c r="F26" s="46" t="s">
        <v>77</v>
      </c>
      <c r="G26" s="31">
        <f>G10+G25</f>
        <v>0</v>
      </c>
      <c r="H26" s="31">
        <f t="shared" ref="H26:Q26" si="3">H10+H25</f>
        <v>0</v>
      </c>
      <c r="I26" s="31">
        <f t="shared" si="3"/>
        <v>1250727000</v>
      </c>
      <c r="J26" s="31">
        <f t="shared" si="3"/>
        <v>0</v>
      </c>
      <c r="K26" s="31">
        <f t="shared" si="3"/>
        <v>0</v>
      </c>
      <c r="L26" s="31">
        <f t="shared" si="3"/>
        <v>0</v>
      </c>
      <c r="M26" s="31">
        <f t="shared" si="3"/>
        <v>0</v>
      </c>
      <c r="N26" s="31">
        <f t="shared" si="3"/>
        <v>0</v>
      </c>
      <c r="O26" s="31">
        <f t="shared" si="3"/>
        <v>0</v>
      </c>
      <c r="P26" s="31">
        <f t="shared" si="3"/>
        <v>289139000</v>
      </c>
      <c r="Q26" s="31">
        <f t="shared" si="3"/>
        <v>1539866000</v>
      </c>
    </row>
    <row r="27" spans="1:17">
      <c r="A27" s="22"/>
      <c r="B27" s="23"/>
      <c r="C27" s="24" t="s">
        <v>120</v>
      </c>
      <c r="D27" s="24" t="s">
        <v>1</v>
      </c>
      <c r="E27" s="24" t="s">
        <v>0</v>
      </c>
      <c r="F27" s="29" t="s">
        <v>48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</row>
    <row r="28" spans="1:17">
      <c r="A28" s="22"/>
      <c r="B28" s="23"/>
      <c r="C28" s="24" t="s">
        <v>121</v>
      </c>
      <c r="D28" s="24" t="s">
        <v>1</v>
      </c>
      <c r="E28" s="24" t="s">
        <v>0</v>
      </c>
      <c r="F28" s="29" t="s">
        <v>49</v>
      </c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</row>
    <row r="29" spans="1:17">
      <c r="A29" s="22"/>
      <c r="B29" s="23"/>
      <c r="C29" s="24" t="s">
        <v>122</v>
      </c>
      <c r="D29" s="24" t="s">
        <v>1</v>
      </c>
      <c r="E29" s="24" t="s">
        <v>0</v>
      </c>
      <c r="F29" s="29" t="s">
        <v>50</v>
      </c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</row>
    <row r="30" spans="1:17" ht="22.5">
      <c r="A30" s="22"/>
      <c r="B30" s="23"/>
      <c r="C30" s="24" t="s">
        <v>123</v>
      </c>
      <c r="D30" s="24" t="s">
        <v>1</v>
      </c>
      <c r="E30" s="24" t="s">
        <v>0</v>
      </c>
      <c r="F30" s="29" t="s">
        <v>51</v>
      </c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</row>
    <row r="31" spans="1:17">
      <c r="A31" s="22"/>
      <c r="B31" s="23"/>
      <c r="C31" s="24" t="s">
        <v>124</v>
      </c>
      <c r="D31" s="24" t="s">
        <v>1</v>
      </c>
      <c r="E31" s="24" t="s">
        <v>0</v>
      </c>
      <c r="F31" s="29" t="s">
        <v>52</v>
      </c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1">
        <f t="shared" ref="Q31:Q32" si="4">SUM(G31:P31)</f>
        <v>0</v>
      </c>
    </row>
    <row r="32" spans="1:17">
      <c r="A32" s="22"/>
      <c r="B32" s="23"/>
      <c r="C32" s="24" t="s">
        <v>125</v>
      </c>
      <c r="D32" s="24" t="s">
        <v>1</v>
      </c>
      <c r="E32" s="24" t="s">
        <v>0</v>
      </c>
      <c r="F32" s="29" t="s">
        <v>53</v>
      </c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1">
        <f t="shared" si="4"/>
        <v>0</v>
      </c>
    </row>
    <row r="33" spans="1:17">
      <c r="A33" s="22"/>
      <c r="B33" s="23"/>
      <c r="C33" s="24"/>
      <c r="D33" s="24"/>
      <c r="E33" s="24"/>
      <c r="F33" s="25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</row>
    <row r="34" spans="1:17">
      <c r="A34" s="22"/>
      <c r="B34" s="23"/>
      <c r="C34" s="24"/>
      <c r="D34" s="24"/>
      <c r="E34" s="24"/>
      <c r="F34" s="25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</row>
    <row r="35" spans="1:17" ht="22.5" customHeight="1">
      <c r="B35" s="20"/>
      <c r="C35" s="18"/>
      <c r="D35" s="18"/>
      <c r="E35" s="18"/>
      <c r="F35" s="21" t="s">
        <v>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</row>
    <row r="36" spans="1:17">
      <c r="A36" s="22"/>
      <c r="B36" s="23"/>
      <c r="C36" s="24"/>
      <c r="D36" s="24"/>
      <c r="E36" s="24"/>
      <c r="F36" s="25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</row>
    <row r="37" spans="1:17">
      <c r="A37" s="22"/>
      <c r="B37" s="23"/>
      <c r="C37" s="24"/>
      <c r="D37" s="24" t="s">
        <v>0</v>
      </c>
      <c r="E37" s="24" t="s">
        <v>0</v>
      </c>
      <c r="F37" s="25" t="s">
        <v>32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</row>
    <row r="38" spans="1:17">
      <c r="A38" s="22" t="s">
        <v>8</v>
      </c>
      <c r="B38" s="23"/>
      <c r="C38" s="24" t="s">
        <v>106</v>
      </c>
      <c r="D38" s="24" t="s">
        <v>7</v>
      </c>
      <c r="E38" s="24" t="s">
        <v>0</v>
      </c>
      <c r="F38" s="46" t="s">
        <v>150</v>
      </c>
      <c r="G38" s="30"/>
      <c r="H38" s="30"/>
      <c r="I38" s="30">
        <v>1359064000</v>
      </c>
      <c r="J38" s="30">
        <v>14000000</v>
      </c>
      <c r="K38" s="30"/>
      <c r="L38" s="30"/>
      <c r="M38" s="30"/>
      <c r="N38" s="30"/>
      <c r="O38" s="30"/>
      <c r="P38" s="30">
        <v>956768000</v>
      </c>
      <c r="Q38" s="31">
        <f>SUM(G38:P38)</f>
        <v>2329832000</v>
      </c>
    </row>
    <row r="39" spans="1:17">
      <c r="A39" s="22"/>
      <c r="B39" s="23"/>
      <c r="C39" s="24"/>
      <c r="D39" s="24" t="s">
        <v>0</v>
      </c>
      <c r="E39" s="24" t="s">
        <v>0</v>
      </c>
      <c r="F39" s="25" t="s">
        <v>33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</row>
    <row r="40" spans="1:17">
      <c r="A40" s="22"/>
      <c r="B40" s="23"/>
      <c r="C40" s="24"/>
      <c r="D40" s="24" t="s">
        <v>0</v>
      </c>
      <c r="E40" s="24" t="s">
        <v>0</v>
      </c>
      <c r="F40" s="25" t="s">
        <v>34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</row>
    <row r="41" spans="1:17">
      <c r="A41" s="22"/>
      <c r="B41" s="23"/>
      <c r="C41" s="24" t="s">
        <v>107</v>
      </c>
      <c r="D41" s="24" t="s">
        <v>78</v>
      </c>
      <c r="E41" s="24" t="s">
        <v>0</v>
      </c>
      <c r="F41" s="29" t="s">
        <v>35</v>
      </c>
      <c r="G41" s="30"/>
      <c r="H41" s="30"/>
      <c r="I41" s="30">
        <v>135000000</v>
      </c>
      <c r="J41" s="30"/>
      <c r="K41" s="30"/>
      <c r="L41" s="30"/>
      <c r="M41" s="30"/>
      <c r="N41" s="30"/>
      <c r="O41" s="30"/>
      <c r="P41" s="30">
        <v>1197000</v>
      </c>
      <c r="Q41" s="31">
        <f t="shared" ref="Q41:Q52" si="5">SUM(G41:P41)</f>
        <v>136197000</v>
      </c>
    </row>
    <row r="42" spans="1:17">
      <c r="A42" s="22"/>
      <c r="B42" s="23"/>
      <c r="C42" s="24" t="s">
        <v>108</v>
      </c>
      <c r="D42" s="24" t="s">
        <v>78</v>
      </c>
      <c r="E42" s="24" t="s">
        <v>0</v>
      </c>
      <c r="F42" s="29" t="s">
        <v>36</v>
      </c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1">
        <f t="shared" si="5"/>
        <v>0</v>
      </c>
    </row>
    <row r="43" spans="1:17">
      <c r="A43" s="22"/>
      <c r="B43" s="23"/>
      <c r="C43" s="24" t="s">
        <v>109</v>
      </c>
      <c r="D43" s="24" t="s">
        <v>78</v>
      </c>
      <c r="E43" s="24" t="s">
        <v>0</v>
      </c>
      <c r="F43" s="29" t="s">
        <v>37</v>
      </c>
      <c r="G43" s="31">
        <f>G41+G42</f>
        <v>0</v>
      </c>
      <c r="H43" s="31">
        <f t="shared" ref="H43" si="6">H41+H42</f>
        <v>0</v>
      </c>
      <c r="I43" s="31">
        <f t="shared" ref="I43" si="7">I41+I42</f>
        <v>135000000</v>
      </c>
      <c r="J43" s="31">
        <f t="shared" ref="J43" si="8">J41+J42</f>
        <v>0</v>
      </c>
      <c r="K43" s="31">
        <f t="shared" ref="K43" si="9">K41+K42</f>
        <v>0</v>
      </c>
      <c r="L43" s="31">
        <f t="shared" ref="L43" si="10">L41+L42</f>
        <v>0</v>
      </c>
      <c r="M43" s="31">
        <f t="shared" ref="M43" si="11">M41+M42</f>
        <v>0</v>
      </c>
      <c r="N43" s="31">
        <f t="shared" ref="N43" si="12">N41+N42</f>
        <v>0</v>
      </c>
      <c r="O43" s="31">
        <f t="shared" ref="O43" si="13">O41+O42</f>
        <v>0</v>
      </c>
      <c r="P43" s="31">
        <f t="shared" ref="P43" si="14">P41+P42</f>
        <v>1197000</v>
      </c>
      <c r="Q43" s="31">
        <f t="shared" si="5"/>
        <v>136197000</v>
      </c>
    </row>
    <row r="44" spans="1:17">
      <c r="A44" s="22"/>
      <c r="B44" s="23"/>
      <c r="C44" s="24" t="s">
        <v>110</v>
      </c>
      <c r="D44" s="24" t="s">
        <v>78</v>
      </c>
      <c r="E44" s="24" t="s">
        <v>0</v>
      </c>
      <c r="F44" s="37" t="s">
        <v>38</v>
      </c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1">
        <f t="shared" si="5"/>
        <v>0</v>
      </c>
    </row>
    <row r="45" spans="1:17">
      <c r="A45" s="22"/>
      <c r="B45" s="23"/>
      <c r="C45" s="24" t="s">
        <v>111</v>
      </c>
      <c r="D45" s="24" t="s">
        <v>78</v>
      </c>
      <c r="E45" s="24" t="s">
        <v>0</v>
      </c>
      <c r="F45" s="29" t="s">
        <v>39</v>
      </c>
      <c r="G45" s="30"/>
      <c r="H45" s="30"/>
      <c r="I45" s="30">
        <v>240603000</v>
      </c>
      <c r="J45" s="30">
        <v>14000000</v>
      </c>
      <c r="K45" s="30"/>
      <c r="L45" s="30"/>
      <c r="M45" s="30"/>
      <c r="N45" s="30"/>
      <c r="O45" s="30"/>
      <c r="P45" s="30"/>
      <c r="Q45" s="31">
        <f t="shared" si="5"/>
        <v>254603000</v>
      </c>
    </row>
    <row r="46" spans="1:17">
      <c r="A46" s="22"/>
      <c r="B46" s="23"/>
      <c r="C46" s="24" t="s">
        <v>112</v>
      </c>
      <c r="D46" s="24" t="s">
        <v>78</v>
      </c>
      <c r="E46" s="24" t="s">
        <v>0</v>
      </c>
      <c r="F46" s="29" t="s">
        <v>40</v>
      </c>
      <c r="G46" s="30"/>
      <c r="H46" s="30"/>
      <c r="I46" s="30"/>
      <c r="J46" s="30"/>
      <c r="K46" s="30"/>
      <c r="L46" s="30"/>
      <c r="M46" s="30"/>
      <c r="N46" s="30"/>
      <c r="O46" s="30"/>
      <c r="P46" s="30">
        <v>673701000</v>
      </c>
      <c r="Q46" s="31">
        <f t="shared" si="5"/>
        <v>673701000</v>
      </c>
    </row>
    <row r="47" spans="1:17">
      <c r="A47" s="22"/>
      <c r="B47" s="23"/>
      <c r="C47" s="24" t="s">
        <v>113</v>
      </c>
      <c r="D47" s="24" t="s">
        <v>78</v>
      </c>
      <c r="E47" s="24" t="s">
        <v>0</v>
      </c>
      <c r="F47" s="29" t="s">
        <v>41</v>
      </c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1">
        <f t="shared" si="5"/>
        <v>0</v>
      </c>
    </row>
    <row r="48" spans="1:17" ht="22.5">
      <c r="A48" s="22"/>
      <c r="B48" s="23"/>
      <c r="C48" s="24" t="s">
        <v>114</v>
      </c>
      <c r="D48" s="24" t="s">
        <v>78</v>
      </c>
      <c r="E48" s="24" t="s">
        <v>0</v>
      </c>
      <c r="F48" s="29" t="s">
        <v>42</v>
      </c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1">
        <f t="shared" si="5"/>
        <v>0</v>
      </c>
    </row>
    <row r="49" spans="1:17">
      <c r="A49" s="22"/>
      <c r="B49" s="23"/>
      <c r="C49" s="24" t="s">
        <v>115</v>
      </c>
      <c r="D49" s="24" t="s">
        <v>78</v>
      </c>
      <c r="E49" s="24" t="s">
        <v>0</v>
      </c>
      <c r="F49" s="29" t="s">
        <v>43</v>
      </c>
      <c r="G49" s="30"/>
      <c r="H49" s="30"/>
      <c r="I49" s="30"/>
      <c r="J49" s="30"/>
      <c r="K49" s="30"/>
      <c r="L49" s="30"/>
      <c r="M49" s="30"/>
      <c r="N49" s="30"/>
      <c r="O49" s="30"/>
      <c r="P49" s="30">
        <v>66221000</v>
      </c>
      <c r="Q49" s="31">
        <f t="shared" si="5"/>
        <v>66221000</v>
      </c>
    </row>
    <row r="50" spans="1:17">
      <c r="A50" s="22"/>
      <c r="B50" s="23"/>
      <c r="C50" s="24" t="s">
        <v>116</v>
      </c>
      <c r="D50" s="24" t="s">
        <v>78</v>
      </c>
      <c r="E50" s="24" t="s">
        <v>0</v>
      </c>
      <c r="F50" s="29" t="s">
        <v>44</v>
      </c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1">
        <f t="shared" si="5"/>
        <v>0</v>
      </c>
    </row>
    <row r="51" spans="1:17">
      <c r="A51" s="22"/>
      <c r="B51" s="23"/>
      <c r="C51" s="24" t="s">
        <v>117</v>
      </c>
      <c r="D51" s="24" t="s">
        <v>78</v>
      </c>
      <c r="E51" s="24" t="s">
        <v>0</v>
      </c>
      <c r="F51" s="29" t="s">
        <v>45</v>
      </c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1">
        <f t="shared" si="5"/>
        <v>0</v>
      </c>
    </row>
    <row r="52" spans="1:17" ht="22.5">
      <c r="A52" s="22"/>
      <c r="B52" s="23"/>
      <c r="C52" s="24" t="s">
        <v>118</v>
      </c>
      <c r="D52" s="24" t="s">
        <v>78</v>
      </c>
      <c r="E52" s="24" t="s">
        <v>0</v>
      </c>
      <c r="F52" s="29" t="s">
        <v>46</v>
      </c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1">
        <f t="shared" si="5"/>
        <v>0</v>
      </c>
    </row>
    <row r="53" spans="1:17">
      <c r="A53" s="22"/>
      <c r="B53" s="23"/>
      <c r="C53" s="24" t="s">
        <v>119</v>
      </c>
      <c r="D53" s="24" t="s">
        <v>78</v>
      </c>
      <c r="E53" s="24" t="s">
        <v>0</v>
      </c>
      <c r="F53" s="25" t="s">
        <v>47</v>
      </c>
      <c r="G53" s="31">
        <f>G43+G44-G45-G46+G47+G48+G49-G50+G51</f>
        <v>0</v>
      </c>
      <c r="H53" s="31">
        <f t="shared" ref="H53:Q53" si="15">H43+H44-H45-H46+H47+H48+H49-H50+H51</f>
        <v>0</v>
      </c>
      <c r="I53" s="31">
        <f t="shared" si="15"/>
        <v>-105603000</v>
      </c>
      <c r="J53" s="31">
        <f t="shared" si="15"/>
        <v>-14000000</v>
      </c>
      <c r="K53" s="31">
        <f t="shared" si="15"/>
        <v>0</v>
      </c>
      <c r="L53" s="31">
        <f t="shared" si="15"/>
        <v>0</v>
      </c>
      <c r="M53" s="31">
        <f t="shared" si="15"/>
        <v>0</v>
      </c>
      <c r="N53" s="31">
        <f t="shared" si="15"/>
        <v>0</v>
      </c>
      <c r="O53" s="31">
        <f t="shared" si="15"/>
        <v>0</v>
      </c>
      <c r="P53" s="31">
        <f t="shared" si="15"/>
        <v>-606283000</v>
      </c>
      <c r="Q53" s="31">
        <f t="shared" si="15"/>
        <v>-725886000</v>
      </c>
    </row>
    <row r="54" spans="1:17">
      <c r="A54" s="22" t="s">
        <v>8</v>
      </c>
      <c r="B54" s="23"/>
      <c r="C54" s="24" t="s">
        <v>106</v>
      </c>
      <c r="D54" s="24" t="s">
        <v>1</v>
      </c>
      <c r="E54" s="24" t="s">
        <v>0</v>
      </c>
      <c r="F54" s="46" t="s">
        <v>151</v>
      </c>
      <c r="G54" s="31">
        <f>G38+G53</f>
        <v>0</v>
      </c>
      <c r="H54" s="31">
        <f t="shared" ref="H54" si="16">H38+H53</f>
        <v>0</v>
      </c>
      <c r="I54" s="31">
        <f t="shared" ref="I54" si="17">I38+I53</f>
        <v>1253461000</v>
      </c>
      <c r="J54" s="31">
        <f t="shared" ref="J54" si="18">J38+J53</f>
        <v>0</v>
      </c>
      <c r="K54" s="31">
        <f t="shared" ref="K54" si="19">K38+K53</f>
        <v>0</v>
      </c>
      <c r="L54" s="31">
        <f t="shared" ref="L54" si="20">L38+L53</f>
        <v>0</v>
      </c>
      <c r="M54" s="31">
        <f t="shared" ref="M54" si="21">M38+M53</f>
        <v>0</v>
      </c>
      <c r="N54" s="31">
        <f t="shared" ref="N54" si="22">N38+N53</f>
        <v>0</v>
      </c>
      <c r="O54" s="31">
        <f t="shared" ref="O54" si="23">O38+O53</f>
        <v>0</v>
      </c>
      <c r="P54" s="31">
        <f t="shared" ref="P54:Q54" si="24">P38+P53</f>
        <v>350485000</v>
      </c>
      <c r="Q54" s="31">
        <f t="shared" si="24"/>
        <v>1603946000</v>
      </c>
    </row>
    <row r="55" spans="1:17">
      <c r="A55" s="22"/>
      <c r="B55" s="23"/>
      <c r="C55" s="24" t="s">
        <v>120</v>
      </c>
      <c r="D55" s="24" t="s">
        <v>78</v>
      </c>
      <c r="E55" s="24" t="s">
        <v>0</v>
      </c>
      <c r="F55" s="29" t="s">
        <v>48</v>
      </c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</row>
    <row r="56" spans="1:17">
      <c r="A56" s="22"/>
      <c r="B56" s="23"/>
      <c r="C56" s="24" t="s">
        <v>121</v>
      </c>
      <c r="D56" s="24" t="s">
        <v>78</v>
      </c>
      <c r="E56" s="24" t="s">
        <v>0</v>
      </c>
      <c r="F56" s="29" t="s">
        <v>49</v>
      </c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</row>
    <row r="57" spans="1:17">
      <c r="A57" s="22"/>
      <c r="B57" s="23"/>
      <c r="C57" s="24" t="s">
        <v>122</v>
      </c>
      <c r="D57" s="24" t="s">
        <v>78</v>
      </c>
      <c r="E57" s="24" t="s">
        <v>0</v>
      </c>
      <c r="F57" s="29" t="s">
        <v>50</v>
      </c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</row>
    <row r="58" spans="1:17" ht="22.5">
      <c r="A58" s="22"/>
      <c r="B58" s="23"/>
      <c r="C58" s="24" t="s">
        <v>123</v>
      </c>
      <c r="D58" s="24" t="s">
        <v>78</v>
      </c>
      <c r="E58" s="24" t="s">
        <v>0</v>
      </c>
      <c r="F58" s="29" t="s">
        <v>51</v>
      </c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</row>
    <row r="59" spans="1:17">
      <c r="A59" s="22" t="s">
        <v>8</v>
      </c>
      <c r="B59" s="23"/>
      <c r="C59" s="24" t="s">
        <v>124</v>
      </c>
      <c r="D59" s="24" t="s">
        <v>1</v>
      </c>
      <c r="E59" s="24" t="s">
        <v>0</v>
      </c>
      <c r="F59" s="29" t="s">
        <v>52</v>
      </c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1">
        <f t="shared" ref="Q59:Q60" si="25">SUM(G59:P59)</f>
        <v>0</v>
      </c>
    </row>
    <row r="60" spans="1:17">
      <c r="A60" s="22" t="s">
        <v>8</v>
      </c>
      <c r="B60" s="23"/>
      <c r="C60" s="24" t="s">
        <v>125</v>
      </c>
      <c r="D60" s="24" t="s">
        <v>1</v>
      </c>
      <c r="E60" s="24" t="s">
        <v>0</v>
      </c>
      <c r="F60" s="29" t="s">
        <v>53</v>
      </c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1">
        <f t="shared" si="25"/>
        <v>0</v>
      </c>
    </row>
    <row r="61" spans="1:17">
      <c r="A61" s="22"/>
      <c r="B61" s="23"/>
      <c r="C61" s="24"/>
      <c r="D61" s="24"/>
      <c r="E61" s="24"/>
      <c r="F61" s="25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</row>
    <row r="62" spans="1:17" ht="22.5" customHeight="1">
      <c r="A62" s="22"/>
      <c r="B62" s="26"/>
      <c r="C62" s="27"/>
      <c r="D62" s="27"/>
      <c r="E62" s="27"/>
      <c r="F62" s="28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</row>
    <row r="63" spans="1:17" ht="22.5" customHeight="1">
      <c r="A63" s="15"/>
      <c r="F63" s="50" t="s">
        <v>148</v>
      </c>
      <c r="G63" s="51">
        <f>G10-G54</f>
        <v>0</v>
      </c>
      <c r="H63" s="51">
        <f t="shared" ref="H63:Q63" si="26">H10-H54</f>
        <v>0</v>
      </c>
      <c r="I63" s="51">
        <f t="shared" si="26"/>
        <v>0</v>
      </c>
      <c r="J63" s="51">
        <f t="shared" si="26"/>
        <v>0</v>
      </c>
      <c r="K63" s="51">
        <f t="shared" si="26"/>
        <v>0</v>
      </c>
      <c r="L63" s="51">
        <f t="shared" si="26"/>
        <v>0</v>
      </c>
      <c r="M63" s="51">
        <f t="shared" si="26"/>
        <v>0</v>
      </c>
      <c r="N63" s="51">
        <f t="shared" si="26"/>
        <v>0</v>
      </c>
      <c r="O63" s="51">
        <f t="shared" si="26"/>
        <v>0</v>
      </c>
      <c r="P63" s="51">
        <f t="shared" si="26"/>
        <v>0</v>
      </c>
      <c r="Q63" s="51">
        <f t="shared" si="26"/>
        <v>0</v>
      </c>
    </row>
  </sheetData>
  <conditionalFormatting sqref="G63:Q63">
    <cfRule type="cellIs" dxfId="3" priority="1" operator="greaterThan">
      <formula>0</formula>
    </cfRule>
    <cfRule type="cellIs" dxfId="2" priority="2" operator="lessThan">
      <formula>0</formula>
    </cfRule>
    <cfRule type="cellIs" dxfId="1" priority="3" operator="equal">
      <formula>0</formula>
    </cfRule>
  </conditionalFormatting>
  <conditionalFormatting sqref="Q26 Q10">
    <cfRule type="expression" dxfId="0" priority="11">
      <formula>OR(IF(NOT(ISERR(FIND("ERR",#REF!)))=TRUE,TRUE,FALSE),IF(NOT(ISERR(FIND("ERR",#REF!)))=TRUE,TRUE,FALSE))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Hoja1!$A$1:$A$2</xm:f>
          </x14:formula1>
          <xm:sqref>G3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 tint="0.39997558519241921"/>
  </sheetPr>
  <dimension ref="A1:S25"/>
  <sheetViews>
    <sheetView tabSelected="1" topLeftCell="F8" workbookViewId="0">
      <selection activeCell="F16" sqref="F16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19" width="16.7109375" customWidth="1"/>
  </cols>
  <sheetData>
    <row r="1" spans="1:19" ht="60" customHeight="1" thickBot="1"/>
    <row r="2" spans="1:19" ht="171.75" customHeight="1" thickBot="1">
      <c r="F2" s="14" t="s">
        <v>4</v>
      </c>
    </row>
    <row r="3" spans="1:19" ht="16.5" thickBot="1">
      <c r="A3" s="15"/>
      <c r="F3" s="48" t="s">
        <v>81</v>
      </c>
      <c r="G3" s="49" t="s">
        <v>79</v>
      </c>
    </row>
    <row r="4" spans="1:19" ht="104.25" customHeight="1" thickBot="1">
      <c r="A4" s="35" t="s">
        <v>6</v>
      </c>
      <c r="B4" s="34" t="s">
        <v>0</v>
      </c>
      <c r="C4" s="33"/>
      <c r="D4" s="33"/>
      <c r="E4" s="33"/>
      <c r="F4" s="36" t="s">
        <v>72</v>
      </c>
      <c r="G4" s="16" t="s">
        <v>54</v>
      </c>
      <c r="H4" s="16" t="s">
        <v>55</v>
      </c>
      <c r="I4" s="16" t="s">
        <v>56</v>
      </c>
      <c r="J4" s="16" t="s">
        <v>57</v>
      </c>
      <c r="K4" s="16" t="s">
        <v>58</v>
      </c>
      <c r="L4" s="16" t="s">
        <v>59</v>
      </c>
      <c r="M4" s="16" t="s">
        <v>60</v>
      </c>
      <c r="N4" s="16" t="s">
        <v>61</v>
      </c>
      <c r="O4" s="16" t="s">
        <v>62</v>
      </c>
      <c r="P4" s="16" t="s">
        <v>63</v>
      </c>
      <c r="Q4" s="16" t="s">
        <v>64</v>
      </c>
      <c r="R4" s="16" t="s">
        <v>65</v>
      </c>
      <c r="S4" s="16" t="s">
        <v>66</v>
      </c>
    </row>
    <row r="5" spans="1:19" hidden="1">
      <c r="A5" s="17" t="s">
        <v>5</v>
      </c>
      <c r="B5" s="18"/>
      <c r="C5" s="18"/>
      <c r="D5" s="18" t="s">
        <v>126</v>
      </c>
      <c r="E5" s="18" t="s">
        <v>127</v>
      </c>
      <c r="F5" s="18"/>
      <c r="G5" s="19" t="s">
        <v>128</v>
      </c>
      <c r="H5" s="19" t="s">
        <v>129</v>
      </c>
      <c r="I5" s="19" t="s">
        <v>130</v>
      </c>
      <c r="J5" s="19" t="s">
        <v>131</v>
      </c>
      <c r="K5" s="19" t="s">
        <v>132</v>
      </c>
      <c r="L5" s="19" t="s">
        <v>133</v>
      </c>
      <c r="M5" s="19" t="s">
        <v>134</v>
      </c>
      <c r="N5" s="19" t="s">
        <v>135</v>
      </c>
      <c r="O5" s="19" t="s">
        <v>136</v>
      </c>
      <c r="P5" s="19" t="s">
        <v>137</v>
      </c>
      <c r="Q5" s="19" t="s">
        <v>138</v>
      </c>
      <c r="R5" s="19" t="s">
        <v>139</v>
      </c>
      <c r="S5" s="38" t="s">
        <v>140</v>
      </c>
    </row>
    <row r="6" spans="1:19" ht="22.5" customHeight="1">
      <c r="B6" s="20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39"/>
    </row>
    <row r="7" spans="1:19" ht="22.5" customHeight="1">
      <c r="B7" s="20"/>
      <c r="C7" s="18"/>
      <c r="D7" s="18"/>
      <c r="E7" s="18"/>
      <c r="F7" s="21" t="s">
        <v>2</v>
      </c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39"/>
    </row>
    <row r="8" spans="1:19">
      <c r="A8" s="22"/>
      <c r="B8" s="23"/>
      <c r="C8" s="24"/>
      <c r="D8" s="24"/>
      <c r="E8" s="24"/>
      <c r="F8" s="25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40"/>
    </row>
    <row r="9" spans="1:19">
      <c r="A9" s="22"/>
      <c r="B9" s="23"/>
      <c r="C9" s="24" t="s">
        <v>141</v>
      </c>
      <c r="D9" s="24" t="s">
        <v>1</v>
      </c>
      <c r="E9" s="24" t="s">
        <v>0</v>
      </c>
      <c r="F9" s="29" t="s">
        <v>67</v>
      </c>
      <c r="G9" s="30" t="s">
        <v>162</v>
      </c>
      <c r="H9" s="30" t="s">
        <v>163</v>
      </c>
      <c r="I9" s="30" t="s">
        <v>164</v>
      </c>
      <c r="J9" s="30" t="s">
        <v>165</v>
      </c>
      <c r="K9" s="30" t="s">
        <v>166</v>
      </c>
      <c r="L9" s="30" t="s">
        <v>167</v>
      </c>
      <c r="M9" s="30" t="s">
        <v>168</v>
      </c>
      <c r="N9" s="30" t="s">
        <v>169</v>
      </c>
      <c r="O9" s="30" t="s">
        <v>170</v>
      </c>
      <c r="P9" s="30" t="s">
        <v>171</v>
      </c>
      <c r="Q9" s="30" t="s">
        <v>172</v>
      </c>
      <c r="R9" s="30" t="s">
        <v>173</v>
      </c>
      <c r="S9" s="30"/>
    </row>
    <row r="10" spans="1:19">
      <c r="A10" s="22"/>
      <c r="B10" s="23"/>
      <c r="C10" s="24" t="s">
        <v>142</v>
      </c>
      <c r="D10" s="24" t="s">
        <v>1</v>
      </c>
      <c r="E10" s="24" t="s">
        <v>0</v>
      </c>
      <c r="F10" s="29" t="s">
        <v>68</v>
      </c>
      <c r="G10" s="30" t="s">
        <v>162</v>
      </c>
      <c r="H10" s="30" t="s">
        <v>163</v>
      </c>
      <c r="I10" s="30" t="s">
        <v>164</v>
      </c>
      <c r="J10" s="30" t="s">
        <v>165</v>
      </c>
      <c r="K10" s="30" t="s">
        <v>166</v>
      </c>
      <c r="L10" s="30" t="s">
        <v>167</v>
      </c>
      <c r="M10" s="30" t="s">
        <v>168</v>
      </c>
      <c r="N10" s="30" t="s">
        <v>169</v>
      </c>
      <c r="O10" s="30" t="s">
        <v>170</v>
      </c>
      <c r="P10" s="30" t="s">
        <v>171</v>
      </c>
      <c r="Q10" s="30" t="s">
        <v>172</v>
      </c>
      <c r="R10" s="30" t="s">
        <v>173</v>
      </c>
      <c r="S10" s="30"/>
    </row>
    <row r="11" spans="1:19">
      <c r="A11" s="22"/>
      <c r="B11" s="23"/>
      <c r="C11" s="24" t="s">
        <v>143</v>
      </c>
      <c r="D11" s="24" t="s">
        <v>1</v>
      </c>
      <c r="E11" s="24" t="s">
        <v>0</v>
      </c>
      <c r="F11" s="29" t="s">
        <v>69</v>
      </c>
      <c r="G11" s="30">
        <v>1000</v>
      </c>
      <c r="H11" s="30">
        <v>2000</v>
      </c>
      <c r="I11" s="30">
        <v>3000</v>
      </c>
      <c r="J11" s="30">
        <v>4000</v>
      </c>
      <c r="K11" s="30">
        <v>5000</v>
      </c>
      <c r="L11" s="30">
        <v>6000</v>
      </c>
      <c r="M11" s="30">
        <v>7000</v>
      </c>
      <c r="N11" s="30">
        <v>8000</v>
      </c>
      <c r="O11" s="30">
        <v>9000</v>
      </c>
      <c r="P11" s="30">
        <v>10000</v>
      </c>
      <c r="Q11" s="30">
        <v>11000</v>
      </c>
      <c r="R11" s="30">
        <v>12000</v>
      </c>
      <c r="S11" s="31">
        <f>SUM(G11:R11)</f>
        <v>78000</v>
      </c>
    </row>
    <row r="12" spans="1:19">
      <c r="A12" s="22"/>
      <c r="B12" s="23"/>
      <c r="C12" s="24" t="s">
        <v>144</v>
      </c>
      <c r="D12" s="24" t="s">
        <v>1</v>
      </c>
      <c r="E12" s="24" t="s">
        <v>0</v>
      </c>
      <c r="F12" s="37" t="s">
        <v>70</v>
      </c>
      <c r="G12" s="30" t="s">
        <v>162</v>
      </c>
      <c r="H12" s="30" t="s">
        <v>163</v>
      </c>
      <c r="I12" s="30" t="s">
        <v>164</v>
      </c>
      <c r="J12" s="30" t="s">
        <v>165</v>
      </c>
      <c r="K12" s="30" t="s">
        <v>166</v>
      </c>
      <c r="L12" s="30" t="s">
        <v>167</v>
      </c>
      <c r="M12" s="30" t="s">
        <v>168</v>
      </c>
      <c r="N12" s="30" t="s">
        <v>169</v>
      </c>
      <c r="O12" s="30" t="s">
        <v>170</v>
      </c>
      <c r="P12" s="30" t="s">
        <v>171</v>
      </c>
      <c r="Q12" s="30" t="s">
        <v>172</v>
      </c>
      <c r="R12" s="30" t="s">
        <v>173</v>
      </c>
      <c r="S12" s="30"/>
    </row>
    <row r="13" spans="1:19">
      <c r="A13" s="22"/>
      <c r="B13" s="23"/>
      <c r="C13" s="24" t="s">
        <v>145</v>
      </c>
      <c r="D13" s="24" t="s">
        <v>1</v>
      </c>
      <c r="E13" s="24" t="s">
        <v>0</v>
      </c>
      <c r="F13" s="37" t="s">
        <v>71</v>
      </c>
      <c r="G13" s="30" t="s">
        <v>162</v>
      </c>
      <c r="H13" s="30" t="s">
        <v>163</v>
      </c>
      <c r="I13" s="30" t="s">
        <v>164</v>
      </c>
      <c r="J13" s="30" t="s">
        <v>165</v>
      </c>
      <c r="K13" s="30" t="s">
        <v>166</v>
      </c>
      <c r="L13" s="30" t="s">
        <v>167</v>
      </c>
      <c r="M13" s="30" t="s">
        <v>168</v>
      </c>
      <c r="N13" s="30" t="s">
        <v>169</v>
      </c>
      <c r="O13" s="30" t="s">
        <v>170</v>
      </c>
      <c r="P13" s="30" t="s">
        <v>171</v>
      </c>
      <c r="Q13" s="30" t="s">
        <v>172</v>
      </c>
      <c r="R13" s="30" t="s">
        <v>173</v>
      </c>
      <c r="S13" s="30"/>
    </row>
    <row r="14" spans="1:19">
      <c r="A14" s="22"/>
      <c r="B14" s="23"/>
      <c r="C14" s="24"/>
      <c r="D14" s="24"/>
      <c r="E14" s="24"/>
      <c r="F14" s="25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42"/>
    </row>
    <row r="15" spans="1:19">
      <c r="A15" s="22"/>
      <c r="B15" s="23"/>
      <c r="C15" s="24"/>
      <c r="D15" s="24"/>
      <c r="E15" s="24"/>
      <c r="F15" s="25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40"/>
    </row>
    <row r="16" spans="1:19" ht="22.5" customHeight="1">
      <c r="B16" s="20"/>
      <c r="C16" s="18"/>
      <c r="D16" s="18"/>
      <c r="E16" s="18"/>
      <c r="F16" s="21" t="s">
        <v>3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39"/>
    </row>
    <row r="17" spans="1:19">
      <c r="A17" s="22"/>
      <c r="B17" s="23"/>
      <c r="C17" s="24"/>
      <c r="D17" s="24"/>
      <c r="E17" s="24"/>
      <c r="F17" s="25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40"/>
    </row>
    <row r="18" spans="1:19">
      <c r="A18" s="22"/>
      <c r="B18" s="23"/>
      <c r="C18" s="24" t="s">
        <v>141</v>
      </c>
      <c r="D18" s="24" t="s">
        <v>78</v>
      </c>
      <c r="E18" s="24" t="s">
        <v>0</v>
      </c>
      <c r="F18" s="29" t="s">
        <v>67</v>
      </c>
      <c r="G18" s="30" t="s">
        <v>162</v>
      </c>
      <c r="H18" s="30" t="s">
        <v>163</v>
      </c>
      <c r="I18" s="30" t="s">
        <v>164</v>
      </c>
      <c r="J18" s="30" t="s">
        <v>165</v>
      </c>
      <c r="K18" s="30" t="s">
        <v>166</v>
      </c>
      <c r="L18" s="30" t="s">
        <v>167</v>
      </c>
      <c r="M18" s="30" t="s">
        <v>168</v>
      </c>
      <c r="N18" s="30" t="s">
        <v>169</v>
      </c>
      <c r="O18" s="30" t="s">
        <v>170</v>
      </c>
      <c r="P18" s="30" t="s">
        <v>171</v>
      </c>
      <c r="Q18" s="30" t="s">
        <v>172</v>
      </c>
      <c r="R18" s="30" t="s">
        <v>173</v>
      </c>
      <c r="S18" s="30"/>
    </row>
    <row r="19" spans="1:19">
      <c r="A19" s="22"/>
      <c r="B19" s="23"/>
      <c r="C19" s="24" t="s">
        <v>142</v>
      </c>
      <c r="D19" s="24" t="s">
        <v>78</v>
      </c>
      <c r="E19" s="24" t="s">
        <v>0</v>
      </c>
      <c r="F19" s="29" t="s">
        <v>68</v>
      </c>
      <c r="G19" s="30" t="s">
        <v>162</v>
      </c>
      <c r="H19" s="30" t="s">
        <v>163</v>
      </c>
      <c r="I19" s="30" t="s">
        <v>164</v>
      </c>
      <c r="J19" s="30" t="s">
        <v>165</v>
      </c>
      <c r="K19" s="30" t="s">
        <v>166</v>
      </c>
      <c r="L19" s="30" t="s">
        <v>167</v>
      </c>
      <c r="M19" s="30" t="s">
        <v>168</v>
      </c>
      <c r="N19" s="30" t="s">
        <v>169</v>
      </c>
      <c r="O19" s="30" t="s">
        <v>170</v>
      </c>
      <c r="P19" s="30" t="s">
        <v>171</v>
      </c>
      <c r="Q19" s="30" t="s">
        <v>172</v>
      </c>
      <c r="R19" s="30" t="s">
        <v>173</v>
      </c>
      <c r="S19" s="30"/>
    </row>
    <row r="20" spans="1:19">
      <c r="A20" s="22" t="s">
        <v>8</v>
      </c>
      <c r="B20" s="23"/>
      <c r="C20" s="24" t="s">
        <v>143</v>
      </c>
      <c r="D20" s="24" t="s">
        <v>1</v>
      </c>
      <c r="E20" s="24" t="s">
        <v>0</v>
      </c>
      <c r="F20" s="29" t="s">
        <v>69</v>
      </c>
      <c r="G20" s="30">
        <v>1000</v>
      </c>
      <c r="H20" s="30">
        <v>2000</v>
      </c>
      <c r="I20" s="30">
        <v>3000</v>
      </c>
      <c r="J20" s="30">
        <v>4000</v>
      </c>
      <c r="K20" s="30">
        <v>5000</v>
      </c>
      <c r="L20" s="30">
        <v>6000</v>
      </c>
      <c r="M20" s="30">
        <v>7000</v>
      </c>
      <c r="N20" s="30">
        <v>8000</v>
      </c>
      <c r="O20" s="30">
        <v>9000</v>
      </c>
      <c r="P20" s="30">
        <v>10000</v>
      </c>
      <c r="Q20" s="30">
        <v>11000</v>
      </c>
      <c r="R20" s="30">
        <v>12000</v>
      </c>
      <c r="S20" s="31">
        <f>SUM(G20:R20)</f>
        <v>78000</v>
      </c>
    </row>
    <row r="21" spans="1:19">
      <c r="A21" s="22"/>
      <c r="B21" s="23"/>
      <c r="C21" s="24" t="s">
        <v>144</v>
      </c>
      <c r="D21" s="24" t="s">
        <v>78</v>
      </c>
      <c r="E21" s="24" t="s">
        <v>0</v>
      </c>
      <c r="F21" s="37" t="s">
        <v>70</v>
      </c>
      <c r="G21" s="30" t="s">
        <v>162</v>
      </c>
      <c r="H21" s="30" t="s">
        <v>163</v>
      </c>
      <c r="I21" s="30" t="s">
        <v>164</v>
      </c>
      <c r="J21" s="30" t="s">
        <v>165</v>
      </c>
      <c r="K21" s="30" t="s">
        <v>166</v>
      </c>
      <c r="L21" s="30" t="s">
        <v>167</v>
      </c>
      <c r="M21" s="30" t="s">
        <v>168</v>
      </c>
      <c r="N21" s="30" t="s">
        <v>169</v>
      </c>
      <c r="O21" s="30" t="s">
        <v>170</v>
      </c>
      <c r="P21" s="30" t="s">
        <v>171</v>
      </c>
      <c r="Q21" s="30" t="s">
        <v>172</v>
      </c>
      <c r="R21" s="30" t="s">
        <v>173</v>
      </c>
      <c r="S21" s="30"/>
    </row>
    <row r="22" spans="1:19">
      <c r="A22" s="22"/>
      <c r="B22" s="23"/>
      <c r="C22" s="24" t="s">
        <v>145</v>
      </c>
      <c r="D22" s="24" t="s">
        <v>78</v>
      </c>
      <c r="E22" s="24" t="s">
        <v>0</v>
      </c>
      <c r="F22" s="37" t="s">
        <v>71</v>
      </c>
      <c r="G22" s="30" t="s">
        <v>162</v>
      </c>
      <c r="H22" s="30" t="s">
        <v>163</v>
      </c>
      <c r="I22" s="30" t="s">
        <v>164</v>
      </c>
      <c r="J22" s="30" t="s">
        <v>165</v>
      </c>
      <c r="K22" s="30" t="s">
        <v>166</v>
      </c>
      <c r="L22" s="30" t="s">
        <v>167</v>
      </c>
      <c r="M22" s="30" t="s">
        <v>168</v>
      </c>
      <c r="N22" s="30" t="s">
        <v>169</v>
      </c>
      <c r="O22" s="30" t="s">
        <v>170</v>
      </c>
      <c r="P22" s="30" t="s">
        <v>171</v>
      </c>
      <c r="Q22" s="30" t="s">
        <v>172</v>
      </c>
      <c r="R22" s="30" t="s">
        <v>173</v>
      </c>
      <c r="S22" s="30"/>
    </row>
    <row r="23" spans="1:19">
      <c r="A23" s="22"/>
      <c r="B23" s="23"/>
      <c r="C23" s="24"/>
      <c r="D23" s="24"/>
      <c r="E23" s="24"/>
      <c r="F23" s="25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42"/>
    </row>
    <row r="24" spans="1:19" ht="22.5" customHeight="1">
      <c r="A24" s="22"/>
      <c r="B24" s="26"/>
      <c r="C24" s="27"/>
      <c r="D24" s="27"/>
      <c r="E24" s="27"/>
      <c r="F24" s="28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41"/>
    </row>
    <row r="25" spans="1:19" ht="22.5" customHeight="1">
      <c r="A25" s="1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Hoja1!$A$1:$A$2</xm:f>
          </x14:formula1>
          <xm:sqref>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2"/>
  <sheetViews>
    <sheetView workbookViewId="0">
      <selection activeCell="C12" sqref="C12"/>
    </sheetView>
  </sheetViews>
  <sheetFormatPr baseColWidth="10" defaultRowHeight="15"/>
  <sheetData>
    <row r="1" spans="1:1">
      <c r="A1" t="s">
        <v>79</v>
      </c>
    </row>
    <row r="2" spans="1:1">
      <c r="A2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IAS37-Cuadros</vt:lpstr>
      <vt:lpstr>IAS37-InfoReveOtraProv</vt:lpstr>
      <vt:lpstr>IAS37-InfoRevePasiCont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2023-02-15T00:27:37Z</dcterms:modified>
</cp:coreProperties>
</file>