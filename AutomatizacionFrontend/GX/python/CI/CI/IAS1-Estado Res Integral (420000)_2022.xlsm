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waldo.gonzalez\Desktop\Funcionan 2024\svs-cl-ci-2024-01-02\xls\"/>
    </mc:Choice>
  </mc:AlternateContent>
  <bookViews>
    <workbookView xWindow="0" yWindow="0" windowWidth="27852" windowHeight="12888"/>
  </bookViews>
  <sheets>
    <sheet name="IAS-1_420000" sheetId="1" r:id="rId1"/>
  </sheets>
  <calcPr calcId="162913"/>
</workbook>
</file>

<file path=xl/calcChain.xml><?xml version="1.0" encoding="utf-8"?>
<calcChain xmlns="http://schemas.openxmlformats.org/spreadsheetml/2006/main">
  <c r="J84" i="1" l="1"/>
  <c r="H84" i="1" l="1"/>
  <c r="K84" i="1" l="1"/>
  <c r="I84" i="1"/>
  <c r="K72" i="1" l="1"/>
  <c r="J72" i="1"/>
  <c r="H72" i="1"/>
  <c r="I72" i="1"/>
  <c r="K59" i="1" l="1"/>
  <c r="J59" i="1"/>
  <c r="I59" i="1"/>
  <c r="H59" i="1"/>
  <c r="K53" i="1" l="1"/>
  <c r="J53" i="1"/>
  <c r="I53" i="1"/>
  <c r="H53" i="1"/>
  <c r="K48" i="1"/>
  <c r="J48" i="1"/>
  <c r="I48" i="1"/>
  <c r="H48" i="1"/>
  <c r="K43" i="1"/>
  <c r="J43" i="1"/>
  <c r="I43" i="1"/>
  <c r="H43" i="1"/>
  <c r="K26" i="1" l="1"/>
  <c r="J26" i="1"/>
  <c r="I26" i="1"/>
  <c r="H26" i="1"/>
  <c r="K92" i="1" l="1"/>
  <c r="J92" i="1"/>
  <c r="I92" i="1"/>
  <c r="H92" i="1"/>
  <c r="K37" i="1"/>
  <c r="J37" i="1"/>
  <c r="I37" i="1"/>
  <c r="H37" i="1"/>
  <c r="K32" i="1"/>
  <c r="J32" i="1"/>
  <c r="I32" i="1"/>
  <c r="H32" i="1"/>
  <c r="H21" i="1"/>
  <c r="K21" i="1"/>
  <c r="J21" i="1"/>
  <c r="I21" i="1"/>
  <c r="K15" i="1"/>
  <c r="J15" i="1"/>
  <c r="I15" i="1"/>
  <c r="H15" i="1"/>
  <c r="J62" i="1" l="1"/>
  <c r="J63" i="1" s="1"/>
  <c r="J86" i="1" s="1"/>
  <c r="J87" i="1" s="1"/>
  <c r="K62" i="1"/>
  <c r="K63" i="1" s="1"/>
  <c r="I62" i="1"/>
  <c r="I63" i="1" s="1"/>
  <c r="I86" i="1" s="1"/>
  <c r="H62" i="1"/>
  <c r="H63" i="1" s="1"/>
  <c r="I87" i="1" l="1"/>
  <c r="K86" i="1"/>
  <c r="K87" i="1" s="1"/>
  <c r="H86" i="1"/>
  <c r="H87" i="1" l="1"/>
</calcChain>
</file>

<file path=xl/sharedStrings.xml><?xml version="1.0" encoding="utf-8"?>
<sst xmlns="http://schemas.openxmlformats.org/spreadsheetml/2006/main" count="434" uniqueCount="153">
  <si>
    <t xml:space="preserve"> </t>
  </si>
  <si>
    <t>+</t>
  </si>
  <si>
    <t>-</t>
  </si>
  <si>
    <t xml:space="preserve">    Estado del resultado integral [sinopsis]  </t>
  </si>
  <si>
    <t>Periodo Act.</t>
  </si>
  <si>
    <t>Periodo Ant.</t>
  </si>
  <si>
    <t>Ult. Trim. Actual</t>
  </si>
  <si>
    <t>Ult. Trim. Ant.</t>
  </si>
  <si>
    <t xml:space="preserve">      Ganancia (pérdida)  [Número]</t>
  </si>
  <si>
    <t xml:space="preserve">      Otro resultado integral [sinopsis]  </t>
  </si>
  <si>
    <t xml:space="preserve">        Componentes de otro resultado integral que no se reclasificarán al resultado del periodo, antes de impuestos [resumen]  </t>
  </si>
  <si>
    <t xml:space="preserve">          Otro resultado integral, antes de impuestos, ganancias (pérdidas) de inversiones en instrumentos de patrimonio  [Número]</t>
  </si>
  <si>
    <t xml:space="preserve">          Otro resultado integral, antes de impuestos, ganancias (pérdidas) por revaluación  [Número]</t>
  </si>
  <si>
    <t xml:space="preserve">          Otro resultado integral, antes de impuestos, ganancias (pérdidas) por nuevas mediciones de planes de beneficios definidos  [Número]</t>
  </si>
  <si>
    <t xml:space="preserve">          Otro resultado integral, antes de impuestos, cambio en el valor razonable de pasivos financieros atribuible a cambios en el riesgo de crédito del pasivo  [Número]</t>
  </si>
  <si>
    <t xml:space="preserve">        Participación de otro resultado integral de asociadas y negocios conjuntos contabilizados utilizando el método de la participación que no se reclasificará al resultado del periodo, antes de impuestos  [Número]</t>
  </si>
  <si>
    <t xml:space="preserve">        Otro resultado integral que no se reclasificará al resultado de periodo, antes de impuestos  [Número]</t>
  </si>
  <si>
    <t xml:space="preserve">        Componentes de otro resultado integral que se reclasificarán al resultado del periodo, antes de impuestos [resumen]  </t>
  </si>
  <si>
    <t xml:space="preserve">          Diferencias de cambio por conversión [sinopsis]  </t>
  </si>
  <si>
    <t xml:space="preserve">            Ganancias (pérdidas) por diferencias de cambio de conversión, antes de impuestos  [Número]</t>
  </si>
  <si>
    <t xml:space="preserve">            Ajustes de reclasificación en diferencias de cambio de conversión, antes de impuestos  [Número]</t>
  </si>
  <si>
    <t xml:space="preserve">            Otro resultado integral, antes de impuestos, diferencias de cambio por conversión  [Número]</t>
  </si>
  <si>
    <t xml:space="preserve">          Activos financieros disponibles para la venta [sinopsis]  </t>
  </si>
  <si>
    <t xml:space="preserve">            Ganancias (pérdidas) por nuevas mediciones de activos financieros disponibles para la venta, antes de impuestos  [Número]</t>
  </si>
  <si>
    <t xml:space="preserve">            Ajustes de reclasificación, activos financieros disponibles para la venta, antes de impuestos  [Número]</t>
  </si>
  <si>
    <t xml:space="preserve">            Otro resultado integral antes de impuestos, activos financieros disponibles para la venta  [Número]</t>
  </si>
  <si>
    <t xml:space="preserve">          Coberturas del flujo de efectivo [sinopsis]  </t>
  </si>
  <si>
    <t xml:space="preserve">            Ganancias (pérdidas) por coberturas de flujos de efectivo, antes de impuestos  [Número]</t>
  </si>
  <si>
    <t xml:space="preserve">            Ajustes de reclasificación en coberturas de flujos de efectivo, antes de impuestos  [Número]</t>
  </si>
  <si>
    <t xml:space="preserve">            Importes eliminados del patrimonio e incluidos en el importe en libros de activos (pasivos) no financieros que se hayan adquirido o incurrido mediante una transacción prevista altamente probable cubierta, antes de impuestos  [Número]</t>
  </si>
  <si>
    <t xml:space="preserve">            Otro resultado integral, antes de impuestos, coberturas del flujo de efectivo  [Número]</t>
  </si>
  <si>
    <t xml:space="preserve">          Coberturas de inversiones netas en negocios en el extranjero [resumen]  </t>
  </si>
  <si>
    <t xml:space="preserve">            Ganancias (pérdidas) por coberturas de inversiones netas en negocios en el extranjero, antes de impuestos  [Número]</t>
  </si>
  <si>
    <t xml:space="preserve">            Ajustes de reclasificación por coberturas de inversiones netas en negocios en el extranjero, antes de impuestos  [Número]</t>
  </si>
  <si>
    <t xml:space="preserve">            Otro resultado integral, antes de impuestos, coberturas de inversiones netas en negocios en el extranjero  [Número]</t>
  </si>
  <si>
    <t xml:space="preserve">        Participación de otro resultado integral de asociadas y negocios conjuntos contabilizados utilizando el método de la participación que se reclasificará al resultado del periodo, antes de impuestos  [Número]</t>
  </si>
  <si>
    <t xml:space="preserve">        Otro resultado integral que se reclasificará al resultado de periodo, antes de impuestos  [Número]</t>
  </si>
  <si>
    <t xml:space="preserve">        Otros componentes de otro resultado integral, antes de impuestos  [Número]</t>
  </si>
  <si>
    <t xml:space="preserve">        Impuestos a las ganancias relativos a componentes de otro resultado integral que no se reclasificará al resultado del periodo [resumen]  </t>
  </si>
  <si>
    <t xml:space="preserve">          Impuesto a las ganancias relativos a inversiones en instrumentos de patrimonio de otro resultado integral  [Número]</t>
  </si>
  <si>
    <t xml:space="preserve">          Impuesto a las ganancias relacionado con cambios en el superávit de revaluación de otro resultado integral  [Número]</t>
  </si>
  <si>
    <t xml:space="preserve">          Impuesto a las ganancias relativo a nuevas mediciones de planes de beneficios definidos de otro resultado integral  [Número]</t>
  </si>
  <si>
    <t xml:space="preserve">          Impuesto a las ganancias relacionado con cambios en el valor razonable de pasivos financieros atribuibles a cambios en el riesgo de crédito del pasivo de otro resultado integral  [Número]</t>
  </si>
  <si>
    <t xml:space="preserve">          Impuestos a las ganancias relativos a componentes de otro resultado integral que no se reclasificará al resultado del periodo  [Número]</t>
  </si>
  <si>
    <t xml:space="preserve">        Impuestos a las ganancias relativos a la participación de otro resultado integral de asociadas y negocios conjuntos contabilizados utilizando el método de la participación que no se reclasificará al resultado del periodo  [Número]</t>
  </si>
  <si>
    <t xml:space="preserve">        Impuestos a las ganancias relativos a componentes de otro resultado integral que se reclasificará al resultado del periodo [resumen]  </t>
  </si>
  <si>
    <t xml:space="preserve">          Impuesto a las ganancias relacionado con diferencias de cambio de conversión de otro resultado integral  [Número]</t>
  </si>
  <si>
    <t xml:space="preserve">          Impuesto a las ganancias relacionadas con activos financieros disponibles para la venta de otro resultado integral  [Número]</t>
  </si>
  <si>
    <t xml:space="preserve">          Impuesto a las ganancias relacionado con coberturas de flujos de efectivo de otro resultado integral  [Número]</t>
  </si>
  <si>
    <t xml:space="preserve">          Impuesto a las ganancias relativos a coberturas de inversiones netas en negocios en el extranjero de otro resultado integral  [Número]</t>
  </si>
  <si>
    <t xml:space="preserve">          Impuestos a las ganancias relativos a componentes de otro resultado integral que se reclasificará al resultado del periodo  [Número]</t>
  </si>
  <si>
    <t xml:space="preserve">        Impuestos a las ganancias relativos a la participación de otro resultado integral de asociadas y negocios conjuntos contabilizados utilizando el método de la participación que se reclasificará al resultado del periodo  [Número]</t>
  </si>
  <si>
    <t xml:space="preserve">        Otro resultado integral  [Número]</t>
  </si>
  <si>
    <t xml:space="preserve">      Resultado integral  [Número]</t>
  </si>
  <si>
    <t xml:space="preserve">      Resultado integral atribuible a [sinopsis]  </t>
  </si>
  <si>
    <t xml:space="preserve">        Resultado integral atribuible a los propietarios de la controladora  [Número]</t>
  </si>
  <si>
    <t xml:space="preserve">        Resultado integral atribuible a participaciones no controladoras  [Número]</t>
  </si>
  <si>
    <t>Cambio en el valor temporal del dinero de opciones [resumen]</t>
  </si>
  <si>
    <t>Cambios en el valor de los elementos a término de contratos a término [resumen]</t>
  </si>
  <si>
    <t xml:space="preserve">            Ganancia (pérdida) por cambios en el valor temporal del dinero de opciones, antes de impuestos</t>
  </si>
  <si>
    <t xml:space="preserve">            Ajustes de reclasificación por cambios en el valor temporal del dinero de opciones, antes de impuestos</t>
  </si>
  <si>
    <t xml:space="preserve">            Otro resultado integral, antes de impuestos, cambios en el valor del valor temporal del dinero de opciones</t>
  </si>
  <si>
    <t xml:space="preserve">            Ganancia (pérdida) por cambios en el valor de los elementos a término de contratos a término, antes de impuestos</t>
  </si>
  <si>
    <t xml:space="preserve">            Ajustes de reclasificación por cambios en el valor de los elementos a término de contratos a término, antes de impuestos</t>
  </si>
  <si>
    <t xml:space="preserve">            Otro resultado integral, antes de impuestos, cambios en el valor de los elementos a término de contratos a término</t>
  </si>
  <si>
    <t>Cambio en el valor de los diferenciales de tasa cambio de moneda extranjera [resumen]</t>
  </si>
  <si>
    <t xml:space="preserve">            Ganancia (pérdida) por cambios en el valor de los diferenciales de la tasa de cambio de la moneda extranjera, antes de impuestos</t>
  </si>
  <si>
    <t xml:space="preserve">            Ajustes de reclasificación por cambios en el valor de los diferenciales de la tasa de cambio de la moneda extranjera, antes de impuestos</t>
  </si>
  <si>
    <t xml:space="preserve">            Otro resultado integral, antes de impuestos, cambios en el valor de los diferenciales de tasa de cambio de la moneda extranjera</t>
  </si>
  <si>
    <t>Trimestre acumulado año actual</t>
  </si>
  <si>
    <t>Trimestre acumulado año anterior</t>
  </si>
  <si>
    <t>Último trimestre año actual</t>
  </si>
  <si>
    <t>Último trimestre año anterior</t>
  </si>
  <si>
    <t xml:space="preserve">          Impuesto a las ganancias relacionado con cambios en el valor temporal del dinero de opciones de otro resultado integral</t>
  </si>
  <si>
    <t xml:space="preserve">          Impuesto a las ganancias relacionado con cambios en el valor de los elementos a término de contratos a término de otro resultado integral</t>
  </si>
  <si>
    <t xml:space="preserve">          Impuesto a las ganancias relacionados con cambios en el valor de los diferenciales de tasa de cambio de la moneda extranjera de otro resultado integral</t>
  </si>
  <si>
    <t xml:space="preserve">          Otro resultado integral, antes de impuestos, ganancias (pérdidas) por instrumentos de cobertura que cubren inversiones en instrumentos de patrimonio</t>
  </si>
  <si>
    <t xml:space="preserve">          Impuesto a las ganancias relacionados con coberturas de inversiones en instrumentos de patrimonio de otro resultado integral [número]</t>
  </si>
  <si>
    <t>Activos financieros medidos al valor razonable con cambios en otro resultado integral [resumen]</t>
  </si>
  <si>
    <t>full_ifrs-cor_2015-03-11.xsd#ifrs-full_GainsLossesOnFinancialAssetsMeasuredAtFairValueThroughOtherComprehensiveIncomeBeforeTax</t>
  </si>
  <si>
    <t>full_ifrs-cor_2015-03-11.xsd#ifrs-full_ReclassificationAdjustmentsOnFinancialAssetsMeasuredAtFairValueThroughOtherComprehensiveIncomeBeforeTax</t>
  </si>
  <si>
    <t>full_ifrs-cor_2015-03-11.xsd#ifrs-full_AmountsRemovedFromEquityAndAdjustedAgainstFairValueOfFinancialAssetsOnReclassificationOutOfFairValueThroughOtherComprehensiveIncomeMeasurementCategoryBeforeTax</t>
  </si>
  <si>
    <t>full_ifrs-cor_2015-03-11.xsd#ifrs-full_OtherComprehensiveIncomeBeforeTaxFinancialAssetsMeasuredAtFairValueThroughOtherComprehensiveIncome</t>
  </si>
  <si>
    <t>full_ifrs-cor_2015-03-11.xsd#ifrs-full_IncomeTaxRelatingToFinancialAssetsMeasuredAtFairValueThroughOtherComprehensiveIncome</t>
  </si>
  <si>
    <t>full_ifrs-cor_2015-03-11.xsd#ifrs-full_ProfitLoss</t>
  </si>
  <si>
    <t>full_ifrs-cor_2015-03-11.xsd#ifrs-full_ComponentsOfOtherComprehensiveIncomeThatWillNotBeReclassifiedToProfitOrLossBeforeTaxAbstract</t>
  </si>
  <si>
    <t>full_ifrs-cor_2015-03-11.xsd#ifrs-full_OtherComprehensiveIncomeBeforeTaxGainsLossesFromInvestmentsInEquityInstruments</t>
  </si>
  <si>
    <t>full_ifrs-cor_2015-03-11.xsd#ifrs-full_OtherComprehensiveIncomeBeforeTaxGainsLossesOnRevaluation</t>
  </si>
  <si>
    <t>full_ifrs-cor_2015-03-11.xsd#ifrs-full_OtherComprehensiveIncomeBeforeTaxGainsLossesOnRemeasurementsOfDefinedBenefitPlans</t>
  </si>
  <si>
    <t>full_ifrs-cor_2015-03-11.xsd#ifrs-full_OtherComprehensiveIncomeBeforeTaxChangeInFairValueOfFinancialLiabilityAttributableToChangeInCreditRiskOfLiability</t>
  </si>
  <si>
    <t>full_ifrs-cor_2015-03-11.xsd#ifrs-full_OtherComprehensiveIncomeBeforeTaxGainsLossesOnHedgingInstrumentsThatHedgeInvestmentsInEquityInstruments</t>
  </si>
  <si>
    <t>full_ifrs-cor_2015-03-11.xsd#ifrs-full_ShareOfOtherComprehensiveIncomeOfAssociatesAndJointVenturesAccountedForUsingEquityMethodThatWillNotBeReclassifiedToProfitOrLossBeforeTax</t>
  </si>
  <si>
    <t>full_ifrs-cor_2015-03-11.xsd#ifrs-full_OtherComprehensiveIncomeThatWillNotBeReclassifiedToProfitOrLossBeforeTax</t>
  </si>
  <si>
    <t>full_ifrs-cor_2015-03-11.xsd#ifrs-full_ComponentsOfOtherComprehensiveIncomeThatWillBeReclassifiedToProfitOrLossBeforeTaxAbstract</t>
  </si>
  <si>
    <t>full_ifrs-cor_2015-03-11.xsd#ifrs-full_ExchangeDifferencesOnTranslationAbstract</t>
  </si>
  <si>
    <t>full_ifrs-cor_2015-03-11.xsd#ifrs-full_GainsLossesOnExchangeDifferencesOnTranslationBeforeTax</t>
  </si>
  <si>
    <t>full_ifrs-cor_2015-03-11.xsd#ifrs-full_ReclassificationAdjustmentsOnExchangeDifferencesOnTranslationBeforeTax</t>
  </si>
  <si>
    <t>full_ifrs-cor_2015-03-11.xsd#ifrs-full_OtherComprehensiveIncomeBeforeTaxExchangeDifferencesOnTranslation</t>
  </si>
  <si>
    <t>full_ifrs-cor_2015-03-11.xsd#ifrs-full_GainsLossesOnRemeasuringAvailableforsaleFinancialAssetsBeforeTax</t>
  </si>
  <si>
    <t>full_ifrs-cor_2015-03-11.xsd#ifrs-full_ReclassificationAdjustmentsOnAvailableforsaleFinancialAssetsBeforeTax</t>
  </si>
  <si>
    <t>full_ifrs-cor_2015-03-11.xsd#ifrs-full_OtherComprehensiveIncomeBeforeTaxAvailableforsaleFinancialAssets</t>
  </si>
  <si>
    <t>full_ifrs-cor_2015-03-11.xsd#ifrs-full_CashFlowHedgesAbstract</t>
  </si>
  <si>
    <t>full_ifrs-cor_2015-03-11.xsd#ifrs-full_GainsLossesOnCashFlowHedgesBeforeTax</t>
  </si>
  <si>
    <t>full_ifrs-cor_2015-03-11.xsd#ifrs-full_ReclassificationAdjustmentsOnCashFlowHedgesBeforeTax</t>
  </si>
  <si>
    <t>full_ifrs-cor_2015-03-11.xsd#ifrs-full_AmountsRemovedFromEquityAndIncludedInCarryingAmountOfNonfinancialAssetLiabilityWhoseAcquisitionOrIncurrenceWasHedgedHighlyProbableForecastTransactionBeforeTax</t>
  </si>
  <si>
    <t>full_ifrs-cor_2015-03-11.xsd#ifrs-full_OtherComprehensiveIncomeBeforeTaxCashFlowHedges</t>
  </si>
  <si>
    <t>full_ifrs-cor_2015-03-11.xsd#ifrs-full_GainsLossesOnHedgesOfNetInvestmentsInForeignOperationsBeforeTax</t>
  </si>
  <si>
    <t>full_ifrs-cor_2015-03-11.xsd#ifrs-full_ReclassificationAdjustmentsOnHedgesOfNetInvestmentsInForeignOperationsBeforeTax</t>
  </si>
  <si>
    <t>full_ifrs-cor_2015-03-11.xsd#ifrs-full_OtherComprehensiveIncomeBeforeTaxHedgesOfNetInvestmentsInForeignOperations</t>
  </si>
  <si>
    <t>full_ifrs-cor_2015-03-11.xsd#ifrs-full_GainsLossesOnChangeInValueOfTimeValueOfOptionsBeforeTax</t>
  </si>
  <si>
    <t>full_ifrs-cor_2015-03-11.xsd#ifrs-full_ReclassificationAdjustmentsOnChangeInValueOfTimeValueOfOptionsBeforeTax</t>
  </si>
  <si>
    <t>full_ifrs-cor_2015-03-11.xsd#ifrs-full_OtherComprehensiveIncomeBeforeTaxChangeInValueOfTimeValueOfOptions</t>
  </si>
  <si>
    <t>full_ifrs-cor_2015-03-11.xsd#ifrs-full_GainsLossesOnChangeInValueOfForwardElementsOfForwardContractsBeforeTax</t>
  </si>
  <si>
    <t>full_ifrs-cor_2015-03-11.xsd#ifrs-full_ReclassificationAdjustmentsOnChangeInValueOfForwardElementsOfForwardContractsBeforeTax</t>
  </si>
  <si>
    <t>full_ifrs-cor_2015-03-11.xsd#ifrs-full_OtherComprehensiveIncomeBeforeTaxChangeInValueOfForwardElementsOfForwardContracts</t>
  </si>
  <si>
    <t>full_ifrs-cor_2015-03-11.xsd#ifrs-full_GainsLossesOnChangeInValueOfForeignCurrencyBasisSpreadsBeforeTax</t>
  </si>
  <si>
    <t>full_ifrs-cor_2015-03-11.xsd#ifrs-full_ReclassificationAdjustmentsOnChangeInValueOfForeignCurrencyBasisSpreadsBeforeTax</t>
  </si>
  <si>
    <t>full_ifrs-cor_2015-03-11.xsd#ifrs-full_OtherComprehensiveIncomeBeforeTaxChangeInValueOfForeignCurrencyBasisSpreads</t>
  </si>
  <si>
    <t>full_ifrs-cor_2015-03-11.xsd#ifrs-full_ShareOfOtherComprehensiveIncomeOfAssociatesAndJointVenturesAccountedForUsingEquityMethodThatWillBeReclassifiedToProfitOrLossBeforeTax</t>
  </si>
  <si>
    <t>full_ifrs-cor_2015-03-11.xsd#ifrs-full_OtherComprehensiveIncomeThatWillBeReclassifiedToProfitOrLossBeforeTax</t>
  </si>
  <si>
    <t>full_ifrs-cor_2015-03-11.xsd#ifrs-full_OtherComprehensiveIncomeBeforeTax</t>
  </si>
  <si>
    <t>full_ifrs-cor_2015-03-11.xsd#ifrs-full_IncomeTaxRelatingToHedgesOfInvestmentsInEquityInstrumentsOfOtherComprehensiveIncome</t>
  </si>
  <si>
    <t>full_ifrs-cor_2015-03-11.xsd#ifrs-full_IncomeTaxRelatingToInvestmentsInEquityInstrumentsOfOtherComprehensiveIncome</t>
  </si>
  <si>
    <t>full_ifrs-cor_2015-03-11.xsd#ifrs-full_IncomeTaxRelatingToChangesInRevaluationSurplusOfOtherComprehensiveIncome</t>
  </si>
  <si>
    <t>full_ifrs-cor_2015-03-11.xsd#ifrs-full_IncomeTaxRelatingToRemeasurementsOfDefinedBenefitPlansOfOtherComprehensiveIncome</t>
  </si>
  <si>
    <t>full_ifrs-cor_2015-03-11.xsd#ifrs-full_IncomeTaxRelatingToChangesInFairValueOfFinancialLiabilityAttributableToChangeInCreditRiskOfLiabilityOfOtherComprehensiveIncome</t>
  </si>
  <si>
    <t>full_ifrs-cor_2015-03-11.xsd#ifrs-full_IncomeTaxRelatingToComponentsOfOtherComprehensiveIncomeThatWillNotBeReclassifiedToProfitOrLoss</t>
  </si>
  <si>
    <t>full_ifrs-cor_2015-03-11.xsd#ifrs-full_IncomeTaxRelatingToShareOfOtherComprehensiveIncomeOfAssociatesAndJointVenturesAccountedForUsingEquityMethodThatWillNotBeReclassifiedToProfitOrLoss</t>
  </si>
  <si>
    <t>full_ifrs-cor_2015-03-11.xsd#ifrs-full_IncomeTaxRelatingToExchangeDifferencesOnTranslationOfOtherComprehensiveIncome</t>
  </si>
  <si>
    <t>full_ifrs-cor_2015-03-11.xsd#ifrs-full_IncomeTaxRelatingToAvailableforsaleFinancialAssetsOfOtherComprehensiveIncome</t>
  </si>
  <si>
    <t>full_ifrs-cor_2015-03-11.xsd#ifrs-full_IncomeTaxRelatingToCashFlowHedgesOfOtherComprehensiveIncome</t>
  </si>
  <si>
    <t>full_ifrs-cor_2015-03-11.xsd#ifrs-full_IncomeTaxRelatingToHedgesOfNetInvestmentsInForeignOperationsOfOtherComprehensiveIncome</t>
  </si>
  <si>
    <t>full_ifrs-cor_2015-03-11.xsd#ifrs-full_IncomeTaxRelatingToChangeInValueOfTimeValueOfOptionsOfOtherComprehensiveIncome</t>
  </si>
  <si>
    <t>full_ifrs-cor_2015-03-11.xsd#ifrs-full_IncomeTaxRelatingToChangeInValueOfForwardElementsOfForwardContractsOfOtherComprehensiveIncome</t>
  </si>
  <si>
    <t>full_ifrs-cor_2015-03-11.xsd#ifrs-full_IncomeTaxRelatingToChangeInValueOfForeignCurrencyBasisSpreadsOfOtherComprehensiveIncome</t>
  </si>
  <si>
    <t>full_ifrs-cor_2015-03-11.xsd#ifrs-full_IncomeTaxRelatingToComponentsOfOtherComprehensiveIncomeThatWillBeReclassifiedToProfitOrLoss</t>
  </si>
  <si>
    <t>full_ifrs-cor_2015-03-11.xsd#ifrs-full_IncomeTaxRelatingToShareOfOtherComprehensiveIncomeOfAssociatesAndJointVenturesAccountedForUsingEquityMethodThatWillBeReclassifiedToProfitOrLoss</t>
  </si>
  <si>
    <t>full_ifrs-cor_2015-03-11.xsd#ifrs-full_OtherComprehensiveIncome</t>
  </si>
  <si>
    <t>full_ifrs-cor_2015-03-11.xsd#ifrs-full_ComprehensiveIncome</t>
  </si>
  <si>
    <t>full_ifrs-cor_2015-03-11.xsd#ifrs-full_ComprehensiveIncomeAttributableToOwnersOfParent</t>
  </si>
  <si>
    <t>full_ifrs-cor_2015-03-11.xsd#ifrs-full_ComprehensiveIncomeAttributableToNoncontrollingInterests</t>
  </si>
  <si>
    <t>Ganancias (pérdidas) por activos financieros medidos al valor razonable con cambios en otro resultado integral, antes de impuestos [Número]</t>
  </si>
  <si>
    <t>Ajustes de reclasificación sobre activos financieros medidos al valor razonable con cambios en otro resultado integral, antes de impuestos [Número]</t>
  </si>
  <si>
    <t>Importes eliminados del patrimonio y ajustados contra el valor razonable de activos financieros en el momento de la reclasificación fuera de la categoría de medición de valor razonable con cambios en otro resultado integral, antes de impuestos [Número]</t>
  </si>
  <si>
    <t>Otro resultado integral, antes de Impuestos, activos financieros medidos al valor razonable con cambios en otro resultado integral [Número]</t>
  </si>
  <si>
    <t>Impuesto a las ganancias relacionado con activos financieros medidos al valor razonable con cambios en otro resultado integral [Número]</t>
  </si>
  <si>
    <t>12.0</t>
  </si>
  <si>
    <t>pre_cl-ci_ias-1_2021-03-24_role-420000</t>
  </si>
  <si>
    <t xml:space="preserve">          Otro resultado integral, antes de impuestos, diferencias de cambio distintas a las diferencias por conversión  [Número]</t>
  </si>
  <si>
    <t>full_ifrs-cor_2021-03-24.xsd#ifrs-full_OtherComprehensiveIncomeBeforeTaxExchangeDifferencesOnTranslationOtherThanTranslationOfForeignOperations</t>
  </si>
  <si>
    <t>Costo de cobertura [resumen]</t>
  </si>
  <si>
    <t xml:space="preserve">          Impuesto a las ganancias relativo a diferencias de cambio distintas a las diferencias por conversión incluidas en otro resultado integral  [Número]</t>
  </si>
  <si>
    <t>full_ifrs-cor_2021-03-24.xsd#ifrs-full_IncomeTaxRelatingToExchangeDifferencesOnTranslationOtherThanTranslationOfForeignOperationsIncludedInOtherComprehensiveIncome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</si>
</sst>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_-;\-* #,##0.00_-;_-* &quot;-&quot;??_-;_-@_-"/>
    <numFmt numFmtId="165" formatCode="_-* #,##0.00\ [$€]_-;\-* #,##0.00\ [$€]_-;_-* &quot;-&quot;??\ [$€]_-;_-@_-"/>
    <numFmt numFmtId="166" formatCode="#,##0_ ;\-#,##0\ "/>
  </numFmts>
  <fonts count="32">
    <font>
      <sz val="11"/>
      <color theme="1"/>
      <name val="Calibri"/>
      <family val="2"/>
      <scheme val="minor"/>
    </font>
    <font>
      <sz val="11"/>
      <color theme="1"/>
      <name val="Calibri"/>
      <family val="2"/>
      <scheme val="minor"/>
    </font>
    <font>
      <sz val="8"/>
      <color theme="1"/>
      <name val="Verdana"/>
      <family val="2"/>
    </font>
    <font>
      <sz val="8"/>
      <name val="ＭＳ Ｐゴシック"/>
      <family val="3"/>
      <charset val="128"/>
    </font>
    <font>
      <sz val="9"/>
      <name val="Calibri"/>
      <family val="2"/>
      <scheme val="minor"/>
    </font>
    <font>
      <b/>
      <sz val="9"/>
      <name val="Verdana"/>
      <family val="2"/>
    </font>
    <font>
      <sz val="9"/>
      <name val="Verdana"/>
      <family val="2"/>
    </font>
    <font>
      <sz val="11"/>
      <color indexed="9"/>
      <name val="Czcionka tekstu podstawowego"/>
      <family val="2"/>
      <charset val="238"/>
    </font>
    <font>
      <b/>
      <sz val="9"/>
      <color indexed="9"/>
      <name val="Calibri"/>
      <family val="2"/>
      <scheme val="minor"/>
    </font>
    <font>
      <sz val="11"/>
      <color indexed="8"/>
      <name val="Czcionka tekstu podstawowego"/>
      <family val="2"/>
      <charset val="238"/>
    </font>
    <font>
      <sz val="11"/>
      <color indexed="17"/>
      <name val="Czcionka tekstu podstawowego"/>
      <family val="2"/>
      <charset val="238"/>
    </font>
    <font>
      <b/>
      <sz val="11"/>
      <color indexed="9"/>
      <name val="Czcionka tekstu podstawowego"/>
      <family val="2"/>
      <charset val="238"/>
    </font>
    <font>
      <sz val="11"/>
      <color indexed="52"/>
      <name val="Czcionka tekstu podstawowego"/>
      <family val="2"/>
      <charset val="238"/>
    </font>
    <font>
      <sz val="11"/>
      <color indexed="62"/>
      <name val="Czcionka tekstu podstawowego"/>
      <family val="2"/>
      <charset val="238"/>
    </font>
    <font>
      <b/>
      <sz val="11"/>
      <color indexed="63"/>
      <name val="Czcionka tekstu podstawowego"/>
      <family val="2"/>
      <charset val="238"/>
    </font>
    <font>
      <b/>
      <sz val="11"/>
      <color indexed="56"/>
      <name val="Czcionka tekstu podstawowego"/>
      <family val="2"/>
      <charset val="238"/>
    </font>
    <font>
      <sz val="10"/>
      <name val="Arial"/>
      <family val="2"/>
    </font>
    <font>
      <b/>
      <sz val="15"/>
      <color indexed="56"/>
      <name val="Czcionka tekstu podstawowego"/>
      <family val="2"/>
      <charset val="238"/>
    </font>
    <font>
      <b/>
      <sz val="13"/>
      <color indexed="56"/>
      <name val="Czcionka tekstu podstawowego"/>
      <family val="2"/>
      <charset val="238"/>
    </font>
    <font>
      <sz val="11"/>
      <color indexed="60"/>
      <name val="Czcionka tekstu podstawowego"/>
      <family val="2"/>
      <charset val="238"/>
    </font>
    <font>
      <b/>
      <sz val="11"/>
      <color indexed="52"/>
      <name val="Czcionka tekstu podstawowego"/>
      <family val="2"/>
      <charset val="238"/>
    </font>
    <font>
      <b/>
      <sz val="11"/>
      <color indexed="8"/>
      <name val="Czcionka tekstu podstawowego"/>
      <family val="2"/>
      <charset val="238"/>
    </font>
    <font>
      <i/>
      <sz val="11"/>
      <color indexed="23"/>
      <name val="Czcionka tekstu podstawowego"/>
      <family val="2"/>
      <charset val="238"/>
    </font>
    <font>
      <sz val="11"/>
      <color indexed="10"/>
      <name val="Czcionka tekstu podstawowego"/>
      <family val="2"/>
      <charset val="238"/>
    </font>
    <font>
      <b/>
      <sz val="18"/>
      <color indexed="56"/>
      <name val="Cambria"/>
      <family val="2"/>
      <charset val="238"/>
    </font>
    <font>
      <sz val="11"/>
      <color indexed="20"/>
      <name val="Czcionka tekstu podstawowego"/>
      <family val="2"/>
      <charset val="238"/>
    </font>
    <font>
      <sz val="8"/>
      <name val="Verdana"/>
      <family val="2"/>
    </font>
    <font>
      <b/>
      <sz val="9"/>
      <name val="Calibri"/>
      <family val="2"/>
      <scheme val="minor"/>
    </font>
    <font>
      <b/>
      <sz val="9"/>
      <color theme="1"/>
      <name val="Calibri"/>
      <family val="2"/>
      <scheme val="minor"/>
    </font>
    <font>
      <b/>
      <sz val="8"/>
      <name val="Verdana"/>
      <family val="2"/>
    </font>
    <font>
      <b/>
      <sz val="9"/>
      <color theme="1"/>
      <name val="Verdana"/>
      <family val="2"/>
    </font>
    <font>
      <sz val="9"/>
      <color theme="1"/>
      <name val="Verdana"/>
      <family val="2"/>
    </font>
  </fonts>
  <fills count="30">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indexed="30"/>
      </patternFill>
    </fill>
    <fill>
      <patternFill patternType="solid">
        <fgColor theme="0" tint="-0.3499862666707357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9"/>
      </patternFill>
    </fill>
    <fill>
      <patternFill patternType="solid">
        <fgColor indexed="11"/>
      </patternFill>
    </fill>
    <fill>
      <patternFill patternType="solid">
        <fgColor indexed="44"/>
      </patternFill>
    </fill>
    <fill>
      <patternFill patternType="solid">
        <fgColor indexed="51"/>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39997558519241921"/>
        <bgColor indexed="64"/>
      </patternFill>
    </fill>
    <fill>
      <patternFill patternType="solid">
        <fgColor theme="0" tint="-0.499984740745262"/>
        <bgColor indexed="64"/>
      </patternFill>
    </fill>
    <fill>
      <patternFill patternType="solid">
        <fgColor theme="9" tint="0.59999389629810485"/>
        <bgColor indexed="64"/>
      </patternFill>
    </fill>
  </fills>
  <borders count="22">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s>
  <cellStyleXfs count="126">
    <xf numFmtId="0" fontId="0" fillId="0" borderId="0"/>
    <xf numFmtId="164" fontId="1" fillId="0" borderId="0" applyFont="0" applyFill="0" applyBorder="0" applyAlignment="0" applyProtection="0"/>
    <xf numFmtId="0" fontId="9" fillId="6" borderId="0" applyNumberFormat="0" applyBorder="0" applyAlignment="0" applyProtection="0"/>
    <xf numFmtId="0" fontId="3" fillId="0" borderId="0" applyNumberFormat="0" applyFill="0" applyBorder="0">
      <alignment vertical="center"/>
    </xf>
    <xf numFmtId="0" fontId="7" fillId="4" borderId="0" applyNumberFormat="0" applyBorder="0" applyAlignment="0" applyProtection="0"/>
    <xf numFmtId="0" fontId="3" fillId="0" borderId="0" applyNumberFormat="0" applyFill="0" applyBorder="0">
      <alignment vertical="center"/>
    </xf>
    <xf numFmtId="0" fontId="3" fillId="0" borderId="0" applyNumberFormat="0" applyFill="0" applyBorder="0">
      <alignment vertical="center"/>
    </xf>
    <xf numFmtId="0" fontId="9" fillId="9" borderId="0" applyNumberFormat="0" applyBorder="0" applyAlignment="0" applyProtection="0"/>
    <xf numFmtId="0" fontId="9" fillId="8" borderId="0" applyNumberFormat="0" applyBorder="0" applyAlignment="0" applyProtection="0"/>
    <xf numFmtId="0" fontId="9" fillId="7"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9" fillId="13" borderId="0" applyNumberFormat="0" applyBorder="0" applyAlignment="0" applyProtection="0"/>
    <xf numFmtId="0" fontId="9" fillId="9"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22"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1" fillId="24" borderId="14" applyNumberFormat="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2" fillId="0" borderId="15" applyNumberFormat="0" applyFill="0" applyAlignment="0" applyProtection="0"/>
    <xf numFmtId="0" fontId="13" fillId="11" borderId="13" applyNumberFormat="0" applyAlignment="0" applyProtection="0"/>
    <xf numFmtId="0" fontId="14" fillId="23" borderId="16" applyNumberFormat="0" applyAlignment="0" applyProtection="0"/>
    <xf numFmtId="0" fontId="10" fillId="8" borderId="0" applyNumberFormat="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0" fontId="13" fillId="11" borderId="13" applyNumberFormat="0" applyAlignment="0" applyProtection="0"/>
    <xf numFmtId="165" fontId="16" fillId="0" borderId="0" applyFont="0" applyFill="0" applyBorder="0" applyAlignment="0" applyProtection="0"/>
    <xf numFmtId="0" fontId="12" fillId="0" borderId="15" applyNumberFormat="0" applyFill="0" applyAlignment="0" applyProtection="0"/>
    <xf numFmtId="0" fontId="11" fillId="24" borderId="14" applyNumberFormat="0" applyAlignment="0" applyProtection="0"/>
    <xf numFmtId="0" fontId="17" fillId="0" borderId="17" applyNumberFormat="0" applyFill="0" applyAlignment="0" applyProtection="0"/>
    <xf numFmtId="0" fontId="18" fillId="0" borderId="18" applyNumberFormat="0" applyFill="0" applyAlignment="0" applyProtection="0"/>
    <xf numFmtId="0" fontId="15" fillId="0" borderId="19" applyNumberFormat="0" applyFill="0" applyAlignment="0" applyProtection="0"/>
    <xf numFmtId="0" fontId="15" fillId="0" borderId="0" applyNumberFormat="0" applyFill="0" applyBorder="0" applyAlignment="0" applyProtection="0"/>
    <xf numFmtId="0" fontId="19" fillId="25" borderId="0" applyNumberFormat="0" applyBorder="0" applyAlignment="0" applyProtection="0"/>
    <xf numFmtId="0" fontId="3" fillId="0" borderId="0" applyNumberFormat="0" applyFill="0" applyBorder="0">
      <alignment vertical="center"/>
    </xf>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9" fillId="26" borderId="20" applyNumberFormat="0" applyFont="0" applyAlignment="0" applyProtection="0"/>
    <xf numFmtId="0" fontId="20" fillId="23" borderId="13" applyNumberFormat="0" applyAlignment="0" applyProtection="0"/>
    <xf numFmtId="0" fontId="21" fillId="0" borderId="21" applyNumberFormat="0" applyFill="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9" fillId="26" borderId="20" applyNumberFormat="0" applyFont="0" applyAlignment="0" applyProtection="0"/>
    <xf numFmtId="0" fontId="25" fillId="7" borderId="0" applyNumberFormat="0" applyBorder="0" applyAlignment="0" applyProtection="0"/>
    <xf numFmtId="0" fontId="3" fillId="0" borderId="0" applyNumberFormat="0" applyFill="0" applyBorder="0">
      <alignment vertical="center"/>
    </xf>
    <xf numFmtId="0" fontId="3" fillId="0" borderId="0" applyNumberFormat="0" applyFill="0" applyBorder="0">
      <alignment vertical="center"/>
    </xf>
  </cellStyleXfs>
  <cellXfs count="40">
    <xf numFmtId="0" fontId="0" fillId="0" borderId="0" xfId="0"/>
    <xf numFmtId="0" fontId="0" fillId="0" borderId="0" xfId="0"/>
    <xf numFmtId="0" fontId="4" fillId="3" borderId="0" xfId="94" applyFont="1" applyFill="1" applyBorder="1" applyAlignment="1">
      <alignment horizontal="left" vertical="center"/>
    </xf>
    <xf numFmtId="0" fontId="4" fillId="3" borderId="0" xfId="3" applyFont="1" applyFill="1" applyBorder="1" applyAlignment="1">
      <alignment horizontal="left" vertical="center"/>
    </xf>
    <xf numFmtId="0" fontId="4" fillId="3" borderId="2" xfId="94" applyFont="1" applyFill="1" applyBorder="1" applyAlignment="1">
      <alignment horizontal="left" vertical="center"/>
    </xf>
    <xf numFmtId="0" fontId="4" fillId="3" borderId="3" xfId="94" applyFont="1" applyFill="1" applyBorder="1" applyAlignment="1">
      <alignment horizontal="left" vertical="center"/>
    </xf>
    <xf numFmtId="0" fontId="4" fillId="3" borderId="3" xfId="3" applyFont="1" applyFill="1" applyBorder="1" applyAlignment="1">
      <alignment horizontal="left" vertical="center"/>
    </xf>
    <xf numFmtId="0" fontId="27" fillId="3" borderId="3" xfId="0" applyFont="1" applyFill="1" applyBorder="1" applyAlignment="1">
      <alignment horizontal="left" vertical="center"/>
    </xf>
    <xf numFmtId="0" fontId="4" fillId="3" borderId="7" xfId="94" applyFont="1" applyFill="1" applyBorder="1" applyAlignment="1">
      <alignment horizontal="left" vertical="center"/>
    </xf>
    <xf numFmtId="0" fontId="4" fillId="3" borderId="1" xfId="94" applyFont="1" applyFill="1" applyBorder="1" applyAlignment="1">
      <alignment horizontal="left" vertical="center"/>
    </xf>
    <xf numFmtId="0" fontId="4" fillId="3" borderId="8" xfId="94" applyFont="1" applyFill="1" applyBorder="1" applyAlignment="1">
      <alignment horizontal="left" vertical="center"/>
    </xf>
    <xf numFmtId="0" fontId="4" fillId="3" borderId="8" xfId="94" applyFont="1" applyFill="1" applyBorder="1" applyAlignment="1">
      <alignment horizontal="left" vertical="center" wrapText="1"/>
    </xf>
    <xf numFmtId="0" fontId="5" fillId="3" borderId="0" xfId="0" applyFont="1" applyFill="1" applyBorder="1" applyAlignment="1">
      <alignment horizontal="left" vertical="center"/>
    </xf>
    <xf numFmtId="0" fontId="6" fillId="3" borderId="0" xfId="0" applyFont="1" applyFill="1" applyBorder="1" applyAlignment="1">
      <alignment horizontal="left" vertical="center"/>
    </xf>
    <xf numFmtId="0" fontId="6" fillId="3" borderId="0" xfId="0" applyFont="1" applyFill="1" applyBorder="1" applyAlignment="1">
      <alignment horizontal="left" vertical="center" wrapText="1"/>
    </xf>
    <xf numFmtId="0" fontId="8" fillId="5" borderId="9" xfId="4" applyFont="1" applyFill="1" applyBorder="1" applyAlignment="1">
      <alignment horizontal="center" vertical="center" wrapText="1"/>
    </xf>
    <xf numFmtId="0" fontId="2" fillId="2" borderId="0" xfId="0" applyFont="1" applyFill="1"/>
    <xf numFmtId="166" fontId="26" fillId="0" borderId="5" xfId="1" applyNumberFormat="1" applyFont="1" applyFill="1" applyBorder="1" applyAlignment="1" applyProtection="1">
      <alignment vertical="center"/>
      <protection locked="0"/>
    </xf>
    <xf numFmtId="0" fontId="27" fillId="3" borderId="0" xfId="0" applyFont="1" applyFill="1" applyBorder="1" applyAlignment="1">
      <alignment horizontal="left" vertical="center"/>
    </xf>
    <xf numFmtId="0" fontId="5" fillId="3" borderId="0" xfId="0" applyFont="1" applyFill="1" applyBorder="1" applyAlignment="1">
      <alignment horizontal="left" vertical="center" wrapText="1"/>
    </xf>
    <xf numFmtId="0" fontId="5" fillId="3" borderId="0" xfId="0" applyNumberFormat="1" applyFont="1" applyFill="1" applyBorder="1" applyAlignment="1">
      <alignment horizontal="left" vertical="center"/>
    </xf>
    <xf numFmtId="0" fontId="4" fillId="3" borderId="3" xfId="0" applyFont="1" applyFill="1" applyBorder="1" applyAlignment="1">
      <alignment horizontal="left" vertical="center"/>
    </xf>
    <xf numFmtId="0" fontId="4" fillId="3" borderId="0" xfId="0" applyFont="1" applyFill="1" applyBorder="1" applyAlignment="1">
      <alignment horizontal="left" vertical="center"/>
    </xf>
    <xf numFmtId="0" fontId="6" fillId="3" borderId="8" xfId="0" applyFont="1" applyFill="1" applyBorder="1" applyAlignment="1">
      <alignment horizontal="left" vertical="center"/>
    </xf>
    <xf numFmtId="0" fontId="5" fillId="3" borderId="10" xfId="0" applyFont="1" applyFill="1" applyBorder="1" applyAlignment="1">
      <alignment horizontal="left" vertical="center"/>
    </xf>
    <xf numFmtId="0" fontId="5" fillId="3" borderId="11" xfId="0" applyFont="1" applyFill="1" applyBorder="1" applyAlignment="1">
      <alignment horizontal="left" vertical="center"/>
    </xf>
    <xf numFmtId="0" fontId="5" fillId="3" borderId="12" xfId="0" applyFont="1" applyFill="1" applyBorder="1" applyAlignment="1">
      <alignment horizontal="left" vertical="center"/>
    </xf>
    <xf numFmtId="0" fontId="8" fillId="28" borderId="9" xfId="4" applyFont="1" applyFill="1" applyBorder="1" applyAlignment="1">
      <alignment horizontal="center" vertical="center" wrapText="1"/>
    </xf>
    <xf numFmtId="3" fontId="5" fillId="27" borderId="5" xfId="125" applyNumberFormat="1" applyFont="1" applyFill="1" applyBorder="1" applyAlignment="1" applyProtection="1">
      <alignment vertical="center"/>
    </xf>
    <xf numFmtId="166" fontId="29" fillId="27" borderId="5" xfId="1" applyNumberFormat="1" applyFont="1" applyFill="1" applyBorder="1" applyAlignment="1" applyProtection="1">
      <alignment vertical="center"/>
      <protection locked="0"/>
    </xf>
    <xf numFmtId="0" fontId="30" fillId="3" borderId="0" xfId="0" applyFont="1" applyFill="1" applyBorder="1" applyAlignment="1">
      <alignment horizontal="left" vertical="center" wrapText="1"/>
    </xf>
    <xf numFmtId="0" fontId="31" fillId="3" borderId="0" xfId="0" applyFont="1" applyFill="1" applyBorder="1" applyAlignment="1">
      <alignment horizontal="left" vertical="center" wrapText="1" indent="1"/>
    </xf>
    <xf numFmtId="3" fontId="6" fillId="0" borderId="5" xfId="0" applyNumberFormat="1" applyFont="1" applyFill="1" applyBorder="1" applyAlignment="1" applyProtection="1">
      <alignment vertical="center"/>
      <protection locked="0"/>
    </xf>
    <xf numFmtId="3" fontId="6" fillId="2" borderId="5" xfId="125" applyNumberFormat="1" applyFont="1" applyFill="1" applyBorder="1" applyAlignment="1" applyProtection="1">
      <alignment vertical="center"/>
    </xf>
    <xf numFmtId="0" fontId="0" fillId="29" borderId="4" xfId="0" applyFill="1" applyBorder="1"/>
    <xf numFmtId="0" fontId="28" fillId="29" borderId="6" xfId="0" applyFont="1" applyFill="1" applyBorder="1"/>
    <xf numFmtId="0" fontId="6" fillId="29" borderId="0" xfId="0" applyFont="1" applyFill="1" applyBorder="1" applyAlignment="1">
      <alignment horizontal="left" vertical="center" wrapText="1"/>
    </xf>
    <xf numFmtId="0" fontId="5" fillId="3" borderId="0" xfId="0" applyFont="1" applyFill="1" applyBorder="1" applyAlignment="1">
      <alignment horizontal="left" vertical="center" wrapText="1" indent="2"/>
    </xf>
    <xf numFmtId="3" fontId="6" fillId="29" borderId="5" xfId="125" applyNumberFormat="1" applyFont="1" applyFill="1" applyBorder="1" applyAlignment="1" applyProtection="1">
      <alignment vertical="center"/>
    </xf>
    <xf numFmtId="0" fontId="4" fillId="29" borderId="0" xfId="94" applyFont="1" applyFill="1" applyBorder="1" applyAlignment="1">
      <alignment horizontal="left" vertical="center"/>
    </xf>
  </cellXfs>
  <cellStyles count="126">
    <cellStyle name="20% - akcent 1" xfId="2"/>
    <cellStyle name="20% - akcent 2" xfId="9"/>
    <cellStyle name="20% - akcent 3" xfId="8"/>
    <cellStyle name="20% - akcent 4" xfId="7"/>
    <cellStyle name="20% - akcent 5" xfId="10"/>
    <cellStyle name="20% - akcent 6" xfId="11"/>
    <cellStyle name="40% - akcent 2" xfId="12"/>
    <cellStyle name="40% - akcent 3" xfId="13"/>
    <cellStyle name="40% - akcent 4" xfId="14"/>
    <cellStyle name="40% - akcent 5" xfId="15"/>
    <cellStyle name="40% - akcent 6" xfId="16"/>
    <cellStyle name="60% - akcent 1" xfId="4"/>
    <cellStyle name="60% - akcent 2" xfId="17"/>
    <cellStyle name="60% - akcent 3" xfId="18"/>
    <cellStyle name="60% - akcent 4" xfId="19"/>
    <cellStyle name="60% - akcent 5" xfId="20"/>
    <cellStyle name="60% - akcent 6" xfId="21"/>
    <cellStyle name="Akcent 1" xfId="22"/>
    <cellStyle name="Akcent 2" xfId="23"/>
    <cellStyle name="Akcent 3" xfId="24"/>
    <cellStyle name="Akcent 4" xfId="25"/>
    <cellStyle name="Akcent 5" xfId="26"/>
    <cellStyle name="Akcent 6" xfId="27"/>
    <cellStyle name="Buena 10" xfId="28"/>
    <cellStyle name="Buena 11" xfId="29"/>
    <cellStyle name="Buena 12" xfId="30"/>
    <cellStyle name="Buena 2" xfId="31"/>
    <cellStyle name="Buena 3" xfId="32"/>
    <cellStyle name="Buena 4" xfId="33"/>
    <cellStyle name="Buena 5" xfId="34"/>
    <cellStyle name="Buena 6" xfId="35"/>
    <cellStyle name="Buena 7" xfId="36"/>
    <cellStyle name="Buena 8" xfId="37"/>
    <cellStyle name="Buena 9" xfId="38"/>
    <cellStyle name="Celda de comprobación 10" xfId="39"/>
    <cellStyle name="Celda de comprobación 11" xfId="40"/>
    <cellStyle name="Celda de comprobación 12" xfId="41"/>
    <cellStyle name="Celda de comprobación 2" xfId="42"/>
    <cellStyle name="Celda de comprobación 3" xfId="43"/>
    <cellStyle name="Celda de comprobación 4" xfId="44"/>
    <cellStyle name="Celda de comprobación 5" xfId="45"/>
    <cellStyle name="Celda de comprobación 6" xfId="46"/>
    <cellStyle name="Celda de comprobación 7" xfId="47"/>
    <cellStyle name="Celda de comprobación 8" xfId="48"/>
    <cellStyle name="Celda de comprobación 9" xfId="49"/>
    <cellStyle name="Celda vinculada 10" xfId="50"/>
    <cellStyle name="Celda vinculada 11" xfId="51"/>
    <cellStyle name="Celda vinculada 12" xfId="52"/>
    <cellStyle name="Celda vinculada 2" xfId="53"/>
    <cellStyle name="Celda vinculada 3" xfId="54"/>
    <cellStyle name="Celda vinculada 4" xfId="55"/>
    <cellStyle name="Celda vinculada 5" xfId="56"/>
    <cellStyle name="Celda vinculada 6" xfId="57"/>
    <cellStyle name="Celda vinculada 7" xfId="58"/>
    <cellStyle name="Celda vinculada 8" xfId="59"/>
    <cellStyle name="Celda vinculada 9" xfId="60"/>
    <cellStyle name="Dane wejściowe" xfId="61"/>
    <cellStyle name="Dane wyjściowe" xfId="62"/>
    <cellStyle name="Dobre" xfId="63"/>
    <cellStyle name="Encabezado 4 10" xfId="64"/>
    <cellStyle name="Encabezado 4 11" xfId="65"/>
    <cellStyle name="Encabezado 4 12" xfId="66"/>
    <cellStyle name="Encabezado 4 2" xfId="67"/>
    <cellStyle name="Encabezado 4 3" xfId="68"/>
    <cellStyle name="Encabezado 4 4" xfId="69"/>
    <cellStyle name="Encabezado 4 5" xfId="70"/>
    <cellStyle name="Encabezado 4 6" xfId="71"/>
    <cellStyle name="Encabezado 4 7" xfId="72"/>
    <cellStyle name="Encabezado 4 8" xfId="73"/>
    <cellStyle name="Encabezado 4 9" xfId="74"/>
    <cellStyle name="Entrada 10" xfId="75"/>
    <cellStyle name="Entrada 11" xfId="76"/>
    <cellStyle name="Entrada 12" xfId="77"/>
    <cellStyle name="Entrada 2" xfId="78"/>
    <cellStyle name="Entrada 3" xfId="79"/>
    <cellStyle name="Entrada 4" xfId="80"/>
    <cellStyle name="Entrada 5" xfId="81"/>
    <cellStyle name="Entrada 6" xfId="82"/>
    <cellStyle name="Entrada 7" xfId="83"/>
    <cellStyle name="Entrada 8" xfId="84"/>
    <cellStyle name="Entrada 9" xfId="85"/>
    <cellStyle name="Euro" xfId="86"/>
    <cellStyle name="Komórka połączona" xfId="87"/>
    <cellStyle name="Komórka zaznaczona" xfId="88"/>
    <cellStyle name="Millares" xfId="1" builtinId="3"/>
    <cellStyle name="Nagłówek 1" xfId="89"/>
    <cellStyle name="Nagłówek 2" xfId="90"/>
    <cellStyle name="Nagłówek 3" xfId="91"/>
    <cellStyle name="Nagłówek 4" xfId="92"/>
    <cellStyle name="Neutralne" xfId="93"/>
    <cellStyle name="Normal" xfId="0" builtinId="0"/>
    <cellStyle name="Normal 11" xfId="124"/>
    <cellStyle name="Normal 12" xfId="125"/>
    <cellStyle name="Normal 3" xfId="3"/>
    <cellStyle name="Normal 5" xfId="6"/>
    <cellStyle name="Normal 6" xfId="5"/>
    <cellStyle name="Normal 8" xfId="94"/>
    <cellStyle name="Notas 10" xfId="95"/>
    <cellStyle name="Notas 11" xfId="96"/>
    <cellStyle name="Notas 12" xfId="97"/>
    <cellStyle name="Notas 2" xfId="98"/>
    <cellStyle name="Notas 3" xfId="99"/>
    <cellStyle name="Notas 4" xfId="100"/>
    <cellStyle name="Notas 5" xfId="101"/>
    <cellStyle name="Notas 6" xfId="102"/>
    <cellStyle name="Notas 7" xfId="103"/>
    <cellStyle name="Notas 8" xfId="104"/>
    <cellStyle name="Notas 9" xfId="105"/>
    <cellStyle name="Obliczenia" xfId="106"/>
    <cellStyle name="Suma" xfId="107"/>
    <cellStyle name="Tekst objaśnienia" xfId="108"/>
    <cellStyle name="Tekst ostrzeżenia" xfId="109"/>
    <cellStyle name="Texto de advertencia 10" xfId="110"/>
    <cellStyle name="Texto de advertencia 11" xfId="111"/>
    <cellStyle name="Texto de advertencia 12" xfId="112"/>
    <cellStyle name="Texto de advertencia 2" xfId="113"/>
    <cellStyle name="Texto de advertencia 3" xfId="114"/>
    <cellStyle name="Texto de advertencia 4" xfId="115"/>
    <cellStyle name="Texto de advertencia 5" xfId="116"/>
    <cellStyle name="Texto de advertencia 6" xfId="117"/>
    <cellStyle name="Texto de advertencia 7" xfId="118"/>
    <cellStyle name="Texto de advertencia 8" xfId="119"/>
    <cellStyle name="Texto de advertencia 9" xfId="120"/>
    <cellStyle name="Tytuł" xfId="121"/>
    <cellStyle name="Uwaga" xfId="122"/>
    <cellStyle name="Złe" xfId="123"/>
  </cellStyles>
  <dxfs count="12">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1943100</xdr:colOff>
      <xdr:row>0</xdr:row>
      <xdr:rowOff>809625</xdr:rowOff>
    </xdr:to>
    <xdr:pic>
      <xdr:nvPicPr>
        <xdr:cNvPr id="5" name="4 Image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42683"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2333625</xdr:colOff>
      <xdr:row>0</xdr:row>
      <xdr:rowOff>83608</xdr:rowOff>
    </xdr:from>
    <xdr:to>
      <xdr:col>5</xdr:col>
      <xdr:colOff>5910740</xdr:colOff>
      <xdr:row>1</xdr:row>
      <xdr:rowOff>10108</xdr:rowOff>
    </xdr:to>
    <xdr:sp macro="" textlink="">
      <xdr:nvSpPr>
        <xdr:cNvPr id="6" name="5 CuadroTexto"/>
        <xdr:cNvSpPr txBox="1"/>
      </xdr:nvSpPr>
      <xdr:spPr>
        <a:xfrm>
          <a:off x="3233208" y="83608"/>
          <a:ext cx="3577115"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123825</xdr:colOff>
      <xdr:row>0</xdr:row>
      <xdr:rowOff>1000124</xdr:rowOff>
    </xdr:from>
    <xdr:to>
      <xdr:col>5</xdr:col>
      <xdr:colOff>479925</xdr:colOff>
      <xdr:row>1</xdr:row>
      <xdr:rowOff>98624</xdr:rowOff>
    </xdr:to>
    <xdr:sp macro="[0]!Guarda_Hojas_CSV" textlink="">
      <xdr:nvSpPr>
        <xdr:cNvPr id="7" name="6 Rectángulo redondeado"/>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647700</xdr:colOff>
      <xdr:row>0</xdr:row>
      <xdr:rowOff>1000124</xdr:rowOff>
    </xdr:from>
    <xdr:to>
      <xdr:col>5</xdr:col>
      <xdr:colOff>1727700</xdr:colOff>
      <xdr:row>1</xdr:row>
      <xdr:rowOff>98624</xdr:rowOff>
    </xdr:to>
    <xdr:sp macro="[0]!Guarda_Hojas_ZIP" textlink="">
      <xdr:nvSpPr>
        <xdr:cNvPr id="8" name="7 Rectángulo redondeado"/>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L93"/>
  <sheetViews>
    <sheetView tabSelected="1" topLeftCell="A73" zoomScale="90" zoomScaleNormal="90" workbookViewId="0">
      <selection activeCell="H90" sqref="H90:K91"/>
    </sheetView>
  </sheetViews>
  <sheetFormatPr baseColWidth="10" defaultRowHeight="14.4"/>
  <cols>
    <col min="1" max="5" width="2.6640625" customWidth="1"/>
    <col min="6" max="6" width="90.6640625" customWidth="1"/>
    <col min="7" max="7" width="2.6640625" customWidth="1"/>
    <col min="8" max="11" width="16.6640625" customWidth="1"/>
  </cols>
  <sheetData>
    <row r="1" spans="1:12" ht="105" customHeight="1">
      <c r="A1" t="s">
        <v>0</v>
      </c>
    </row>
    <row r="2" spans="1:12">
      <c r="G2" s="34" t="s">
        <v>0</v>
      </c>
      <c r="H2" s="35" t="s">
        <v>146</v>
      </c>
    </row>
    <row r="3" spans="1:12">
      <c r="A3" s="16" t="s">
        <v>0</v>
      </c>
      <c r="B3" s="4"/>
      <c r="C3" s="5"/>
      <c r="D3" s="6"/>
      <c r="E3" s="5"/>
      <c r="F3" s="21"/>
      <c r="G3" s="22"/>
      <c r="H3" s="18"/>
      <c r="I3" s="7"/>
      <c r="J3" s="7"/>
      <c r="K3" s="7"/>
      <c r="L3" s="8"/>
    </row>
    <row r="4" spans="1:12" ht="24">
      <c r="A4" s="16" t="s">
        <v>0</v>
      </c>
      <c r="B4" s="9"/>
      <c r="C4" s="2"/>
      <c r="D4" s="3" t="s">
        <v>0</v>
      </c>
      <c r="E4" s="2" t="s">
        <v>0</v>
      </c>
      <c r="F4" s="12" t="s">
        <v>3</v>
      </c>
      <c r="G4" s="13" t="s">
        <v>0</v>
      </c>
      <c r="H4" s="27" t="s">
        <v>69</v>
      </c>
      <c r="I4" s="27" t="s">
        <v>70</v>
      </c>
      <c r="J4" s="27" t="s">
        <v>71</v>
      </c>
      <c r="K4" s="27" t="s">
        <v>72</v>
      </c>
      <c r="L4" s="10"/>
    </row>
    <row r="5" spans="1:12">
      <c r="A5" s="16" t="s">
        <v>0</v>
      </c>
      <c r="B5" s="9" t="s">
        <v>147</v>
      </c>
      <c r="C5" s="2" t="s">
        <v>84</v>
      </c>
      <c r="D5" s="3" t="s">
        <v>0</v>
      </c>
      <c r="E5" s="2" t="s">
        <v>0</v>
      </c>
      <c r="F5" s="13" t="s">
        <v>8</v>
      </c>
      <c r="G5" s="13" t="s">
        <v>1</v>
      </c>
      <c r="H5" s="32">
        <v>71750587000</v>
      </c>
      <c r="I5" s="32">
        <v>60792770000</v>
      </c>
      <c r="J5" s="32">
        <v>71750587000</v>
      </c>
      <c r="K5" s="32">
        <v>60792770000</v>
      </c>
      <c r="L5" s="10"/>
    </row>
    <row r="6" spans="1:12">
      <c r="A6" s="16" t="s">
        <v>0</v>
      </c>
      <c r="B6" s="9"/>
      <c r="C6" s="2"/>
      <c r="D6" s="3" t="s">
        <v>0</v>
      </c>
      <c r="E6" s="2" t="s">
        <v>0</v>
      </c>
      <c r="F6" s="12" t="s">
        <v>9</v>
      </c>
      <c r="G6" s="13" t="s">
        <v>0</v>
      </c>
      <c r="H6" s="13"/>
      <c r="I6" s="13"/>
      <c r="J6" s="13"/>
      <c r="K6" s="13"/>
      <c r="L6" s="10"/>
    </row>
    <row r="7" spans="1:12" ht="22.8">
      <c r="A7" s="16" t="s">
        <v>0</v>
      </c>
      <c r="B7" s="9" t="s">
        <v>147</v>
      </c>
      <c r="C7" s="2" t="s">
        <v>85</v>
      </c>
      <c r="D7" s="3" t="s">
        <v>0</v>
      </c>
      <c r="E7" s="2" t="s">
        <v>0</v>
      </c>
      <c r="F7" s="19" t="s">
        <v>10</v>
      </c>
      <c r="G7" s="13" t="s">
        <v>0</v>
      </c>
      <c r="H7" s="13"/>
      <c r="I7" s="13"/>
      <c r="J7" s="13"/>
      <c r="K7" s="13"/>
      <c r="L7" s="10"/>
    </row>
    <row r="8" spans="1:12" ht="22.8">
      <c r="A8" s="16" t="s">
        <v>0</v>
      </c>
      <c r="B8" s="9" t="s">
        <v>147</v>
      </c>
      <c r="C8" s="2" t="s">
        <v>86</v>
      </c>
      <c r="D8" s="3" t="s">
        <v>0</v>
      </c>
      <c r="E8" s="2" t="s">
        <v>0</v>
      </c>
      <c r="F8" s="14" t="s">
        <v>11</v>
      </c>
      <c r="G8" s="13" t="s">
        <v>1</v>
      </c>
      <c r="H8" s="17"/>
      <c r="I8" s="17"/>
      <c r="J8" s="17"/>
      <c r="K8" s="17"/>
      <c r="L8" s="23"/>
    </row>
    <row r="9" spans="1:12">
      <c r="A9" s="16" t="s">
        <v>0</v>
      </c>
      <c r="B9" s="9" t="s">
        <v>147</v>
      </c>
      <c r="C9" s="2" t="s">
        <v>87</v>
      </c>
      <c r="D9" s="3" t="s">
        <v>0</v>
      </c>
      <c r="E9" s="2" t="s">
        <v>0</v>
      </c>
      <c r="F9" s="14" t="s">
        <v>12</v>
      </c>
      <c r="G9" s="13" t="s">
        <v>1</v>
      </c>
      <c r="H9" s="17"/>
      <c r="I9" s="17"/>
      <c r="J9" s="17"/>
      <c r="K9" s="17"/>
      <c r="L9" s="10"/>
    </row>
    <row r="10" spans="1:12" ht="22.8">
      <c r="A10" s="1"/>
      <c r="B10" s="9" t="s">
        <v>147</v>
      </c>
      <c r="C10" s="2" t="s">
        <v>88</v>
      </c>
      <c r="D10" s="3" t="s">
        <v>0</v>
      </c>
      <c r="E10" s="2" t="s">
        <v>0</v>
      </c>
      <c r="F10" s="14" t="s">
        <v>13</v>
      </c>
      <c r="G10" s="13" t="s">
        <v>1</v>
      </c>
      <c r="H10" s="17"/>
      <c r="I10" s="17"/>
      <c r="J10" s="17"/>
      <c r="K10" s="17"/>
      <c r="L10" s="10"/>
    </row>
    <row r="11" spans="1:12" s="1" customFormat="1" ht="22.8">
      <c r="B11" s="9" t="s">
        <v>147</v>
      </c>
      <c r="C11" s="2" t="s">
        <v>149</v>
      </c>
      <c r="D11" s="3" t="s">
        <v>0</v>
      </c>
      <c r="E11" s="2"/>
      <c r="F11" s="36" t="s">
        <v>148</v>
      </c>
      <c r="G11" s="13" t="s">
        <v>1</v>
      </c>
      <c r="H11" s="17">
        <v>1000</v>
      </c>
      <c r="I11" s="17">
        <v>2000</v>
      </c>
      <c r="J11" s="17">
        <v>1000</v>
      </c>
      <c r="K11" s="17">
        <v>2000</v>
      </c>
      <c r="L11" s="10"/>
    </row>
    <row r="12" spans="1:12" ht="22.8">
      <c r="A12" s="16" t="s">
        <v>0</v>
      </c>
      <c r="B12" s="9" t="s">
        <v>147</v>
      </c>
      <c r="C12" s="2" t="s">
        <v>89</v>
      </c>
      <c r="D12" s="3" t="s">
        <v>0</v>
      </c>
      <c r="E12" s="2" t="s">
        <v>0</v>
      </c>
      <c r="F12" s="14" t="s">
        <v>14</v>
      </c>
      <c r="G12" s="13" t="s">
        <v>1</v>
      </c>
      <c r="H12" s="17"/>
      <c r="I12" s="17"/>
      <c r="J12" s="17"/>
      <c r="K12" s="17"/>
      <c r="L12" s="10"/>
    </row>
    <row r="13" spans="1:12" s="1" customFormat="1" ht="22.8">
      <c r="A13" s="16"/>
      <c r="B13" s="9" t="s">
        <v>147</v>
      </c>
      <c r="C13" s="2" t="s">
        <v>90</v>
      </c>
      <c r="D13" s="3" t="s">
        <v>0</v>
      </c>
      <c r="E13" s="2"/>
      <c r="F13" s="14" t="s">
        <v>76</v>
      </c>
      <c r="G13" s="13" t="s">
        <v>1</v>
      </c>
      <c r="H13" s="17"/>
      <c r="I13" s="17"/>
      <c r="J13" s="17"/>
      <c r="K13" s="17"/>
      <c r="L13" s="10"/>
    </row>
    <row r="14" spans="1:12" ht="22.8">
      <c r="A14" s="16" t="s">
        <v>0</v>
      </c>
      <c r="B14" s="9" t="s">
        <v>147</v>
      </c>
      <c r="C14" s="2" t="s">
        <v>91</v>
      </c>
      <c r="D14" s="3" t="s">
        <v>0</v>
      </c>
      <c r="E14" s="2" t="s">
        <v>0</v>
      </c>
      <c r="F14" s="14" t="s">
        <v>15</v>
      </c>
      <c r="G14" s="13" t="s">
        <v>1</v>
      </c>
      <c r="H14" s="33"/>
      <c r="I14" s="33"/>
      <c r="J14" s="33"/>
      <c r="K14" s="33"/>
      <c r="L14" s="10"/>
    </row>
    <row r="15" spans="1:12" ht="22.8">
      <c r="A15" s="16" t="s">
        <v>0</v>
      </c>
      <c r="B15" s="9" t="s">
        <v>147</v>
      </c>
      <c r="C15" s="2" t="s">
        <v>92</v>
      </c>
      <c r="D15" s="3" t="s">
        <v>0</v>
      </c>
      <c r="E15" s="2" t="s">
        <v>0</v>
      </c>
      <c r="F15" s="19" t="s">
        <v>16</v>
      </c>
      <c r="G15" s="13" t="s">
        <v>1</v>
      </c>
      <c r="H15" s="29">
        <f>SUM(H8:H14)</f>
        <v>1000</v>
      </c>
      <c r="I15" s="29">
        <f>SUM(I8:I14)</f>
        <v>2000</v>
      </c>
      <c r="J15" s="29">
        <f>SUM(J8:J14)</f>
        <v>1000</v>
      </c>
      <c r="K15" s="29">
        <f>SUM(K8:K14)</f>
        <v>2000</v>
      </c>
      <c r="L15" s="10"/>
    </row>
    <row r="16" spans="1:12">
      <c r="A16" s="1"/>
      <c r="B16" s="9"/>
      <c r="C16" s="2"/>
      <c r="D16" s="3"/>
      <c r="E16" s="2"/>
      <c r="F16" s="13"/>
      <c r="G16" s="13"/>
      <c r="H16" s="13"/>
      <c r="I16" s="13"/>
      <c r="J16" s="13"/>
      <c r="K16" s="13"/>
      <c r="L16" s="10"/>
    </row>
    <row r="17" spans="1:12" ht="22.8">
      <c r="A17" s="16" t="s">
        <v>0</v>
      </c>
      <c r="B17" s="9" t="s">
        <v>147</v>
      </c>
      <c r="C17" s="2" t="s">
        <v>93</v>
      </c>
      <c r="D17" s="3" t="s">
        <v>0</v>
      </c>
      <c r="E17" s="2" t="s">
        <v>0</v>
      </c>
      <c r="F17" s="19" t="s">
        <v>17</v>
      </c>
      <c r="G17" s="13" t="s">
        <v>0</v>
      </c>
      <c r="H17" s="13"/>
      <c r="I17" s="13"/>
      <c r="J17" s="13"/>
      <c r="K17" s="13"/>
      <c r="L17" s="10"/>
    </row>
    <row r="18" spans="1:12">
      <c r="A18" s="1"/>
      <c r="B18" s="9" t="s">
        <v>147</v>
      </c>
      <c r="C18" s="2" t="s">
        <v>94</v>
      </c>
      <c r="D18" s="3" t="s">
        <v>0</v>
      </c>
      <c r="E18" s="2" t="s">
        <v>0</v>
      </c>
      <c r="F18" s="12" t="s">
        <v>18</v>
      </c>
      <c r="G18" s="13" t="s">
        <v>0</v>
      </c>
      <c r="H18" s="13"/>
      <c r="I18" s="13"/>
      <c r="J18" s="13"/>
      <c r="K18" s="13"/>
      <c r="L18" s="10"/>
    </row>
    <row r="19" spans="1:12">
      <c r="A19" s="16" t="s">
        <v>0</v>
      </c>
      <c r="B19" s="9" t="s">
        <v>147</v>
      </c>
      <c r="C19" s="2" t="s">
        <v>95</v>
      </c>
      <c r="D19" s="3" t="s">
        <v>0</v>
      </c>
      <c r="E19" s="2" t="s">
        <v>0</v>
      </c>
      <c r="F19" s="14" t="s">
        <v>19</v>
      </c>
      <c r="G19" s="13" t="s">
        <v>1</v>
      </c>
      <c r="H19" s="17">
        <v>846852000</v>
      </c>
      <c r="I19" s="17">
        <v>5595301000</v>
      </c>
      <c r="J19" s="17">
        <v>846852000</v>
      </c>
      <c r="K19" s="17">
        <v>5595301000</v>
      </c>
      <c r="L19" s="10"/>
    </row>
    <row r="20" spans="1:12">
      <c r="A20" s="16" t="s">
        <v>0</v>
      </c>
      <c r="B20" s="9" t="s">
        <v>147</v>
      </c>
      <c r="C20" s="2" t="s">
        <v>96</v>
      </c>
      <c r="D20" s="3" t="s">
        <v>0</v>
      </c>
      <c r="E20" s="2" t="s">
        <v>0</v>
      </c>
      <c r="F20" s="14" t="s">
        <v>20</v>
      </c>
      <c r="G20" s="13" t="s">
        <v>2</v>
      </c>
      <c r="H20" s="17"/>
      <c r="I20" s="17"/>
      <c r="J20" s="17"/>
      <c r="K20" s="17"/>
      <c r="L20" s="10"/>
    </row>
    <row r="21" spans="1:12" ht="22.8">
      <c r="A21" s="16" t="s">
        <v>0</v>
      </c>
      <c r="B21" s="9" t="s">
        <v>147</v>
      </c>
      <c r="C21" s="2" t="s">
        <v>97</v>
      </c>
      <c r="D21" s="3" t="s">
        <v>0</v>
      </c>
      <c r="E21" s="2" t="s">
        <v>0</v>
      </c>
      <c r="F21" s="19" t="s">
        <v>21</v>
      </c>
      <c r="G21" s="13" t="s">
        <v>1</v>
      </c>
      <c r="H21" s="29">
        <f t="shared" ref="H21:K21" si="0">H19-H20</f>
        <v>846852000</v>
      </c>
      <c r="I21" s="29">
        <f t="shared" si="0"/>
        <v>5595301000</v>
      </c>
      <c r="J21" s="29">
        <f t="shared" si="0"/>
        <v>846852000</v>
      </c>
      <c r="K21" s="29">
        <f t="shared" si="0"/>
        <v>5595301000</v>
      </c>
      <c r="L21" s="10"/>
    </row>
    <row r="22" spans="1:12">
      <c r="A22" s="1"/>
      <c r="B22" s="9"/>
      <c r="C22" s="2"/>
      <c r="D22" s="3"/>
      <c r="E22" s="2"/>
      <c r="F22" s="13"/>
      <c r="G22" s="13"/>
      <c r="H22" s="13"/>
      <c r="I22" s="13"/>
      <c r="J22" s="13"/>
      <c r="K22" s="13"/>
      <c r="L22" s="10"/>
    </row>
    <row r="23" spans="1:12">
      <c r="A23" s="16" t="s">
        <v>0</v>
      </c>
      <c r="B23" s="9"/>
      <c r="C23" s="2"/>
      <c r="D23" s="3" t="s">
        <v>0</v>
      </c>
      <c r="E23" s="2" t="s">
        <v>0</v>
      </c>
      <c r="F23" s="20" t="s">
        <v>22</v>
      </c>
      <c r="G23" s="13" t="s">
        <v>0</v>
      </c>
      <c r="H23" s="13"/>
      <c r="I23" s="13"/>
      <c r="J23" s="13"/>
      <c r="K23" s="13"/>
      <c r="L23" s="10"/>
    </row>
    <row r="24" spans="1:12" ht="22.8">
      <c r="A24" s="16" t="s">
        <v>0</v>
      </c>
      <c r="B24" s="9" t="s">
        <v>147</v>
      </c>
      <c r="C24" s="2" t="s">
        <v>98</v>
      </c>
      <c r="D24" s="3" t="s">
        <v>0</v>
      </c>
      <c r="E24" s="2" t="s">
        <v>0</v>
      </c>
      <c r="F24" s="14" t="s">
        <v>23</v>
      </c>
      <c r="G24" s="13" t="s">
        <v>1</v>
      </c>
      <c r="H24" s="17"/>
      <c r="I24" s="17"/>
      <c r="J24" s="17"/>
      <c r="K24" s="17"/>
      <c r="L24" s="10"/>
    </row>
    <row r="25" spans="1:12" ht="22.8">
      <c r="A25" s="1"/>
      <c r="B25" s="9" t="s">
        <v>147</v>
      </c>
      <c r="C25" s="2" t="s">
        <v>99</v>
      </c>
      <c r="D25" s="3" t="s">
        <v>0</v>
      </c>
      <c r="E25" s="2" t="s">
        <v>0</v>
      </c>
      <c r="F25" s="14" t="s">
        <v>24</v>
      </c>
      <c r="G25" s="13" t="s">
        <v>2</v>
      </c>
      <c r="H25" s="17"/>
      <c r="I25" s="17"/>
      <c r="J25" s="17"/>
      <c r="K25" s="17"/>
      <c r="L25" s="10"/>
    </row>
    <row r="26" spans="1:12" ht="22.8">
      <c r="A26" s="16" t="s">
        <v>0</v>
      </c>
      <c r="B26" s="9" t="s">
        <v>147</v>
      </c>
      <c r="C26" s="2" t="s">
        <v>100</v>
      </c>
      <c r="D26" s="3" t="s">
        <v>0</v>
      </c>
      <c r="E26" s="2" t="s">
        <v>0</v>
      </c>
      <c r="F26" s="19" t="s">
        <v>25</v>
      </c>
      <c r="G26" s="13" t="s">
        <v>1</v>
      </c>
      <c r="H26" s="29">
        <f>H24-H25</f>
        <v>0</v>
      </c>
      <c r="I26" s="29">
        <f t="shared" ref="I26:K26" si="1">I24-I25</f>
        <v>0</v>
      </c>
      <c r="J26" s="29">
        <f t="shared" si="1"/>
        <v>0</v>
      </c>
      <c r="K26" s="29">
        <f t="shared" si="1"/>
        <v>0</v>
      </c>
      <c r="L26" s="11"/>
    </row>
    <row r="27" spans="1:12">
      <c r="A27" s="16"/>
      <c r="B27" s="9"/>
      <c r="C27" s="2"/>
      <c r="D27" s="3"/>
      <c r="E27" s="2"/>
      <c r="F27" s="13"/>
      <c r="G27" s="13"/>
      <c r="H27" s="13"/>
      <c r="I27" s="13"/>
      <c r="J27" s="13"/>
      <c r="K27" s="13"/>
      <c r="L27" s="11"/>
    </row>
    <row r="28" spans="1:12">
      <c r="A28" s="16" t="s">
        <v>0</v>
      </c>
      <c r="B28" s="9" t="s">
        <v>147</v>
      </c>
      <c r="C28" s="2" t="s">
        <v>101</v>
      </c>
      <c r="D28" s="3" t="s">
        <v>0</v>
      </c>
      <c r="E28" s="2" t="s">
        <v>0</v>
      </c>
      <c r="F28" s="12" t="s">
        <v>26</v>
      </c>
      <c r="G28" s="13" t="s">
        <v>0</v>
      </c>
      <c r="H28" s="13"/>
      <c r="I28" s="13"/>
      <c r="J28" s="13"/>
      <c r="K28" s="13"/>
      <c r="L28" s="10"/>
    </row>
    <row r="29" spans="1:12">
      <c r="A29" s="16" t="s">
        <v>0</v>
      </c>
      <c r="B29" s="9" t="s">
        <v>147</v>
      </c>
      <c r="C29" s="2" t="s">
        <v>102</v>
      </c>
      <c r="D29" s="3" t="s">
        <v>0</v>
      </c>
      <c r="E29" s="2" t="s">
        <v>0</v>
      </c>
      <c r="F29" s="13" t="s">
        <v>27</v>
      </c>
      <c r="G29" s="13" t="s">
        <v>1</v>
      </c>
      <c r="H29" s="17">
        <v>1160370000</v>
      </c>
      <c r="I29" s="17">
        <v>-2749857000</v>
      </c>
      <c r="J29" s="17">
        <v>1160370000</v>
      </c>
      <c r="K29" s="17">
        <v>-2749857000</v>
      </c>
      <c r="L29" s="11"/>
    </row>
    <row r="30" spans="1:12">
      <c r="A30" s="16" t="s">
        <v>0</v>
      </c>
      <c r="B30" s="9" t="s">
        <v>147</v>
      </c>
      <c r="C30" s="2" t="s">
        <v>103</v>
      </c>
      <c r="D30" s="3" t="s">
        <v>0</v>
      </c>
      <c r="E30" s="2" t="s">
        <v>0</v>
      </c>
      <c r="F30" s="14" t="s">
        <v>28</v>
      </c>
      <c r="G30" s="13" t="s">
        <v>2</v>
      </c>
      <c r="H30" s="17"/>
      <c r="I30" s="17"/>
      <c r="J30" s="17"/>
      <c r="K30" s="17"/>
      <c r="L30" s="11"/>
    </row>
    <row r="31" spans="1:12" ht="34.200000000000003">
      <c r="A31" s="16" t="s">
        <v>0</v>
      </c>
      <c r="B31" s="9" t="s">
        <v>147</v>
      </c>
      <c r="C31" s="2" t="s">
        <v>104</v>
      </c>
      <c r="D31" s="3" t="s">
        <v>0</v>
      </c>
      <c r="E31" s="2" t="s">
        <v>0</v>
      </c>
      <c r="F31" s="14" t="s">
        <v>29</v>
      </c>
      <c r="G31" s="13" t="s">
        <v>2</v>
      </c>
      <c r="H31" s="33"/>
      <c r="I31" s="33"/>
      <c r="J31" s="33"/>
      <c r="K31" s="33"/>
      <c r="L31" s="10"/>
    </row>
    <row r="32" spans="1:12">
      <c r="A32" s="1"/>
      <c r="B32" s="9" t="s">
        <v>147</v>
      </c>
      <c r="C32" s="2" t="s">
        <v>105</v>
      </c>
      <c r="D32" s="3" t="s">
        <v>0</v>
      </c>
      <c r="E32" s="2" t="s">
        <v>0</v>
      </c>
      <c r="F32" s="19" t="s">
        <v>30</v>
      </c>
      <c r="G32" s="13" t="s">
        <v>1</v>
      </c>
      <c r="H32" s="29">
        <f>H29-H30-H31</f>
        <v>1160370000</v>
      </c>
      <c r="I32" s="29">
        <f>I29-I30-I31</f>
        <v>-2749857000</v>
      </c>
      <c r="J32" s="29">
        <f>J29-J30-J31</f>
        <v>1160370000</v>
      </c>
      <c r="K32" s="29">
        <f>K29-K30-K31</f>
        <v>-2749857000</v>
      </c>
      <c r="L32" s="10"/>
    </row>
    <row r="33" spans="1:12">
      <c r="A33" s="1"/>
      <c r="B33" s="9"/>
      <c r="C33" s="2"/>
      <c r="D33" s="3"/>
      <c r="E33" s="2"/>
      <c r="F33" s="13"/>
      <c r="G33" s="13"/>
      <c r="H33" s="13"/>
      <c r="I33" s="13"/>
      <c r="J33" s="13"/>
      <c r="K33" s="13"/>
      <c r="L33" s="10"/>
    </row>
    <row r="34" spans="1:12">
      <c r="A34" s="16" t="s">
        <v>0</v>
      </c>
      <c r="B34" s="9"/>
      <c r="C34" s="2"/>
      <c r="D34" s="3"/>
      <c r="E34" s="2" t="s">
        <v>0</v>
      </c>
      <c r="F34" s="12" t="s">
        <v>31</v>
      </c>
      <c r="G34" s="13" t="s">
        <v>0</v>
      </c>
      <c r="H34" s="15" t="s">
        <v>4</v>
      </c>
      <c r="I34" s="15" t="s">
        <v>5</v>
      </c>
      <c r="J34" s="15" t="s">
        <v>6</v>
      </c>
      <c r="K34" s="15" t="s">
        <v>7</v>
      </c>
      <c r="L34" s="10"/>
    </row>
    <row r="35" spans="1:12" ht="22.8">
      <c r="A35" s="16" t="s">
        <v>0</v>
      </c>
      <c r="B35" s="9" t="s">
        <v>147</v>
      </c>
      <c r="C35" s="2" t="s">
        <v>106</v>
      </c>
      <c r="D35" s="3" t="s">
        <v>0</v>
      </c>
      <c r="E35" s="2" t="s">
        <v>0</v>
      </c>
      <c r="F35" s="14" t="s">
        <v>32</v>
      </c>
      <c r="G35" s="13" t="s">
        <v>1</v>
      </c>
      <c r="H35" s="17">
        <v>6000</v>
      </c>
      <c r="I35" s="17">
        <v>8000</v>
      </c>
      <c r="J35" s="17">
        <v>6000</v>
      </c>
      <c r="K35" s="17">
        <v>8000</v>
      </c>
      <c r="L35" s="10"/>
    </row>
    <row r="36" spans="1:12" ht="22.8">
      <c r="A36" s="16" t="s">
        <v>0</v>
      </c>
      <c r="B36" s="9" t="s">
        <v>147</v>
      </c>
      <c r="C36" s="2" t="s">
        <v>107</v>
      </c>
      <c r="D36" s="3" t="s">
        <v>0</v>
      </c>
      <c r="E36" s="2" t="s">
        <v>0</v>
      </c>
      <c r="F36" s="14" t="s">
        <v>33</v>
      </c>
      <c r="G36" s="13" t="s">
        <v>2</v>
      </c>
      <c r="H36" s="17"/>
      <c r="I36" s="17"/>
      <c r="J36" s="17"/>
      <c r="K36" s="17"/>
      <c r="L36" s="10"/>
    </row>
    <row r="37" spans="1:12" ht="22.8">
      <c r="A37" s="16" t="s">
        <v>0</v>
      </c>
      <c r="B37" s="9" t="s">
        <v>147</v>
      </c>
      <c r="C37" s="2" t="s">
        <v>108</v>
      </c>
      <c r="D37" s="3" t="s">
        <v>0</v>
      </c>
      <c r="E37" s="2" t="s">
        <v>0</v>
      </c>
      <c r="F37" s="19" t="s">
        <v>34</v>
      </c>
      <c r="G37" s="13" t="s">
        <v>1</v>
      </c>
      <c r="H37" s="29">
        <f>H35-H36</f>
        <v>6000</v>
      </c>
      <c r="I37" s="29">
        <f>I35-I36</f>
        <v>8000</v>
      </c>
      <c r="J37" s="29">
        <f>J35-J36</f>
        <v>6000</v>
      </c>
      <c r="K37" s="29">
        <f>K35-K36</f>
        <v>8000</v>
      </c>
      <c r="L37" s="11"/>
    </row>
    <row r="38" spans="1:12" s="1" customFormat="1">
      <c r="A38" s="16"/>
      <c r="B38" s="9"/>
      <c r="C38" s="2"/>
      <c r="D38" s="3"/>
      <c r="E38" s="2"/>
      <c r="F38" s="19"/>
      <c r="G38" s="13"/>
      <c r="H38" s="13"/>
      <c r="I38" s="13"/>
      <c r="J38" s="13"/>
      <c r="K38" s="13"/>
      <c r="L38" s="11"/>
    </row>
    <row r="39" spans="1:12" s="1" customFormat="1">
      <c r="A39" s="16"/>
      <c r="B39" s="9"/>
      <c r="C39" s="2"/>
      <c r="D39" s="3"/>
      <c r="E39" s="2"/>
      <c r="F39" s="19" t="s">
        <v>150</v>
      </c>
      <c r="G39" s="13"/>
      <c r="H39" s="13"/>
      <c r="I39" s="13"/>
      <c r="J39" s="13"/>
      <c r="K39" s="13"/>
      <c r="L39" s="11"/>
    </row>
    <row r="40" spans="1:12" s="1" customFormat="1">
      <c r="A40" s="16"/>
      <c r="B40" s="9"/>
      <c r="C40" s="2"/>
      <c r="D40" s="3"/>
      <c r="E40" s="2"/>
      <c r="F40" s="37" t="s">
        <v>57</v>
      </c>
      <c r="G40" s="13"/>
      <c r="H40" s="13"/>
      <c r="I40" s="13"/>
      <c r="J40" s="13"/>
      <c r="K40" s="13"/>
      <c r="L40" s="11"/>
    </row>
    <row r="41" spans="1:12" s="1" customFormat="1">
      <c r="A41" s="16"/>
      <c r="B41" s="9" t="s">
        <v>147</v>
      </c>
      <c r="C41" s="2" t="s">
        <v>109</v>
      </c>
      <c r="D41" s="3" t="s">
        <v>0</v>
      </c>
      <c r="E41" s="2"/>
      <c r="F41" s="14" t="s">
        <v>59</v>
      </c>
      <c r="G41" s="13"/>
      <c r="H41" s="17"/>
      <c r="I41" s="17"/>
      <c r="J41" s="17"/>
      <c r="K41" s="17"/>
      <c r="L41" s="11"/>
    </row>
    <row r="42" spans="1:12" s="1" customFormat="1" ht="22.8">
      <c r="A42" s="16"/>
      <c r="B42" s="9" t="s">
        <v>147</v>
      </c>
      <c r="C42" s="2" t="s">
        <v>110</v>
      </c>
      <c r="D42" s="3" t="s">
        <v>0</v>
      </c>
      <c r="E42" s="2"/>
      <c r="F42" s="14" t="s">
        <v>60</v>
      </c>
      <c r="G42" s="13"/>
      <c r="H42" s="17"/>
      <c r="I42" s="17"/>
      <c r="J42" s="17"/>
      <c r="K42" s="17"/>
      <c r="L42" s="11"/>
    </row>
    <row r="43" spans="1:12" s="1" customFormat="1" ht="22.8">
      <c r="A43" s="16"/>
      <c r="B43" s="9" t="s">
        <v>147</v>
      </c>
      <c r="C43" s="2" t="s">
        <v>111</v>
      </c>
      <c r="D43" s="3" t="s">
        <v>0</v>
      </c>
      <c r="E43" s="2"/>
      <c r="F43" s="19" t="s">
        <v>61</v>
      </c>
      <c r="G43" s="13"/>
      <c r="H43" s="29">
        <f>H41-H42</f>
        <v>0</v>
      </c>
      <c r="I43" s="29">
        <f>I41-I42</f>
        <v>0</v>
      </c>
      <c r="J43" s="29">
        <f>J41-J42</f>
        <v>0</v>
      </c>
      <c r="K43" s="29">
        <f>K41-K42</f>
        <v>0</v>
      </c>
      <c r="L43" s="11"/>
    </row>
    <row r="44" spans="1:12" s="1" customFormat="1">
      <c r="A44" s="16"/>
      <c r="B44" s="9"/>
      <c r="C44" s="2"/>
      <c r="D44" s="3"/>
      <c r="E44" s="2"/>
      <c r="F44" s="14"/>
      <c r="G44" s="13"/>
      <c r="H44" s="13"/>
      <c r="I44" s="13"/>
      <c r="J44" s="13"/>
      <c r="K44" s="13"/>
      <c r="L44" s="11"/>
    </row>
    <row r="45" spans="1:12" s="1" customFormat="1">
      <c r="A45" s="16"/>
      <c r="B45" s="9"/>
      <c r="C45" s="2"/>
      <c r="D45" s="3"/>
      <c r="E45" s="2"/>
      <c r="F45" s="19" t="s">
        <v>58</v>
      </c>
      <c r="G45" s="13"/>
      <c r="H45" s="13"/>
      <c r="I45" s="13"/>
      <c r="J45" s="13"/>
      <c r="K45" s="13"/>
      <c r="L45" s="11"/>
    </row>
    <row r="46" spans="1:12" s="1" customFormat="1" ht="22.8">
      <c r="A46" s="16"/>
      <c r="B46" s="9" t="s">
        <v>147</v>
      </c>
      <c r="C46" s="2" t="s">
        <v>112</v>
      </c>
      <c r="D46" s="3" t="s">
        <v>0</v>
      </c>
      <c r="E46" s="2"/>
      <c r="F46" s="14" t="s">
        <v>62</v>
      </c>
      <c r="G46" s="13"/>
      <c r="H46" s="17"/>
      <c r="I46" s="17"/>
      <c r="J46" s="17"/>
      <c r="K46" s="17"/>
      <c r="L46" s="11"/>
    </row>
    <row r="47" spans="1:12" s="1" customFormat="1" ht="22.8">
      <c r="A47" s="16"/>
      <c r="B47" s="9" t="s">
        <v>147</v>
      </c>
      <c r="C47" s="2" t="s">
        <v>113</v>
      </c>
      <c r="D47" s="3" t="s">
        <v>0</v>
      </c>
      <c r="E47" s="2"/>
      <c r="F47" s="14" t="s">
        <v>63</v>
      </c>
      <c r="G47" s="13"/>
      <c r="H47" s="17"/>
      <c r="I47" s="17"/>
      <c r="J47" s="17"/>
      <c r="K47" s="17"/>
      <c r="L47" s="11"/>
    </row>
    <row r="48" spans="1:12" s="1" customFormat="1" ht="22.8">
      <c r="A48" s="16"/>
      <c r="B48" s="9" t="s">
        <v>147</v>
      </c>
      <c r="C48" s="2" t="s">
        <v>114</v>
      </c>
      <c r="D48" s="3" t="s">
        <v>0</v>
      </c>
      <c r="E48" s="2"/>
      <c r="F48" s="19" t="s">
        <v>64</v>
      </c>
      <c r="G48" s="13"/>
      <c r="H48" s="29">
        <f>H46-H47</f>
        <v>0</v>
      </c>
      <c r="I48" s="29">
        <f>I46-I47</f>
        <v>0</v>
      </c>
      <c r="J48" s="29">
        <f>J46-J47</f>
        <v>0</v>
      </c>
      <c r="K48" s="29">
        <f>K46-K47</f>
        <v>0</v>
      </c>
      <c r="L48" s="11"/>
    </row>
    <row r="49" spans="1:12" s="1" customFormat="1">
      <c r="A49" s="16"/>
      <c r="B49" s="9"/>
      <c r="C49" s="2"/>
      <c r="D49" s="3"/>
      <c r="E49" s="2"/>
      <c r="F49" s="14"/>
      <c r="G49" s="13"/>
      <c r="H49" s="13"/>
      <c r="I49" s="13"/>
      <c r="J49" s="13"/>
      <c r="K49" s="13"/>
      <c r="L49" s="11"/>
    </row>
    <row r="50" spans="1:12" s="1" customFormat="1" ht="28.5" customHeight="1">
      <c r="A50" s="16"/>
      <c r="B50" s="9"/>
      <c r="C50" s="2"/>
      <c r="D50" s="3"/>
      <c r="E50" s="2"/>
      <c r="F50" s="19" t="s">
        <v>65</v>
      </c>
      <c r="G50" s="13"/>
      <c r="H50" s="13"/>
      <c r="I50" s="13"/>
      <c r="J50" s="13"/>
      <c r="K50" s="13"/>
      <c r="L50" s="11"/>
    </row>
    <row r="51" spans="1:12" s="1" customFormat="1" ht="22.8">
      <c r="A51" s="16"/>
      <c r="B51" s="9" t="s">
        <v>147</v>
      </c>
      <c r="C51" s="2" t="s">
        <v>115</v>
      </c>
      <c r="D51" s="3" t="s">
        <v>0</v>
      </c>
      <c r="E51" s="2"/>
      <c r="F51" s="14" t="s">
        <v>66</v>
      </c>
      <c r="G51" s="13"/>
      <c r="H51" s="17"/>
      <c r="I51" s="17"/>
      <c r="J51" s="17"/>
      <c r="K51" s="17"/>
      <c r="L51" s="11"/>
    </row>
    <row r="52" spans="1:12" s="1" customFormat="1" ht="22.8">
      <c r="A52" s="16"/>
      <c r="B52" s="9" t="s">
        <v>147</v>
      </c>
      <c r="C52" s="2" t="s">
        <v>116</v>
      </c>
      <c r="D52" s="3" t="s">
        <v>0</v>
      </c>
      <c r="E52" s="2"/>
      <c r="F52" s="14" t="s">
        <v>67</v>
      </c>
      <c r="G52" s="13"/>
      <c r="H52" s="17"/>
      <c r="I52" s="17"/>
      <c r="J52" s="17"/>
      <c r="K52" s="17"/>
      <c r="L52" s="11"/>
    </row>
    <row r="53" spans="1:12" s="1" customFormat="1" ht="22.8">
      <c r="A53" s="16"/>
      <c r="B53" s="9" t="s">
        <v>147</v>
      </c>
      <c r="C53" s="2" t="s">
        <v>117</v>
      </c>
      <c r="D53" s="3" t="s">
        <v>0</v>
      </c>
      <c r="E53" s="2"/>
      <c r="F53" s="19" t="s">
        <v>68</v>
      </c>
      <c r="G53" s="13"/>
      <c r="H53" s="29">
        <f>H51-H52</f>
        <v>0</v>
      </c>
      <c r="I53" s="29">
        <f>I51-I52</f>
        <v>0</v>
      </c>
      <c r="J53" s="29">
        <f>J51-J52</f>
        <v>0</v>
      </c>
      <c r="K53" s="29">
        <f>K51-K52</f>
        <v>0</v>
      </c>
      <c r="L53" s="11"/>
    </row>
    <row r="54" spans="1:12" s="1" customFormat="1">
      <c r="A54" s="16"/>
      <c r="B54" s="9"/>
      <c r="C54" s="2"/>
      <c r="D54" s="3"/>
      <c r="E54" s="2"/>
      <c r="F54" s="14"/>
      <c r="G54" s="13"/>
      <c r="H54" s="13"/>
      <c r="I54" s="13"/>
      <c r="J54" s="13"/>
      <c r="K54" s="13"/>
      <c r="L54" s="11"/>
    </row>
    <row r="55" spans="1:12" s="1" customFormat="1">
      <c r="A55" s="16"/>
      <c r="B55" s="9"/>
      <c r="C55" s="2"/>
      <c r="D55" s="3"/>
      <c r="E55" s="2"/>
      <c r="F55" s="30" t="s">
        <v>78</v>
      </c>
      <c r="G55" s="13"/>
      <c r="H55" s="13"/>
      <c r="I55" s="13"/>
      <c r="J55" s="13"/>
      <c r="K55" s="13"/>
      <c r="L55" s="11"/>
    </row>
    <row r="56" spans="1:12" s="1" customFormat="1" ht="22.8">
      <c r="A56" s="16"/>
      <c r="B56" s="9" t="s">
        <v>147</v>
      </c>
      <c r="C56" s="2" t="s">
        <v>79</v>
      </c>
      <c r="D56" s="3" t="s">
        <v>0</v>
      </c>
      <c r="E56" s="2"/>
      <c r="F56" s="31" t="s">
        <v>141</v>
      </c>
      <c r="G56" s="13" t="s">
        <v>1</v>
      </c>
      <c r="H56" s="17">
        <v>1111</v>
      </c>
      <c r="I56" s="17">
        <v>2222</v>
      </c>
      <c r="J56" s="17">
        <v>1111</v>
      </c>
      <c r="K56" s="17">
        <v>2222</v>
      </c>
      <c r="L56" s="11"/>
    </row>
    <row r="57" spans="1:12" s="1" customFormat="1" ht="22.8">
      <c r="A57" s="16"/>
      <c r="B57" s="9" t="s">
        <v>147</v>
      </c>
      <c r="C57" s="2" t="s">
        <v>80</v>
      </c>
      <c r="D57" s="3" t="s">
        <v>0</v>
      </c>
      <c r="E57" s="2"/>
      <c r="F57" s="31" t="s">
        <v>142</v>
      </c>
      <c r="G57" s="13" t="s">
        <v>2</v>
      </c>
      <c r="H57" s="17"/>
      <c r="I57" s="17"/>
      <c r="J57" s="17"/>
      <c r="K57" s="17"/>
      <c r="L57" s="11"/>
    </row>
    <row r="58" spans="1:12" s="1" customFormat="1" ht="34.200000000000003">
      <c r="A58" s="16"/>
      <c r="B58" s="9" t="s">
        <v>147</v>
      </c>
      <c r="C58" s="2" t="s">
        <v>81</v>
      </c>
      <c r="D58" s="3" t="s">
        <v>0</v>
      </c>
      <c r="E58" s="2"/>
      <c r="F58" s="31" t="s">
        <v>143</v>
      </c>
      <c r="G58" s="13" t="s">
        <v>2</v>
      </c>
      <c r="H58" s="17"/>
      <c r="I58" s="17"/>
      <c r="J58" s="17"/>
      <c r="K58" s="17"/>
      <c r="L58" s="11"/>
    </row>
    <row r="59" spans="1:12" s="1" customFormat="1" ht="22.8">
      <c r="A59" s="16"/>
      <c r="B59" s="9" t="s">
        <v>147</v>
      </c>
      <c r="C59" s="2" t="s">
        <v>82</v>
      </c>
      <c r="D59" s="3" t="s">
        <v>0</v>
      </c>
      <c r="E59" s="2"/>
      <c r="F59" s="31" t="s">
        <v>144</v>
      </c>
      <c r="G59" s="13"/>
      <c r="H59" s="29">
        <f>H56-H57-H58</f>
        <v>1111</v>
      </c>
      <c r="I59" s="29">
        <f t="shared" ref="I59:K59" si="2">I56-I57-I58</f>
        <v>2222</v>
      </c>
      <c r="J59" s="29">
        <f t="shared" si="2"/>
        <v>1111</v>
      </c>
      <c r="K59" s="29">
        <f t="shared" si="2"/>
        <v>2222</v>
      </c>
      <c r="L59" s="11"/>
    </row>
    <row r="60" spans="1:12" s="1" customFormat="1">
      <c r="A60" s="16"/>
      <c r="B60" s="9"/>
      <c r="C60" s="2"/>
      <c r="D60" s="3"/>
      <c r="E60" s="2"/>
      <c r="F60" s="14"/>
      <c r="G60" s="13"/>
      <c r="H60" s="13"/>
      <c r="I60" s="13"/>
      <c r="J60" s="13"/>
      <c r="K60" s="13"/>
      <c r="L60" s="11"/>
    </row>
    <row r="61" spans="1:12" ht="22.8">
      <c r="A61" s="16" t="s">
        <v>0</v>
      </c>
      <c r="B61" s="9" t="s">
        <v>147</v>
      </c>
      <c r="C61" s="2" t="s">
        <v>118</v>
      </c>
      <c r="D61" s="3" t="s">
        <v>0</v>
      </c>
      <c r="E61" s="2" t="s">
        <v>0</v>
      </c>
      <c r="F61" s="14" t="s">
        <v>35</v>
      </c>
      <c r="G61" s="13" t="s">
        <v>1</v>
      </c>
      <c r="H61" s="33"/>
      <c r="I61" s="33"/>
      <c r="J61" s="33"/>
      <c r="K61" s="33"/>
      <c r="L61" s="10"/>
    </row>
    <row r="62" spans="1:12" ht="22.8">
      <c r="A62" s="16" t="s">
        <v>0</v>
      </c>
      <c r="B62" s="9" t="s">
        <v>147</v>
      </c>
      <c r="C62" s="2" t="s">
        <v>119</v>
      </c>
      <c r="D62" s="3" t="s">
        <v>0</v>
      </c>
      <c r="E62" s="2" t="s">
        <v>0</v>
      </c>
      <c r="F62" s="19" t="s">
        <v>36</v>
      </c>
      <c r="G62" s="13" t="s">
        <v>1</v>
      </c>
      <c r="H62" s="29">
        <f>H21+H26+H32+H37+H43+H48+H53+H59+H61</f>
        <v>2007229111</v>
      </c>
      <c r="I62" s="29">
        <f t="shared" ref="I62:K62" si="3">I21+I26+I32+I37+I43+I48+I53+I59+I61</f>
        <v>2845454222</v>
      </c>
      <c r="J62" s="29">
        <f t="shared" si="3"/>
        <v>2007229111</v>
      </c>
      <c r="K62" s="29">
        <f t="shared" si="3"/>
        <v>2845454222</v>
      </c>
      <c r="L62" s="11"/>
    </row>
    <row r="63" spans="1:12">
      <c r="A63" s="16" t="s">
        <v>0</v>
      </c>
      <c r="B63" s="9" t="s">
        <v>147</v>
      </c>
      <c r="C63" s="2" t="s">
        <v>120</v>
      </c>
      <c r="D63" s="3" t="s">
        <v>0</v>
      </c>
      <c r="E63" s="2" t="s">
        <v>0</v>
      </c>
      <c r="F63" s="12" t="s">
        <v>37</v>
      </c>
      <c r="G63" s="13" t="s">
        <v>1</v>
      </c>
      <c r="H63" s="29">
        <f>H15+H62</f>
        <v>2007230111</v>
      </c>
      <c r="I63" s="29">
        <f>I15+I62</f>
        <v>2845456222</v>
      </c>
      <c r="J63" s="29">
        <f>J15+J62</f>
        <v>2007230111</v>
      </c>
      <c r="K63" s="29">
        <f>K15+K62</f>
        <v>2845456222</v>
      </c>
      <c r="L63" s="10"/>
    </row>
    <row r="64" spans="1:12">
      <c r="A64" s="1"/>
      <c r="B64" s="9"/>
      <c r="C64" s="2"/>
      <c r="D64" s="3"/>
      <c r="E64" s="2"/>
      <c r="F64" s="13"/>
      <c r="G64" s="13"/>
      <c r="H64" s="13"/>
      <c r="I64" s="13"/>
      <c r="J64" s="13"/>
      <c r="K64" s="13"/>
      <c r="L64" s="10"/>
    </row>
    <row r="65" spans="1:12" ht="22.8">
      <c r="A65" s="16" t="s">
        <v>0</v>
      </c>
      <c r="B65" s="9"/>
      <c r="C65" s="2"/>
      <c r="D65" s="3" t="s">
        <v>0</v>
      </c>
      <c r="E65" s="2" t="s">
        <v>0</v>
      </c>
      <c r="F65" s="19" t="s">
        <v>38</v>
      </c>
      <c r="G65" s="13" t="s">
        <v>0</v>
      </c>
      <c r="H65" s="15" t="s">
        <v>4</v>
      </c>
      <c r="I65" s="15" t="s">
        <v>5</v>
      </c>
      <c r="J65" s="15" t="s">
        <v>6</v>
      </c>
      <c r="K65" s="15" t="s">
        <v>7</v>
      </c>
      <c r="L65" s="10"/>
    </row>
    <row r="66" spans="1:12" ht="22.8">
      <c r="A66" s="16" t="s">
        <v>0</v>
      </c>
      <c r="B66" s="9" t="s">
        <v>147</v>
      </c>
      <c r="C66" s="2" t="s">
        <v>122</v>
      </c>
      <c r="D66" s="3" t="s">
        <v>0</v>
      </c>
      <c r="E66" s="2" t="s">
        <v>0</v>
      </c>
      <c r="F66" s="14" t="s">
        <v>39</v>
      </c>
      <c r="G66" s="13" t="s">
        <v>1</v>
      </c>
      <c r="H66" s="33"/>
      <c r="I66" s="33"/>
      <c r="J66" s="33"/>
      <c r="K66" s="33"/>
      <c r="L66" s="10"/>
    </row>
    <row r="67" spans="1:12" ht="22.8">
      <c r="A67" s="16" t="s">
        <v>0</v>
      </c>
      <c r="B67" s="9" t="s">
        <v>147</v>
      </c>
      <c r="C67" s="2" t="s">
        <v>123</v>
      </c>
      <c r="D67" s="3" t="s">
        <v>0</v>
      </c>
      <c r="E67" s="2" t="s">
        <v>0</v>
      </c>
      <c r="F67" s="14" t="s">
        <v>40</v>
      </c>
      <c r="G67" s="13" t="s">
        <v>1</v>
      </c>
      <c r="H67" s="33"/>
      <c r="I67" s="33"/>
      <c r="J67" s="33"/>
      <c r="K67" s="33"/>
      <c r="L67" s="10"/>
    </row>
    <row r="68" spans="1:12" ht="22.8">
      <c r="A68" s="1"/>
      <c r="B68" s="9" t="s">
        <v>147</v>
      </c>
      <c r="C68" s="2" t="s">
        <v>124</v>
      </c>
      <c r="D68" s="3" t="s">
        <v>0</v>
      </c>
      <c r="E68" s="2" t="s">
        <v>0</v>
      </c>
      <c r="F68" s="14" t="s">
        <v>41</v>
      </c>
      <c r="G68" s="13" t="s">
        <v>1</v>
      </c>
      <c r="H68" s="33"/>
      <c r="I68" s="33"/>
      <c r="J68" s="33"/>
      <c r="K68" s="33"/>
      <c r="L68" s="10"/>
    </row>
    <row r="69" spans="1:12" s="1" customFormat="1" ht="22.8">
      <c r="B69" s="9" t="s">
        <v>147</v>
      </c>
      <c r="C69" s="39" t="s">
        <v>152</v>
      </c>
      <c r="D69" s="3" t="s">
        <v>0</v>
      </c>
      <c r="E69" s="2" t="s">
        <v>0</v>
      </c>
      <c r="F69" s="36" t="s">
        <v>151</v>
      </c>
      <c r="G69" s="13" t="s">
        <v>1</v>
      </c>
      <c r="H69" s="33">
        <v>1000</v>
      </c>
      <c r="I69" s="33">
        <v>2000</v>
      </c>
      <c r="J69" s="33">
        <v>1000</v>
      </c>
      <c r="K69" s="33">
        <v>2000</v>
      </c>
      <c r="L69" s="10"/>
    </row>
    <row r="70" spans="1:12" ht="22.8">
      <c r="A70" s="16" t="s">
        <v>0</v>
      </c>
      <c r="B70" s="9" t="s">
        <v>147</v>
      </c>
      <c r="C70" s="2" t="s">
        <v>125</v>
      </c>
      <c r="D70" s="3" t="s">
        <v>0</v>
      </c>
      <c r="E70" s="2" t="s">
        <v>0</v>
      </c>
      <c r="F70" s="14" t="s">
        <v>42</v>
      </c>
      <c r="G70" s="13" t="s">
        <v>1</v>
      </c>
      <c r="H70" s="33"/>
      <c r="I70" s="33"/>
      <c r="J70" s="33"/>
      <c r="K70" s="33"/>
      <c r="L70" s="10"/>
    </row>
    <row r="71" spans="1:12" s="1" customFormat="1" ht="22.8">
      <c r="A71" s="16"/>
      <c r="B71" s="9" t="s">
        <v>147</v>
      </c>
      <c r="C71" s="2" t="s">
        <v>121</v>
      </c>
      <c r="D71" s="3" t="s">
        <v>0</v>
      </c>
      <c r="E71" s="2"/>
      <c r="F71" s="14" t="s">
        <v>77</v>
      </c>
      <c r="G71" s="13" t="s">
        <v>1</v>
      </c>
      <c r="H71" s="33"/>
      <c r="I71" s="33"/>
      <c r="J71" s="33"/>
      <c r="K71" s="33"/>
      <c r="L71" s="10"/>
    </row>
    <row r="72" spans="1:12" ht="22.8">
      <c r="A72" s="16" t="s">
        <v>0</v>
      </c>
      <c r="B72" s="9" t="s">
        <v>147</v>
      </c>
      <c r="C72" s="2" t="s">
        <v>126</v>
      </c>
      <c r="D72" s="3" t="s">
        <v>0</v>
      </c>
      <c r="E72" s="2" t="s">
        <v>0</v>
      </c>
      <c r="F72" s="19" t="s">
        <v>43</v>
      </c>
      <c r="G72" s="13" t="s">
        <v>2</v>
      </c>
      <c r="H72" s="28">
        <f>SUM(H66:H71)</f>
        <v>1000</v>
      </c>
      <c r="I72" s="28">
        <f>SUM(I66:I71)</f>
        <v>2000</v>
      </c>
      <c r="J72" s="28">
        <f>SUM(J66:J71)</f>
        <v>1000</v>
      </c>
      <c r="K72" s="28">
        <f>SUM(K66:K71)</f>
        <v>2000</v>
      </c>
      <c r="L72" s="10"/>
    </row>
    <row r="73" spans="1:12" ht="34.200000000000003">
      <c r="A73" s="16" t="s">
        <v>0</v>
      </c>
      <c r="B73" s="9" t="s">
        <v>147</v>
      </c>
      <c r="C73" s="2" t="s">
        <v>127</v>
      </c>
      <c r="D73" s="3" t="s">
        <v>0</v>
      </c>
      <c r="E73" s="2" t="s">
        <v>0</v>
      </c>
      <c r="F73" s="14" t="s">
        <v>44</v>
      </c>
      <c r="G73" s="13" t="s">
        <v>2</v>
      </c>
      <c r="H73" s="33"/>
      <c r="I73" s="33"/>
      <c r="J73" s="33"/>
      <c r="K73" s="33"/>
      <c r="L73" s="10"/>
    </row>
    <row r="74" spans="1:12">
      <c r="A74" s="1"/>
      <c r="B74" s="9"/>
      <c r="C74" s="2"/>
      <c r="D74" s="3"/>
      <c r="E74" s="2"/>
      <c r="F74" s="14"/>
      <c r="G74" s="13"/>
      <c r="H74" s="13"/>
      <c r="I74" s="13"/>
      <c r="J74" s="13"/>
      <c r="K74" s="13"/>
      <c r="L74" s="10"/>
    </row>
    <row r="75" spans="1:12" ht="22.8">
      <c r="A75" s="16" t="s">
        <v>0</v>
      </c>
      <c r="B75" s="9"/>
      <c r="C75" s="2"/>
      <c r="D75" s="3" t="s">
        <v>0</v>
      </c>
      <c r="E75" s="2" t="s">
        <v>0</v>
      </c>
      <c r="F75" s="19" t="s">
        <v>45</v>
      </c>
      <c r="G75" s="13" t="s">
        <v>0</v>
      </c>
      <c r="H75" s="13"/>
      <c r="I75" s="13"/>
      <c r="J75" s="13"/>
      <c r="K75" s="13"/>
      <c r="L75" s="10"/>
    </row>
    <row r="76" spans="1:12" ht="22.8">
      <c r="A76" s="16" t="s">
        <v>0</v>
      </c>
      <c r="B76" s="9" t="s">
        <v>147</v>
      </c>
      <c r="C76" s="2" t="s">
        <v>128</v>
      </c>
      <c r="D76" s="3" t="s">
        <v>0</v>
      </c>
      <c r="E76" s="2" t="s">
        <v>0</v>
      </c>
      <c r="F76" s="14" t="s">
        <v>46</v>
      </c>
      <c r="G76" s="13" t="s">
        <v>1</v>
      </c>
      <c r="H76" s="33"/>
      <c r="I76" s="33">
        <v>3000</v>
      </c>
      <c r="J76" s="33"/>
      <c r="K76" s="33">
        <v>3000</v>
      </c>
      <c r="L76" s="10"/>
    </row>
    <row r="77" spans="1:12" ht="22.8">
      <c r="A77" s="1"/>
      <c r="B77" s="9" t="s">
        <v>147</v>
      </c>
      <c r="C77" s="2" t="s">
        <v>129</v>
      </c>
      <c r="D77" s="3" t="s">
        <v>0</v>
      </c>
      <c r="E77" s="2" t="s">
        <v>0</v>
      </c>
      <c r="F77" s="14" t="s">
        <v>47</v>
      </c>
      <c r="G77" s="13" t="s">
        <v>1</v>
      </c>
      <c r="H77" s="33"/>
      <c r="I77" s="33"/>
      <c r="J77" s="33"/>
      <c r="K77" s="33"/>
      <c r="L77" s="10"/>
    </row>
    <row r="78" spans="1:12" ht="22.8">
      <c r="A78" s="1"/>
      <c r="B78" s="9" t="s">
        <v>147</v>
      </c>
      <c r="C78" s="2" t="s">
        <v>130</v>
      </c>
      <c r="D78" s="3" t="s">
        <v>0</v>
      </c>
      <c r="E78" s="2" t="s">
        <v>0</v>
      </c>
      <c r="F78" s="14" t="s">
        <v>48</v>
      </c>
      <c r="G78" s="13" t="s">
        <v>1</v>
      </c>
      <c r="H78" s="33">
        <v>261083000</v>
      </c>
      <c r="I78" s="33">
        <v>-577470000</v>
      </c>
      <c r="J78" s="33">
        <v>261083000</v>
      </c>
      <c r="K78" s="33">
        <v>-577470000</v>
      </c>
      <c r="L78" s="10"/>
    </row>
    <row r="79" spans="1:12" ht="22.8">
      <c r="A79" s="1"/>
      <c r="B79" s="9" t="s">
        <v>147</v>
      </c>
      <c r="C79" s="2" t="s">
        <v>131</v>
      </c>
      <c r="D79" s="3" t="s">
        <v>0</v>
      </c>
      <c r="E79" s="2" t="s">
        <v>0</v>
      </c>
      <c r="F79" s="14" t="s">
        <v>49</v>
      </c>
      <c r="G79" s="13" t="s">
        <v>1</v>
      </c>
      <c r="H79" s="33"/>
      <c r="I79" s="33">
        <v>-2000</v>
      </c>
      <c r="J79" s="33"/>
      <c r="K79" s="33">
        <v>-2000</v>
      </c>
      <c r="L79" s="10"/>
    </row>
    <row r="80" spans="1:12" s="1" customFormat="1" ht="22.8">
      <c r="B80" s="9" t="s">
        <v>147</v>
      </c>
      <c r="C80" s="2" t="s">
        <v>132</v>
      </c>
      <c r="D80" s="3" t="s">
        <v>0</v>
      </c>
      <c r="E80" s="2"/>
      <c r="F80" s="14" t="s">
        <v>73</v>
      </c>
      <c r="G80" s="13"/>
      <c r="H80" s="33"/>
      <c r="I80" s="33"/>
      <c r="J80" s="33"/>
      <c r="K80" s="33"/>
      <c r="L80" s="10"/>
    </row>
    <row r="81" spans="1:12" s="1" customFormat="1" ht="22.8">
      <c r="B81" s="9" t="s">
        <v>147</v>
      </c>
      <c r="C81" s="2" t="s">
        <v>133</v>
      </c>
      <c r="D81" s="3" t="s">
        <v>0</v>
      </c>
      <c r="E81" s="2"/>
      <c r="F81" s="14" t="s">
        <v>74</v>
      </c>
      <c r="G81" s="13"/>
      <c r="H81" s="33"/>
      <c r="I81" s="33"/>
      <c r="J81" s="33"/>
      <c r="K81" s="33"/>
      <c r="L81" s="10"/>
    </row>
    <row r="82" spans="1:12" s="1" customFormat="1" ht="22.8">
      <c r="B82" s="9" t="s">
        <v>147</v>
      </c>
      <c r="C82" s="2" t="s">
        <v>134</v>
      </c>
      <c r="D82" s="3" t="s">
        <v>0</v>
      </c>
      <c r="E82" s="2"/>
      <c r="F82" s="14" t="s">
        <v>75</v>
      </c>
      <c r="G82" s="13"/>
      <c r="H82" s="33"/>
      <c r="I82" s="33">
        <v>-3000</v>
      </c>
      <c r="J82" s="33"/>
      <c r="K82" s="33">
        <v>-3000</v>
      </c>
      <c r="L82" s="10"/>
    </row>
    <row r="83" spans="1:12" s="1" customFormat="1" ht="22.8">
      <c r="B83" s="9" t="s">
        <v>147</v>
      </c>
      <c r="C83" s="2" t="s">
        <v>83</v>
      </c>
      <c r="D83" s="3" t="s">
        <v>0</v>
      </c>
      <c r="E83" s="2"/>
      <c r="F83" s="14" t="s">
        <v>145</v>
      </c>
      <c r="G83" s="13"/>
      <c r="H83" s="38"/>
      <c r="I83" s="38">
        <v>2000</v>
      </c>
      <c r="J83" s="38"/>
      <c r="K83" s="38">
        <v>2000</v>
      </c>
      <c r="L83" s="10"/>
    </row>
    <row r="84" spans="1:12" ht="22.8">
      <c r="A84" s="1"/>
      <c r="B84" s="9" t="s">
        <v>147</v>
      </c>
      <c r="C84" s="2" t="s">
        <v>135</v>
      </c>
      <c r="D84" s="3" t="s">
        <v>0</v>
      </c>
      <c r="E84" s="2" t="s">
        <v>0</v>
      </c>
      <c r="F84" s="19" t="s">
        <v>50</v>
      </c>
      <c r="G84" s="13" t="s">
        <v>2</v>
      </c>
      <c r="H84" s="28">
        <f>H80+H77+H82+H79+H81+H76+H78+H83</f>
        <v>261083000</v>
      </c>
      <c r="I84" s="28">
        <f t="shared" ref="I84:K84" si="4">I80+I77+I82+I79+I81+I76+I78+I83</f>
        <v>-577470000</v>
      </c>
      <c r="J84" s="28">
        <f>J80+J77+J82+J79+J81+J76+J78+J83</f>
        <v>261083000</v>
      </c>
      <c r="K84" s="28">
        <f t="shared" si="4"/>
        <v>-577470000</v>
      </c>
      <c r="L84" s="23"/>
    </row>
    <row r="85" spans="1:12" ht="34.200000000000003">
      <c r="A85" s="1"/>
      <c r="B85" s="9" t="s">
        <v>147</v>
      </c>
      <c r="C85" s="2" t="s">
        <v>136</v>
      </c>
      <c r="D85" s="3" t="s">
        <v>0</v>
      </c>
      <c r="E85" s="2" t="s">
        <v>0</v>
      </c>
      <c r="F85" s="14" t="s">
        <v>51</v>
      </c>
      <c r="G85" s="13" t="s">
        <v>2</v>
      </c>
      <c r="H85" s="33">
        <v>1111</v>
      </c>
      <c r="I85" s="33">
        <v>2222</v>
      </c>
      <c r="J85" s="33">
        <v>1111</v>
      </c>
      <c r="K85" s="33">
        <v>2222</v>
      </c>
      <c r="L85" s="10"/>
    </row>
    <row r="86" spans="1:12">
      <c r="A86" s="1"/>
      <c r="B86" s="9" t="s">
        <v>147</v>
      </c>
      <c r="C86" s="2" t="s">
        <v>137</v>
      </c>
      <c r="D86" s="3" t="s">
        <v>0</v>
      </c>
      <c r="E86" s="2" t="s">
        <v>0</v>
      </c>
      <c r="F86" s="12" t="s">
        <v>52</v>
      </c>
      <c r="G86" s="13" t="s">
        <v>1</v>
      </c>
      <c r="H86" s="28">
        <f>H63-H72-H73-H84-H85</f>
        <v>1746145000</v>
      </c>
      <c r="I86" s="28">
        <f>I63-I72-I73-I84-I85</f>
        <v>3422922000</v>
      </c>
      <c r="J86" s="29">
        <f>J63-J72-J73-J84-J85</f>
        <v>1746145000</v>
      </c>
      <c r="K86" s="29">
        <f>K63-K72-K73-K84-K85</f>
        <v>3422922000</v>
      </c>
      <c r="L86" s="23"/>
    </row>
    <row r="87" spans="1:12">
      <c r="A87" s="1"/>
      <c r="B87" s="9" t="s">
        <v>147</v>
      </c>
      <c r="C87" s="2" t="s">
        <v>138</v>
      </c>
      <c r="D87" s="3" t="s">
        <v>0</v>
      </c>
      <c r="E87" s="2" t="s">
        <v>0</v>
      </c>
      <c r="F87" s="12" t="s">
        <v>53</v>
      </c>
      <c r="G87" s="13" t="s">
        <v>0</v>
      </c>
      <c r="H87" s="28">
        <f>H5+H86</f>
        <v>73496732000</v>
      </c>
      <c r="I87" s="28">
        <f>I5+I86</f>
        <v>64215692000</v>
      </c>
      <c r="J87" s="29">
        <f>J5+J86</f>
        <v>73496732000</v>
      </c>
      <c r="K87" s="29">
        <f>K5+K86</f>
        <v>64215692000</v>
      </c>
      <c r="L87" s="23"/>
    </row>
    <row r="88" spans="1:12">
      <c r="A88" s="1"/>
      <c r="B88" s="9"/>
      <c r="C88" s="2"/>
      <c r="D88" s="3"/>
      <c r="E88" s="2"/>
      <c r="F88" s="13"/>
      <c r="G88" s="13"/>
      <c r="H88" s="13"/>
      <c r="I88" s="13"/>
      <c r="J88" s="13"/>
      <c r="K88" s="13"/>
      <c r="L88" s="23"/>
    </row>
    <row r="89" spans="1:12">
      <c r="A89" s="1"/>
      <c r="B89" s="9"/>
      <c r="C89" s="2"/>
      <c r="D89" s="3" t="s">
        <v>0</v>
      </c>
      <c r="E89" s="2" t="s">
        <v>0</v>
      </c>
      <c r="F89" s="12" t="s">
        <v>54</v>
      </c>
      <c r="G89" s="13" t="s">
        <v>0</v>
      </c>
      <c r="H89" s="13"/>
      <c r="I89" s="13"/>
      <c r="J89" s="13"/>
      <c r="K89" s="13"/>
      <c r="L89" s="23"/>
    </row>
    <row r="90" spans="1:12">
      <c r="A90" s="1"/>
      <c r="B90" s="9" t="s">
        <v>147</v>
      </c>
      <c r="C90" s="2" t="s">
        <v>139</v>
      </c>
      <c r="D90" s="3" t="s">
        <v>0</v>
      </c>
      <c r="E90" s="2" t="s">
        <v>0</v>
      </c>
      <c r="F90" s="13" t="s">
        <v>55</v>
      </c>
      <c r="G90" s="13" t="s">
        <v>1</v>
      </c>
      <c r="H90" s="17">
        <v>61833881000</v>
      </c>
      <c r="I90" s="17">
        <v>61172314000</v>
      </c>
      <c r="J90" s="17">
        <v>61833881000</v>
      </c>
      <c r="K90" s="17">
        <v>61172314000</v>
      </c>
      <c r="L90" s="23"/>
    </row>
    <row r="91" spans="1:12">
      <c r="A91" s="1"/>
      <c r="B91" s="9" t="s">
        <v>147</v>
      </c>
      <c r="C91" s="2" t="s">
        <v>140</v>
      </c>
      <c r="D91" s="3" t="s">
        <v>0</v>
      </c>
      <c r="E91" s="2" t="s">
        <v>0</v>
      </c>
      <c r="F91" s="13" t="s">
        <v>56</v>
      </c>
      <c r="G91" s="13" t="s">
        <v>1</v>
      </c>
      <c r="H91" s="17">
        <v>11662851000</v>
      </c>
      <c r="I91" s="17">
        <v>3043378000</v>
      </c>
      <c r="J91" s="17">
        <v>11662851000</v>
      </c>
      <c r="K91" s="17">
        <v>3043378000</v>
      </c>
      <c r="L91" s="23"/>
    </row>
    <row r="92" spans="1:12">
      <c r="A92" s="1"/>
      <c r="B92" s="9"/>
      <c r="C92" s="2"/>
      <c r="D92" s="3"/>
      <c r="E92" s="2"/>
      <c r="F92" s="12" t="s">
        <v>53</v>
      </c>
      <c r="G92" s="13"/>
      <c r="H92" s="29">
        <f>H90+H91</f>
        <v>73496732000</v>
      </c>
      <c r="I92" s="29">
        <f>I90+I91</f>
        <v>64215692000</v>
      </c>
      <c r="J92" s="29">
        <f>J90+J91</f>
        <v>73496732000</v>
      </c>
      <c r="K92" s="29">
        <f>K90+K91</f>
        <v>64215692000</v>
      </c>
      <c r="L92" s="23"/>
    </row>
    <row r="93" spans="1:12">
      <c r="B93" s="24"/>
      <c r="C93" s="25"/>
      <c r="D93" s="25"/>
      <c r="E93" s="25"/>
      <c r="F93" s="25"/>
      <c r="G93" s="25"/>
      <c r="H93" s="25"/>
      <c r="I93" s="25"/>
      <c r="J93" s="25"/>
      <c r="K93" s="25"/>
      <c r="L93" s="26"/>
    </row>
  </sheetData>
  <conditionalFormatting sqref="H14:K14 H31:K31 H61:K61 H66:K68 H86:I87 H70:K73 K77 K80:K81 H85:K85 H83:I84 K83:K84">
    <cfRule type="expression" dxfId="11" priority="146">
      <formula>OR(IF(NOT(ISERR(FIND("ERR",#REF!)))=TRUE,TRUE,FALSE),)</formula>
    </cfRule>
  </conditionalFormatting>
  <conditionalFormatting sqref="H5:I5">
    <cfRule type="expression" dxfId="10" priority="15">
      <formula>OR(IF(OR(NOT(ISERROR(FIND("ERR",#REF!)&gt;1)),NOT(ISERROR(FIND("ERR",#REF!)&gt;1))),TRUE,FALSE),IF(NOT(ISERR(FIND("ERR",#REF!)))=TRUE,TRUE,FALSE))</formula>
    </cfRule>
  </conditionalFormatting>
  <conditionalFormatting sqref="H69:I69">
    <cfRule type="expression" dxfId="9" priority="14">
      <formula>OR(IF(NOT(ISERR(FIND("ERR",#REF!)))=TRUE,TRUE,FALSE),)</formula>
    </cfRule>
  </conditionalFormatting>
  <conditionalFormatting sqref="H76:I82">
    <cfRule type="expression" dxfId="8" priority="13">
      <formula>OR(IF(NOT(ISERR(FIND("ERR",#REF!)))=TRUE,TRUE,FALSE),)</formula>
    </cfRule>
  </conditionalFormatting>
  <conditionalFormatting sqref="J5">
    <cfRule type="expression" dxfId="7" priority="12">
      <formula>OR(IF(OR(NOT(ISERROR(FIND("ERR",#REF!)&gt;1)),NOT(ISERROR(FIND("ERR",#REF!)&gt;1))),TRUE,FALSE),IF(NOT(ISERR(FIND("ERR",#REF!)))=TRUE,TRUE,FALSE))</formula>
    </cfRule>
  </conditionalFormatting>
  <conditionalFormatting sqref="K5">
    <cfRule type="expression" dxfId="6" priority="11">
      <formula>OR(IF(OR(NOT(ISERROR(FIND("ERR",#REF!)&gt;1)),NOT(ISERROR(FIND("ERR",#REF!)&gt;1))),TRUE,FALSE),IF(NOT(ISERR(FIND("ERR",#REF!)))=TRUE,TRUE,FALSE))</formula>
    </cfRule>
  </conditionalFormatting>
  <conditionalFormatting sqref="K76">
    <cfRule type="expression" dxfId="5" priority="9">
      <formula>OR(IF(NOT(ISERR(FIND("ERR",#REF!)))=TRUE,TRUE,FALSE),)</formula>
    </cfRule>
  </conditionalFormatting>
  <conditionalFormatting sqref="K78:K79">
    <cfRule type="expression" dxfId="4" priority="8">
      <formula>OR(IF(NOT(ISERR(FIND("ERR",#REF!)))=TRUE,TRUE,FALSE),)</formula>
    </cfRule>
  </conditionalFormatting>
  <conditionalFormatting sqref="K82">
    <cfRule type="expression" dxfId="3" priority="7">
      <formula>OR(IF(NOT(ISERR(FIND("ERR",#REF!)))=TRUE,TRUE,FALSE),)</formula>
    </cfRule>
  </conditionalFormatting>
  <conditionalFormatting sqref="J69:K69">
    <cfRule type="expression" dxfId="2" priority="6">
      <formula>OR(IF(NOT(ISERR(FIND("ERR",#REF!)))=TRUE,TRUE,FALSE),)</formula>
    </cfRule>
  </conditionalFormatting>
  <conditionalFormatting sqref="J83:J84">
    <cfRule type="expression" dxfId="1" priority="2">
      <formula>OR(IF(NOT(ISERR(FIND("ERR",#REF!)))=TRUE,TRUE,FALSE),)</formula>
    </cfRule>
  </conditionalFormatting>
  <conditionalFormatting sqref="J76:J82">
    <cfRule type="expression" dxfId="0" priority="1">
      <formula>OR(IF(NOT(ISERR(FIND("ERR",#REF!)))=TRUE,TRUE,FALSE),)</formula>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IAS-1_420000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Waldo Byron Gonzalez Serrano</cp:lastModifiedBy>
  <dcterms:created xsi:type="dcterms:W3CDTF">2013-03-19T19:29:57Z</dcterms:created>
  <dcterms:modified xsi:type="dcterms:W3CDTF">2024-04-01T13:17:24Z</dcterms:modified>
</cp:coreProperties>
</file>