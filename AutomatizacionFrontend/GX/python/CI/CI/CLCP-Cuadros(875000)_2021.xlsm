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lo_\OneDrive\Desktop\CI\xls\"/>
    </mc:Choice>
  </mc:AlternateContent>
  <xr:revisionPtr revIDLastSave="0" documentId="13_ncr:1_{767517F9-EA22-4C3B-B69E-AA6E62A20A14}" xr6:coauthVersionLast="47" xr6:coauthVersionMax="47" xr10:uidLastSave="{00000000-0000-0000-0000-000000000000}"/>
  <bookViews>
    <workbookView xWindow="555" yWindow="1905" windowWidth="18990" windowHeight="18405" firstSheet="2" activeTab="5" xr2:uid="{00000000-000D-0000-FFFF-FFFF00000000}"/>
  </bookViews>
  <sheets>
    <sheet name="CLCP2016-Cuadros" sheetId="1" r:id="rId1"/>
    <sheet name="CLCP-InfoReveDeta" sheetId="4" r:id="rId2"/>
    <sheet name="CLCP-EfecResuCobe" sheetId="5" r:id="rId3"/>
    <sheet name="CLCP2016-ProvPagoDia" sheetId="2" r:id="rId4"/>
    <sheet name="CLCP2016-ProvPlazVenc" sheetId="3" r:id="rId5"/>
    <sheet name="CLCP-MoneNaciExtr" sheetId="7" r:id="rId6"/>
    <sheet name="codigo" sheetId="6" state="hidden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4" i="7" l="1"/>
  <c r="I123" i="7"/>
  <c r="I122" i="7"/>
  <c r="I121" i="7"/>
  <c r="I120" i="7"/>
  <c r="I119" i="7"/>
  <c r="I118" i="7"/>
  <c r="I117" i="7"/>
  <c r="I116" i="7"/>
  <c r="I113" i="7"/>
  <c r="I111" i="7"/>
  <c r="I110" i="7"/>
  <c r="I109" i="7"/>
  <c r="I108" i="7"/>
  <c r="I107" i="7"/>
  <c r="I106" i="7"/>
  <c r="I105" i="7"/>
  <c r="I104" i="7"/>
  <c r="I99" i="7"/>
  <c r="I98" i="7"/>
  <c r="I97" i="7"/>
  <c r="I96" i="7"/>
  <c r="I95" i="7"/>
  <c r="I94" i="7"/>
  <c r="I93" i="7"/>
  <c r="I92" i="7"/>
  <c r="I91" i="7"/>
  <c r="I90" i="7"/>
  <c r="I89" i="7"/>
  <c r="I88" i="7"/>
  <c r="I87" i="7"/>
  <c r="I86" i="7"/>
  <c r="I83" i="7"/>
  <c r="I81" i="7"/>
  <c r="I80" i="7"/>
  <c r="I79" i="7"/>
  <c r="I78" i="7"/>
  <c r="I77" i="7"/>
  <c r="I76" i="7"/>
  <c r="I75" i="7"/>
  <c r="I74" i="7"/>
  <c r="I64" i="7"/>
  <c r="I63" i="7"/>
  <c r="I62" i="7"/>
  <c r="I61" i="7"/>
  <c r="I60" i="7"/>
  <c r="I59" i="7"/>
  <c r="I58" i="7"/>
  <c r="I57" i="7"/>
  <c r="I56" i="7"/>
  <c r="I53" i="7"/>
  <c r="I51" i="7"/>
  <c r="I50" i="7"/>
  <c r="I49" i="7"/>
  <c r="I48" i="7"/>
  <c r="I47" i="7"/>
  <c r="I46" i="7"/>
  <c r="I45" i="7"/>
  <c r="I44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15" i="7"/>
  <c r="I16" i="7"/>
  <c r="I17" i="7"/>
  <c r="I18" i="7"/>
  <c r="I19" i="7"/>
  <c r="I20" i="7"/>
  <c r="I21" i="7"/>
  <c r="I23" i="7"/>
  <c r="I14" i="7"/>
  <c r="H125" i="7" l="1"/>
  <c r="G125" i="7"/>
  <c r="H114" i="7"/>
  <c r="H112" i="7"/>
  <c r="G112" i="7"/>
  <c r="H100" i="7"/>
  <c r="G100" i="7"/>
  <c r="I100" i="7" s="1"/>
  <c r="H82" i="7"/>
  <c r="H84" i="7" s="1"/>
  <c r="H101" i="7" s="1"/>
  <c r="G82" i="7"/>
  <c r="H65" i="7"/>
  <c r="G65" i="7"/>
  <c r="I65" i="7" s="1"/>
  <c r="H52" i="7"/>
  <c r="G52" i="7"/>
  <c r="H40" i="7"/>
  <c r="G40" i="7"/>
  <c r="I40" i="7" s="1"/>
  <c r="G84" i="7" l="1"/>
  <c r="I82" i="7"/>
  <c r="I52" i="7"/>
  <c r="G114" i="7"/>
  <c r="I112" i="7"/>
  <c r="H126" i="7"/>
  <c r="I125" i="7"/>
  <c r="H22" i="7"/>
  <c r="H24" i="7" s="1"/>
  <c r="G126" i="7" l="1"/>
  <c r="I126" i="7" s="1"/>
  <c r="I114" i="7"/>
  <c r="G101" i="7"/>
  <c r="I101" i="7" s="1"/>
  <c r="I84" i="7"/>
  <c r="H54" i="7"/>
  <c r="G6" i="7"/>
  <c r="H6" i="7"/>
  <c r="H41" i="7" l="1"/>
  <c r="H66" i="7"/>
  <c r="I21" i="5"/>
  <c r="I20" i="5"/>
  <c r="I19" i="5"/>
  <c r="I18" i="5"/>
  <c r="I12" i="5"/>
  <c r="I11" i="5"/>
  <c r="I10" i="5"/>
  <c r="I9" i="5"/>
  <c r="I15" i="5" l="1"/>
  <c r="H15" i="5"/>
  <c r="G15" i="5"/>
  <c r="G6" i="5"/>
  <c r="H6" i="5"/>
  <c r="G54" i="7" l="1"/>
  <c r="I54" i="7" s="1"/>
  <c r="J20" i="4"/>
  <c r="G66" i="7" l="1"/>
  <c r="I66" i="7" s="1"/>
  <c r="G22" i="7"/>
  <c r="J11" i="4"/>
  <c r="G24" i="7" l="1"/>
  <c r="I24" i="7" s="1"/>
  <c r="I22" i="7"/>
  <c r="J26" i="3"/>
  <c r="J25" i="3"/>
  <c r="J24" i="3"/>
  <c r="J23" i="3"/>
  <c r="J22" i="3"/>
  <c r="J21" i="3"/>
  <c r="J15" i="3"/>
  <c r="J14" i="3"/>
  <c r="J13" i="3"/>
  <c r="J12" i="3"/>
  <c r="J11" i="3"/>
  <c r="J10" i="3"/>
  <c r="J27" i="2"/>
  <c r="J26" i="2"/>
  <c r="J25" i="2"/>
  <c r="J24" i="2"/>
  <c r="J23" i="2"/>
  <c r="J22" i="2"/>
  <c r="J14" i="2"/>
  <c r="J13" i="2"/>
  <c r="J12" i="2"/>
  <c r="J11" i="2"/>
  <c r="J10" i="2"/>
  <c r="J9" i="2"/>
  <c r="J27" i="3" l="1"/>
  <c r="I27" i="3"/>
  <c r="H27" i="3"/>
  <c r="G27" i="3"/>
  <c r="J16" i="3"/>
  <c r="I16" i="3"/>
  <c r="H16" i="3"/>
  <c r="G16" i="3"/>
  <c r="J28" i="2"/>
  <c r="I28" i="2"/>
  <c r="H28" i="2"/>
  <c r="G28" i="2"/>
  <c r="J15" i="2"/>
  <c r="I15" i="2"/>
  <c r="H15" i="2"/>
  <c r="G15" i="2"/>
  <c r="G41" i="7" l="1"/>
  <c r="I41" i="7" s="1"/>
</calcChain>
</file>

<file path=xl/sharedStrings.xml><?xml version="1.0" encoding="utf-8"?>
<sst xmlns="http://schemas.openxmlformats.org/spreadsheetml/2006/main" count="1180" uniqueCount="481">
  <si>
    <t xml:space="preserve"> </t>
  </si>
  <si>
    <t xml:space="preserve">    Sanciones [sinopsis]  </t>
  </si>
  <si>
    <t xml:space="preserve">      Información a revelar sobre sanciones [bloque de texto]</t>
  </si>
  <si>
    <t xml:space="preserve">    Información a revelar sobre cuentas comerciales por pagar y otras cuentas por pagar [bloque de texto]  </t>
  </si>
  <si>
    <t xml:space="preserve">        Cuentas comerciales al día según plazo </t>
  </si>
  <si>
    <t>ACT</t>
  </si>
  <si>
    <t xml:space="preserve">          Hasta 30 días [Número]</t>
  </si>
  <si>
    <t xml:space="preserve">          Entre 31 y 60 días [Número]</t>
  </si>
  <si>
    <t xml:space="preserve">          Entre 61 y 90 días [Número]</t>
  </si>
  <si>
    <t xml:space="preserve">          Entre 91 y 120 días [Número]</t>
  </si>
  <si>
    <t xml:space="preserve">          Entre 121 y 365 días [Número]</t>
  </si>
  <si>
    <t xml:space="preserve">          Más de 365 días [Número]</t>
  </si>
  <si>
    <t xml:space="preserve">          Total [Número]</t>
  </si>
  <si>
    <t xml:space="preserve">          Periodo promedio de pago cuentas al día (días) [Decimal]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</si>
  <si>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columnas marcadas con línea punteada roja y con fondo verde indican las posiciones donde es posible agregar elementos.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sz val="10"/>
        <color indexed="10"/>
        <rFont val="Calibri"/>
        <family val="2"/>
      </rPr>
      <t xml:space="preserve">-Si se presiona el botón </t>
    </r>
    <r>
      <rPr>
        <b/>
        <sz val="10"/>
        <color indexed="10"/>
        <rFont val="Calibri"/>
        <family val="2"/>
      </rPr>
      <t>'Copiar Columna'</t>
    </r>
    <r>
      <rPr>
        <sz val="10"/>
        <color indexed="10"/>
        <rFont val="Calibri"/>
        <family val="2"/>
      </rPr>
      <t xml:space="preserve"> se copiará una columna  a la derecha de la columna actualmente seleccionada. </t>
    </r>
    <r>
      <rPr>
        <sz val="10"/>
        <rFont val="Calibri"/>
        <family val="2"/>
      </rPr>
      <t xml:space="preserve">
-Edite las columnas</t>
    </r>
    <r>
      <rPr>
        <b/>
        <sz val="10"/>
        <rFont val="Calibri"/>
        <family val="2"/>
      </rPr>
      <t xml:space="preserve"> coloreadas verde </t>
    </r>
    <r>
      <rPr>
        <sz val="10"/>
        <rFont val="Calibri"/>
        <family val="2"/>
      </rPr>
      <t xml:space="preserve">de acuerdo a sus necesidades.
-Las columnas verdes pueden ser editadas, eliminadas o duplicadas, así puede agregar mas detalle donde corresponda. Asegúrese de copiar la columna completa si desea duplicar un elemento (Se recomienda utilizar el botón 'Copiar Columna').
-Las columnas marcadas en plomo </t>
    </r>
    <r>
      <rPr>
        <b/>
        <sz val="10"/>
        <rFont val="Calibri"/>
        <family val="2"/>
      </rPr>
      <t>no deben ser editadas, eliminadas ni movidas.</t>
    </r>
  </si>
  <si>
    <t>Elimine la(s) columnas en verde que no apliquen para usted</t>
  </si>
  <si>
    <t xml:space="preserve">      Proveedores con pagos al día </t>
  </si>
  <si>
    <t xml:space="preserve">              Bienes [miembro]  </t>
  </si>
  <si>
    <t xml:space="preserve">              Servicios [miembro]  </t>
  </si>
  <si>
    <t xml:space="preserve">              Otros [miembro]  </t>
  </si>
  <si>
    <t xml:space="preserve">Total [miembro]  </t>
  </si>
  <si>
    <t xml:space="preserve">      Proveedores con plazos vencidos [sinopsis]  </t>
  </si>
  <si>
    <t xml:space="preserve">        Cuentas comerciales vencidas según plazo [partidas]  </t>
  </si>
  <si>
    <t xml:space="preserve">          Entre 121 y 180 días [Número]</t>
  </si>
  <si>
    <t xml:space="preserve">          Más de 180 días [Número]</t>
  </si>
  <si>
    <t xml:space="preserve">          Periodo promedio de pago cuentas vencidas (días) [Decimal]</t>
  </si>
  <si>
    <t xml:space="preserve">      Plazos promedio de pago a proveedores [Texto]</t>
  </si>
  <si>
    <t xml:space="preserve">      Intereses asociados a las deudas [Texto]</t>
  </si>
  <si>
    <t xml:space="preserve">      Informar principales proveedores o acreedores, con sus respectivos montos o porcentajes de representatividad [Texto]</t>
  </si>
  <si>
    <t xml:space="preserve">      Otra información adicional [Texto]</t>
  </si>
  <si>
    <t xml:space="preserve">    Contingencias y restricciones [sinopsis]  </t>
  </si>
  <si>
    <t xml:space="preserve">    Riesgos financieros [sinopsis]  </t>
  </si>
  <si>
    <t xml:space="preserve">      Información a revelar sobre contingencias y restricciones [bloque de texto] </t>
  </si>
  <si>
    <t xml:space="preserve">      Información a revelar sobre riesgos financieros [bloque de texto] </t>
  </si>
  <si>
    <t>Nota - Sanciones [875000]</t>
  </si>
  <si>
    <t>Nota - Cuentas comerciales por pagar y otras cuentas por pagar [822450]</t>
  </si>
  <si>
    <t>Nota - Contingencias y restricciones [874000]</t>
  </si>
  <si>
    <t>Nota - Riesgos financieros [873000]</t>
  </si>
  <si>
    <t>Nota - Derivados [822410]</t>
  </si>
  <si>
    <t>Información a revelar detallada sobre coberturas [resumen]</t>
  </si>
  <si>
    <t>Otra información adicional [bloque de texto]</t>
  </si>
  <si>
    <t>Coberturas del valor razonable [miembro]</t>
  </si>
  <si>
    <t>Coberturas del flujo de efectivo [miembro]</t>
  </si>
  <si>
    <t>Coberturas de inversiones netas en negocios en el extranjero [miembro]</t>
  </si>
  <si>
    <t>Coberturas [miembro]</t>
  </si>
  <si>
    <t xml:space="preserve">        Información a revelar detallada sobre coberturas [partidas]</t>
  </si>
  <si>
    <t xml:space="preserve">      Información a revelar detallada sobre coberturas [tabla]</t>
  </si>
  <si>
    <t>Agregar columna opcional</t>
  </si>
  <si>
    <t>Ganancias (pérdidas) por instrumentos de cobertura, coberturas a valor razonable [monetario]</t>
  </si>
  <si>
    <t>Ganancias (pérdidas) por partidas cubiertas atribuibles al riesgo cubierto, coberturas a valor razonable  [monetario]</t>
  </si>
  <si>
    <t>Ganancias (pérdidas) por ineficacia de las coberturas de flujos de efectivo reconocidas en el resultado del periodo  [monetario]</t>
  </si>
  <si>
    <t>Ganancias (pérdidas) por ineficacias de coberturas de inversiones netas en negocios en el extranjero reconocidas en el resultado de periodo  [monetario]</t>
  </si>
  <si>
    <t>INI</t>
  </si>
  <si>
    <t>AAN</t>
  </si>
  <si>
    <t>Cargar hoja:</t>
  </si>
  <si>
    <t>SI</t>
  </si>
  <si>
    <t>NO</t>
  </si>
  <si>
    <t>full_ifrs-cor_2015-03-11.xsd#ifrs-full_DescriptionOfPeriodsWhenCashFlowsExpectedToOccur</t>
  </si>
  <si>
    <t>full_ifrs-cor_2015-03-11.xsd#ifrs-full_DescriptionOfPeriodsWhenCashFlowsAffectProfitOrLoss</t>
  </si>
  <si>
    <t>full_ifrs-cor_2015-03-11.xsd#ifrs-full_DescriptionOfForecastTransactionHedgeAccountingPreviouslyUsedButNoLongerExpectedToOccur</t>
  </si>
  <si>
    <t>full_ifrs-cor_2015-03-11.xsd#ifrs-full_GainsLossesOnHedgingInstrument</t>
  </si>
  <si>
    <t>full_ifrs-cor_2015-03-11.xsd#ifrs-full_GainsLossesOnHedgedItemAttributableToHedgedRisk</t>
  </si>
  <si>
    <t>full_ifrs-cor_2015-03-11.xsd#ifrs-full_GainsLossesOnIneffectivenessOfCashFlowHedgesRecognisedInProfitOrLoss</t>
  </si>
  <si>
    <t>full_ifrs-cor_2015-03-11.xsd#ifrs-full_GainsLossesOnIneffectivenessOfHedgesOfNetInvestmentsInForeignOperations</t>
  </si>
  <si>
    <t>full_ifrs-cor_2015-03-11.xsd#ifrs-full_FairValueHedgesMember</t>
  </si>
  <si>
    <t>full_ifrs-cor_2015-03-11.xsd#ifrs-full_CashFlowHedgesMember</t>
  </si>
  <si>
    <t>full_ifrs-cor_2015-03-11.xsd#ifrs-full_HedgesOfNetInvestmentInForeignOperationsMember</t>
  </si>
  <si>
    <t>full_ifrs-cor_2015-03-11.xsd#ifrs-full_TypesOfHedgesMember</t>
  </si>
  <si>
    <t>full_ifrs-cor_2015-03-11.xsd#ifrs-full_DescriptionOfTypeOfHedge</t>
  </si>
  <si>
    <t>full_ifrs-cor_2015-03-11.xsd#ifrs-full_DescriptionOfFinancialInstrumentsDesignatedAsHedgingInstrument</t>
  </si>
  <si>
    <t>full_ifrs-cor_2015-03-11.xsd#ifrs-full_FinancialInstrumentsDesignatedAsHedgingInstrumentsAtFairValue</t>
  </si>
  <si>
    <t>full_ifrs-cor_2015-03-11.xsd#ifrs-full_DescriptionOfNatureOfRisksBeingHedged</t>
  </si>
  <si>
    <t>pre_cl-ci_cl-cp_2016-01-11_role-875000</t>
  </si>
  <si>
    <t>cl-ci_cor_2016-01-11.xsd#cl-ci_InformacionRevelarSobreSancionesBloqueTexto</t>
  </si>
  <si>
    <t>pre_cl-ci_cl-cp_2016-01-11_role-822450</t>
  </si>
  <si>
    <t>cl-ci_cor_2016-01-11.xsd#cl-ci_InformacionARevelarSobreCuentasComercialesPorPagarYOtrasCuentasPorPagarBloqueDeTexto</t>
  </si>
  <si>
    <t>cl-ci_cor_2016-01-11.xsd#cl-ci_PlazosPromedioPagoAProveedores</t>
  </si>
  <si>
    <t>cl-ci_cor_2016-01-11.xsd#cl-ci_InteresesAsocieadosALasDeudas</t>
  </si>
  <si>
    <t>cl-ci_cor_2016-01-11.xsd#cl-ci_InformarPrincipalesProveedoresOAcreedoresMontosOPorcentajesRepresentatividad</t>
  </si>
  <si>
    <t>cl-ci_cor_2016-01-11.xsd#cl-ci_OtraInformacionAdicionalCuentasPorPagar</t>
  </si>
  <si>
    <t>pre_cl-ci_cl-cp_2016-01-11_role-874000</t>
  </si>
  <si>
    <t>cl-ci_cor_2016-01-11.xsd#cl-ci_InformacionRevelarSobreContingenciasYRestriccionesBloqueTexto</t>
  </si>
  <si>
    <t>pre_cl-ci_cl-cp_2016-01-11_role-873000</t>
  </si>
  <si>
    <t>cl-ci_cor_2016-01-11.xsd#cl-ci_InformacionRevelarSobreRiesgosFinancierosBloqueTexto</t>
  </si>
  <si>
    <t>cl-ci_cor_2016-01-11.xsd#cl-ci_InformacionRevelarSobreDerivadosBloqueTexto</t>
  </si>
  <si>
    <t>cl-ci_cor_2016-01-11.xsd#cl-ci_OtraInformacionAdicionalBloqueDeTexto</t>
  </si>
  <si>
    <t>cl-ci_cor_2016-01-11.xsd#cl-ci_CuentasAlDiaProveedorBienesMiembro</t>
  </si>
  <si>
    <t>cl-ci_cor_2016-01-11.xsd#cl-ci_CuentasAlDiaProveedorServiciosMiembro</t>
  </si>
  <si>
    <t>cl-ci_cor_2016-01-11.xsd#cl-ci_CuentasAlDiaProveedorOtrosMiembro</t>
  </si>
  <si>
    <t>cl-ci_cor_2016-01-11.xsd#cl-ci_CuentasComercialesAlDiaMiembro</t>
  </si>
  <si>
    <t>cl-ci_cor_2016-01-11.xsd#cl-ci_CuentasComercialesAlDiaHasta30Dias</t>
  </si>
  <si>
    <t>cl-ci_cor_2016-01-11.xsd#cl-ci_CuentasComercialesAlDiaEntre31Y60Dias</t>
  </si>
  <si>
    <t>cl-ci_cor_2016-01-11.xsd#cl-ci_CuentasComercialesAlDiaEntre61Y90Dias</t>
  </si>
  <si>
    <t>cl-ci_cor_2016-01-11.xsd#cl-ci_CuentasComercialesAlDiaEntre91Y120Dias</t>
  </si>
  <si>
    <t>cl-ci_cor_2016-01-11.xsd#cl-ci_CuentasComercialesAlDiaEntre121Y365Dias</t>
  </si>
  <si>
    <t>cl-ci_cor_2016-01-11.xsd#cl-ci_CuentasComercialesAlDiaMasDe365Dias</t>
  </si>
  <si>
    <t>cl-ci_cor_2016-01-11.xsd#cl-ci_CuentasComercialesAlDia</t>
  </si>
  <si>
    <t>cl-ci_cor_2016-01-11.xsd#cl-ci_PeriodoPromedioPagoCuentasAlDiaEnDias</t>
  </si>
  <si>
    <t>cl-ci_cor_2016-01-11.xsd#cl-ci_CuentasPlazosVencidosProveedorBienesMiembro</t>
  </si>
  <si>
    <t>cl-ci_cor_2016-01-11.xsd#cl-ci_CuentasPlazosVencidosProveedorServiciosMiembro</t>
  </si>
  <si>
    <t>cl-ci_cor_2016-01-11.xsd#cl-ci_CuentasPlazosVencidosProveedorOtrosMiembro</t>
  </si>
  <si>
    <t>cl-ci_cor_2016-01-11.xsd#cl-ci_CuentasComercialesVencidasMiembro</t>
  </si>
  <si>
    <t>cl-ci_cor_2016-01-11.xsd#cl-ci_CuentasComercialesVencidasEntre1Y30Dias</t>
  </si>
  <si>
    <t>cl-ci_cor_2016-01-11.xsd#cl-ci_CuentasComercialesVencidasEntre31Y60Dias</t>
  </si>
  <si>
    <t>cl-ci_cor_2016-01-11.xsd#cl-ci_CuentasComercialesVencidasEntre61Y90Dias</t>
  </si>
  <si>
    <t>cl-ci_cor_2016-01-11.xsd#cl-ci_CuentasComercialesVencidasEntre91Y120Dias</t>
  </si>
  <si>
    <t>cl-ci_cor_2016-01-11.xsd#cl-ci_CuentasComercialesVencidasEntre121Y180Dias</t>
  </si>
  <si>
    <t>cl-ci_cor_2016-01-11.xsd#cl-ci_CuentasComercialesVencidasMasDe180Dias</t>
  </si>
  <si>
    <t>cl-ci_cor_2016-01-11.xsd#cl-ci_CuentasComercialesVencidas</t>
  </si>
  <si>
    <t>cl-ci_cor_2016-01-11.xsd#cl-ci_PeriodoPromedioPagoCuentasVencidasEnDias</t>
  </si>
  <si>
    <t>DIMENUE</t>
  </si>
  <si>
    <t>DIMEAVA</t>
  </si>
  <si>
    <t>cl-ci_cor_2016-01-11.xsd#cl-ci_CuentasAlDiaPorTipoProveedorEje</t>
  </si>
  <si>
    <t>cl-ci_cor_2016-01-11.xsd#cl-ci_ProveedoresConPagosAlDiaTabla</t>
  </si>
  <si>
    <t>cl-ci_cor_2016-01-11.xsd#cl-ci_CuentasPlazosVencidosPorTipoProveedorEje</t>
  </si>
  <si>
    <t>cl-ci_cor_2016-01-11.xsd#cl-ci_ProveedoresConPlazosVencidosTabla</t>
  </si>
  <si>
    <t>full_ifrs-cor_2015-03-11.xsd#ifrs-full_TypesOfHedgesAxis</t>
  </si>
  <si>
    <t>full_ifrs-cor_2015-03-11.xsd#ifrs-full_DisclosureOfHedgeAccountingTable</t>
  </si>
  <si>
    <t>Información a revelar sobre contabilidad de coberturas [bloque de texto]</t>
  </si>
  <si>
    <t>full_ifrs-cor_2015-03-11.xsd#ifrs-full_DisclosureOfHedgeAccountingExplanatory</t>
  </si>
  <si>
    <t>full_ifrs-cor_2015-03-11.xsd#ifrs-full_DisclosureOfDetailedInformationAboutHedgesExplanatory</t>
  </si>
  <si>
    <t>Información a revelar detallada sobre coberturas [bloque de texto]</t>
  </si>
  <si>
    <t>Descripción de los periodos en los que ocurren los flujos de efectivo esperados [Texto]</t>
  </si>
  <si>
    <t>Descripción de los periodos en los que los flujos de efectivo afectan al resultado [Texto]</t>
  </si>
  <si>
    <t>Descripción de las transacciones previstas para las que se haya utilizado contabilidad de coberturas en periodos anteriores , pero que ya no se espera que ocurran [Texto]</t>
  </si>
  <si>
    <t xml:space="preserve">        Descripción del tipo de cobertura [Texto]</t>
  </si>
  <si>
    <t xml:space="preserve">        Descripción de instrumentos financieros designados como instrumentos de cobertura [Texto]</t>
  </si>
  <si>
    <t xml:space="preserve">        Instrumentos financieros designados como instrumentos de cobertura, al valor razonable [Número]</t>
  </si>
  <si>
    <t xml:space="preserve">        Descripción de la naturaleza de los riesgos que han sido cubiertos [Texto]</t>
  </si>
  <si>
    <t xml:space="preserve">Derivados [sinopsis]  </t>
  </si>
  <si>
    <t xml:space="preserve">Información a revelar sobre derivados [bloque de texto]  </t>
  </si>
  <si>
    <t>Efectos en resultados de coberturas [tabla]</t>
  </si>
  <si>
    <t>ANT</t>
  </si>
  <si>
    <t>cl-ci_cor_2019-01-02.xsd#cl-ci_EfectosResultadosCoberturasTabla</t>
  </si>
  <si>
    <t>cl-ci_cor_2019-01-02.xsd#cl-ci_EfectosResultadosCoberturasEje</t>
  </si>
  <si>
    <t>cl-ci_cor_2019-01-02.xsd#cl-ci_EfectosResultadosCoberturasMiembro</t>
  </si>
  <si>
    <t>Proveedores con pagos al día [tabla]</t>
  </si>
  <si>
    <t>Proveedores con plazos vencidos [tabla]</t>
  </si>
  <si>
    <t>Moneda nacional y extranjera [tabla]</t>
  </si>
  <si>
    <t>cl-ci_cor_2019-01-02.xsd#cl-ci_InformacionRevelarSobreMonedaNacionalYExtranjeraBloqueDeTexto</t>
  </si>
  <si>
    <t>Información a revelar sobre moneda nacional y extranjera [bloque de texto]</t>
  </si>
  <si>
    <t>cl-ci_cor_2019-01-02.xsd#cl-ci_PasivosME</t>
  </si>
  <si>
    <t>cl-ci_cor_2019-01-02.xsd#cl-ci_PasivosNoCorrientesME</t>
  </si>
  <si>
    <t>cl-ci_cor_2019-01-02.xsd#cl-ci_OtrosPasivosNoFinancierosNoCorrientesME</t>
  </si>
  <si>
    <t>cl-ci_cor_2019-01-02.xsd#cl-ci_ProvisionesNoCorrientesPorBeneficiosAEmpleadosME</t>
  </si>
  <si>
    <t>cl-ci_cor_2019-01-02.xsd#cl-ci_PasivosPorImpuestosCorrientesNoCorrientesME</t>
  </si>
  <si>
    <t>cl-ci_cor_2019-01-02.xsd#cl-ci_PasivoPorImpuestosDiferidosME</t>
  </si>
  <si>
    <t>cl-ci_cor_2019-01-02.xsd#cl-ci_OtrasProvisionesLargoPlazoME</t>
  </si>
  <si>
    <t>cl-ci_cor_2019-01-02.xsd#cl-ci_CuentasPorPagarAEntidadesRelacionadasNoCorrientesME</t>
  </si>
  <si>
    <t>cl-ci_cor_2019-01-02.xsd#cl-ci_CuentasPorPagarNoCorrientesME</t>
  </si>
  <si>
    <t>cl-ci_cor_2019-01-02.xsd#cl-ci_OtrosPasivosFinancierosNoCorrientesME</t>
  </si>
  <si>
    <t>Pasivos no corrientes [sinopsis]</t>
  </si>
  <si>
    <t>cl-ci_cor_2019-01-02.xsd#cl-ci_PasivosCorrientesME</t>
  </si>
  <si>
    <t>cl-ci_cor_2019-01-02.xsd#cl-ci_PasivosClasificadosComoMantenidosParaVentaME</t>
  </si>
  <si>
    <t>cl-ci_cor_2019-01-02.xsd#cl-ci_PasivosCorrientesDistintosDePasivosMantenidosParaVentaME</t>
  </si>
  <si>
    <t>cl-ci_cor_2019-01-02.xsd#cl-ci_OtrosPasivosNoFinancierosCorrientesME</t>
  </si>
  <si>
    <t>cl-ci_cor_2019-01-02.xsd#cl-ci_ProvisionesCorrientesPorBeneficiosAEmpleadosME</t>
  </si>
  <si>
    <t>cl-ci_cor_2019-01-02.xsd#cl-ci_PasivosPorImpuestosCorrientesCorrientesME</t>
  </si>
  <si>
    <t>cl-ci_cor_2019-01-02.xsd#cl-ci_OtrasProvisionesCortoPlazoME</t>
  </si>
  <si>
    <t>cl-ci_cor_2019-01-02.xsd#cl-ci_CuentasPorPagarAEntidadesRelacionadasCorrientesME</t>
  </si>
  <si>
    <t>cl-ci_cor_2019-01-02.xsd#cl-ci_CuentasPorPagarComercialesYOtrasCuentasPorPagarME</t>
  </si>
  <si>
    <t>cl-ci_cor_2019-01-02.xsd#cl-ci_OtrosPasivosFinancierosCorrientesME</t>
  </si>
  <si>
    <t>Pasivos corrientes [sinopsis]</t>
  </si>
  <si>
    <t>Pasivos [sinopsis]</t>
  </si>
  <si>
    <t>cl-ci_cor_2019-01-02.xsd#cl-ci_ActivosME</t>
  </si>
  <si>
    <t>cl-ci_cor_2019-01-02.xsd#cl-ci_ActivosNoCorrientesME</t>
  </si>
  <si>
    <t>cl-ci_cor_2019-01-02.xsd#cl-ci_ActivosPorImpuestosDiferidosME</t>
  </si>
  <si>
    <t>cl-ci_cor_2019-01-02.xsd#cl-ci_ActivosPorImpuestosCorrientesNoCorrientesME</t>
  </si>
  <si>
    <t>cl-ci_cor_2019-01-02.xsd#cl-ci_PropiedadDeInversionME</t>
  </si>
  <si>
    <t>cl-ci_cor_2019-01-02.xsd#cl-ci_ActivosBiologicosNoCorrientesME</t>
  </si>
  <si>
    <t>cl-ci_cor_2019-01-02.xsd#cl-ci_PropiedadesPlantaYEquipoME</t>
  </si>
  <si>
    <t>cl-ci_cor_2019-01-02.xsd#cl-ci_PlusvaliaME</t>
  </si>
  <si>
    <t>cl-ci_cor_2019-01-02.xsd#cl-ci_ActivosIntangiblesDistintosPlusvaliaME</t>
  </si>
  <si>
    <t>cl-ci_cor_2019-01-02.xsd#cl-ci_InversionesContabilizadasUtilizandoMetodoParticipacionME</t>
  </si>
  <si>
    <t>cl-ci_cor_2019-01-02.xsd#cl-ci_InventariosNoCorrientesME</t>
  </si>
  <si>
    <t>cl-ci_cor_2019-01-02.xsd#cl-ci_CuentasPorCobrarAEntidadesRelacionadasNoCorrientesME</t>
  </si>
  <si>
    <t>cl-ci_cor_2019-01-02.xsd#cl-ci_CuentasPorCobrarNoCorrientesME</t>
  </si>
  <si>
    <t>cl-ci_cor_2019-01-02.xsd#cl-ci_OtrosActivosNoFinancierosNoCorrientesME</t>
  </si>
  <si>
    <t>cl-ci_cor_2019-01-02.xsd#cl-ci_OtrosActivosFinancierosNoCorrientesME</t>
  </si>
  <si>
    <t>Activos no corrientes [sinopsis]</t>
  </si>
  <si>
    <t>cl-ci_cor_2019-01-02.xsd#cl-ci_ActivosCorrientesME</t>
  </si>
  <si>
    <t>cl-ci_cor_2019-01-02.xsd#cl-ci_ActivosNoCorrientesMantenidosParaVentaME</t>
  </si>
  <si>
    <t>cl-ci_cor_2019-01-02.xsd#cl-ci_ActivosCorrientesDistintosDeActivoMantenidosParaVentaME</t>
  </si>
  <si>
    <t>cl-ci_cor_2019-01-02.xsd#cl-ci_ActivosPorImpuestosCorrientesCorrientesME</t>
  </si>
  <si>
    <t>cl-ci_cor_2019-01-02.xsd#cl-ci_ActivosBiologicosCorrientesME</t>
  </si>
  <si>
    <t>cl-ci_cor_2019-01-02.xsd#cl-ci_InventariosCorrientesME</t>
  </si>
  <si>
    <t>cl-ci_cor_2019-01-02.xsd#cl-ci_CuentasPorCobrarAEntidadesRelacionadasCorrientesME</t>
  </si>
  <si>
    <t>cl-ci_cor_2019-01-02.xsd#cl-ci_DeudoresComercialesYOtrasCuentasPorCobrarCorrientesME</t>
  </si>
  <si>
    <t>cl-ci_cor_2019-01-02.xsd#cl-ci_OtrosActivosNoFinancierosCorrientesME</t>
  </si>
  <si>
    <t>cl-ci_cor_2019-01-02.xsd#cl-ci_OtrosActivosFinancierosCorrientesME</t>
  </si>
  <si>
    <t>cl-ci_cor_2019-01-02.xsd#cl-ci_EfectivoYEquivalentesEfectivoME</t>
  </si>
  <si>
    <t>Activos corrientes [sinopsis]</t>
  </si>
  <si>
    <t>Activos [sinopsis]</t>
  </si>
  <si>
    <t>cl-ci_cor_2019-01-02.xsd#cl-ci_MonedaExtranjera</t>
  </si>
  <si>
    <t>Moneda nacional y extranjera [partidas]</t>
  </si>
  <si>
    <t>Periodo Anterior</t>
  </si>
  <si>
    <t>Periodo Actual</t>
  </si>
  <si>
    <t>cl-ci_cor_2019-01-02.xsd#cl-ci_MonedaExtranjeraMiembro</t>
  </si>
  <si>
    <t>cl-ci_cor_2019-01-02.xsd#cl-ci_MonedaExtranjeraEje</t>
  </si>
  <si>
    <t>cl-ci_cor_2019-01-02.xsd#cl-ci_MonedaNacionalYExtranjeraTabla</t>
  </si>
  <si>
    <t>Moneda extranjera [miembro]</t>
  </si>
  <si>
    <t>Agregar columna opcional 2</t>
  </si>
  <si>
    <t>Agregar columna opcional 1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</si>
  <si>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tabla  marcada con línea punteada roja y con fondo verde indican las posiciones donde es posible agregar elementos. Esta tabla puede ser copiada  debajo de este cuadro si se desean agregar mas columnas.
-Para cada columna creada (verde) debe escribirse una descripción (en rojo).
-Las tablas marcadas en plomo </t>
    </r>
    <r>
      <rPr>
        <b/>
        <sz val="10"/>
        <rFont val="Calibri"/>
        <family val="2"/>
      </rPr>
      <t>no deben ser editadas, eliminadas ni movidas.</t>
    </r>
  </si>
  <si>
    <t>Efectos en resultados de coberturas [miembro]</t>
  </si>
  <si>
    <t>Efectos en resultados de coberturas [partidas]</t>
  </si>
  <si>
    <t>AED: UAE Dirham</t>
  </si>
  <si>
    <t>AFN: Afghani</t>
  </si>
  <si>
    <t>ALL: Lek</t>
  </si>
  <si>
    <t>AMD: Armenian Dram</t>
  </si>
  <si>
    <t>ANG: Netherlands Antillean Guilder</t>
  </si>
  <si>
    <t>AOA: Kwanza</t>
  </si>
  <si>
    <t>ARS: Argentine Peso</t>
  </si>
  <si>
    <t>AUD: Australian Dollar</t>
  </si>
  <si>
    <t>AWG: Aruban Florin</t>
  </si>
  <si>
    <t>AZN: Azerbaijanian Manat</t>
  </si>
  <si>
    <t>BAM: Convertible Mark</t>
  </si>
  <si>
    <t>BBD: Barbados Dollar</t>
  </si>
  <si>
    <t>BDT: Taka</t>
  </si>
  <si>
    <t>BGN: Bulgarian Lev</t>
  </si>
  <si>
    <t>BHD: Bahraini Dinar</t>
  </si>
  <si>
    <t>BIF: Burundi Franc</t>
  </si>
  <si>
    <t>BMD: Bermudian Dollar</t>
  </si>
  <si>
    <t>BND: Brunei Dollar</t>
  </si>
  <si>
    <t>BOB: Boliviano</t>
  </si>
  <si>
    <t>BOV: Mvdol</t>
  </si>
  <si>
    <t>BRL: Brazilian Real</t>
  </si>
  <si>
    <t>BSD: Bahamian Dollar</t>
  </si>
  <si>
    <t>BTN: Ngultrum</t>
  </si>
  <si>
    <t>BWP: Pula</t>
  </si>
  <si>
    <t>BYR: Belarussian Ruble</t>
  </si>
  <si>
    <t>BZD: Belize Dollar</t>
  </si>
  <si>
    <t>CAD: Canadian Dollar</t>
  </si>
  <si>
    <t>CDF: Congolese Franc</t>
  </si>
  <si>
    <t>CHE: WIR Euro</t>
  </si>
  <si>
    <t>CHF: Swiss Franc</t>
  </si>
  <si>
    <t>CHW: WIR Franc</t>
  </si>
  <si>
    <t>CLF: Unidad de Fomento</t>
  </si>
  <si>
    <t>CLP: Chilean Peso</t>
  </si>
  <si>
    <t>CNY: Yuan Renminbi</t>
  </si>
  <si>
    <t>COP: Colombian Peso</t>
  </si>
  <si>
    <t>COU: Unidad de Valor Real</t>
  </si>
  <si>
    <t>CRC: Costa Rican Colon</t>
  </si>
  <si>
    <t>CUC: Peso Convertible</t>
  </si>
  <si>
    <t>CUP: Cuban Peso</t>
  </si>
  <si>
    <t>CVE: Cabo Verde Escudo</t>
  </si>
  <si>
    <t>CZK: Czech Koruna</t>
  </si>
  <si>
    <t>DJF: Djibouti Franc</t>
  </si>
  <si>
    <t>DKK: Danish Krone</t>
  </si>
  <si>
    <t>DOP: Dominican Peso</t>
  </si>
  <si>
    <t>DZD: Algerian Dinar</t>
  </si>
  <si>
    <t>EGP: Egyptian Pound</t>
  </si>
  <si>
    <t>ERN: Nakfa</t>
  </si>
  <si>
    <t>ETB: Ethiopian Birr</t>
  </si>
  <si>
    <t>EUR: Euro</t>
  </si>
  <si>
    <t>FJD: Fiji Dollar</t>
  </si>
  <si>
    <t>FKP: Falkland Islands Pound</t>
  </si>
  <si>
    <t>GBP: Pound Sterling</t>
  </si>
  <si>
    <t>GEL: Lari</t>
  </si>
  <si>
    <t>GHS: Ghana Cedi</t>
  </si>
  <si>
    <t>GIP: Gibraltar Pound</t>
  </si>
  <si>
    <t>GMD: Dalasi</t>
  </si>
  <si>
    <t>GNF: Guinea Franc</t>
  </si>
  <si>
    <t>GTQ: Quetzal</t>
  </si>
  <si>
    <t>GYD: Dólar guyanés</t>
  </si>
  <si>
    <t>HKD: Hong Kong Dollar</t>
  </si>
  <si>
    <t>HNL: Lempira</t>
  </si>
  <si>
    <t>HRK: Kuna</t>
  </si>
  <si>
    <t>HTG: Gourde</t>
  </si>
  <si>
    <t>HUF: Forint</t>
  </si>
  <si>
    <t>IDR: Rupiah</t>
  </si>
  <si>
    <t>ILS: New Israeli Sheqel</t>
  </si>
  <si>
    <t>INR: Indian Rupee</t>
  </si>
  <si>
    <t>IQD: Iraqi Dinar</t>
  </si>
  <si>
    <t>IRR: Iranian Rial</t>
  </si>
  <si>
    <t>ISK: Iceland Krona</t>
  </si>
  <si>
    <t>JMD: Jamaican Dollar</t>
  </si>
  <si>
    <t>JOD: Jordanian Dinar</t>
  </si>
  <si>
    <t>JPY: Yen</t>
  </si>
  <si>
    <t>KES: Kenyan Shilling</t>
  </si>
  <si>
    <t>KGS: Som</t>
  </si>
  <si>
    <t>KHR: Riel</t>
  </si>
  <si>
    <t>KMF: Comoro Franc</t>
  </si>
  <si>
    <t>KPW: North Korean Won</t>
  </si>
  <si>
    <t>KRW: Won</t>
  </si>
  <si>
    <t>KWD: Kuwaiti Dinar</t>
  </si>
  <si>
    <t>KYD: Cayman Islands Dollar</t>
  </si>
  <si>
    <t>KZT: Tenge</t>
  </si>
  <si>
    <t>LAK: Kip</t>
  </si>
  <si>
    <t>LBP: Lebanese Pound</t>
  </si>
  <si>
    <t>LKR: Sri Lanka Rupee</t>
  </si>
  <si>
    <t>LRD: Liberian Dollar</t>
  </si>
  <si>
    <t>LSL: Loti</t>
  </si>
  <si>
    <t>LYD: Libyan Dinar</t>
  </si>
  <si>
    <t>MAD: Moroccan Dirham</t>
  </si>
  <si>
    <t>MDL: Moldovan Leu</t>
  </si>
  <si>
    <t>MGA: Ariary malgache</t>
  </si>
  <si>
    <t>MKD: Denar</t>
  </si>
  <si>
    <t>MMK: Kyat</t>
  </si>
  <si>
    <t>MNT: Tugrik</t>
  </si>
  <si>
    <t>MOP: Pataca</t>
  </si>
  <si>
    <t>MRO: Ouguiya</t>
  </si>
  <si>
    <t>MUR: Mauritius Rupee</t>
  </si>
  <si>
    <t>MVR: Rufiyaa</t>
  </si>
  <si>
    <t>MWK: Kwacha</t>
  </si>
  <si>
    <t>MXN: Mexican Peso</t>
  </si>
  <si>
    <t>MXV: Mexican Unidad de Inversion (UDI)</t>
  </si>
  <si>
    <t>MYR: Malaysian Ringgit</t>
  </si>
  <si>
    <t>MZN: Mozambique Metical</t>
  </si>
  <si>
    <t>NAD: Namibia Dollar</t>
  </si>
  <si>
    <t>NGN: Naira</t>
  </si>
  <si>
    <t>NIO: Cordoba Oro</t>
  </si>
  <si>
    <t>NOK: Norwegian Krone</t>
  </si>
  <si>
    <t>NPR: Nepalese Rupee</t>
  </si>
  <si>
    <t>NZD: New Zealand Dollar</t>
  </si>
  <si>
    <t>OMR: Rial Omani</t>
  </si>
  <si>
    <t>PAB: Balboa</t>
  </si>
  <si>
    <t>PEN: Sol</t>
  </si>
  <si>
    <t>PGK: Kina</t>
  </si>
  <si>
    <t>PHP: Philippine Peso</t>
  </si>
  <si>
    <t>PKR: Pakistan Rupee</t>
  </si>
  <si>
    <t>PLN: Zloty</t>
  </si>
  <si>
    <t>PYG: Guarani</t>
  </si>
  <si>
    <t>QAR: Qatari Rial</t>
  </si>
  <si>
    <t>RON: New Romanian Leu</t>
  </si>
  <si>
    <t>RSD: Serbian Dinar</t>
  </si>
  <si>
    <t>RUB: Russian Ruble</t>
  </si>
  <si>
    <t>RWF: Rwanda Franc</t>
  </si>
  <si>
    <t>SAR: Saudi Riyal</t>
  </si>
  <si>
    <t>SBD: Solomon Islands Dollar</t>
  </si>
  <si>
    <t>SCR: Seychelles Rupee</t>
  </si>
  <si>
    <t>SDG: Sudanese Pound</t>
  </si>
  <si>
    <t>SEK: Swedish Krona</t>
  </si>
  <si>
    <t>SGD: Singapore Dollar</t>
  </si>
  <si>
    <t>SHP: Saint Helena Pound</t>
  </si>
  <si>
    <t>SLL: Leone</t>
  </si>
  <si>
    <t>SOS: Somali Shilling</t>
  </si>
  <si>
    <t>SRD: Surinam Dollar</t>
  </si>
  <si>
    <t>SSP: South Sudanese Pound</t>
  </si>
  <si>
    <t>STD: Dobra</t>
  </si>
  <si>
    <t>SVC: El Salvador Colon</t>
  </si>
  <si>
    <t>SYP: Syrian Pound</t>
  </si>
  <si>
    <t>SZL: Lilangeni</t>
  </si>
  <si>
    <t>THB: Baht</t>
  </si>
  <si>
    <t>TJS: Somoni</t>
  </si>
  <si>
    <t>TMT: Turkmenistan New Manat</t>
  </si>
  <si>
    <t>TND: Tunisian Dinar</t>
  </si>
  <si>
    <t>TOP: Pa anga</t>
  </si>
  <si>
    <t>TRY: Turkish Lira</t>
  </si>
  <si>
    <t>TTD: Trinidad and Tobago Dollar</t>
  </si>
  <si>
    <t>TWD: New Taiwan Dollar</t>
  </si>
  <si>
    <t>TZS: Tanzanian Shilling</t>
  </si>
  <si>
    <t>UAH: Hryvnia</t>
  </si>
  <si>
    <t>UGX: Uganda Shilling</t>
  </si>
  <si>
    <t>USD: US Dollar</t>
  </si>
  <si>
    <t>USN: US Dollar (Next day)</t>
  </si>
  <si>
    <t>UYI: Uruguay Peso en Unidades Indexadas (URUIURUI)</t>
  </si>
  <si>
    <t>UYU: Peso Uruguayo</t>
  </si>
  <si>
    <t>UZS: Uzbekistan Sum</t>
  </si>
  <si>
    <t>VES: Bolívar soberano</t>
  </si>
  <si>
    <t>VND: Dong</t>
  </si>
  <si>
    <t>VUV: Vatu</t>
  </si>
  <si>
    <t>WST: Tala</t>
  </si>
  <si>
    <t>XAF: CFA Franc BEAC</t>
  </si>
  <si>
    <t>XAG: Silver</t>
  </si>
  <si>
    <t>XAU: Gold</t>
  </si>
  <si>
    <t>XBA: Bond Markets Unit European Composite Unit (EURCO)</t>
  </si>
  <si>
    <t>XBB: Bond Markets Unit European Monetary Unit (E.M.U.-6)</t>
  </si>
  <si>
    <t>XBC: Bond Markets Unit European Unit of Account 9 (E.U.A.-9)</t>
  </si>
  <si>
    <t>XBD: Bond Markets Unit European Unit of Account 17 (E.U.A.-17)</t>
  </si>
  <si>
    <t>XCD: East Caribbean Dollar</t>
  </si>
  <si>
    <t>XDR: SDR (Special Drawing Right)</t>
  </si>
  <si>
    <t>XOF: CFA Franc BCEAO</t>
  </si>
  <si>
    <t>XPD: Palladium</t>
  </si>
  <si>
    <t>XPF: CFP Franc</t>
  </si>
  <si>
    <t>XPT: Platinum</t>
  </si>
  <si>
    <t>XSU: Sucre</t>
  </si>
  <si>
    <t>XTS: Codes specifically reserved for testing purposes</t>
  </si>
  <si>
    <t>XUA: ADB Unit of Account</t>
  </si>
  <si>
    <t>XXX: The codes assigned for transactions where no currency is involved</t>
  </si>
  <si>
    <t>YER: Yemeni Rial</t>
  </si>
  <si>
    <t>ZAR: Rand</t>
  </si>
  <si>
    <t>ZMW: Zambian Kwacha</t>
  </si>
  <si>
    <t>ZWL: Zimbabwe Dollar</t>
  </si>
  <si>
    <t>OTRAS: Otras Monedas</t>
  </si>
  <si>
    <t>Efectivo y equivalentes al efectivo [Número]</t>
  </si>
  <si>
    <t>Otros activos financieros corrientes [Número]</t>
  </si>
  <si>
    <t>Otros activos no financieros corrientes [Número]</t>
  </si>
  <si>
    <t>Deudores comerciales y otras cuentas por cobrar corrientes [Número]</t>
  </si>
  <si>
    <t>Cuentas por cobrar a entidades relacionadas, corrientes [Número]</t>
  </si>
  <si>
    <t>Inventarios corrientes [Número]</t>
  </si>
  <si>
    <t>Activos biológicos corrientes [Número]</t>
  </si>
  <si>
    <t>Activos por impuestos corrientes, corrientes [Número]</t>
  </si>
  <si>
    <t>Total de activos corrientes distintos de los activo mantenidos para la venta [Número]</t>
  </si>
  <si>
    <t>Activos no corrientes mantenidos para la venta [Número]</t>
  </si>
  <si>
    <t>Activos corrientes totales [Número]</t>
  </si>
  <si>
    <t>Otros activos financieros no corrientes [Número]</t>
  </si>
  <si>
    <t>Otros activos no financieros no corrientes [Número]</t>
  </si>
  <si>
    <t>Cuentas por cobrar no corrientes [Número]</t>
  </si>
  <si>
    <t>Cuentas por cobrar a entidades relacionadas, no corrientes [Número]</t>
  </si>
  <si>
    <t>Inventarios, no corrientes [Número]</t>
  </si>
  <si>
    <t>Inversiones contabilizadas utilizando el método de la participación [Número]</t>
  </si>
  <si>
    <t>Activos intangibles distintos de la plusvalía [Número]</t>
  </si>
  <si>
    <t>Plusvalía [Número]</t>
  </si>
  <si>
    <t>Propiedades, planta y equipo [Número]</t>
  </si>
  <si>
    <t>Activos biológicos no corrientes [Número]</t>
  </si>
  <si>
    <t>Propiedad de inversión [Número]</t>
  </si>
  <si>
    <t>Activos por impuestos corrientes, no corrientes [Número]</t>
  </si>
  <si>
    <t>Activos por impuestos diferidos [Número]</t>
  </si>
  <si>
    <t>Total de activos no corrientes [Número]</t>
  </si>
  <si>
    <t>Total de activos [Número]</t>
  </si>
  <si>
    <t>Otros pasivos financieros corrientes [Número]</t>
  </si>
  <si>
    <t>Cuentas por pagar comerciales y otras cuentas por pagar [Número]</t>
  </si>
  <si>
    <t>Cuentas por pagar a entidades relacionadas, corrientes [Número]</t>
  </si>
  <si>
    <t>Otras provisiones a corto plazo [Número]</t>
  </si>
  <si>
    <t>Pasivos por impuestos corrientes, corrientes [Número]</t>
  </si>
  <si>
    <t>Provisiones corrientes por beneficios a los empleados [Número]</t>
  </si>
  <si>
    <t>Otros pasivos no financieros corrientes [Número]</t>
  </si>
  <si>
    <t>Total de pasivos corrientes distintos de los pasivos mantenidos para la venta [Número]</t>
  </si>
  <si>
    <t>Pasivos clasificados como mantenidos para la venta [Número]</t>
  </si>
  <si>
    <t>Pasivos corrientes totales [Número]</t>
  </si>
  <si>
    <t>Otros pasivos financieros no corrientes [Número]</t>
  </si>
  <si>
    <t>Cuentas por pagar no corrientes [Número]</t>
  </si>
  <si>
    <t>Cuentas por pagar a entidades relacionadas, no corrientes [Número]</t>
  </si>
  <si>
    <t>Otras provisiones a largo plazo [Número]</t>
  </si>
  <si>
    <t>Pasivo por impuestos diferidos [Número]</t>
  </si>
  <si>
    <t>Pasivos por impuestos corrientes, no corrientes [Número]</t>
  </si>
  <si>
    <t>Provisiones no corrientes por beneficios a los empleados [Número]</t>
  </si>
  <si>
    <t>Otros pasivos no financieros no corrientes [Número]</t>
  </si>
  <si>
    <t>Total de pasivos no corrientes [Número]</t>
  </si>
  <si>
    <t>Total de pasivos [Número]</t>
  </si>
  <si>
    <t>Moneda [Lista]</t>
  </si>
  <si>
    <t>cl-ci_cor_2020-01-02.xsd#cl-ci_ActivosPorDerechoDeUsoME</t>
  </si>
  <si>
    <t>cl-ci_cor_2020-01-02.xsd#cl-ci_PasivosPorArrendamientosCorrientesME</t>
  </si>
  <si>
    <t>cl-ci_cor_2020-01-02.xsd#cl-ci_PasivosPorArrendamientosNoCorrientesME</t>
  </si>
  <si>
    <t>Nota - Moneda nacional y extranjera [872500] (Modificado 2020)</t>
  </si>
  <si>
    <t>pre_cl-ci_cl-cp_2020-01-02_role-872500</t>
  </si>
  <si>
    <t xml:space="preserve">        Cuentas comerciales al día según plazo  al (31/12/2019)</t>
  </si>
  <si>
    <t>Pasivos por arrendamientos no corrientes [Número]</t>
  </si>
  <si>
    <t>Pasivos por arrendamientos corrientes [Número]</t>
  </si>
  <si>
    <t>Activos por derecho de uso [Número]</t>
  </si>
  <si>
    <t>11.0</t>
  </si>
  <si>
    <t>Información a revelar sobre las relaciones de cobertura de la entidad directamente afectadas por la incertidumbre que surge de la reforma de las tasas de interés de referencia [bloque de texto]</t>
  </si>
  <si>
    <t>full_ifrs-cor_2020-03-16.xsd#ifrs-full_DisclosureOfInformationAboutEntitysHedgingRelationshipsDirectlyAffectedByUncertaintyArisingFromInterestRateBenchmarkReformExplanatory</t>
  </si>
  <si>
    <t>pre_cl-ci_cl-cp_2021-01-04_role-822410</t>
  </si>
  <si>
    <t>Información a revelar sobre las tasas de interés de referencia significativas a las que están expuestas las relaciones de cobertura de la entidad [bloque de texto]</t>
  </si>
  <si>
    <t>Información a revelar sobre la magnitud de la exposición al riesgo que gestiona la entidad para las relaciones de cobertura directamente afectadas por la reforma de la tasa de interés de referencia [bloque de texto]</t>
  </si>
  <si>
    <t>Descripción de la forma en que la entidad está gestionando el proceso de transición a las tasas de referencia alternativas para las relaciones de cobertura</t>
  </si>
  <si>
    <t>Descripción de los supuestos o juicios significativos que realizó la entidad al aplicar las modificaciones para la reforma de las tasas de interés de referencia.</t>
  </si>
  <si>
    <t>Importe nominal de los instrumentos de cobertura en las relaciones de cobertura a las que se aplica la reforma de las tasas de interés de referencia</t>
  </si>
  <si>
    <t>Cierre periodo año actual</t>
  </si>
  <si>
    <t>Cierre periodo año anterior</t>
  </si>
  <si>
    <t>full_ifrs-cor_2020-03-16.xsd#ifrs-full_NominalAmountOfHedgingInstrumentsInHedgingRelationshipsToWhichAmendmentsForInterestRateBenchmarkReformAreApplied</t>
  </si>
  <si>
    <t>full_ifrs-cor_2020-03-16.xsd#ifrs-full_DescriptionOfSignificantAssumptionsOrJudgementsEntityMadeInApplyingAmendmentsForInterestRateBenchmarkReform</t>
  </si>
  <si>
    <t>full_ifrs-cor_2020-03-16.xsd#ifrs-full_DescriptionOfHowEntityIsManagingProcessToTransitionToAlternativeBenchmarkRatesForHedgingRelationships</t>
  </si>
  <si>
    <t>full_ifrs-cor_2020-03-16.xsd#ifrs-full_DisclosureOfExtentOfRiskExposureEntityManagesForHedgingRelationshipsDirectlyAffectedByInterestRateBenchmarkReformExplanatory</t>
  </si>
  <si>
    <t>full_ifrs-cor_2020-03-16.xsd#ifrs-full_DisclosureOfSignificantInterestRateBenchmarksToWhichEntitysHedgingRelationshipsAreExposedExplanatory</t>
  </si>
  <si>
    <t>Bloque de texto CLCP test 1</t>
  </si>
  <si>
    <t>Bloque de texto CLCP test 2</t>
  </si>
  <si>
    <t>Bloque de texto CLCP test 3</t>
  </si>
  <si>
    <t>Bloque de texto CLCP test 4</t>
  </si>
  <si>
    <t>Bloque de texto CLCP test 5</t>
  </si>
  <si>
    <t>Bloque de texto CLCP test 6</t>
  </si>
  <si>
    <t>Bloque de texto CLCP test 7</t>
  </si>
  <si>
    <t>AAAAA</t>
  </si>
  <si>
    <t>BBBBB</t>
  </si>
  <si>
    <t>CCCCC</t>
  </si>
  <si>
    <t>DDDDD</t>
  </si>
  <si>
    <t>EEEEE</t>
  </si>
  <si>
    <t>Bloque de texto CLCP test 8</t>
  </si>
  <si>
    <t>Bloque de texto CLCP test 9</t>
  </si>
  <si>
    <t>Bloque de texto CLCP test 10</t>
  </si>
  <si>
    <t>Bloque de texto CLCP test 11</t>
  </si>
  <si>
    <t>Bloque de texto CLCP test 12</t>
  </si>
  <si>
    <t xml:space="preserve"> Bloque de texto CLCP test 13</t>
  </si>
  <si>
    <t>Bloque de texto CLCP test 14</t>
  </si>
  <si>
    <t>Bloque de texto CLCP test 15</t>
  </si>
  <si>
    <t>Bloque de texto CLCP test 16</t>
  </si>
  <si>
    <t>test1</t>
  </si>
  <si>
    <t>test2</t>
  </si>
  <si>
    <t>test3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</si>
</sst>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"/>
  </numFmts>
  <fonts count="28">
    <font>
      <sz val="11"/>
      <color theme="1"/>
      <name val="Calibri"/>
      <family val="2"/>
      <scheme val="minor"/>
    </font>
    <font>
      <sz val="8"/>
      <name val="ＭＳ Ｐゴシック"/>
      <family val="3"/>
      <charset val="128"/>
    </font>
    <font>
      <sz val="9"/>
      <name val="Calibri"/>
      <family val="2"/>
      <scheme val="minor"/>
    </font>
    <font>
      <sz val="9"/>
      <name val="Verdana"/>
      <family val="2"/>
    </font>
    <font>
      <b/>
      <sz val="9"/>
      <name val="Verdana"/>
      <family val="2"/>
    </font>
    <font>
      <sz val="11"/>
      <color indexed="9"/>
      <name val="Czcionka tekstu podstawowego"/>
      <family val="2"/>
      <charset val="238"/>
    </font>
    <font>
      <sz val="9"/>
      <color theme="1"/>
      <name val="Verdana"/>
      <family val="2"/>
    </font>
    <font>
      <b/>
      <sz val="18"/>
      <name val="Calibri"/>
      <family val="2"/>
      <scheme val="minor"/>
    </font>
    <font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b/>
      <sz val="10"/>
      <name val="Calibri"/>
      <family val="2"/>
    </font>
    <font>
      <b/>
      <sz val="12"/>
      <name val="Calibri"/>
      <family val="2"/>
      <scheme val="minor"/>
    </font>
    <font>
      <sz val="9"/>
      <color rgb="FFFF0000"/>
      <name val="Verdana"/>
      <family val="2"/>
    </font>
    <font>
      <sz val="9"/>
      <color indexed="9"/>
      <name val="Verdana"/>
      <family val="2"/>
    </font>
    <font>
      <b/>
      <sz val="9"/>
      <color indexed="9"/>
      <name val="Verdana"/>
      <family val="2"/>
    </font>
    <font>
      <u/>
      <sz val="11"/>
      <color theme="10"/>
      <name val="Calibri"/>
      <family val="2"/>
      <scheme val="minor"/>
    </font>
    <font>
      <b/>
      <sz val="9"/>
      <color rgb="FFFF0000"/>
      <name val="Verdana"/>
      <family val="2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0"/>
      <name val="Calibri"/>
      <family val="2"/>
    </font>
    <font>
      <b/>
      <sz val="8"/>
      <name val="Verdana"/>
      <family val="2"/>
    </font>
    <font>
      <sz val="8"/>
      <name val="Verdana"/>
      <family val="2"/>
    </font>
    <font>
      <b/>
      <sz val="11"/>
      <name val="Verdana"/>
      <family val="2"/>
    </font>
    <font>
      <b/>
      <sz val="1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indexed="9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Dashed">
        <color rgb="FFFF0000"/>
      </left>
      <right style="mediumDashed">
        <color rgb="FFFF0000"/>
      </right>
      <top/>
      <bottom/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 style="mediumDashed">
        <color rgb="FFFF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0" borderId="0" applyNumberFormat="0" applyFill="0" applyBorder="0">
      <alignment vertical="center"/>
    </xf>
    <xf numFmtId="0" fontId="5" fillId="4" borderId="0" applyNumberFormat="0" applyBorder="0" applyAlignment="0" applyProtection="0"/>
    <xf numFmtId="0" fontId="1" fillId="0" borderId="0" applyNumberFormat="0" applyFill="0" applyBorder="0">
      <alignment vertical="center"/>
    </xf>
    <xf numFmtId="0" fontId="16" fillId="0" borderId="0" applyNumberFormat="0" applyFill="0" applyBorder="0" applyAlignment="0" applyProtection="0"/>
  </cellStyleXfs>
  <cellXfs count="139">
    <xf numFmtId="0" fontId="0" fillId="0" borderId="0" xfId="0"/>
    <xf numFmtId="3" fontId="2" fillId="2" borderId="0" xfId="1" applyNumberFormat="1" applyFont="1" applyFill="1" applyBorder="1">
      <alignment vertical="center"/>
    </xf>
    <xf numFmtId="0" fontId="3" fillId="2" borderId="0" xfId="0" applyFont="1" applyFill="1" applyAlignment="1">
      <alignment horizontal="left" vertical="center" indent="3"/>
    </xf>
    <xf numFmtId="0" fontId="4" fillId="2" borderId="0" xfId="0" applyFont="1" applyFill="1" applyAlignment="1">
      <alignment horizontal="left" vertical="center" indent="3"/>
    </xf>
    <xf numFmtId="3" fontId="2" fillId="2" borderId="2" xfId="1" applyNumberFormat="1" applyFont="1" applyFill="1" applyBorder="1">
      <alignment vertical="center"/>
    </xf>
    <xf numFmtId="3" fontId="2" fillId="2" borderId="3" xfId="1" applyNumberFormat="1" applyFont="1" applyFill="1" applyBorder="1">
      <alignment vertical="center"/>
    </xf>
    <xf numFmtId="3" fontId="2" fillId="2" borderId="4" xfId="1" applyNumberFormat="1" applyFont="1" applyFill="1" applyBorder="1">
      <alignment vertical="center"/>
    </xf>
    <xf numFmtId="3" fontId="2" fillId="2" borderId="5" xfId="1" applyNumberFormat="1" applyFont="1" applyFill="1" applyBorder="1">
      <alignment vertical="center"/>
    </xf>
    <xf numFmtId="3" fontId="2" fillId="2" borderId="6" xfId="1" applyNumberFormat="1" applyFont="1" applyFill="1" applyBorder="1">
      <alignment vertical="center"/>
    </xf>
    <xf numFmtId="3" fontId="2" fillId="2" borderId="7" xfId="1" applyNumberFormat="1" applyFont="1" applyFill="1" applyBorder="1">
      <alignment vertical="center"/>
    </xf>
    <xf numFmtId="3" fontId="2" fillId="2" borderId="8" xfId="1" applyNumberFormat="1" applyFont="1" applyFill="1" applyBorder="1">
      <alignment vertical="center"/>
    </xf>
    <xf numFmtId="0" fontId="3" fillId="2" borderId="8" xfId="0" applyFont="1" applyFill="1" applyBorder="1" applyAlignment="1">
      <alignment horizontal="left" vertical="center" indent="3"/>
    </xf>
    <xf numFmtId="3" fontId="2" fillId="2" borderId="9" xfId="1" applyNumberFormat="1" applyFont="1" applyFill="1" applyBorder="1">
      <alignment vertical="center"/>
    </xf>
    <xf numFmtId="0" fontId="3" fillId="3" borderId="1" xfId="0" applyFont="1" applyFill="1" applyBorder="1" applyAlignment="1">
      <alignment horizontal="left" vertical="center" indent="3"/>
    </xf>
    <xf numFmtId="0" fontId="3" fillId="2" borderId="0" xfId="0" applyFont="1" applyFill="1" applyAlignment="1">
      <alignment horizontal="left" vertical="center" wrapText="1" indent="3"/>
    </xf>
    <xf numFmtId="0" fontId="3" fillId="2" borderId="5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2" applyNumberFormat="1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3" fontId="3" fillId="3" borderId="1" xfId="0" applyNumberFormat="1" applyFont="1" applyFill="1" applyBorder="1"/>
    <xf numFmtId="0" fontId="7" fillId="6" borderId="12" xfId="0" applyFont="1" applyFill="1" applyBorder="1" applyAlignment="1">
      <alignment horizontal="center" vertical="center" wrapText="1"/>
    </xf>
    <xf numFmtId="0" fontId="12" fillId="6" borderId="12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3" fillId="7" borderId="10" xfId="2" applyNumberFormat="1" applyFont="1" applyFill="1" applyBorder="1" applyAlignment="1">
      <alignment horizontal="center" vertical="center" wrapText="1"/>
    </xf>
    <xf numFmtId="0" fontId="13" fillId="7" borderId="13" xfId="2" applyNumberFormat="1" applyFont="1" applyFill="1" applyBorder="1" applyAlignment="1">
      <alignment horizontal="center" vertical="center" wrapText="1"/>
    </xf>
    <xf numFmtId="0" fontId="14" fillId="7" borderId="13" xfId="2" applyNumberFormat="1" applyFont="1" applyFill="1" applyBorder="1" applyAlignment="1">
      <alignment horizontal="center" vertical="center" wrapText="1"/>
    </xf>
    <xf numFmtId="0" fontId="15" fillId="7" borderId="13" xfId="2" applyNumberFormat="1" applyFont="1" applyFill="1" applyBorder="1" applyAlignment="1">
      <alignment horizontal="center" vertical="center" wrapText="1"/>
    </xf>
    <xf numFmtId="0" fontId="14" fillId="7" borderId="1" xfId="2" applyNumberFormat="1" applyFont="1" applyFill="1" applyBorder="1" applyAlignment="1">
      <alignment horizontal="center" vertical="center" wrapText="1"/>
    </xf>
    <xf numFmtId="0" fontId="14" fillId="7" borderId="11" xfId="2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8" borderId="5" xfId="3" applyFont="1" applyFill="1" applyBorder="1">
      <alignment vertical="center"/>
    </xf>
    <xf numFmtId="0" fontId="4" fillId="8" borderId="0" xfId="3" applyFont="1" applyFill="1" applyBorder="1">
      <alignment vertical="center"/>
    </xf>
    <xf numFmtId="0" fontId="3" fillId="8" borderId="0" xfId="3" applyFont="1" applyFill="1" applyBorder="1">
      <alignment vertical="center"/>
    </xf>
    <xf numFmtId="0" fontId="3" fillId="8" borderId="3" xfId="3" applyFont="1" applyFill="1" applyBorder="1" applyAlignment="1">
      <alignment horizontal="center" vertical="center" wrapText="1"/>
    </xf>
    <xf numFmtId="0" fontId="0" fillId="2" borderId="0" xfId="0" applyFill="1"/>
    <xf numFmtId="0" fontId="3" fillId="8" borderId="4" xfId="3" applyFont="1" applyFill="1" applyBorder="1" applyAlignment="1">
      <alignment vertical="center" wrapText="1"/>
    </xf>
    <xf numFmtId="0" fontId="3" fillId="0" borderId="0" xfId="0" applyFont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/>
    <xf numFmtId="0" fontId="3" fillId="8" borderId="3" xfId="3" applyFont="1" applyFill="1" applyBorder="1">
      <alignment vertical="center"/>
    </xf>
    <xf numFmtId="0" fontId="4" fillId="8" borderId="3" xfId="3" applyFont="1" applyFill="1" applyBorder="1" applyAlignment="1">
      <alignment vertical="center" wrapText="1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8" xfId="2" applyNumberFormat="1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8" borderId="4" xfId="3" applyFont="1" applyFill="1" applyBorder="1">
      <alignment vertical="center"/>
    </xf>
    <xf numFmtId="0" fontId="4" fillId="2" borderId="0" xfId="0" applyFont="1" applyFill="1" applyAlignment="1">
      <alignment horizontal="left" vertical="center" wrapText="1" indent="3"/>
    </xf>
    <xf numFmtId="0" fontId="3" fillId="2" borderId="8" xfId="0" applyFont="1" applyFill="1" applyBorder="1" applyAlignment="1">
      <alignment horizontal="left" vertical="center" wrapText="1" indent="3"/>
    </xf>
    <xf numFmtId="164" fontId="3" fillId="3" borderId="1" xfId="0" applyNumberFormat="1" applyFont="1" applyFill="1" applyBorder="1"/>
    <xf numFmtId="3" fontId="3" fillId="2" borderId="0" xfId="1" applyNumberFormat="1" applyFont="1" applyFill="1" applyBorder="1">
      <alignment vertical="center"/>
    </xf>
    <xf numFmtId="3" fontId="3" fillId="2" borderId="0" xfId="1" applyNumberFormat="1" applyFont="1" applyFill="1" applyBorder="1" applyAlignment="1">
      <alignment vertical="center" wrapText="1"/>
    </xf>
    <xf numFmtId="0" fontId="3" fillId="2" borderId="5" xfId="2" applyNumberFormat="1" applyFont="1" applyFill="1" applyBorder="1" applyAlignment="1">
      <alignment horizontal="left" vertical="center"/>
    </xf>
    <xf numFmtId="0" fontId="3" fillId="2" borderId="0" xfId="2" applyNumberFormat="1" applyFont="1" applyFill="1" applyBorder="1" applyAlignment="1">
      <alignment horizontal="left" vertical="center" wrapText="1"/>
    </xf>
    <xf numFmtId="0" fontId="17" fillId="9" borderId="14" xfId="2" applyNumberFormat="1" applyFont="1" applyFill="1" applyBorder="1" applyAlignment="1">
      <alignment horizontal="center" vertical="center" wrapText="1"/>
    </xf>
    <xf numFmtId="0" fontId="18" fillId="9" borderId="15" xfId="3" applyFont="1" applyFill="1" applyBorder="1" applyAlignment="1">
      <alignment horizontal="center" vertical="center" wrapText="1"/>
    </xf>
    <xf numFmtId="0" fontId="12" fillId="10" borderId="12" xfId="0" applyFont="1" applyFill="1" applyBorder="1" applyAlignment="1">
      <alignment horizontal="right" vertical="center" wrapText="1"/>
    </xf>
    <xf numFmtId="0" fontId="0" fillId="10" borderId="16" xfId="0" applyFill="1" applyBorder="1" applyAlignment="1">
      <alignment vertical="center"/>
    </xf>
    <xf numFmtId="49" fontId="3" fillId="3" borderId="1" xfId="0" applyNumberFormat="1" applyFont="1" applyFill="1" applyBorder="1"/>
    <xf numFmtId="3" fontId="4" fillId="5" borderId="1" xfId="0" applyNumberFormat="1" applyFont="1" applyFill="1" applyBorder="1"/>
    <xf numFmtId="3" fontId="16" fillId="11" borderId="0" xfId="4" applyNumberFormat="1" applyFill="1" applyBorder="1" applyAlignment="1">
      <alignment vertical="center"/>
    </xf>
    <xf numFmtId="3" fontId="16" fillId="12" borderId="0" xfId="4" applyNumberFormat="1" applyFill="1" applyBorder="1" applyAlignment="1">
      <alignment vertical="center" wrapText="1"/>
    </xf>
    <xf numFmtId="0" fontId="4" fillId="2" borderId="0" xfId="0" applyFont="1" applyFill="1" applyAlignment="1">
      <alignment horizontal="left" vertical="center" wrapText="1"/>
    </xf>
    <xf numFmtId="0" fontId="0" fillId="13" borderId="0" xfId="0" applyFill="1" applyAlignment="1">
      <alignment vertical="center"/>
    </xf>
    <xf numFmtId="0" fontId="0" fillId="10" borderId="17" xfId="0" applyFill="1" applyBorder="1" applyAlignment="1">
      <alignment vertical="center"/>
    </xf>
    <xf numFmtId="0" fontId="3" fillId="8" borderId="15" xfId="3" applyFont="1" applyFill="1" applyBorder="1">
      <alignment vertical="center"/>
    </xf>
    <xf numFmtId="0" fontId="3" fillId="2" borderId="18" xfId="0" applyFont="1" applyFill="1" applyBorder="1" applyAlignment="1">
      <alignment horizontal="left" vertical="center"/>
    </xf>
    <xf numFmtId="0" fontId="3" fillId="0" borderId="19" xfId="0" applyFont="1" applyBorder="1" applyAlignment="1">
      <alignment vertical="center"/>
    </xf>
    <xf numFmtId="0" fontId="3" fillId="2" borderId="20" xfId="0" applyFont="1" applyFill="1" applyBorder="1" applyAlignment="1">
      <alignment horizontal="left" vertical="center"/>
    </xf>
    <xf numFmtId="0" fontId="0" fillId="0" borderId="18" xfId="0" applyBorder="1"/>
    <xf numFmtId="0" fontId="14" fillId="7" borderId="19" xfId="2" applyNumberFormat="1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left" vertical="center"/>
    </xf>
    <xf numFmtId="0" fontId="4" fillId="5" borderId="11" xfId="0" applyFont="1" applyFill="1" applyBorder="1" applyAlignment="1">
      <alignment vertical="center"/>
    </xf>
    <xf numFmtId="0" fontId="16" fillId="14" borderId="0" xfId="4" applyFill="1" applyBorder="1" applyAlignment="1">
      <alignment horizontal="left" vertical="center" indent="3"/>
    </xf>
    <xf numFmtId="0" fontId="16" fillId="15" borderId="0" xfId="4" applyFill="1" applyBorder="1" applyAlignment="1">
      <alignment horizontal="left" vertical="center" indent="3"/>
    </xf>
    <xf numFmtId="3" fontId="16" fillId="16" borderId="0" xfId="4" applyNumberFormat="1" applyFill="1" applyBorder="1" applyAlignment="1">
      <alignment vertical="center"/>
    </xf>
    <xf numFmtId="3" fontId="2" fillId="3" borderId="1" xfId="1" applyNumberFormat="1" applyFont="1" applyFill="1" applyBorder="1">
      <alignment vertical="center"/>
    </xf>
    <xf numFmtId="0" fontId="21" fillId="0" borderId="0" xfId="0" applyFont="1"/>
    <xf numFmtId="0" fontId="3" fillId="2" borderId="11" xfId="3" applyFont="1" applyFill="1" applyBorder="1" applyProtection="1">
      <alignment vertical="center"/>
      <protection locked="0"/>
    </xf>
    <xf numFmtId="0" fontId="3" fillId="2" borderId="8" xfId="3" applyFont="1" applyFill="1" applyBorder="1" applyProtection="1">
      <alignment vertical="center"/>
      <protection locked="0"/>
    </xf>
    <xf numFmtId="0" fontId="3" fillId="2" borderId="8" xfId="3" applyFont="1" applyFill="1" applyBorder="1" applyAlignment="1" applyProtection="1">
      <alignment horizontal="left" vertical="center" wrapText="1" indent="1"/>
      <protection locked="0"/>
    </xf>
    <xf numFmtId="0" fontId="3" fillId="2" borderId="7" xfId="3" applyFont="1" applyFill="1" applyBorder="1" applyProtection="1">
      <alignment vertical="center"/>
      <protection locked="0"/>
    </xf>
    <xf numFmtId="0" fontId="0" fillId="0" borderId="6" xfId="0" applyBorder="1"/>
    <xf numFmtId="0" fontId="4" fillId="2" borderId="0" xfId="3" applyFont="1" applyFill="1" applyBorder="1" applyAlignment="1" applyProtection="1">
      <alignment horizontal="left" vertical="center" wrapText="1" indent="1"/>
      <protection locked="0"/>
    </xf>
    <xf numFmtId="0" fontId="3" fillId="2" borderId="0" xfId="3" applyFont="1" applyFill="1" applyBorder="1" applyProtection="1">
      <alignment vertical="center"/>
      <protection locked="0"/>
    </xf>
    <xf numFmtId="0" fontId="4" fillId="2" borderId="0" xfId="3" applyFont="1" applyFill="1" applyBorder="1" applyAlignment="1" applyProtection="1">
      <alignment horizontal="left" vertical="center" wrapText="1" indent="2"/>
      <protection locked="0"/>
    </xf>
    <xf numFmtId="0" fontId="3" fillId="2" borderId="0" xfId="3" applyFont="1" applyFill="1" applyBorder="1" applyAlignment="1" applyProtection="1">
      <alignment horizontal="left" vertical="center" wrapText="1" indent="3"/>
      <protection locked="0"/>
    </xf>
    <xf numFmtId="0" fontId="0" fillId="8" borderId="6" xfId="0" applyFill="1" applyBorder="1" applyProtection="1">
      <protection locked="0"/>
    </xf>
    <xf numFmtId="0" fontId="0" fillId="8" borderId="0" xfId="0" applyFill="1" applyProtection="1">
      <protection locked="0"/>
    </xf>
    <xf numFmtId="0" fontId="4" fillId="2" borderId="0" xfId="3" applyFont="1" applyFill="1" applyBorder="1" applyAlignment="1" applyProtection="1">
      <alignment horizontal="left" vertical="center" wrapText="1" indent="3"/>
      <protection locked="0"/>
    </xf>
    <xf numFmtId="0" fontId="3" fillId="2" borderId="0" xfId="3" applyFont="1" applyFill="1" applyBorder="1" applyAlignment="1" applyProtection="1">
      <alignment horizontal="left" vertical="center" wrapText="1" indent="4"/>
      <protection locked="0"/>
    </xf>
    <xf numFmtId="0" fontId="4" fillId="2" borderId="0" xfId="3" applyFont="1" applyFill="1" applyBorder="1" applyAlignment="1" applyProtection="1">
      <alignment horizontal="left" vertical="center" wrapText="1" indent="4"/>
      <protection locked="0"/>
    </xf>
    <xf numFmtId="0" fontId="3" fillId="2" borderId="0" xfId="3" applyFont="1" applyFill="1" applyBorder="1" applyAlignment="1" applyProtection="1">
      <alignment horizontal="left" vertical="center" wrapText="1" indent="5"/>
      <protection locked="0"/>
    </xf>
    <xf numFmtId="0" fontId="4" fillId="2" borderId="0" xfId="3" applyFont="1" applyFill="1" applyBorder="1" applyAlignment="1" applyProtection="1">
      <alignment horizontal="left" vertical="center" wrapText="1" indent="5"/>
      <protection locked="0"/>
    </xf>
    <xf numFmtId="0" fontId="3" fillId="2" borderId="0" xfId="3" applyFont="1" applyFill="1" applyBorder="1" applyAlignment="1" applyProtection="1">
      <alignment horizontal="left" vertical="center" wrapText="1" indent="6"/>
      <protection locked="0"/>
    </xf>
    <xf numFmtId="0" fontId="3" fillId="2" borderId="9" xfId="3" applyFont="1" applyFill="1" applyBorder="1" applyProtection="1">
      <alignment vertical="center"/>
      <protection locked="0"/>
    </xf>
    <xf numFmtId="0" fontId="3" fillId="2" borderId="6" xfId="3" applyFont="1" applyFill="1" applyBorder="1" applyProtection="1">
      <alignment vertical="center"/>
      <protection locked="0"/>
    </xf>
    <xf numFmtId="0" fontId="3" fillId="2" borderId="0" xfId="3" applyFont="1" applyFill="1" applyBorder="1" applyAlignment="1" applyProtection="1">
      <alignment horizontal="left" vertical="center" wrapText="1" indent="2"/>
      <protection locked="0"/>
    </xf>
    <xf numFmtId="0" fontId="4" fillId="2" borderId="0" xfId="3" applyFont="1" applyFill="1" applyBorder="1" applyAlignment="1" applyProtection="1">
      <alignment horizontal="left" vertical="center" wrapText="1"/>
      <protection locked="0"/>
    </xf>
    <xf numFmtId="0" fontId="0" fillId="0" borderId="5" xfId="0" applyBorder="1"/>
    <xf numFmtId="0" fontId="24" fillId="2" borderId="8" xfId="3" applyFont="1" applyFill="1" applyBorder="1" applyAlignment="1" applyProtection="1">
      <alignment horizontal="left" vertical="center" wrapText="1"/>
      <protection locked="0"/>
    </xf>
    <xf numFmtId="0" fontId="3" fillId="2" borderId="0" xfId="3" applyFont="1" applyFill="1" applyBorder="1" applyAlignment="1" applyProtection="1">
      <alignment horizontal="left" vertical="center" wrapText="1" indent="1"/>
      <protection locked="0"/>
    </xf>
    <xf numFmtId="0" fontId="3" fillId="2" borderId="22" xfId="3" applyFont="1" applyFill="1" applyBorder="1" applyAlignment="1" applyProtection="1">
      <alignment vertical="center" wrapText="1"/>
      <protection locked="0"/>
    </xf>
    <xf numFmtId="0" fontId="18" fillId="9" borderId="19" xfId="3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/>
    </xf>
    <xf numFmtId="0" fontId="20" fillId="7" borderId="16" xfId="0" applyFont="1" applyFill="1" applyBorder="1" applyAlignment="1" applyProtection="1">
      <alignment horizontal="center" vertical="center" wrapText="1"/>
      <protection locked="0"/>
    </xf>
    <xf numFmtId="0" fontId="0" fillId="0" borderId="24" xfId="0" applyBorder="1" applyAlignment="1">
      <alignment vertical="center"/>
    </xf>
    <xf numFmtId="0" fontId="25" fillId="20" borderId="12" xfId="0" applyFont="1" applyFill="1" applyBorder="1" applyAlignment="1">
      <alignment horizontal="center" vertical="center" wrapText="1"/>
    </xf>
    <xf numFmtId="3" fontId="22" fillId="17" borderId="11" xfId="3" applyNumberFormat="1" applyFont="1" applyFill="1" applyBorder="1" applyProtection="1">
      <alignment vertical="center"/>
      <protection locked="0"/>
    </xf>
    <xf numFmtId="0" fontId="3" fillId="2" borderId="18" xfId="3" applyFont="1" applyFill="1" applyBorder="1" applyProtection="1">
      <alignment vertical="center"/>
      <protection locked="0"/>
    </xf>
    <xf numFmtId="0" fontId="0" fillId="8" borderId="18" xfId="0" applyFill="1" applyBorder="1" applyProtection="1">
      <protection locked="0"/>
    </xf>
    <xf numFmtId="3" fontId="23" fillId="15" borderId="19" xfId="3" applyNumberFormat="1" applyFont="1" applyFill="1" applyBorder="1" applyProtection="1">
      <alignment vertical="center"/>
      <protection locked="0"/>
    </xf>
    <xf numFmtId="3" fontId="23" fillId="18" borderId="19" xfId="3" applyNumberFormat="1" applyFont="1" applyFill="1" applyBorder="1" applyProtection="1">
      <alignment vertical="center"/>
      <protection locked="0"/>
    </xf>
    <xf numFmtId="3" fontId="22" fillId="17" borderId="19" xfId="3" applyNumberFormat="1" applyFont="1" applyFill="1" applyBorder="1" applyProtection="1">
      <alignment vertical="center"/>
      <protection locked="0"/>
    </xf>
    <xf numFmtId="0" fontId="3" fillId="2" borderId="18" xfId="3" applyFont="1" applyFill="1" applyBorder="1" applyAlignment="1" applyProtection="1">
      <alignment horizontal="left" vertical="center" wrapText="1" indent="1"/>
      <protection locked="0"/>
    </xf>
    <xf numFmtId="0" fontId="3" fillId="2" borderId="21" xfId="3" applyFont="1" applyFill="1" applyBorder="1" applyProtection="1">
      <alignment vertical="center"/>
      <protection locked="0"/>
    </xf>
    <xf numFmtId="3" fontId="23" fillId="19" borderId="11" xfId="3" applyNumberFormat="1" applyFont="1" applyFill="1" applyBorder="1" applyProtection="1">
      <alignment vertical="center"/>
      <protection locked="0"/>
    </xf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/>
    <xf numFmtId="0" fontId="4" fillId="8" borderId="0" xfId="3" applyFont="1" applyFill="1" applyBorder="1" applyAlignment="1">
      <alignment vertical="center" wrapText="1"/>
    </xf>
    <xf numFmtId="0" fontId="3" fillId="2" borderId="6" xfId="0" applyFont="1" applyFill="1" applyBorder="1" applyAlignment="1">
      <alignment horizontal="left" vertical="center"/>
    </xf>
    <xf numFmtId="0" fontId="3" fillId="8" borderId="6" xfId="3" applyFont="1" applyFill="1" applyBorder="1">
      <alignment vertical="center"/>
    </xf>
    <xf numFmtId="0" fontId="0" fillId="0" borderId="13" xfId="0" applyBorder="1"/>
    <xf numFmtId="0" fontId="3" fillId="13" borderId="0" xfId="3" applyFont="1" applyFill="1" applyBorder="1" applyProtection="1">
      <alignment vertical="center"/>
      <protection locked="0"/>
    </xf>
    <xf numFmtId="0" fontId="3" fillId="13" borderId="0" xfId="3" applyFont="1" applyFill="1" applyBorder="1" applyAlignment="1" applyProtection="1">
      <alignment horizontal="left" vertical="center" wrapText="1" indent="5"/>
      <protection locked="0"/>
    </xf>
    <xf numFmtId="0" fontId="3" fillId="13" borderId="0" xfId="3" applyFont="1" applyFill="1" applyBorder="1" applyAlignment="1" applyProtection="1">
      <alignment horizontal="left" vertical="center" wrapText="1" indent="4"/>
      <protection locked="0"/>
    </xf>
    <xf numFmtId="0" fontId="3" fillId="13" borderId="0" xfId="3" applyFont="1" applyFill="1" applyBorder="1" applyAlignment="1" applyProtection="1">
      <alignment horizontal="left" vertical="center" wrapText="1" indent="3"/>
      <protection locked="0"/>
    </xf>
    <xf numFmtId="0" fontId="4" fillId="13" borderId="0" xfId="0" applyFont="1" applyFill="1" applyAlignment="1">
      <alignment horizontal="left" vertical="center" wrapText="1" indent="3"/>
    </xf>
    <xf numFmtId="0" fontId="0" fillId="21" borderId="10" xfId="0" applyFill="1" applyBorder="1"/>
    <xf numFmtId="0" fontId="19" fillId="21" borderId="11" xfId="0" applyFont="1" applyFill="1" applyBorder="1"/>
    <xf numFmtId="3" fontId="3" fillId="21" borderId="0" xfId="1" applyNumberFormat="1" applyFont="1" applyFill="1" applyBorder="1" applyAlignment="1">
      <alignment vertical="center" wrapText="1"/>
    </xf>
    <xf numFmtId="3" fontId="3" fillId="21" borderId="0" xfId="1" applyNumberFormat="1" applyFont="1" applyFill="1" applyBorder="1" applyAlignment="1">
      <alignment horizontal="left" vertical="center" wrapText="1" indent="1"/>
    </xf>
    <xf numFmtId="0" fontId="27" fillId="7" borderId="25" xfId="2" applyFont="1" applyFill="1" applyBorder="1" applyAlignment="1">
      <alignment horizontal="center" vertical="center" wrapText="1"/>
    </xf>
    <xf numFmtId="3" fontId="0" fillId="0" borderId="0" xfId="0" applyNumberFormat="1"/>
    <xf numFmtId="0" fontId="26" fillId="7" borderId="23" xfId="0" applyFont="1" applyFill="1" applyBorder="1" applyAlignment="1" applyProtection="1">
      <alignment horizontal="center" vertical="center" wrapText="1"/>
      <protection locked="0"/>
    </xf>
    <xf numFmtId="3" fontId="2" fillId="3" borderId="1" xfId="0" applyNumberFormat="1" applyFont="1" applyFill="1" applyBorder="1" applyAlignment="1" applyProtection="1">
      <alignment vertical="center"/>
      <protection locked="0"/>
    </xf>
  </cellXfs>
  <cellStyles count="5">
    <cellStyle name="60% - akcent 1" xfId="2" xr:uid="{00000000-0005-0000-0000-000000000000}"/>
    <cellStyle name="Hipervínculo" xfId="4" builtinId="8"/>
    <cellStyle name="Normal" xfId="0" builtinId="0"/>
    <cellStyle name="Normal 10" xfId="1" xr:uid="{00000000-0005-0000-0000-000003000000}"/>
    <cellStyle name="Normal 12" xfId="3" xr:uid="{00000000-0005-0000-0000-000004000000}"/>
  </cellStyles>
  <dxfs count="5"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1966383</xdr:colOff>
      <xdr:row>0</xdr:row>
      <xdr:rowOff>809625</xdr:rowOff>
    </xdr:to>
    <xdr:pic>
      <xdr:nvPicPr>
        <xdr:cNvPr id="6" name="4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1258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2328333</xdr:colOff>
      <xdr:row>0</xdr:row>
      <xdr:rowOff>83608</xdr:rowOff>
    </xdr:from>
    <xdr:to>
      <xdr:col>5</xdr:col>
      <xdr:colOff>5936737</xdr:colOff>
      <xdr:row>1</xdr:row>
      <xdr:rowOff>10108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33208" y="83608"/>
          <a:ext cx="360840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122767</xdr:colOff>
      <xdr:row>0</xdr:row>
      <xdr:rowOff>1000124</xdr:rowOff>
    </xdr:from>
    <xdr:to>
      <xdr:col>5</xdr:col>
      <xdr:colOff>474633</xdr:colOff>
      <xdr:row>1</xdr:row>
      <xdr:rowOff>98624</xdr:rowOff>
    </xdr:to>
    <xdr:sp macro="[0]!Guarda_Hojas_CSV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3742" y="1000124"/>
          <a:ext cx="1075766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642408</xdr:colOff>
      <xdr:row>0</xdr:row>
      <xdr:rowOff>1000124</xdr:rowOff>
    </xdr:from>
    <xdr:to>
      <xdr:col>5</xdr:col>
      <xdr:colOff>1722408</xdr:colOff>
      <xdr:row>1</xdr:row>
      <xdr:rowOff>98624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47283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170890</xdr:colOff>
      <xdr:row>1</xdr:row>
      <xdr:rowOff>1236570</xdr:rowOff>
    </xdr:from>
    <xdr:to>
      <xdr:col>7</xdr:col>
      <xdr:colOff>518273</xdr:colOff>
      <xdr:row>1</xdr:row>
      <xdr:rowOff>2155452</xdr:rowOff>
    </xdr:to>
    <xdr:sp macro="" textlink="">
      <xdr:nvSpPr>
        <xdr:cNvPr id="4" name="3 Flecha abaj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162365" y="1931895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552450</xdr:colOff>
      <xdr:row>1</xdr:row>
      <xdr:rowOff>485775</xdr:rowOff>
    </xdr:from>
    <xdr:to>
      <xdr:col>8</xdr:col>
      <xdr:colOff>353546</xdr:colOff>
      <xdr:row>1</xdr:row>
      <xdr:rowOff>1158128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658100" y="1181100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>
    <xdr:from>
      <xdr:col>5</xdr:col>
      <xdr:colOff>4676775</xdr:colOff>
      <xdr:row>0</xdr:row>
      <xdr:rowOff>152401</xdr:rowOff>
    </xdr:from>
    <xdr:to>
      <xdr:col>5</xdr:col>
      <xdr:colOff>6033293</xdr:colOff>
      <xdr:row>0</xdr:row>
      <xdr:rowOff>533401</xdr:rowOff>
    </xdr:to>
    <xdr:sp macro="[0]!Copiar_columna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734050" y="152401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</a:t>
          </a:r>
          <a:r>
            <a:rPr lang="es-ES" sz="1100" baseline="0"/>
            <a:t> Columna</a:t>
          </a:r>
          <a:endParaRPr lang="es-E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59531</xdr:colOff>
      <xdr:row>0</xdr:row>
      <xdr:rowOff>166688</xdr:rowOff>
    </xdr:from>
    <xdr:to>
      <xdr:col>5</xdr:col>
      <xdr:colOff>1131063</xdr:colOff>
      <xdr:row>0</xdr:row>
      <xdr:rowOff>598688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869531" y="166688"/>
          <a:ext cx="700057" cy="224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1310744</xdr:colOff>
      <xdr:row>0</xdr:row>
      <xdr:rowOff>166688</xdr:rowOff>
    </xdr:from>
    <xdr:to>
      <xdr:col>5</xdr:col>
      <xdr:colOff>2390744</xdr:colOff>
      <xdr:row>0</xdr:row>
      <xdr:rowOff>598688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568294" y="166688"/>
          <a:ext cx="3675" cy="224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  <xdr:twoCellAnchor>
    <xdr:from>
      <xdr:col>7</xdr:col>
      <xdr:colOff>322500</xdr:colOff>
      <xdr:row>1</xdr:row>
      <xdr:rowOff>1810429</xdr:rowOff>
    </xdr:from>
    <xdr:to>
      <xdr:col>7</xdr:col>
      <xdr:colOff>669883</xdr:colOff>
      <xdr:row>3</xdr:row>
      <xdr:rowOff>169467</xdr:rowOff>
    </xdr:to>
    <xdr:sp macro="" textlink="">
      <xdr:nvSpPr>
        <xdr:cNvPr id="4" name="3 Flecha abaj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656500" y="381679"/>
          <a:ext cx="347383" cy="35928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797723</xdr:colOff>
      <xdr:row>1</xdr:row>
      <xdr:rowOff>1059634</xdr:rowOff>
    </xdr:from>
    <xdr:to>
      <xdr:col>8</xdr:col>
      <xdr:colOff>306719</xdr:colOff>
      <xdr:row>1</xdr:row>
      <xdr:rowOff>1731987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331623" y="383359"/>
          <a:ext cx="1071096" cy="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absoluteAnchor>
    <xdr:pos x="5726899" y="178593"/>
    <xdr:ext cx="1660261" cy="392906"/>
    <xdr:sp macro="[0]!Copiar_columna" textlink="">
      <xdr:nvSpPr>
        <xdr:cNvPr id="6" name="7 Rectángulo redondeado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/>
        </xdr:cNvSpPr>
      </xdr:nvSpPr>
      <xdr:spPr>
        <a:xfrm>
          <a:off x="5726899" y="178593"/>
          <a:ext cx="1660261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04"/>
  <sheetViews>
    <sheetView topLeftCell="A91" zoomScaleNormal="100" workbookViewId="0">
      <selection activeCell="F102" sqref="F102"/>
    </sheetView>
  </sheetViews>
  <sheetFormatPr baseColWidth="10" defaultRowHeight="15"/>
  <cols>
    <col min="1" max="5" width="2.7109375" customWidth="1"/>
    <col min="6" max="6" width="101.85546875" bestFit="1" customWidth="1"/>
    <col min="7" max="7" width="2.7109375" customWidth="1"/>
    <col min="8" max="9" width="15.7109375" customWidth="1"/>
  </cols>
  <sheetData>
    <row r="1" spans="1:10" ht="105" customHeight="1">
      <c r="A1" t="s">
        <v>0</v>
      </c>
    </row>
    <row r="2" spans="1:10">
      <c r="G2" s="131" t="s">
        <v>0</v>
      </c>
      <c r="H2" s="132" t="s">
        <v>441</v>
      </c>
    </row>
    <row r="3" spans="1:10">
      <c r="B3" s="4" t="s">
        <v>0</v>
      </c>
      <c r="C3" s="5" t="s">
        <v>0</v>
      </c>
      <c r="D3" s="5" t="s">
        <v>0</v>
      </c>
      <c r="E3" s="5" t="s">
        <v>0</v>
      </c>
      <c r="F3" s="5"/>
      <c r="G3" s="5" t="s">
        <v>0</v>
      </c>
      <c r="H3" s="5" t="s">
        <v>0</v>
      </c>
      <c r="I3" s="5" t="s">
        <v>0</v>
      </c>
      <c r="J3" s="6"/>
    </row>
    <row r="4" spans="1:10">
      <c r="B4" s="7"/>
      <c r="C4" s="1"/>
      <c r="D4" s="1"/>
      <c r="E4" s="1"/>
      <c r="F4" s="49" t="s">
        <v>38</v>
      </c>
      <c r="G4" s="1"/>
      <c r="H4" s="1"/>
      <c r="I4" s="1"/>
      <c r="J4" s="8"/>
    </row>
    <row r="5" spans="1:10">
      <c r="B5" s="7"/>
      <c r="C5" s="1"/>
      <c r="D5" s="1"/>
      <c r="E5" s="1"/>
      <c r="F5" s="1"/>
      <c r="G5" s="1"/>
      <c r="H5" s="1"/>
      <c r="I5" s="1"/>
      <c r="J5" s="8"/>
    </row>
    <row r="6" spans="1:10">
      <c r="B6" s="7"/>
      <c r="C6" s="1"/>
      <c r="D6" s="1" t="s">
        <v>0</v>
      </c>
      <c r="E6" s="1" t="s">
        <v>0</v>
      </c>
      <c r="F6" s="64" t="s">
        <v>129</v>
      </c>
      <c r="G6" s="1" t="s">
        <v>0</v>
      </c>
      <c r="H6" s="1" t="s">
        <v>0</v>
      </c>
      <c r="I6" s="1" t="s">
        <v>0</v>
      </c>
      <c r="J6" s="8"/>
    </row>
    <row r="7" spans="1:10">
      <c r="B7" s="7"/>
      <c r="C7" s="1"/>
      <c r="D7" s="1" t="s">
        <v>0</v>
      </c>
      <c r="E7" s="1" t="s">
        <v>0</v>
      </c>
      <c r="F7" s="16" t="s">
        <v>130</v>
      </c>
      <c r="G7" s="1" t="s">
        <v>0</v>
      </c>
      <c r="H7" s="1" t="s">
        <v>0</v>
      </c>
      <c r="I7" s="1" t="s">
        <v>0</v>
      </c>
      <c r="J7" s="8"/>
    </row>
    <row r="8" spans="1:10">
      <c r="B8" s="7" t="s">
        <v>444</v>
      </c>
      <c r="C8" s="1" t="s">
        <v>84</v>
      </c>
      <c r="D8" s="1" t="s">
        <v>0</v>
      </c>
      <c r="E8" s="1" t="s">
        <v>0</v>
      </c>
      <c r="F8" s="13" t="s">
        <v>457</v>
      </c>
      <c r="G8" s="1" t="s">
        <v>0</v>
      </c>
      <c r="H8" s="1" t="s">
        <v>0</v>
      </c>
      <c r="I8" s="1" t="s">
        <v>0</v>
      </c>
      <c r="J8" s="8"/>
    </row>
    <row r="9" spans="1:10">
      <c r="B9" s="7"/>
      <c r="C9" s="1"/>
      <c r="D9" s="1" t="s">
        <v>0</v>
      </c>
      <c r="E9" s="1"/>
      <c r="F9" s="1"/>
      <c r="G9" s="1"/>
      <c r="H9" s="1"/>
      <c r="I9" s="1"/>
      <c r="J9" s="8"/>
    </row>
    <row r="10" spans="1:10">
      <c r="B10" s="7"/>
      <c r="C10" s="1"/>
      <c r="D10" s="1" t="s">
        <v>0</v>
      </c>
      <c r="E10" s="1" t="s">
        <v>0</v>
      </c>
      <c r="F10" s="16" t="s">
        <v>118</v>
      </c>
      <c r="G10" s="1"/>
      <c r="H10" s="1"/>
      <c r="I10" s="1"/>
      <c r="J10" s="8"/>
    </row>
    <row r="11" spans="1:10">
      <c r="B11" s="7" t="s">
        <v>444</v>
      </c>
      <c r="C11" s="1" t="s">
        <v>119</v>
      </c>
      <c r="D11" s="1" t="s">
        <v>0</v>
      </c>
      <c r="E11" s="1" t="s">
        <v>0</v>
      </c>
      <c r="F11" s="13" t="s">
        <v>458</v>
      </c>
      <c r="G11" s="1"/>
      <c r="H11" s="1"/>
      <c r="I11" s="1"/>
      <c r="J11" s="8"/>
    </row>
    <row r="12" spans="1:10">
      <c r="B12" s="7"/>
      <c r="C12" s="1"/>
      <c r="D12" s="1"/>
      <c r="E12" s="1"/>
      <c r="F12" s="1"/>
      <c r="G12" s="1"/>
      <c r="H12" s="1"/>
      <c r="I12" s="1"/>
      <c r="J12" s="8"/>
    </row>
    <row r="13" spans="1:10">
      <c r="B13" s="7"/>
      <c r="C13" s="1"/>
      <c r="D13" s="1" t="s">
        <v>0</v>
      </c>
      <c r="E13" s="1" t="s">
        <v>0</v>
      </c>
      <c r="F13" s="16" t="s">
        <v>121</v>
      </c>
      <c r="G13" s="1"/>
      <c r="H13" s="1"/>
      <c r="I13" s="1"/>
      <c r="J13" s="8"/>
    </row>
    <row r="14" spans="1:10">
      <c r="B14" s="7" t="s">
        <v>444</v>
      </c>
      <c r="C14" s="1" t="s">
        <v>120</v>
      </c>
      <c r="D14" s="1" t="s">
        <v>0</v>
      </c>
      <c r="E14" s="1" t="s">
        <v>0</v>
      </c>
      <c r="F14" s="13" t="s">
        <v>459</v>
      </c>
      <c r="G14" s="1"/>
      <c r="H14" s="1"/>
      <c r="I14" s="1"/>
      <c r="J14" s="8"/>
    </row>
    <row r="15" spans="1:10">
      <c r="B15" s="7"/>
      <c r="C15" s="1"/>
      <c r="D15" s="1"/>
      <c r="E15" s="1"/>
      <c r="F15" s="1"/>
      <c r="G15" s="1"/>
      <c r="H15" s="1"/>
      <c r="I15" s="1"/>
      <c r="J15" s="8"/>
    </row>
    <row r="16" spans="1:10">
      <c r="B16" s="7"/>
      <c r="C16" s="1"/>
      <c r="D16" s="1" t="s">
        <v>0</v>
      </c>
      <c r="E16" s="1"/>
      <c r="F16" s="62" t="s">
        <v>39</v>
      </c>
      <c r="G16" s="1"/>
      <c r="H16" s="1"/>
      <c r="I16" s="1"/>
      <c r="J16" s="8"/>
    </row>
    <row r="17" spans="2:10">
      <c r="B17" s="7"/>
      <c r="C17" s="1"/>
      <c r="D17" s="1" t="s">
        <v>0</v>
      </c>
      <c r="E17" s="1"/>
      <c r="F17" s="1"/>
      <c r="G17" s="1"/>
      <c r="H17" s="1"/>
      <c r="I17" s="1"/>
      <c r="J17" s="8"/>
    </row>
    <row r="18" spans="2:10">
      <c r="B18" s="7"/>
      <c r="C18" s="1"/>
      <c r="D18" s="1" t="s">
        <v>0</v>
      </c>
      <c r="E18" s="1"/>
      <c r="F18" s="52" t="s">
        <v>122</v>
      </c>
      <c r="G18" s="1"/>
      <c r="H18" s="1"/>
      <c r="I18" s="1"/>
      <c r="J18" s="8"/>
    </row>
    <row r="19" spans="2:10">
      <c r="B19" s="7" t="s">
        <v>444</v>
      </c>
      <c r="C19" s="1" t="s">
        <v>57</v>
      </c>
      <c r="D19" s="1" t="s">
        <v>0</v>
      </c>
      <c r="E19" s="1"/>
      <c r="F19" s="13" t="s">
        <v>460</v>
      </c>
      <c r="G19" s="1"/>
      <c r="H19" s="1"/>
      <c r="I19" s="1"/>
      <c r="J19" s="8"/>
    </row>
    <row r="20" spans="2:10">
      <c r="B20" s="7"/>
      <c r="C20" s="1"/>
      <c r="D20" s="1" t="s">
        <v>0</v>
      </c>
      <c r="E20" s="1"/>
      <c r="F20" s="52"/>
      <c r="G20" s="1"/>
      <c r="H20" s="1"/>
      <c r="I20" s="1"/>
      <c r="J20" s="8"/>
    </row>
    <row r="21" spans="2:10">
      <c r="B21" s="7"/>
      <c r="C21" s="1"/>
      <c r="D21" s="1" t="s">
        <v>0</v>
      </c>
      <c r="E21" s="1"/>
      <c r="F21" s="52" t="s">
        <v>123</v>
      </c>
      <c r="G21" s="1"/>
      <c r="H21" s="1"/>
      <c r="I21" s="1"/>
      <c r="J21" s="8"/>
    </row>
    <row r="22" spans="2:10">
      <c r="B22" s="7" t="s">
        <v>444</v>
      </c>
      <c r="C22" s="1" t="s">
        <v>58</v>
      </c>
      <c r="D22" s="1" t="s">
        <v>0</v>
      </c>
      <c r="E22" s="1"/>
      <c r="F22" s="13" t="s">
        <v>461</v>
      </c>
      <c r="G22" s="1"/>
      <c r="H22" s="1"/>
      <c r="I22" s="1"/>
      <c r="J22" s="8"/>
    </row>
    <row r="23" spans="2:10">
      <c r="B23" s="7"/>
      <c r="C23" s="1"/>
      <c r="D23" s="1" t="s">
        <v>0</v>
      </c>
      <c r="E23" s="1"/>
      <c r="F23" s="52"/>
      <c r="G23" s="1"/>
      <c r="H23" s="1"/>
      <c r="I23" s="1"/>
      <c r="J23" s="8"/>
    </row>
    <row r="24" spans="2:10" ht="22.5">
      <c r="B24" s="7"/>
      <c r="C24" s="1"/>
      <c r="D24" s="1" t="s">
        <v>0</v>
      </c>
      <c r="E24" s="1"/>
      <c r="F24" s="53" t="s">
        <v>124</v>
      </c>
      <c r="G24" s="1"/>
      <c r="H24" s="1"/>
      <c r="I24" s="1"/>
      <c r="J24" s="8"/>
    </row>
    <row r="25" spans="2:10">
      <c r="B25" s="7" t="s">
        <v>444</v>
      </c>
      <c r="C25" s="1" t="s">
        <v>59</v>
      </c>
      <c r="D25" s="1" t="s">
        <v>0</v>
      </c>
      <c r="E25" s="1"/>
      <c r="F25" s="13" t="s">
        <v>462</v>
      </c>
      <c r="G25" s="1"/>
      <c r="H25" s="1"/>
      <c r="I25" s="1"/>
      <c r="J25" s="8"/>
    </row>
    <row r="26" spans="2:10">
      <c r="B26" s="7"/>
      <c r="C26" s="1"/>
      <c r="D26" s="1" t="s">
        <v>0</v>
      </c>
      <c r="E26" s="1"/>
      <c r="F26" s="52"/>
      <c r="G26" s="1"/>
      <c r="H26" s="1"/>
      <c r="I26" s="1"/>
      <c r="J26" s="8"/>
    </row>
    <row r="27" spans="2:10">
      <c r="B27" s="7"/>
      <c r="C27" s="1"/>
      <c r="D27" s="1" t="s">
        <v>0</v>
      </c>
      <c r="E27" s="1"/>
      <c r="F27" s="63" t="s">
        <v>131</v>
      </c>
      <c r="G27" s="1"/>
      <c r="H27" s="1"/>
      <c r="I27" s="1"/>
      <c r="J27" s="8"/>
    </row>
    <row r="28" spans="2:10">
      <c r="B28" s="7"/>
      <c r="C28" s="1"/>
      <c r="D28" s="1" t="s">
        <v>0</v>
      </c>
      <c r="E28" s="1"/>
      <c r="F28" s="53"/>
      <c r="G28" s="1"/>
      <c r="H28" s="1"/>
      <c r="I28" s="1"/>
      <c r="J28" s="8"/>
    </row>
    <row r="29" spans="2:10" ht="22.5">
      <c r="B29" s="7"/>
      <c r="C29" s="1"/>
      <c r="D29" s="1" t="s">
        <v>0</v>
      </c>
      <c r="E29" s="1"/>
      <c r="F29" s="133" t="s">
        <v>442</v>
      </c>
      <c r="G29" s="1"/>
      <c r="H29" s="1"/>
      <c r="I29" s="1"/>
      <c r="J29" s="8"/>
    </row>
    <row r="30" spans="2:10">
      <c r="B30" s="7" t="s">
        <v>444</v>
      </c>
      <c r="C30" s="1" t="s">
        <v>443</v>
      </c>
      <c r="D30" s="1" t="s">
        <v>0</v>
      </c>
      <c r="E30" s="1"/>
      <c r="F30" s="13" t="s">
        <v>463</v>
      </c>
      <c r="G30" s="1"/>
      <c r="H30" s="1"/>
      <c r="I30" s="1"/>
      <c r="J30" s="8"/>
    </row>
    <row r="31" spans="2:10">
      <c r="B31" s="7"/>
      <c r="C31" s="1"/>
      <c r="D31" s="1"/>
      <c r="E31" s="1"/>
      <c r="F31" s="53"/>
      <c r="G31" s="1"/>
      <c r="H31" s="1"/>
      <c r="I31" s="1"/>
      <c r="J31" s="8"/>
    </row>
    <row r="32" spans="2:10" ht="22.5">
      <c r="B32" s="7"/>
      <c r="C32" s="1"/>
      <c r="D32" s="1" t="s">
        <v>0</v>
      </c>
      <c r="E32" s="1"/>
      <c r="F32" s="134" t="s">
        <v>445</v>
      </c>
      <c r="G32" s="1"/>
      <c r="H32" s="1"/>
      <c r="I32" s="1"/>
      <c r="J32" s="8"/>
    </row>
    <row r="33" spans="2:10">
      <c r="B33" s="7" t="s">
        <v>444</v>
      </c>
      <c r="C33" s="1" t="s">
        <v>456</v>
      </c>
      <c r="D33" s="1" t="s">
        <v>0</v>
      </c>
      <c r="E33" s="1"/>
      <c r="F33" s="13" t="s">
        <v>464</v>
      </c>
      <c r="G33" s="1"/>
      <c r="H33" s="1"/>
      <c r="I33" s="1"/>
      <c r="J33" s="8"/>
    </row>
    <row r="34" spans="2:10">
      <c r="B34" s="7"/>
      <c r="C34" s="1"/>
      <c r="D34" s="1"/>
      <c r="E34" s="1"/>
      <c r="F34" s="53"/>
      <c r="G34" s="1"/>
      <c r="H34" s="1"/>
      <c r="I34" s="1"/>
      <c r="J34" s="8"/>
    </row>
    <row r="35" spans="2:10" ht="33.75">
      <c r="B35" s="7"/>
      <c r="C35" s="1"/>
      <c r="D35" s="1"/>
      <c r="E35" s="1"/>
      <c r="F35" s="134" t="s">
        <v>446</v>
      </c>
      <c r="G35" s="1"/>
      <c r="H35" s="1"/>
      <c r="I35" s="1"/>
      <c r="J35" s="8"/>
    </row>
    <row r="36" spans="2:10">
      <c r="B36" s="7" t="s">
        <v>444</v>
      </c>
      <c r="C36" s="1" t="s">
        <v>455</v>
      </c>
      <c r="D36" s="1" t="s">
        <v>0</v>
      </c>
      <c r="E36" s="1"/>
      <c r="F36" s="13" t="s">
        <v>465</v>
      </c>
      <c r="G36" s="1"/>
      <c r="H36" s="1"/>
      <c r="I36" s="1"/>
      <c r="J36" s="8"/>
    </row>
    <row r="37" spans="2:10">
      <c r="B37" s="7"/>
      <c r="C37" s="1"/>
      <c r="D37" s="1"/>
      <c r="E37" s="1"/>
      <c r="F37" s="53"/>
      <c r="G37" s="1"/>
      <c r="H37" s="1"/>
      <c r="I37" s="1"/>
      <c r="J37" s="8"/>
    </row>
    <row r="38" spans="2:10" ht="22.5">
      <c r="B38" s="7"/>
      <c r="C38" s="1"/>
      <c r="D38" s="1"/>
      <c r="E38" s="1"/>
      <c r="F38" s="134" t="s">
        <v>447</v>
      </c>
      <c r="G38" s="1"/>
      <c r="H38" s="1"/>
      <c r="I38" s="1"/>
      <c r="J38" s="8"/>
    </row>
    <row r="39" spans="2:10">
      <c r="B39" s="7" t="s">
        <v>444</v>
      </c>
      <c r="C39" s="1" t="s">
        <v>454</v>
      </c>
      <c r="D39" s="1" t="s">
        <v>0</v>
      </c>
      <c r="E39" s="1"/>
      <c r="F39" s="13" t="s">
        <v>466</v>
      </c>
      <c r="G39" s="1"/>
      <c r="H39" s="1"/>
      <c r="I39" s="1"/>
      <c r="J39" s="8"/>
    </row>
    <row r="40" spans="2:10">
      <c r="B40" s="7"/>
      <c r="C40" s="1"/>
      <c r="D40" s="1"/>
      <c r="E40" s="1"/>
      <c r="F40" s="53"/>
      <c r="G40" s="1"/>
      <c r="H40" s="1"/>
      <c r="I40" s="1"/>
      <c r="J40" s="8"/>
    </row>
    <row r="41" spans="2:10" ht="22.5">
      <c r="B41" s="7"/>
      <c r="C41" s="1"/>
      <c r="D41" s="1"/>
      <c r="E41" s="1"/>
      <c r="F41" s="134" t="s">
        <v>448</v>
      </c>
      <c r="G41" s="1"/>
      <c r="H41" s="1"/>
      <c r="I41" s="1"/>
      <c r="J41" s="8"/>
    </row>
    <row r="42" spans="2:10">
      <c r="B42" s="7" t="s">
        <v>444</v>
      </c>
      <c r="C42" s="1" t="s">
        <v>453</v>
      </c>
      <c r="D42" s="1" t="s">
        <v>0</v>
      </c>
      <c r="E42" s="1"/>
      <c r="F42" s="13" t="s">
        <v>467</v>
      </c>
      <c r="G42" s="1"/>
      <c r="H42" s="1"/>
      <c r="I42" s="1"/>
      <c r="J42" s="8"/>
    </row>
    <row r="43" spans="2:10" ht="24">
      <c r="B43" s="7"/>
      <c r="C43" s="1"/>
      <c r="D43" s="1"/>
      <c r="E43" s="1"/>
      <c r="F43" s="53"/>
      <c r="G43" s="1"/>
      <c r="H43" s="135" t="s">
        <v>450</v>
      </c>
      <c r="I43" s="135" t="s">
        <v>451</v>
      </c>
      <c r="J43" s="8"/>
    </row>
    <row r="44" spans="2:10" ht="22.5">
      <c r="B44" s="7" t="s">
        <v>444</v>
      </c>
      <c r="C44" s="1" t="s">
        <v>452</v>
      </c>
      <c r="D44" s="1" t="s">
        <v>0</v>
      </c>
      <c r="E44" s="1"/>
      <c r="F44" s="134" t="s">
        <v>449</v>
      </c>
      <c r="G44" s="1"/>
      <c r="H44" s="78">
        <v>10000</v>
      </c>
      <c r="I44" s="78">
        <v>20000</v>
      </c>
      <c r="J44" s="8"/>
    </row>
    <row r="45" spans="2:10">
      <c r="B45" s="7"/>
      <c r="C45" s="1"/>
      <c r="D45" s="1"/>
      <c r="E45" s="1"/>
      <c r="F45" s="53"/>
      <c r="G45" s="1"/>
      <c r="H45" s="1"/>
      <c r="I45" s="1"/>
      <c r="J45" s="8"/>
    </row>
    <row r="46" spans="2:10">
      <c r="B46" s="7"/>
      <c r="C46" s="1"/>
      <c r="D46" s="1" t="s">
        <v>0</v>
      </c>
      <c r="E46" s="1"/>
      <c r="F46" s="53" t="s">
        <v>40</v>
      </c>
      <c r="G46" s="1"/>
      <c r="H46" s="1"/>
      <c r="I46" s="1"/>
      <c r="J46" s="8"/>
    </row>
    <row r="47" spans="2:10">
      <c r="B47" s="7" t="s">
        <v>444</v>
      </c>
      <c r="C47" s="1" t="s">
        <v>85</v>
      </c>
      <c r="D47" s="1" t="s">
        <v>0</v>
      </c>
      <c r="E47" s="1"/>
      <c r="F47" s="13" t="s">
        <v>468</v>
      </c>
      <c r="G47" s="1"/>
      <c r="H47" s="1"/>
      <c r="I47" s="1"/>
      <c r="J47" s="8"/>
    </row>
    <row r="48" spans="2:10">
      <c r="B48" s="9"/>
      <c r="C48" s="10"/>
      <c r="D48" s="10"/>
      <c r="E48" s="10"/>
      <c r="F48" s="50"/>
      <c r="G48" s="10"/>
      <c r="H48" s="10"/>
      <c r="I48" s="10"/>
      <c r="J48" s="12"/>
    </row>
    <row r="49" spans="2:8">
      <c r="G49" t="s">
        <v>0</v>
      </c>
    </row>
    <row r="50" spans="2:8">
      <c r="B50" s="4" t="s">
        <v>0</v>
      </c>
      <c r="C50" s="5" t="s">
        <v>0</v>
      </c>
      <c r="D50" s="5" t="s">
        <v>0</v>
      </c>
      <c r="E50" s="5" t="s">
        <v>0</v>
      </c>
      <c r="F50" s="5"/>
      <c r="G50" s="5" t="s">
        <v>0</v>
      </c>
      <c r="H50" s="6"/>
    </row>
    <row r="51" spans="2:8">
      <c r="B51" s="7"/>
      <c r="C51" s="1"/>
      <c r="D51" s="1"/>
      <c r="E51" s="1"/>
      <c r="F51" s="49" t="s">
        <v>35</v>
      </c>
      <c r="G51" s="1"/>
      <c r="H51" s="8"/>
    </row>
    <row r="52" spans="2:8">
      <c r="B52" s="7"/>
      <c r="C52" s="1"/>
      <c r="D52" s="1"/>
      <c r="E52" s="1"/>
      <c r="F52" s="1"/>
      <c r="G52" s="1"/>
      <c r="H52" s="8"/>
    </row>
    <row r="53" spans="2:8" ht="22.5">
      <c r="B53" s="7"/>
      <c r="C53" s="1"/>
      <c r="D53" s="1" t="s">
        <v>0</v>
      </c>
      <c r="E53" s="1" t="s">
        <v>0</v>
      </c>
      <c r="F53" s="14" t="s">
        <v>3</v>
      </c>
      <c r="G53" s="1" t="s">
        <v>0</v>
      </c>
      <c r="H53" s="8"/>
    </row>
    <row r="54" spans="2:8">
      <c r="B54" s="7" t="s">
        <v>74</v>
      </c>
      <c r="C54" s="1" t="s">
        <v>75</v>
      </c>
      <c r="D54" s="1" t="s">
        <v>0</v>
      </c>
      <c r="E54" s="1" t="s">
        <v>0</v>
      </c>
      <c r="F54" s="13" t="s">
        <v>469</v>
      </c>
      <c r="G54" s="1" t="s">
        <v>0</v>
      </c>
      <c r="H54" s="8"/>
    </row>
    <row r="55" spans="2:8">
      <c r="B55" s="7"/>
      <c r="C55" s="1"/>
      <c r="D55" s="1"/>
      <c r="E55" s="1"/>
      <c r="F55" s="2"/>
      <c r="G55" s="1"/>
      <c r="H55" s="8"/>
    </row>
    <row r="56" spans="2:8">
      <c r="B56" s="7"/>
      <c r="C56" s="1"/>
      <c r="D56" s="1"/>
      <c r="E56" s="1"/>
      <c r="F56" s="75" t="s">
        <v>136</v>
      </c>
      <c r="G56" s="1"/>
      <c r="H56" s="8"/>
    </row>
    <row r="57" spans="2:8">
      <c r="B57" s="7"/>
      <c r="C57" s="1"/>
      <c r="D57" s="1"/>
      <c r="E57" s="1"/>
      <c r="F57" s="2"/>
      <c r="G57" s="1"/>
      <c r="H57" s="8"/>
    </row>
    <row r="58" spans="2:8">
      <c r="B58" s="7"/>
      <c r="C58" s="1"/>
      <c r="D58" s="1"/>
      <c r="E58" s="1"/>
      <c r="F58" s="76" t="s">
        <v>137</v>
      </c>
      <c r="G58" s="1"/>
      <c r="H58" s="8"/>
    </row>
    <row r="59" spans="2:8">
      <c r="B59" s="7"/>
      <c r="C59" s="1"/>
      <c r="D59" s="1"/>
      <c r="E59" s="1"/>
      <c r="F59" s="2"/>
      <c r="G59" s="1"/>
      <c r="H59" s="8"/>
    </row>
    <row r="60" spans="2:8">
      <c r="B60" s="7"/>
      <c r="C60" s="1"/>
      <c r="D60" s="1" t="s">
        <v>0</v>
      </c>
      <c r="E60" s="1" t="s">
        <v>0</v>
      </c>
      <c r="F60" s="2" t="s">
        <v>26</v>
      </c>
      <c r="G60" s="1" t="s">
        <v>0</v>
      </c>
      <c r="H60" s="8"/>
    </row>
    <row r="61" spans="2:8">
      <c r="B61" s="7" t="s">
        <v>74</v>
      </c>
      <c r="C61" s="1" t="s">
        <v>76</v>
      </c>
      <c r="D61" s="1" t="s">
        <v>0</v>
      </c>
      <c r="E61" s="1" t="s">
        <v>0</v>
      </c>
      <c r="F61" s="13" t="s">
        <v>470</v>
      </c>
      <c r="G61" s="1" t="s">
        <v>0</v>
      </c>
      <c r="H61" s="8"/>
    </row>
    <row r="62" spans="2:8">
      <c r="B62" s="7" t="s">
        <v>0</v>
      </c>
      <c r="C62" s="1" t="s">
        <v>0</v>
      </c>
      <c r="D62" s="1" t="s">
        <v>0</v>
      </c>
      <c r="E62" s="1" t="s">
        <v>0</v>
      </c>
      <c r="F62" s="2"/>
      <c r="G62" s="1" t="s">
        <v>0</v>
      </c>
      <c r="H62" s="8"/>
    </row>
    <row r="63" spans="2:8">
      <c r="B63" s="7"/>
      <c r="C63" s="1"/>
      <c r="D63" s="1" t="s">
        <v>0</v>
      </c>
      <c r="E63" s="1" t="s">
        <v>0</v>
      </c>
      <c r="F63" s="2" t="s">
        <v>27</v>
      </c>
      <c r="G63" s="1"/>
      <c r="H63" s="8"/>
    </row>
    <row r="64" spans="2:8">
      <c r="B64" s="7" t="s">
        <v>74</v>
      </c>
      <c r="C64" s="1" t="s">
        <v>77</v>
      </c>
      <c r="D64" s="1" t="s">
        <v>0</v>
      </c>
      <c r="E64" s="1" t="s">
        <v>0</v>
      </c>
      <c r="F64" s="13" t="s">
        <v>471</v>
      </c>
      <c r="G64" s="1"/>
      <c r="H64" s="8"/>
    </row>
    <row r="65" spans="2:8">
      <c r="B65" s="7" t="s">
        <v>0</v>
      </c>
      <c r="C65" s="1" t="s">
        <v>0</v>
      </c>
      <c r="D65" s="1" t="s">
        <v>0</v>
      </c>
      <c r="E65" s="1" t="s">
        <v>0</v>
      </c>
      <c r="F65" s="2"/>
      <c r="G65" s="1"/>
      <c r="H65" s="8"/>
    </row>
    <row r="66" spans="2:8" ht="22.5">
      <c r="B66" s="7"/>
      <c r="C66" s="1"/>
      <c r="D66" s="1" t="s">
        <v>0</v>
      </c>
      <c r="E66" s="1" t="s">
        <v>0</v>
      </c>
      <c r="F66" s="14" t="s">
        <v>28</v>
      </c>
      <c r="G66" s="1"/>
      <c r="H66" s="8"/>
    </row>
    <row r="67" spans="2:8">
      <c r="B67" s="7" t="s">
        <v>74</v>
      </c>
      <c r="C67" s="1" t="s">
        <v>78</v>
      </c>
      <c r="D67" s="1" t="s">
        <v>0</v>
      </c>
      <c r="E67" s="1" t="s">
        <v>0</v>
      </c>
      <c r="F67" s="13" t="s">
        <v>472</v>
      </c>
      <c r="G67" s="1"/>
      <c r="H67" s="8"/>
    </row>
    <row r="68" spans="2:8">
      <c r="B68" s="7" t="s">
        <v>0</v>
      </c>
      <c r="C68" s="1" t="s">
        <v>0</v>
      </c>
      <c r="D68" s="1" t="s">
        <v>0</v>
      </c>
      <c r="E68" s="1" t="s">
        <v>0</v>
      </c>
      <c r="F68" s="2"/>
      <c r="G68" s="1"/>
      <c r="H68" s="8"/>
    </row>
    <row r="69" spans="2:8">
      <c r="B69" s="7"/>
      <c r="C69" s="1"/>
      <c r="D69" s="1" t="s">
        <v>0</v>
      </c>
      <c r="E69" s="1" t="s">
        <v>0</v>
      </c>
      <c r="F69" s="2" t="s">
        <v>29</v>
      </c>
      <c r="G69" s="1"/>
      <c r="H69" s="8"/>
    </row>
    <row r="70" spans="2:8">
      <c r="B70" s="7" t="s">
        <v>74</v>
      </c>
      <c r="C70" s="1" t="s">
        <v>79</v>
      </c>
      <c r="D70" s="1" t="s">
        <v>0</v>
      </c>
      <c r="E70" s="1" t="s">
        <v>0</v>
      </c>
      <c r="F70" s="13" t="s">
        <v>473</v>
      </c>
      <c r="G70" s="1"/>
      <c r="H70" s="8"/>
    </row>
    <row r="71" spans="2:8">
      <c r="B71" s="9"/>
      <c r="C71" s="10"/>
      <c r="D71" s="10"/>
      <c r="E71" s="10"/>
      <c r="F71" s="11"/>
      <c r="G71" s="10"/>
      <c r="H71" s="12"/>
    </row>
    <row r="72" spans="2:8">
      <c r="B72" s="125"/>
      <c r="C72" s="125"/>
      <c r="D72" s="125"/>
      <c r="E72" s="125"/>
      <c r="F72" s="125"/>
    </row>
    <row r="73" spans="2:8">
      <c r="B73" s="7" t="s">
        <v>0</v>
      </c>
      <c r="C73" s="1" t="s">
        <v>0</v>
      </c>
      <c r="D73" s="1" t="s">
        <v>0</v>
      </c>
      <c r="E73" s="1" t="s">
        <v>0</v>
      </c>
      <c r="F73" s="130" t="s">
        <v>435</v>
      </c>
      <c r="G73" s="5" t="s">
        <v>0</v>
      </c>
      <c r="H73" s="6"/>
    </row>
    <row r="74" spans="2:8">
      <c r="B74" s="7"/>
      <c r="C74" s="1"/>
      <c r="D74" s="1"/>
      <c r="E74" s="1"/>
      <c r="F74" s="1"/>
      <c r="G74" s="1"/>
      <c r="H74" s="8"/>
    </row>
    <row r="75" spans="2:8">
      <c r="B75" s="7"/>
      <c r="C75" s="1"/>
      <c r="D75" s="1" t="s">
        <v>0</v>
      </c>
      <c r="E75" s="1" t="s">
        <v>0</v>
      </c>
      <c r="F75" s="1" t="s">
        <v>140</v>
      </c>
      <c r="G75" s="1"/>
      <c r="H75" s="8"/>
    </row>
    <row r="76" spans="2:8">
      <c r="B76" s="7" t="s">
        <v>436</v>
      </c>
      <c r="C76" s="1" t="s">
        <v>139</v>
      </c>
      <c r="D76" s="1" t="s">
        <v>0</v>
      </c>
      <c r="E76" s="1" t="s">
        <v>0</v>
      </c>
      <c r="F76" s="78" t="s">
        <v>474</v>
      </c>
      <c r="G76" s="1"/>
      <c r="H76" s="8"/>
    </row>
    <row r="77" spans="2:8">
      <c r="B77" s="7" t="s">
        <v>0</v>
      </c>
      <c r="C77" s="1" t="s">
        <v>0</v>
      </c>
      <c r="D77" s="1" t="s">
        <v>0</v>
      </c>
      <c r="E77" s="1" t="s">
        <v>0</v>
      </c>
      <c r="F77" s="1"/>
      <c r="G77" s="1"/>
      <c r="H77" s="8"/>
    </row>
    <row r="78" spans="2:8">
      <c r="B78" s="7"/>
      <c r="C78" s="1"/>
      <c r="D78" s="1"/>
      <c r="E78" s="1"/>
      <c r="F78" s="77" t="s">
        <v>138</v>
      </c>
      <c r="G78" s="1"/>
      <c r="H78" s="8"/>
    </row>
    <row r="79" spans="2:8">
      <c r="B79" s="9"/>
      <c r="C79" s="10"/>
      <c r="D79" s="10"/>
      <c r="E79" s="10"/>
      <c r="F79" s="11"/>
      <c r="G79" s="10"/>
      <c r="H79" s="12"/>
    </row>
    <row r="81" spans="2:8">
      <c r="B81" s="4" t="s">
        <v>0</v>
      </c>
      <c r="C81" s="5" t="s">
        <v>0</v>
      </c>
      <c r="D81" s="5" t="s">
        <v>0</v>
      </c>
      <c r="E81" s="5" t="s">
        <v>0</v>
      </c>
      <c r="F81" s="5"/>
      <c r="G81" s="5" t="s">
        <v>0</v>
      </c>
      <c r="H81" s="6"/>
    </row>
    <row r="82" spans="2:8">
      <c r="B82" s="7"/>
      <c r="C82" s="1"/>
      <c r="D82" s="1"/>
      <c r="E82" s="1"/>
      <c r="F82" s="49" t="s">
        <v>37</v>
      </c>
      <c r="G82" s="1"/>
      <c r="H82" s="8"/>
    </row>
    <row r="83" spans="2:8">
      <c r="B83" s="7"/>
      <c r="C83" s="1"/>
      <c r="D83" s="1"/>
      <c r="E83" s="1"/>
      <c r="F83" s="1"/>
      <c r="G83" s="1"/>
      <c r="H83" s="8"/>
    </row>
    <row r="84" spans="2:8">
      <c r="B84" s="7"/>
      <c r="C84" s="1"/>
      <c r="D84" s="1" t="s">
        <v>0</v>
      </c>
      <c r="E84" s="1" t="s">
        <v>0</v>
      </c>
      <c r="F84" s="49" t="s">
        <v>31</v>
      </c>
      <c r="G84" s="1" t="s">
        <v>0</v>
      </c>
      <c r="H84" s="8"/>
    </row>
    <row r="85" spans="2:8">
      <c r="B85" s="7"/>
      <c r="C85" s="1"/>
      <c r="D85" s="1" t="s">
        <v>0</v>
      </c>
      <c r="E85" s="1" t="s">
        <v>0</v>
      </c>
      <c r="F85" s="2" t="s">
        <v>33</v>
      </c>
      <c r="G85" s="1" t="s">
        <v>0</v>
      </c>
      <c r="H85" s="8"/>
    </row>
    <row r="86" spans="2:8">
      <c r="B86" s="7" t="s">
        <v>82</v>
      </c>
      <c r="C86" s="1" t="s">
        <v>83</v>
      </c>
      <c r="D86" s="1" t="s">
        <v>0</v>
      </c>
      <c r="E86" s="1" t="s">
        <v>0</v>
      </c>
      <c r="F86" s="13" t="s">
        <v>475</v>
      </c>
      <c r="G86" s="1" t="s">
        <v>0</v>
      </c>
      <c r="H86" s="8"/>
    </row>
    <row r="87" spans="2:8">
      <c r="B87" s="9"/>
      <c r="C87" s="10"/>
      <c r="D87" s="10"/>
      <c r="E87" s="10"/>
      <c r="F87" s="50"/>
      <c r="G87" s="10"/>
      <c r="H87" s="12"/>
    </row>
    <row r="88" spans="2:8">
      <c r="G88" t="s">
        <v>0</v>
      </c>
    </row>
    <row r="89" spans="2:8">
      <c r="B89" s="4" t="s">
        <v>0</v>
      </c>
      <c r="C89" s="5" t="s">
        <v>0</v>
      </c>
      <c r="D89" s="5" t="s">
        <v>0</v>
      </c>
      <c r="E89" s="5" t="s">
        <v>0</v>
      </c>
      <c r="F89" s="5"/>
      <c r="G89" s="5" t="s">
        <v>0</v>
      </c>
      <c r="H89" s="6"/>
    </row>
    <row r="90" spans="2:8">
      <c r="B90" s="7"/>
      <c r="C90" s="1"/>
      <c r="D90" s="1"/>
      <c r="E90" s="1"/>
      <c r="F90" s="49" t="s">
        <v>36</v>
      </c>
      <c r="G90" s="1"/>
      <c r="H90" s="8"/>
    </row>
    <row r="91" spans="2:8">
      <c r="B91" s="7"/>
      <c r="C91" s="1"/>
      <c r="D91" s="1"/>
      <c r="E91" s="1"/>
      <c r="F91" s="1"/>
      <c r="G91" s="1"/>
      <c r="H91" s="8"/>
    </row>
    <row r="92" spans="2:8">
      <c r="B92" s="7"/>
      <c r="C92" s="1"/>
      <c r="D92" s="1" t="s">
        <v>0</v>
      </c>
      <c r="E92" s="1" t="s">
        <v>0</v>
      </c>
      <c r="F92" s="49" t="s">
        <v>30</v>
      </c>
      <c r="G92" s="1" t="s">
        <v>0</v>
      </c>
      <c r="H92" s="8"/>
    </row>
    <row r="93" spans="2:8">
      <c r="B93" s="7"/>
      <c r="C93" s="1"/>
      <c r="D93" s="1" t="s">
        <v>0</v>
      </c>
      <c r="E93" s="1" t="s">
        <v>0</v>
      </c>
      <c r="F93" s="2" t="s">
        <v>32</v>
      </c>
      <c r="G93" s="1" t="s">
        <v>0</v>
      </c>
      <c r="H93" s="8"/>
    </row>
    <row r="94" spans="2:8">
      <c r="B94" s="7" t="s">
        <v>80</v>
      </c>
      <c r="C94" s="1" t="s">
        <v>81</v>
      </c>
      <c r="D94" s="1" t="s">
        <v>0</v>
      </c>
      <c r="E94" s="1" t="s">
        <v>0</v>
      </c>
      <c r="F94" s="13" t="s">
        <v>476</v>
      </c>
      <c r="G94" s="1" t="s">
        <v>0</v>
      </c>
      <c r="H94" s="8"/>
    </row>
    <row r="95" spans="2:8">
      <c r="B95" s="9"/>
      <c r="C95" s="10"/>
      <c r="D95" s="10"/>
      <c r="E95" s="10"/>
      <c r="F95" s="50"/>
      <c r="G95" s="10"/>
      <c r="H95" s="12"/>
    </row>
    <row r="97" spans="2:8">
      <c r="B97" s="4" t="s">
        <v>0</v>
      </c>
      <c r="C97" s="5" t="s">
        <v>0</v>
      </c>
      <c r="D97" s="5" t="s">
        <v>0</v>
      </c>
      <c r="E97" s="5" t="s">
        <v>0</v>
      </c>
      <c r="F97" s="5"/>
      <c r="G97" s="5" t="s">
        <v>0</v>
      </c>
      <c r="H97" s="6"/>
    </row>
    <row r="98" spans="2:8">
      <c r="B98" s="7"/>
      <c r="C98" s="1"/>
      <c r="D98" s="1"/>
      <c r="E98" s="1"/>
      <c r="F98" s="3" t="s">
        <v>34</v>
      </c>
      <c r="G98" s="1"/>
      <c r="H98" s="8"/>
    </row>
    <row r="99" spans="2:8">
      <c r="B99" s="7"/>
      <c r="C99" s="1"/>
      <c r="D99" s="1"/>
      <c r="E99" s="1"/>
      <c r="F99" s="3"/>
      <c r="G99" s="1"/>
      <c r="H99" s="8"/>
    </row>
    <row r="100" spans="2:8">
      <c r="B100" s="7"/>
      <c r="C100" s="1"/>
      <c r="D100" s="1" t="s">
        <v>0</v>
      </c>
      <c r="E100" s="1" t="s">
        <v>0</v>
      </c>
      <c r="F100" s="3" t="s">
        <v>1</v>
      </c>
      <c r="G100" s="1" t="s">
        <v>0</v>
      </c>
      <c r="H100" s="8"/>
    </row>
    <row r="101" spans="2:8">
      <c r="B101" s="7" t="s">
        <v>0</v>
      </c>
      <c r="C101" s="1" t="s">
        <v>0</v>
      </c>
      <c r="D101" s="1" t="s">
        <v>0</v>
      </c>
      <c r="E101" s="1" t="s">
        <v>0</v>
      </c>
      <c r="F101" s="2" t="s">
        <v>2</v>
      </c>
      <c r="G101" s="1" t="s">
        <v>0</v>
      </c>
      <c r="H101" s="8"/>
    </row>
    <row r="102" spans="2:8">
      <c r="B102" s="7" t="s">
        <v>72</v>
      </c>
      <c r="C102" s="1" t="s">
        <v>73</v>
      </c>
      <c r="D102" s="1" t="s">
        <v>0</v>
      </c>
      <c r="E102" s="1" t="s">
        <v>0</v>
      </c>
      <c r="F102" s="13" t="s">
        <v>477</v>
      </c>
      <c r="G102" s="1" t="s">
        <v>0</v>
      </c>
      <c r="H102" s="8"/>
    </row>
    <row r="103" spans="2:8">
      <c r="B103" s="7"/>
      <c r="C103" s="1"/>
      <c r="D103" s="1" t="s">
        <v>0</v>
      </c>
      <c r="E103" s="1" t="s">
        <v>0</v>
      </c>
      <c r="F103" s="2" t="s">
        <v>0</v>
      </c>
      <c r="G103" s="1" t="s">
        <v>0</v>
      </c>
      <c r="H103" s="8"/>
    </row>
    <row r="104" spans="2:8">
      <c r="B104" s="9"/>
      <c r="C104" s="10"/>
      <c r="D104" s="10"/>
      <c r="E104" s="10"/>
      <c r="F104" s="11"/>
      <c r="G104" s="10"/>
      <c r="H104" s="12"/>
    </row>
  </sheetData>
  <hyperlinks>
    <hyperlink ref="F16" location="'CLCP-EfecResuCobe'!A1" display="Información a revelar detallada sobre coberturas [resumen]" xr:uid="{00000000-0004-0000-0000-000000000000}"/>
    <hyperlink ref="F27" location="'CLCP-EfecResuCobe'!A1" display="Efectos en resultados de coberturas [tabla]" xr:uid="{00000000-0004-0000-0000-000001000000}"/>
    <hyperlink ref="F56" location="'CLCP2016-ProvPagoDia'!A1" display="Proveedores con pagos al día [tabla]" xr:uid="{00000000-0004-0000-0000-000002000000}"/>
    <hyperlink ref="F58" location="'CLCP2016-ProvPlazVenc'!A1" display="Proveedores con plazos vencidos [tabla]" xr:uid="{00000000-0004-0000-0000-000003000000}"/>
    <hyperlink ref="F78" location="'CLCP-MoneNaciExtr'!A1" display="Moneda nacional y extranjera [tabla]" xr:uid="{00000000-0004-0000-0000-000004000000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theme="5" tint="0.39997558519241921"/>
  </sheetPr>
  <dimension ref="A1:J22"/>
  <sheetViews>
    <sheetView topLeftCell="A15" workbookViewId="0">
      <selection activeCell="G18" sqref="G18:I21"/>
    </sheetView>
  </sheetViews>
  <sheetFormatPr baseColWidth="10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8" max="8" width="13.28515625" customWidth="1"/>
    <col min="9" max="9" width="11.7109375" customWidth="1"/>
    <col min="10" max="10" width="12" customWidth="1"/>
  </cols>
  <sheetData>
    <row r="1" spans="1:10" ht="54.95" customHeight="1" thickBot="1"/>
    <row r="2" spans="1:10" ht="177" customHeight="1" thickBot="1">
      <c r="F2" s="21" t="s">
        <v>14</v>
      </c>
    </row>
    <row r="3" spans="1:10" ht="16.5" thickBot="1">
      <c r="F3" s="22" t="s">
        <v>15</v>
      </c>
    </row>
    <row r="4" spans="1:10" ht="16.5" thickBot="1">
      <c r="F4" s="58" t="s">
        <v>54</v>
      </c>
      <c r="G4" s="59" t="s">
        <v>55</v>
      </c>
    </row>
    <row r="5" spans="1:10" ht="101.25" customHeight="1">
      <c r="A5" s="23" t="s">
        <v>110</v>
      </c>
      <c r="B5" s="24"/>
      <c r="C5" s="25"/>
      <c r="D5" s="25"/>
      <c r="E5" s="26"/>
      <c r="F5" s="27" t="s">
        <v>46</v>
      </c>
      <c r="G5" s="28" t="s">
        <v>41</v>
      </c>
      <c r="H5" s="29" t="s">
        <v>42</v>
      </c>
      <c r="I5" s="29" t="s">
        <v>43</v>
      </c>
      <c r="J5" s="29" t="s">
        <v>44</v>
      </c>
    </row>
    <row r="6" spans="1:10" ht="114" hidden="1" customHeight="1">
      <c r="A6" s="30" t="s">
        <v>111</v>
      </c>
      <c r="B6" s="31"/>
      <c r="C6" s="32"/>
      <c r="D6" s="33" t="s">
        <v>117</v>
      </c>
      <c r="E6" s="34" t="s">
        <v>116</v>
      </c>
      <c r="F6" s="35"/>
      <c r="G6" s="55" t="s">
        <v>64</v>
      </c>
      <c r="H6" s="17" t="s">
        <v>65</v>
      </c>
      <c r="I6" s="17" t="s">
        <v>66</v>
      </c>
      <c r="J6" s="17" t="s">
        <v>67</v>
      </c>
    </row>
    <row r="7" spans="1:10">
      <c r="A7" s="37"/>
      <c r="B7" s="38"/>
      <c r="C7" s="39"/>
      <c r="D7" s="40"/>
      <c r="E7" s="41"/>
      <c r="F7" s="42"/>
      <c r="G7" s="41"/>
      <c r="H7" s="41"/>
      <c r="I7" s="41"/>
      <c r="J7" s="41"/>
    </row>
    <row r="8" spans="1:10">
      <c r="A8" s="37"/>
      <c r="B8" s="15"/>
      <c r="C8" s="16"/>
      <c r="D8" s="17"/>
      <c r="E8" s="18"/>
      <c r="F8" s="19" t="s">
        <v>45</v>
      </c>
      <c r="G8" s="16"/>
      <c r="H8" s="16"/>
      <c r="I8" s="16"/>
      <c r="J8" s="16"/>
    </row>
    <row r="9" spans="1:10">
      <c r="A9" s="37"/>
      <c r="B9" s="54" t="s">
        <v>444</v>
      </c>
      <c r="C9" s="17" t="s">
        <v>68</v>
      </c>
      <c r="D9" s="17" t="s">
        <v>5</v>
      </c>
      <c r="E9" s="17" t="s">
        <v>0</v>
      </c>
      <c r="F9" s="17" t="s">
        <v>125</v>
      </c>
      <c r="G9" s="60" t="s">
        <v>478</v>
      </c>
      <c r="H9" s="60" t="s">
        <v>479</v>
      </c>
      <c r="I9" s="60" t="s">
        <v>480</v>
      </c>
      <c r="J9" s="60"/>
    </row>
    <row r="10" spans="1:10">
      <c r="A10" s="37"/>
      <c r="B10" s="54" t="s">
        <v>444</v>
      </c>
      <c r="C10" s="17" t="s">
        <v>69</v>
      </c>
      <c r="D10" s="17" t="s">
        <v>5</v>
      </c>
      <c r="E10" s="17" t="s">
        <v>0</v>
      </c>
      <c r="F10" s="17" t="s">
        <v>126</v>
      </c>
      <c r="G10" s="60" t="s">
        <v>478</v>
      </c>
      <c r="H10" s="60" t="s">
        <v>479</v>
      </c>
      <c r="I10" s="60" t="s">
        <v>480</v>
      </c>
      <c r="J10" s="60"/>
    </row>
    <row r="11" spans="1:10" ht="22.5">
      <c r="A11" s="37"/>
      <c r="B11" s="54" t="s">
        <v>444</v>
      </c>
      <c r="C11" s="17" t="s">
        <v>70</v>
      </c>
      <c r="D11" s="17" t="s">
        <v>5</v>
      </c>
      <c r="E11" s="17" t="s">
        <v>0</v>
      </c>
      <c r="F11" s="55" t="s">
        <v>127</v>
      </c>
      <c r="G11" s="20">
        <v>1000</v>
      </c>
      <c r="H11" s="20">
        <v>2000</v>
      </c>
      <c r="I11" s="20">
        <v>3000</v>
      </c>
      <c r="J11" s="61">
        <f t="shared" ref="J11" si="0">G11+H11+I11</f>
        <v>6000</v>
      </c>
    </row>
    <row r="12" spans="1:10">
      <c r="B12" s="54" t="s">
        <v>444</v>
      </c>
      <c r="C12" s="17" t="s">
        <v>71</v>
      </c>
      <c r="D12" s="17" t="s">
        <v>5</v>
      </c>
      <c r="E12" s="17" t="s">
        <v>0</v>
      </c>
      <c r="F12" s="17" t="s">
        <v>128</v>
      </c>
      <c r="G12" s="60" t="s">
        <v>478</v>
      </c>
      <c r="H12" s="60" t="s">
        <v>479</v>
      </c>
      <c r="I12" s="60" t="s">
        <v>480</v>
      </c>
      <c r="J12" s="60"/>
    </row>
    <row r="13" spans="1:10">
      <c r="B13" s="43"/>
      <c r="C13" s="44"/>
      <c r="D13" s="45"/>
      <c r="E13" s="44"/>
      <c r="F13" s="44"/>
      <c r="G13" s="44"/>
      <c r="H13" s="44"/>
      <c r="I13" s="44"/>
      <c r="J13" s="46"/>
    </row>
    <row r="15" spans="1:10" ht="90" customHeight="1">
      <c r="A15" s="23"/>
      <c r="B15" s="24"/>
      <c r="C15" s="25"/>
      <c r="D15" s="25"/>
      <c r="E15" s="26"/>
      <c r="F15" s="27" t="s">
        <v>46</v>
      </c>
      <c r="G15" s="28" t="s">
        <v>41</v>
      </c>
      <c r="H15" s="29" t="s">
        <v>42</v>
      </c>
      <c r="I15" s="29" t="s">
        <v>43</v>
      </c>
      <c r="J15" s="29" t="s">
        <v>44</v>
      </c>
    </row>
    <row r="16" spans="1:10">
      <c r="A16" s="37"/>
      <c r="B16" s="38"/>
      <c r="C16" s="39"/>
      <c r="D16" s="40"/>
      <c r="E16" s="41"/>
      <c r="F16" s="42"/>
      <c r="G16" s="41"/>
      <c r="H16" s="41"/>
      <c r="I16" s="41"/>
      <c r="J16" s="41"/>
    </row>
    <row r="17" spans="1:10">
      <c r="A17" s="37"/>
      <c r="B17" s="15"/>
      <c r="C17" s="16"/>
      <c r="D17" s="17"/>
      <c r="E17" s="18"/>
      <c r="F17" s="19" t="s">
        <v>45</v>
      </c>
      <c r="G17" s="16"/>
      <c r="H17" s="16"/>
      <c r="I17" s="16"/>
      <c r="J17" s="16"/>
    </row>
    <row r="18" spans="1:10">
      <c r="A18" s="37"/>
      <c r="B18" s="54" t="s">
        <v>444</v>
      </c>
      <c r="C18" s="17" t="s">
        <v>68</v>
      </c>
      <c r="D18" s="17" t="s">
        <v>53</v>
      </c>
      <c r="E18" s="17" t="s">
        <v>0</v>
      </c>
      <c r="F18" s="17" t="s">
        <v>125</v>
      </c>
      <c r="G18" s="60" t="s">
        <v>478</v>
      </c>
      <c r="H18" s="60" t="s">
        <v>479</v>
      </c>
      <c r="I18" s="60" t="s">
        <v>480</v>
      </c>
      <c r="J18" s="60"/>
    </row>
    <row r="19" spans="1:10">
      <c r="A19" s="37"/>
      <c r="B19" s="54" t="s">
        <v>444</v>
      </c>
      <c r="C19" s="17" t="s">
        <v>69</v>
      </c>
      <c r="D19" s="17" t="s">
        <v>53</v>
      </c>
      <c r="E19" s="17" t="s">
        <v>0</v>
      </c>
      <c r="F19" s="17" t="s">
        <v>126</v>
      </c>
      <c r="G19" s="60" t="s">
        <v>478</v>
      </c>
      <c r="H19" s="60" t="s">
        <v>479</v>
      </c>
      <c r="I19" s="60" t="s">
        <v>480</v>
      </c>
      <c r="J19" s="60"/>
    </row>
    <row r="20" spans="1:10" ht="22.5">
      <c r="A20" s="37" t="s">
        <v>52</v>
      </c>
      <c r="B20" s="54" t="s">
        <v>444</v>
      </c>
      <c r="C20" s="17" t="s">
        <v>70</v>
      </c>
      <c r="D20" s="17" t="s">
        <v>5</v>
      </c>
      <c r="E20" s="17" t="s">
        <v>0</v>
      </c>
      <c r="F20" s="55" t="s">
        <v>127</v>
      </c>
      <c r="G20" s="20">
        <v>1000</v>
      </c>
      <c r="H20" s="20">
        <v>2000</v>
      </c>
      <c r="I20" s="20">
        <v>4000</v>
      </c>
      <c r="J20" s="61">
        <f t="shared" ref="J20" si="1">G20+H20+I20</f>
        <v>7000</v>
      </c>
    </row>
    <row r="21" spans="1:10">
      <c r="B21" s="54" t="s">
        <v>444</v>
      </c>
      <c r="C21" s="17" t="s">
        <v>71</v>
      </c>
      <c r="D21" s="17" t="s">
        <v>53</v>
      </c>
      <c r="E21" s="17" t="s">
        <v>0</v>
      </c>
      <c r="F21" s="17" t="s">
        <v>128</v>
      </c>
      <c r="G21" s="60" t="s">
        <v>478</v>
      </c>
      <c r="H21" s="60" t="s">
        <v>479</v>
      </c>
      <c r="I21" s="60" t="s">
        <v>480</v>
      </c>
      <c r="J21" s="60"/>
    </row>
    <row r="22" spans="1:10">
      <c r="B22" s="43"/>
      <c r="C22" s="44"/>
      <c r="D22" s="45"/>
      <c r="E22" s="44"/>
      <c r="F22" s="44"/>
      <c r="G22" s="44"/>
      <c r="H22" s="44"/>
      <c r="I22" s="44"/>
      <c r="J22" s="46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codigo!$A$1:$A$2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7" tint="0.39997558519241921"/>
  </sheetPr>
  <dimension ref="A1:I22"/>
  <sheetViews>
    <sheetView topLeftCell="A12" workbookViewId="0">
      <selection activeCell="G18" sqref="G18:H21"/>
    </sheetView>
  </sheetViews>
  <sheetFormatPr baseColWidth="10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7" max="7" width="13.28515625" customWidth="1"/>
    <col min="8" max="8" width="11.7109375" customWidth="1"/>
    <col min="9" max="9" width="12" customWidth="1"/>
  </cols>
  <sheetData>
    <row r="1" spans="1:9" ht="54.95" customHeight="1" thickBot="1"/>
    <row r="2" spans="1:9" ht="177" customHeight="1" thickBot="1">
      <c r="F2" s="21" t="s">
        <v>14</v>
      </c>
    </row>
    <row r="3" spans="1:9" ht="16.5" thickBot="1">
      <c r="F3" s="22" t="s">
        <v>15</v>
      </c>
    </row>
    <row r="4" spans="1:9" ht="16.5" thickBot="1">
      <c r="F4" s="58" t="s">
        <v>54</v>
      </c>
      <c r="G4" s="66" t="s">
        <v>55</v>
      </c>
    </row>
    <row r="5" spans="1:9" ht="101.25" customHeight="1">
      <c r="A5" s="23" t="s">
        <v>110</v>
      </c>
      <c r="B5" s="24"/>
      <c r="C5" s="25"/>
      <c r="D5" s="25"/>
      <c r="E5" s="26"/>
      <c r="F5" s="27" t="s">
        <v>131</v>
      </c>
      <c r="G5" s="56" t="s">
        <v>47</v>
      </c>
      <c r="H5" s="56" t="s">
        <v>47</v>
      </c>
      <c r="I5" s="29" t="s">
        <v>204</v>
      </c>
    </row>
    <row r="6" spans="1:9" ht="114" hidden="1" customHeight="1">
      <c r="A6" s="30" t="s">
        <v>111</v>
      </c>
      <c r="B6" s="31"/>
      <c r="C6" s="32"/>
      <c r="D6" s="65" t="s">
        <v>133</v>
      </c>
      <c r="E6" s="65" t="s">
        <v>134</v>
      </c>
      <c r="F6" s="35"/>
      <c r="G6" s="57" t="str">
        <f>SUBSTITUTE(CONCATENATE("CLCP-ImpoReclPeri_",TRIM(G5),"_",COLUMN(G6),"|",G5)," ","")</f>
        <v>CLCP-ImpoReclPeri_Agregarcolumnaopcional_7|Agregarcolumnaopcional</v>
      </c>
      <c r="H6" s="57" t="str">
        <f>SUBSTITUTE(CONCATENATE("CLCP-ImpoReclPeri_",TRIM(H5),"_",COLUMN(H6),"|",H5)," ","")</f>
        <v>CLCP-ImpoReclPeri_Agregarcolumnaopcional_8|Agregarcolumnaopcional</v>
      </c>
      <c r="I6" s="65" t="s">
        <v>135</v>
      </c>
    </row>
    <row r="7" spans="1:9">
      <c r="A7" s="37"/>
      <c r="B7" s="38"/>
      <c r="C7" s="39"/>
      <c r="D7" s="40"/>
      <c r="E7" s="41"/>
      <c r="F7" s="42"/>
      <c r="G7" s="67"/>
      <c r="H7" s="67"/>
      <c r="I7" s="48"/>
    </row>
    <row r="8" spans="1:9">
      <c r="A8" s="37"/>
      <c r="B8" s="15"/>
      <c r="C8" s="16"/>
      <c r="D8" s="17"/>
      <c r="E8" s="18"/>
      <c r="F8" s="19" t="s">
        <v>205</v>
      </c>
      <c r="G8" s="68"/>
      <c r="H8" s="68"/>
      <c r="I8" s="47"/>
    </row>
    <row r="9" spans="1:9">
      <c r="A9" s="37"/>
      <c r="B9" s="54" t="s">
        <v>444</v>
      </c>
      <c r="C9" s="1" t="s">
        <v>60</v>
      </c>
      <c r="D9" s="1" t="s">
        <v>5</v>
      </c>
      <c r="E9" s="1"/>
      <c r="F9" s="53" t="s">
        <v>48</v>
      </c>
      <c r="G9" s="69">
        <v>1000</v>
      </c>
      <c r="H9" s="69">
        <v>90000</v>
      </c>
      <c r="I9" s="74">
        <f>SUM(G9:H9)</f>
        <v>91000</v>
      </c>
    </row>
    <row r="10" spans="1:9" ht="22.5">
      <c r="A10" s="37"/>
      <c r="B10" s="54" t="s">
        <v>444</v>
      </c>
      <c r="C10" s="1" t="s">
        <v>61</v>
      </c>
      <c r="D10" s="1" t="s">
        <v>5</v>
      </c>
      <c r="E10" s="1"/>
      <c r="F10" s="53" t="s">
        <v>49</v>
      </c>
      <c r="G10" s="69">
        <v>2000</v>
      </c>
      <c r="H10" s="69">
        <v>10000</v>
      </c>
      <c r="I10" s="74">
        <f t="shared" ref="I10:I12" si="0">SUM(G10:H10)</f>
        <v>12000</v>
      </c>
    </row>
    <row r="11" spans="1:9" ht="22.5">
      <c r="A11" s="37"/>
      <c r="B11" s="54" t="s">
        <v>444</v>
      </c>
      <c r="C11" s="1" t="s">
        <v>62</v>
      </c>
      <c r="D11" s="1" t="s">
        <v>5</v>
      </c>
      <c r="E11" s="1"/>
      <c r="F11" s="53" t="s">
        <v>50</v>
      </c>
      <c r="G11" s="69">
        <v>3000</v>
      </c>
      <c r="H11" s="69">
        <v>2000</v>
      </c>
      <c r="I11" s="74">
        <f t="shared" si="0"/>
        <v>5000</v>
      </c>
    </row>
    <row r="12" spans="1:9" ht="22.5">
      <c r="A12" s="37"/>
      <c r="B12" s="54" t="s">
        <v>444</v>
      </c>
      <c r="C12" s="1" t="s">
        <v>63</v>
      </c>
      <c r="D12" s="1" t="s">
        <v>5</v>
      </c>
      <c r="E12" s="1"/>
      <c r="F12" s="53" t="s">
        <v>51</v>
      </c>
      <c r="G12" s="69">
        <v>4000</v>
      </c>
      <c r="H12" s="69">
        <v>3000</v>
      </c>
      <c r="I12" s="74">
        <f t="shared" si="0"/>
        <v>7000</v>
      </c>
    </row>
    <row r="13" spans="1:9">
      <c r="B13" s="43"/>
      <c r="C13" s="44"/>
      <c r="D13" s="45"/>
      <c r="E13" s="44"/>
      <c r="F13" s="44"/>
      <c r="G13" s="70"/>
      <c r="H13" s="70"/>
      <c r="I13" s="46"/>
    </row>
    <row r="14" spans="1:9">
      <c r="G14" s="71"/>
      <c r="H14" s="71"/>
    </row>
    <row r="15" spans="1:9" ht="90" customHeight="1">
      <c r="A15" s="23"/>
      <c r="B15" s="24"/>
      <c r="C15" s="25"/>
      <c r="D15" s="25"/>
      <c r="E15" s="26"/>
      <c r="F15" s="27" t="s">
        <v>131</v>
      </c>
      <c r="G15" s="72" t="str">
        <f>G5</f>
        <v>Agregar columna opcional</v>
      </c>
      <c r="H15" s="72" t="str">
        <f t="shared" ref="H15:I15" si="1">H5</f>
        <v>Agregar columna opcional</v>
      </c>
      <c r="I15" s="29" t="str">
        <f t="shared" si="1"/>
        <v>Efectos en resultados de coberturas [miembro]</v>
      </c>
    </row>
    <row r="16" spans="1:9">
      <c r="A16" s="37"/>
      <c r="B16" s="38"/>
      <c r="C16" s="39"/>
      <c r="D16" s="40"/>
      <c r="E16" s="41"/>
      <c r="F16" s="42"/>
      <c r="G16" s="67"/>
      <c r="H16" s="67"/>
      <c r="I16" s="48"/>
    </row>
    <row r="17" spans="1:9">
      <c r="A17" s="37"/>
      <c r="B17" s="15"/>
      <c r="C17" s="16"/>
      <c r="D17" s="17"/>
      <c r="E17" s="18"/>
      <c r="F17" s="19" t="s">
        <v>205</v>
      </c>
      <c r="G17" s="68"/>
      <c r="H17" s="68"/>
      <c r="I17" s="47"/>
    </row>
    <row r="18" spans="1:9">
      <c r="A18" s="37"/>
      <c r="B18" s="54" t="s">
        <v>444</v>
      </c>
      <c r="C18" s="1" t="s">
        <v>60</v>
      </c>
      <c r="D18" s="1" t="s">
        <v>132</v>
      </c>
      <c r="E18" s="1"/>
      <c r="F18" s="53" t="s">
        <v>48</v>
      </c>
      <c r="G18" s="69">
        <v>5000</v>
      </c>
      <c r="H18" s="69">
        <v>4000</v>
      </c>
      <c r="I18" s="74">
        <f>SUM(G18:H18)</f>
        <v>9000</v>
      </c>
    </row>
    <row r="19" spans="1:9" ht="22.5">
      <c r="A19" s="37"/>
      <c r="B19" s="54" t="s">
        <v>444</v>
      </c>
      <c r="C19" s="1" t="s">
        <v>61</v>
      </c>
      <c r="D19" s="1" t="s">
        <v>132</v>
      </c>
      <c r="E19" s="1"/>
      <c r="F19" s="53" t="s">
        <v>49</v>
      </c>
      <c r="G19" s="69">
        <v>6000</v>
      </c>
      <c r="H19" s="69">
        <v>5000</v>
      </c>
      <c r="I19" s="74">
        <f t="shared" ref="I19:I21" si="2">SUM(G19:H19)</f>
        <v>11000</v>
      </c>
    </row>
    <row r="20" spans="1:9" ht="22.5">
      <c r="A20" s="37"/>
      <c r="B20" s="54" t="s">
        <v>444</v>
      </c>
      <c r="C20" s="1" t="s">
        <v>62</v>
      </c>
      <c r="D20" s="1" t="s">
        <v>132</v>
      </c>
      <c r="E20" s="1"/>
      <c r="F20" s="53" t="s">
        <v>50</v>
      </c>
      <c r="G20" s="69">
        <v>7000</v>
      </c>
      <c r="H20" s="69">
        <v>6000</v>
      </c>
      <c r="I20" s="74">
        <f t="shared" si="2"/>
        <v>13000</v>
      </c>
    </row>
    <row r="21" spans="1:9" ht="22.5">
      <c r="A21" s="37"/>
      <c r="B21" s="54" t="s">
        <v>444</v>
      </c>
      <c r="C21" s="1" t="s">
        <v>63</v>
      </c>
      <c r="D21" s="1" t="s">
        <v>132</v>
      </c>
      <c r="E21" s="1"/>
      <c r="F21" s="53" t="s">
        <v>51</v>
      </c>
      <c r="G21" s="69">
        <v>8000</v>
      </c>
      <c r="H21" s="69">
        <v>7000</v>
      </c>
      <c r="I21" s="74">
        <f t="shared" si="2"/>
        <v>15000</v>
      </c>
    </row>
    <row r="22" spans="1:9" ht="15.75" thickBot="1">
      <c r="B22" s="43"/>
      <c r="C22" s="44"/>
      <c r="D22" s="45"/>
      <c r="E22" s="44"/>
      <c r="F22" s="44"/>
      <c r="G22" s="73"/>
      <c r="H22" s="73"/>
      <c r="I22" s="46"/>
    </row>
  </sheetData>
  <conditionalFormatting sqref="I6">
    <cfRule type="containsBlanks" dxfId="4" priority="1">
      <formula>LEN(TRIM(I6))=0</formula>
    </cfRule>
  </conditionalFormatting>
  <conditionalFormatting sqref="D6">
    <cfRule type="containsBlanks" dxfId="3" priority="3">
      <formula>LEN(TRIM(D6))=0</formula>
    </cfRule>
  </conditionalFormatting>
  <conditionalFormatting sqref="E6">
    <cfRule type="containsBlanks" dxfId="2" priority="2">
      <formula>LEN(TRIM(E6))=0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codigo!$A$1:$A$2</xm:f>
          </x14:formula1>
          <xm:sqref>G4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>
    <tabColor rgb="FFFFFF00"/>
  </sheetPr>
  <dimension ref="A1:J29"/>
  <sheetViews>
    <sheetView topLeftCell="A20" workbookViewId="0">
      <selection activeCell="G29" sqref="G29:I29"/>
    </sheetView>
  </sheetViews>
  <sheetFormatPr baseColWidth="10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7" max="7" width="12.85546875" customWidth="1"/>
    <col min="8" max="8" width="13.28515625" customWidth="1"/>
    <col min="9" max="9" width="11.7109375" customWidth="1"/>
    <col min="10" max="10" width="15.140625" customWidth="1"/>
  </cols>
  <sheetData>
    <row r="1" spans="1:10" ht="54.95" customHeight="1" thickBot="1"/>
    <row r="2" spans="1:10" ht="177" customHeight="1" thickBot="1">
      <c r="F2" s="21" t="s">
        <v>14</v>
      </c>
    </row>
    <row r="3" spans="1:10" ht="16.5" thickBot="1">
      <c r="F3" s="22" t="s">
        <v>15</v>
      </c>
    </row>
    <row r="4" spans="1:10" ht="16.5" thickBot="1">
      <c r="F4" s="58" t="s">
        <v>54</v>
      </c>
      <c r="G4" s="59" t="s">
        <v>55</v>
      </c>
    </row>
    <row r="5" spans="1:10" ht="90" customHeight="1">
      <c r="A5" s="23" t="s">
        <v>110</v>
      </c>
      <c r="B5" s="24"/>
      <c r="C5" s="25"/>
      <c r="D5" s="25"/>
      <c r="E5" s="26"/>
      <c r="F5" s="27" t="s">
        <v>16</v>
      </c>
      <c r="G5" s="28" t="s">
        <v>17</v>
      </c>
      <c r="H5" s="29" t="s">
        <v>18</v>
      </c>
      <c r="I5" s="29" t="s">
        <v>19</v>
      </c>
      <c r="J5" s="29" t="s">
        <v>20</v>
      </c>
    </row>
    <row r="6" spans="1:10" ht="114" hidden="1" customHeight="1">
      <c r="A6" s="30" t="s">
        <v>111</v>
      </c>
      <c r="B6" s="31"/>
      <c r="C6" s="32"/>
      <c r="D6" s="33" t="s">
        <v>113</v>
      </c>
      <c r="E6" s="34" t="s">
        <v>112</v>
      </c>
      <c r="F6" s="35"/>
      <c r="G6" s="36" t="s">
        <v>86</v>
      </c>
      <c r="H6" s="36" t="s">
        <v>87</v>
      </c>
      <c r="I6" s="36" t="s">
        <v>88</v>
      </c>
      <c r="J6" s="36" t="s">
        <v>89</v>
      </c>
    </row>
    <row r="7" spans="1:10">
      <c r="A7" s="37"/>
      <c r="B7" s="38"/>
      <c r="C7" s="39"/>
      <c r="D7" s="40"/>
      <c r="E7" s="41"/>
      <c r="F7" s="42"/>
      <c r="G7" s="41"/>
      <c r="H7" s="41"/>
      <c r="I7" s="41"/>
      <c r="J7" s="41"/>
    </row>
    <row r="8" spans="1:10">
      <c r="A8" s="37"/>
      <c r="B8" s="15"/>
      <c r="C8" s="16"/>
      <c r="D8" s="17"/>
      <c r="E8" s="18"/>
      <c r="F8" s="19" t="s">
        <v>4</v>
      </c>
      <c r="G8" s="16"/>
      <c r="H8" s="16"/>
      <c r="I8" s="16"/>
      <c r="J8" s="16"/>
    </row>
    <row r="9" spans="1:10">
      <c r="A9" s="37"/>
      <c r="B9" s="15" t="s">
        <v>74</v>
      </c>
      <c r="C9" s="16" t="s">
        <v>90</v>
      </c>
      <c r="D9" s="17" t="s">
        <v>5</v>
      </c>
      <c r="E9" s="16" t="s">
        <v>0</v>
      </c>
      <c r="F9" s="16" t="s">
        <v>6</v>
      </c>
      <c r="G9" s="20">
        <v>8809092000</v>
      </c>
      <c r="H9" s="20">
        <v>2127174000</v>
      </c>
      <c r="I9" s="20">
        <v>3000</v>
      </c>
      <c r="J9" s="61">
        <f>G9+H9+I9</f>
        <v>10936269000</v>
      </c>
    </row>
    <row r="10" spans="1:10">
      <c r="A10" s="37"/>
      <c r="B10" s="15" t="s">
        <v>74</v>
      </c>
      <c r="C10" s="16" t="s">
        <v>91</v>
      </c>
      <c r="D10" s="17" t="s">
        <v>5</v>
      </c>
      <c r="E10" s="16" t="s">
        <v>0</v>
      </c>
      <c r="F10" s="16" t="s">
        <v>7</v>
      </c>
      <c r="G10" s="20">
        <v>1000</v>
      </c>
      <c r="H10" s="20">
        <v>2000</v>
      </c>
      <c r="I10" s="20">
        <v>3000</v>
      </c>
      <c r="J10" s="61">
        <f t="shared" ref="J10:J14" si="0">G10+H10+I10</f>
        <v>6000</v>
      </c>
    </row>
    <row r="11" spans="1:10">
      <c r="A11" s="37"/>
      <c r="B11" s="15" t="s">
        <v>74</v>
      </c>
      <c r="C11" s="16" t="s">
        <v>92</v>
      </c>
      <c r="D11" s="17" t="s">
        <v>5</v>
      </c>
      <c r="E11" s="16" t="s">
        <v>0</v>
      </c>
      <c r="F11" s="16" t="s">
        <v>8</v>
      </c>
      <c r="G11" s="20">
        <v>1000</v>
      </c>
      <c r="H11" s="20">
        <v>2000</v>
      </c>
      <c r="I11" s="20">
        <v>3000</v>
      </c>
      <c r="J11" s="61">
        <f t="shared" si="0"/>
        <v>6000</v>
      </c>
    </row>
    <row r="12" spans="1:10">
      <c r="B12" s="15" t="s">
        <v>74</v>
      </c>
      <c r="C12" s="16" t="s">
        <v>93</v>
      </c>
      <c r="D12" s="17" t="s">
        <v>5</v>
      </c>
      <c r="E12" s="16" t="s">
        <v>0</v>
      </c>
      <c r="F12" s="16" t="s">
        <v>9</v>
      </c>
      <c r="G12" s="20">
        <v>1000</v>
      </c>
      <c r="H12" s="20">
        <v>2000</v>
      </c>
      <c r="I12" s="20">
        <v>3000</v>
      </c>
      <c r="J12" s="61">
        <f t="shared" si="0"/>
        <v>6000</v>
      </c>
    </row>
    <row r="13" spans="1:10">
      <c r="B13" s="15" t="s">
        <v>74</v>
      </c>
      <c r="C13" s="16" t="s">
        <v>94</v>
      </c>
      <c r="D13" s="17" t="s">
        <v>5</v>
      </c>
      <c r="E13" s="16" t="s">
        <v>0</v>
      </c>
      <c r="F13" s="16" t="s">
        <v>10</v>
      </c>
      <c r="G13" s="20">
        <v>1000</v>
      </c>
      <c r="H13" s="20">
        <v>2000</v>
      </c>
      <c r="I13" s="20">
        <v>3000</v>
      </c>
      <c r="J13" s="61">
        <f t="shared" si="0"/>
        <v>6000</v>
      </c>
    </row>
    <row r="14" spans="1:10">
      <c r="B14" s="15" t="s">
        <v>74</v>
      </c>
      <c r="C14" s="16" t="s">
        <v>95</v>
      </c>
      <c r="D14" s="17" t="s">
        <v>5</v>
      </c>
      <c r="E14" s="16" t="s">
        <v>0</v>
      </c>
      <c r="F14" s="16" t="s">
        <v>11</v>
      </c>
      <c r="G14" s="20">
        <v>1000</v>
      </c>
      <c r="H14" s="20">
        <v>2000</v>
      </c>
      <c r="I14" s="20">
        <v>3000</v>
      </c>
      <c r="J14" s="61">
        <f t="shared" si="0"/>
        <v>6000</v>
      </c>
    </row>
    <row r="15" spans="1:10">
      <c r="B15" s="15" t="s">
        <v>74</v>
      </c>
      <c r="C15" s="16" t="s">
        <v>96</v>
      </c>
      <c r="D15" s="17" t="s">
        <v>5</v>
      </c>
      <c r="E15" s="16" t="s">
        <v>0</v>
      </c>
      <c r="F15" s="19" t="s">
        <v>12</v>
      </c>
      <c r="G15" s="61">
        <f>SUM(G9:G14)</f>
        <v>8809097000</v>
      </c>
      <c r="H15" s="61">
        <f>SUM(H9:H14)</f>
        <v>2127184000</v>
      </c>
      <c r="I15" s="61">
        <f>SUM(I9:I14)</f>
        <v>18000</v>
      </c>
      <c r="J15" s="61">
        <f>SUM(J9:J14)</f>
        <v>10936299000</v>
      </c>
    </row>
    <row r="16" spans="1:10">
      <c r="B16" s="15" t="s">
        <v>74</v>
      </c>
      <c r="C16" s="16" t="s">
        <v>97</v>
      </c>
      <c r="D16" s="17" t="s">
        <v>5</v>
      </c>
      <c r="E16" s="16" t="s">
        <v>0</v>
      </c>
      <c r="F16" s="16" t="s">
        <v>13</v>
      </c>
      <c r="G16" s="51">
        <v>90</v>
      </c>
      <c r="H16" s="51">
        <v>7</v>
      </c>
      <c r="I16" s="51">
        <v>60</v>
      </c>
      <c r="J16" s="51"/>
    </row>
    <row r="17" spans="1:10">
      <c r="B17" s="43"/>
      <c r="C17" s="44"/>
      <c r="D17" s="45"/>
      <c r="E17" s="44"/>
      <c r="F17" s="44"/>
      <c r="G17" s="44"/>
      <c r="H17" s="44"/>
      <c r="I17" s="44"/>
      <c r="J17" s="46"/>
    </row>
    <row r="19" spans="1:10" ht="90" customHeight="1">
      <c r="A19" s="23"/>
      <c r="B19" s="24"/>
      <c r="C19" s="25"/>
      <c r="D19" s="25"/>
      <c r="E19" s="26"/>
      <c r="F19" s="27" t="s">
        <v>16</v>
      </c>
      <c r="G19" s="28" t="s">
        <v>17</v>
      </c>
      <c r="H19" s="29" t="s">
        <v>18</v>
      </c>
      <c r="I19" s="29" t="s">
        <v>19</v>
      </c>
      <c r="J19" s="29" t="s">
        <v>20</v>
      </c>
    </row>
    <row r="20" spans="1:10">
      <c r="A20" s="37"/>
      <c r="B20" s="38"/>
      <c r="C20" s="39"/>
      <c r="D20" s="40"/>
      <c r="E20" s="41"/>
      <c r="F20" s="42"/>
      <c r="G20" s="41"/>
      <c r="H20" s="41"/>
      <c r="I20" s="41"/>
      <c r="J20" s="41"/>
    </row>
    <row r="21" spans="1:10">
      <c r="A21" s="37"/>
      <c r="B21" s="15"/>
      <c r="C21" s="16"/>
      <c r="D21" s="17"/>
      <c r="E21" s="18"/>
      <c r="F21" s="19" t="s">
        <v>437</v>
      </c>
      <c r="G21" s="16"/>
      <c r="H21" s="16"/>
      <c r="I21" s="16"/>
      <c r="J21" s="16"/>
    </row>
    <row r="22" spans="1:10">
      <c r="A22" s="37" t="s">
        <v>52</v>
      </c>
      <c r="B22" s="15" t="s">
        <v>74</v>
      </c>
      <c r="C22" s="16" t="s">
        <v>90</v>
      </c>
      <c r="D22" s="17" t="s">
        <v>5</v>
      </c>
      <c r="E22" s="16" t="s">
        <v>0</v>
      </c>
      <c r="F22" s="16" t="s">
        <v>6</v>
      </c>
      <c r="G22" s="20">
        <v>8809092000</v>
      </c>
      <c r="H22" s="20">
        <v>2127174000</v>
      </c>
      <c r="I22" s="20">
        <v>4000</v>
      </c>
      <c r="J22" s="61">
        <f>G22+H22+I22</f>
        <v>10936270000</v>
      </c>
    </row>
    <row r="23" spans="1:10">
      <c r="A23" s="37" t="s">
        <v>52</v>
      </c>
      <c r="B23" s="15" t="s">
        <v>74</v>
      </c>
      <c r="C23" s="16" t="s">
        <v>91</v>
      </c>
      <c r="D23" s="17" t="s">
        <v>5</v>
      </c>
      <c r="E23" s="16" t="s">
        <v>0</v>
      </c>
      <c r="F23" s="16" t="s">
        <v>7</v>
      </c>
      <c r="G23" s="20">
        <v>1000</v>
      </c>
      <c r="H23" s="20">
        <v>2000</v>
      </c>
      <c r="I23" s="20">
        <v>3000</v>
      </c>
      <c r="J23" s="61">
        <f t="shared" ref="J23:J27" si="1">G23+H23+I23</f>
        <v>6000</v>
      </c>
    </row>
    <row r="24" spans="1:10">
      <c r="A24" s="37" t="s">
        <v>52</v>
      </c>
      <c r="B24" s="15" t="s">
        <v>74</v>
      </c>
      <c r="C24" s="16" t="s">
        <v>92</v>
      </c>
      <c r="D24" s="17" t="s">
        <v>5</v>
      </c>
      <c r="E24" s="16" t="s">
        <v>0</v>
      </c>
      <c r="F24" s="16" t="s">
        <v>8</v>
      </c>
      <c r="G24" s="20">
        <v>1000</v>
      </c>
      <c r="H24" s="20">
        <v>2000</v>
      </c>
      <c r="I24" s="20">
        <v>3000</v>
      </c>
      <c r="J24" s="61">
        <f t="shared" si="1"/>
        <v>6000</v>
      </c>
    </row>
    <row r="25" spans="1:10">
      <c r="A25" s="37" t="s">
        <v>52</v>
      </c>
      <c r="B25" s="15" t="s">
        <v>74</v>
      </c>
      <c r="C25" s="16" t="s">
        <v>93</v>
      </c>
      <c r="D25" s="17" t="s">
        <v>5</v>
      </c>
      <c r="E25" s="16" t="s">
        <v>0</v>
      </c>
      <c r="F25" s="16" t="s">
        <v>9</v>
      </c>
      <c r="G25" s="20">
        <v>1000</v>
      </c>
      <c r="H25" s="20">
        <v>2000</v>
      </c>
      <c r="I25" s="20">
        <v>3000</v>
      </c>
      <c r="J25" s="61">
        <f t="shared" si="1"/>
        <v>6000</v>
      </c>
    </row>
    <row r="26" spans="1:10">
      <c r="A26" s="37" t="s">
        <v>52</v>
      </c>
      <c r="B26" s="15" t="s">
        <v>74</v>
      </c>
      <c r="C26" s="16" t="s">
        <v>94</v>
      </c>
      <c r="D26" s="17" t="s">
        <v>5</v>
      </c>
      <c r="E26" s="16" t="s">
        <v>0</v>
      </c>
      <c r="F26" s="16" t="s">
        <v>10</v>
      </c>
      <c r="G26" s="20">
        <v>1000</v>
      </c>
      <c r="H26" s="20">
        <v>2000</v>
      </c>
      <c r="I26" s="20">
        <v>3000</v>
      </c>
      <c r="J26" s="61">
        <f t="shared" si="1"/>
        <v>6000</v>
      </c>
    </row>
    <row r="27" spans="1:10">
      <c r="A27" s="37" t="s">
        <v>52</v>
      </c>
      <c r="B27" s="15" t="s">
        <v>74</v>
      </c>
      <c r="C27" s="16" t="s">
        <v>95</v>
      </c>
      <c r="D27" s="17" t="s">
        <v>5</v>
      </c>
      <c r="E27" s="16" t="s">
        <v>0</v>
      </c>
      <c r="F27" s="16" t="s">
        <v>11</v>
      </c>
      <c r="G27" s="20">
        <v>1000</v>
      </c>
      <c r="H27" s="20">
        <v>2000</v>
      </c>
      <c r="I27" s="20">
        <v>3000</v>
      </c>
      <c r="J27" s="61">
        <f t="shared" si="1"/>
        <v>6000</v>
      </c>
    </row>
    <row r="28" spans="1:10">
      <c r="A28" s="37" t="s">
        <v>52</v>
      </c>
      <c r="B28" s="15" t="s">
        <v>74</v>
      </c>
      <c r="C28" s="16" t="s">
        <v>96</v>
      </c>
      <c r="D28" s="17" t="s">
        <v>5</v>
      </c>
      <c r="E28" s="16" t="s">
        <v>0</v>
      </c>
      <c r="F28" s="19" t="s">
        <v>12</v>
      </c>
      <c r="G28" s="61">
        <f>SUM(G22:G27)</f>
        <v>8809097000</v>
      </c>
      <c r="H28" s="61">
        <f>SUM(H22:H27)</f>
        <v>2127184000</v>
      </c>
      <c r="I28" s="61">
        <f>SUM(I22:I27)</f>
        <v>19000</v>
      </c>
      <c r="J28" s="61">
        <f>SUM(J22:J27)</f>
        <v>10936300000</v>
      </c>
    </row>
    <row r="29" spans="1:10">
      <c r="A29" s="37" t="s">
        <v>52</v>
      </c>
      <c r="B29" s="43" t="s">
        <v>74</v>
      </c>
      <c r="C29" s="44" t="s">
        <v>97</v>
      </c>
      <c r="D29" s="17" t="s">
        <v>5</v>
      </c>
      <c r="E29" s="44" t="s">
        <v>0</v>
      </c>
      <c r="F29" s="47" t="s">
        <v>13</v>
      </c>
      <c r="G29" s="51">
        <v>90</v>
      </c>
      <c r="H29" s="51">
        <v>7</v>
      </c>
      <c r="I29" s="51">
        <v>60</v>
      </c>
      <c r="J29" s="51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codigo!$A$1:$A$2</xm:f>
          </x14:formula1>
          <xm:sqref>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tabColor rgb="FF92D050"/>
  </sheetPr>
  <dimension ref="A1:J28"/>
  <sheetViews>
    <sheetView topLeftCell="A14" workbookViewId="0">
      <selection activeCell="G28" sqref="G28:I28"/>
    </sheetView>
  </sheetViews>
  <sheetFormatPr baseColWidth="10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8" max="8" width="13.28515625" customWidth="1"/>
    <col min="9" max="9" width="11.7109375" customWidth="1"/>
    <col min="10" max="10" width="12" customWidth="1"/>
  </cols>
  <sheetData>
    <row r="1" spans="1:10" ht="54.95" customHeight="1" thickBot="1"/>
    <row r="2" spans="1:10" ht="177" customHeight="1" thickBot="1">
      <c r="F2" s="21" t="s">
        <v>14</v>
      </c>
    </row>
    <row r="3" spans="1:10" ht="16.5" thickBot="1">
      <c r="F3" s="22" t="s">
        <v>15</v>
      </c>
    </row>
    <row r="4" spans="1:10" ht="16.5" thickBot="1">
      <c r="F4" s="58" t="s">
        <v>54</v>
      </c>
      <c r="G4" s="59" t="s">
        <v>55</v>
      </c>
    </row>
    <row r="5" spans="1:10" ht="90" customHeight="1">
      <c r="A5" s="23" t="s">
        <v>110</v>
      </c>
      <c r="B5" s="24"/>
      <c r="C5" s="25"/>
      <c r="D5" s="25"/>
      <c r="E5" s="26"/>
      <c r="F5" s="27" t="s">
        <v>21</v>
      </c>
      <c r="G5" s="28" t="s">
        <v>17</v>
      </c>
      <c r="H5" s="29" t="s">
        <v>18</v>
      </c>
      <c r="I5" s="29" t="s">
        <v>19</v>
      </c>
      <c r="J5" s="29" t="s">
        <v>20</v>
      </c>
    </row>
    <row r="6" spans="1:10" ht="114" hidden="1" customHeight="1">
      <c r="A6" s="30" t="s">
        <v>111</v>
      </c>
      <c r="B6" s="31"/>
      <c r="C6" s="32"/>
      <c r="D6" s="33" t="s">
        <v>115</v>
      </c>
      <c r="E6" s="34" t="s">
        <v>114</v>
      </c>
      <c r="F6" s="35"/>
      <c r="G6" s="36" t="s">
        <v>98</v>
      </c>
      <c r="H6" s="36" t="s">
        <v>99</v>
      </c>
      <c r="I6" s="36" t="s">
        <v>100</v>
      </c>
      <c r="J6" s="36" t="s">
        <v>101</v>
      </c>
    </row>
    <row r="7" spans="1:10">
      <c r="A7" s="37"/>
      <c r="B7" s="38"/>
      <c r="C7" s="39"/>
      <c r="D7" s="40"/>
      <c r="E7" s="41"/>
      <c r="F7" s="42"/>
      <c r="G7" s="41"/>
      <c r="H7" s="41"/>
      <c r="I7" s="41"/>
      <c r="J7" s="48"/>
    </row>
    <row r="8" spans="1:10">
      <c r="A8" s="37"/>
      <c r="B8" s="119"/>
      <c r="C8" s="120"/>
      <c r="D8" s="121"/>
      <c r="E8" s="33"/>
      <c r="F8" s="102" t="s">
        <v>196</v>
      </c>
      <c r="G8" s="33"/>
      <c r="H8" s="33"/>
      <c r="I8" s="33"/>
      <c r="J8" s="124"/>
    </row>
    <row r="9" spans="1:10">
      <c r="A9" s="37"/>
      <c r="B9" s="15"/>
      <c r="C9" s="16"/>
      <c r="D9" s="17"/>
      <c r="E9" s="18"/>
      <c r="F9" s="19" t="s">
        <v>22</v>
      </c>
      <c r="G9" s="16"/>
      <c r="H9" s="16"/>
      <c r="I9" s="16"/>
      <c r="J9" s="47"/>
    </row>
    <row r="10" spans="1:10">
      <c r="A10" s="37"/>
      <c r="B10" s="15" t="s">
        <v>74</v>
      </c>
      <c r="C10" s="16" t="s">
        <v>102</v>
      </c>
      <c r="D10" s="17" t="s">
        <v>5</v>
      </c>
      <c r="E10" s="16" t="s">
        <v>0</v>
      </c>
      <c r="F10" s="16" t="s">
        <v>6</v>
      </c>
      <c r="G10" s="20">
        <v>1000</v>
      </c>
      <c r="H10" s="20">
        <v>20372000</v>
      </c>
      <c r="I10" s="20">
        <v>3000</v>
      </c>
      <c r="J10" s="61">
        <f t="shared" ref="J10:J15" si="0">G10+H10+I10</f>
        <v>20376000</v>
      </c>
    </row>
    <row r="11" spans="1:10">
      <c r="A11" s="37"/>
      <c r="B11" s="15" t="s">
        <v>74</v>
      </c>
      <c r="C11" s="16" t="s">
        <v>103</v>
      </c>
      <c r="D11" s="17" t="s">
        <v>5</v>
      </c>
      <c r="E11" s="16" t="s">
        <v>0</v>
      </c>
      <c r="F11" s="16" t="s">
        <v>7</v>
      </c>
      <c r="G11" s="20">
        <v>2000</v>
      </c>
      <c r="H11" s="20">
        <v>10624000</v>
      </c>
      <c r="I11" s="20">
        <v>4000</v>
      </c>
      <c r="J11" s="61">
        <f t="shared" si="0"/>
        <v>10630000</v>
      </c>
    </row>
    <row r="12" spans="1:10">
      <c r="A12" s="37"/>
      <c r="B12" s="15" t="s">
        <v>74</v>
      </c>
      <c r="C12" s="16" t="s">
        <v>104</v>
      </c>
      <c r="D12" s="17" t="s">
        <v>5</v>
      </c>
      <c r="E12" s="16" t="s">
        <v>0</v>
      </c>
      <c r="F12" s="16" t="s">
        <v>8</v>
      </c>
      <c r="G12" s="20">
        <v>1000</v>
      </c>
      <c r="H12" s="20">
        <v>5000</v>
      </c>
      <c r="I12" s="20">
        <v>9000</v>
      </c>
      <c r="J12" s="61">
        <f t="shared" si="0"/>
        <v>15000</v>
      </c>
    </row>
    <row r="13" spans="1:10">
      <c r="B13" s="15" t="s">
        <v>74</v>
      </c>
      <c r="C13" s="16" t="s">
        <v>105</v>
      </c>
      <c r="D13" s="17" t="s">
        <v>5</v>
      </c>
      <c r="E13" s="16" t="s">
        <v>0</v>
      </c>
      <c r="F13" s="16" t="s">
        <v>9</v>
      </c>
      <c r="G13" s="20">
        <v>2000</v>
      </c>
      <c r="H13" s="20">
        <v>6000</v>
      </c>
      <c r="I13" s="20">
        <v>1000</v>
      </c>
      <c r="J13" s="61">
        <f t="shared" si="0"/>
        <v>9000</v>
      </c>
    </row>
    <row r="14" spans="1:10">
      <c r="B14" s="15" t="s">
        <v>74</v>
      </c>
      <c r="C14" s="16" t="s">
        <v>106</v>
      </c>
      <c r="D14" s="17" t="s">
        <v>5</v>
      </c>
      <c r="E14" s="16" t="s">
        <v>0</v>
      </c>
      <c r="F14" s="16" t="s">
        <v>23</v>
      </c>
      <c r="G14" s="20">
        <v>3000</v>
      </c>
      <c r="H14" s="20">
        <v>7000</v>
      </c>
      <c r="I14" s="20">
        <v>2000</v>
      </c>
      <c r="J14" s="61">
        <f t="shared" si="0"/>
        <v>12000</v>
      </c>
    </row>
    <row r="15" spans="1:10">
      <c r="B15" s="15" t="s">
        <v>74</v>
      </c>
      <c r="C15" s="16" t="s">
        <v>107</v>
      </c>
      <c r="D15" s="17" t="s">
        <v>5</v>
      </c>
      <c r="E15" s="16" t="s">
        <v>0</v>
      </c>
      <c r="F15" s="16" t="s">
        <v>24</v>
      </c>
      <c r="G15" s="20">
        <v>4000</v>
      </c>
      <c r="H15" s="20">
        <v>8000</v>
      </c>
      <c r="I15" s="20">
        <v>300</v>
      </c>
      <c r="J15" s="61">
        <f t="shared" si="0"/>
        <v>12300</v>
      </c>
    </row>
    <row r="16" spans="1:10">
      <c r="B16" s="15" t="s">
        <v>74</v>
      </c>
      <c r="C16" s="16" t="s">
        <v>108</v>
      </c>
      <c r="D16" s="17" t="s">
        <v>5</v>
      </c>
      <c r="E16" s="16" t="s">
        <v>0</v>
      </c>
      <c r="F16" s="19" t="s">
        <v>12</v>
      </c>
      <c r="G16" s="61">
        <f>SUM(G10:G15)</f>
        <v>13000</v>
      </c>
      <c r="H16" s="61">
        <f>SUM(H10:H15)</f>
        <v>31022000</v>
      </c>
      <c r="I16" s="61">
        <f>SUM(I10:I15)</f>
        <v>19300</v>
      </c>
      <c r="J16" s="61">
        <f>SUM(J10:J15)</f>
        <v>31054300</v>
      </c>
    </row>
    <row r="17" spans="1:10">
      <c r="B17" s="15" t="s">
        <v>74</v>
      </c>
      <c r="C17" s="16" t="s">
        <v>109</v>
      </c>
      <c r="D17" s="17" t="s">
        <v>5</v>
      </c>
      <c r="E17" s="16" t="s">
        <v>0</v>
      </c>
      <c r="F17" s="123" t="s">
        <v>25</v>
      </c>
      <c r="G17" s="51">
        <v>5</v>
      </c>
      <c r="H17" s="51">
        <v>3</v>
      </c>
      <c r="I17" s="51">
        <v>6</v>
      </c>
      <c r="J17" s="51"/>
    </row>
    <row r="18" spans="1:10">
      <c r="A18" s="37"/>
      <c r="B18" s="119"/>
      <c r="C18" s="120"/>
      <c r="D18" s="121"/>
      <c r="E18" s="33"/>
      <c r="F18" s="122"/>
      <c r="G18" s="41"/>
      <c r="H18" s="41"/>
      <c r="I18" s="41"/>
      <c r="J18" s="48"/>
    </row>
    <row r="19" spans="1:10">
      <c r="A19" s="37"/>
      <c r="B19" s="119"/>
      <c r="C19" s="120"/>
      <c r="D19" s="121"/>
      <c r="E19" s="33"/>
      <c r="F19" s="102" t="s">
        <v>195</v>
      </c>
      <c r="G19" s="33"/>
      <c r="H19" s="33"/>
      <c r="I19" s="33"/>
      <c r="J19" s="124"/>
    </row>
    <row r="20" spans="1:10">
      <c r="A20" s="37"/>
      <c r="B20" s="15"/>
      <c r="C20" s="16"/>
      <c r="D20" s="17"/>
      <c r="E20" s="18"/>
      <c r="F20" s="19" t="s">
        <v>22</v>
      </c>
      <c r="G20" s="16"/>
      <c r="H20" s="16"/>
      <c r="I20" s="16"/>
      <c r="J20" s="47"/>
    </row>
    <row r="21" spans="1:10">
      <c r="A21" s="37" t="s">
        <v>52</v>
      </c>
      <c r="B21" s="15" t="s">
        <v>74</v>
      </c>
      <c r="C21" s="16" t="s">
        <v>102</v>
      </c>
      <c r="D21" s="17" t="s">
        <v>5</v>
      </c>
      <c r="E21" s="16" t="s">
        <v>0</v>
      </c>
      <c r="F21" s="123" t="s">
        <v>6</v>
      </c>
      <c r="G21" s="20">
        <v>1000</v>
      </c>
      <c r="H21" s="20">
        <v>20372000</v>
      </c>
      <c r="I21" s="20">
        <v>3000</v>
      </c>
      <c r="J21" s="61">
        <f t="shared" ref="J21:J26" si="1">G21+H21+I21</f>
        <v>20376000</v>
      </c>
    </row>
    <row r="22" spans="1:10">
      <c r="A22" s="37" t="s">
        <v>52</v>
      </c>
      <c r="B22" s="15" t="s">
        <v>74</v>
      </c>
      <c r="C22" s="16" t="s">
        <v>103</v>
      </c>
      <c r="D22" s="17" t="s">
        <v>5</v>
      </c>
      <c r="E22" s="16" t="s">
        <v>0</v>
      </c>
      <c r="F22" s="16" t="s">
        <v>7</v>
      </c>
      <c r="G22" s="20">
        <v>2000</v>
      </c>
      <c r="H22" s="20">
        <v>10624000</v>
      </c>
      <c r="I22" s="20">
        <v>4000</v>
      </c>
      <c r="J22" s="61">
        <f t="shared" si="1"/>
        <v>10630000</v>
      </c>
    </row>
    <row r="23" spans="1:10">
      <c r="A23" s="37" t="s">
        <v>52</v>
      </c>
      <c r="B23" s="15" t="s">
        <v>74</v>
      </c>
      <c r="C23" s="16" t="s">
        <v>104</v>
      </c>
      <c r="D23" s="17" t="s">
        <v>5</v>
      </c>
      <c r="E23" s="16" t="s">
        <v>0</v>
      </c>
      <c r="F23" s="16" t="s">
        <v>8</v>
      </c>
      <c r="G23" s="20">
        <v>1000</v>
      </c>
      <c r="H23" s="20">
        <v>5000</v>
      </c>
      <c r="I23" s="20">
        <v>9000</v>
      </c>
      <c r="J23" s="61">
        <f t="shared" si="1"/>
        <v>15000</v>
      </c>
    </row>
    <row r="24" spans="1:10">
      <c r="A24" s="37" t="s">
        <v>52</v>
      </c>
      <c r="B24" s="15" t="s">
        <v>74</v>
      </c>
      <c r="C24" s="16" t="s">
        <v>105</v>
      </c>
      <c r="D24" s="17" t="s">
        <v>5</v>
      </c>
      <c r="E24" s="16" t="s">
        <v>0</v>
      </c>
      <c r="F24" s="16" t="s">
        <v>9</v>
      </c>
      <c r="G24" s="20">
        <v>2000</v>
      </c>
      <c r="H24" s="20">
        <v>6000</v>
      </c>
      <c r="I24" s="20">
        <v>1000</v>
      </c>
      <c r="J24" s="61">
        <f t="shared" si="1"/>
        <v>9000</v>
      </c>
    </row>
    <row r="25" spans="1:10">
      <c r="A25" s="37" t="s">
        <v>52</v>
      </c>
      <c r="B25" s="15" t="s">
        <v>74</v>
      </c>
      <c r="C25" s="16" t="s">
        <v>106</v>
      </c>
      <c r="D25" s="17" t="s">
        <v>5</v>
      </c>
      <c r="E25" s="16" t="s">
        <v>0</v>
      </c>
      <c r="F25" s="16" t="s">
        <v>23</v>
      </c>
      <c r="G25" s="20">
        <v>3000</v>
      </c>
      <c r="H25" s="20">
        <v>7000</v>
      </c>
      <c r="I25" s="20">
        <v>2000</v>
      </c>
      <c r="J25" s="61">
        <f t="shared" si="1"/>
        <v>12000</v>
      </c>
    </row>
    <row r="26" spans="1:10">
      <c r="A26" s="37" t="s">
        <v>52</v>
      </c>
      <c r="B26" s="15" t="s">
        <v>74</v>
      </c>
      <c r="C26" s="16" t="s">
        <v>107</v>
      </c>
      <c r="D26" s="17" t="s">
        <v>5</v>
      </c>
      <c r="E26" s="16" t="s">
        <v>0</v>
      </c>
      <c r="F26" s="16" t="s">
        <v>24</v>
      </c>
      <c r="G26" s="20">
        <v>4000</v>
      </c>
      <c r="H26" s="20">
        <v>8000</v>
      </c>
      <c r="I26" s="20">
        <v>300</v>
      </c>
      <c r="J26" s="61">
        <f t="shared" si="1"/>
        <v>12300</v>
      </c>
    </row>
    <row r="27" spans="1:10">
      <c r="A27" s="37" t="s">
        <v>52</v>
      </c>
      <c r="B27" s="15" t="s">
        <v>74</v>
      </c>
      <c r="C27" s="16" t="s">
        <v>108</v>
      </c>
      <c r="D27" s="17" t="s">
        <v>5</v>
      </c>
      <c r="E27" s="16" t="s">
        <v>0</v>
      </c>
      <c r="F27" s="19" t="s">
        <v>12</v>
      </c>
      <c r="G27" s="61">
        <f>SUM(G21:G26)</f>
        <v>13000</v>
      </c>
      <c r="H27" s="61">
        <f>SUM(H21:H26)</f>
        <v>31022000</v>
      </c>
      <c r="I27" s="61">
        <f>SUM(I21:I26)</f>
        <v>19300</v>
      </c>
      <c r="J27" s="61">
        <f>SUM(J21:J26)</f>
        <v>31054300</v>
      </c>
    </row>
    <row r="28" spans="1:10">
      <c r="A28" s="37" t="s">
        <v>52</v>
      </c>
      <c r="B28" s="43" t="s">
        <v>74</v>
      </c>
      <c r="C28" s="44" t="s">
        <v>109</v>
      </c>
      <c r="D28" s="45" t="s">
        <v>5</v>
      </c>
      <c r="E28" s="44" t="s">
        <v>0</v>
      </c>
      <c r="F28" s="47" t="s">
        <v>25</v>
      </c>
      <c r="G28" s="51">
        <v>5</v>
      </c>
      <c r="H28" s="51">
        <v>3</v>
      </c>
      <c r="I28" s="51">
        <v>6</v>
      </c>
      <c r="J28" s="51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codigo!$A$1:$A$2</xm:f>
          </x14:formula1>
          <xm:sqref>G4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theme="8" tint="0.39997558519241921"/>
  </sheetPr>
  <dimension ref="A1:L128"/>
  <sheetViews>
    <sheetView tabSelected="1" topLeftCell="A82" zoomScaleNormal="100" workbookViewId="0">
      <selection activeCell="G94" sqref="G94"/>
    </sheetView>
  </sheetViews>
  <sheetFormatPr baseColWidth="10" defaultRowHeight="15"/>
  <cols>
    <col min="1" max="1" width="4" customWidth="1"/>
    <col min="2" max="2" width="3.5703125" customWidth="1"/>
    <col min="3" max="3" width="4" customWidth="1"/>
    <col min="4" max="4" width="5" customWidth="1"/>
    <col min="5" max="5" width="3" customWidth="1"/>
    <col min="6" max="6" width="93.140625" customWidth="1"/>
    <col min="7" max="7" width="18.28515625" bestFit="1" customWidth="1"/>
    <col min="8" max="8" width="14.7109375" customWidth="1"/>
    <col min="9" max="9" width="17.5703125" customWidth="1"/>
    <col min="12" max="12" width="22.85546875" customWidth="1"/>
  </cols>
  <sheetData>
    <row r="1" spans="1:12" ht="60" customHeight="1" thickBot="1"/>
    <row r="2" spans="1:12" ht="185.25" customHeight="1" thickBot="1">
      <c r="F2" s="109" t="s">
        <v>203</v>
      </c>
    </row>
    <row r="3" spans="1:12" ht="15.75" thickBot="1">
      <c r="A3" s="79"/>
    </row>
    <row r="4" spans="1:12" ht="16.5" thickBot="1">
      <c r="A4" s="79"/>
      <c r="F4" s="58" t="s">
        <v>54</v>
      </c>
      <c r="G4" s="59" t="s">
        <v>55</v>
      </c>
    </row>
    <row r="5" spans="1:12" ht="125.25" customHeight="1" thickBot="1">
      <c r="A5" s="108" t="s">
        <v>110</v>
      </c>
      <c r="B5" s="137" t="s">
        <v>138</v>
      </c>
      <c r="C5" s="137"/>
      <c r="D5" s="137"/>
      <c r="E5" s="137"/>
      <c r="F5" s="137"/>
      <c r="G5" s="56" t="s">
        <v>202</v>
      </c>
      <c r="H5" s="56" t="s">
        <v>201</v>
      </c>
      <c r="I5" s="107" t="s">
        <v>200</v>
      </c>
    </row>
    <row r="6" spans="1:12" ht="90" hidden="1">
      <c r="A6" s="106" t="s">
        <v>111</v>
      </c>
      <c r="B6" s="90"/>
      <c r="C6" s="90"/>
      <c r="D6" s="86" t="s">
        <v>199</v>
      </c>
      <c r="E6" s="86" t="s">
        <v>198</v>
      </c>
      <c r="F6" s="90"/>
      <c r="G6" s="105" t="str">
        <f>SUBSTITUTE(CONCATENATE("CLCP-MoneNaciExtr_",TRIM(G5),"_",COLUMN(G6),"|",G5)," ","")</f>
        <v>CLCP-MoneNaciExtr_Agregarcolumnaopcional1_7|Agregarcolumnaopcional1</v>
      </c>
      <c r="H6" s="105" t="str">
        <f>SUBSTITUTE(CONCATENATE("CLCP-MoneNaciExtr_",TRIM(H5),"_",COLUMN(H6),"|",H5)," ","")</f>
        <v>CLCP-MoneNaciExtr_Agregarcolumnaopcional2_8|Agregarcolumnaopcional2</v>
      </c>
      <c r="I6" s="104" t="s">
        <v>197</v>
      </c>
    </row>
    <row r="7" spans="1:12" ht="22.5" customHeight="1">
      <c r="A7" s="84"/>
      <c r="B7" s="90"/>
      <c r="C7" s="90"/>
      <c r="D7" s="90"/>
      <c r="E7" s="90"/>
      <c r="F7" s="90"/>
      <c r="G7" s="111"/>
      <c r="H7" s="111"/>
      <c r="I7" s="89"/>
    </row>
    <row r="8" spans="1:12" ht="22.5" customHeight="1">
      <c r="A8" s="84"/>
      <c r="B8" s="90"/>
      <c r="C8" s="90"/>
      <c r="D8" s="90"/>
      <c r="E8" s="90"/>
      <c r="F8" s="102" t="s">
        <v>196</v>
      </c>
      <c r="G8" s="112"/>
      <c r="H8" s="112"/>
      <c r="I8" s="89"/>
    </row>
    <row r="9" spans="1:12">
      <c r="A9" s="84"/>
      <c r="B9" s="86"/>
      <c r="C9" s="86"/>
      <c r="D9" s="86"/>
      <c r="E9" s="86"/>
      <c r="F9" s="100"/>
      <c r="G9" s="111"/>
      <c r="H9" s="111"/>
      <c r="I9" s="89"/>
    </row>
    <row r="10" spans="1:12">
      <c r="A10" s="84"/>
      <c r="B10" s="86"/>
      <c r="C10" s="86"/>
      <c r="D10" s="86"/>
      <c r="E10" s="86" t="s">
        <v>0</v>
      </c>
      <c r="F10" s="85" t="s">
        <v>194</v>
      </c>
      <c r="G10" s="111"/>
      <c r="H10" s="111"/>
      <c r="I10" s="98"/>
    </row>
    <row r="11" spans="1:12">
      <c r="A11" s="84"/>
      <c r="B11" s="86"/>
      <c r="C11" s="86" t="s">
        <v>193</v>
      </c>
      <c r="D11" s="86" t="s">
        <v>5</v>
      </c>
      <c r="E11" s="86"/>
      <c r="F11" s="99" t="s">
        <v>431</v>
      </c>
      <c r="G11" s="113" t="s">
        <v>238</v>
      </c>
      <c r="H11" s="113"/>
      <c r="I11" s="118"/>
    </row>
    <row r="12" spans="1:12">
      <c r="A12" s="84"/>
      <c r="B12" s="86"/>
      <c r="C12" s="86"/>
      <c r="D12" s="86"/>
      <c r="E12" s="86"/>
      <c r="F12" s="87" t="s">
        <v>192</v>
      </c>
      <c r="G12" s="111"/>
      <c r="H12" s="111"/>
      <c r="I12" s="98"/>
    </row>
    <row r="13" spans="1:12">
      <c r="A13" s="84"/>
      <c r="B13" s="86"/>
      <c r="C13" s="86"/>
      <c r="D13" s="86"/>
      <c r="E13" s="86"/>
      <c r="F13" s="91" t="s">
        <v>191</v>
      </c>
      <c r="G13" s="111"/>
      <c r="H13" s="111"/>
      <c r="I13" s="97"/>
    </row>
    <row r="14" spans="1:12">
      <c r="A14" s="84"/>
      <c r="B14" s="86"/>
      <c r="C14" s="86" t="s">
        <v>190</v>
      </c>
      <c r="D14" s="86" t="s">
        <v>5</v>
      </c>
      <c r="E14" s="86"/>
      <c r="F14" s="96" t="s">
        <v>385</v>
      </c>
      <c r="G14" s="114">
        <v>114224711000</v>
      </c>
      <c r="H14" s="114"/>
      <c r="I14" s="110">
        <f>SUM(G14:H14)</f>
        <v>114224711000</v>
      </c>
      <c r="L14" s="136"/>
    </row>
    <row r="15" spans="1:12">
      <c r="A15" s="84"/>
      <c r="B15" s="86"/>
      <c r="C15" s="86" t="s">
        <v>189</v>
      </c>
      <c r="D15" s="86" t="s">
        <v>5</v>
      </c>
      <c r="E15" s="86"/>
      <c r="F15" s="96" t="s">
        <v>386</v>
      </c>
      <c r="G15" s="114">
        <v>18747721000</v>
      </c>
      <c r="H15" s="114"/>
      <c r="I15" s="110">
        <f t="shared" ref="I15:I41" si="0">SUM(G15:H15)</f>
        <v>18747721000</v>
      </c>
      <c r="L15" s="136"/>
    </row>
    <row r="16" spans="1:12">
      <c r="A16" s="84"/>
      <c r="B16" s="86"/>
      <c r="C16" s="86" t="s">
        <v>188</v>
      </c>
      <c r="D16" s="86" t="s">
        <v>5</v>
      </c>
      <c r="E16" s="86"/>
      <c r="F16" s="96" t="s">
        <v>387</v>
      </c>
      <c r="G16" s="114">
        <v>29428064000</v>
      </c>
      <c r="H16" s="114"/>
      <c r="I16" s="110">
        <f t="shared" si="0"/>
        <v>29428064000</v>
      </c>
      <c r="L16" s="136"/>
    </row>
    <row r="17" spans="1:12">
      <c r="A17" s="84"/>
      <c r="B17" s="86"/>
      <c r="C17" s="86" t="s">
        <v>187</v>
      </c>
      <c r="D17" s="86" t="s">
        <v>5</v>
      </c>
      <c r="E17" s="86"/>
      <c r="F17" s="96" t="s">
        <v>388</v>
      </c>
      <c r="G17" s="114">
        <v>26155137000</v>
      </c>
      <c r="H17" s="114"/>
      <c r="I17" s="110">
        <f t="shared" si="0"/>
        <v>26155137000</v>
      </c>
      <c r="L17" s="136"/>
    </row>
    <row r="18" spans="1:12">
      <c r="A18" s="84"/>
      <c r="B18" s="86"/>
      <c r="C18" s="86" t="s">
        <v>186</v>
      </c>
      <c r="D18" s="86" t="s">
        <v>5</v>
      </c>
      <c r="E18" s="86"/>
      <c r="F18" s="96" t="s">
        <v>389</v>
      </c>
      <c r="G18" s="114">
        <v>5562759000</v>
      </c>
      <c r="H18" s="114"/>
      <c r="I18" s="110">
        <f t="shared" si="0"/>
        <v>5562759000</v>
      </c>
      <c r="L18" s="136"/>
    </row>
    <row r="19" spans="1:12">
      <c r="A19" s="84"/>
      <c r="B19" s="86"/>
      <c r="C19" s="86" t="s">
        <v>185</v>
      </c>
      <c r="D19" s="86" t="s">
        <v>5</v>
      </c>
      <c r="E19" s="86"/>
      <c r="F19" s="96" t="s">
        <v>390</v>
      </c>
      <c r="G19" s="114"/>
      <c r="H19" s="114"/>
      <c r="I19" s="110">
        <f t="shared" si="0"/>
        <v>0</v>
      </c>
    </row>
    <row r="20" spans="1:12">
      <c r="A20" s="84"/>
      <c r="B20" s="86"/>
      <c r="C20" s="86" t="s">
        <v>184</v>
      </c>
      <c r="D20" s="86" t="s">
        <v>5</v>
      </c>
      <c r="E20" s="86"/>
      <c r="F20" s="96" t="s">
        <v>391</v>
      </c>
      <c r="G20" s="114"/>
      <c r="H20" s="114"/>
      <c r="I20" s="110">
        <f t="shared" si="0"/>
        <v>0</v>
      </c>
    </row>
    <row r="21" spans="1:12">
      <c r="A21" s="84"/>
      <c r="B21" s="86"/>
      <c r="C21" s="86" t="s">
        <v>183</v>
      </c>
      <c r="D21" s="86" t="s">
        <v>5</v>
      </c>
      <c r="E21" s="86"/>
      <c r="F21" s="96" t="s">
        <v>392</v>
      </c>
      <c r="G21" s="114">
        <v>4330018000</v>
      </c>
      <c r="H21" s="114"/>
      <c r="I21" s="110">
        <f t="shared" si="0"/>
        <v>4330018000</v>
      </c>
      <c r="L21" s="136"/>
    </row>
    <row r="22" spans="1:12">
      <c r="A22" s="84"/>
      <c r="B22" s="86"/>
      <c r="C22" s="86" t="s">
        <v>182</v>
      </c>
      <c r="D22" s="86" t="s">
        <v>5</v>
      </c>
      <c r="E22" s="86"/>
      <c r="F22" s="95" t="s">
        <v>393</v>
      </c>
      <c r="G22" s="115">
        <f>G14+G15+G16+G17+G18+G19+G20+G21</f>
        <v>198448410000</v>
      </c>
      <c r="H22" s="115">
        <f>H14+H15+H16+H17+H18+H19+H20+H21</f>
        <v>0</v>
      </c>
      <c r="I22" s="110">
        <f t="shared" si="0"/>
        <v>198448410000</v>
      </c>
      <c r="L22" s="136"/>
    </row>
    <row r="23" spans="1:12">
      <c r="A23" s="84"/>
      <c r="B23" s="86"/>
      <c r="C23" s="86" t="s">
        <v>181</v>
      </c>
      <c r="D23" s="86" t="s">
        <v>5</v>
      </c>
      <c r="E23" s="86"/>
      <c r="F23" s="94" t="s">
        <v>394</v>
      </c>
      <c r="G23" s="114"/>
      <c r="H23" s="114"/>
      <c r="I23" s="110">
        <f t="shared" si="0"/>
        <v>0</v>
      </c>
    </row>
    <row r="24" spans="1:12">
      <c r="A24" s="84"/>
      <c r="B24" s="86"/>
      <c r="C24" s="86" t="s">
        <v>180</v>
      </c>
      <c r="D24" s="86" t="s">
        <v>5</v>
      </c>
      <c r="E24" s="86"/>
      <c r="F24" s="93" t="s">
        <v>395</v>
      </c>
      <c r="G24" s="115">
        <f>G22+G23</f>
        <v>198448410000</v>
      </c>
      <c r="H24" s="115">
        <f>H22+H23</f>
        <v>0</v>
      </c>
      <c r="I24" s="110">
        <f t="shared" si="0"/>
        <v>198448410000</v>
      </c>
      <c r="L24" s="136"/>
    </row>
    <row r="25" spans="1:12">
      <c r="A25" s="84"/>
      <c r="B25" s="86"/>
      <c r="C25" s="86"/>
      <c r="D25" s="86"/>
      <c r="E25" s="86"/>
      <c r="F25" s="91" t="s">
        <v>179</v>
      </c>
      <c r="G25" s="112"/>
      <c r="H25" s="112"/>
      <c r="I25" s="89"/>
    </row>
    <row r="26" spans="1:12">
      <c r="A26" s="84"/>
      <c r="B26" s="86"/>
      <c r="C26" s="86" t="s">
        <v>178</v>
      </c>
      <c r="D26" s="86" t="s">
        <v>5</v>
      </c>
      <c r="E26" s="86"/>
      <c r="F26" s="94" t="s">
        <v>396</v>
      </c>
      <c r="G26" s="138">
        <v>240419000</v>
      </c>
      <c r="H26" s="114"/>
      <c r="I26" s="110">
        <f t="shared" si="0"/>
        <v>240419000</v>
      </c>
    </row>
    <row r="27" spans="1:12">
      <c r="A27" s="84"/>
      <c r="B27" s="86"/>
      <c r="C27" s="86" t="s">
        <v>177</v>
      </c>
      <c r="D27" s="86" t="s">
        <v>5</v>
      </c>
      <c r="E27" s="86"/>
      <c r="F27" s="94" t="s">
        <v>397</v>
      </c>
      <c r="G27" s="114">
        <v>28490567000</v>
      </c>
      <c r="H27" s="114"/>
      <c r="I27" s="110">
        <f t="shared" si="0"/>
        <v>28490567000</v>
      </c>
      <c r="L27" s="136"/>
    </row>
    <row r="28" spans="1:12">
      <c r="A28" s="84"/>
      <c r="B28" s="86"/>
      <c r="C28" s="86" t="s">
        <v>176</v>
      </c>
      <c r="D28" s="86" t="s">
        <v>5</v>
      </c>
      <c r="E28" s="86"/>
      <c r="F28" s="94" t="s">
        <v>398</v>
      </c>
      <c r="G28" s="114">
        <v>284841000</v>
      </c>
      <c r="H28" s="114"/>
      <c r="I28" s="110">
        <f t="shared" si="0"/>
        <v>284841000</v>
      </c>
      <c r="L28" s="136"/>
    </row>
    <row r="29" spans="1:12">
      <c r="A29" s="84"/>
      <c r="B29" s="86"/>
      <c r="C29" s="86" t="s">
        <v>175</v>
      </c>
      <c r="D29" s="86" t="s">
        <v>5</v>
      </c>
      <c r="E29" s="86"/>
      <c r="F29" s="94" t="s">
        <v>399</v>
      </c>
      <c r="G29" s="114"/>
      <c r="H29" s="114"/>
      <c r="I29" s="110">
        <f t="shared" si="0"/>
        <v>0</v>
      </c>
    </row>
    <row r="30" spans="1:12">
      <c r="A30" s="84"/>
      <c r="B30" s="86"/>
      <c r="C30" s="86" t="s">
        <v>174</v>
      </c>
      <c r="D30" s="86" t="s">
        <v>5</v>
      </c>
      <c r="E30" s="86"/>
      <c r="F30" s="94" t="s">
        <v>400</v>
      </c>
      <c r="G30" s="114"/>
      <c r="H30" s="114"/>
      <c r="I30" s="110">
        <f t="shared" si="0"/>
        <v>0</v>
      </c>
    </row>
    <row r="31" spans="1:12">
      <c r="A31" s="84"/>
      <c r="B31" s="86"/>
      <c r="C31" s="86" t="s">
        <v>173</v>
      </c>
      <c r="D31" s="86" t="s">
        <v>5</v>
      </c>
      <c r="E31" s="86"/>
      <c r="F31" s="94" t="s">
        <v>401</v>
      </c>
      <c r="G31" s="114">
        <v>57618362000</v>
      </c>
      <c r="H31" s="114"/>
      <c r="I31" s="110">
        <f t="shared" si="0"/>
        <v>57618362000</v>
      </c>
      <c r="L31" s="136"/>
    </row>
    <row r="32" spans="1:12">
      <c r="A32" s="84"/>
      <c r="B32" s="86"/>
      <c r="C32" s="86" t="s">
        <v>172</v>
      </c>
      <c r="D32" s="86" t="s">
        <v>5</v>
      </c>
      <c r="E32" s="86"/>
      <c r="F32" s="94" t="s">
        <v>402</v>
      </c>
      <c r="G32" s="114">
        <v>36521820000</v>
      </c>
      <c r="H32" s="114"/>
      <c r="I32" s="110">
        <f t="shared" si="0"/>
        <v>36521820000</v>
      </c>
      <c r="L32" s="136"/>
    </row>
    <row r="33" spans="1:12">
      <c r="A33" s="84"/>
      <c r="B33" s="86"/>
      <c r="C33" s="86" t="s">
        <v>171</v>
      </c>
      <c r="D33" s="86" t="s">
        <v>5</v>
      </c>
      <c r="E33" s="86"/>
      <c r="F33" s="94" t="s">
        <v>403</v>
      </c>
      <c r="G33" s="114">
        <v>13089116000</v>
      </c>
      <c r="H33" s="114"/>
      <c r="I33" s="110">
        <f t="shared" si="0"/>
        <v>13089116000</v>
      </c>
      <c r="L33" s="136"/>
    </row>
    <row r="34" spans="1:12">
      <c r="A34" s="84"/>
      <c r="B34" s="86"/>
      <c r="C34" s="86" t="s">
        <v>170</v>
      </c>
      <c r="D34" s="86" t="s">
        <v>5</v>
      </c>
      <c r="E34" s="86"/>
      <c r="F34" s="94" t="s">
        <v>404</v>
      </c>
      <c r="G34" s="138">
        <v>2835678000</v>
      </c>
      <c r="H34" s="114"/>
      <c r="I34" s="110">
        <f t="shared" si="0"/>
        <v>2835678000</v>
      </c>
      <c r="L34" s="136"/>
    </row>
    <row r="35" spans="1:12">
      <c r="A35" s="84"/>
      <c r="B35" s="86"/>
      <c r="C35" s="86" t="s">
        <v>169</v>
      </c>
      <c r="D35" s="86" t="s">
        <v>5</v>
      </c>
      <c r="E35" s="86"/>
      <c r="F35" s="94" t="s">
        <v>405</v>
      </c>
      <c r="G35" s="114"/>
      <c r="H35" s="114"/>
      <c r="I35" s="110">
        <f t="shared" si="0"/>
        <v>0</v>
      </c>
    </row>
    <row r="36" spans="1:12">
      <c r="A36" s="84"/>
      <c r="B36" s="86"/>
      <c r="C36" s="86" t="s">
        <v>168</v>
      </c>
      <c r="D36" s="86" t="s">
        <v>5</v>
      </c>
      <c r="E36" s="86"/>
      <c r="F36" s="94" t="s">
        <v>406</v>
      </c>
      <c r="G36" s="114">
        <v>1309154784000</v>
      </c>
      <c r="H36" s="114"/>
      <c r="I36" s="110">
        <f t="shared" si="0"/>
        <v>1309154784000</v>
      </c>
      <c r="L36" s="136"/>
    </row>
    <row r="37" spans="1:12">
      <c r="A37" s="84"/>
      <c r="B37" s="86"/>
      <c r="C37" s="126" t="s">
        <v>432</v>
      </c>
      <c r="D37" s="126" t="s">
        <v>5</v>
      </c>
      <c r="E37" s="126"/>
      <c r="F37" s="127" t="s">
        <v>440</v>
      </c>
      <c r="G37" s="114">
        <v>10000</v>
      </c>
      <c r="H37" s="114"/>
      <c r="I37" s="110">
        <f t="shared" si="0"/>
        <v>10000</v>
      </c>
      <c r="L37" s="136"/>
    </row>
    <row r="38" spans="1:12">
      <c r="A38" s="84"/>
      <c r="B38" s="86"/>
      <c r="C38" s="86" t="s">
        <v>167</v>
      </c>
      <c r="D38" s="86" t="s">
        <v>5</v>
      </c>
      <c r="E38" s="86"/>
      <c r="F38" s="94" t="s">
        <v>407</v>
      </c>
      <c r="G38" s="114">
        <v>-100010000</v>
      </c>
      <c r="H38" s="114"/>
      <c r="I38" s="110">
        <f t="shared" si="0"/>
        <v>-100010000</v>
      </c>
      <c r="L38" s="136"/>
    </row>
    <row r="39" spans="1:12">
      <c r="A39" s="84"/>
      <c r="B39" s="86"/>
      <c r="C39" s="86" t="s">
        <v>166</v>
      </c>
      <c r="D39" s="86" t="s">
        <v>5</v>
      </c>
      <c r="E39" s="86"/>
      <c r="F39" s="94" t="s">
        <v>408</v>
      </c>
      <c r="G39" s="114">
        <v>43516148000</v>
      </c>
      <c r="H39" s="114"/>
      <c r="I39" s="110">
        <f t="shared" si="0"/>
        <v>43516148000</v>
      </c>
      <c r="L39" s="136"/>
    </row>
    <row r="40" spans="1:12">
      <c r="A40" s="84"/>
      <c r="B40" s="86"/>
      <c r="C40" s="86" t="s">
        <v>165</v>
      </c>
      <c r="D40" s="86" t="s">
        <v>5</v>
      </c>
      <c r="E40" s="86"/>
      <c r="F40" s="93" t="s">
        <v>409</v>
      </c>
      <c r="G40" s="115">
        <f>G26+G27+G28+G29+G30+G31+G32+G33+G34+G35+G36+G37+G38+G39</f>
        <v>1491651735000</v>
      </c>
      <c r="H40" s="115">
        <f t="shared" ref="H40" si="1">H26+H27+H28+H29+H30+H31+H32+H33+H34+H35+H36+H37+H38+H39</f>
        <v>0</v>
      </c>
      <c r="I40" s="110">
        <f t="shared" si="0"/>
        <v>1491651735000</v>
      </c>
      <c r="L40" s="136"/>
    </row>
    <row r="41" spans="1:12">
      <c r="A41" s="84"/>
      <c r="B41" s="86"/>
      <c r="C41" s="86" t="s">
        <v>164</v>
      </c>
      <c r="D41" s="86" t="s">
        <v>5</v>
      </c>
      <c r="E41" s="86"/>
      <c r="F41" s="87" t="s">
        <v>410</v>
      </c>
      <c r="G41" s="115">
        <f>G24+G40</f>
        <v>1690100145000</v>
      </c>
      <c r="H41" s="115">
        <f>H24+H40</f>
        <v>0</v>
      </c>
      <c r="I41" s="110">
        <f t="shared" si="0"/>
        <v>1690100145000</v>
      </c>
      <c r="L41" s="136"/>
    </row>
    <row r="42" spans="1:12">
      <c r="A42" s="84"/>
      <c r="B42" s="86"/>
      <c r="C42" s="86"/>
      <c r="D42" s="86"/>
      <c r="E42" s="86"/>
      <c r="F42" s="85" t="s">
        <v>163</v>
      </c>
      <c r="G42" s="112"/>
      <c r="H42" s="112"/>
      <c r="I42" s="89"/>
    </row>
    <row r="43" spans="1:12">
      <c r="A43" s="84"/>
      <c r="B43" s="86"/>
      <c r="C43" s="86"/>
      <c r="D43" s="86"/>
      <c r="E43" s="86"/>
      <c r="F43" s="87" t="s">
        <v>162</v>
      </c>
      <c r="G43" s="112"/>
      <c r="H43" s="112"/>
      <c r="I43" s="89"/>
    </row>
    <row r="44" spans="1:12">
      <c r="A44" s="84"/>
      <c r="B44" s="86"/>
      <c r="C44" s="86" t="s">
        <v>161</v>
      </c>
      <c r="D44" s="86" t="s">
        <v>5</v>
      </c>
      <c r="E44" s="86"/>
      <c r="F44" s="92" t="s">
        <v>411</v>
      </c>
      <c r="G44" s="114">
        <v>77964757000</v>
      </c>
      <c r="H44" s="114"/>
      <c r="I44" s="110">
        <f t="shared" ref="I44:I66" si="2">SUM(G44:H44)</f>
        <v>77964757000</v>
      </c>
      <c r="L44" s="136"/>
    </row>
    <row r="45" spans="1:12">
      <c r="A45" s="84"/>
      <c r="B45" s="86"/>
      <c r="C45" s="126" t="s">
        <v>433</v>
      </c>
      <c r="D45" s="126" t="s">
        <v>5</v>
      </c>
      <c r="E45" s="126"/>
      <c r="F45" s="128" t="s">
        <v>439</v>
      </c>
      <c r="G45" s="114">
        <v>17000</v>
      </c>
      <c r="H45" s="114"/>
      <c r="I45" s="110">
        <f t="shared" si="2"/>
        <v>17000</v>
      </c>
      <c r="L45" s="136"/>
    </row>
    <row r="46" spans="1:12">
      <c r="A46" s="84"/>
      <c r="B46" s="86"/>
      <c r="C46" s="86" t="s">
        <v>160</v>
      </c>
      <c r="D46" s="86" t="s">
        <v>5</v>
      </c>
      <c r="E46" s="86"/>
      <c r="F46" s="92" t="s">
        <v>412</v>
      </c>
      <c r="G46" s="114">
        <v>27226571000</v>
      </c>
      <c r="H46" s="114"/>
      <c r="I46" s="110">
        <f t="shared" si="2"/>
        <v>27226571000</v>
      </c>
      <c r="L46" s="136"/>
    </row>
    <row r="47" spans="1:12">
      <c r="A47" s="84"/>
      <c r="B47" s="86"/>
      <c r="C47" s="86" t="s">
        <v>159</v>
      </c>
      <c r="D47" s="86" t="s">
        <v>5</v>
      </c>
      <c r="E47" s="86"/>
      <c r="F47" s="92" t="s">
        <v>413</v>
      </c>
      <c r="G47" s="114">
        <v>2418620000</v>
      </c>
      <c r="H47" s="114"/>
      <c r="I47" s="110">
        <f t="shared" si="2"/>
        <v>2418620000</v>
      </c>
      <c r="L47" s="136"/>
    </row>
    <row r="48" spans="1:12">
      <c r="A48" s="84"/>
      <c r="B48" s="86"/>
      <c r="C48" s="86" t="s">
        <v>158</v>
      </c>
      <c r="D48" s="86" t="s">
        <v>5</v>
      </c>
      <c r="E48" s="86"/>
      <c r="F48" s="92" t="s">
        <v>414</v>
      </c>
      <c r="G48" s="114">
        <v>1539866000</v>
      </c>
      <c r="H48" s="114"/>
      <c r="I48" s="110">
        <f t="shared" si="2"/>
        <v>1539866000</v>
      </c>
      <c r="L48" s="136"/>
    </row>
    <row r="49" spans="1:12">
      <c r="A49" s="84"/>
      <c r="B49" s="86"/>
      <c r="C49" s="86" t="s">
        <v>157</v>
      </c>
      <c r="D49" s="86" t="s">
        <v>5</v>
      </c>
      <c r="E49" s="86"/>
      <c r="F49" s="92" t="s">
        <v>415</v>
      </c>
      <c r="G49" s="114">
        <v>5193892000</v>
      </c>
      <c r="H49" s="114"/>
      <c r="I49" s="110">
        <f t="shared" si="2"/>
        <v>5193892000</v>
      </c>
      <c r="L49" s="136"/>
    </row>
    <row r="50" spans="1:12">
      <c r="A50" s="84"/>
      <c r="B50" s="86"/>
      <c r="C50" s="86" t="s">
        <v>156</v>
      </c>
      <c r="D50" s="86" t="s">
        <v>5</v>
      </c>
      <c r="E50" s="86"/>
      <c r="F50" s="92" t="s">
        <v>416</v>
      </c>
      <c r="G50" s="114">
        <v>3895946000</v>
      </c>
      <c r="H50" s="114"/>
      <c r="I50" s="110">
        <f t="shared" si="2"/>
        <v>3895946000</v>
      </c>
      <c r="L50" s="136"/>
    </row>
    <row r="51" spans="1:12">
      <c r="A51" s="84"/>
      <c r="B51" s="86"/>
      <c r="C51" s="86" t="s">
        <v>155</v>
      </c>
      <c r="D51" s="86" t="s">
        <v>5</v>
      </c>
      <c r="E51" s="86"/>
      <c r="F51" s="92" t="s">
        <v>417</v>
      </c>
      <c r="G51" s="114">
        <v>6926888000</v>
      </c>
      <c r="H51" s="114"/>
      <c r="I51" s="110">
        <f t="shared" si="2"/>
        <v>6926888000</v>
      </c>
      <c r="L51" s="136"/>
    </row>
    <row r="52" spans="1:12">
      <c r="A52" s="84"/>
      <c r="B52" s="86"/>
      <c r="C52" s="86" t="s">
        <v>154</v>
      </c>
      <c r="D52" s="86" t="s">
        <v>5</v>
      </c>
      <c r="E52" s="86"/>
      <c r="F52" s="91" t="s">
        <v>418</v>
      </c>
      <c r="G52" s="115">
        <f>G44+G45+G46+G47+G48+G49+G50+G51</f>
        <v>125166557000</v>
      </c>
      <c r="H52" s="115">
        <f t="shared" ref="H52" si="3">H44+H45+H46+H47+H48+H49+H50+H51</f>
        <v>0</v>
      </c>
      <c r="I52" s="110">
        <f t="shared" si="2"/>
        <v>125166557000</v>
      </c>
      <c r="L52" s="136"/>
    </row>
    <row r="53" spans="1:12">
      <c r="A53" s="84"/>
      <c r="B53" s="86"/>
      <c r="C53" s="86" t="s">
        <v>153</v>
      </c>
      <c r="D53" s="86" t="s">
        <v>5</v>
      </c>
      <c r="E53" s="86"/>
      <c r="F53" s="88" t="s">
        <v>419</v>
      </c>
      <c r="G53" s="114"/>
      <c r="H53" s="114"/>
      <c r="I53" s="110">
        <f t="shared" si="2"/>
        <v>0</v>
      </c>
    </row>
    <row r="54" spans="1:12">
      <c r="A54" s="84"/>
      <c r="B54" s="86"/>
      <c r="C54" s="86" t="s">
        <v>152</v>
      </c>
      <c r="D54" s="86" t="s">
        <v>5</v>
      </c>
      <c r="E54" s="86"/>
      <c r="F54" s="87" t="s">
        <v>420</v>
      </c>
      <c r="G54" s="115">
        <f>G52+G53</f>
        <v>125166557000</v>
      </c>
      <c r="H54" s="115">
        <f>H52+H53</f>
        <v>0</v>
      </c>
      <c r="I54" s="110">
        <f t="shared" si="2"/>
        <v>125166557000</v>
      </c>
      <c r="L54" s="136"/>
    </row>
    <row r="55" spans="1:12">
      <c r="A55" s="84"/>
      <c r="B55" s="86"/>
      <c r="C55" s="86"/>
      <c r="D55" s="86"/>
      <c r="E55" s="86"/>
      <c r="F55" s="87" t="s">
        <v>151</v>
      </c>
      <c r="G55" s="112"/>
      <c r="H55" s="112"/>
      <c r="I55" s="89"/>
    </row>
    <row r="56" spans="1:12">
      <c r="A56" s="84"/>
      <c r="B56" s="86"/>
      <c r="C56" s="86" t="s">
        <v>150</v>
      </c>
      <c r="D56" s="86" t="s">
        <v>5</v>
      </c>
      <c r="E56" s="86"/>
      <c r="F56" s="88" t="s">
        <v>421</v>
      </c>
      <c r="G56" s="114">
        <v>626015040000</v>
      </c>
      <c r="H56" s="114"/>
      <c r="I56" s="110">
        <f t="shared" si="2"/>
        <v>626015040000</v>
      </c>
      <c r="L56" s="136"/>
    </row>
    <row r="57" spans="1:12">
      <c r="A57" s="84"/>
      <c r="B57" s="86"/>
      <c r="C57" s="126" t="s">
        <v>434</v>
      </c>
      <c r="D57" s="126" t="s">
        <v>5</v>
      </c>
      <c r="E57" s="126"/>
      <c r="F57" s="129" t="s">
        <v>438</v>
      </c>
      <c r="G57" s="114">
        <v>111247000</v>
      </c>
      <c r="H57" s="114"/>
      <c r="I57" s="110">
        <f t="shared" si="2"/>
        <v>111247000</v>
      </c>
      <c r="L57" s="136"/>
    </row>
    <row r="58" spans="1:12">
      <c r="A58" s="84"/>
      <c r="B58" s="86"/>
      <c r="C58" s="86" t="s">
        <v>149</v>
      </c>
      <c r="D58" s="86" t="s">
        <v>5</v>
      </c>
      <c r="E58" s="86"/>
      <c r="F58" s="88" t="s">
        <v>422</v>
      </c>
      <c r="G58" s="114"/>
      <c r="H58" s="114"/>
      <c r="I58" s="110">
        <f t="shared" si="2"/>
        <v>0</v>
      </c>
    </row>
    <row r="59" spans="1:12">
      <c r="A59" s="84"/>
      <c r="B59" s="86"/>
      <c r="C59" s="86" t="s">
        <v>148</v>
      </c>
      <c r="D59" s="86" t="s">
        <v>5</v>
      </c>
      <c r="E59" s="86"/>
      <c r="F59" s="88" t="s">
        <v>423</v>
      </c>
      <c r="G59" s="114"/>
      <c r="H59" s="114"/>
      <c r="I59" s="110">
        <f t="shared" si="2"/>
        <v>0</v>
      </c>
    </row>
    <row r="60" spans="1:12">
      <c r="A60" s="84"/>
      <c r="B60" s="86"/>
      <c r="C60" s="86" t="s">
        <v>147</v>
      </c>
      <c r="D60" s="86" t="s">
        <v>5</v>
      </c>
      <c r="E60" s="86"/>
      <c r="F60" s="88" t="s">
        <v>424</v>
      </c>
      <c r="G60" s="114"/>
      <c r="H60" s="114"/>
      <c r="I60" s="110">
        <f t="shared" si="2"/>
        <v>0</v>
      </c>
    </row>
    <row r="61" spans="1:12">
      <c r="A61" s="84"/>
      <c r="B61" s="86"/>
      <c r="C61" s="86" t="s">
        <v>146</v>
      </c>
      <c r="D61" s="86" t="s">
        <v>5</v>
      </c>
      <c r="E61" s="86"/>
      <c r="F61" s="88" t="s">
        <v>425</v>
      </c>
      <c r="G61" s="114">
        <v>130050387000</v>
      </c>
      <c r="H61" s="114"/>
      <c r="I61" s="110">
        <f t="shared" si="2"/>
        <v>130050387000</v>
      </c>
      <c r="L61" s="136"/>
    </row>
    <row r="62" spans="1:12">
      <c r="A62" s="84"/>
      <c r="B62" s="86"/>
      <c r="C62" s="86" t="s">
        <v>145</v>
      </c>
      <c r="D62" s="86" t="s">
        <v>5</v>
      </c>
      <c r="E62" s="86"/>
      <c r="F62" s="88" t="s">
        <v>426</v>
      </c>
      <c r="G62" s="114"/>
      <c r="H62" s="114"/>
      <c r="I62" s="110">
        <f t="shared" si="2"/>
        <v>0</v>
      </c>
    </row>
    <row r="63" spans="1:12">
      <c r="A63" s="84"/>
      <c r="B63" s="86"/>
      <c r="C63" s="86" t="s">
        <v>144</v>
      </c>
      <c r="D63" s="86" t="s">
        <v>5</v>
      </c>
      <c r="E63" s="86"/>
      <c r="F63" s="88" t="s">
        <v>427</v>
      </c>
      <c r="G63" s="114"/>
      <c r="H63" s="114"/>
      <c r="I63" s="110">
        <f t="shared" si="2"/>
        <v>0</v>
      </c>
    </row>
    <row r="64" spans="1:12">
      <c r="A64" s="84"/>
      <c r="B64" s="86"/>
      <c r="C64" s="86" t="s">
        <v>143</v>
      </c>
      <c r="D64" s="86" t="s">
        <v>5</v>
      </c>
      <c r="E64" s="86"/>
      <c r="F64" s="88" t="s">
        <v>428</v>
      </c>
      <c r="G64" s="114">
        <v>14192599000</v>
      </c>
      <c r="H64" s="114"/>
      <c r="I64" s="110">
        <f t="shared" si="2"/>
        <v>14192599000</v>
      </c>
      <c r="L64" s="136"/>
    </row>
    <row r="65" spans="1:12">
      <c r="A65" s="84"/>
      <c r="B65" s="86"/>
      <c r="C65" s="86" t="s">
        <v>142</v>
      </c>
      <c r="D65" s="86" t="s">
        <v>5</v>
      </c>
      <c r="E65" s="86"/>
      <c r="F65" s="87" t="s">
        <v>429</v>
      </c>
      <c r="G65" s="115">
        <f>G56+G57+G58+G59+G60+G61+G62+G63+G64</f>
        <v>770369273000</v>
      </c>
      <c r="H65" s="115">
        <f t="shared" ref="H65" si="4">H56+H57+H58+H59+H60+H61+H62+H63+H64</f>
        <v>0</v>
      </c>
      <c r="I65" s="110">
        <f t="shared" si="2"/>
        <v>770369273000</v>
      </c>
      <c r="L65" s="136"/>
    </row>
    <row r="66" spans="1:12">
      <c r="A66" s="84"/>
      <c r="B66" s="86"/>
      <c r="C66" s="86" t="s">
        <v>141</v>
      </c>
      <c r="D66" s="86" t="s">
        <v>5</v>
      </c>
      <c r="E66" s="86"/>
      <c r="F66" s="85" t="s">
        <v>430</v>
      </c>
      <c r="G66" s="115">
        <f>G54+G65</f>
        <v>895535830000</v>
      </c>
      <c r="H66" s="115">
        <f>H54+H65</f>
        <v>0</v>
      </c>
      <c r="I66" s="110">
        <f t="shared" si="2"/>
        <v>895535830000</v>
      </c>
      <c r="L66" s="136"/>
    </row>
    <row r="67" spans="1:12">
      <c r="A67" s="84"/>
      <c r="B67" s="86"/>
      <c r="C67" s="103"/>
      <c r="D67" s="103"/>
      <c r="E67" s="103"/>
      <c r="F67" s="103"/>
      <c r="G67" s="116"/>
      <c r="H67" s="112"/>
      <c r="I67" s="89"/>
    </row>
    <row r="68" spans="1:12" ht="22.5" customHeight="1">
      <c r="A68" s="84"/>
      <c r="B68" s="90"/>
      <c r="C68" s="90"/>
      <c r="D68" s="90"/>
      <c r="E68" s="90"/>
      <c r="F68" s="102" t="s">
        <v>195</v>
      </c>
      <c r="G68" s="112"/>
      <c r="H68" s="112"/>
      <c r="I68" s="89"/>
      <c r="J68" s="101"/>
    </row>
    <row r="69" spans="1:12">
      <c r="A69" s="84"/>
      <c r="B69" s="86"/>
      <c r="C69" s="86"/>
      <c r="D69" s="86"/>
      <c r="E69" s="86"/>
      <c r="F69" s="100"/>
      <c r="G69" s="111"/>
      <c r="H69" s="111"/>
      <c r="I69" s="98"/>
    </row>
    <row r="70" spans="1:12">
      <c r="A70" s="84"/>
      <c r="B70" s="86"/>
      <c r="C70" s="86"/>
      <c r="D70" s="86"/>
      <c r="E70" s="86" t="s">
        <v>0</v>
      </c>
      <c r="F70" s="85" t="s">
        <v>194</v>
      </c>
      <c r="G70" s="111"/>
      <c r="H70" s="111"/>
      <c r="I70" s="98"/>
    </row>
    <row r="71" spans="1:12">
      <c r="A71" s="84"/>
      <c r="B71" s="86"/>
      <c r="C71" s="86" t="s">
        <v>193</v>
      </c>
      <c r="D71" s="86" t="s">
        <v>53</v>
      </c>
      <c r="E71" s="86"/>
      <c r="F71" s="99" t="s">
        <v>431</v>
      </c>
      <c r="G71" s="113" t="s">
        <v>238</v>
      </c>
      <c r="H71" s="113"/>
      <c r="I71" s="118"/>
    </row>
    <row r="72" spans="1:12">
      <c r="A72" s="84"/>
      <c r="B72" s="86"/>
      <c r="C72" s="86"/>
      <c r="D72" s="86"/>
      <c r="E72" s="86"/>
      <c r="F72" s="87" t="s">
        <v>192</v>
      </c>
      <c r="G72" s="111"/>
      <c r="H72" s="111"/>
      <c r="I72" s="98"/>
    </row>
    <row r="73" spans="1:12">
      <c r="A73" s="84"/>
      <c r="B73" s="86"/>
      <c r="C73" s="86"/>
      <c r="D73" s="86"/>
      <c r="E73" s="86"/>
      <c r="F73" s="91" t="s">
        <v>191</v>
      </c>
      <c r="G73" s="111"/>
      <c r="H73" s="111"/>
      <c r="I73" s="97"/>
    </row>
    <row r="74" spans="1:12">
      <c r="A74" s="84" t="s">
        <v>52</v>
      </c>
      <c r="B74" s="86"/>
      <c r="C74" s="86" t="s">
        <v>190</v>
      </c>
      <c r="D74" s="86" t="s">
        <v>5</v>
      </c>
      <c r="E74" s="86"/>
      <c r="F74" s="96" t="s">
        <v>385</v>
      </c>
      <c r="G74" s="114">
        <v>110061086000</v>
      </c>
      <c r="H74" s="114"/>
      <c r="I74" s="110">
        <f>SUM(G74:H74)</f>
        <v>110061086000</v>
      </c>
      <c r="L74" s="136"/>
    </row>
    <row r="75" spans="1:12">
      <c r="A75" s="84" t="s">
        <v>52</v>
      </c>
      <c r="B75" s="86"/>
      <c r="C75" s="86" t="s">
        <v>189</v>
      </c>
      <c r="D75" s="86" t="s">
        <v>5</v>
      </c>
      <c r="E75" s="86"/>
      <c r="F75" s="96" t="s">
        <v>386</v>
      </c>
      <c r="G75" s="114">
        <v>1916359000</v>
      </c>
      <c r="H75" s="114"/>
      <c r="I75" s="110">
        <f t="shared" ref="I75:I101" si="5">SUM(G75:H75)</f>
        <v>1916359000</v>
      </c>
      <c r="L75" s="136"/>
    </row>
    <row r="76" spans="1:12">
      <c r="A76" s="84" t="s">
        <v>52</v>
      </c>
      <c r="B76" s="86"/>
      <c r="C76" s="86" t="s">
        <v>188</v>
      </c>
      <c r="D76" s="86" t="s">
        <v>5</v>
      </c>
      <c r="E76" s="86"/>
      <c r="F76" s="96" t="s">
        <v>387</v>
      </c>
      <c r="G76" s="114">
        <v>20334576000</v>
      </c>
      <c r="H76" s="114"/>
      <c r="I76" s="110">
        <f t="shared" si="5"/>
        <v>20334576000</v>
      </c>
      <c r="L76" s="136"/>
    </row>
    <row r="77" spans="1:12">
      <c r="A77" s="84" t="s">
        <v>52</v>
      </c>
      <c r="B77" s="86"/>
      <c r="C77" s="86" t="s">
        <v>187</v>
      </c>
      <c r="D77" s="86" t="s">
        <v>5</v>
      </c>
      <c r="E77" s="86"/>
      <c r="F77" s="96" t="s">
        <v>388</v>
      </c>
      <c r="G77" s="114">
        <v>19959586000</v>
      </c>
      <c r="H77" s="114"/>
      <c r="I77" s="110">
        <f t="shared" si="5"/>
        <v>19959586000</v>
      </c>
      <c r="L77" s="136"/>
    </row>
    <row r="78" spans="1:12">
      <c r="A78" s="84" t="s">
        <v>52</v>
      </c>
      <c r="B78" s="86"/>
      <c r="C78" s="86" t="s">
        <v>186</v>
      </c>
      <c r="D78" s="86" t="s">
        <v>5</v>
      </c>
      <c r="E78" s="86"/>
      <c r="F78" s="96" t="s">
        <v>389</v>
      </c>
      <c r="G78" s="114">
        <v>6177439000</v>
      </c>
      <c r="H78" s="114"/>
      <c r="I78" s="110">
        <f t="shared" si="5"/>
        <v>6177439000</v>
      </c>
      <c r="L78" s="136"/>
    </row>
    <row r="79" spans="1:12">
      <c r="A79" s="84" t="s">
        <v>52</v>
      </c>
      <c r="B79" s="86"/>
      <c r="C79" s="86" t="s">
        <v>185</v>
      </c>
      <c r="D79" s="86" t="s">
        <v>5</v>
      </c>
      <c r="E79" s="86"/>
      <c r="F79" s="96" t="s">
        <v>390</v>
      </c>
      <c r="G79" s="114"/>
      <c r="H79" s="114"/>
      <c r="I79" s="110">
        <f t="shared" si="5"/>
        <v>0</v>
      </c>
    </row>
    <row r="80" spans="1:12">
      <c r="A80" s="84" t="s">
        <v>52</v>
      </c>
      <c r="B80" s="86"/>
      <c r="C80" s="86" t="s">
        <v>184</v>
      </c>
      <c r="D80" s="86" t="s">
        <v>5</v>
      </c>
      <c r="E80" s="86"/>
      <c r="F80" s="96" t="s">
        <v>391</v>
      </c>
      <c r="G80" s="114"/>
      <c r="H80" s="114"/>
      <c r="I80" s="110">
        <f t="shared" si="5"/>
        <v>0</v>
      </c>
    </row>
    <row r="81" spans="1:12">
      <c r="A81" s="84" t="s">
        <v>52</v>
      </c>
      <c r="B81" s="86"/>
      <c r="C81" s="86" t="s">
        <v>183</v>
      </c>
      <c r="D81" s="86" t="s">
        <v>5</v>
      </c>
      <c r="E81" s="86"/>
      <c r="F81" s="96" t="s">
        <v>392</v>
      </c>
      <c r="G81" s="114">
        <v>3287411000</v>
      </c>
      <c r="H81" s="114"/>
      <c r="I81" s="110">
        <f t="shared" si="5"/>
        <v>3287411000</v>
      </c>
      <c r="L81" s="136"/>
    </row>
    <row r="82" spans="1:12">
      <c r="A82" s="84" t="s">
        <v>52</v>
      </c>
      <c r="B82" s="86"/>
      <c r="C82" s="86" t="s">
        <v>182</v>
      </c>
      <c r="D82" s="86" t="s">
        <v>5</v>
      </c>
      <c r="E82" s="86"/>
      <c r="F82" s="95" t="s">
        <v>393</v>
      </c>
      <c r="G82" s="115">
        <f>G74+G75+G76+G77+G78+G79+G80+G81</f>
        <v>161736457000</v>
      </c>
      <c r="H82" s="115">
        <f>H74+H75+H76+H77+H78+H79+H80+H81</f>
        <v>0</v>
      </c>
      <c r="I82" s="110">
        <f t="shared" si="5"/>
        <v>161736457000</v>
      </c>
      <c r="L82" s="136"/>
    </row>
    <row r="83" spans="1:12">
      <c r="A83" s="84" t="s">
        <v>52</v>
      </c>
      <c r="B83" s="86"/>
      <c r="C83" s="86" t="s">
        <v>181</v>
      </c>
      <c r="D83" s="86" t="s">
        <v>5</v>
      </c>
      <c r="E83" s="86"/>
      <c r="F83" s="94" t="s">
        <v>394</v>
      </c>
      <c r="G83" s="114"/>
      <c r="H83" s="114"/>
      <c r="I83" s="110">
        <f t="shared" si="5"/>
        <v>0</v>
      </c>
    </row>
    <row r="84" spans="1:12">
      <c r="A84" s="84" t="s">
        <v>52</v>
      </c>
      <c r="B84" s="86"/>
      <c r="C84" s="86" t="s">
        <v>180</v>
      </c>
      <c r="D84" s="86" t="s">
        <v>5</v>
      </c>
      <c r="E84" s="86"/>
      <c r="F84" s="93" t="s">
        <v>395</v>
      </c>
      <c r="G84" s="115">
        <f>G82+G83</f>
        <v>161736457000</v>
      </c>
      <c r="H84" s="115">
        <f>H82+H83</f>
        <v>0</v>
      </c>
      <c r="I84" s="110">
        <f t="shared" si="5"/>
        <v>161736457000</v>
      </c>
      <c r="L84" s="136"/>
    </row>
    <row r="85" spans="1:12">
      <c r="A85" s="84"/>
      <c r="B85" s="86"/>
      <c r="C85" s="86"/>
      <c r="D85" s="86"/>
      <c r="E85" s="86"/>
      <c r="F85" s="91" t="s">
        <v>179</v>
      </c>
      <c r="G85" s="112"/>
      <c r="H85" s="112"/>
      <c r="I85" s="89"/>
    </row>
    <row r="86" spans="1:12">
      <c r="A86" s="84" t="s">
        <v>52</v>
      </c>
      <c r="B86" s="86"/>
      <c r="C86" s="86" t="s">
        <v>178</v>
      </c>
      <c r="D86" s="86" t="s">
        <v>5</v>
      </c>
      <c r="E86" s="86"/>
      <c r="F86" s="94" t="s">
        <v>396</v>
      </c>
      <c r="G86" s="138">
        <v>841000</v>
      </c>
      <c r="H86" s="114"/>
      <c r="I86" s="110">
        <f t="shared" si="5"/>
        <v>841000</v>
      </c>
    </row>
    <row r="87" spans="1:12">
      <c r="A87" s="84" t="s">
        <v>52</v>
      </c>
      <c r="B87" s="86"/>
      <c r="C87" s="86" t="s">
        <v>177</v>
      </c>
      <c r="D87" s="86" t="s">
        <v>5</v>
      </c>
      <c r="E87" s="86"/>
      <c r="F87" s="94" t="s">
        <v>397</v>
      </c>
      <c r="G87" s="114">
        <v>31711183000</v>
      </c>
      <c r="H87" s="114"/>
      <c r="I87" s="110">
        <f t="shared" si="5"/>
        <v>31711183000</v>
      </c>
      <c r="L87" s="136"/>
    </row>
    <row r="88" spans="1:12">
      <c r="A88" s="84" t="s">
        <v>52</v>
      </c>
      <c r="B88" s="86"/>
      <c r="C88" s="86" t="s">
        <v>176</v>
      </c>
      <c r="D88" s="86" t="s">
        <v>5</v>
      </c>
      <c r="E88" s="86"/>
      <c r="F88" s="94" t="s">
        <v>398</v>
      </c>
      <c r="G88" s="114">
        <v>326999000</v>
      </c>
      <c r="H88" s="114"/>
      <c r="I88" s="110">
        <f t="shared" si="5"/>
        <v>326999000</v>
      </c>
      <c r="L88" s="136"/>
    </row>
    <row r="89" spans="1:12">
      <c r="A89" s="84" t="s">
        <v>52</v>
      </c>
      <c r="B89" s="86"/>
      <c r="C89" s="86" t="s">
        <v>175</v>
      </c>
      <c r="D89" s="86" t="s">
        <v>5</v>
      </c>
      <c r="E89" s="86"/>
      <c r="F89" s="94" t="s">
        <v>399</v>
      </c>
      <c r="G89" s="114"/>
      <c r="H89" s="114"/>
      <c r="I89" s="110">
        <f t="shared" si="5"/>
        <v>0</v>
      </c>
    </row>
    <row r="90" spans="1:12">
      <c r="A90" s="84" t="s">
        <v>52</v>
      </c>
      <c r="B90" s="86"/>
      <c r="C90" s="86" t="s">
        <v>174</v>
      </c>
      <c r="D90" s="86" t="s">
        <v>5</v>
      </c>
      <c r="E90" s="86"/>
      <c r="F90" s="94" t="s">
        <v>400</v>
      </c>
      <c r="G90" s="114"/>
      <c r="H90" s="114"/>
      <c r="I90" s="110">
        <f t="shared" si="5"/>
        <v>0</v>
      </c>
    </row>
    <row r="91" spans="1:12">
      <c r="A91" s="84" t="s">
        <v>52</v>
      </c>
      <c r="B91" s="86"/>
      <c r="C91" s="86" t="s">
        <v>173</v>
      </c>
      <c r="D91" s="86" t="s">
        <v>5</v>
      </c>
      <c r="E91" s="86"/>
      <c r="F91" s="94" t="s">
        <v>401</v>
      </c>
      <c r="G91" s="114">
        <v>53585634000</v>
      </c>
      <c r="H91" s="114"/>
      <c r="I91" s="110">
        <f t="shared" si="5"/>
        <v>53585634000</v>
      </c>
      <c r="L91" s="136"/>
    </row>
    <row r="92" spans="1:12">
      <c r="A92" s="84" t="s">
        <v>52</v>
      </c>
      <c r="B92" s="86"/>
      <c r="C92" s="86" t="s">
        <v>172</v>
      </c>
      <c r="D92" s="86" t="s">
        <v>5</v>
      </c>
      <c r="E92" s="86"/>
      <c r="F92" s="94" t="s">
        <v>402</v>
      </c>
      <c r="G92" s="114">
        <v>29501760000</v>
      </c>
      <c r="H92" s="114"/>
      <c r="I92" s="110">
        <f t="shared" si="5"/>
        <v>29501760000</v>
      </c>
      <c r="L92" s="136"/>
    </row>
    <row r="93" spans="1:12">
      <c r="A93" s="84" t="s">
        <v>52</v>
      </c>
      <c r="B93" s="86"/>
      <c r="C93" s="86" t="s">
        <v>171</v>
      </c>
      <c r="D93" s="86" t="s">
        <v>5</v>
      </c>
      <c r="E93" s="86"/>
      <c r="F93" s="94" t="s">
        <v>403</v>
      </c>
      <c r="G93" s="114">
        <v>16383094000</v>
      </c>
      <c r="H93" s="114"/>
      <c r="I93" s="110">
        <f t="shared" si="5"/>
        <v>16383094000</v>
      </c>
      <c r="L93" s="136"/>
    </row>
    <row r="94" spans="1:12">
      <c r="A94" s="84" t="s">
        <v>52</v>
      </c>
      <c r="B94" s="86"/>
      <c r="C94" s="86" t="s">
        <v>170</v>
      </c>
      <c r="D94" s="86" t="s">
        <v>5</v>
      </c>
      <c r="E94" s="86"/>
      <c r="F94" s="94" t="s">
        <v>404</v>
      </c>
      <c r="G94" s="138">
        <v>2835678000</v>
      </c>
      <c r="H94" s="114"/>
      <c r="I94" s="110">
        <f t="shared" si="5"/>
        <v>2835678000</v>
      </c>
      <c r="L94" s="136"/>
    </row>
    <row r="95" spans="1:12">
      <c r="A95" s="84" t="s">
        <v>52</v>
      </c>
      <c r="B95" s="86"/>
      <c r="C95" s="86" t="s">
        <v>169</v>
      </c>
      <c r="D95" s="86" t="s">
        <v>5</v>
      </c>
      <c r="E95" s="86"/>
      <c r="F95" s="94" t="s">
        <v>405</v>
      </c>
      <c r="G95" s="114"/>
      <c r="H95" s="114"/>
      <c r="I95" s="110">
        <f t="shared" si="5"/>
        <v>0</v>
      </c>
    </row>
    <row r="96" spans="1:12">
      <c r="A96" s="84" t="s">
        <v>52</v>
      </c>
      <c r="B96" s="86"/>
      <c r="C96" s="86" t="s">
        <v>168</v>
      </c>
      <c r="D96" s="86" t="s">
        <v>5</v>
      </c>
      <c r="E96" s="86"/>
      <c r="F96" s="94" t="s">
        <v>406</v>
      </c>
      <c r="G96" s="114">
        <v>1090631422000</v>
      </c>
      <c r="H96" s="114"/>
      <c r="I96" s="110">
        <f t="shared" si="5"/>
        <v>1090631422000</v>
      </c>
      <c r="L96" s="136"/>
    </row>
    <row r="97" spans="1:12">
      <c r="A97" s="84" t="s">
        <v>52</v>
      </c>
      <c r="B97" s="86"/>
      <c r="C97" s="126" t="s">
        <v>432</v>
      </c>
      <c r="D97" s="126" t="s">
        <v>5</v>
      </c>
      <c r="E97" s="126"/>
      <c r="F97" s="127" t="s">
        <v>440</v>
      </c>
      <c r="G97" s="114">
        <v>10000</v>
      </c>
      <c r="H97" s="114"/>
      <c r="I97" s="110">
        <f t="shared" si="5"/>
        <v>10000</v>
      </c>
      <c r="L97" s="136"/>
    </row>
    <row r="98" spans="1:12">
      <c r="A98" s="84" t="s">
        <v>52</v>
      </c>
      <c r="B98" s="86"/>
      <c r="C98" s="86" t="s">
        <v>167</v>
      </c>
      <c r="D98" s="86" t="s">
        <v>5</v>
      </c>
      <c r="E98" s="86"/>
      <c r="F98" s="94" t="s">
        <v>407</v>
      </c>
      <c r="G98" s="114">
        <v>-10000</v>
      </c>
      <c r="H98" s="114"/>
      <c r="I98" s="110">
        <f t="shared" si="5"/>
        <v>-10000</v>
      </c>
      <c r="L98" s="136"/>
    </row>
    <row r="99" spans="1:12">
      <c r="A99" s="84" t="s">
        <v>52</v>
      </c>
      <c r="B99" s="86"/>
      <c r="C99" s="86" t="s">
        <v>166</v>
      </c>
      <c r="D99" s="86" t="s">
        <v>5</v>
      </c>
      <c r="E99" s="86"/>
      <c r="F99" s="94" t="s">
        <v>408</v>
      </c>
      <c r="G99" s="114">
        <v>41795417000</v>
      </c>
      <c r="H99" s="114"/>
      <c r="I99" s="110">
        <f t="shared" si="5"/>
        <v>41795417000</v>
      </c>
      <c r="L99" s="136"/>
    </row>
    <row r="100" spans="1:12">
      <c r="A100" s="84" t="s">
        <v>52</v>
      </c>
      <c r="B100" s="86"/>
      <c r="C100" s="86" t="s">
        <v>165</v>
      </c>
      <c r="D100" s="86" t="s">
        <v>5</v>
      </c>
      <c r="E100" s="86"/>
      <c r="F100" s="93" t="s">
        <v>409</v>
      </c>
      <c r="G100" s="115">
        <f>G86+G87+G88+G89+G90+G91+G92+G93+G94+G95+G96+G97+G98+G99</f>
        <v>1266772028000</v>
      </c>
      <c r="H100" s="115">
        <f t="shared" ref="H100" si="6">H86+H87+H88+H89+H90+H91+H92+H93+H94+H95+H96+H97+H98+H99</f>
        <v>0</v>
      </c>
      <c r="I100" s="110">
        <f t="shared" si="5"/>
        <v>1266772028000</v>
      </c>
      <c r="L100" s="136"/>
    </row>
    <row r="101" spans="1:12">
      <c r="A101" s="84" t="s">
        <v>52</v>
      </c>
      <c r="B101" s="86"/>
      <c r="C101" s="86" t="s">
        <v>164</v>
      </c>
      <c r="D101" s="86" t="s">
        <v>5</v>
      </c>
      <c r="E101" s="86"/>
      <c r="F101" s="87" t="s">
        <v>410</v>
      </c>
      <c r="G101" s="115">
        <f>G84+G100</f>
        <v>1428508485000</v>
      </c>
      <c r="H101" s="115">
        <f>H84+H100</f>
        <v>0</v>
      </c>
      <c r="I101" s="110">
        <f t="shared" si="5"/>
        <v>1428508485000</v>
      </c>
      <c r="L101" s="136"/>
    </row>
    <row r="102" spans="1:12">
      <c r="A102" s="84"/>
      <c r="B102" s="86"/>
      <c r="C102" s="86"/>
      <c r="D102" s="86"/>
      <c r="E102" s="86"/>
      <c r="F102" s="85" t="s">
        <v>163</v>
      </c>
      <c r="G102" s="112"/>
      <c r="H102" s="112"/>
      <c r="I102" s="89"/>
    </row>
    <row r="103" spans="1:12">
      <c r="A103" s="84"/>
      <c r="B103" s="86"/>
      <c r="C103" s="86"/>
      <c r="D103" s="86"/>
      <c r="E103" s="86"/>
      <c r="F103" s="87" t="s">
        <v>162</v>
      </c>
      <c r="G103" s="112"/>
      <c r="H103" s="112"/>
      <c r="I103" s="89"/>
    </row>
    <row r="104" spans="1:12">
      <c r="A104" s="84" t="s">
        <v>52</v>
      </c>
      <c r="B104" s="86"/>
      <c r="C104" s="86" t="s">
        <v>161</v>
      </c>
      <c r="D104" s="86" t="s">
        <v>5</v>
      </c>
      <c r="E104" s="86"/>
      <c r="F104" s="92" t="s">
        <v>411</v>
      </c>
      <c r="G104" s="114">
        <v>52055207000</v>
      </c>
      <c r="H104" s="114"/>
      <c r="I104" s="110">
        <f t="shared" ref="I104:I126" si="7">SUM(G104:H104)</f>
        <v>52055207000</v>
      </c>
      <c r="L104" s="136"/>
    </row>
    <row r="105" spans="1:12">
      <c r="A105" s="84" t="s">
        <v>52</v>
      </c>
      <c r="B105" s="86"/>
      <c r="C105" s="126" t="s">
        <v>433</v>
      </c>
      <c r="D105" s="126" t="s">
        <v>5</v>
      </c>
      <c r="E105" s="126"/>
      <c r="F105" s="128" t="s">
        <v>439</v>
      </c>
      <c r="G105" s="114">
        <v>3000</v>
      </c>
      <c r="H105" s="114"/>
      <c r="I105" s="110">
        <f t="shared" si="7"/>
        <v>3000</v>
      </c>
      <c r="L105" s="136"/>
    </row>
    <row r="106" spans="1:12">
      <c r="A106" s="84" t="s">
        <v>52</v>
      </c>
      <c r="B106" s="86"/>
      <c r="C106" s="86" t="s">
        <v>160</v>
      </c>
      <c r="D106" s="86" t="s">
        <v>5</v>
      </c>
      <c r="E106" s="86"/>
      <c r="F106" s="92" t="s">
        <v>412</v>
      </c>
      <c r="G106" s="114">
        <v>28379202000</v>
      </c>
      <c r="H106" s="114"/>
      <c r="I106" s="110">
        <f t="shared" si="7"/>
        <v>28379202000</v>
      </c>
      <c r="L106" s="136"/>
    </row>
    <row r="107" spans="1:12">
      <c r="A107" s="84" t="s">
        <v>52</v>
      </c>
      <c r="B107" s="86"/>
      <c r="C107" s="86" t="s">
        <v>159</v>
      </c>
      <c r="D107" s="86" t="s">
        <v>5</v>
      </c>
      <c r="E107" s="86"/>
      <c r="F107" s="92" t="s">
        <v>413</v>
      </c>
      <c r="G107" s="114">
        <v>2195857000</v>
      </c>
      <c r="H107" s="114"/>
      <c r="I107" s="110">
        <f t="shared" si="7"/>
        <v>2195857000</v>
      </c>
      <c r="L107" s="136"/>
    </row>
    <row r="108" spans="1:12">
      <c r="A108" s="84" t="s">
        <v>52</v>
      </c>
      <c r="B108" s="86"/>
      <c r="C108" s="86" t="s">
        <v>158</v>
      </c>
      <c r="D108" s="86" t="s">
        <v>5</v>
      </c>
      <c r="E108" s="86"/>
      <c r="F108" s="92" t="s">
        <v>414</v>
      </c>
      <c r="G108" s="114">
        <v>1603946000</v>
      </c>
      <c r="H108" s="114"/>
      <c r="I108" s="110">
        <f t="shared" si="7"/>
        <v>1603946000</v>
      </c>
      <c r="L108" s="136"/>
    </row>
    <row r="109" spans="1:12">
      <c r="A109" s="84" t="s">
        <v>52</v>
      </c>
      <c r="B109" s="86"/>
      <c r="C109" s="86" t="s">
        <v>157</v>
      </c>
      <c r="D109" s="86" t="s">
        <v>5</v>
      </c>
      <c r="E109" s="86"/>
      <c r="F109" s="92" t="s">
        <v>415</v>
      </c>
      <c r="G109" s="114">
        <v>6188840000</v>
      </c>
      <c r="H109" s="114"/>
      <c r="I109" s="110">
        <f t="shared" si="7"/>
        <v>6188840000</v>
      </c>
      <c r="L109" s="136"/>
    </row>
    <row r="110" spans="1:12">
      <c r="A110" s="84" t="s">
        <v>52</v>
      </c>
      <c r="B110" s="86"/>
      <c r="C110" s="86" t="s">
        <v>156</v>
      </c>
      <c r="D110" s="86" t="s">
        <v>5</v>
      </c>
      <c r="E110" s="86"/>
      <c r="F110" s="92" t="s">
        <v>416</v>
      </c>
      <c r="G110" s="114">
        <v>3511827000</v>
      </c>
      <c r="H110" s="114"/>
      <c r="I110" s="110">
        <f t="shared" si="7"/>
        <v>3511827000</v>
      </c>
      <c r="L110" s="136"/>
    </row>
    <row r="111" spans="1:12">
      <c r="A111" s="84" t="s">
        <v>52</v>
      </c>
      <c r="B111" s="86"/>
      <c r="C111" s="86" t="s">
        <v>155</v>
      </c>
      <c r="D111" s="86" t="s">
        <v>5</v>
      </c>
      <c r="E111" s="86"/>
      <c r="F111" s="92" t="s">
        <v>417</v>
      </c>
      <c r="G111" s="114">
        <v>1716497000</v>
      </c>
      <c r="H111" s="114"/>
      <c r="I111" s="110">
        <f t="shared" si="7"/>
        <v>1716497000</v>
      </c>
      <c r="L111" s="136"/>
    </row>
    <row r="112" spans="1:12">
      <c r="A112" s="84" t="s">
        <v>52</v>
      </c>
      <c r="B112" s="86"/>
      <c r="C112" s="86" t="s">
        <v>154</v>
      </c>
      <c r="D112" s="86" t="s">
        <v>5</v>
      </c>
      <c r="E112" s="86"/>
      <c r="F112" s="91" t="s">
        <v>418</v>
      </c>
      <c r="G112" s="115">
        <f>G104+G105+G106+G107+G108+G109+G110+G111</f>
        <v>95651379000</v>
      </c>
      <c r="H112" s="115">
        <f t="shared" ref="H112" si="8">H104+H105+H106+H107+H108+H109+H110+H111</f>
        <v>0</v>
      </c>
      <c r="I112" s="110">
        <f t="shared" si="7"/>
        <v>95651379000</v>
      </c>
      <c r="L112" s="136"/>
    </row>
    <row r="113" spans="1:12">
      <c r="A113" s="84" t="s">
        <v>52</v>
      </c>
      <c r="B113" s="86"/>
      <c r="C113" s="86" t="s">
        <v>153</v>
      </c>
      <c r="D113" s="86" t="s">
        <v>5</v>
      </c>
      <c r="E113" s="86"/>
      <c r="F113" s="88" t="s">
        <v>419</v>
      </c>
      <c r="G113" s="114"/>
      <c r="H113" s="114"/>
      <c r="I113" s="110">
        <f t="shared" si="7"/>
        <v>0</v>
      </c>
    </row>
    <row r="114" spans="1:12">
      <c r="A114" s="84" t="s">
        <v>52</v>
      </c>
      <c r="B114" s="86"/>
      <c r="C114" s="86" t="s">
        <v>152</v>
      </c>
      <c r="D114" s="86" t="s">
        <v>5</v>
      </c>
      <c r="E114" s="86"/>
      <c r="F114" s="87" t="s">
        <v>420</v>
      </c>
      <c r="G114" s="115">
        <f>G112+G113</f>
        <v>95651379000</v>
      </c>
      <c r="H114" s="115">
        <f>H112+H113</f>
        <v>0</v>
      </c>
      <c r="I114" s="110">
        <f t="shared" si="7"/>
        <v>95651379000</v>
      </c>
      <c r="L114" s="136"/>
    </row>
    <row r="115" spans="1:12">
      <c r="A115" s="84"/>
      <c r="B115" s="86"/>
      <c r="C115" s="86"/>
      <c r="D115" s="86"/>
      <c r="E115" s="86"/>
      <c r="F115" s="87" t="s">
        <v>151</v>
      </c>
      <c r="G115" s="112"/>
      <c r="H115" s="112"/>
      <c r="I115" s="89"/>
    </row>
    <row r="116" spans="1:12">
      <c r="A116" s="84" t="s">
        <v>52</v>
      </c>
      <c r="B116" s="86"/>
      <c r="C116" s="86" t="s">
        <v>150</v>
      </c>
      <c r="D116" s="86" t="s">
        <v>5</v>
      </c>
      <c r="E116" s="86"/>
      <c r="F116" s="88" t="s">
        <v>421</v>
      </c>
      <c r="G116" s="114">
        <v>421273192000</v>
      </c>
      <c r="H116" s="114"/>
      <c r="I116" s="110">
        <f t="shared" si="7"/>
        <v>421273192000</v>
      </c>
      <c r="L116" s="136"/>
    </row>
    <row r="117" spans="1:12">
      <c r="A117" s="84" t="s">
        <v>52</v>
      </c>
      <c r="B117" s="86"/>
      <c r="C117" s="126" t="s">
        <v>434</v>
      </c>
      <c r="D117" s="126" t="s">
        <v>5</v>
      </c>
      <c r="E117" s="126"/>
      <c r="F117" s="129" t="s">
        <v>438</v>
      </c>
      <c r="G117" s="114">
        <v>20000</v>
      </c>
      <c r="H117" s="114"/>
      <c r="I117" s="110">
        <f t="shared" si="7"/>
        <v>20000</v>
      </c>
      <c r="L117" s="136"/>
    </row>
    <row r="118" spans="1:12">
      <c r="A118" s="84" t="s">
        <v>52</v>
      </c>
      <c r="B118" s="86"/>
      <c r="C118" s="86" t="s">
        <v>149</v>
      </c>
      <c r="D118" s="86" t="s">
        <v>5</v>
      </c>
      <c r="E118" s="86"/>
      <c r="F118" s="88" t="s">
        <v>422</v>
      </c>
      <c r="G118" s="114"/>
      <c r="H118" s="114"/>
      <c r="I118" s="110">
        <f t="shared" si="7"/>
        <v>0</v>
      </c>
    </row>
    <row r="119" spans="1:12">
      <c r="A119" s="84" t="s">
        <v>52</v>
      </c>
      <c r="B119" s="86"/>
      <c r="C119" s="86" t="s">
        <v>148</v>
      </c>
      <c r="D119" s="86" t="s">
        <v>5</v>
      </c>
      <c r="E119" s="86"/>
      <c r="F119" s="88" t="s">
        <v>423</v>
      </c>
      <c r="G119" s="114"/>
      <c r="H119" s="114"/>
      <c r="I119" s="110">
        <f t="shared" si="7"/>
        <v>0</v>
      </c>
    </row>
    <row r="120" spans="1:12">
      <c r="A120" s="84" t="s">
        <v>52</v>
      </c>
      <c r="B120" s="86"/>
      <c r="C120" s="86" t="s">
        <v>147</v>
      </c>
      <c r="D120" s="86" t="s">
        <v>5</v>
      </c>
      <c r="E120" s="86"/>
      <c r="F120" s="88" t="s">
        <v>424</v>
      </c>
      <c r="G120" s="114"/>
      <c r="H120" s="114"/>
      <c r="I120" s="110">
        <f t="shared" si="7"/>
        <v>0</v>
      </c>
    </row>
    <row r="121" spans="1:12">
      <c r="A121" s="84" t="s">
        <v>52</v>
      </c>
      <c r="B121" s="86"/>
      <c r="C121" s="86" t="s">
        <v>146</v>
      </c>
      <c r="D121" s="86" t="s">
        <v>5</v>
      </c>
      <c r="E121" s="86"/>
      <c r="F121" s="88" t="s">
        <v>425</v>
      </c>
      <c r="G121" s="114">
        <v>106378627000</v>
      </c>
      <c r="H121" s="114"/>
      <c r="I121" s="110">
        <f t="shared" si="7"/>
        <v>106378627000</v>
      </c>
      <c r="L121" s="136"/>
    </row>
    <row r="122" spans="1:12">
      <c r="A122" s="84" t="s">
        <v>52</v>
      </c>
      <c r="B122" s="86"/>
      <c r="C122" s="86" t="s">
        <v>145</v>
      </c>
      <c r="D122" s="86" t="s">
        <v>5</v>
      </c>
      <c r="E122" s="86"/>
      <c r="F122" s="88" t="s">
        <v>426</v>
      </c>
      <c r="G122" s="114"/>
      <c r="H122" s="114"/>
      <c r="I122" s="110">
        <f t="shared" si="7"/>
        <v>0</v>
      </c>
    </row>
    <row r="123" spans="1:12">
      <c r="A123" s="84" t="s">
        <v>52</v>
      </c>
      <c r="B123" s="86"/>
      <c r="C123" s="86" t="s">
        <v>144</v>
      </c>
      <c r="D123" s="86" t="s">
        <v>5</v>
      </c>
      <c r="E123" s="86"/>
      <c r="F123" s="88" t="s">
        <v>427</v>
      </c>
      <c r="G123" s="114"/>
      <c r="H123" s="114"/>
      <c r="I123" s="110">
        <f t="shared" si="7"/>
        <v>0</v>
      </c>
    </row>
    <row r="124" spans="1:12">
      <c r="A124" s="84" t="s">
        <v>52</v>
      </c>
      <c r="B124" s="86"/>
      <c r="C124" s="86" t="s">
        <v>143</v>
      </c>
      <c r="D124" s="86" t="s">
        <v>5</v>
      </c>
      <c r="E124" s="86"/>
      <c r="F124" s="88" t="s">
        <v>428</v>
      </c>
      <c r="G124" s="114">
        <v>10327302000</v>
      </c>
      <c r="H124" s="114"/>
      <c r="I124" s="110">
        <f t="shared" si="7"/>
        <v>10327302000</v>
      </c>
      <c r="L124" s="136"/>
    </row>
    <row r="125" spans="1:12">
      <c r="A125" s="84" t="s">
        <v>52</v>
      </c>
      <c r="B125" s="86"/>
      <c r="C125" s="86" t="s">
        <v>142</v>
      </c>
      <c r="D125" s="86" t="s">
        <v>5</v>
      </c>
      <c r="E125" s="86"/>
      <c r="F125" s="87" t="s">
        <v>429</v>
      </c>
      <c r="G125" s="115">
        <f>G116+G117+G118+G119+G120+G121+G122+G123+G124</f>
        <v>537979141000</v>
      </c>
      <c r="H125" s="115">
        <f t="shared" ref="H125" si="9">H116+H117+H118+H119+H120+H121+H122+H123+H124</f>
        <v>0</v>
      </c>
      <c r="I125" s="110">
        <f t="shared" si="7"/>
        <v>537979141000</v>
      </c>
      <c r="L125" s="136"/>
    </row>
    <row r="126" spans="1:12">
      <c r="A126" s="84" t="s">
        <v>52</v>
      </c>
      <c r="B126" s="86"/>
      <c r="C126" s="86" t="s">
        <v>141</v>
      </c>
      <c r="D126" s="86" t="s">
        <v>5</v>
      </c>
      <c r="E126" s="86"/>
      <c r="F126" s="85" t="s">
        <v>430</v>
      </c>
      <c r="G126" s="115">
        <f>G114+G125</f>
        <v>633630520000</v>
      </c>
      <c r="H126" s="115">
        <f>H114+H125</f>
        <v>0</v>
      </c>
      <c r="I126" s="110">
        <f t="shared" si="7"/>
        <v>633630520000</v>
      </c>
      <c r="L126" s="136"/>
    </row>
    <row r="127" spans="1:12" ht="22.5" customHeight="1" thickBot="1">
      <c r="A127" s="84"/>
      <c r="B127" s="83"/>
      <c r="C127" s="81"/>
      <c r="D127" s="81"/>
      <c r="E127" s="81"/>
      <c r="F127" s="82"/>
      <c r="G127" s="117"/>
      <c r="H127" s="117"/>
      <c r="I127" s="80"/>
    </row>
    <row r="128" spans="1:12">
      <c r="A128" s="79"/>
    </row>
  </sheetData>
  <mergeCells count="1">
    <mergeCell ref="B5:F5"/>
  </mergeCells>
  <conditionalFormatting sqref="G34">
    <cfRule type="expression" dxfId="1" priority="2">
      <formula>OR(IF(NOT(ISERR(FIND("ERR",#REF!)))=TRUE,TRUE,FALSE),IF(NOT(ISERR(FIND("ERR",#REF!)))=TRUE,TRUE,FALSE))</formula>
    </cfRule>
  </conditionalFormatting>
  <conditionalFormatting sqref="G94">
    <cfRule type="expression" dxfId="0" priority="1">
      <formula>OR(IF(NOT(ISERR(FIND("ERR",#REF!)))=TRUE,TRUE,FALSE),IF(NOT(ISERR(FIND("ERR",#REF!)))=TRUE,TRUE,FALSE))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codigo!$B$1:$B$179</xm:f>
          </x14:formula1>
          <xm:sqref>G11:H11 G71:H71</xm:sqref>
        </x14:dataValidation>
        <x14:dataValidation type="list" allowBlank="1" showInputMessage="1" showErrorMessage="1" xr:uid="{00000000-0002-0000-0500-000001000000}">
          <x14:formula1>
            <xm:f>codigo!$A$1:$A$2</xm:f>
          </x14:formula1>
          <xm:sqref>G4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B179"/>
  <sheetViews>
    <sheetView workbookViewId="0"/>
  </sheetViews>
  <sheetFormatPr baseColWidth="10" defaultRowHeight="15"/>
  <sheetData>
    <row r="1" spans="1:2">
      <c r="A1" t="s">
        <v>55</v>
      </c>
      <c r="B1" t="s">
        <v>238</v>
      </c>
    </row>
    <row r="2" spans="1:2">
      <c r="A2" t="s">
        <v>56</v>
      </c>
      <c r="B2" t="s">
        <v>237</v>
      </c>
    </row>
    <row r="3" spans="1:2">
      <c r="B3" t="s">
        <v>354</v>
      </c>
    </row>
    <row r="4" spans="1:2">
      <c r="B4" t="s">
        <v>355</v>
      </c>
    </row>
    <row r="5" spans="1:2">
      <c r="B5" t="s">
        <v>206</v>
      </c>
    </row>
    <row r="6" spans="1:2">
      <c r="B6" t="s">
        <v>207</v>
      </c>
    </row>
    <row r="7" spans="1:2">
      <c r="B7" t="s">
        <v>208</v>
      </c>
    </row>
    <row r="8" spans="1:2">
      <c r="B8" t="s">
        <v>209</v>
      </c>
    </row>
    <row r="9" spans="1:2">
      <c r="B9" t="s">
        <v>210</v>
      </c>
    </row>
    <row r="10" spans="1:2">
      <c r="B10" t="s">
        <v>211</v>
      </c>
    </row>
    <row r="11" spans="1:2">
      <c r="B11" t="s">
        <v>212</v>
      </c>
    </row>
    <row r="12" spans="1:2">
      <c r="B12" t="s">
        <v>213</v>
      </c>
    </row>
    <row r="13" spans="1:2">
      <c r="B13" t="s">
        <v>214</v>
      </c>
    </row>
    <row r="14" spans="1:2">
      <c r="B14" t="s">
        <v>215</v>
      </c>
    </row>
    <row r="15" spans="1:2">
      <c r="B15" t="s">
        <v>216</v>
      </c>
    </row>
    <row r="16" spans="1:2">
      <c r="B16" t="s">
        <v>217</v>
      </c>
    </row>
    <row r="17" spans="2:2">
      <c r="B17" t="s">
        <v>218</v>
      </c>
    </row>
    <row r="18" spans="2:2">
      <c r="B18" t="s">
        <v>219</v>
      </c>
    </row>
    <row r="19" spans="2:2">
      <c r="B19" t="s">
        <v>220</v>
      </c>
    </row>
    <row r="20" spans="2:2">
      <c r="B20" t="s">
        <v>221</v>
      </c>
    </row>
    <row r="21" spans="2:2">
      <c r="B21" t="s">
        <v>222</v>
      </c>
    </row>
    <row r="22" spans="2:2">
      <c r="B22" t="s">
        <v>223</v>
      </c>
    </row>
    <row r="23" spans="2:2">
      <c r="B23" t="s">
        <v>224</v>
      </c>
    </row>
    <row r="24" spans="2:2">
      <c r="B24" t="s">
        <v>225</v>
      </c>
    </row>
    <row r="25" spans="2:2">
      <c r="B25" t="s">
        <v>226</v>
      </c>
    </row>
    <row r="26" spans="2:2">
      <c r="B26" t="s">
        <v>227</v>
      </c>
    </row>
    <row r="27" spans="2:2">
      <c r="B27" t="s">
        <v>228</v>
      </c>
    </row>
    <row r="28" spans="2:2">
      <c r="B28" t="s">
        <v>229</v>
      </c>
    </row>
    <row r="29" spans="2:2">
      <c r="B29" t="s">
        <v>230</v>
      </c>
    </row>
    <row r="30" spans="2:2">
      <c r="B30" t="s">
        <v>231</v>
      </c>
    </row>
    <row r="31" spans="2:2">
      <c r="B31" t="s">
        <v>232</v>
      </c>
    </row>
    <row r="32" spans="2:2">
      <c r="B32" t="s">
        <v>233</v>
      </c>
    </row>
    <row r="33" spans="2:2">
      <c r="B33" t="s">
        <v>234</v>
      </c>
    </row>
    <row r="34" spans="2:2">
      <c r="B34" t="s">
        <v>235</v>
      </c>
    </row>
    <row r="35" spans="2:2">
      <c r="B35" t="s">
        <v>236</v>
      </c>
    </row>
    <row r="36" spans="2:2">
      <c r="B36" t="s">
        <v>239</v>
      </c>
    </row>
    <row r="37" spans="2:2">
      <c r="B37" t="s">
        <v>240</v>
      </c>
    </row>
    <row r="38" spans="2:2">
      <c r="B38" t="s">
        <v>241</v>
      </c>
    </row>
    <row r="39" spans="2:2">
      <c r="B39" t="s">
        <v>242</v>
      </c>
    </row>
    <row r="40" spans="2:2">
      <c r="B40" t="s">
        <v>243</v>
      </c>
    </row>
    <row r="41" spans="2:2">
      <c r="B41" t="s">
        <v>244</v>
      </c>
    </row>
    <row r="42" spans="2:2">
      <c r="B42" t="s">
        <v>245</v>
      </c>
    </row>
    <row r="43" spans="2:2">
      <c r="B43" t="s">
        <v>246</v>
      </c>
    </row>
    <row r="44" spans="2:2">
      <c r="B44" t="s">
        <v>247</v>
      </c>
    </row>
    <row r="45" spans="2:2">
      <c r="B45" t="s">
        <v>248</v>
      </c>
    </row>
    <row r="46" spans="2:2">
      <c r="B46" t="s">
        <v>249</v>
      </c>
    </row>
    <row r="47" spans="2:2">
      <c r="B47" t="s">
        <v>250</v>
      </c>
    </row>
    <row r="48" spans="2:2">
      <c r="B48" t="s">
        <v>251</v>
      </c>
    </row>
    <row r="49" spans="2:2">
      <c r="B49" t="s">
        <v>252</v>
      </c>
    </row>
    <row r="50" spans="2:2">
      <c r="B50" t="s">
        <v>253</v>
      </c>
    </row>
    <row r="51" spans="2:2">
      <c r="B51" t="s">
        <v>254</v>
      </c>
    </row>
    <row r="52" spans="2:2">
      <c r="B52" t="s">
        <v>255</v>
      </c>
    </row>
    <row r="53" spans="2:2">
      <c r="B53" t="s">
        <v>256</v>
      </c>
    </row>
    <row r="54" spans="2:2">
      <c r="B54" t="s">
        <v>257</v>
      </c>
    </row>
    <row r="55" spans="2:2">
      <c r="B55" t="s">
        <v>258</v>
      </c>
    </row>
    <row r="56" spans="2:2">
      <c r="B56" t="s">
        <v>259</v>
      </c>
    </row>
    <row r="57" spans="2:2">
      <c r="B57" t="s">
        <v>260</v>
      </c>
    </row>
    <row r="58" spans="2:2">
      <c r="B58" t="s">
        <v>261</v>
      </c>
    </row>
    <row r="59" spans="2:2">
      <c r="B59" t="s">
        <v>262</v>
      </c>
    </row>
    <row r="60" spans="2:2">
      <c r="B60" t="s">
        <v>263</v>
      </c>
    </row>
    <row r="61" spans="2:2">
      <c r="B61" t="s">
        <v>264</v>
      </c>
    </row>
    <row r="62" spans="2:2">
      <c r="B62" t="s">
        <v>265</v>
      </c>
    </row>
    <row r="63" spans="2:2">
      <c r="B63" t="s">
        <v>266</v>
      </c>
    </row>
    <row r="64" spans="2:2">
      <c r="B64" t="s">
        <v>267</v>
      </c>
    </row>
    <row r="65" spans="2:2">
      <c r="B65" t="s">
        <v>268</v>
      </c>
    </row>
    <row r="66" spans="2:2">
      <c r="B66" t="s">
        <v>269</v>
      </c>
    </row>
    <row r="67" spans="2:2">
      <c r="B67" t="s">
        <v>270</v>
      </c>
    </row>
    <row r="68" spans="2:2">
      <c r="B68" t="s">
        <v>271</v>
      </c>
    </row>
    <row r="69" spans="2:2">
      <c r="B69" t="s">
        <v>272</v>
      </c>
    </row>
    <row r="70" spans="2:2">
      <c r="B70" t="s">
        <v>273</v>
      </c>
    </row>
    <row r="71" spans="2:2">
      <c r="B71" t="s">
        <v>274</v>
      </c>
    </row>
    <row r="72" spans="2:2">
      <c r="B72" t="s">
        <v>275</v>
      </c>
    </row>
    <row r="73" spans="2:2">
      <c r="B73" t="s">
        <v>276</v>
      </c>
    </row>
    <row r="74" spans="2:2">
      <c r="B74" t="s">
        <v>277</v>
      </c>
    </row>
    <row r="75" spans="2:2">
      <c r="B75" t="s">
        <v>278</v>
      </c>
    </row>
    <row r="76" spans="2:2">
      <c r="B76" t="s">
        <v>279</v>
      </c>
    </row>
    <row r="77" spans="2:2">
      <c r="B77" t="s">
        <v>280</v>
      </c>
    </row>
    <row r="78" spans="2:2">
      <c r="B78" t="s">
        <v>281</v>
      </c>
    </row>
    <row r="79" spans="2:2">
      <c r="B79" t="s">
        <v>282</v>
      </c>
    </row>
    <row r="80" spans="2:2">
      <c r="B80" t="s">
        <v>283</v>
      </c>
    </row>
    <row r="81" spans="2:2">
      <c r="B81" t="s">
        <v>284</v>
      </c>
    </row>
    <row r="82" spans="2:2">
      <c r="B82" t="s">
        <v>285</v>
      </c>
    </row>
    <row r="83" spans="2:2">
      <c r="B83" t="s">
        <v>286</v>
      </c>
    </row>
    <row r="84" spans="2:2">
      <c r="B84" t="s">
        <v>287</v>
      </c>
    </row>
    <row r="85" spans="2:2">
      <c r="B85" t="s">
        <v>288</v>
      </c>
    </row>
    <row r="86" spans="2:2">
      <c r="B86" t="s">
        <v>289</v>
      </c>
    </row>
    <row r="87" spans="2:2">
      <c r="B87" t="s">
        <v>290</v>
      </c>
    </row>
    <row r="88" spans="2:2">
      <c r="B88" t="s">
        <v>291</v>
      </c>
    </row>
    <row r="89" spans="2:2">
      <c r="B89" t="s">
        <v>292</v>
      </c>
    </row>
    <row r="90" spans="2:2">
      <c r="B90" t="s">
        <v>293</v>
      </c>
    </row>
    <row r="91" spans="2:2">
      <c r="B91" t="s">
        <v>294</v>
      </c>
    </row>
    <row r="92" spans="2:2">
      <c r="B92" t="s">
        <v>295</v>
      </c>
    </row>
    <row r="93" spans="2:2">
      <c r="B93" t="s">
        <v>296</v>
      </c>
    </row>
    <row r="94" spans="2:2">
      <c r="B94" t="s">
        <v>297</v>
      </c>
    </row>
    <row r="95" spans="2:2">
      <c r="B95" t="s">
        <v>298</v>
      </c>
    </row>
    <row r="96" spans="2:2">
      <c r="B96" t="s">
        <v>299</v>
      </c>
    </row>
    <row r="97" spans="2:2">
      <c r="B97" t="s">
        <v>300</v>
      </c>
    </row>
    <row r="98" spans="2:2">
      <c r="B98" t="s">
        <v>301</v>
      </c>
    </row>
    <row r="99" spans="2:2">
      <c r="B99" t="s">
        <v>302</v>
      </c>
    </row>
    <row r="100" spans="2:2">
      <c r="B100" t="s">
        <v>303</v>
      </c>
    </row>
    <row r="101" spans="2:2">
      <c r="B101" t="s">
        <v>304</v>
      </c>
    </row>
    <row r="102" spans="2:2">
      <c r="B102" t="s">
        <v>305</v>
      </c>
    </row>
    <row r="103" spans="2:2">
      <c r="B103" t="s">
        <v>306</v>
      </c>
    </row>
    <row r="104" spans="2:2">
      <c r="B104" t="s">
        <v>307</v>
      </c>
    </row>
    <row r="105" spans="2:2">
      <c r="B105" t="s">
        <v>308</v>
      </c>
    </row>
    <row r="106" spans="2:2">
      <c r="B106" t="s">
        <v>309</v>
      </c>
    </row>
    <row r="107" spans="2:2">
      <c r="B107" t="s">
        <v>310</v>
      </c>
    </row>
    <row r="108" spans="2:2">
      <c r="B108" t="s">
        <v>311</v>
      </c>
    </row>
    <row r="109" spans="2:2">
      <c r="B109" t="s">
        <v>312</v>
      </c>
    </row>
    <row r="110" spans="2:2">
      <c r="B110" t="s">
        <v>313</v>
      </c>
    </row>
    <row r="111" spans="2:2">
      <c r="B111" t="s">
        <v>314</v>
      </c>
    </row>
    <row r="112" spans="2:2">
      <c r="B112" t="s">
        <v>315</v>
      </c>
    </row>
    <row r="113" spans="2:2">
      <c r="B113" t="s">
        <v>384</v>
      </c>
    </row>
    <row r="114" spans="2:2">
      <c r="B114" t="s">
        <v>316</v>
      </c>
    </row>
    <row r="115" spans="2:2">
      <c r="B115" t="s">
        <v>317</v>
      </c>
    </row>
    <row r="116" spans="2:2">
      <c r="B116" t="s">
        <v>318</v>
      </c>
    </row>
    <row r="117" spans="2:2">
      <c r="B117" t="s">
        <v>319</v>
      </c>
    </row>
    <row r="118" spans="2:2">
      <c r="B118" t="s">
        <v>320</v>
      </c>
    </row>
    <row r="119" spans="2:2">
      <c r="B119" t="s">
        <v>321</v>
      </c>
    </row>
    <row r="120" spans="2:2">
      <c r="B120" t="s">
        <v>322</v>
      </c>
    </row>
    <row r="121" spans="2:2">
      <c r="B121" t="s">
        <v>323</v>
      </c>
    </row>
    <row r="122" spans="2:2">
      <c r="B122" t="s">
        <v>324</v>
      </c>
    </row>
    <row r="123" spans="2:2">
      <c r="B123" t="s">
        <v>325</v>
      </c>
    </row>
    <row r="124" spans="2:2">
      <c r="B124" t="s">
        <v>326</v>
      </c>
    </row>
    <row r="125" spans="2:2">
      <c r="B125" t="s">
        <v>327</v>
      </c>
    </row>
    <row r="126" spans="2:2">
      <c r="B126" t="s">
        <v>328</v>
      </c>
    </row>
    <row r="127" spans="2:2">
      <c r="B127" t="s">
        <v>329</v>
      </c>
    </row>
    <row r="128" spans="2:2">
      <c r="B128" t="s">
        <v>330</v>
      </c>
    </row>
    <row r="129" spans="2:2">
      <c r="B129" t="s">
        <v>331</v>
      </c>
    </row>
    <row r="130" spans="2:2">
      <c r="B130" t="s">
        <v>332</v>
      </c>
    </row>
    <row r="131" spans="2:2">
      <c r="B131" t="s">
        <v>333</v>
      </c>
    </row>
    <row r="132" spans="2:2">
      <c r="B132" t="s">
        <v>334</v>
      </c>
    </row>
    <row r="133" spans="2:2">
      <c r="B133" t="s">
        <v>335</v>
      </c>
    </row>
    <row r="134" spans="2:2">
      <c r="B134" t="s">
        <v>336</v>
      </c>
    </row>
    <row r="135" spans="2:2">
      <c r="B135" t="s">
        <v>337</v>
      </c>
    </row>
    <row r="136" spans="2:2">
      <c r="B136" t="s">
        <v>338</v>
      </c>
    </row>
    <row r="137" spans="2:2">
      <c r="B137" t="s">
        <v>339</v>
      </c>
    </row>
    <row r="138" spans="2:2">
      <c r="B138" t="s">
        <v>340</v>
      </c>
    </row>
    <row r="139" spans="2:2">
      <c r="B139" t="s">
        <v>341</v>
      </c>
    </row>
    <row r="140" spans="2:2">
      <c r="B140" t="s">
        <v>342</v>
      </c>
    </row>
    <row r="141" spans="2:2">
      <c r="B141" t="s">
        <v>343</v>
      </c>
    </row>
    <row r="142" spans="2:2">
      <c r="B142" t="s">
        <v>344</v>
      </c>
    </row>
    <row r="143" spans="2:2">
      <c r="B143" t="s">
        <v>345</v>
      </c>
    </row>
    <row r="144" spans="2:2">
      <c r="B144" t="s">
        <v>346</v>
      </c>
    </row>
    <row r="145" spans="2:2">
      <c r="B145" t="s">
        <v>347</v>
      </c>
    </row>
    <row r="146" spans="2:2">
      <c r="B146" t="s">
        <v>348</v>
      </c>
    </row>
    <row r="147" spans="2:2">
      <c r="B147" t="s">
        <v>349</v>
      </c>
    </row>
    <row r="148" spans="2:2">
      <c r="B148" t="s">
        <v>350</v>
      </c>
    </row>
    <row r="149" spans="2:2">
      <c r="B149" t="s">
        <v>351</v>
      </c>
    </row>
    <row r="150" spans="2:2">
      <c r="B150" t="s">
        <v>352</v>
      </c>
    </row>
    <row r="151" spans="2:2">
      <c r="B151" t="s">
        <v>353</v>
      </c>
    </row>
    <row r="152" spans="2:2">
      <c r="B152" t="s">
        <v>356</v>
      </c>
    </row>
    <row r="153" spans="2:2">
      <c r="B153" t="s">
        <v>357</v>
      </c>
    </row>
    <row r="154" spans="2:2">
      <c r="B154" t="s">
        <v>358</v>
      </c>
    </row>
    <row r="155" spans="2:2">
      <c r="B155" t="s">
        <v>359</v>
      </c>
    </row>
    <row r="156" spans="2:2">
      <c r="B156" t="s">
        <v>360</v>
      </c>
    </row>
    <row r="157" spans="2:2">
      <c r="B157" t="s">
        <v>361</v>
      </c>
    </row>
    <row r="158" spans="2:2">
      <c r="B158" t="s">
        <v>362</v>
      </c>
    </row>
    <row r="159" spans="2:2">
      <c r="B159" t="s">
        <v>363</v>
      </c>
    </row>
    <row r="160" spans="2:2">
      <c r="B160" t="s">
        <v>364</v>
      </c>
    </row>
    <row r="161" spans="2:2">
      <c r="B161" t="s">
        <v>365</v>
      </c>
    </row>
    <row r="162" spans="2:2">
      <c r="B162" t="s">
        <v>366</v>
      </c>
    </row>
    <row r="163" spans="2:2">
      <c r="B163" t="s">
        <v>367</v>
      </c>
    </row>
    <row r="164" spans="2:2">
      <c r="B164" t="s">
        <v>368</v>
      </c>
    </row>
    <row r="165" spans="2:2">
      <c r="B165" t="s">
        <v>369</v>
      </c>
    </row>
    <row r="166" spans="2:2">
      <c r="B166" t="s">
        <v>370</v>
      </c>
    </row>
    <row r="167" spans="2:2">
      <c r="B167" t="s">
        <v>371</v>
      </c>
    </row>
    <row r="168" spans="2:2">
      <c r="B168" t="s">
        <v>372</v>
      </c>
    </row>
    <row r="169" spans="2:2">
      <c r="B169" t="s">
        <v>373</v>
      </c>
    </row>
    <row r="170" spans="2:2">
      <c r="B170" t="s">
        <v>374</v>
      </c>
    </row>
    <row r="171" spans="2:2">
      <c r="B171" t="s">
        <v>375</v>
      </c>
    </row>
    <row r="172" spans="2:2">
      <c r="B172" t="s">
        <v>376</v>
      </c>
    </row>
    <row r="173" spans="2:2">
      <c r="B173" t="s">
        <v>377</v>
      </c>
    </row>
    <row r="174" spans="2:2">
      <c r="B174" t="s">
        <v>378</v>
      </c>
    </row>
    <row r="175" spans="2:2">
      <c r="B175" t="s">
        <v>379</v>
      </c>
    </row>
    <row r="176" spans="2:2">
      <c r="B176" t="s">
        <v>380</v>
      </c>
    </row>
    <row r="177" spans="2:2">
      <c r="B177" t="s">
        <v>381</v>
      </c>
    </row>
    <row r="178" spans="2:2">
      <c r="B178" t="s">
        <v>382</v>
      </c>
    </row>
    <row r="179" spans="2:2">
      <c r="B179" t="s">
        <v>383</v>
      </c>
    </row>
  </sheetData>
  <sortState xmlns:xlrd2="http://schemas.microsoft.com/office/spreadsheetml/2017/richdata2" ref="B5:B179">
    <sortCondition ref="B17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CLCP2016-Cuadros</vt:lpstr>
      <vt:lpstr>CLCP-InfoReveDeta</vt:lpstr>
      <vt:lpstr>CLCP-EfecResuCobe</vt:lpstr>
      <vt:lpstr>CLCP2016-ProvPagoDia</vt:lpstr>
      <vt:lpstr>CLCP2016-ProvPlazVenc</vt:lpstr>
      <vt:lpstr>CLCP-MoneNaciExtr</vt:lpstr>
      <vt:lpstr>codigo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Waldo González</cp:lastModifiedBy>
  <dcterms:created xsi:type="dcterms:W3CDTF">2013-03-21T17:58:38Z</dcterms:created>
  <dcterms:modified xsi:type="dcterms:W3CDTF">2024-06-19T20:49:28Z</dcterms:modified>
</cp:coreProperties>
</file>