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jaime\Desktop\Jaime\TESTING\Testing CI 2022\xls\"/>
    </mc:Choice>
  </mc:AlternateContent>
  <xr:revisionPtr revIDLastSave="0" documentId="13_ncr:1_{4FC96114-4420-4BF8-B116-6D406F96B7AA}" xr6:coauthVersionLast="47" xr6:coauthVersionMax="47" xr10:uidLastSave="{00000000-0000-0000-0000-000000000000}"/>
  <bookViews>
    <workbookView xWindow="-120" yWindow="-120" windowWidth="20730" windowHeight="11160" activeTab="1" xr2:uid="{00000000-000D-0000-FFFF-FFFF00000000}"/>
  </bookViews>
  <sheets>
    <sheet name="IFRS8-Cuadros" sheetId="1" r:id="rId1"/>
    <sheet name="IFRS8-InfoSegmOper" sheetId="8" r:id="rId2"/>
    <sheet name="IFRS8-InfoProdServ" sheetId="9" r:id="rId3"/>
    <sheet name="IFRS8-InfoAreaGeog" sheetId="10" r:id="rId4"/>
    <sheet name="IFRS8-InfoClieImpr" sheetId="11" r:id="rId5"/>
    <sheet name="Hoja1" sheetId="12" state="hidden"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Q111" i="8" l="1"/>
  <c r="O104" i="8"/>
  <c r="O106" i="8" s="1"/>
  <c r="N104" i="8"/>
  <c r="N106" i="8" s="1"/>
  <c r="O90" i="8"/>
  <c r="N90" i="8"/>
  <c r="O71" i="8"/>
  <c r="O67" i="8"/>
  <c r="N67" i="8"/>
  <c r="O65" i="8"/>
  <c r="N65" i="8"/>
  <c r="O51" i="8"/>
  <c r="N51" i="8"/>
  <c r="Q33" i="8"/>
  <c r="O26" i="8"/>
  <c r="O28" i="8" s="1"/>
  <c r="N26" i="8"/>
  <c r="N28" i="8" s="1"/>
  <c r="O12" i="8"/>
  <c r="N12" i="8"/>
  <c r="I14" i="10"/>
  <c r="H14" i="10"/>
  <c r="H104" i="8" l="1"/>
  <c r="H106" i="8" s="1"/>
  <c r="H90" i="8"/>
  <c r="H84" i="8"/>
  <c r="H65" i="8"/>
  <c r="H67" i="8" s="1"/>
  <c r="H51" i="8"/>
  <c r="H45" i="8"/>
  <c r="H26" i="8"/>
  <c r="H28" i="8" s="1"/>
  <c r="H12" i="8"/>
  <c r="H6" i="8"/>
  <c r="I104" i="8"/>
  <c r="I106" i="8" s="1"/>
  <c r="I90" i="8"/>
  <c r="I84" i="8"/>
  <c r="I65" i="8"/>
  <c r="I67" i="8" s="1"/>
  <c r="I51" i="8"/>
  <c r="I45" i="8"/>
  <c r="I26" i="8"/>
  <c r="I28" i="8" s="1"/>
  <c r="I12" i="8"/>
  <c r="I6" i="8"/>
  <c r="K14" i="10" l="1"/>
  <c r="J14" i="10"/>
  <c r="G14" i="10"/>
  <c r="P66" i="8" l="1"/>
  <c r="I10" i="9" l="1"/>
  <c r="P29" i="8" l="1"/>
  <c r="P119" i="8" l="1"/>
  <c r="K119" i="8"/>
  <c r="M119" i="8" s="1"/>
  <c r="P118" i="8"/>
  <c r="K118" i="8"/>
  <c r="M118" i="8" s="1"/>
  <c r="P117" i="8"/>
  <c r="K117" i="8"/>
  <c r="M117" i="8" s="1"/>
  <c r="P116" i="8"/>
  <c r="K116" i="8"/>
  <c r="M116" i="8" s="1"/>
  <c r="P115" i="8"/>
  <c r="K115" i="8"/>
  <c r="M115" i="8" s="1"/>
  <c r="P114" i="8"/>
  <c r="K114" i="8"/>
  <c r="M114" i="8" s="1"/>
  <c r="P113" i="8"/>
  <c r="K113" i="8"/>
  <c r="M113" i="8" s="1"/>
  <c r="P110" i="8"/>
  <c r="K110" i="8"/>
  <c r="M110" i="8" s="1"/>
  <c r="P109" i="8"/>
  <c r="K109" i="8"/>
  <c r="M109" i="8" s="1"/>
  <c r="P108" i="8"/>
  <c r="K108" i="8"/>
  <c r="M108" i="8" s="1"/>
  <c r="P107" i="8"/>
  <c r="K107" i="8"/>
  <c r="M107" i="8" s="1"/>
  <c r="P105" i="8"/>
  <c r="K105" i="8"/>
  <c r="M105" i="8" s="1"/>
  <c r="L104" i="8"/>
  <c r="L106" i="8" s="1"/>
  <c r="J104" i="8"/>
  <c r="J106" i="8" s="1"/>
  <c r="G104" i="8"/>
  <c r="G106" i="8" s="1"/>
  <c r="P103" i="8"/>
  <c r="K103" i="8"/>
  <c r="P102" i="8"/>
  <c r="K102" i="8"/>
  <c r="M102" i="8" s="1"/>
  <c r="P101" i="8"/>
  <c r="K101" i="8"/>
  <c r="M101" i="8" s="1"/>
  <c r="P100" i="8"/>
  <c r="K100" i="8"/>
  <c r="M100" i="8" s="1"/>
  <c r="P99" i="8"/>
  <c r="K99" i="8"/>
  <c r="M99" i="8" s="1"/>
  <c r="P98" i="8"/>
  <c r="K98" i="8"/>
  <c r="M98" i="8" s="1"/>
  <c r="P97" i="8"/>
  <c r="K97" i="8"/>
  <c r="M97" i="8" s="1"/>
  <c r="P95" i="8"/>
  <c r="K95" i="8"/>
  <c r="M95" i="8" s="1"/>
  <c r="P94" i="8"/>
  <c r="K94" i="8"/>
  <c r="M94" i="8" s="1"/>
  <c r="P93" i="8"/>
  <c r="K93" i="8"/>
  <c r="M93" i="8" s="1"/>
  <c r="P92" i="8"/>
  <c r="K92" i="8"/>
  <c r="M92" i="8" s="1"/>
  <c r="P91" i="8"/>
  <c r="K91" i="8"/>
  <c r="M91" i="8" s="1"/>
  <c r="L90" i="8"/>
  <c r="J90" i="8"/>
  <c r="G90" i="8"/>
  <c r="P89" i="8"/>
  <c r="K89" i="8"/>
  <c r="M89" i="8" s="1"/>
  <c r="P88" i="8"/>
  <c r="K88" i="8"/>
  <c r="M88" i="8" s="1"/>
  <c r="P80" i="8"/>
  <c r="K80" i="8"/>
  <c r="M80" i="8" s="1"/>
  <c r="P79" i="8"/>
  <c r="K79" i="8"/>
  <c r="M79" i="8" s="1"/>
  <c r="P78" i="8"/>
  <c r="K78" i="8"/>
  <c r="M78" i="8" s="1"/>
  <c r="P77" i="8"/>
  <c r="K77" i="8"/>
  <c r="M77" i="8" s="1"/>
  <c r="P76" i="8"/>
  <c r="K76" i="8"/>
  <c r="M76" i="8" s="1"/>
  <c r="P75" i="8"/>
  <c r="K75" i="8"/>
  <c r="M75" i="8" s="1"/>
  <c r="P74" i="8"/>
  <c r="K74" i="8"/>
  <c r="M74" i="8" s="1"/>
  <c r="P71" i="8"/>
  <c r="K71" i="8"/>
  <c r="M71" i="8" s="1"/>
  <c r="P70" i="8"/>
  <c r="K70" i="8"/>
  <c r="M70" i="8" s="1"/>
  <c r="P69" i="8"/>
  <c r="K69" i="8"/>
  <c r="M69" i="8" s="1"/>
  <c r="P68" i="8"/>
  <c r="K68" i="8"/>
  <c r="M68" i="8" s="1"/>
  <c r="K66" i="8"/>
  <c r="M66" i="8" s="1"/>
  <c r="Q66" i="8" s="1"/>
  <c r="L65" i="8"/>
  <c r="L67" i="8" s="1"/>
  <c r="J65" i="8"/>
  <c r="J67" i="8" s="1"/>
  <c r="G65" i="8"/>
  <c r="G67" i="8" s="1"/>
  <c r="P64" i="8"/>
  <c r="K64" i="8"/>
  <c r="P63" i="8"/>
  <c r="K63" i="8"/>
  <c r="M63" i="8" s="1"/>
  <c r="P62" i="8"/>
  <c r="K62" i="8"/>
  <c r="M62" i="8" s="1"/>
  <c r="P61" i="8"/>
  <c r="K61" i="8"/>
  <c r="M61" i="8" s="1"/>
  <c r="P60" i="8"/>
  <c r="K60" i="8"/>
  <c r="M60" i="8" s="1"/>
  <c r="P59" i="8"/>
  <c r="K59" i="8"/>
  <c r="M59" i="8" s="1"/>
  <c r="P58" i="8"/>
  <c r="K58" i="8"/>
  <c r="M58" i="8" s="1"/>
  <c r="P56" i="8"/>
  <c r="K56" i="8"/>
  <c r="M56" i="8" s="1"/>
  <c r="P55" i="8"/>
  <c r="K55" i="8"/>
  <c r="M55" i="8" s="1"/>
  <c r="P54" i="8"/>
  <c r="K54" i="8"/>
  <c r="M54" i="8" s="1"/>
  <c r="P53" i="8"/>
  <c r="K53" i="8"/>
  <c r="M53" i="8" s="1"/>
  <c r="P52" i="8"/>
  <c r="K52" i="8"/>
  <c r="M52" i="8" s="1"/>
  <c r="L51" i="8"/>
  <c r="J51" i="8"/>
  <c r="G51" i="8"/>
  <c r="P50" i="8"/>
  <c r="K50" i="8"/>
  <c r="M50" i="8" s="1"/>
  <c r="P49" i="8"/>
  <c r="K49" i="8"/>
  <c r="M49" i="8" s="1"/>
  <c r="Q58" i="8" l="1"/>
  <c r="Q100" i="8"/>
  <c r="Q98" i="8"/>
  <c r="Q102" i="8"/>
  <c r="Q108" i="8"/>
  <c r="Q107" i="8"/>
  <c r="Q99" i="8"/>
  <c r="Q93" i="8"/>
  <c r="Q91" i="8"/>
  <c r="Q80" i="8"/>
  <c r="Q62" i="8"/>
  <c r="Q59" i="8"/>
  <c r="Q56" i="8"/>
  <c r="Q55" i="8"/>
  <c r="Q54" i="8"/>
  <c r="Q53" i="8"/>
  <c r="Q49" i="8"/>
  <c r="Q50" i="8"/>
  <c r="Q60" i="8"/>
  <c r="Q63" i="8"/>
  <c r="K65" i="8"/>
  <c r="K67" i="8" s="1"/>
  <c r="Q78" i="8"/>
  <c r="Q79" i="8"/>
  <c r="Q110" i="8"/>
  <c r="Q94" i="8"/>
  <c r="Q95" i="8"/>
  <c r="Q109" i="8"/>
  <c r="Q52" i="8"/>
  <c r="Q61" i="8"/>
  <c r="M64" i="8"/>
  <c r="Q64" i="8" s="1"/>
  <c r="Q92" i="8"/>
  <c r="Q97" i="8"/>
  <c r="Q101" i="8"/>
  <c r="P104" i="8"/>
  <c r="P106" i="8" s="1"/>
  <c r="K51" i="8"/>
  <c r="M51" i="8" s="1"/>
  <c r="K104" i="8"/>
  <c r="K106" i="8" s="1"/>
  <c r="P51" i="8"/>
  <c r="P65" i="8"/>
  <c r="P67" i="8" s="1"/>
  <c r="Q68" i="8"/>
  <c r="Q69" i="8"/>
  <c r="Q70" i="8"/>
  <c r="Q71" i="8"/>
  <c r="Q73" i="8" s="1"/>
  <c r="Q74" i="8"/>
  <c r="Q75" i="8"/>
  <c r="Q76" i="8"/>
  <c r="Q77" i="8"/>
  <c r="Q88" i="8"/>
  <c r="Q89" i="8"/>
  <c r="K90" i="8"/>
  <c r="M90" i="8" s="1"/>
  <c r="P90" i="8"/>
  <c r="M103" i="8"/>
  <c r="M104" i="8" s="1"/>
  <c r="M106" i="8" s="1"/>
  <c r="Q105" i="8"/>
  <c r="Q113" i="8"/>
  <c r="Q114" i="8"/>
  <c r="Q115" i="8"/>
  <c r="Q116" i="8"/>
  <c r="Q117" i="8"/>
  <c r="Q118" i="8"/>
  <c r="Q119" i="8"/>
  <c r="I19" i="11"/>
  <c r="L19" i="11" s="1"/>
  <c r="I11" i="11"/>
  <c r="L11" i="11" s="1"/>
  <c r="M65" i="8" l="1"/>
  <c r="M67" i="8" s="1"/>
  <c r="Q65" i="8"/>
  <c r="Q90" i="8"/>
  <c r="Q112" i="8"/>
  <c r="Q51" i="8"/>
  <c r="Q103" i="8"/>
  <c r="Q104" i="8" s="1"/>
  <c r="Q106" i="8" s="1"/>
  <c r="P40" i="8"/>
  <c r="P37" i="8"/>
  <c r="P39" i="8"/>
  <c r="P36" i="8"/>
  <c r="P32" i="8"/>
  <c r="P31" i="8"/>
  <c r="P30" i="8"/>
  <c r="P27" i="8"/>
  <c r="P14" i="8"/>
  <c r="P17" i="8"/>
  <c r="P16" i="8"/>
  <c r="P15" i="8"/>
  <c r="P13" i="8"/>
  <c r="P11" i="8"/>
  <c r="P10" i="8"/>
  <c r="P20" i="8"/>
  <c r="K25" i="8"/>
  <c r="M25" i="8" s="1"/>
  <c r="K24" i="8"/>
  <c r="K22" i="8"/>
  <c r="K19" i="8"/>
  <c r="K17" i="8"/>
  <c r="M17" i="8" s="1"/>
  <c r="K16" i="8"/>
  <c r="M16" i="8" s="1"/>
  <c r="K15" i="8"/>
  <c r="M15" i="8" s="1"/>
  <c r="K14" i="8"/>
  <c r="M14" i="8" s="1"/>
  <c r="K13" i="8"/>
  <c r="M13" i="8" s="1"/>
  <c r="K11" i="8"/>
  <c r="M11" i="8" s="1"/>
  <c r="G26" i="8"/>
  <c r="Q67" i="8" l="1"/>
  <c r="Q13" i="8"/>
  <c r="Q16" i="8"/>
  <c r="Q15" i="8"/>
  <c r="Q17" i="8"/>
  <c r="Q11" i="8"/>
  <c r="Q14" i="8"/>
  <c r="G12" i="8"/>
  <c r="J12" i="8"/>
  <c r="L12" i="8"/>
  <c r="P12" i="8" l="1"/>
  <c r="J84" i="8"/>
  <c r="G84" i="8"/>
  <c r="G45" i="8"/>
  <c r="I18" i="11" l="1"/>
  <c r="L18" i="11" s="1"/>
  <c r="I10" i="11"/>
  <c r="L10" i="11" s="1"/>
  <c r="K14" i="11"/>
  <c r="J14" i="11"/>
  <c r="K6" i="11"/>
  <c r="J6" i="11"/>
  <c r="G14" i="11"/>
  <c r="G6" i="11"/>
  <c r="J19" i="10"/>
  <c r="K19" i="10" s="1"/>
  <c r="J18" i="10"/>
  <c r="J11" i="10"/>
  <c r="K11" i="10" s="1"/>
  <c r="J10" i="10"/>
  <c r="K10" i="10" s="1"/>
  <c r="I6" i="10"/>
  <c r="H6" i="10"/>
  <c r="I17" i="9"/>
  <c r="G13" i="9"/>
  <c r="G6" i="9"/>
  <c r="K18" i="10" l="1"/>
  <c r="L26" i="8"/>
  <c r="L28" i="8" s="1"/>
  <c r="J26" i="8"/>
  <c r="J28" i="8" s="1"/>
  <c r="G28" i="8"/>
  <c r="P41" i="8"/>
  <c r="P38" i="8"/>
  <c r="P35" i="8"/>
  <c r="P25" i="8"/>
  <c r="Q25" i="8" s="1"/>
  <c r="P24" i="8"/>
  <c r="P23" i="8"/>
  <c r="P22" i="8"/>
  <c r="P21" i="8"/>
  <c r="P19" i="8"/>
  <c r="K41" i="8"/>
  <c r="M41" i="8" s="1"/>
  <c r="K40" i="8"/>
  <c r="M40" i="8" s="1"/>
  <c r="Q40" i="8" s="1"/>
  <c r="K39" i="8"/>
  <c r="M39" i="8" s="1"/>
  <c r="Q39" i="8" s="1"/>
  <c r="K38" i="8"/>
  <c r="M38" i="8" s="1"/>
  <c r="K37" i="8"/>
  <c r="M37" i="8" s="1"/>
  <c r="K36" i="8"/>
  <c r="M36" i="8" s="1"/>
  <c r="Q36" i="8" s="1"/>
  <c r="K35" i="8"/>
  <c r="M35" i="8" s="1"/>
  <c r="K32" i="8"/>
  <c r="M32" i="8" s="1"/>
  <c r="Q32" i="8" s="1"/>
  <c r="K31" i="8"/>
  <c r="M31" i="8" s="1"/>
  <c r="K30" i="8"/>
  <c r="M30" i="8" s="1"/>
  <c r="Q30" i="8" s="1"/>
  <c r="K29" i="8"/>
  <c r="M29" i="8" s="1"/>
  <c r="Q29" i="8" s="1"/>
  <c r="K27" i="8"/>
  <c r="M27" i="8" s="1"/>
  <c r="Q27" i="8" s="1"/>
  <c r="M24" i="8"/>
  <c r="K23" i="8"/>
  <c r="M23" i="8" s="1"/>
  <c r="M22" i="8"/>
  <c r="K21" i="8"/>
  <c r="M21" i="8" s="1"/>
  <c r="K20" i="8"/>
  <c r="M20" i="8" s="1"/>
  <c r="Q20" i="8" s="1"/>
  <c r="M19" i="8"/>
  <c r="K10" i="8"/>
  <c r="M10" i="8" s="1"/>
  <c r="Q10" i="8" s="1"/>
  <c r="G6" i="8"/>
  <c r="Q23" i="8" l="1"/>
  <c r="Q21" i="8"/>
  <c r="Q38" i="8"/>
  <c r="Q41" i="8"/>
  <c r="Q12" i="8"/>
  <c r="Q34" i="8"/>
  <c r="Q22" i="8"/>
  <c r="Q35" i="8"/>
  <c r="Q19" i="8"/>
  <c r="P26" i="8"/>
  <c r="P28" i="8" s="1"/>
  <c r="Q24" i="8"/>
  <c r="K12" i="8"/>
  <c r="M12" i="8" s="1"/>
  <c r="Q31" i="8"/>
  <c r="Q37" i="8"/>
  <c r="K26" i="8"/>
  <c r="K28" i="8" s="1"/>
  <c r="M26" i="8"/>
  <c r="M28" i="8" s="1"/>
  <c r="H6" i="11"/>
  <c r="H14" i="11"/>
  <c r="H6" i="9"/>
  <c r="H13" i="9"/>
  <c r="J6" i="8"/>
  <c r="J45" i="8"/>
  <c r="Q26" i="8" l="1"/>
  <c r="Q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Mauricio Ahumada (DBNeTCorp)</author>
  </authors>
  <commentList>
    <comment ref="Q34" authorId="0" shapeId="0" xr:uid="{00000000-0006-0000-0100-000001000000}">
      <text>
        <r>
          <rPr>
            <b/>
            <sz val="9"/>
            <color indexed="81"/>
            <rFont val="Tahoma"/>
            <family val="2"/>
          </rPr>
          <t>No completar valores en celdas con fondos plomo
Concepto en este informe no aparece por taxonomía, se agrega para evitar error de validación en SVS. Debe cuadrar con 1ra columna de balance.</t>
        </r>
      </text>
    </comment>
    <comment ref="Q73" authorId="0" shapeId="0" xr:uid="{00000000-0006-0000-0100-000002000000}">
      <text>
        <r>
          <rPr>
            <b/>
            <sz val="9"/>
            <color indexed="81"/>
            <rFont val="Tahoma"/>
            <family val="2"/>
          </rPr>
          <t>No completar valores en celdas con fondos plomo
Concepto en este informe no aparece por taxonomía, se agrega para evitar error de validación en SVS. Debe cuadrar con 1ra columna de balance.</t>
        </r>
      </text>
    </comment>
    <comment ref="Q112" authorId="0" shapeId="0" xr:uid="{00000000-0006-0000-0100-000003000000}">
      <text>
        <r>
          <rPr>
            <b/>
            <sz val="9"/>
            <color indexed="81"/>
            <rFont val="Tahoma"/>
            <family val="2"/>
          </rPr>
          <t>No completar valores en celdas con fondos plomo
Concepto en este informe no aparece por taxonomía, se agrega para evitar error de validación en SVS. Debe cuadrar con 1ra columna de balance.</t>
        </r>
      </text>
    </comment>
  </commentList>
</comments>
</file>

<file path=xl/sharedStrings.xml><?xml version="1.0" encoding="utf-8"?>
<sst xmlns="http://schemas.openxmlformats.org/spreadsheetml/2006/main" count="908" uniqueCount="201">
  <si>
    <t xml:space="preserve"> </t>
  </si>
  <si>
    <r>
      <t xml:space="preserve">INSTRUCCIONES DE LLENADO
</t>
    </r>
    <r>
      <rPr>
        <sz val="10"/>
        <rFont val="Calibri"/>
        <family val="2"/>
      </rPr>
      <t xml:space="preserve">Esta dimensión puede ser extendida agregando columnas (miembros) adicionales a las definidas por taxonomía.
-Las columnas marcadas con línea punteada roja y con fondo verde indican las posiciones donde es posible agregar elementos.                                                                                                                                                                                                                                                                                             </t>
    </r>
    <r>
      <rPr>
        <sz val="10"/>
        <color indexed="10"/>
        <rFont val="Calibri"/>
        <family val="2"/>
      </rPr>
      <t xml:space="preserve">-Si se presiona el botón </t>
    </r>
    <r>
      <rPr>
        <b/>
        <sz val="10"/>
        <color indexed="10"/>
        <rFont val="Calibri"/>
        <family val="2"/>
      </rPr>
      <t>'Copiar Columna'</t>
    </r>
    <r>
      <rPr>
        <sz val="10"/>
        <color indexed="10"/>
        <rFont val="Calibri"/>
        <family val="2"/>
      </rPr>
      <t xml:space="preserve"> se copiará una columna  a la derecha de la columna actualmente seleccionada. </t>
    </r>
    <r>
      <rPr>
        <sz val="10"/>
        <rFont val="Calibri"/>
        <family val="2"/>
      </rPr>
      <t xml:space="preserve">
-Edite las columnas</t>
    </r>
    <r>
      <rPr>
        <b/>
        <sz val="10"/>
        <rFont val="Calibri"/>
        <family val="2"/>
      </rPr>
      <t xml:space="preserve"> coloreadas verde </t>
    </r>
    <r>
      <rPr>
        <sz val="10"/>
        <rFont val="Calibri"/>
        <family val="2"/>
      </rPr>
      <t xml:space="preserve">de acuerdo a sus necesidades.
-Las columnas verdes pueden ser editadas, eliminadas o duplicadas, así puede agregar mas detalle donde corresponda. Asegúrese de copiar la columna completa si desea duplicar un elemento (Se recomienda utilizar el botón 'Copiar Columna').
-Las columnas marcadas en plomo </t>
    </r>
    <r>
      <rPr>
        <b/>
        <sz val="10"/>
        <rFont val="Calibri"/>
        <family val="2"/>
      </rPr>
      <t>no deben ser editadas, eliminadas ni movidas.</t>
    </r>
  </si>
  <si>
    <t>Elimine la(s) columnas en verde que no apliquen para usted</t>
  </si>
  <si>
    <t>ACT</t>
  </si>
  <si>
    <t>ANT</t>
  </si>
  <si>
    <t xml:space="preserve">    Información a revelar sobre los segmentos de operación de la entidad [bloque de texto]  </t>
  </si>
  <si>
    <t xml:space="preserve">      Descripción de los factores utilizados para identificar los segmentos sobre los que deba informar la entidad  [Texto]</t>
  </si>
  <si>
    <t xml:space="preserve">      Descripción de los tipos de productos y servicios de los que cada segmento sobre el que se debe informar obtiene sus ingresos de las actividades ordinarias  [Texto]</t>
  </si>
  <si>
    <t xml:space="preserve">      Descripción de fuentes de ingresos de actividades ordinarias para todos los otros segmentos  [Texto]</t>
  </si>
  <si>
    <t xml:space="preserve">      Descripción de los criterios de contabilización de transacciones entre los segmentos sobre los que deba informar  [Texto]</t>
  </si>
  <si>
    <t xml:space="preserve">      Descripción de la naturaleza de las diferencias entre las mediciones de los resultados de segmentos sobre los que deba informar y el resultado de la entidad antes del gasto o ingreso por impuestos a las ganancias y operaciones discontinuadas  [Texto]</t>
  </si>
  <si>
    <t xml:space="preserve">      Descripción de la naturaleza de las diferencias entre las mediciones de los activos de segmentos sobre los que deba informar y los activos de la entidad  [Texto]</t>
  </si>
  <si>
    <t xml:space="preserve">      Descripción de la naturaleza de las diferencias entre las mediciones de los pasivos de segmentos sobre los que deba informar y los pasivos de la entidad  [Texto]</t>
  </si>
  <si>
    <t xml:space="preserve">      Descripción de la naturaleza de cambios procedentes de períodos anteriores en los métodos de medición utilizados para determinar los resultados de los segmentos sobre los que deba informar y el efecto de tales cambios en la medida del resultado de los segmentos  [Texto]</t>
  </si>
  <si>
    <t xml:space="preserve">      Descripción de la naturaleza y el efecto de cualesquiera asignaciones asimétricas a los segmentos sobre los que deba informar  [Texto]</t>
  </si>
  <si>
    <t xml:space="preserve">      Información a revelar sobre segmentos de operación [bloque de texto]  </t>
  </si>
  <si>
    <t xml:space="preserve">Información a revelar sobre segmentos de operación [sinopsis]  </t>
  </si>
  <si>
    <t>Agregar columna opcional</t>
  </si>
  <si>
    <t xml:space="preserve">                  Todos los demás segmentos [miembro]  </t>
  </si>
  <si>
    <t xml:space="preserve">                  Segmentos sobre los que debe informarse [miembro]  </t>
  </si>
  <si>
    <t xml:space="preserve">                Segmentos de operación [miembro]  </t>
  </si>
  <si>
    <t xml:space="preserve">                  Eliminación de importes intersegmentos [miembro]  </t>
  </si>
  <si>
    <t xml:space="preserve">                  Importes no asignados [miembro]  </t>
  </si>
  <si>
    <t xml:space="preserve">                Partidas significativas de conciliación [miembro]  </t>
  </si>
  <si>
    <t xml:space="preserve">              Total de la entidad por segmentos de operación [miembro]  </t>
  </si>
  <si>
    <t xml:space="preserve">            Ingresos de actividades ordinarias  [Número]</t>
  </si>
  <si>
    <t xml:space="preserve">            Ingresos de actividades ordinarias procedentes de intereses  [Número]</t>
  </si>
  <si>
    <t xml:space="preserve">            Gastos por intereses  [Número]</t>
  </si>
  <si>
    <t xml:space="preserve">            Ingresos (gastos) por intereses  [Número]</t>
  </si>
  <si>
    <t xml:space="preserve">            Gasto por depreciación y amortización  [Número]</t>
  </si>
  <si>
    <t xml:space="preserve">            Participación en las ganancias (pérdidas) de asociadas y negocios conjuntos que se contabilicen utilizando el método de la participación  [Número]</t>
  </si>
  <si>
    <t xml:space="preserve">            Gasto por impuestos a las ganancias, operaciones continuadas  [Número]</t>
  </si>
  <si>
    <t xml:space="preserve">            Otras partidas distintas al efectivo significativas  [Número]</t>
  </si>
  <si>
    <t xml:space="preserve">            Ganancia (pérdida), antes de impuestos  [Número]</t>
  </si>
  <si>
    <t xml:space="preserve">            Ganancia (pérdida) procedente de operaciones continuadas  [Número]</t>
  </si>
  <si>
    <t xml:space="preserve">            Ganancia (pérdida) procedente de operaciones discontinuadas  [Número]</t>
  </si>
  <si>
    <t xml:space="preserve">            Ganancia (pérdida)  [Número]</t>
  </si>
  <si>
    <t xml:space="preserve">            Activos  [Número]</t>
  </si>
  <si>
    <t xml:space="preserve">            Inversiones contabilizadas utilizando el método de la participación  [Número]</t>
  </si>
  <si>
    <t xml:space="preserve">            Incorporaciones de activos no corrientes distintas de instrumentos financieros, activos por impuestos diferidos, activos de beneficios definidos netos, y derechos que surgen de contratos de seguro  [Número]</t>
  </si>
  <si>
    <t xml:space="preserve">            Pasivos  [Número]</t>
  </si>
  <si>
    <t xml:space="preserve">            Pérdidas por deterioro de valor reconocidas en el resultado del periodo  [Número]</t>
  </si>
  <si>
    <t xml:space="preserve">            Reversión de pérdidas por deterioro de valor reconocidas en el resultado del periodo  [Número]</t>
  </si>
  <si>
    <t xml:space="preserve">            Pérdidas por deterioro de valor reconocidas en otro resultado integral  [Número]</t>
  </si>
  <si>
    <t xml:space="preserve">            Reversión de pérdidas por deterioro de valor reconocidas en otro resultado integral  [Número]</t>
  </si>
  <si>
    <t xml:space="preserve">            Flujos de efectivo procedentes de (utilizados en) actividades de operación  [Número]</t>
  </si>
  <si>
    <t xml:space="preserve">            Flujos de efectivo procedentes de (utilizados en) actividades de inversión  [Número]</t>
  </si>
  <si>
    <t xml:space="preserve">            Flujos de efectivo procedentes de (utilizados en) actividades de financiación  [Número]</t>
  </si>
  <si>
    <t xml:space="preserve">            Descripción de partidas de conciliación importantes  [Texto]</t>
  </si>
  <si>
    <t xml:space="preserve">      Información a revelar sobre productos y servicios [bloque de texto]  </t>
  </si>
  <si>
    <t xml:space="preserve">        Información a revelar sobre productos y servicios [sinopsis]  </t>
  </si>
  <si>
    <t xml:space="preserve">Información a revelar sobre productos y servicios [sinopsis]  </t>
  </si>
  <si>
    <t xml:space="preserve">              Productos y servicios [miembro]  </t>
  </si>
  <si>
    <t xml:space="preserve">          Información a revelar sobre productos y servicios [partidas]  </t>
  </si>
  <si>
    <t xml:space="preserve">      Información a revelar sobre áreas geográficas [bloque de texto]  </t>
  </si>
  <si>
    <t xml:space="preserve">        Información a revelar sobre áreas geográficas [sinopsis]  </t>
  </si>
  <si>
    <t xml:space="preserve">            Activos no corrientes distintos de instrumentos financieros, activos por impuestos diferidos, activos por beneficios post empleo, y derechos que surgen de contratos de seguro  [Número]</t>
  </si>
  <si>
    <t xml:space="preserve">          Información a revelar sobre áreas geográficas [partidas]  </t>
  </si>
  <si>
    <t xml:space="preserve">      Información a revelar sobre clientes importantes [bloque de texto]  </t>
  </si>
  <si>
    <t xml:space="preserve">        Información a revelar sobre clientes importantes [sinopsis]  </t>
  </si>
  <si>
    <t xml:space="preserve">Información a revelar sobre clientes importantes [sinopsis] </t>
  </si>
  <si>
    <t xml:space="preserve">Información a revelar sobre áreas geográficas [sinopsis]  </t>
  </si>
  <si>
    <t xml:space="preserve">                Gobierno [miembro]  </t>
  </si>
  <si>
    <t xml:space="preserve">              Clientes [miembro]  </t>
  </si>
  <si>
    <t xml:space="preserve">          Información a revelar sobre clientes importantes [partidas]  </t>
  </si>
  <si>
    <t xml:space="preserve">        Información sobre los principales clientes  [Texto]</t>
  </si>
  <si>
    <t xml:space="preserve">      Descripción de los criterios de asignación a los distintos países de los ingresos de las actividades ordinarias procedentes de clientes externos  [Texto]</t>
  </si>
  <si>
    <t xml:space="preserve">      Explicación de ingresos por intereses presentados netos de gastos por intereses  [Texto]</t>
  </si>
  <si>
    <t xml:space="preserve">      Explicación de porqué no se presentan los ingresos de actividades ordinarias procedentes de clientes externos para cada producto y servicio, o cada grupo de productos y servicios similares  [Texto]</t>
  </si>
  <si>
    <r>
      <t xml:space="preserve">Patrimonio </t>
    </r>
    <r>
      <rPr>
        <b/>
        <i/>
        <sz val="9"/>
        <rFont val="Verdana"/>
        <family val="2"/>
      </rPr>
      <t>[Numero]</t>
    </r>
  </si>
  <si>
    <t>Patrimonio y pasivos [Numero]</t>
  </si>
  <si>
    <t>AAN</t>
  </si>
  <si>
    <t>INI</t>
  </si>
  <si>
    <t>Información a revelar sobre segmentos de operación [sinopsis] - Periodo Actual</t>
  </si>
  <si>
    <t>Información a revelar sobre segmentos de operación [sinopsis] - Periodo Anterior</t>
  </si>
  <si>
    <t>Información a revelar sobre segmentos de operación [sinopsis] - Cierre Anual Anterior 31/12/YYYY</t>
  </si>
  <si>
    <t xml:space="preserve">            Ingresos de las actividades ordinarias procedentes de transacciones con otros segmentos de operación de la misma entidad [Número]</t>
  </si>
  <si>
    <t xml:space="preserve">            Total ingresos de actividades ordinarias procedentes de clientes externos y transacciones con otros segmentos de operación de la misma entidad [Número]</t>
  </si>
  <si>
    <t xml:space="preserve">            Costo de ventas [Número]</t>
  </si>
  <si>
    <t xml:space="preserve">            Costos de distribución [Número]</t>
  </si>
  <si>
    <t xml:space="preserve">            Gastos de administración [Número]</t>
  </si>
  <si>
    <t xml:space="preserve">            Materias primas y consumibles utilizados [Número]</t>
  </si>
  <si>
    <t xml:space="preserve">            Gastos por beneficios a los empleados [Número]</t>
  </si>
  <si>
    <t xml:space="preserve">            Porcentaje de ingresos de actividades ordinarias de la entidad [Porcentaje]</t>
  </si>
  <si>
    <t>SI</t>
  </si>
  <si>
    <t>NO</t>
  </si>
  <si>
    <t>Cargar hoja:</t>
  </si>
  <si>
    <t>full_ifrs-cor_2015-03-11.xsd#ifrs-full_DisclosureOfEntitysReportableSegmentsExplanatory</t>
  </si>
  <si>
    <t>full_ifrs-cor_2015-03-11.xsd#ifrs-full_FactorsUsedToIdentifyEntitysReportableSegments</t>
  </si>
  <si>
    <t>full_ifrs-cor_2015-03-11.xsd#ifrs-full_DescriptionOfTypesOfProductsAndServicesFromWhichEachReportableSegmentDerivesItsRevenues</t>
  </si>
  <si>
    <t>full_ifrs-cor_2015-03-11.xsd#ifrs-full_DescriptionOfSourcesOfRevenueForAllOtherSegments</t>
  </si>
  <si>
    <t>full_ifrs-cor_2015-03-11.xsd#ifrs-full_DescriptionOfBasisOfAccountingForTransactionsBetweenReportableSegments</t>
  </si>
  <si>
    <t>full_ifrs-cor_2015-03-11.xsd#ifrs-full_DescriptionOfNatureOfDifferencesBetweenMeasurementsOfReportableSegmentsProfitsOrLossesAndEntitysProfitOrLossBeforeIncomeTaxExpenseOrIncomeAndDiscontinuedOperations</t>
  </si>
  <si>
    <t>full_ifrs-cor_2015-03-11.xsd#ifrs-full_DescriptionOfNatureOfDifferencesBetweenMeasurementsOfReportableSegmentsAssetsAndEntitysAssets</t>
  </si>
  <si>
    <t>full_ifrs-cor_2015-03-11.xsd#ifrs-full_DescriptionOfNatureOfDifferencesBetweenMeasurementsOfReportableSegmentsLiabilitiesAndEntitysLiabilities</t>
  </si>
  <si>
    <t>full_ifrs-cor_2015-03-11.xsd#ifrs-full_DescriptionOfNatureOfChangesFromPriorPeriodsInMeasurementMethodsUsedToDetermineReportedSegmentProfitOrLossAndEffectOfThoseChangesOnMeasureOfSegmentProfitOrLoss</t>
  </si>
  <si>
    <t>full_ifrs-cor_2015-03-11.xsd#ifrs-full_DescriptionOfNatureAndEffectOfAnyAsymmetricalAllocationsToReportableSegments</t>
  </si>
  <si>
    <t>full_ifrs-cor_2015-03-11.xsd#ifrs-full_DisclosureOfOperatingSegmentsExplanatory</t>
  </si>
  <si>
    <t>full_ifrs-cor_2015-03-11.xsd#ifrs-full_DisclosureOfProductsAndServicesExplanatory</t>
  </si>
  <si>
    <t>full_ifrs-cor_2015-03-11.xsd#ifrs-full_DisclosureOfGeographicalAreasExplanatory</t>
  </si>
  <si>
    <t>full_ifrs-cor_2015-03-11.xsd#ifrs-full_DisclosureOfSegmentsMajorCustomersExplanatory</t>
  </si>
  <si>
    <t>full_ifrs-cor_2015-03-11.xsd#ifrs-full_InformationAboutMajorCustomers</t>
  </si>
  <si>
    <t>full_ifrs-cor_2015-03-11.xsd#ifrs-full_BasisForAttributingRevenuesFromExternalCustomersToIndividualCountries</t>
  </si>
  <si>
    <t>full_ifrs-cor_2015-03-11.xsd#ifrs-full_ExplanationOfInterestRevenueReportedNetOfInterestExpense</t>
  </si>
  <si>
    <t>full_ifrs-cor_2015-03-11.xsd#ifrs-full_ExplanationOfNecessaryInformationNotAvailableAndDevelopmentCostExcessive</t>
  </si>
  <si>
    <t>full_ifrs-cor_2015-03-11.xsd#ifrs-full_ReportableSegmentsMember</t>
  </si>
  <si>
    <t>full_ifrs-cor_2015-03-11.xsd#ifrs-full_AllOtherSegmentsMember</t>
  </si>
  <si>
    <t>full_ifrs-cor_2015-03-11.xsd#ifrs-full_OperatingSegmentsMember</t>
  </si>
  <si>
    <t>full_ifrs-cor_2015-03-11.xsd#ifrs-full_EliminationOfIntersegmentAmountsMember</t>
  </si>
  <si>
    <t>full_ifrs-cor_2015-03-11.xsd#ifrs-full_UnallocatedAmountsMember</t>
  </si>
  <si>
    <t>full_ifrs-cor_2015-03-11.xsd#ifrs-full_MaterialReconcilingItemsMember</t>
  </si>
  <si>
    <t>full_ifrs-cor_2015-03-11.xsd#ifrs-full_Revenue</t>
  </si>
  <si>
    <t>full_ifrs-cor_2015-03-11.xsd#ifrs-full_CostOfSales</t>
  </si>
  <si>
    <t>full_ifrs-cor_2015-03-11.xsd#ifrs-full_DistributionCosts</t>
  </si>
  <si>
    <t>full_ifrs-cor_2015-03-11.xsd#ifrs-full_AdministrativeExpense</t>
  </si>
  <si>
    <t>full_ifrs-cor_2015-03-11.xsd#ifrs-full_RawMaterialsAndConsumablesUsed</t>
  </si>
  <si>
    <t>full_ifrs-cor_2015-03-11.xsd#ifrs-full_EmployeeBenefitsExpense</t>
  </si>
  <si>
    <t>full_ifrs-cor_2015-03-11.xsd#ifrs-full_InterestExpense</t>
  </si>
  <si>
    <t>full_ifrs-cor_2015-03-11.xsd#ifrs-full_InterestRevenueExpense</t>
  </si>
  <si>
    <t>full_ifrs-cor_2015-03-11.xsd#ifrs-full_DepreciationAndAmortisationExpense</t>
  </si>
  <si>
    <t>full_ifrs-cor_2015-03-11.xsd#ifrs-full_IncomeTaxExpenseContinuingOperations</t>
  </si>
  <si>
    <t>full_ifrs-cor_2015-03-11.xsd#ifrs-full_OtherMaterialNoncashItems</t>
  </si>
  <si>
    <t>full_ifrs-cor_2015-03-11.xsd#ifrs-full_ProfitLossBeforeTax</t>
  </si>
  <si>
    <t>full_ifrs-cor_2015-03-11.xsd#ifrs-full_ProfitLossFromContinuingOperations</t>
  </si>
  <si>
    <t>full_ifrs-cor_2015-03-11.xsd#ifrs-full_ProfitLossFromDiscontinuedOperations</t>
  </si>
  <si>
    <t>full_ifrs-cor_2015-03-11.xsd#ifrs-full_ProfitLoss</t>
  </si>
  <si>
    <t>full_ifrs-cor_2015-03-11.xsd#ifrs-full_Assets</t>
  </si>
  <si>
    <t>full_ifrs-cor_2015-03-11.xsd#ifrs-full_AdditionsToNoncurrentAssets</t>
  </si>
  <si>
    <t>full_ifrs-cor_2015-03-11.xsd#ifrs-full_Liabilities</t>
  </si>
  <si>
    <t>full_ifrs-cor_2015-03-11.xsd#ifrs-full_Equity</t>
  </si>
  <si>
    <t>full_ifrs-cor_2015-03-11.xsd#ifrs-full_EquityAndLiabilities</t>
  </si>
  <si>
    <t>full_ifrs-cor_2015-03-11.xsd#ifrs-full_ImpairmentLossRecognisedInProfitOrLoss</t>
  </si>
  <si>
    <t>full_ifrs-cor_2015-03-11.xsd#ifrs-full_ReversalOfImpairmentLossRecognisedInProfitOrLoss</t>
  </si>
  <si>
    <t>full_ifrs-cor_2015-03-11.xsd#ifrs-full_ImpairmentLossRecognisedInOtherComprehensiveIncome</t>
  </si>
  <si>
    <t>full_ifrs-cor_2015-03-11.xsd#ifrs-full_ReversalOfImpairmentLossRecognisedInOtherComprehensiveIncome</t>
  </si>
  <si>
    <t>full_ifrs-cor_2015-03-11.xsd#ifrs-full_CashFlowsFromUsedInOperatingActivities</t>
  </si>
  <si>
    <t>full_ifrs-cor_2015-03-11.xsd#ifrs-full_CashFlowsFromUsedInInvestingActivities</t>
  </si>
  <si>
    <t>full_ifrs-cor_2015-03-11.xsd#ifrs-full_CashFlowsFromUsedInFinancingActivities</t>
  </si>
  <si>
    <t>full_ifrs-cor_2015-03-11.xsd#ifrs-full_DescriptionOfMaterialReconcilingItems</t>
  </si>
  <si>
    <t>full_ifrs-cor_2015-03-11.xsd#ifrs-full_ProductsAndServicesMember</t>
  </si>
  <si>
    <t>full_ifrs-cor_2015-03-11.xsd#ifrs-full_CountryOfDomicileMember</t>
  </si>
  <si>
    <t>full_ifrs-cor_2015-03-11.xsd#ifrs-full_ForeignCountriesMember</t>
  </si>
  <si>
    <t>full_ifrs-cor_2015-03-11.xsd#ifrs-full_GeographicalAreasMember</t>
  </si>
  <si>
    <t>full_ifrs-cor_2015-03-11.xsd#ifrs-full_NoncurrentAssetsOtherThanFinancialInstrumentsDeferredTaxAssetsPostemploymentBenefitAssetsAndRightsArisingUnderInsuranceContracts</t>
  </si>
  <si>
    <t>full_ifrs-cor_2015-03-11.xsd#ifrs-full_GovernmentMember</t>
  </si>
  <si>
    <t>full_ifrs-cor_2015-03-11.xsd#ifrs-full_MajorCustomersMember</t>
  </si>
  <si>
    <t>full_ifrs-cor_2015-03-11.xsd#ifrs-full_PercentageOfEntitysRevenue</t>
  </si>
  <si>
    <t>cl-ci_cor_2016-01-11.xsd#cl-ci_EntitysTotalMember</t>
  </si>
  <si>
    <t>cl-ci_cor_2016-01-11.xsd#cl-ci_RevenuesFromTransactionsWithOtherOperatingSegmentsOfSameEntity</t>
  </si>
  <si>
    <t>cl-ci_cor_2016-01-11.xsd#cl-ci_RevenuesFromExternalCustomersAndTransactionsWithOtherOperatingSegmentsOfSameEntity</t>
  </si>
  <si>
    <t>cl-ci_cor_2016-01-11.xsd#cl-ci_ParticipacionGananciasAsociadasNegociosConjuntosContabilicenUtilizandoMetodoParticipacionNota</t>
  </si>
  <si>
    <t>cl-ci_cor_2016-01-11.xsd#cl-ci_InversionesContabilizadasMetodoParticipacion</t>
  </si>
  <si>
    <t>DIMENUE</t>
  </si>
  <si>
    <t>DIMEAVA</t>
  </si>
  <si>
    <t>cl-ci_cor_2016-01-11.xsd#cl-ci_OperatingSegmentsAxis</t>
  </si>
  <si>
    <t>full_ifrs-cor_2015-03-11.xsd#ifrs-full_DisclosureOfOperatingSegmentsTable</t>
  </si>
  <si>
    <t>full_ifrs-cor_2015-03-11.xsd#ifrs-full_ProductsAndServicesAxis</t>
  </si>
  <si>
    <t>full_ifrs-cor_2015-03-11.xsd#ifrs-full_DisclosureOfProductsAndServicesTable</t>
  </si>
  <si>
    <t>full_ifrs-cor_2015-03-11.xsd#ifrs-full_GeographicalAreasAxis</t>
  </si>
  <si>
    <t>full_ifrs-cor_2015-03-11.xsd#ifrs-full_DisclosureOfGeographicalAreasTable</t>
  </si>
  <si>
    <t>full_ifrs-cor_2015-03-11.xsd#ifrs-full_MajorCustomersAxis</t>
  </si>
  <si>
    <t>full_ifrs-cor_2015-03-11.xsd#ifrs-full_DisclosureOfMajorCustomersTable</t>
  </si>
  <si>
    <t>full_ifrs-cor_2015-03-11.xsd#ifrs-full_RevenueFromInterest</t>
  </si>
  <si>
    <t>full_ifrs-cor_2015-03-11.xsd#ifrs-full_DescriptionOfJudgementsMadeByManagementInApplyingAggregationCriteriaForOperatingSegments</t>
  </si>
  <si>
    <t xml:space="preserve">País de domicilio [miembro]  </t>
  </si>
  <si>
    <t xml:space="preserve">Países extranjeros [miembro]  </t>
  </si>
  <si>
    <t xml:space="preserve">Áreas geográficas [miembro]  </t>
  </si>
  <si>
    <t xml:space="preserve">      Descripción de los juicios realizados por la gerencia para aplicar los criterios de agregación de los segmentos de operación [Texto]</t>
  </si>
  <si>
    <t>12.0</t>
  </si>
  <si>
    <t xml:space="preserve">            Identificar segmento de operación [Texto]</t>
  </si>
  <si>
    <t>pre_cl-ci_ifrs-8_2021-03-24_role-871100</t>
  </si>
  <si>
    <t xml:space="preserve">            Identificar producto y/o servicio [Texto]</t>
  </si>
  <si>
    <t>cl-ci_cor_2022-01-03.xsd#cl-ci_IdentificarProductoServicio</t>
  </si>
  <si>
    <t>cl-ci_cor_2022-01-03.xsd#cl-ci_IdentificarSegmentoOperacion</t>
  </si>
  <si>
    <t xml:space="preserve">            Identificar área geográfica [Texto]</t>
  </si>
  <si>
    <t>cl-ci_cor_2022-01-03.xsd#cl-ci_IdentificarAreaGeografica</t>
  </si>
  <si>
    <t xml:space="preserve">            Identificar Cliente [Texto]</t>
  </si>
  <si>
    <t>cl-ci_cor_2022-01-03.xsd#cl-ci_IdentificarCliente</t>
  </si>
  <si>
    <t>Bloque de texto IFR8  test 1</t>
  </si>
  <si>
    <t>Bloque de texto IFR8  test 2</t>
  </si>
  <si>
    <t>Bloque de texto IFR8  test 3</t>
  </si>
  <si>
    <t>Bloque de texto IFR8  test 4</t>
  </si>
  <si>
    <t>Bloque de texto IFR8  test 5</t>
  </si>
  <si>
    <t>Bloque de texto IFR8  test 6</t>
  </si>
  <si>
    <t>Bloque de texto IFR8  test 7</t>
  </si>
  <si>
    <t>Bloque de texto IFR8  test 8</t>
  </si>
  <si>
    <t>Bloque de texto IFR8  test 9</t>
  </si>
  <si>
    <t>Bloque de texto IFR8  test 10</t>
  </si>
  <si>
    <t>Bloque de texto IFR8  test 11</t>
  </si>
  <si>
    <t>Bloque de texto IFR8  test 12</t>
  </si>
  <si>
    <t>Bloque de texto IFR8  test 13</t>
  </si>
  <si>
    <t>Bloque de texto IFR8  test 14</t>
  </si>
  <si>
    <t>Bloque de texto IFR8  test 15</t>
  </si>
  <si>
    <t>Bloque de texto IFR8  test 16</t>
  </si>
  <si>
    <t>Bloque de texto IFR8  test 17</t>
  </si>
  <si>
    <t>Bloque de texto IFR8  test 18</t>
  </si>
  <si>
    <t>Bloque de texto IFR8  test 19</t>
  </si>
  <si>
    <t>AA</t>
  </si>
  <si>
    <t>BB</t>
  </si>
  <si>
    <t>CC</t>
  </si>
  <si>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</sst>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ＭＳ Ｐゴシック"/>
      <family val="3"/>
      <charset val="128"/>
    </font>
    <font>
      <sz val="9"/>
      <name val="Calibri"/>
      <family val="2"/>
      <scheme val="minor"/>
    </font>
    <font>
      <sz val="9"/>
      <name val="Verdana"/>
      <family val="2"/>
    </font>
    <font>
      <b/>
      <sz val="9"/>
      <name val="Verdana"/>
      <family val="2"/>
    </font>
    <font>
      <sz val="11"/>
      <color indexed="9"/>
      <name val="Czcionka tekstu podstawowego"/>
      <family val="2"/>
      <charset val="238"/>
    </font>
    <font>
      <sz val="9"/>
      <color indexed="9"/>
      <name val="Verdana"/>
      <family val="2"/>
    </font>
    <font>
      <b/>
      <sz val="18"/>
      <name val="Calibri"/>
      <family val="2"/>
      <scheme val="minor"/>
    </font>
    <font>
      <sz val="10"/>
      <name val="Calibri"/>
      <family val="2"/>
    </font>
    <font>
      <sz val="10"/>
      <color indexed="10"/>
      <name val="Calibri"/>
      <family val="2"/>
    </font>
    <font>
      <b/>
      <sz val="10"/>
      <color indexed="10"/>
      <name val="Calibri"/>
      <family val="2"/>
    </font>
    <font>
      <b/>
      <sz val="10"/>
      <name val="Calibri"/>
      <family val="2"/>
    </font>
    <font>
      <b/>
      <sz val="12"/>
      <name val="Calibri"/>
      <family val="2"/>
      <scheme val="minor"/>
    </font>
    <font>
      <u/>
      <sz val="9.9"/>
      <color theme="10"/>
      <name val="Calibri"/>
      <family val="2"/>
    </font>
    <font>
      <sz val="9"/>
      <color rgb="FFFF0000"/>
      <name val="Verdana"/>
      <family val="2"/>
    </font>
    <font>
      <b/>
      <sz val="9"/>
      <color indexed="9"/>
      <name val="Verdana"/>
      <family val="2"/>
    </font>
    <font>
      <b/>
      <sz val="9"/>
      <color rgb="FFFF0000"/>
      <name val="Verdana"/>
      <family val="2"/>
    </font>
    <font>
      <sz val="11"/>
      <name val="Calibri"/>
      <family val="2"/>
      <scheme val="minor"/>
    </font>
    <font>
      <sz val="9"/>
      <color theme="1"/>
      <name val="Verdana"/>
      <family val="2"/>
    </font>
    <font>
      <i/>
      <sz val="9"/>
      <name val="Verdana"/>
      <family val="2"/>
    </font>
    <font>
      <b/>
      <i/>
      <sz val="9"/>
      <name val="Verdana"/>
      <family val="2"/>
    </font>
    <font>
      <b/>
      <sz val="9"/>
      <color indexed="81"/>
      <name val="Tahoma"/>
      <family val="2"/>
    </font>
    <font>
      <b/>
      <sz val="9"/>
      <name val="Calibri"/>
      <family val="2"/>
      <scheme val="minor"/>
    </font>
    <font>
      <sz val="8"/>
      <name val="Verdana"/>
      <family val="2"/>
    </font>
    <font>
      <u/>
      <sz val="9.9"/>
      <color theme="1"/>
      <name val="Calibri"/>
      <family val="2"/>
    </font>
  </fonts>
  <fills count="1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rgb="FFFFFFCC"/>
        <bgColor indexed="64"/>
      </patternFill>
    </fill>
    <fill>
      <patternFill patternType="solid">
        <fgColor theme="0" tint="-0.499984740745262"/>
        <bgColor indexed="64"/>
      </patternFill>
    </fill>
    <fill>
      <patternFill patternType="solid">
        <fgColor theme="6" tint="0.59999389629810485"/>
        <bgColor indexed="64"/>
      </patternFill>
    </fill>
    <fill>
      <patternFill patternType="solid">
        <fgColor theme="4" tint="0.59996337778862885"/>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9" tint="0.59999389629810485"/>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diagonal/>
    </border>
    <border>
      <left/>
      <right style="mediumDashed">
        <color rgb="FFFF0000"/>
      </right>
      <top style="thin">
        <color indexed="64"/>
      </top>
      <bottom/>
      <diagonal/>
    </border>
    <border>
      <left/>
      <right style="mediumDashed">
        <color rgb="FFFF0000"/>
      </right>
      <top/>
      <bottom/>
      <diagonal/>
    </border>
    <border>
      <left style="mediumDashed">
        <color rgb="FFFF0000"/>
      </left>
      <right style="mediumDashed">
        <color rgb="FFFF0000"/>
      </right>
      <top/>
      <bottom/>
      <diagonal/>
    </border>
    <border>
      <left style="mediumDashed">
        <color rgb="FFFF0000"/>
      </left>
      <right style="mediumDashed">
        <color rgb="FFFF0000"/>
      </right>
      <top style="thin">
        <color indexed="64"/>
      </top>
      <bottom style="thin">
        <color indexed="64"/>
      </bottom>
      <diagonal/>
    </border>
    <border>
      <left style="thin">
        <color indexed="64"/>
      </left>
      <right/>
      <top/>
      <bottom style="thin">
        <color indexed="64"/>
      </bottom>
      <diagonal/>
    </border>
    <border>
      <left/>
      <right style="mediumDashed">
        <color rgb="FFFF0000"/>
      </right>
      <top/>
      <bottom style="thin">
        <color indexed="64"/>
      </bottom>
      <diagonal/>
    </border>
    <border>
      <left style="mediumDashed">
        <color rgb="FFFF0000"/>
      </left>
      <right style="mediumDashed">
        <color rgb="FFFF0000"/>
      </right>
      <top/>
      <bottom style="thin">
        <color indexed="64"/>
      </bottom>
      <diagonal/>
    </border>
    <border>
      <left style="mediumDashed">
        <color rgb="FFFF0000"/>
      </left>
      <right style="thin">
        <color indexed="64"/>
      </right>
      <top style="thin">
        <color indexed="64"/>
      </top>
      <bottom/>
      <diagonal/>
    </border>
    <border>
      <left style="mediumDashed">
        <color rgb="FFFF0000"/>
      </left>
      <right style="thin">
        <color indexed="64"/>
      </right>
      <top/>
      <bottom style="thin">
        <color indexed="64"/>
      </bottom>
      <diagonal/>
    </border>
    <border>
      <left style="thin">
        <color indexed="64"/>
      </left>
      <right style="mediumDashed">
        <color rgb="FFFF0000"/>
      </right>
      <top style="thin">
        <color indexed="64"/>
      </top>
      <bottom style="thin">
        <color indexed="64"/>
      </bottom>
      <diagonal/>
    </border>
    <border>
      <left/>
      <right style="medium">
        <color indexed="64"/>
      </right>
      <top style="medium">
        <color indexed="64"/>
      </top>
      <bottom style="medium">
        <color indexed="64"/>
      </bottom>
      <diagonal/>
    </border>
  </borders>
  <cellStyleXfs count="5">
    <xf numFmtId="0" fontId="0" fillId="0" borderId="0"/>
    <xf numFmtId="0" fontId="1" fillId="0" borderId="0" applyNumberFormat="0" applyFill="0" applyBorder="0">
      <alignment vertical="center"/>
    </xf>
    <xf numFmtId="0" fontId="5" fillId="4" borderId="0" applyNumberFormat="0" applyBorder="0" applyAlignment="0" applyProtection="0"/>
    <xf numFmtId="0" fontId="1" fillId="0" borderId="0" applyNumberFormat="0" applyFill="0" applyBorder="0">
      <alignment vertical="center"/>
    </xf>
    <xf numFmtId="0" fontId="13" fillId="0" borderId="0" applyNumberFormat="0" applyFill="0" applyBorder="0" applyAlignment="0" applyProtection="0">
      <alignment vertical="top"/>
      <protection locked="0"/>
    </xf>
  </cellStyleXfs>
  <cellXfs count="112">
    <xf numFmtId="0" fontId="0" fillId="0" borderId="0" xfId="0"/>
    <xf numFmtId="3" fontId="2" fillId="2" borderId="0" xfId="1" applyNumberFormat="1" applyFont="1" applyFill="1" applyBorder="1">
      <alignment vertical="center"/>
    </xf>
    <xf numFmtId="0" fontId="3" fillId="2" borderId="0" xfId="0" applyFont="1" applyFill="1" applyBorder="1" applyAlignment="1">
      <alignment horizontal="left" vertical="center" indent="3"/>
    </xf>
    <xf numFmtId="0" fontId="3" fillId="2" borderId="0" xfId="0" applyFont="1" applyFill="1" applyBorder="1" applyAlignment="1">
      <alignment horizontal="left" vertical="center" wrapText="1" indent="3"/>
    </xf>
    <xf numFmtId="0" fontId="3" fillId="3" borderId="1" xfId="0" applyFont="1" applyFill="1" applyBorder="1" applyAlignment="1">
      <alignment horizontal="left" vertical="center" indent="3"/>
    </xf>
    <xf numFmtId="0" fontId="4" fillId="2" borderId="0" xfId="0" applyFont="1" applyFill="1" applyBorder="1" applyAlignment="1">
      <alignment horizontal="left" vertical="center" indent="3"/>
    </xf>
    <xf numFmtId="0" fontId="4" fillId="2" borderId="0" xfId="0" applyFont="1" applyFill="1" applyBorder="1" applyAlignment="1">
      <alignment horizontal="left" vertical="center" wrapText="1" indent="3"/>
    </xf>
    <xf numFmtId="3" fontId="2" fillId="2" borderId="2"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6" xfId="1" applyNumberFormat="1" applyFont="1" applyFill="1" applyBorder="1">
      <alignment vertical="center"/>
    </xf>
    <xf numFmtId="0" fontId="7" fillId="5" borderId="12" xfId="0" applyFont="1" applyFill="1" applyBorder="1" applyAlignment="1">
      <alignment horizontal="center" vertical="center" wrapText="1"/>
    </xf>
    <xf numFmtId="0" fontId="12" fillId="5" borderId="12" xfId="0" applyFont="1" applyFill="1" applyBorder="1" applyAlignment="1">
      <alignment horizontal="center" vertical="center" wrapText="1"/>
    </xf>
    <xf numFmtId="0" fontId="3" fillId="2" borderId="0" xfId="0" applyNumberFormat="1" applyFont="1" applyFill="1" applyBorder="1" applyAlignment="1">
      <alignment horizontal="left" vertical="center" wrapText="1" indent="3"/>
    </xf>
    <xf numFmtId="0" fontId="14" fillId="0" borderId="0" xfId="0" applyNumberFormat="1" applyFont="1" applyBorder="1" applyAlignment="1">
      <alignment horizontal="center" vertical="center"/>
    </xf>
    <xf numFmtId="0" fontId="14" fillId="6" borderId="9" xfId="2" applyNumberFormat="1" applyFont="1" applyFill="1" applyBorder="1" applyAlignment="1">
      <alignment horizontal="center" vertical="center" wrapText="1"/>
    </xf>
    <xf numFmtId="0" fontId="14" fillId="6" borderId="11" xfId="2" applyNumberFormat="1" applyFont="1" applyFill="1" applyBorder="1" applyAlignment="1">
      <alignment horizontal="center" vertical="center" wrapText="1"/>
    </xf>
    <xf numFmtId="0" fontId="6" fillId="6" borderId="11" xfId="2" applyNumberFormat="1" applyFont="1" applyFill="1" applyBorder="1" applyAlignment="1">
      <alignment horizontal="center" vertical="center" wrapText="1"/>
    </xf>
    <xf numFmtId="0" fontId="15" fillId="6" borderId="11" xfId="2" applyNumberFormat="1" applyFont="1" applyFill="1" applyBorder="1" applyAlignment="1">
      <alignment horizontal="center" vertical="center" wrapText="1"/>
    </xf>
    <xf numFmtId="0" fontId="16" fillId="7" borderId="13" xfId="2" applyNumberFormat="1" applyFont="1" applyFill="1" applyBorder="1" applyAlignment="1">
      <alignment horizontal="center" vertical="center" wrapText="1"/>
    </xf>
    <xf numFmtId="0" fontId="6" fillId="6" borderId="10" xfId="2" applyNumberFormat="1" applyFont="1" applyFill="1" applyBorder="1" applyAlignment="1">
      <alignment horizontal="center" vertical="center" wrapText="1"/>
    </xf>
    <xf numFmtId="0" fontId="3" fillId="0" borderId="0" xfId="0" applyFont="1" applyAlignment="1">
      <alignment horizontal="center" vertical="center" wrapText="1"/>
    </xf>
    <xf numFmtId="0" fontId="3" fillId="8" borderId="5" xfId="3" applyFont="1" applyFill="1" applyBorder="1">
      <alignment vertical="center"/>
    </xf>
    <xf numFmtId="0" fontId="4" fillId="8" borderId="0" xfId="3" applyFont="1" applyFill="1" applyBorder="1" applyAlignment="1">
      <alignment vertical="center"/>
    </xf>
    <xf numFmtId="0" fontId="3" fillId="8" borderId="0" xfId="3" applyFont="1" applyFill="1" applyBorder="1">
      <alignment vertical="center"/>
    </xf>
    <xf numFmtId="0" fontId="3" fillId="8" borderId="3" xfId="3" applyFont="1" applyFill="1" applyBorder="1" applyAlignment="1">
      <alignment horizontal="center" vertical="center" wrapText="1"/>
    </xf>
    <xf numFmtId="0" fontId="0" fillId="2" borderId="0" xfId="0" applyFill="1"/>
    <xf numFmtId="0" fontId="17" fillId="7" borderId="14" xfId="3" applyFont="1" applyFill="1" applyBorder="1" applyAlignment="1">
      <alignment horizontal="center" vertical="center" wrapText="1"/>
    </xf>
    <xf numFmtId="0" fontId="3" fillId="8" borderId="4" xfId="3" applyFont="1" applyFill="1" applyBorder="1" applyAlignment="1">
      <alignment vertical="center" wrapText="1"/>
    </xf>
    <xf numFmtId="0" fontId="3" fillId="0" borderId="0" xfId="0" applyFont="1" applyAlignment="1"/>
    <xf numFmtId="0" fontId="3" fillId="2" borderId="2" xfId="0" applyFont="1" applyFill="1" applyBorder="1" applyAlignment="1"/>
    <xf numFmtId="0" fontId="3" fillId="2" borderId="3" xfId="0" applyFont="1" applyFill="1" applyBorder="1" applyAlignment="1"/>
    <xf numFmtId="0" fontId="18" fillId="2" borderId="3" xfId="0" applyFont="1" applyFill="1" applyBorder="1" applyAlignment="1"/>
    <xf numFmtId="0" fontId="3" fillId="8" borderId="3" xfId="3" applyFont="1" applyFill="1" applyBorder="1" applyAlignment="1">
      <alignment vertical="center"/>
    </xf>
    <xf numFmtId="0" fontId="4" fillId="8" borderId="15" xfId="3" applyFont="1" applyFill="1" applyBorder="1" applyAlignment="1">
      <alignment vertical="center" wrapText="1"/>
    </xf>
    <xf numFmtId="0" fontId="3" fillId="8" borderId="14" xfId="3" applyFont="1" applyFill="1" applyBorder="1" applyAlignment="1">
      <alignment vertical="center"/>
    </xf>
    <xf numFmtId="0" fontId="3" fillId="8" borderId="4" xfId="3" applyFont="1" applyFill="1" applyBorder="1" applyAlignment="1">
      <alignment vertical="center"/>
    </xf>
    <xf numFmtId="0" fontId="3" fillId="2" borderId="5" xfId="0" applyFont="1" applyFill="1" applyBorder="1" applyAlignment="1">
      <alignment horizontal="left" vertical="center"/>
    </xf>
    <xf numFmtId="0" fontId="3" fillId="2" borderId="0" xfId="0" applyFont="1" applyFill="1" applyBorder="1" applyAlignment="1">
      <alignment horizontal="left" vertical="center"/>
    </xf>
    <xf numFmtId="0" fontId="3" fillId="2" borderId="0" xfId="2" applyNumberFormat="1" applyFont="1" applyFill="1" applyBorder="1" applyAlignment="1">
      <alignment horizontal="left" vertical="center"/>
    </xf>
    <xf numFmtId="0" fontId="18" fillId="2" borderId="0" xfId="0" applyFont="1" applyFill="1" applyBorder="1" applyAlignment="1">
      <alignment horizontal="left" vertical="center"/>
    </xf>
    <xf numFmtId="0" fontId="4" fillId="2" borderId="16" xfId="0" applyFont="1" applyFill="1" applyBorder="1" applyAlignment="1">
      <alignment horizontal="left" vertical="center"/>
    </xf>
    <xf numFmtId="0" fontId="3" fillId="2" borderId="17" xfId="0" applyFont="1" applyFill="1" applyBorder="1" applyAlignment="1">
      <alignment horizontal="left" vertical="center"/>
    </xf>
    <xf numFmtId="0" fontId="3" fillId="2" borderId="8" xfId="0" applyFont="1" applyFill="1" applyBorder="1" applyAlignment="1">
      <alignment horizontal="left" vertical="center"/>
    </xf>
    <xf numFmtId="0" fontId="3" fillId="2" borderId="16" xfId="0" applyFont="1" applyFill="1" applyBorder="1" applyAlignment="1">
      <alignment horizontal="left" vertical="center"/>
    </xf>
    <xf numFmtId="3" fontId="3" fillId="3" borderId="18" xfId="0" applyNumberFormat="1" applyFont="1" applyFill="1" applyBorder="1" applyAlignment="1" applyProtection="1">
      <protection locked="0"/>
    </xf>
    <xf numFmtId="3" fontId="3" fillId="3" borderId="10" xfId="0" applyNumberFormat="1" applyFont="1" applyFill="1" applyBorder="1" applyAlignment="1" applyProtection="1"/>
    <xf numFmtId="0" fontId="3" fillId="2" borderId="16" xfId="0" applyFont="1" applyFill="1" applyBorder="1" applyAlignment="1">
      <alignment horizontal="left" vertical="center" wrapText="1"/>
    </xf>
    <xf numFmtId="0" fontId="3" fillId="2" borderId="19" xfId="0" applyFont="1" applyFill="1" applyBorder="1" applyAlignment="1">
      <alignment horizontal="left" vertical="center"/>
    </xf>
    <xf numFmtId="0" fontId="3" fillId="2" borderId="7" xfId="0" applyFont="1" applyFill="1" applyBorder="1" applyAlignment="1">
      <alignment horizontal="left" vertical="center"/>
    </xf>
    <xf numFmtId="0" fontId="3" fillId="2" borderId="20" xfId="0" applyFont="1" applyFill="1" applyBorder="1" applyAlignment="1">
      <alignment horizontal="left" vertical="center"/>
    </xf>
    <xf numFmtId="0" fontId="3" fillId="2" borderId="21" xfId="0" applyFont="1" applyFill="1" applyBorder="1" applyAlignment="1">
      <alignment horizontal="left" vertical="center"/>
    </xf>
    <xf numFmtId="0" fontId="3" fillId="8" borderId="11" xfId="3" applyFont="1" applyFill="1" applyBorder="1" applyAlignment="1">
      <alignment vertical="center"/>
    </xf>
    <xf numFmtId="0" fontId="3" fillId="8" borderId="10" xfId="3" applyFont="1" applyFill="1" applyBorder="1" applyAlignment="1">
      <alignment vertical="center"/>
    </xf>
    <xf numFmtId="0" fontId="4" fillId="8" borderId="3" xfId="3" applyFont="1" applyFill="1" applyBorder="1" applyAlignment="1">
      <alignment vertical="center" wrapText="1"/>
    </xf>
    <xf numFmtId="0" fontId="3" fillId="2" borderId="14" xfId="3" applyFont="1" applyFill="1" applyBorder="1" applyAlignment="1">
      <alignment vertical="center"/>
    </xf>
    <xf numFmtId="0" fontId="13" fillId="10" borderId="0" xfId="4" applyFill="1" applyBorder="1" applyAlignment="1" applyProtection="1">
      <alignment horizontal="left" vertical="center" wrapText="1" indent="3"/>
    </xf>
    <xf numFmtId="3" fontId="3" fillId="3" borderId="21" xfId="0" applyNumberFormat="1" applyFont="1" applyFill="1" applyBorder="1" applyAlignment="1" applyProtection="1">
      <protection locked="0"/>
    </xf>
    <xf numFmtId="0" fontId="13" fillId="11" borderId="0" xfId="4" applyFill="1" applyBorder="1" applyAlignment="1" applyProtection="1">
      <alignment horizontal="left" vertical="center" wrapText="1" indent="3"/>
    </xf>
    <xf numFmtId="0" fontId="13" fillId="9" borderId="0" xfId="4" applyFill="1" applyBorder="1" applyAlignment="1" applyProtection="1">
      <alignment horizontal="left" vertical="center" wrapText="1" indent="3"/>
    </xf>
    <xf numFmtId="3" fontId="2" fillId="2" borderId="19" xfId="1" applyNumberFormat="1" applyFont="1" applyFill="1" applyBorder="1">
      <alignment vertical="center"/>
    </xf>
    <xf numFmtId="3" fontId="2" fillId="2" borderId="7" xfId="1" applyNumberFormat="1" applyFont="1" applyFill="1" applyBorder="1">
      <alignment vertical="center"/>
    </xf>
    <xf numFmtId="0" fontId="3" fillId="2" borderId="7" xfId="0" applyFont="1" applyFill="1" applyBorder="1" applyAlignment="1">
      <alignment horizontal="left" vertical="center" wrapText="1" indent="3"/>
    </xf>
    <xf numFmtId="0" fontId="4" fillId="2" borderId="7" xfId="0" applyFont="1" applyFill="1" applyBorder="1" applyAlignment="1">
      <alignment horizontal="left" vertical="center" wrapText="1" indent="3"/>
    </xf>
    <xf numFmtId="3" fontId="2" fillId="2" borderId="8" xfId="1" applyNumberFormat="1" applyFont="1" applyFill="1" applyBorder="1">
      <alignment vertical="center"/>
    </xf>
    <xf numFmtId="0" fontId="3" fillId="8" borderId="22" xfId="3" applyFont="1" applyFill="1" applyBorder="1" applyAlignment="1">
      <alignment vertical="center"/>
    </xf>
    <xf numFmtId="0" fontId="3" fillId="2" borderId="23" xfId="0" applyFont="1" applyFill="1" applyBorder="1" applyAlignment="1">
      <alignment horizontal="left" vertical="center"/>
    </xf>
    <xf numFmtId="3" fontId="3" fillId="12" borderId="10" xfId="0" applyNumberFormat="1" applyFont="1" applyFill="1" applyBorder="1" applyAlignment="1" applyProtection="1"/>
    <xf numFmtId="3" fontId="3" fillId="6" borderId="18" xfId="0" applyNumberFormat="1" applyFont="1" applyFill="1" applyBorder="1" applyAlignment="1" applyProtection="1">
      <protection locked="0"/>
    </xf>
    <xf numFmtId="3" fontId="3" fillId="6" borderId="10" xfId="0" applyNumberFormat="1" applyFont="1" applyFill="1" applyBorder="1" applyAlignment="1" applyProtection="1"/>
    <xf numFmtId="3" fontId="3" fillId="12" borderId="18" xfId="0" applyNumberFormat="1" applyFont="1" applyFill="1" applyBorder="1" applyAlignment="1" applyProtection="1">
      <protection locked="0"/>
    </xf>
    <xf numFmtId="0" fontId="3" fillId="2" borderId="0" xfId="0" applyFont="1" applyFill="1" applyBorder="1" applyAlignment="1">
      <alignment vertical="top"/>
    </xf>
    <xf numFmtId="0" fontId="18" fillId="2" borderId="0" xfId="0" applyFont="1" applyFill="1" applyBorder="1" applyAlignment="1"/>
    <xf numFmtId="0" fontId="19" fillId="2" borderId="0" xfId="0" applyFont="1" applyFill="1" applyBorder="1" applyAlignment="1">
      <alignment horizontal="left" vertical="top" wrapText="1" indent="5"/>
    </xf>
    <xf numFmtId="0" fontId="20" fillId="2" borderId="0" xfId="0" applyFont="1" applyFill="1" applyBorder="1" applyAlignment="1">
      <alignment horizontal="left" vertical="top" wrapText="1" indent="5"/>
    </xf>
    <xf numFmtId="0" fontId="16" fillId="6" borderId="13" xfId="2" applyNumberFormat="1" applyFont="1" applyFill="1" applyBorder="1" applyAlignment="1">
      <alignment horizontal="center" vertical="center" wrapText="1"/>
    </xf>
    <xf numFmtId="0" fontId="4" fillId="2" borderId="16" xfId="0" applyFont="1" applyFill="1" applyBorder="1" applyAlignment="1">
      <alignment horizontal="left" vertical="center" wrapText="1"/>
    </xf>
    <xf numFmtId="0" fontId="3" fillId="3" borderId="18" xfId="0" applyNumberFormat="1" applyFont="1" applyFill="1" applyBorder="1" applyAlignment="1" applyProtection="1">
      <protection locked="0"/>
    </xf>
    <xf numFmtId="0" fontId="3" fillId="3" borderId="10" xfId="0" applyNumberFormat="1" applyFont="1" applyFill="1" applyBorder="1" applyAlignment="1" applyProtection="1"/>
    <xf numFmtId="0" fontId="3" fillId="2" borderId="0" xfId="2" applyNumberFormat="1" applyFont="1" applyFill="1" applyBorder="1" applyAlignment="1">
      <alignment horizontal="left" vertical="top" wrapText="1"/>
    </xf>
    <xf numFmtId="0" fontId="3" fillId="2" borderId="0" xfId="2" applyNumberFormat="1" applyFont="1" applyFill="1" applyBorder="1" applyAlignment="1">
      <alignment vertical="center"/>
    </xf>
    <xf numFmtId="0" fontId="3" fillId="2" borderId="0" xfId="2" applyNumberFormat="1" applyFont="1" applyFill="1" applyBorder="1" applyAlignment="1">
      <alignment vertical="top" wrapText="1"/>
    </xf>
    <xf numFmtId="0" fontId="6" fillId="6" borderId="24" xfId="2" applyNumberFormat="1" applyFont="1" applyFill="1" applyBorder="1" applyAlignment="1">
      <alignment horizontal="center" vertical="center" wrapText="1"/>
    </xf>
    <xf numFmtId="0" fontId="4" fillId="2" borderId="0" xfId="0" applyFont="1" applyFill="1" applyBorder="1" applyAlignment="1">
      <alignment horizontal="left" vertical="center"/>
    </xf>
    <xf numFmtId="0" fontId="3" fillId="2" borderId="0" xfId="0" applyFont="1" applyFill="1" applyBorder="1" applyAlignment="1">
      <alignment horizontal="left" vertical="center" wrapText="1"/>
    </xf>
    <xf numFmtId="3" fontId="3" fillId="3" borderId="24" xfId="0" applyNumberFormat="1" applyFont="1" applyFill="1" applyBorder="1" applyAlignment="1" applyProtection="1"/>
    <xf numFmtId="0" fontId="12" fillId="13" borderId="12" xfId="0" applyFont="1" applyFill="1" applyBorder="1" applyAlignment="1">
      <alignment horizontal="right" vertical="center" wrapText="1"/>
    </xf>
    <xf numFmtId="0" fontId="0" fillId="13" borderId="25" xfId="0" applyFill="1" applyBorder="1" applyAlignment="1">
      <alignment vertical="center"/>
    </xf>
    <xf numFmtId="3" fontId="3" fillId="12" borderId="1" xfId="3" applyNumberFormat="1" applyFont="1" applyFill="1" applyBorder="1" applyAlignment="1" applyProtection="1">
      <alignment vertical="center"/>
      <protection locked="0"/>
    </xf>
    <xf numFmtId="3" fontId="23" fillId="12" borderId="1" xfId="3" applyNumberFormat="1" applyFont="1" applyFill="1" applyBorder="1" applyAlignment="1" applyProtection="1">
      <alignment vertical="center"/>
      <protection locked="0"/>
    </xf>
    <xf numFmtId="3" fontId="3" fillId="14" borderId="1" xfId="3" applyNumberFormat="1" applyFont="1" applyFill="1" applyBorder="1" applyAlignment="1" applyProtection="1">
      <alignment vertical="center"/>
      <protection locked="0"/>
    </xf>
    <xf numFmtId="0" fontId="0" fillId="0" borderId="0" xfId="0" applyFill="1"/>
    <xf numFmtId="3" fontId="3" fillId="14" borderId="1" xfId="3" applyNumberFormat="1" applyFont="1" applyFill="1" applyBorder="1" applyAlignment="1" applyProtection="1">
      <alignment vertical="center"/>
    </xf>
    <xf numFmtId="0" fontId="24" fillId="15" borderId="0" xfId="4" applyFont="1" applyFill="1" applyBorder="1" applyAlignment="1" applyProtection="1">
      <alignment horizontal="left" vertical="center" wrapText="1" indent="3"/>
    </xf>
    <xf numFmtId="0" fontId="0" fillId="16" borderId="9" xfId="0" applyFill="1" applyBorder="1"/>
    <xf numFmtId="0" fontId="22" fillId="16" borderId="10" xfId="0" applyFont="1" applyFill="1" applyBorder="1"/>
    <xf numFmtId="0" fontId="3" fillId="0" borderId="18" xfId="0" applyNumberFormat="1" applyFont="1" applyFill="1" applyBorder="1" applyAlignment="1" applyProtection="1">
      <protection locked="0"/>
    </xf>
    <xf numFmtId="0" fontId="3" fillId="0" borderId="10" xfId="0" applyNumberFormat="1" applyFont="1" applyFill="1" applyBorder="1" applyAlignment="1" applyProtection="1"/>
    <xf numFmtId="0" fontId="3" fillId="0" borderId="1" xfId="3" applyNumberFormat="1" applyFont="1" applyFill="1" applyBorder="1" applyAlignment="1" applyProtection="1">
      <alignment vertical="center"/>
      <protection locked="0"/>
    </xf>
    <xf numFmtId="0" fontId="3" fillId="16" borderId="16" xfId="0" applyFont="1" applyFill="1" applyBorder="1" applyAlignment="1">
      <alignment horizontal="left" vertical="center"/>
    </xf>
    <xf numFmtId="0" fontId="3" fillId="16" borderId="0" xfId="0" applyFont="1" applyFill="1" applyBorder="1" applyAlignment="1">
      <alignment horizontal="left" vertical="center"/>
    </xf>
    <xf numFmtId="0" fontId="3" fillId="2" borderId="4" xfId="0" applyFont="1" applyFill="1" applyBorder="1" applyAlignment="1">
      <alignment horizontal="left" vertical="center"/>
    </xf>
    <xf numFmtId="0" fontId="3" fillId="0" borderId="24" xfId="0" applyNumberFormat="1" applyFont="1" applyFill="1" applyBorder="1" applyAlignment="1" applyProtection="1"/>
    <xf numFmtId="3" fontId="4" fillId="12" borderId="10" xfId="0" applyNumberFormat="1" applyFont="1" applyFill="1" applyBorder="1" applyAlignment="1" applyProtection="1"/>
    <xf numFmtId="3" fontId="4" fillId="12" borderId="1" xfId="3" applyNumberFormat="1" applyFont="1" applyFill="1" applyBorder="1" applyAlignment="1" applyProtection="1">
      <alignment vertical="center"/>
      <protection locked="0"/>
    </xf>
    <xf numFmtId="3" fontId="3" fillId="3" borderId="10" xfId="0" applyNumberFormat="1" applyFont="1" applyFill="1" applyBorder="1"/>
    <xf numFmtId="3" fontId="3" fillId="3" borderId="18" xfId="0" applyNumberFormat="1" applyFont="1" applyFill="1" applyBorder="1" applyProtection="1">
      <protection locked="0"/>
    </xf>
    <xf numFmtId="3" fontId="3" fillId="12" borderId="10" xfId="0" applyNumberFormat="1" applyFont="1" applyFill="1" applyBorder="1"/>
    <xf numFmtId="3" fontId="3" fillId="6" borderId="10" xfId="0" applyNumberFormat="1" applyFont="1" applyFill="1" applyBorder="1"/>
    <xf numFmtId="3" fontId="0" fillId="0" borderId="0" xfId="0" applyNumberFormat="1"/>
    <xf numFmtId="0" fontId="3" fillId="3" borderId="10" xfId="0" applyFont="1" applyFill="1" applyBorder="1"/>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20">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
      <font>
        <color rgb="FFFF0000"/>
      </font>
      <fill>
        <patternFill>
          <bgColor rgb="FFFFFF00"/>
        </patternFill>
      </fill>
      <border>
        <left style="hair">
          <color rgb="FFFF0000"/>
        </left>
        <right style="hair">
          <color rgb="FFFF0000"/>
        </right>
        <top style="hair">
          <color rgb="FFFF0000"/>
        </top>
        <bottom style="hair">
          <color rgb="FFFF0000"/>
        </bottom>
        <vertical/>
        <horizontal/>
      </border>
    </dxf>
  </dxfs>
  <tableStyles count="0" defaultTableStyle="TableStyleMedium2" defaultPivotStyle="PivotStyleLight16"/>
  <colors>
    <mruColors>
      <color rgb="FF2F81E5"/>
      <color rgb="FFAB7811"/>
      <color rgb="FFFFFF66"/>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1966383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1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5962650</xdr:colOff>
      <xdr:row>0</xdr:row>
      <xdr:rowOff>547688</xdr:rowOff>
    </xdr:to>
    <xdr:sp macro="[0]!Copiar_columna" textlink="">
      <xdr:nvSpPr>
        <xdr:cNvPr id="3" name="2 Rectángulo redondeado">
          <a:extLst>
            <a:ext uri="{FF2B5EF4-FFF2-40B4-BE49-F238E27FC236}">
              <a16:creationId xmlns:a16="http://schemas.microsoft.com/office/drawing/2014/main" id="{00000000-0008-0000-0100-000003000000}"/>
            </a:ext>
          </a:extLst>
        </xdr:cNvPr>
        <xdr:cNvSpPr>
          <a:spLocks/>
        </xdr:cNvSpPr>
      </xdr:nvSpPr>
      <xdr:spPr>
        <a:xfrm>
          <a:off x="5815013" y="154782"/>
          <a:ext cx="127158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1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9</xdr:col>
      <xdr:colOff>104215</xdr:colOff>
      <xdr:row>1</xdr:row>
      <xdr:rowOff>1398495</xdr:rowOff>
    </xdr:from>
    <xdr:to>
      <xdr:col>9</xdr:col>
      <xdr:colOff>451598</xdr:colOff>
      <xdr:row>1</xdr:row>
      <xdr:rowOff>2181225</xdr:rowOff>
    </xdr:to>
    <xdr:sp macro="" textlink="">
      <xdr:nvSpPr>
        <xdr:cNvPr id="5" name="4 Flecha abajo">
          <a:extLst>
            <a:ext uri="{FF2B5EF4-FFF2-40B4-BE49-F238E27FC236}">
              <a16:creationId xmlns:a16="http://schemas.microsoft.com/office/drawing/2014/main" id="{00000000-0008-0000-0100-000005000000}"/>
            </a:ext>
          </a:extLst>
        </xdr:cNvPr>
        <xdr:cNvSpPr/>
      </xdr:nvSpPr>
      <xdr:spPr>
        <a:xfrm>
          <a:off x="8038540" y="2093820"/>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361950</xdr:colOff>
      <xdr:row>1</xdr:row>
      <xdr:rowOff>647700</xdr:rowOff>
    </xdr:from>
    <xdr:to>
      <xdr:col>10</xdr:col>
      <xdr:colOff>305921</xdr:colOff>
      <xdr:row>1</xdr:row>
      <xdr:rowOff>1320053</xdr:rowOff>
    </xdr:to>
    <xdr:sp macro="" textlink="">
      <xdr:nvSpPr>
        <xdr:cNvPr id="6" name="5 Rectángulo redondeado">
          <a:extLst>
            <a:ext uri="{FF2B5EF4-FFF2-40B4-BE49-F238E27FC236}">
              <a16:creationId xmlns:a16="http://schemas.microsoft.com/office/drawing/2014/main" id="{00000000-0008-0000-0100-000006000000}"/>
            </a:ext>
          </a:extLst>
        </xdr:cNvPr>
        <xdr:cNvSpPr/>
      </xdr:nvSpPr>
      <xdr:spPr>
        <a:xfrm>
          <a:off x="7534275" y="1343025"/>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8</xdr:col>
      <xdr:colOff>104215</xdr:colOff>
      <xdr:row>1</xdr:row>
      <xdr:rowOff>1398495</xdr:rowOff>
    </xdr:from>
    <xdr:to>
      <xdr:col>8</xdr:col>
      <xdr:colOff>451598</xdr:colOff>
      <xdr:row>1</xdr:row>
      <xdr:rowOff>2181225</xdr:rowOff>
    </xdr:to>
    <xdr:sp macro="" textlink="">
      <xdr:nvSpPr>
        <xdr:cNvPr id="7" name="4 Flecha abajo">
          <a:extLst>
            <a:ext uri="{FF2B5EF4-FFF2-40B4-BE49-F238E27FC236}">
              <a16:creationId xmlns:a16="http://schemas.microsoft.com/office/drawing/2014/main" id="{00000000-0008-0000-0100-000007000000}"/>
            </a:ext>
          </a:extLst>
        </xdr:cNvPr>
        <xdr:cNvSpPr/>
      </xdr:nvSpPr>
      <xdr:spPr>
        <a:xfrm>
          <a:off x="8783871" y="2089058"/>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7</xdr:col>
      <xdr:colOff>104215</xdr:colOff>
      <xdr:row>1</xdr:row>
      <xdr:rowOff>1398495</xdr:rowOff>
    </xdr:from>
    <xdr:to>
      <xdr:col>7</xdr:col>
      <xdr:colOff>451598</xdr:colOff>
      <xdr:row>1</xdr:row>
      <xdr:rowOff>2181225</xdr:rowOff>
    </xdr:to>
    <xdr:sp macro="" textlink="">
      <xdr:nvSpPr>
        <xdr:cNvPr id="8" name="4 Flecha abajo">
          <a:extLst>
            <a:ext uri="{FF2B5EF4-FFF2-40B4-BE49-F238E27FC236}">
              <a16:creationId xmlns:a16="http://schemas.microsoft.com/office/drawing/2014/main" id="{00000000-0008-0000-0100-000008000000}"/>
            </a:ext>
          </a:extLst>
        </xdr:cNvPr>
        <xdr:cNvSpPr/>
      </xdr:nvSpPr>
      <xdr:spPr>
        <a:xfrm>
          <a:off x="8783871" y="2089058"/>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2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6</xdr:col>
      <xdr:colOff>297657</xdr:colOff>
      <xdr:row>0</xdr:row>
      <xdr:rowOff>547688</xdr:rowOff>
    </xdr:to>
    <xdr:sp macro="[0]!Copiar_columna" textlink="">
      <xdr:nvSpPr>
        <xdr:cNvPr id="3" name="2 Rectángulo redondeado">
          <a:extLst>
            <a:ext uri="{FF2B5EF4-FFF2-40B4-BE49-F238E27FC236}">
              <a16:creationId xmlns:a16="http://schemas.microsoft.com/office/drawing/2014/main" id="{00000000-0008-0000-0200-000003000000}"/>
            </a:ext>
          </a:extLst>
        </xdr:cNvPr>
        <xdr:cNvSpPr>
          <a:spLocks/>
        </xdr:cNvSpPr>
      </xdr:nvSpPr>
      <xdr:spPr>
        <a:xfrm>
          <a:off x="5815013" y="154782"/>
          <a:ext cx="1654969"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2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142315</xdr:colOff>
      <xdr:row>1</xdr:row>
      <xdr:rowOff>1474695</xdr:rowOff>
    </xdr:from>
    <xdr:to>
      <xdr:col>7</xdr:col>
      <xdr:colOff>489698</xdr:colOff>
      <xdr:row>2</xdr:row>
      <xdr:rowOff>9525</xdr:rowOff>
    </xdr:to>
    <xdr:sp macro="" textlink="">
      <xdr:nvSpPr>
        <xdr:cNvPr id="5" name="4 Flecha abajo">
          <a:extLst>
            <a:ext uri="{FF2B5EF4-FFF2-40B4-BE49-F238E27FC236}">
              <a16:creationId xmlns:a16="http://schemas.microsoft.com/office/drawing/2014/main" id="{00000000-0008-0000-0200-000005000000}"/>
            </a:ext>
          </a:extLst>
        </xdr:cNvPr>
        <xdr:cNvSpPr/>
      </xdr:nvSpPr>
      <xdr:spPr>
        <a:xfrm>
          <a:off x="8076640" y="2170020"/>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400050</xdr:colOff>
      <xdr:row>1</xdr:row>
      <xdr:rowOff>723900</xdr:rowOff>
    </xdr:from>
    <xdr:to>
      <xdr:col>8</xdr:col>
      <xdr:colOff>344021</xdr:colOff>
      <xdr:row>1</xdr:row>
      <xdr:rowOff>1396253</xdr:rowOff>
    </xdr:to>
    <xdr:sp macro="" textlink="">
      <xdr:nvSpPr>
        <xdr:cNvPr id="6" name="5 Rectángulo redondeado">
          <a:extLst>
            <a:ext uri="{FF2B5EF4-FFF2-40B4-BE49-F238E27FC236}">
              <a16:creationId xmlns:a16="http://schemas.microsoft.com/office/drawing/2014/main" id="{00000000-0008-0000-0200-000006000000}"/>
            </a:ext>
          </a:extLst>
        </xdr:cNvPr>
        <xdr:cNvSpPr/>
      </xdr:nvSpPr>
      <xdr:spPr>
        <a:xfrm>
          <a:off x="7572375" y="1419225"/>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3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5</xdr:col>
      <xdr:colOff>5981700</xdr:colOff>
      <xdr:row>0</xdr:row>
      <xdr:rowOff>547688</xdr:rowOff>
    </xdr:to>
    <xdr:sp macro="[0]!Copiar_columna" textlink="">
      <xdr:nvSpPr>
        <xdr:cNvPr id="3" name="2 Rectángulo redondeado">
          <a:extLst>
            <a:ext uri="{FF2B5EF4-FFF2-40B4-BE49-F238E27FC236}">
              <a16:creationId xmlns:a16="http://schemas.microsoft.com/office/drawing/2014/main" id="{00000000-0008-0000-0300-000003000000}"/>
            </a:ext>
          </a:extLst>
        </xdr:cNvPr>
        <xdr:cNvSpPr>
          <a:spLocks/>
        </xdr:cNvSpPr>
      </xdr:nvSpPr>
      <xdr:spPr>
        <a:xfrm>
          <a:off x="5815013" y="154782"/>
          <a:ext cx="1290637"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3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8</xdr:col>
      <xdr:colOff>104215</xdr:colOff>
      <xdr:row>1</xdr:row>
      <xdr:rowOff>1255620</xdr:rowOff>
    </xdr:from>
    <xdr:to>
      <xdr:col>8</xdr:col>
      <xdr:colOff>451598</xdr:colOff>
      <xdr:row>1</xdr:row>
      <xdr:rowOff>2038350</xdr:rowOff>
    </xdr:to>
    <xdr:sp macro="" textlink="">
      <xdr:nvSpPr>
        <xdr:cNvPr id="7" name="6 Flecha abajo">
          <a:extLst>
            <a:ext uri="{FF2B5EF4-FFF2-40B4-BE49-F238E27FC236}">
              <a16:creationId xmlns:a16="http://schemas.microsoft.com/office/drawing/2014/main" id="{00000000-0008-0000-0300-000007000000}"/>
            </a:ext>
          </a:extLst>
        </xdr:cNvPr>
        <xdr:cNvSpPr/>
      </xdr:nvSpPr>
      <xdr:spPr>
        <a:xfrm>
          <a:off x="10324540" y="1950945"/>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7</xdr:col>
      <xdr:colOff>361950</xdr:colOff>
      <xdr:row>1</xdr:row>
      <xdr:rowOff>504825</xdr:rowOff>
    </xdr:from>
    <xdr:to>
      <xdr:col>9</xdr:col>
      <xdr:colOff>305921</xdr:colOff>
      <xdr:row>1</xdr:row>
      <xdr:rowOff>1177178</xdr:rowOff>
    </xdr:to>
    <xdr:sp macro="" textlink="">
      <xdr:nvSpPr>
        <xdr:cNvPr id="8" name="7 Rectángulo redondeado">
          <a:extLst>
            <a:ext uri="{FF2B5EF4-FFF2-40B4-BE49-F238E27FC236}">
              <a16:creationId xmlns:a16="http://schemas.microsoft.com/office/drawing/2014/main" id="{00000000-0008-0000-0300-000008000000}"/>
            </a:ext>
          </a:extLst>
        </xdr:cNvPr>
        <xdr:cNvSpPr/>
      </xdr:nvSpPr>
      <xdr:spPr>
        <a:xfrm>
          <a:off x="9820275" y="120015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0</xdr:row>
      <xdr:rowOff>142876</xdr:rowOff>
    </xdr:from>
    <xdr:to>
      <xdr:col>5</xdr:col>
      <xdr:colOff>661193</xdr:colOff>
      <xdr:row>0</xdr:row>
      <xdr:rowOff>523876</xdr:rowOff>
    </xdr:to>
    <xdr:sp macro="[0]!Guarda_Hojas_CSV" textlink="">
      <xdr:nvSpPr>
        <xdr:cNvPr id="2" name="1 Rectángulo redondeado">
          <a:extLst>
            <a:ext uri="{FF2B5EF4-FFF2-40B4-BE49-F238E27FC236}">
              <a16:creationId xmlns:a16="http://schemas.microsoft.com/office/drawing/2014/main" id="{00000000-0008-0000-0400-000002000000}"/>
            </a:ext>
          </a:extLst>
        </xdr:cNvPr>
        <xdr:cNvSpPr/>
      </xdr:nvSpPr>
      <xdr:spPr>
        <a:xfrm>
          <a:off x="400050" y="142876"/>
          <a:ext cx="1385093" cy="381000"/>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Crear CSV</a:t>
          </a:r>
        </a:p>
      </xdr:txBody>
    </xdr:sp>
    <xdr:clientData/>
  </xdr:twoCellAnchor>
  <xdr:twoCellAnchor editAs="absolute">
    <xdr:from>
      <xdr:col>5</xdr:col>
      <xdr:colOff>4691063</xdr:colOff>
      <xdr:row>0</xdr:row>
      <xdr:rowOff>154782</xdr:rowOff>
    </xdr:from>
    <xdr:to>
      <xdr:col>6</xdr:col>
      <xdr:colOff>297657</xdr:colOff>
      <xdr:row>0</xdr:row>
      <xdr:rowOff>547688</xdr:rowOff>
    </xdr:to>
    <xdr:sp macro="[0]!Copiar_columna" textlink="">
      <xdr:nvSpPr>
        <xdr:cNvPr id="3" name="2 Rectángulo redondeado">
          <a:extLst>
            <a:ext uri="{FF2B5EF4-FFF2-40B4-BE49-F238E27FC236}">
              <a16:creationId xmlns:a16="http://schemas.microsoft.com/office/drawing/2014/main" id="{00000000-0008-0000-0400-000003000000}"/>
            </a:ext>
          </a:extLst>
        </xdr:cNvPr>
        <xdr:cNvSpPr>
          <a:spLocks/>
        </xdr:cNvSpPr>
      </xdr:nvSpPr>
      <xdr:spPr>
        <a:xfrm>
          <a:off x="5815013" y="154782"/>
          <a:ext cx="1654969" cy="392906"/>
        </a:xfrm>
        <a:prstGeom prst="round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es-ES" sz="1100"/>
            <a:t>Copiar Columna</a:t>
          </a:r>
        </a:p>
      </xdr:txBody>
    </xdr:sp>
    <xdr:clientData/>
  </xdr:twoCellAnchor>
  <xdr:twoCellAnchor>
    <xdr:from>
      <xdr:col>5</xdr:col>
      <xdr:colOff>826294</xdr:colOff>
      <xdr:row>0</xdr:row>
      <xdr:rowOff>142875</xdr:rowOff>
    </xdr:from>
    <xdr:to>
      <xdr:col>5</xdr:col>
      <xdr:colOff>1846527</xdr:colOff>
      <xdr:row>0</xdr:row>
      <xdr:rowOff>535781</xdr:rowOff>
    </xdr:to>
    <xdr:sp macro="[0]!Guarda_Hojas_ZIP" textlink="">
      <xdr:nvSpPr>
        <xdr:cNvPr id="4" name="3 Rectángulo redondeado">
          <a:extLst>
            <a:ext uri="{FF2B5EF4-FFF2-40B4-BE49-F238E27FC236}">
              <a16:creationId xmlns:a16="http://schemas.microsoft.com/office/drawing/2014/main" id="{00000000-0008-0000-0400-000004000000}"/>
            </a:ext>
          </a:extLst>
        </xdr:cNvPr>
        <xdr:cNvSpPr/>
      </xdr:nvSpPr>
      <xdr:spPr>
        <a:xfrm>
          <a:off x="1950244" y="142875"/>
          <a:ext cx="1020233" cy="392906"/>
        </a:xfrm>
        <a:prstGeom prst="roundRect">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s-ES" sz="1100"/>
            <a:t>Crear/Comprimir CSV</a:t>
          </a:r>
        </a:p>
      </xdr:txBody>
    </xdr:sp>
    <xdr:clientData/>
  </xdr:twoCellAnchor>
  <xdr:twoCellAnchor>
    <xdr:from>
      <xdr:col>7</xdr:col>
      <xdr:colOff>180415</xdr:colOff>
      <xdr:row>1</xdr:row>
      <xdr:rowOff>1436595</xdr:rowOff>
    </xdr:from>
    <xdr:to>
      <xdr:col>7</xdr:col>
      <xdr:colOff>527798</xdr:colOff>
      <xdr:row>1</xdr:row>
      <xdr:rowOff>2219325</xdr:rowOff>
    </xdr:to>
    <xdr:sp macro="" textlink="">
      <xdr:nvSpPr>
        <xdr:cNvPr id="5" name="4 Flecha abajo">
          <a:extLst>
            <a:ext uri="{FF2B5EF4-FFF2-40B4-BE49-F238E27FC236}">
              <a16:creationId xmlns:a16="http://schemas.microsoft.com/office/drawing/2014/main" id="{00000000-0008-0000-0400-000005000000}"/>
            </a:ext>
          </a:extLst>
        </xdr:cNvPr>
        <xdr:cNvSpPr/>
      </xdr:nvSpPr>
      <xdr:spPr>
        <a:xfrm>
          <a:off x="8114740" y="2131920"/>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6</xdr:col>
      <xdr:colOff>438150</xdr:colOff>
      <xdr:row>1</xdr:row>
      <xdr:rowOff>685800</xdr:rowOff>
    </xdr:from>
    <xdr:to>
      <xdr:col>8</xdr:col>
      <xdr:colOff>382121</xdr:colOff>
      <xdr:row>1</xdr:row>
      <xdr:rowOff>1358153</xdr:rowOff>
    </xdr:to>
    <xdr:sp macro="" textlink="">
      <xdr:nvSpPr>
        <xdr:cNvPr id="6" name="5 Rectángulo redondeado">
          <a:extLst>
            <a:ext uri="{FF2B5EF4-FFF2-40B4-BE49-F238E27FC236}">
              <a16:creationId xmlns:a16="http://schemas.microsoft.com/office/drawing/2014/main" id="{00000000-0008-0000-0400-000006000000}"/>
            </a:ext>
          </a:extLst>
        </xdr:cNvPr>
        <xdr:cNvSpPr/>
      </xdr:nvSpPr>
      <xdr:spPr>
        <a:xfrm>
          <a:off x="7610475" y="1381125"/>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twoCellAnchor>
    <xdr:from>
      <xdr:col>10</xdr:col>
      <xdr:colOff>113740</xdr:colOff>
      <xdr:row>1</xdr:row>
      <xdr:rowOff>1427070</xdr:rowOff>
    </xdr:from>
    <xdr:to>
      <xdr:col>10</xdr:col>
      <xdr:colOff>461123</xdr:colOff>
      <xdr:row>1</xdr:row>
      <xdr:rowOff>2209800</xdr:rowOff>
    </xdr:to>
    <xdr:sp macro="" textlink="">
      <xdr:nvSpPr>
        <xdr:cNvPr id="7" name="6 Flecha abajo">
          <a:extLst>
            <a:ext uri="{FF2B5EF4-FFF2-40B4-BE49-F238E27FC236}">
              <a16:creationId xmlns:a16="http://schemas.microsoft.com/office/drawing/2014/main" id="{00000000-0008-0000-0400-000007000000}"/>
            </a:ext>
          </a:extLst>
        </xdr:cNvPr>
        <xdr:cNvSpPr/>
      </xdr:nvSpPr>
      <xdr:spPr>
        <a:xfrm>
          <a:off x="10334065" y="2122395"/>
          <a:ext cx="347383" cy="78273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s-CL"/>
        </a:p>
      </xdr:txBody>
    </xdr:sp>
    <xdr:clientData/>
  </xdr:twoCellAnchor>
  <xdr:twoCellAnchor>
    <xdr:from>
      <xdr:col>9</xdr:col>
      <xdr:colOff>371475</xdr:colOff>
      <xdr:row>1</xdr:row>
      <xdr:rowOff>676275</xdr:rowOff>
    </xdr:from>
    <xdr:to>
      <xdr:col>11</xdr:col>
      <xdr:colOff>315446</xdr:colOff>
      <xdr:row>1</xdr:row>
      <xdr:rowOff>1348628</xdr:rowOff>
    </xdr:to>
    <xdr:sp macro="" textlink="">
      <xdr:nvSpPr>
        <xdr:cNvPr id="8" name="7 Rectángulo redondeado">
          <a:extLst>
            <a:ext uri="{FF2B5EF4-FFF2-40B4-BE49-F238E27FC236}">
              <a16:creationId xmlns:a16="http://schemas.microsoft.com/office/drawing/2014/main" id="{00000000-0008-0000-0400-000008000000}"/>
            </a:ext>
          </a:extLst>
        </xdr:cNvPr>
        <xdr:cNvSpPr/>
      </xdr:nvSpPr>
      <xdr:spPr>
        <a:xfrm>
          <a:off x="9829800" y="1371600"/>
          <a:ext cx="1467971" cy="67235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Ubique</a:t>
          </a:r>
          <a:r>
            <a:rPr lang="es-CL" sz="1100" baseline="0"/>
            <a:t> el cursor en esta celda y presione "Copiar Columna"</a:t>
          </a:r>
          <a:endParaRPr lang="es-CL"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I68"/>
  <sheetViews>
    <sheetView topLeftCell="A49" zoomScale="80" zoomScaleNormal="80" workbookViewId="0">
      <selection activeCell="F5" sqref="F5:F67"/>
    </sheetView>
  </sheetViews>
  <sheetFormatPr baseColWidth="10" defaultRowHeight="15"/>
  <cols>
    <col min="1" max="5" width="2.7109375" customWidth="1"/>
    <col min="6" max="6" width="102.7109375" customWidth="1"/>
    <col min="7" max="7" width="2.7109375" customWidth="1"/>
    <col min="8" max="8" width="16.7109375" customWidth="1"/>
  </cols>
  <sheetData>
    <row r="1" spans="1:9" ht="105" customHeight="1">
      <c r="A1" t="s">
        <v>0</v>
      </c>
    </row>
    <row r="2" spans="1:9">
      <c r="G2" s="95" t="s">
        <v>0</v>
      </c>
      <c r="H2" s="96" t="s">
        <v>168</v>
      </c>
    </row>
    <row r="3" spans="1:9">
      <c r="B3" s="7"/>
      <c r="C3" s="8"/>
      <c r="D3" s="8"/>
      <c r="E3" s="8"/>
      <c r="F3" s="8"/>
      <c r="G3" s="8"/>
      <c r="H3" s="8"/>
      <c r="I3" s="9"/>
    </row>
    <row r="4" spans="1:9">
      <c r="B4" s="10"/>
      <c r="C4" s="1"/>
      <c r="D4" s="1" t="s">
        <v>0</v>
      </c>
      <c r="E4" s="1" t="s">
        <v>0</v>
      </c>
      <c r="F4" s="2" t="s">
        <v>5</v>
      </c>
      <c r="G4" s="1"/>
      <c r="H4" s="1"/>
      <c r="I4" s="11"/>
    </row>
    <row r="5" spans="1:9">
      <c r="B5" s="10" t="s">
        <v>170</v>
      </c>
      <c r="C5" s="1" t="s">
        <v>87</v>
      </c>
      <c r="D5" s="1" t="s">
        <v>0</v>
      </c>
      <c r="E5" s="1" t="s">
        <v>0</v>
      </c>
      <c r="F5" s="4" t="s">
        <v>178</v>
      </c>
      <c r="G5" s="1"/>
      <c r="H5" s="1"/>
      <c r="I5" s="11"/>
    </row>
    <row r="6" spans="1:9">
      <c r="B6" s="10" t="s">
        <v>0</v>
      </c>
      <c r="C6" s="1" t="s">
        <v>0</v>
      </c>
      <c r="D6" s="1" t="s">
        <v>0</v>
      </c>
      <c r="E6" s="1" t="s">
        <v>0</v>
      </c>
      <c r="F6" s="5"/>
      <c r="G6" s="1"/>
      <c r="H6" s="1"/>
      <c r="I6" s="11"/>
    </row>
    <row r="7" spans="1:9" ht="23.25" customHeight="1">
      <c r="B7" s="10"/>
      <c r="C7" s="1"/>
      <c r="D7" s="1" t="s">
        <v>0</v>
      </c>
      <c r="E7" s="1" t="s">
        <v>0</v>
      </c>
      <c r="F7" s="3" t="s">
        <v>6</v>
      </c>
      <c r="G7" s="1"/>
      <c r="H7" s="1"/>
      <c r="I7" s="11"/>
    </row>
    <row r="8" spans="1:9" ht="17.25" customHeight="1">
      <c r="B8" s="10" t="s">
        <v>170</v>
      </c>
      <c r="C8" s="1" t="s">
        <v>88</v>
      </c>
      <c r="D8" s="1" t="s">
        <v>0</v>
      </c>
      <c r="E8" s="1" t="s">
        <v>0</v>
      </c>
      <c r="F8" s="4" t="s">
        <v>179</v>
      </c>
      <c r="G8" s="1"/>
      <c r="H8" s="1"/>
      <c r="I8" s="11"/>
    </row>
    <row r="9" spans="1:9">
      <c r="B9" s="10" t="s">
        <v>0</v>
      </c>
      <c r="C9" s="1" t="s">
        <v>0</v>
      </c>
      <c r="D9" s="1" t="s">
        <v>0</v>
      </c>
      <c r="E9" s="1" t="s">
        <v>0</v>
      </c>
      <c r="F9" s="5"/>
      <c r="G9" s="6"/>
      <c r="H9" s="1"/>
      <c r="I9" s="11"/>
    </row>
    <row r="10" spans="1:9" ht="22.5">
      <c r="B10" s="10"/>
      <c r="C10" s="1"/>
      <c r="D10" s="1" t="s">
        <v>0</v>
      </c>
      <c r="E10" s="1" t="s">
        <v>0</v>
      </c>
      <c r="F10" s="3" t="s">
        <v>167</v>
      </c>
      <c r="G10" s="6"/>
      <c r="H10" s="1"/>
      <c r="I10" s="11"/>
    </row>
    <row r="11" spans="1:9">
      <c r="B11" s="10" t="s">
        <v>170</v>
      </c>
      <c r="C11" s="1" t="s">
        <v>163</v>
      </c>
      <c r="D11" s="1" t="s">
        <v>0</v>
      </c>
      <c r="E11" s="1" t="s">
        <v>0</v>
      </c>
      <c r="F11" s="4" t="s">
        <v>180</v>
      </c>
      <c r="G11" s="6"/>
      <c r="H11" s="1"/>
      <c r="I11" s="11"/>
    </row>
    <row r="12" spans="1:9">
      <c r="B12" s="10"/>
      <c r="C12" s="1"/>
      <c r="D12" s="1"/>
      <c r="E12" s="1"/>
      <c r="F12" s="5"/>
      <c r="G12" s="6"/>
      <c r="H12" s="1"/>
      <c r="I12" s="11"/>
    </row>
    <row r="13" spans="1:9" ht="35.25" customHeight="1">
      <c r="B13" s="10"/>
      <c r="C13" s="1"/>
      <c r="D13" s="1" t="s">
        <v>0</v>
      </c>
      <c r="E13" s="1" t="s">
        <v>0</v>
      </c>
      <c r="F13" s="3" t="s">
        <v>7</v>
      </c>
      <c r="G13" s="6"/>
      <c r="H13" s="1"/>
      <c r="I13" s="11"/>
    </row>
    <row r="14" spans="1:9" ht="17.25" customHeight="1">
      <c r="B14" s="10" t="s">
        <v>170</v>
      </c>
      <c r="C14" s="1" t="s">
        <v>89</v>
      </c>
      <c r="D14" s="1" t="s">
        <v>0</v>
      </c>
      <c r="E14" s="1" t="s">
        <v>0</v>
      </c>
      <c r="F14" s="4" t="s">
        <v>181</v>
      </c>
      <c r="G14" s="6"/>
      <c r="H14" s="1"/>
      <c r="I14" s="11"/>
    </row>
    <row r="15" spans="1:9" ht="17.25" customHeight="1">
      <c r="B15" s="10" t="s">
        <v>0</v>
      </c>
      <c r="C15" s="1" t="s">
        <v>0</v>
      </c>
      <c r="D15" s="1" t="s">
        <v>0</v>
      </c>
      <c r="E15" s="1" t="s">
        <v>0</v>
      </c>
      <c r="F15" s="3"/>
      <c r="G15" s="6"/>
      <c r="H15" s="1"/>
      <c r="I15" s="11"/>
    </row>
    <row r="16" spans="1:9">
      <c r="B16" s="10"/>
      <c r="C16" s="1"/>
      <c r="D16" s="1" t="s">
        <v>0</v>
      </c>
      <c r="E16" s="1" t="s">
        <v>0</v>
      </c>
      <c r="F16" s="3" t="s">
        <v>8</v>
      </c>
      <c r="G16" s="6"/>
      <c r="H16" s="1"/>
      <c r="I16" s="11"/>
    </row>
    <row r="17" spans="2:9" ht="15.75" customHeight="1">
      <c r="B17" s="10" t="s">
        <v>170</v>
      </c>
      <c r="C17" s="1" t="s">
        <v>90</v>
      </c>
      <c r="D17" s="1" t="s">
        <v>0</v>
      </c>
      <c r="E17" s="1" t="s">
        <v>0</v>
      </c>
      <c r="F17" s="4" t="s">
        <v>182</v>
      </c>
      <c r="G17" s="6"/>
      <c r="H17" s="1"/>
      <c r="I17" s="11"/>
    </row>
    <row r="18" spans="2:9">
      <c r="B18" s="10" t="s">
        <v>0</v>
      </c>
      <c r="C18" s="1" t="s">
        <v>0</v>
      </c>
      <c r="D18" s="1" t="s">
        <v>0</v>
      </c>
      <c r="E18" s="1" t="s">
        <v>0</v>
      </c>
      <c r="F18" s="3"/>
      <c r="G18" s="6"/>
      <c r="H18" s="1"/>
      <c r="I18" s="11"/>
    </row>
    <row r="19" spans="2:9" ht="27.75" customHeight="1">
      <c r="B19" s="10"/>
      <c r="C19" s="1"/>
      <c r="D19" s="1" t="s">
        <v>0</v>
      </c>
      <c r="E19" s="1" t="s">
        <v>0</v>
      </c>
      <c r="F19" s="3" t="s">
        <v>9</v>
      </c>
      <c r="G19" s="6"/>
      <c r="H19" s="1"/>
      <c r="I19" s="11"/>
    </row>
    <row r="20" spans="2:9" ht="19.5" customHeight="1">
      <c r="B20" s="10" t="s">
        <v>170</v>
      </c>
      <c r="C20" s="1" t="s">
        <v>91</v>
      </c>
      <c r="D20" s="1" t="s">
        <v>0</v>
      </c>
      <c r="E20" s="1" t="s">
        <v>0</v>
      </c>
      <c r="F20" s="4" t="s">
        <v>183</v>
      </c>
      <c r="G20" s="6"/>
      <c r="H20" s="1"/>
      <c r="I20" s="11"/>
    </row>
    <row r="21" spans="2:9">
      <c r="B21" s="10" t="s">
        <v>0</v>
      </c>
      <c r="C21" s="1" t="s">
        <v>0</v>
      </c>
      <c r="D21" s="1" t="s">
        <v>0</v>
      </c>
      <c r="E21" s="1" t="s">
        <v>0</v>
      </c>
      <c r="F21" s="3"/>
      <c r="G21" s="6"/>
      <c r="H21" s="1"/>
      <c r="I21" s="11"/>
    </row>
    <row r="22" spans="2:9" ht="41.25" customHeight="1">
      <c r="B22" s="10"/>
      <c r="C22" s="1"/>
      <c r="D22" s="1" t="s">
        <v>0</v>
      </c>
      <c r="E22" s="1" t="s">
        <v>0</v>
      </c>
      <c r="F22" s="3" t="s">
        <v>10</v>
      </c>
      <c r="G22" s="6"/>
      <c r="H22" s="1"/>
      <c r="I22" s="11"/>
    </row>
    <row r="23" spans="2:9" ht="15" customHeight="1">
      <c r="B23" s="10" t="s">
        <v>170</v>
      </c>
      <c r="C23" s="1" t="s">
        <v>92</v>
      </c>
      <c r="D23" s="1" t="s">
        <v>0</v>
      </c>
      <c r="E23" s="1" t="s">
        <v>0</v>
      </c>
      <c r="F23" s="4" t="s">
        <v>184</v>
      </c>
      <c r="G23" s="6"/>
      <c r="H23" s="1"/>
      <c r="I23" s="11"/>
    </row>
    <row r="24" spans="2:9" ht="15" customHeight="1">
      <c r="B24" s="10" t="s">
        <v>0</v>
      </c>
      <c r="C24" s="1" t="s">
        <v>0</v>
      </c>
      <c r="D24" s="1" t="s">
        <v>0</v>
      </c>
      <c r="E24" s="1" t="s">
        <v>0</v>
      </c>
      <c r="F24" s="3"/>
      <c r="G24" s="6"/>
      <c r="H24" s="1"/>
      <c r="I24" s="11"/>
    </row>
    <row r="25" spans="2:9" ht="29.25" customHeight="1">
      <c r="B25" s="10"/>
      <c r="C25" s="1"/>
      <c r="D25" s="1" t="s">
        <v>0</v>
      </c>
      <c r="E25" s="1" t="s">
        <v>0</v>
      </c>
      <c r="F25" s="3" t="s">
        <v>11</v>
      </c>
      <c r="G25" s="6"/>
      <c r="H25" s="1"/>
      <c r="I25" s="11"/>
    </row>
    <row r="26" spans="2:9" ht="15" customHeight="1">
      <c r="B26" s="10" t="s">
        <v>170</v>
      </c>
      <c r="C26" s="1" t="s">
        <v>93</v>
      </c>
      <c r="D26" s="1" t="s">
        <v>0</v>
      </c>
      <c r="E26" s="1" t="s">
        <v>0</v>
      </c>
      <c r="F26" s="4" t="s">
        <v>185</v>
      </c>
      <c r="G26" s="6"/>
      <c r="H26" s="1"/>
      <c r="I26" s="11"/>
    </row>
    <row r="27" spans="2:9" ht="15" customHeight="1">
      <c r="B27" s="10" t="s">
        <v>0</v>
      </c>
      <c r="C27" s="1" t="s">
        <v>0</v>
      </c>
      <c r="D27" s="1" t="s">
        <v>0</v>
      </c>
      <c r="E27" s="1" t="s">
        <v>0</v>
      </c>
      <c r="F27" s="3"/>
      <c r="G27" s="6"/>
      <c r="H27" s="1"/>
      <c r="I27" s="11"/>
    </row>
    <row r="28" spans="2:9" ht="25.5" customHeight="1">
      <c r="B28" s="10"/>
      <c r="C28" s="1"/>
      <c r="D28" s="1" t="s">
        <v>0</v>
      </c>
      <c r="E28" s="1" t="s">
        <v>0</v>
      </c>
      <c r="F28" s="3" t="s">
        <v>12</v>
      </c>
      <c r="G28" s="6"/>
      <c r="H28" s="1"/>
      <c r="I28" s="11"/>
    </row>
    <row r="29" spans="2:9" ht="15" customHeight="1">
      <c r="B29" s="10" t="s">
        <v>170</v>
      </c>
      <c r="C29" s="1" t="s">
        <v>94</v>
      </c>
      <c r="D29" s="1" t="s">
        <v>0</v>
      </c>
      <c r="E29" s="1" t="s">
        <v>0</v>
      </c>
      <c r="F29" s="4" t="s">
        <v>186</v>
      </c>
      <c r="G29" s="6"/>
      <c r="H29" s="1"/>
      <c r="I29" s="11"/>
    </row>
    <row r="30" spans="2:9" ht="15" customHeight="1">
      <c r="B30" s="10" t="s">
        <v>0</v>
      </c>
      <c r="C30" s="1" t="s">
        <v>0</v>
      </c>
      <c r="D30" s="1" t="s">
        <v>0</v>
      </c>
      <c r="E30" s="1" t="s">
        <v>0</v>
      </c>
      <c r="F30" s="6"/>
      <c r="G30" s="6"/>
      <c r="H30" s="1"/>
      <c r="I30" s="11"/>
    </row>
    <row r="31" spans="2:9" ht="40.5" customHeight="1">
      <c r="B31" s="10"/>
      <c r="C31" s="1"/>
      <c r="D31" s="1" t="s">
        <v>0</v>
      </c>
      <c r="E31" s="1" t="s">
        <v>0</v>
      </c>
      <c r="F31" s="14" t="s">
        <v>13</v>
      </c>
      <c r="G31" s="6"/>
      <c r="H31" s="1"/>
      <c r="I31" s="11"/>
    </row>
    <row r="32" spans="2:9" ht="15" customHeight="1">
      <c r="B32" s="10" t="s">
        <v>170</v>
      </c>
      <c r="C32" s="1" t="s">
        <v>95</v>
      </c>
      <c r="D32" s="1" t="s">
        <v>0</v>
      </c>
      <c r="E32" s="1" t="s">
        <v>0</v>
      </c>
      <c r="F32" s="4" t="s">
        <v>187</v>
      </c>
      <c r="G32" s="6"/>
      <c r="H32" s="1"/>
      <c r="I32" s="11"/>
    </row>
    <row r="33" spans="2:9" ht="15" customHeight="1">
      <c r="B33" s="10" t="s">
        <v>0</v>
      </c>
      <c r="C33" s="1" t="s">
        <v>0</v>
      </c>
      <c r="D33" s="1" t="s">
        <v>0</v>
      </c>
      <c r="E33" s="1" t="s">
        <v>0</v>
      </c>
      <c r="F33" s="3"/>
      <c r="G33" s="6"/>
      <c r="H33" s="1"/>
      <c r="I33" s="11"/>
    </row>
    <row r="34" spans="2:9" ht="30" customHeight="1">
      <c r="B34" s="10"/>
      <c r="C34" s="1"/>
      <c r="D34" s="1" t="s">
        <v>0</v>
      </c>
      <c r="E34" s="1" t="s">
        <v>0</v>
      </c>
      <c r="F34" s="3" t="s">
        <v>14</v>
      </c>
      <c r="G34" s="6"/>
      <c r="H34" s="1"/>
      <c r="I34" s="11"/>
    </row>
    <row r="35" spans="2:9" ht="15" customHeight="1">
      <c r="B35" s="10" t="s">
        <v>170</v>
      </c>
      <c r="C35" s="1" t="s">
        <v>96</v>
      </c>
      <c r="D35" s="1" t="s">
        <v>0</v>
      </c>
      <c r="E35" s="1" t="s">
        <v>0</v>
      </c>
      <c r="F35" s="4" t="s">
        <v>188</v>
      </c>
      <c r="G35" s="6"/>
      <c r="H35" s="1"/>
      <c r="I35" s="11"/>
    </row>
    <row r="36" spans="2:9" ht="15" customHeight="1">
      <c r="B36" s="10"/>
      <c r="C36" s="1"/>
      <c r="D36" s="1"/>
      <c r="E36" s="1"/>
      <c r="F36" s="3"/>
      <c r="G36" s="6"/>
      <c r="H36" s="1"/>
      <c r="I36" s="11"/>
    </row>
    <row r="37" spans="2:9" ht="15" customHeight="1">
      <c r="B37" s="10"/>
      <c r="C37" s="1"/>
      <c r="D37" s="1" t="s">
        <v>0</v>
      </c>
      <c r="E37" s="1" t="s">
        <v>0</v>
      </c>
      <c r="F37" s="3" t="s">
        <v>15</v>
      </c>
      <c r="G37" s="6"/>
      <c r="H37" s="1"/>
      <c r="I37" s="11"/>
    </row>
    <row r="38" spans="2:9" ht="15" customHeight="1">
      <c r="B38" s="10" t="s">
        <v>170</v>
      </c>
      <c r="C38" s="1" t="s">
        <v>97</v>
      </c>
      <c r="D38" s="1" t="s">
        <v>0</v>
      </c>
      <c r="E38" s="1" t="s">
        <v>0</v>
      </c>
      <c r="F38" s="4" t="s">
        <v>189</v>
      </c>
      <c r="G38" s="6"/>
      <c r="H38" s="1"/>
      <c r="I38" s="11"/>
    </row>
    <row r="39" spans="2:9" ht="15" customHeight="1">
      <c r="B39" s="10"/>
      <c r="C39" s="1"/>
      <c r="D39" s="1"/>
      <c r="E39" s="1"/>
      <c r="F39" s="3"/>
      <c r="G39" s="6"/>
      <c r="H39" s="1"/>
      <c r="I39" s="11"/>
    </row>
    <row r="40" spans="2:9" ht="15" customHeight="1">
      <c r="B40" s="10"/>
      <c r="C40" s="1"/>
      <c r="D40" s="1"/>
      <c r="E40" s="1"/>
      <c r="F40" s="94" t="s">
        <v>16</v>
      </c>
      <c r="G40" s="6"/>
      <c r="H40" s="1"/>
      <c r="I40" s="11"/>
    </row>
    <row r="41" spans="2:9" ht="15" customHeight="1">
      <c r="B41" s="10"/>
      <c r="C41" s="1"/>
      <c r="D41" s="1"/>
      <c r="E41" s="1"/>
      <c r="F41" s="3"/>
      <c r="G41" s="6"/>
      <c r="H41" s="1"/>
      <c r="I41" s="11"/>
    </row>
    <row r="42" spans="2:9" ht="15" customHeight="1">
      <c r="B42" s="10"/>
      <c r="C42" s="1"/>
      <c r="D42" s="1" t="s">
        <v>0</v>
      </c>
      <c r="E42" s="1" t="s">
        <v>0</v>
      </c>
      <c r="F42" s="3" t="s">
        <v>49</v>
      </c>
      <c r="G42" s="6"/>
      <c r="H42" s="1"/>
      <c r="I42" s="11"/>
    </row>
    <row r="43" spans="2:9" ht="15" customHeight="1">
      <c r="B43" s="10" t="s">
        <v>170</v>
      </c>
      <c r="C43" s="1" t="s">
        <v>98</v>
      </c>
      <c r="D43" s="1" t="s">
        <v>0</v>
      </c>
      <c r="E43" s="1" t="s">
        <v>0</v>
      </c>
      <c r="F43" s="4" t="s">
        <v>190</v>
      </c>
      <c r="G43" s="6"/>
      <c r="H43" s="1"/>
      <c r="I43" s="11"/>
    </row>
    <row r="44" spans="2:9" ht="15" customHeight="1">
      <c r="B44" s="10"/>
      <c r="C44" s="1"/>
      <c r="D44" s="1"/>
      <c r="E44" s="1"/>
      <c r="F44" s="3"/>
      <c r="G44" s="6"/>
      <c r="H44" s="1"/>
      <c r="I44" s="11"/>
    </row>
    <row r="45" spans="2:9" ht="15" customHeight="1">
      <c r="B45" s="10"/>
      <c r="C45" s="1"/>
      <c r="D45" s="1"/>
      <c r="E45" s="1"/>
      <c r="F45" s="57" t="s">
        <v>51</v>
      </c>
      <c r="G45" s="6"/>
      <c r="H45" s="1"/>
      <c r="I45" s="11"/>
    </row>
    <row r="46" spans="2:9" ht="15" customHeight="1">
      <c r="B46" s="10"/>
      <c r="C46" s="1"/>
      <c r="D46" s="1"/>
      <c r="E46" s="1"/>
      <c r="F46" s="3"/>
      <c r="G46" s="6"/>
      <c r="H46" s="1"/>
      <c r="I46" s="11"/>
    </row>
    <row r="47" spans="2:9" ht="15" customHeight="1">
      <c r="B47" s="10"/>
      <c r="C47" s="1"/>
      <c r="D47" s="1" t="s">
        <v>0</v>
      </c>
      <c r="E47" s="1" t="s">
        <v>0</v>
      </c>
      <c r="F47" s="3" t="s">
        <v>54</v>
      </c>
      <c r="G47" s="6"/>
      <c r="H47" s="1"/>
      <c r="I47" s="11"/>
    </row>
    <row r="48" spans="2:9" ht="15" customHeight="1">
      <c r="B48" s="10" t="s">
        <v>170</v>
      </c>
      <c r="C48" s="1" t="s">
        <v>99</v>
      </c>
      <c r="D48" s="1" t="s">
        <v>0</v>
      </c>
      <c r="E48" s="1" t="s">
        <v>0</v>
      </c>
      <c r="F48" s="4" t="s">
        <v>191</v>
      </c>
      <c r="G48" s="6"/>
      <c r="H48" s="1"/>
      <c r="I48" s="11"/>
    </row>
    <row r="49" spans="2:9" ht="15" customHeight="1">
      <c r="B49" s="10"/>
      <c r="C49" s="1"/>
      <c r="D49" s="1"/>
      <c r="E49" s="1"/>
      <c r="F49" s="3"/>
      <c r="G49" s="6"/>
      <c r="H49" s="1"/>
      <c r="I49" s="11"/>
    </row>
    <row r="50" spans="2:9" ht="15" customHeight="1">
      <c r="B50" s="10"/>
      <c r="C50" s="1"/>
      <c r="D50" s="1"/>
      <c r="E50" s="1"/>
      <c r="F50" s="59" t="s">
        <v>61</v>
      </c>
      <c r="G50" s="6"/>
      <c r="H50" s="1"/>
      <c r="I50" s="11"/>
    </row>
    <row r="51" spans="2:9" ht="15" customHeight="1">
      <c r="B51" s="10"/>
      <c r="C51" s="1"/>
      <c r="D51" s="1"/>
      <c r="E51" s="1"/>
      <c r="F51" s="3"/>
      <c r="G51" s="6"/>
      <c r="H51" s="1"/>
      <c r="I51" s="11"/>
    </row>
    <row r="52" spans="2:9" ht="15" customHeight="1">
      <c r="B52" s="10"/>
      <c r="C52" s="1"/>
      <c r="D52" s="1" t="s">
        <v>0</v>
      </c>
      <c r="E52" s="1" t="s">
        <v>0</v>
      </c>
      <c r="F52" s="3" t="s">
        <v>58</v>
      </c>
      <c r="G52" s="6"/>
      <c r="H52" s="1"/>
      <c r="I52" s="11"/>
    </row>
    <row r="53" spans="2:9" ht="15" customHeight="1">
      <c r="B53" s="10" t="s">
        <v>170</v>
      </c>
      <c r="C53" s="1" t="s">
        <v>100</v>
      </c>
      <c r="D53" s="1" t="s">
        <v>0</v>
      </c>
      <c r="E53" s="1" t="s">
        <v>0</v>
      </c>
      <c r="F53" s="4" t="s">
        <v>192</v>
      </c>
      <c r="G53" s="6"/>
      <c r="H53" s="1"/>
      <c r="I53" s="11"/>
    </row>
    <row r="54" spans="2:9" ht="15" customHeight="1">
      <c r="B54" s="10"/>
      <c r="C54" s="1"/>
      <c r="D54" s="1"/>
      <c r="E54" s="1"/>
      <c r="F54" s="3"/>
      <c r="G54" s="6"/>
      <c r="H54" s="1"/>
      <c r="I54" s="11"/>
    </row>
    <row r="55" spans="2:9" ht="15" customHeight="1">
      <c r="B55" s="10"/>
      <c r="C55" s="1"/>
      <c r="D55" s="1"/>
      <c r="E55" s="1"/>
      <c r="F55" s="60" t="s">
        <v>60</v>
      </c>
      <c r="G55" s="6"/>
      <c r="H55" s="1"/>
      <c r="I55" s="11"/>
    </row>
    <row r="56" spans="2:9" ht="15" customHeight="1">
      <c r="B56" s="10"/>
      <c r="C56" s="1"/>
      <c r="D56" s="1"/>
      <c r="E56" s="1"/>
      <c r="F56" s="3"/>
      <c r="G56" s="6"/>
      <c r="H56" s="1"/>
      <c r="I56" s="11"/>
    </row>
    <row r="57" spans="2:9" ht="15" customHeight="1">
      <c r="B57" s="10"/>
      <c r="C57" s="1"/>
      <c r="D57" s="1" t="s">
        <v>0</v>
      </c>
      <c r="E57" s="1" t="s">
        <v>0</v>
      </c>
      <c r="F57" s="3" t="s">
        <v>65</v>
      </c>
      <c r="G57" s="6"/>
      <c r="H57" s="1"/>
      <c r="I57" s="11"/>
    </row>
    <row r="58" spans="2:9" ht="15" customHeight="1">
      <c r="B58" s="10" t="s">
        <v>170</v>
      </c>
      <c r="C58" s="1" t="s">
        <v>101</v>
      </c>
      <c r="D58" s="1" t="s">
        <v>0</v>
      </c>
      <c r="E58" s="1" t="s">
        <v>0</v>
      </c>
      <c r="F58" s="4" t="s">
        <v>193</v>
      </c>
      <c r="G58" s="6"/>
      <c r="H58" s="1"/>
      <c r="I58" s="11"/>
    </row>
    <row r="59" spans="2:9" ht="15" customHeight="1">
      <c r="B59" s="10"/>
      <c r="C59" s="1"/>
      <c r="D59" s="1"/>
      <c r="E59" s="1"/>
      <c r="F59" s="3"/>
      <c r="G59" s="6"/>
      <c r="H59" s="1"/>
      <c r="I59" s="11"/>
    </row>
    <row r="60" spans="2:9" ht="22.5">
      <c r="B60" s="10"/>
      <c r="C60" s="1"/>
      <c r="D60" s="1" t="s">
        <v>0</v>
      </c>
      <c r="E60" s="1" t="s">
        <v>0</v>
      </c>
      <c r="F60" s="3" t="s">
        <v>66</v>
      </c>
      <c r="G60" s="6"/>
      <c r="H60" s="1"/>
      <c r="I60" s="11"/>
    </row>
    <row r="61" spans="2:9" ht="15" customHeight="1">
      <c r="B61" s="10" t="s">
        <v>170</v>
      </c>
      <c r="C61" s="1" t="s">
        <v>102</v>
      </c>
      <c r="D61" s="1" t="s">
        <v>0</v>
      </c>
      <c r="E61" s="1" t="s">
        <v>0</v>
      </c>
      <c r="F61" s="4" t="s">
        <v>194</v>
      </c>
      <c r="G61" s="6"/>
      <c r="H61" s="1"/>
      <c r="I61" s="11"/>
    </row>
    <row r="62" spans="2:9" ht="15" customHeight="1">
      <c r="B62" s="10" t="s">
        <v>0</v>
      </c>
      <c r="C62" s="1" t="s">
        <v>0</v>
      </c>
      <c r="D62" s="1" t="s">
        <v>0</v>
      </c>
      <c r="E62" s="1" t="s">
        <v>0</v>
      </c>
      <c r="F62" s="3"/>
      <c r="G62" s="6"/>
      <c r="H62" s="1"/>
      <c r="I62" s="11"/>
    </row>
    <row r="63" spans="2:9" ht="15" customHeight="1">
      <c r="B63" s="10"/>
      <c r="C63" s="1"/>
      <c r="D63" s="1" t="s">
        <v>0</v>
      </c>
      <c r="E63" s="1" t="s">
        <v>0</v>
      </c>
      <c r="F63" s="3" t="s">
        <v>67</v>
      </c>
      <c r="G63" s="6"/>
      <c r="H63" s="1"/>
      <c r="I63" s="11"/>
    </row>
    <row r="64" spans="2:9" ht="15" customHeight="1">
      <c r="B64" s="10" t="s">
        <v>170</v>
      </c>
      <c r="C64" s="1" t="s">
        <v>103</v>
      </c>
      <c r="D64" s="1" t="s">
        <v>0</v>
      </c>
      <c r="E64" s="1" t="s">
        <v>0</v>
      </c>
      <c r="F64" s="4" t="s">
        <v>195</v>
      </c>
      <c r="G64" s="6"/>
      <c r="H64" s="1"/>
      <c r="I64" s="11"/>
    </row>
    <row r="65" spans="2:9" ht="15" customHeight="1">
      <c r="B65" s="10" t="s">
        <v>0</v>
      </c>
      <c r="C65" s="1" t="s">
        <v>0</v>
      </c>
      <c r="D65" s="1" t="s">
        <v>0</v>
      </c>
      <c r="E65" s="1" t="s">
        <v>0</v>
      </c>
      <c r="F65" s="3"/>
      <c r="G65" s="6"/>
      <c r="H65" s="1"/>
      <c r="I65" s="11"/>
    </row>
    <row r="66" spans="2:9" ht="22.5">
      <c r="B66" s="10"/>
      <c r="C66" s="1"/>
      <c r="D66" s="1" t="s">
        <v>0</v>
      </c>
      <c r="E66" s="1" t="s">
        <v>0</v>
      </c>
      <c r="F66" s="3" t="s">
        <v>68</v>
      </c>
      <c r="G66" s="6"/>
      <c r="H66" s="1"/>
      <c r="I66" s="11"/>
    </row>
    <row r="67" spans="2:9" ht="15" customHeight="1">
      <c r="B67" s="10" t="s">
        <v>170</v>
      </c>
      <c r="C67" s="1" t="s">
        <v>104</v>
      </c>
      <c r="D67" s="1" t="s">
        <v>0</v>
      </c>
      <c r="E67" s="1" t="s">
        <v>0</v>
      </c>
      <c r="F67" s="4" t="s">
        <v>196</v>
      </c>
      <c r="G67" s="6"/>
      <c r="H67" s="1"/>
      <c r="I67" s="11"/>
    </row>
    <row r="68" spans="2:9" ht="15" customHeight="1">
      <c r="B68" s="61"/>
      <c r="C68" s="62"/>
      <c r="D68" s="62"/>
      <c r="E68" s="62"/>
      <c r="F68" s="63"/>
      <c r="G68" s="64"/>
      <c r="H68" s="62"/>
      <c r="I68" s="65"/>
    </row>
  </sheetData>
  <hyperlinks>
    <hyperlink ref="F40" location="'IFRS8-InfoSegmOper'!A1" display="Información a revelar sobre segmentos de operación [sinopsis]  " xr:uid="{00000000-0004-0000-0000-000000000000}"/>
    <hyperlink ref="F45" location="'IFRS8-InfoProdServ'!A1" display="Información a revelar sobre productos y servicios [sinopsis]  " xr:uid="{00000000-0004-0000-0000-000001000000}"/>
    <hyperlink ref="F50" location="'IFRS8-InfoAreaGeog'!A1" display=" Información a revelar sobre áreas geográficas [sinopsis]  " xr:uid="{00000000-0004-0000-0000-000002000000}"/>
    <hyperlink ref="F55" location="'IFRS8-InfoClieImpr'!A1" display="Información a revelar sobre clientes importantes [sinopsis] " xr:uid="{00000000-0004-0000-0000-000003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tabColor theme="8" tint="-0.249977111117893"/>
  </sheetPr>
  <dimension ref="A1:Q121"/>
  <sheetViews>
    <sheetView tabSelected="1" zoomScale="80" zoomScaleNormal="80" workbookViewId="0">
      <selection activeCell="O71" sqref="O71"/>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 min="14" max="14" width="15" customWidth="1"/>
    <col min="15" max="15" width="15.28515625" bestFit="1" customWidth="1"/>
    <col min="16" max="16" width="15.140625" customWidth="1"/>
    <col min="17" max="17" width="20.28515625" customWidth="1"/>
    <col min="18" max="16384" width="11.42578125" style="92"/>
  </cols>
  <sheetData>
    <row r="1" spans="1:17" ht="54.95" customHeight="1" thickBot="1"/>
    <row r="2" spans="1:17" ht="177" customHeight="1" thickBot="1">
      <c r="F2" s="12" t="s">
        <v>1</v>
      </c>
    </row>
    <row r="3" spans="1:17" ht="16.5" thickBot="1">
      <c r="F3" s="13" t="s">
        <v>2</v>
      </c>
    </row>
    <row r="4" spans="1:17" ht="16.5" thickBot="1">
      <c r="F4" s="87" t="s">
        <v>86</v>
      </c>
      <c r="G4" s="88" t="s">
        <v>84</v>
      </c>
    </row>
    <row r="5" spans="1:17" ht="87.75" customHeight="1">
      <c r="A5" s="15" t="s">
        <v>152</v>
      </c>
      <c r="B5" s="16"/>
      <c r="C5" s="17"/>
      <c r="D5" s="17"/>
      <c r="E5" s="18"/>
      <c r="F5" s="19" t="s">
        <v>73</v>
      </c>
      <c r="G5" s="20" t="s">
        <v>17</v>
      </c>
      <c r="H5" s="20" t="s">
        <v>17</v>
      </c>
      <c r="I5" s="20" t="s">
        <v>17</v>
      </c>
      <c r="J5" s="20" t="s">
        <v>17</v>
      </c>
      <c r="K5" s="21" t="s">
        <v>19</v>
      </c>
      <c r="L5" s="21" t="s">
        <v>18</v>
      </c>
      <c r="M5" s="21" t="s">
        <v>20</v>
      </c>
      <c r="N5" s="21" t="s">
        <v>21</v>
      </c>
      <c r="O5" s="21" t="s">
        <v>22</v>
      </c>
      <c r="P5" s="21" t="s">
        <v>23</v>
      </c>
      <c r="Q5" s="21" t="s">
        <v>24</v>
      </c>
    </row>
    <row r="6" spans="1:17" ht="98.25" hidden="1" customHeight="1">
      <c r="A6" s="22" t="s">
        <v>153</v>
      </c>
      <c r="B6" s="23"/>
      <c r="C6" s="24"/>
      <c r="D6" s="25" t="s">
        <v>155</v>
      </c>
      <c r="E6" s="26" t="s">
        <v>154</v>
      </c>
      <c r="F6" s="27"/>
      <c r="G6" s="28" t="str">
        <f>SUBSTITUTE(CONCATENATE("IFRS8-InfoSegmOper_",TRIM(G5),"_",COLUMN(G6),"|",G5)," ","")</f>
        <v>IFRS8-InfoSegmOper_Agregarcolumnaopcional_7|Agregarcolumnaopcional</v>
      </c>
      <c r="H6" s="28" t="str">
        <f>SUBSTITUTE(CONCATENATE("IFRS8-InfoSegmOper_",TRIM(H5),"_",COLUMN(H6),"|",H5)," ","")</f>
        <v>IFRS8-InfoSegmOper_Agregarcolumnaopcional_8|Agregarcolumnaopcional</v>
      </c>
      <c r="I6" s="28" t="str">
        <f>SUBSTITUTE(CONCATENATE("IFRS8-InfoSegmOper_",TRIM(I5),"_",COLUMN(I6),"|",I5)," ","")</f>
        <v>IFRS8-InfoSegmOper_Agregarcolumnaopcional_9|Agregarcolumnaopcional</v>
      </c>
      <c r="J6" s="28" t="str">
        <f>SUBSTITUTE(CONCATENATE("IFRS8-InfoSegmOper_",TRIM(J5),"_",COLUMN(J6),"|",J5)," ","")</f>
        <v>IFRS8-InfoSegmOper_Agregarcolumnaopcional_10|Agregarcolumnaopcional</v>
      </c>
      <c r="K6" s="29" t="s">
        <v>105</v>
      </c>
      <c r="L6" s="29" t="s">
        <v>106</v>
      </c>
      <c r="M6" s="29" t="s">
        <v>107</v>
      </c>
      <c r="N6" s="29" t="s">
        <v>108</v>
      </c>
      <c r="O6" s="29" t="s">
        <v>109</v>
      </c>
      <c r="P6" s="29" t="s">
        <v>110</v>
      </c>
      <c r="Q6" s="29" t="s">
        <v>147</v>
      </c>
    </row>
    <row r="7" spans="1:17" ht="13.5" customHeight="1">
      <c r="A7" s="30"/>
      <c r="B7" s="31"/>
      <c r="C7" s="32"/>
      <c r="D7" s="33"/>
      <c r="E7" s="34"/>
      <c r="F7" s="35"/>
      <c r="G7" s="36"/>
      <c r="H7" s="36"/>
      <c r="I7" s="36"/>
      <c r="J7" s="36"/>
      <c r="K7" s="34"/>
      <c r="L7" s="34"/>
      <c r="M7" s="34"/>
      <c r="N7" s="34"/>
      <c r="O7" s="34"/>
      <c r="P7" s="34"/>
      <c r="Q7" s="37"/>
    </row>
    <row r="8" spans="1:17">
      <c r="A8" s="30"/>
      <c r="B8" s="38"/>
      <c r="C8" s="39"/>
      <c r="D8" s="40"/>
      <c r="E8" s="41"/>
      <c r="F8" s="42"/>
      <c r="G8" s="43"/>
      <c r="H8" s="43"/>
      <c r="I8" s="43"/>
      <c r="J8" s="43"/>
      <c r="K8" s="39"/>
      <c r="L8" s="39"/>
      <c r="M8" s="39"/>
      <c r="N8" s="39"/>
      <c r="O8" s="39"/>
      <c r="P8" s="39"/>
      <c r="Q8" s="44"/>
    </row>
    <row r="9" spans="1:17">
      <c r="A9" s="30"/>
      <c r="B9" s="38" t="s">
        <v>170</v>
      </c>
      <c r="C9" s="101" t="s">
        <v>173</v>
      </c>
      <c r="D9" s="40" t="s">
        <v>3</v>
      </c>
      <c r="E9" s="39" t="s">
        <v>0</v>
      </c>
      <c r="F9" s="100" t="s">
        <v>169</v>
      </c>
      <c r="G9" s="97" t="s">
        <v>197</v>
      </c>
      <c r="H9" s="97"/>
      <c r="I9" s="97"/>
      <c r="J9" s="97"/>
      <c r="K9" s="98"/>
      <c r="L9" s="98"/>
      <c r="M9" s="98"/>
      <c r="N9" s="98"/>
      <c r="O9" s="98"/>
      <c r="P9" s="98"/>
      <c r="Q9" s="99"/>
    </row>
    <row r="10" spans="1:17">
      <c r="A10" s="30"/>
      <c r="B10" s="38" t="s">
        <v>170</v>
      </c>
      <c r="C10" s="39" t="s">
        <v>111</v>
      </c>
      <c r="D10" s="40" t="s">
        <v>3</v>
      </c>
      <c r="E10" s="39" t="s">
        <v>0</v>
      </c>
      <c r="F10" s="45" t="s">
        <v>25</v>
      </c>
      <c r="G10" s="46"/>
      <c r="H10" s="46"/>
      <c r="I10" s="46"/>
      <c r="J10" s="46"/>
      <c r="K10" s="68">
        <f>SUM(G10:J10)</f>
        <v>0</v>
      </c>
      <c r="L10" s="47"/>
      <c r="M10" s="68">
        <f t="shared" ref="M10:M17" si="0">+K10+L10</f>
        <v>0</v>
      </c>
      <c r="N10" s="106"/>
      <c r="O10" s="107">
        <v>146210509000</v>
      </c>
      <c r="P10" s="68">
        <f t="shared" ref="P10:P17" si="1">+N10+O10</f>
        <v>146210509000</v>
      </c>
      <c r="Q10" s="89">
        <f>+M10+P10</f>
        <v>146210509000</v>
      </c>
    </row>
    <row r="11" spans="1:17" ht="22.5">
      <c r="A11" s="30"/>
      <c r="B11" s="38" t="s">
        <v>170</v>
      </c>
      <c r="C11" s="39" t="s">
        <v>148</v>
      </c>
      <c r="D11" s="40" t="s">
        <v>3</v>
      </c>
      <c r="E11" s="39" t="s">
        <v>0</v>
      </c>
      <c r="F11" s="48" t="s">
        <v>76</v>
      </c>
      <c r="G11" s="46"/>
      <c r="H11" s="46"/>
      <c r="I11" s="46"/>
      <c r="J11" s="46"/>
      <c r="K11" s="68">
        <f>SUM(G11:J11)</f>
        <v>0</v>
      </c>
      <c r="L11" s="47"/>
      <c r="M11" s="68">
        <f t="shared" ref="M11:M16" si="2">+K11+L11</f>
        <v>0</v>
      </c>
      <c r="N11" s="106"/>
      <c r="O11" s="106"/>
      <c r="P11" s="68">
        <f t="shared" si="1"/>
        <v>0</v>
      </c>
      <c r="Q11" s="68">
        <f>+M11+P11</f>
        <v>0</v>
      </c>
    </row>
    <row r="12" spans="1:17" ht="22.5">
      <c r="A12" s="30"/>
      <c r="B12" s="38" t="s">
        <v>170</v>
      </c>
      <c r="C12" s="39" t="s">
        <v>149</v>
      </c>
      <c r="D12" s="40" t="s">
        <v>3</v>
      </c>
      <c r="E12" s="39" t="s">
        <v>0</v>
      </c>
      <c r="F12" s="77" t="s">
        <v>77</v>
      </c>
      <c r="G12" s="71">
        <f>G10+G11</f>
        <v>0</v>
      </c>
      <c r="H12" s="71">
        <f t="shared" ref="H12:I12" si="3">H10+H11</f>
        <v>0</v>
      </c>
      <c r="I12" s="71">
        <f t="shared" si="3"/>
        <v>0</v>
      </c>
      <c r="J12" s="71">
        <f t="shared" ref="J12:L12" si="4">J10+J11</f>
        <v>0</v>
      </c>
      <c r="K12" s="68">
        <f t="shared" si="4"/>
        <v>0</v>
      </c>
      <c r="L12" s="68">
        <f t="shared" si="4"/>
        <v>0</v>
      </c>
      <c r="M12" s="68">
        <f t="shared" si="2"/>
        <v>0</v>
      </c>
      <c r="N12" s="108">
        <f t="shared" ref="N12:O12" si="5">N10+N11</f>
        <v>0</v>
      </c>
      <c r="O12" s="108">
        <f t="shared" si="5"/>
        <v>146210509000</v>
      </c>
      <c r="P12" s="68">
        <f t="shared" si="1"/>
        <v>146210509000</v>
      </c>
      <c r="Q12" s="68">
        <f>Q10+Q11</f>
        <v>146210509000</v>
      </c>
    </row>
    <row r="13" spans="1:17">
      <c r="A13" s="30"/>
      <c r="B13" s="38" t="s">
        <v>170</v>
      </c>
      <c r="C13" s="39" t="s">
        <v>112</v>
      </c>
      <c r="D13" s="40" t="s">
        <v>3</v>
      </c>
      <c r="E13" s="39" t="s">
        <v>0</v>
      </c>
      <c r="F13" s="48" t="s">
        <v>78</v>
      </c>
      <c r="G13" s="46"/>
      <c r="H13" s="46"/>
      <c r="I13" s="46"/>
      <c r="J13" s="46"/>
      <c r="K13" s="68">
        <f t="shared" ref="K13:K17" si="6">SUM(G13:J13)</f>
        <v>0</v>
      </c>
      <c r="L13" s="47"/>
      <c r="M13" s="68">
        <f t="shared" si="2"/>
        <v>0</v>
      </c>
      <c r="N13" s="106"/>
      <c r="O13" s="107">
        <v>33731080000</v>
      </c>
      <c r="P13" s="68">
        <f t="shared" si="1"/>
        <v>33731080000</v>
      </c>
      <c r="Q13" s="89">
        <f>+M13+P13</f>
        <v>33731080000</v>
      </c>
    </row>
    <row r="14" spans="1:17">
      <c r="A14" s="30"/>
      <c r="B14" s="38" t="s">
        <v>170</v>
      </c>
      <c r="C14" s="39" t="s">
        <v>113</v>
      </c>
      <c r="D14" s="40" t="s">
        <v>3</v>
      </c>
      <c r="E14" s="39" t="s">
        <v>0</v>
      </c>
      <c r="F14" s="48" t="s">
        <v>79</v>
      </c>
      <c r="G14" s="46"/>
      <c r="H14" s="46"/>
      <c r="I14" s="46"/>
      <c r="J14" s="46"/>
      <c r="K14" s="68">
        <f t="shared" si="6"/>
        <v>0</v>
      </c>
      <c r="L14" s="47"/>
      <c r="M14" s="68">
        <f t="shared" si="2"/>
        <v>0</v>
      </c>
      <c r="N14" s="106"/>
      <c r="O14" s="107"/>
      <c r="P14" s="68">
        <f>+N14+O14</f>
        <v>0</v>
      </c>
      <c r="Q14" s="89">
        <f>+M14+P14</f>
        <v>0</v>
      </c>
    </row>
    <row r="15" spans="1:17">
      <c r="A15" s="30"/>
      <c r="B15" s="38" t="s">
        <v>170</v>
      </c>
      <c r="C15" s="39" t="s">
        <v>114</v>
      </c>
      <c r="D15" s="40" t="s">
        <v>3</v>
      </c>
      <c r="E15" s="39" t="s">
        <v>0</v>
      </c>
      <c r="F15" s="48" t="s">
        <v>80</v>
      </c>
      <c r="G15" s="46"/>
      <c r="H15" s="46"/>
      <c r="I15" s="46"/>
      <c r="J15" s="46"/>
      <c r="K15" s="68">
        <f t="shared" si="6"/>
        <v>0</v>
      </c>
      <c r="L15" s="47"/>
      <c r="M15" s="68">
        <f t="shared" si="2"/>
        <v>0</v>
      </c>
      <c r="N15" s="106"/>
      <c r="O15" s="107">
        <v>14955558000</v>
      </c>
      <c r="P15" s="68">
        <f t="shared" si="1"/>
        <v>14955558000</v>
      </c>
      <c r="Q15" s="89">
        <f>+M15+P15</f>
        <v>14955558000</v>
      </c>
    </row>
    <row r="16" spans="1:17">
      <c r="A16" s="30"/>
      <c r="B16" s="38" t="s">
        <v>170</v>
      </c>
      <c r="C16" s="39" t="s">
        <v>115</v>
      </c>
      <c r="D16" s="40" t="s">
        <v>3</v>
      </c>
      <c r="E16" s="39" t="s">
        <v>0</v>
      </c>
      <c r="F16" s="48" t="s">
        <v>81</v>
      </c>
      <c r="G16" s="46"/>
      <c r="H16" s="46"/>
      <c r="I16" s="46"/>
      <c r="J16" s="46"/>
      <c r="K16" s="68">
        <f t="shared" si="6"/>
        <v>0</v>
      </c>
      <c r="L16" s="47"/>
      <c r="M16" s="68">
        <f t="shared" si="2"/>
        <v>0</v>
      </c>
      <c r="N16" s="106"/>
      <c r="O16" s="107"/>
      <c r="P16" s="68">
        <f t="shared" si="1"/>
        <v>0</v>
      </c>
      <c r="Q16" s="89">
        <f t="shared" ref="Q16:Q17" si="7">+M16+P16</f>
        <v>0</v>
      </c>
    </row>
    <row r="17" spans="1:17">
      <c r="A17" s="30"/>
      <c r="B17" s="38" t="s">
        <v>170</v>
      </c>
      <c r="C17" s="39" t="s">
        <v>116</v>
      </c>
      <c r="D17" s="40" t="s">
        <v>3</v>
      </c>
      <c r="E17" s="39" t="s">
        <v>0</v>
      </c>
      <c r="F17" s="48" t="s">
        <v>82</v>
      </c>
      <c r="G17" s="46"/>
      <c r="H17" s="46"/>
      <c r="I17" s="46"/>
      <c r="J17" s="46"/>
      <c r="K17" s="68">
        <f t="shared" si="6"/>
        <v>0</v>
      </c>
      <c r="L17" s="47"/>
      <c r="M17" s="68">
        <f t="shared" si="0"/>
        <v>0</v>
      </c>
      <c r="N17" s="106"/>
      <c r="O17" s="106">
        <v>18653551000</v>
      </c>
      <c r="P17" s="68">
        <f t="shared" si="1"/>
        <v>18653551000</v>
      </c>
      <c r="Q17" s="89">
        <f t="shared" si="7"/>
        <v>18653551000</v>
      </c>
    </row>
    <row r="18" spans="1:17">
      <c r="B18" s="38" t="s">
        <v>170</v>
      </c>
      <c r="C18" s="39" t="s">
        <v>162</v>
      </c>
      <c r="D18" s="40" t="s">
        <v>3</v>
      </c>
      <c r="E18" s="39" t="s">
        <v>0</v>
      </c>
      <c r="F18" s="45" t="s">
        <v>26</v>
      </c>
      <c r="G18" s="69"/>
      <c r="H18" s="69"/>
      <c r="I18" s="69"/>
      <c r="J18" s="69"/>
      <c r="K18" s="70"/>
      <c r="L18" s="70"/>
      <c r="M18" s="70"/>
      <c r="N18" s="109"/>
      <c r="O18" s="109"/>
      <c r="P18" s="70"/>
      <c r="Q18" s="70"/>
    </row>
    <row r="19" spans="1:17">
      <c r="B19" s="38" t="s">
        <v>170</v>
      </c>
      <c r="C19" s="39" t="s">
        <v>117</v>
      </c>
      <c r="D19" s="40" t="s">
        <v>3</v>
      </c>
      <c r="E19" s="39" t="s">
        <v>0</v>
      </c>
      <c r="F19" s="45" t="s">
        <v>27</v>
      </c>
      <c r="G19" s="46"/>
      <c r="H19" s="46"/>
      <c r="I19" s="46"/>
      <c r="J19" s="46"/>
      <c r="K19" s="68">
        <f>SUM(G19:J19)</f>
        <v>0</v>
      </c>
      <c r="L19" s="47"/>
      <c r="M19" s="68">
        <f t="shared" ref="M19:M41" si="8">+K19+L19</f>
        <v>0</v>
      </c>
      <c r="N19" s="106"/>
      <c r="O19" s="106">
        <v>-30189637000</v>
      </c>
      <c r="P19" s="68">
        <f t="shared" ref="P19:P41" si="9">+N19+O19</f>
        <v>-30189637000</v>
      </c>
      <c r="Q19" s="68">
        <f t="shared" ref="Q19:Q41" si="10">+M19+P19</f>
        <v>-30189637000</v>
      </c>
    </row>
    <row r="20" spans="1:17">
      <c r="B20" s="38" t="s">
        <v>170</v>
      </c>
      <c r="C20" s="39" t="s">
        <v>118</v>
      </c>
      <c r="D20" s="40" t="s">
        <v>3</v>
      </c>
      <c r="E20" s="39" t="s">
        <v>0</v>
      </c>
      <c r="F20" s="45" t="s">
        <v>28</v>
      </c>
      <c r="G20" s="46"/>
      <c r="H20" s="46"/>
      <c r="I20" s="46"/>
      <c r="J20" s="46"/>
      <c r="K20" s="68">
        <f t="shared" ref="K20:K41" si="11">SUM(G20:J20)</f>
        <v>0</v>
      </c>
      <c r="L20" s="47"/>
      <c r="M20" s="68">
        <f>+K20+L20</f>
        <v>0</v>
      </c>
      <c r="N20" s="106"/>
      <c r="O20" s="106">
        <v>1000</v>
      </c>
      <c r="P20" s="68">
        <f>+N20+O20</f>
        <v>1000</v>
      </c>
      <c r="Q20" s="68">
        <f>+M20+P20</f>
        <v>1000</v>
      </c>
    </row>
    <row r="21" spans="1:17">
      <c r="B21" s="38" t="s">
        <v>170</v>
      </c>
      <c r="C21" s="39" t="s">
        <v>119</v>
      </c>
      <c r="D21" s="40" t="s">
        <v>3</v>
      </c>
      <c r="E21" s="39" t="s">
        <v>0</v>
      </c>
      <c r="F21" s="45" t="s">
        <v>29</v>
      </c>
      <c r="G21" s="46"/>
      <c r="H21" s="46"/>
      <c r="I21" s="46"/>
      <c r="J21" s="46"/>
      <c r="K21" s="68">
        <f t="shared" si="11"/>
        <v>0</v>
      </c>
      <c r="L21" s="47"/>
      <c r="M21" s="68">
        <f>+K21+L21</f>
        <v>0</v>
      </c>
      <c r="N21" s="106"/>
      <c r="O21" s="106">
        <v>3003213000</v>
      </c>
      <c r="P21" s="68">
        <f t="shared" si="9"/>
        <v>3003213000</v>
      </c>
      <c r="Q21" s="89">
        <f>+M21+P21</f>
        <v>3003213000</v>
      </c>
    </row>
    <row r="22" spans="1:17" ht="22.5">
      <c r="B22" s="38" t="s">
        <v>170</v>
      </c>
      <c r="C22" s="39" t="s">
        <v>150</v>
      </c>
      <c r="D22" s="40" t="s">
        <v>3</v>
      </c>
      <c r="E22" s="39" t="s">
        <v>0</v>
      </c>
      <c r="F22" s="48" t="s">
        <v>30</v>
      </c>
      <c r="G22" s="46"/>
      <c r="H22" s="46"/>
      <c r="I22" s="46"/>
      <c r="J22" s="46"/>
      <c r="K22" s="68">
        <f>SUM(G22:J22)</f>
        <v>0</v>
      </c>
      <c r="L22" s="47"/>
      <c r="M22" s="68">
        <f t="shared" si="8"/>
        <v>0</v>
      </c>
      <c r="N22" s="106"/>
      <c r="O22" s="106"/>
      <c r="P22" s="68">
        <f t="shared" si="9"/>
        <v>0</v>
      </c>
      <c r="Q22" s="68">
        <f>+M22+P22</f>
        <v>0</v>
      </c>
    </row>
    <row r="23" spans="1:17">
      <c r="B23" s="38" t="s">
        <v>170</v>
      </c>
      <c r="C23" s="39" t="s">
        <v>120</v>
      </c>
      <c r="D23" s="40" t="s">
        <v>3</v>
      </c>
      <c r="E23" s="39" t="s">
        <v>0</v>
      </c>
      <c r="F23" s="45" t="s">
        <v>31</v>
      </c>
      <c r="G23" s="46"/>
      <c r="H23" s="46"/>
      <c r="I23" s="46"/>
      <c r="J23" s="46"/>
      <c r="K23" s="68">
        <f t="shared" si="11"/>
        <v>0</v>
      </c>
      <c r="L23" s="47"/>
      <c r="M23" s="68">
        <f t="shared" si="8"/>
        <v>0</v>
      </c>
      <c r="N23" s="106"/>
      <c r="O23" s="107">
        <v>18083655000</v>
      </c>
      <c r="P23" s="68">
        <f t="shared" si="9"/>
        <v>18083655000</v>
      </c>
      <c r="Q23" s="91">
        <f t="shared" si="10"/>
        <v>18083655000</v>
      </c>
    </row>
    <row r="24" spans="1:17">
      <c r="B24" s="38" t="s">
        <v>170</v>
      </c>
      <c r="C24" s="39" t="s">
        <v>121</v>
      </c>
      <c r="D24" s="40" t="s">
        <v>3</v>
      </c>
      <c r="E24" s="39" t="s">
        <v>0</v>
      </c>
      <c r="F24" s="45" t="s">
        <v>32</v>
      </c>
      <c r="G24" s="46"/>
      <c r="H24" s="46"/>
      <c r="I24" s="46"/>
      <c r="J24" s="46"/>
      <c r="K24" s="68">
        <f>SUM(G24:J24)</f>
        <v>0</v>
      </c>
      <c r="L24" s="47"/>
      <c r="M24" s="68">
        <f t="shared" si="8"/>
        <v>0</v>
      </c>
      <c r="N24" s="106"/>
      <c r="O24" s="107"/>
      <c r="P24" s="68">
        <f t="shared" si="9"/>
        <v>0</v>
      </c>
      <c r="Q24" s="68">
        <f t="shared" si="10"/>
        <v>0</v>
      </c>
    </row>
    <row r="25" spans="1:17">
      <c r="B25" s="38" t="s">
        <v>170</v>
      </c>
      <c r="C25" s="39" t="s">
        <v>122</v>
      </c>
      <c r="D25" s="40" t="s">
        <v>3</v>
      </c>
      <c r="E25" s="39" t="s">
        <v>0</v>
      </c>
      <c r="F25" s="45" t="s">
        <v>33</v>
      </c>
      <c r="G25" s="46"/>
      <c r="H25" s="46"/>
      <c r="I25" s="46"/>
      <c r="J25" s="46"/>
      <c r="K25" s="68">
        <f>SUM(G25:J25)</f>
        <v>0</v>
      </c>
      <c r="L25" s="47"/>
      <c r="M25" s="68">
        <f>+K25+L25</f>
        <v>0</v>
      </c>
      <c r="N25" s="106"/>
      <c r="O25" s="107">
        <v>71750587000</v>
      </c>
      <c r="P25" s="68">
        <f t="shared" si="9"/>
        <v>71750587000</v>
      </c>
      <c r="Q25" s="93">
        <f>+M25+P25</f>
        <v>71750587000</v>
      </c>
    </row>
    <row r="26" spans="1:17">
      <c r="B26" s="38" t="s">
        <v>170</v>
      </c>
      <c r="C26" s="39" t="s">
        <v>123</v>
      </c>
      <c r="D26" s="40" t="s">
        <v>3</v>
      </c>
      <c r="E26" s="39" t="s">
        <v>0</v>
      </c>
      <c r="F26" s="42" t="s">
        <v>34</v>
      </c>
      <c r="G26" s="71">
        <f>+G25-G23</f>
        <v>0</v>
      </c>
      <c r="H26" s="71">
        <f t="shared" ref="H26:I26" si="12">+H25-H23</f>
        <v>0</v>
      </c>
      <c r="I26" s="71">
        <f t="shared" si="12"/>
        <v>0</v>
      </c>
      <c r="J26" s="71">
        <f t="shared" ref="J26:O26" si="13">+J25-J23</f>
        <v>0</v>
      </c>
      <c r="K26" s="68">
        <f t="shared" si="13"/>
        <v>0</v>
      </c>
      <c r="L26" s="68">
        <f t="shared" si="13"/>
        <v>0</v>
      </c>
      <c r="M26" s="68">
        <f t="shared" si="13"/>
        <v>0</v>
      </c>
      <c r="N26" s="108">
        <f t="shared" si="13"/>
        <v>0</v>
      </c>
      <c r="O26" s="108">
        <f t="shared" si="13"/>
        <v>53666932000</v>
      </c>
      <c r="P26" s="68">
        <f>+P25-P23</f>
        <v>53666932000</v>
      </c>
      <c r="Q26" s="89">
        <f>+Q25-Q23</f>
        <v>53666932000</v>
      </c>
    </row>
    <row r="27" spans="1:17">
      <c r="B27" s="38" t="s">
        <v>170</v>
      </c>
      <c r="C27" s="39" t="s">
        <v>124</v>
      </c>
      <c r="D27" s="40" t="s">
        <v>3</v>
      </c>
      <c r="E27" s="39" t="s">
        <v>0</v>
      </c>
      <c r="F27" s="45" t="s">
        <v>35</v>
      </c>
      <c r="G27" s="46"/>
      <c r="H27" s="46"/>
      <c r="I27" s="46"/>
      <c r="J27" s="46"/>
      <c r="K27" s="68">
        <f t="shared" si="11"/>
        <v>0</v>
      </c>
      <c r="L27" s="47"/>
      <c r="M27" s="68">
        <f t="shared" si="8"/>
        <v>0</v>
      </c>
      <c r="N27" s="106"/>
      <c r="O27" s="107">
        <v>18083655000</v>
      </c>
      <c r="P27" s="68">
        <f>+N27+O27</f>
        <v>18083655000</v>
      </c>
      <c r="Q27" s="89">
        <f>+M27+P27</f>
        <v>18083655000</v>
      </c>
    </row>
    <row r="28" spans="1:17">
      <c r="B28" s="38" t="s">
        <v>170</v>
      </c>
      <c r="C28" s="39" t="s">
        <v>125</v>
      </c>
      <c r="D28" s="40" t="s">
        <v>3</v>
      </c>
      <c r="E28" s="39" t="s">
        <v>0</v>
      </c>
      <c r="F28" s="42" t="s">
        <v>36</v>
      </c>
      <c r="G28" s="71">
        <f>+G26+G27</f>
        <v>0</v>
      </c>
      <c r="H28" s="71">
        <f t="shared" ref="H28:I28" si="14">+H26+H27</f>
        <v>0</v>
      </c>
      <c r="I28" s="71">
        <f t="shared" si="14"/>
        <v>0</v>
      </c>
      <c r="J28" s="71">
        <f t="shared" ref="J28:O28" si="15">+J26+J27</f>
        <v>0</v>
      </c>
      <c r="K28" s="68">
        <f t="shared" si="15"/>
        <v>0</v>
      </c>
      <c r="L28" s="68">
        <f t="shared" si="15"/>
        <v>0</v>
      </c>
      <c r="M28" s="68">
        <f t="shared" si="15"/>
        <v>0</v>
      </c>
      <c r="N28" s="108">
        <f t="shared" si="15"/>
        <v>0</v>
      </c>
      <c r="O28" s="108">
        <f t="shared" si="15"/>
        <v>71750587000</v>
      </c>
      <c r="P28" s="68">
        <f>+P26+P27</f>
        <v>71750587000</v>
      </c>
      <c r="Q28" s="90">
        <f>+Q26+Q27</f>
        <v>71750587000</v>
      </c>
    </row>
    <row r="29" spans="1:17">
      <c r="B29" s="38" t="s">
        <v>170</v>
      </c>
      <c r="C29" s="39" t="s">
        <v>126</v>
      </c>
      <c r="D29" s="40" t="s">
        <v>3</v>
      </c>
      <c r="E29" s="39" t="s">
        <v>0</v>
      </c>
      <c r="F29" s="45" t="s">
        <v>37</v>
      </c>
      <c r="G29" s="46"/>
      <c r="H29" s="46"/>
      <c r="I29" s="46"/>
      <c r="J29" s="46"/>
      <c r="K29" s="68">
        <f t="shared" si="11"/>
        <v>0</v>
      </c>
      <c r="L29" s="47"/>
      <c r="M29" s="68">
        <f t="shared" si="8"/>
        <v>0</v>
      </c>
      <c r="N29" s="106"/>
      <c r="O29" s="106">
        <v>1690100145000</v>
      </c>
      <c r="P29" s="68">
        <f>+N29+O29</f>
        <v>1690100145000</v>
      </c>
      <c r="Q29" s="91">
        <f>+M29+P29</f>
        <v>1690100145000</v>
      </c>
    </row>
    <row r="30" spans="1:17">
      <c r="B30" s="38" t="s">
        <v>170</v>
      </c>
      <c r="C30" s="39" t="s">
        <v>151</v>
      </c>
      <c r="D30" s="81" t="s">
        <v>3</v>
      </c>
      <c r="E30" s="39" t="s">
        <v>0</v>
      </c>
      <c r="F30" s="45" t="s">
        <v>38</v>
      </c>
      <c r="G30" s="46"/>
      <c r="H30" s="46"/>
      <c r="I30" s="46"/>
      <c r="J30" s="46"/>
      <c r="K30" s="68">
        <f t="shared" si="11"/>
        <v>0</v>
      </c>
      <c r="L30" s="47"/>
      <c r="M30" s="68">
        <f t="shared" si="8"/>
        <v>0</v>
      </c>
      <c r="N30" s="106"/>
      <c r="O30" s="106"/>
      <c r="P30" s="68">
        <f>+N30+O30</f>
        <v>0</v>
      </c>
      <c r="Q30" s="68">
        <f>+M30+P30</f>
        <v>0</v>
      </c>
    </row>
    <row r="31" spans="1:17" ht="34.5" customHeight="1">
      <c r="B31" s="38" t="s">
        <v>170</v>
      </c>
      <c r="C31" s="39" t="s">
        <v>127</v>
      </c>
      <c r="D31" s="81" t="s">
        <v>3</v>
      </c>
      <c r="E31" s="39" t="s">
        <v>0</v>
      </c>
      <c r="F31" s="48" t="s">
        <v>39</v>
      </c>
      <c r="G31" s="46"/>
      <c r="H31" s="46"/>
      <c r="I31" s="46"/>
      <c r="J31" s="46"/>
      <c r="K31" s="68">
        <f t="shared" si="11"/>
        <v>0</v>
      </c>
      <c r="L31" s="47"/>
      <c r="M31" s="68">
        <f t="shared" si="8"/>
        <v>0</v>
      </c>
      <c r="N31" s="106"/>
      <c r="O31" s="106"/>
      <c r="P31" s="68">
        <f>+N31+O31</f>
        <v>0</v>
      </c>
      <c r="Q31" s="68">
        <f t="shared" si="10"/>
        <v>0</v>
      </c>
    </row>
    <row r="32" spans="1:17">
      <c r="B32" s="38" t="s">
        <v>170</v>
      </c>
      <c r="C32" s="39" t="s">
        <v>128</v>
      </c>
      <c r="D32" s="81" t="s">
        <v>3</v>
      </c>
      <c r="E32" s="39" t="s">
        <v>0</v>
      </c>
      <c r="F32" s="45" t="s">
        <v>40</v>
      </c>
      <c r="G32" s="46"/>
      <c r="H32" s="46"/>
      <c r="I32" s="46"/>
      <c r="J32" s="46"/>
      <c r="K32" s="68">
        <f t="shared" si="11"/>
        <v>0</v>
      </c>
      <c r="L32" s="47"/>
      <c r="M32" s="68">
        <f t="shared" si="8"/>
        <v>0</v>
      </c>
      <c r="N32" s="106"/>
      <c r="O32" s="106">
        <v>895535830000</v>
      </c>
      <c r="P32" s="68">
        <f>+N32+O32</f>
        <v>895535830000</v>
      </c>
      <c r="Q32" s="91">
        <f t="shared" si="10"/>
        <v>895535830000</v>
      </c>
    </row>
    <row r="33" spans="1:17">
      <c r="B33" s="38" t="s">
        <v>170</v>
      </c>
      <c r="C33" s="72" t="s">
        <v>129</v>
      </c>
      <c r="D33" s="82" t="s">
        <v>3</v>
      </c>
      <c r="E33" s="73"/>
      <c r="F33" s="74" t="s">
        <v>69</v>
      </c>
      <c r="G33" s="69"/>
      <c r="H33" s="69"/>
      <c r="I33" s="69"/>
      <c r="J33" s="69"/>
      <c r="K33" s="70"/>
      <c r="L33" s="70"/>
      <c r="M33" s="70"/>
      <c r="N33" s="109"/>
      <c r="O33" s="109"/>
      <c r="P33" s="70"/>
      <c r="Q33" s="106">
        <f>O29-O32</f>
        <v>794564315000</v>
      </c>
    </row>
    <row r="34" spans="1:17">
      <c r="B34" s="38" t="s">
        <v>170</v>
      </c>
      <c r="C34" s="72" t="s">
        <v>130</v>
      </c>
      <c r="D34" s="82" t="s">
        <v>3</v>
      </c>
      <c r="E34" s="73" t="s">
        <v>0</v>
      </c>
      <c r="F34" s="75" t="s">
        <v>70</v>
      </c>
      <c r="G34" s="69"/>
      <c r="H34" s="69"/>
      <c r="I34" s="69"/>
      <c r="J34" s="69"/>
      <c r="K34" s="70"/>
      <c r="L34" s="70"/>
      <c r="M34" s="70"/>
      <c r="N34" s="109"/>
      <c r="O34" s="109"/>
      <c r="P34" s="70"/>
      <c r="Q34" s="68">
        <f>+Q32+Q33</f>
        <v>1690100145000</v>
      </c>
    </row>
    <row r="35" spans="1:17">
      <c r="B35" s="38" t="s">
        <v>170</v>
      </c>
      <c r="C35" s="39" t="s">
        <v>131</v>
      </c>
      <c r="D35" s="81" t="s">
        <v>3</v>
      </c>
      <c r="E35" s="39" t="s">
        <v>0</v>
      </c>
      <c r="F35" s="48" t="s">
        <v>41</v>
      </c>
      <c r="G35" s="46"/>
      <c r="H35" s="46"/>
      <c r="I35" s="46"/>
      <c r="J35" s="46"/>
      <c r="K35" s="68">
        <f t="shared" si="11"/>
        <v>0</v>
      </c>
      <c r="L35" s="47"/>
      <c r="M35" s="68">
        <f t="shared" si="8"/>
        <v>0</v>
      </c>
      <c r="N35" s="106">
        <v>200028000</v>
      </c>
      <c r="O35" s="106"/>
      <c r="P35" s="68">
        <f t="shared" si="9"/>
        <v>200028000</v>
      </c>
      <c r="Q35" s="68">
        <f t="shared" si="10"/>
        <v>200028000</v>
      </c>
    </row>
    <row r="36" spans="1:17" ht="22.5">
      <c r="B36" s="38" t="s">
        <v>170</v>
      </c>
      <c r="C36" s="39" t="s">
        <v>132</v>
      </c>
      <c r="D36" s="81" t="s">
        <v>3</v>
      </c>
      <c r="E36" s="39" t="s">
        <v>0</v>
      </c>
      <c r="F36" s="48" t="s">
        <v>42</v>
      </c>
      <c r="G36" s="46"/>
      <c r="H36" s="46"/>
      <c r="I36" s="46"/>
      <c r="J36" s="46"/>
      <c r="K36" s="68">
        <f t="shared" si="11"/>
        <v>0</v>
      </c>
      <c r="L36" s="47"/>
      <c r="M36" s="68">
        <f t="shared" si="8"/>
        <v>0</v>
      </c>
      <c r="N36" s="110">
        <v>-1000</v>
      </c>
      <c r="O36" s="106"/>
      <c r="P36" s="68">
        <f>+N36+O36</f>
        <v>-1000</v>
      </c>
      <c r="Q36" s="68">
        <f>+M36+P36</f>
        <v>-1000</v>
      </c>
    </row>
    <row r="37" spans="1:17">
      <c r="B37" s="38" t="s">
        <v>170</v>
      </c>
      <c r="C37" s="39" t="s">
        <v>133</v>
      </c>
      <c r="D37" s="81" t="s">
        <v>3</v>
      </c>
      <c r="E37" s="39" t="s">
        <v>0</v>
      </c>
      <c r="F37" s="48" t="s">
        <v>43</v>
      </c>
      <c r="G37" s="46"/>
      <c r="H37" s="46"/>
      <c r="I37" s="46"/>
      <c r="J37" s="46"/>
      <c r="K37" s="68">
        <f t="shared" si="11"/>
        <v>0</v>
      </c>
      <c r="L37" s="47"/>
      <c r="M37" s="68">
        <f t="shared" si="8"/>
        <v>0</v>
      </c>
      <c r="N37" s="106">
        <v>842684000</v>
      </c>
      <c r="O37" s="106"/>
      <c r="P37" s="68">
        <f>+N37+O37</f>
        <v>842684000</v>
      </c>
      <c r="Q37" s="68">
        <f t="shared" si="10"/>
        <v>842684000</v>
      </c>
    </row>
    <row r="38" spans="1:17" ht="22.5">
      <c r="B38" s="38" t="s">
        <v>170</v>
      </c>
      <c r="C38" s="39" t="s">
        <v>134</v>
      </c>
      <c r="D38" s="81" t="s">
        <v>3</v>
      </c>
      <c r="E38" s="39" t="s">
        <v>0</v>
      </c>
      <c r="F38" s="48" t="s">
        <v>44</v>
      </c>
      <c r="G38" s="46"/>
      <c r="H38" s="46"/>
      <c r="I38" s="46"/>
      <c r="J38" s="46"/>
      <c r="K38" s="68">
        <f t="shared" si="11"/>
        <v>0</v>
      </c>
      <c r="L38" s="47"/>
      <c r="M38" s="68">
        <f t="shared" si="8"/>
        <v>0</v>
      </c>
      <c r="N38" s="106">
        <v>9000</v>
      </c>
      <c r="O38" s="106"/>
      <c r="P38" s="68">
        <f t="shared" si="9"/>
        <v>9000</v>
      </c>
      <c r="Q38" s="68">
        <f>+M38+P38</f>
        <v>9000</v>
      </c>
    </row>
    <row r="39" spans="1:17">
      <c r="B39" s="38" t="s">
        <v>170</v>
      </c>
      <c r="C39" s="39" t="s">
        <v>135</v>
      </c>
      <c r="D39" s="81" t="s">
        <v>3</v>
      </c>
      <c r="E39" s="39" t="s">
        <v>0</v>
      </c>
      <c r="F39" s="48" t="s">
        <v>45</v>
      </c>
      <c r="G39" s="46"/>
      <c r="H39" s="46"/>
      <c r="I39" s="46"/>
      <c r="J39" s="46"/>
      <c r="K39" s="68">
        <f t="shared" si="11"/>
        <v>0</v>
      </c>
      <c r="L39" s="47"/>
      <c r="M39" s="68">
        <f t="shared" si="8"/>
        <v>0</v>
      </c>
      <c r="N39" s="106">
        <v>76428216000</v>
      </c>
      <c r="O39" s="106"/>
      <c r="P39" s="68">
        <f>+N39+O39</f>
        <v>76428216000</v>
      </c>
      <c r="Q39" s="89">
        <f t="shared" si="10"/>
        <v>76428216000</v>
      </c>
    </row>
    <row r="40" spans="1:17">
      <c r="B40" s="38" t="s">
        <v>170</v>
      </c>
      <c r="C40" s="39" t="s">
        <v>136</v>
      </c>
      <c r="D40" s="81" t="s">
        <v>3</v>
      </c>
      <c r="E40" s="39" t="s">
        <v>0</v>
      </c>
      <c r="F40" s="48" t="s">
        <v>46</v>
      </c>
      <c r="G40" s="46"/>
      <c r="H40" s="46"/>
      <c r="I40" s="46"/>
      <c r="J40" s="46"/>
      <c r="K40" s="68">
        <f t="shared" si="11"/>
        <v>0</v>
      </c>
      <c r="L40" s="47"/>
      <c r="M40" s="68">
        <f t="shared" si="8"/>
        <v>0</v>
      </c>
      <c r="N40" s="106">
        <v>-239366196000</v>
      </c>
      <c r="O40" s="106"/>
      <c r="P40" s="68">
        <f>+N40+O40</f>
        <v>-239366196000</v>
      </c>
      <c r="Q40" s="89">
        <f>+M40+P40</f>
        <v>-239366196000</v>
      </c>
    </row>
    <row r="41" spans="1:17">
      <c r="B41" s="38" t="s">
        <v>170</v>
      </c>
      <c r="C41" s="39" t="s">
        <v>137</v>
      </c>
      <c r="D41" s="81" t="s">
        <v>3</v>
      </c>
      <c r="E41" s="39" t="s">
        <v>0</v>
      </c>
      <c r="F41" s="45" t="s">
        <v>47</v>
      </c>
      <c r="G41" s="46"/>
      <c r="H41" s="46"/>
      <c r="I41" s="46"/>
      <c r="J41" s="46"/>
      <c r="K41" s="68">
        <f t="shared" si="11"/>
        <v>0</v>
      </c>
      <c r="L41" s="47"/>
      <c r="M41" s="68">
        <f t="shared" si="8"/>
        <v>0</v>
      </c>
      <c r="N41" s="106">
        <v>158105999000</v>
      </c>
      <c r="O41" s="106"/>
      <c r="P41" s="68">
        <f t="shared" si="9"/>
        <v>158105999000</v>
      </c>
      <c r="Q41" s="89">
        <f t="shared" si="10"/>
        <v>158105999000</v>
      </c>
    </row>
    <row r="42" spans="1:17">
      <c r="B42" s="38" t="s">
        <v>170</v>
      </c>
      <c r="C42" s="39" t="s">
        <v>138</v>
      </c>
      <c r="D42" s="81" t="s">
        <v>3</v>
      </c>
      <c r="E42" s="39" t="s">
        <v>0</v>
      </c>
      <c r="F42" s="45" t="s">
        <v>48</v>
      </c>
      <c r="G42" s="78"/>
      <c r="H42" s="78"/>
      <c r="I42" s="78"/>
      <c r="J42" s="78"/>
      <c r="K42" s="79"/>
      <c r="L42" s="79"/>
      <c r="M42" s="79"/>
      <c r="N42" s="79"/>
      <c r="O42" s="79"/>
      <c r="P42" s="79"/>
      <c r="Q42" s="79"/>
    </row>
    <row r="43" spans="1:17">
      <c r="B43" s="49"/>
      <c r="C43" s="50"/>
      <c r="D43" s="50"/>
      <c r="E43" s="50"/>
      <c r="F43" s="51"/>
      <c r="G43" s="52"/>
      <c r="H43" s="52"/>
      <c r="I43" s="52"/>
      <c r="J43" s="52"/>
      <c r="K43" s="53"/>
      <c r="L43" s="53"/>
      <c r="M43" s="53"/>
      <c r="N43" s="53"/>
      <c r="O43" s="53"/>
      <c r="P43" s="53"/>
      <c r="Q43" s="54"/>
    </row>
    <row r="44" spans="1:17" ht="15.75" thickBot="1"/>
    <row r="45" spans="1:17" ht="90" customHeight="1">
      <c r="A45" s="15"/>
      <c r="B45" s="16"/>
      <c r="C45" s="17"/>
      <c r="D45" s="17"/>
      <c r="E45" s="18"/>
      <c r="F45" s="19" t="s">
        <v>74</v>
      </c>
      <c r="G45" s="76" t="str">
        <f>IF(G5="Agregar columna opcional","",G5)</f>
        <v/>
      </c>
      <c r="H45" s="76" t="str">
        <f>IF(H5="Agregar columna opcional","",H5)</f>
        <v/>
      </c>
      <c r="I45" s="76" t="str">
        <f>IF(I5="Agregar columna opcional","",I5)</f>
        <v/>
      </c>
      <c r="J45" s="76" t="str">
        <f>IF(J5="Agregar columna opcional","",J5)</f>
        <v/>
      </c>
      <c r="K45" s="21" t="s">
        <v>19</v>
      </c>
      <c r="L45" s="21" t="s">
        <v>18</v>
      </c>
      <c r="M45" s="21" t="s">
        <v>20</v>
      </c>
      <c r="N45" s="21" t="s">
        <v>21</v>
      </c>
      <c r="O45" s="21" t="s">
        <v>22</v>
      </c>
      <c r="P45" s="21" t="s">
        <v>23</v>
      </c>
      <c r="Q45" s="21" t="s">
        <v>24</v>
      </c>
    </row>
    <row r="46" spans="1:17">
      <c r="A46" s="30"/>
      <c r="B46" s="31"/>
      <c r="C46" s="32"/>
      <c r="D46" s="33"/>
      <c r="E46" s="34"/>
      <c r="F46" s="55"/>
      <c r="G46" s="56"/>
      <c r="H46" s="56"/>
      <c r="I46" s="56"/>
      <c r="J46" s="56"/>
      <c r="K46" s="34"/>
      <c r="L46" s="34"/>
      <c r="M46" s="34"/>
      <c r="N46" s="34"/>
      <c r="O46" s="34"/>
      <c r="P46" s="34"/>
      <c r="Q46" s="102"/>
    </row>
    <row r="47" spans="1:17">
      <c r="A47" s="30"/>
      <c r="B47" s="38"/>
      <c r="C47" s="39"/>
      <c r="D47" s="40"/>
      <c r="E47" s="41"/>
      <c r="F47" s="42"/>
      <c r="G47" s="43"/>
      <c r="H47" s="43"/>
      <c r="I47" s="43"/>
      <c r="J47" s="43"/>
      <c r="K47" s="39"/>
      <c r="L47" s="39"/>
      <c r="M47" s="39"/>
      <c r="N47" s="39"/>
      <c r="O47" s="39"/>
      <c r="P47" s="39"/>
      <c r="Q47" s="44"/>
    </row>
    <row r="48" spans="1:17">
      <c r="A48" s="30"/>
      <c r="B48" s="38" t="s">
        <v>170</v>
      </c>
      <c r="C48" s="101" t="s">
        <v>173</v>
      </c>
      <c r="D48" s="40" t="s">
        <v>4</v>
      </c>
      <c r="E48" s="39" t="s">
        <v>0</v>
      </c>
      <c r="F48" s="100" t="s">
        <v>169</v>
      </c>
      <c r="G48" s="97" t="s">
        <v>198</v>
      </c>
      <c r="H48" s="97"/>
      <c r="I48" s="97"/>
      <c r="J48" s="97"/>
      <c r="K48" s="98"/>
      <c r="L48" s="98"/>
      <c r="M48" s="98"/>
      <c r="N48" s="98"/>
      <c r="O48" s="98"/>
      <c r="P48" s="98"/>
      <c r="Q48" s="99"/>
    </row>
    <row r="49" spans="1:17">
      <c r="A49" s="30"/>
      <c r="B49" s="38" t="s">
        <v>170</v>
      </c>
      <c r="C49" s="39" t="s">
        <v>111</v>
      </c>
      <c r="D49" s="40" t="s">
        <v>4</v>
      </c>
      <c r="E49" s="39" t="s">
        <v>0</v>
      </c>
      <c r="F49" s="45" t="s">
        <v>25</v>
      </c>
      <c r="G49" s="46"/>
      <c r="H49" s="46"/>
      <c r="I49" s="46"/>
      <c r="J49" s="46"/>
      <c r="K49" s="68">
        <f>SUM(G49:J49)</f>
        <v>0</v>
      </c>
      <c r="L49" s="47"/>
      <c r="M49" s="68">
        <f t="shared" ref="M49:M56" si="16">+K49+L49</f>
        <v>0</v>
      </c>
      <c r="N49" s="106">
        <v>125886312000</v>
      </c>
      <c r="O49" s="106"/>
      <c r="P49" s="68">
        <f t="shared" ref="P49:P52" si="17">+N49+O49</f>
        <v>125886312000</v>
      </c>
      <c r="Q49" s="89">
        <f>+M49+P49</f>
        <v>125886312000</v>
      </c>
    </row>
    <row r="50" spans="1:17" ht="22.5">
      <c r="A50" s="30"/>
      <c r="B50" s="38" t="s">
        <v>170</v>
      </c>
      <c r="C50" s="39" t="s">
        <v>148</v>
      </c>
      <c r="D50" s="40" t="s">
        <v>4</v>
      </c>
      <c r="E50" s="39" t="s">
        <v>0</v>
      </c>
      <c r="F50" s="48" t="s">
        <v>76</v>
      </c>
      <c r="G50" s="46"/>
      <c r="H50" s="46"/>
      <c r="I50" s="46"/>
      <c r="J50" s="46"/>
      <c r="K50" s="68">
        <f>SUM(G50:J50)</f>
        <v>0</v>
      </c>
      <c r="L50" s="47"/>
      <c r="M50" s="68">
        <f t="shared" si="16"/>
        <v>0</v>
      </c>
      <c r="N50" s="106"/>
      <c r="O50" s="106"/>
      <c r="P50" s="68">
        <f t="shared" si="17"/>
        <v>0</v>
      </c>
      <c r="Q50" s="68">
        <f>+M50+P50</f>
        <v>0</v>
      </c>
    </row>
    <row r="51" spans="1:17" ht="22.5">
      <c r="A51" s="30"/>
      <c r="B51" s="38" t="s">
        <v>170</v>
      </c>
      <c r="C51" s="39" t="s">
        <v>149</v>
      </c>
      <c r="D51" s="40" t="s">
        <v>4</v>
      </c>
      <c r="E51" s="39" t="s">
        <v>0</v>
      </c>
      <c r="F51" s="77" t="s">
        <v>77</v>
      </c>
      <c r="G51" s="71">
        <f>G49+G50</f>
        <v>0</v>
      </c>
      <c r="H51" s="71">
        <f t="shared" ref="H51:I51" si="18">H49+H50</f>
        <v>0</v>
      </c>
      <c r="I51" s="71">
        <f t="shared" si="18"/>
        <v>0</v>
      </c>
      <c r="J51" s="71">
        <f t="shared" ref="J51:L51" si="19">J49+J50</f>
        <v>0</v>
      </c>
      <c r="K51" s="68">
        <f t="shared" si="19"/>
        <v>0</v>
      </c>
      <c r="L51" s="68">
        <f t="shared" si="19"/>
        <v>0</v>
      </c>
      <c r="M51" s="68">
        <f t="shared" si="16"/>
        <v>0</v>
      </c>
      <c r="N51" s="108">
        <f t="shared" ref="N51:O51" si="20">N49+N50</f>
        <v>125886312000</v>
      </c>
      <c r="O51" s="108">
        <f t="shared" si="20"/>
        <v>0</v>
      </c>
      <c r="P51" s="68">
        <f t="shared" si="17"/>
        <v>125886312000</v>
      </c>
      <c r="Q51" s="68">
        <f>Q49+Q50</f>
        <v>125886312000</v>
      </c>
    </row>
    <row r="52" spans="1:17">
      <c r="A52" s="30"/>
      <c r="B52" s="38" t="s">
        <v>170</v>
      </c>
      <c r="C52" s="39" t="s">
        <v>112</v>
      </c>
      <c r="D52" s="40" t="s">
        <v>4</v>
      </c>
      <c r="E52" s="39" t="s">
        <v>0</v>
      </c>
      <c r="F52" s="48" t="s">
        <v>78</v>
      </c>
      <c r="G52" s="46"/>
      <c r="H52" s="46"/>
      <c r="I52" s="46"/>
      <c r="J52" s="46"/>
      <c r="K52" s="68">
        <f t="shared" ref="K52:K56" si="21">SUM(G52:J52)</f>
        <v>0</v>
      </c>
      <c r="L52" s="47"/>
      <c r="M52" s="68">
        <f t="shared" si="16"/>
        <v>0</v>
      </c>
      <c r="N52" s="106">
        <v>28606149000</v>
      </c>
      <c r="O52" s="106"/>
      <c r="P52" s="68">
        <f t="shared" si="17"/>
        <v>28606149000</v>
      </c>
      <c r="Q52" s="89">
        <f>+M52+P52</f>
        <v>28606149000</v>
      </c>
    </row>
    <row r="53" spans="1:17">
      <c r="A53" s="30"/>
      <c r="B53" s="38" t="s">
        <v>170</v>
      </c>
      <c r="C53" s="39" t="s">
        <v>113</v>
      </c>
      <c r="D53" s="40" t="s">
        <v>4</v>
      </c>
      <c r="E53" s="39" t="s">
        <v>0</v>
      </c>
      <c r="F53" s="48" t="s">
        <v>79</v>
      </c>
      <c r="G53" s="46"/>
      <c r="H53" s="46"/>
      <c r="I53" s="46"/>
      <c r="J53" s="46"/>
      <c r="K53" s="68">
        <f t="shared" si="21"/>
        <v>0</v>
      </c>
      <c r="L53" s="47"/>
      <c r="M53" s="68">
        <f t="shared" si="16"/>
        <v>0</v>
      </c>
      <c r="N53" s="106"/>
      <c r="O53" s="106"/>
      <c r="P53" s="68">
        <f>+N53+O53</f>
        <v>0</v>
      </c>
      <c r="Q53" s="89">
        <f>+M53+P53</f>
        <v>0</v>
      </c>
    </row>
    <row r="54" spans="1:17">
      <c r="A54" s="30"/>
      <c r="B54" s="38" t="s">
        <v>170</v>
      </c>
      <c r="C54" s="39" t="s">
        <v>114</v>
      </c>
      <c r="D54" s="40" t="s">
        <v>4</v>
      </c>
      <c r="E54" s="39" t="s">
        <v>0</v>
      </c>
      <c r="F54" s="48" t="s">
        <v>80</v>
      </c>
      <c r="G54" s="46"/>
      <c r="H54" s="46"/>
      <c r="I54" s="46"/>
      <c r="J54" s="46"/>
      <c r="K54" s="68">
        <f t="shared" si="21"/>
        <v>0</v>
      </c>
      <c r="L54" s="47"/>
      <c r="M54" s="68">
        <f t="shared" si="16"/>
        <v>0</v>
      </c>
      <c r="N54" s="106"/>
      <c r="O54" s="106">
        <v>15315325000</v>
      </c>
      <c r="P54" s="68">
        <f t="shared" ref="P54:P56" si="22">+N54+O54</f>
        <v>15315325000</v>
      </c>
      <c r="Q54" s="89">
        <f>+M54+P54</f>
        <v>15315325000</v>
      </c>
    </row>
    <row r="55" spans="1:17">
      <c r="A55" s="30"/>
      <c r="B55" s="38" t="s">
        <v>170</v>
      </c>
      <c r="C55" s="39" t="s">
        <v>115</v>
      </c>
      <c r="D55" s="40" t="s">
        <v>4</v>
      </c>
      <c r="E55" s="39" t="s">
        <v>0</v>
      </c>
      <c r="F55" s="48" t="s">
        <v>81</v>
      </c>
      <c r="G55" s="46"/>
      <c r="H55" s="46"/>
      <c r="I55" s="46"/>
      <c r="J55" s="46"/>
      <c r="K55" s="68">
        <f t="shared" si="21"/>
        <v>0</v>
      </c>
      <c r="L55" s="47"/>
      <c r="M55" s="68">
        <f t="shared" si="16"/>
        <v>0</v>
      </c>
      <c r="N55" s="106"/>
      <c r="O55" s="106"/>
      <c r="P55" s="68">
        <f t="shared" si="22"/>
        <v>0</v>
      </c>
      <c r="Q55" s="89">
        <f t="shared" ref="Q55:Q56" si="23">+M55+P55</f>
        <v>0</v>
      </c>
    </row>
    <row r="56" spans="1:17">
      <c r="A56" s="30"/>
      <c r="B56" s="38" t="s">
        <v>170</v>
      </c>
      <c r="C56" s="39" t="s">
        <v>116</v>
      </c>
      <c r="D56" s="40" t="s">
        <v>4</v>
      </c>
      <c r="E56" s="39" t="s">
        <v>0</v>
      </c>
      <c r="F56" s="48" t="s">
        <v>82</v>
      </c>
      <c r="G56" s="46"/>
      <c r="H56" s="46"/>
      <c r="I56" s="46"/>
      <c r="J56" s="46"/>
      <c r="K56" s="68">
        <f t="shared" si="21"/>
        <v>0</v>
      </c>
      <c r="L56" s="47"/>
      <c r="M56" s="68">
        <f t="shared" si="16"/>
        <v>0</v>
      </c>
      <c r="N56" s="106"/>
      <c r="O56" s="106">
        <v>16385620000</v>
      </c>
      <c r="P56" s="68">
        <f t="shared" si="22"/>
        <v>16385620000</v>
      </c>
      <c r="Q56" s="89">
        <f t="shared" si="23"/>
        <v>16385620000</v>
      </c>
    </row>
    <row r="57" spans="1:17">
      <c r="B57" s="38" t="s">
        <v>170</v>
      </c>
      <c r="C57" s="39" t="s">
        <v>162</v>
      </c>
      <c r="D57" s="40" t="s">
        <v>4</v>
      </c>
      <c r="E57" s="39" t="s">
        <v>0</v>
      </c>
      <c r="F57" s="45" t="s">
        <v>26</v>
      </c>
      <c r="G57" s="69"/>
      <c r="H57" s="69"/>
      <c r="I57" s="69"/>
      <c r="J57" s="69"/>
      <c r="K57" s="70"/>
      <c r="L57" s="70"/>
      <c r="M57" s="70"/>
      <c r="N57" s="109"/>
      <c r="O57" s="109"/>
      <c r="P57" s="70"/>
      <c r="Q57" s="70"/>
    </row>
    <row r="58" spans="1:17">
      <c r="B58" s="38" t="s">
        <v>170</v>
      </c>
      <c r="C58" s="39" t="s">
        <v>117</v>
      </c>
      <c r="D58" s="40" t="s">
        <v>4</v>
      </c>
      <c r="E58" s="39" t="s">
        <v>0</v>
      </c>
      <c r="F58" s="45" t="s">
        <v>27</v>
      </c>
      <c r="G58" s="46"/>
      <c r="H58" s="46"/>
      <c r="I58" s="46"/>
      <c r="J58" s="46"/>
      <c r="K58" s="68">
        <f>SUM(G58:J58)</f>
        <v>0</v>
      </c>
      <c r="L58" s="47"/>
      <c r="M58" s="68">
        <f t="shared" ref="M58" si="24">+K58+L58</f>
        <v>0</v>
      </c>
      <c r="N58" s="106"/>
      <c r="O58" s="106">
        <v>-25825240000</v>
      </c>
      <c r="P58" s="68">
        <f t="shared" ref="P58" si="25">+N58+O58</f>
        <v>-25825240000</v>
      </c>
      <c r="Q58" s="68">
        <f t="shared" ref="Q58" si="26">+M58+P58</f>
        <v>-25825240000</v>
      </c>
    </row>
    <row r="59" spans="1:17">
      <c r="B59" s="38" t="s">
        <v>170</v>
      </c>
      <c r="C59" s="39" t="s">
        <v>118</v>
      </c>
      <c r="D59" s="40" t="s">
        <v>4</v>
      </c>
      <c r="E59" s="39" t="s">
        <v>0</v>
      </c>
      <c r="F59" s="45" t="s">
        <v>28</v>
      </c>
      <c r="G59" s="46"/>
      <c r="H59" s="46"/>
      <c r="I59" s="46"/>
      <c r="J59" s="46"/>
      <c r="K59" s="68">
        <f t="shared" ref="K59:K60" si="27">SUM(G59:J59)</f>
        <v>0</v>
      </c>
      <c r="L59" s="47"/>
      <c r="M59" s="68">
        <f>+K59+L59</f>
        <v>0</v>
      </c>
      <c r="N59" s="106"/>
      <c r="O59" s="106">
        <v>2000</v>
      </c>
      <c r="P59" s="68">
        <f>+N59+O59</f>
        <v>2000</v>
      </c>
      <c r="Q59" s="68">
        <f>+M59+P59</f>
        <v>2000</v>
      </c>
    </row>
    <row r="60" spans="1:17">
      <c r="B60" s="38" t="s">
        <v>170</v>
      </c>
      <c r="C60" s="39" t="s">
        <v>119</v>
      </c>
      <c r="D60" s="40" t="s">
        <v>4</v>
      </c>
      <c r="E60" s="39" t="s">
        <v>0</v>
      </c>
      <c r="F60" s="45" t="s">
        <v>29</v>
      </c>
      <c r="G60" s="46"/>
      <c r="H60" s="46"/>
      <c r="I60" s="46"/>
      <c r="J60" s="46"/>
      <c r="K60" s="68">
        <f t="shared" si="27"/>
        <v>0</v>
      </c>
      <c r="L60" s="47"/>
      <c r="M60" s="68">
        <f>+K60+L60</f>
        <v>0</v>
      </c>
      <c r="N60" s="106"/>
      <c r="O60" s="106">
        <v>3588802000</v>
      </c>
      <c r="P60" s="68">
        <f t="shared" ref="P60:P64" si="28">+N60+O60</f>
        <v>3588802000</v>
      </c>
      <c r="Q60" s="89">
        <f>+M60+P60</f>
        <v>3588802000</v>
      </c>
    </row>
    <row r="61" spans="1:17" ht="22.5">
      <c r="B61" s="38" t="s">
        <v>170</v>
      </c>
      <c r="C61" s="39" t="s">
        <v>150</v>
      </c>
      <c r="D61" s="40" t="s">
        <v>4</v>
      </c>
      <c r="E61" s="39" t="s">
        <v>0</v>
      </c>
      <c r="F61" s="48" t="s">
        <v>30</v>
      </c>
      <c r="G61" s="46"/>
      <c r="H61" s="46"/>
      <c r="I61" s="46"/>
      <c r="J61" s="46"/>
      <c r="K61" s="68">
        <f>SUM(G61:J61)</f>
        <v>0</v>
      </c>
      <c r="L61" s="47"/>
      <c r="M61" s="68">
        <f t="shared" ref="M61:M63" si="29">+K61+L61</f>
        <v>0</v>
      </c>
      <c r="N61" s="106"/>
      <c r="O61" s="106"/>
      <c r="P61" s="68">
        <f t="shared" si="28"/>
        <v>0</v>
      </c>
      <c r="Q61" s="68">
        <f>+M61+P61</f>
        <v>0</v>
      </c>
    </row>
    <row r="62" spans="1:17">
      <c r="B62" s="38" t="s">
        <v>170</v>
      </c>
      <c r="C62" s="39" t="s">
        <v>120</v>
      </c>
      <c r="D62" s="40" t="s">
        <v>4</v>
      </c>
      <c r="E62" s="39" t="s">
        <v>0</v>
      </c>
      <c r="F62" s="45" t="s">
        <v>31</v>
      </c>
      <c r="G62" s="46"/>
      <c r="H62" s="46"/>
      <c r="I62" s="46"/>
      <c r="J62" s="46"/>
      <c r="K62" s="68">
        <f t="shared" ref="K62" si="30">SUM(G62:J62)</f>
        <v>0</v>
      </c>
      <c r="L62" s="47"/>
      <c r="M62" s="68">
        <f t="shared" si="29"/>
        <v>0</v>
      </c>
      <c r="N62" s="106"/>
      <c r="O62" s="106">
        <v>11744400000</v>
      </c>
      <c r="P62" s="68">
        <f t="shared" si="28"/>
        <v>11744400000</v>
      </c>
      <c r="Q62" s="89">
        <f t="shared" ref="Q62:Q63" si="31">+M62+P62</f>
        <v>11744400000</v>
      </c>
    </row>
    <row r="63" spans="1:17">
      <c r="B63" s="38" t="s">
        <v>170</v>
      </c>
      <c r="C63" s="39" t="s">
        <v>121</v>
      </c>
      <c r="D63" s="40" t="s">
        <v>4</v>
      </c>
      <c r="E63" s="39" t="s">
        <v>0</v>
      </c>
      <c r="F63" s="45" t="s">
        <v>32</v>
      </c>
      <c r="G63" s="46"/>
      <c r="H63" s="46"/>
      <c r="I63" s="46"/>
      <c r="J63" s="46"/>
      <c r="K63" s="68">
        <f>SUM(G63:J63)</f>
        <v>0</v>
      </c>
      <c r="L63" s="47"/>
      <c r="M63" s="68">
        <f t="shared" si="29"/>
        <v>0</v>
      </c>
      <c r="N63" s="106"/>
      <c r="O63" s="106"/>
      <c r="P63" s="68">
        <f t="shared" si="28"/>
        <v>0</v>
      </c>
      <c r="Q63" s="68">
        <f t="shared" si="31"/>
        <v>0</v>
      </c>
    </row>
    <row r="64" spans="1:17">
      <c r="B64" s="38" t="s">
        <v>170</v>
      </c>
      <c r="C64" s="39" t="s">
        <v>122</v>
      </c>
      <c r="D64" s="40" t="s">
        <v>4</v>
      </c>
      <c r="E64" s="39" t="s">
        <v>0</v>
      </c>
      <c r="F64" s="45" t="s">
        <v>33</v>
      </c>
      <c r="G64" s="46"/>
      <c r="H64" s="46"/>
      <c r="I64" s="46"/>
      <c r="J64" s="46"/>
      <c r="K64" s="68">
        <f>SUM(G64:J64)</f>
        <v>0</v>
      </c>
      <c r="L64" s="47"/>
      <c r="M64" s="68">
        <f>+K64+L64</f>
        <v>0</v>
      </c>
      <c r="N64" s="106"/>
      <c r="O64" s="106">
        <v>60792770000</v>
      </c>
      <c r="P64" s="68">
        <f t="shared" si="28"/>
        <v>60792770000</v>
      </c>
      <c r="Q64" s="93">
        <f>+M64+P64</f>
        <v>60792770000</v>
      </c>
    </row>
    <row r="65" spans="2:17">
      <c r="B65" s="38" t="s">
        <v>170</v>
      </c>
      <c r="C65" s="39" t="s">
        <v>123</v>
      </c>
      <c r="D65" s="40" t="s">
        <v>4</v>
      </c>
      <c r="E65" s="39" t="s">
        <v>0</v>
      </c>
      <c r="F65" s="42" t="s">
        <v>34</v>
      </c>
      <c r="G65" s="71">
        <f>+G64-G62</f>
        <v>0</v>
      </c>
      <c r="H65" s="71">
        <f t="shared" ref="H65:I65" si="32">+H64-H62</f>
        <v>0</v>
      </c>
      <c r="I65" s="71">
        <f t="shared" si="32"/>
        <v>0</v>
      </c>
      <c r="J65" s="71">
        <f t="shared" ref="J65:O65" si="33">+J64-J62</f>
        <v>0</v>
      </c>
      <c r="K65" s="68">
        <f t="shared" si="33"/>
        <v>0</v>
      </c>
      <c r="L65" s="68">
        <f t="shared" si="33"/>
        <v>0</v>
      </c>
      <c r="M65" s="68">
        <f t="shared" si="33"/>
        <v>0</v>
      </c>
      <c r="N65" s="108">
        <f t="shared" si="33"/>
        <v>0</v>
      </c>
      <c r="O65" s="108">
        <f t="shared" si="33"/>
        <v>49048370000</v>
      </c>
      <c r="P65" s="68">
        <f>+P64-P62</f>
        <v>49048370000</v>
      </c>
      <c r="Q65" s="93">
        <f>+Q64-Q62</f>
        <v>49048370000</v>
      </c>
    </row>
    <row r="66" spans="2:17">
      <c r="B66" s="38" t="s">
        <v>170</v>
      </c>
      <c r="C66" s="39" t="s">
        <v>124</v>
      </c>
      <c r="D66" s="40" t="s">
        <v>4</v>
      </c>
      <c r="E66" s="39" t="s">
        <v>0</v>
      </c>
      <c r="F66" s="45" t="s">
        <v>35</v>
      </c>
      <c r="G66" s="46"/>
      <c r="H66" s="46"/>
      <c r="I66" s="46"/>
      <c r="J66" s="46"/>
      <c r="K66" s="68">
        <f t="shared" ref="K66" si="34">SUM(G66:J66)</f>
        <v>0</v>
      </c>
      <c r="L66" s="47"/>
      <c r="M66" s="68">
        <f t="shared" ref="M66" si="35">+K66+L66</f>
        <v>0</v>
      </c>
      <c r="N66" s="106"/>
      <c r="O66" s="106">
        <v>11744400000</v>
      </c>
      <c r="P66" s="68">
        <f>+N66+O66</f>
        <v>11744400000</v>
      </c>
      <c r="Q66" s="89">
        <f>+M66+P66</f>
        <v>11744400000</v>
      </c>
    </row>
    <row r="67" spans="2:17">
      <c r="B67" s="38" t="s">
        <v>170</v>
      </c>
      <c r="C67" s="39" t="s">
        <v>125</v>
      </c>
      <c r="D67" s="40" t="s">
        <v>4</v>
      </c>
      <c r="E67" s="39" t="s">
        <v>0</v>
      </c>
      <c r="F67" s="42" t="s">
        <v>36</v>
      </c>
      <c r="G67" s="71">
        <f>+G65+G66</f>
        <v>0</v>
      </c>
      <c r="H67" s="71">
        <f t="shared" ref="H67:I67" si="36">+H65+H66</f>
        <v>0</v>
      </c>
      <c r="I67" s="71">
        <f t="shared" si="36"/>
        <v>0</v>
      </c>
      <c r="J67" s="71">
        <f t="shared" ref="J67:O67" si="37">+J65+J66</f>
        <v>0</v>
      </c>
      <c r="K67" s="68">
        <f t="shared" si="37"/>
        <v>0</v>
      </c>
      <c r="L67" s="68">
        <f t="shared" si="37"/>
        <v>0</v>
      </c>
      <c r="M67" s="68">
        <f t="shared" si="37"/>
        <v>0</v>
      </c>
      <c r="N67" s="108">
        <f t="shared" si="37"/>
        <v>0</v>
      </c>
      <c r="O67" s="108">
        <f t="shared" si="37"/>
        <v>60792770000</v>
      </c>
      <c r="P67" s="68">
        <f>+P65+P66</f>
        <v>60792770000</v>
      </c>
      <c r="Q67" s="90">
        <f>+Q65+Q66</f>
        <v>60792770000</v>
      </c>
    </row>
    <row r="68" spans="2:17">
      <c r="B68" s="38" t="s">
        <v>170</v>
      </c>
      <c r="C68" s="39" t="s">
        <v>126</v>
      </c>
      <c r="D68" s="40" t="s">
        <v>4</v>
      </c>
      <c r="E68" s="39" t="s">
        <v>0</v>
      </c>
      <c r="F68" s="45" t="s">
        <v>37</v>
      </c>
      <c r="G68" s="46"/>
      <c r="H68" s="46"/>
      <c r="I68" s="46"/>
      <c r="J68" s="46"/>
      <c r="K68" s="68">
        <f t="shared" ref="K68:K71" si="38">SUM(G68:J68)</f>
        <v>0</v>
      </c>
      <c r="L68" s="47"/>
      <c r="M68" s="68">
        <f t="shared" ref="M68:M71" si="39">+K68+L68</f>
        <v>0</v>
      </c>
      <c r="N68" s="106"/>
      <c r="O68" s="106">
        <v>1428508485000</v>
      </c>
      <c r="P68" s="68">
        <f>+N68+O68</f>
        <v>1428508485000</v>
      </c>
      <c r="Q68" s="68">
        <f>+M68+P68</f>
        <v>1428508485000</v>
      </c>
    </row>
    <row r="69" spans="2:17">
      <c r="B69" s="38" t="s">
        <v>170</v>
      </c>
      <c r="C69" s="39" t="s">
        <v>151</v>
      </c>
      <c r="D69" s="40" t="s">
        <v>4</v>
      </c>
      <c r="E69" s="39" t="s">
        <v>0</v>
      </c>
      <c r="F69" s="45" t="s">
        <v>38</v>
      </c>
      <c r="G69" s="46"/>
      <c r="H69" s="46"/>
      <c r="I69" s="46"/>
      <c r="J69" s="46"/>
      <c r="K69" s="68">
        <f t="shared" si="38"/>
        <v>0</v>
      </c>
      <c r="L69" s="47"/>
      <c r="M69" s="68">
        <f t="shared" si="39"/>
        <v>0</v>
      </c>
      <c r="N69" s="106"/>
      <c r="O69" s="106"/>
      <c r="P69" s="68">
        <f>+N69+O69</f>
        <v>0</v>
      </c>
      <c r="Q69" s="68">
        <f>+M69+P69</f>
        <v>0</v>
      </c>
    </row>
    <row r="70" spans="2:17" ht="34.5" customHeight="1">
      <c r="B70" s="38" t="s">
        <v>170</v>
      </c>
      <c r="C70" s="39" t="s">
        <v>127</v>
      </c>
      <c r="D70" s="40" t="s">
        <v>4</v>
      </c>
      <c r="E70" s="39" t="s">
        <v>0</v>
      </c>
      <c r="F70" s="48" t="s">
        <v>39</v>
      </c>
      <c r="G70" s="46"/>
      <c r="H70" s="46"/>
      <c r="I70" s="46"/>
      <c r="J70" s="46"/>
      <c r="K70" s="68">
        <f t="shared" si="38"/>
        <v>0</v>
      </c>
      <c r="L70" s="47"/>
      <c r="M70" s="68">
        <f t="shared" si="39"/>
        <v>0</v>
      </c>
      <c r="N70" s="106"/>
      <c r="O70" s="106"/>
      <c r="P70" s="68">
        <f>+N70+O70</f>
        <v>0</v>
      </c>
      <c r="Q70" s="68">
        <f t="shared" ref="Q70:Q71" si="40">+M70+P70</f>
        <v>0</v>
      </c>
    </row>
    <row r="71" spans="2:17">
      <c r="B71" s="38" t="s">
        <v>170</v>
      </c>
      <c r="C71" s="39" t="s">
        <v>128</v>
      </c>
      <c r="D71" s="40" t="s">
        <v>4</v>
      </c>
      <c r="E71" s="39" t="s">
        <v>0</v>
      </c>
      <c r="F71" s="45" t="s">
        <v>40</v>
      </c>
      <c r="G71" s="46"/>
      <c r="H71" s="46"/>
      <c r="I71" s="46"/>
      <c r="J71" s="46"/>
      <c r="K71" s="68">
        <f t="shared" si="38"/>
        <v>0</v>
      </c>
      <c r="L71" s="47"/>
      <c r="M71" s="68">
        <f t="shared" si="39"/>
        <v>0</v>
      </c>
      <c r="N71" s="106"/>
      <c r="O71" s="106">
        <f>O68-Q72</f>
        <v>648381399000</v>
      </c>
      <c r="P71" s="68">
        <f>+N71+O71</f>
        <v>648381399000</v>
      </c>
      <c r="Q71" s="68">
        <f t="shared" si="40"/>
        <v>648381399000</v>
      </c>
    </row>
    <row r="72" spans="2:17">
      <c r="B72" s="38" t="s">
        <v>170</v>
      </c>
      <c r="C72" s="72" t="s">
        <v>129</v>
      </c>
      <c r="D72" s="40" t="s">
        <v>4</v>
      </c>
      <c r="E72" s="73"/>
      <c r="F72" s="74" t="s">
        <v>69</v>
      </c>
      <c r="G72" s="69"/>
      <c r="H72" s="69"/>
      <c r="I72" s="69"/>
      <c r="J72" s="69"/>
      <c r="K72" s="70"/>
      <c r="L72" s="70"/>
      <c r="M72" s="70"/>
      <c r="N72" s="109"/>
      <c r="O72" s="109"/>
      <c r="P72" s="70"/>
      <c r="Q72" s="106">
        <v>780127086000</v>
      </c>
    </row>
    <row r="73" spans="2:17">
      <c r="B73" s="38" t="s">
        <v>170</v>
      </c>
      <c r="C73" s="72" t="s">
        <v>130</v>
      </c>
      <c r="D73" s="40" t="s">
        <v>4</v>
      </c>
      <c r="E73" s="73" t="s">
        <v>0</v>
      </c>
      <c r="F73" s="75" t="s">
        <v>70</v>
      </c>
      <c r="G73" s="69"/>
      <c r="H73" s="69"/>
      <c r="I73" s="69"/>
      <c r="J73" s="69"/>
      <c r="K73" s="70"/>
      <c r="L73" s="70"/>
      <c r="M73" s="70"/>
      <c r="N73" s="109"/>
      <c r="O73" s="109"/>
      <c r="P73" s="70"/>
      <c r="Q73" s="68">
        <f>+Q71+Q72</f>
        <v>1428508485000</v>
      </c>
    </row>
    <row r="74" spans="2:17">
      <c r="B74" s="38" t="s">
        <v>170</v>
      </c>
      <c r="C74" s="39" t="s">
        <v>131</v>
      </c>
      <c r="D74" s="40" t="s">
        <v>4</v>
      </c>
      <c r="E74" s="39" t="s">
        <v>0</v>
      </c>
      <c r="F74" s="48" t="s">
        <v>41</v>
      </c>
      <c r="G74" s="46"/>
      <c r="H74" s="46"/>
      <c r="I74" s="46"/>
      <c r="J74" s="46"/>
      <c r="K74" s="68">
        <f t="shared" ref="K74:K80" si="41">SUM(G74:J74)</f>
        <v>0</v>
      </c>
      <c r="L74" s="47"/>
      <c r="M74" s="68">
        <f t="shared" ref="M74:M80" si="42">+K74+L74</f>
        <v>0</v>
      </c>
      <c r="N74" s="106">
        <v>200028000</v>
      </c>
      <c r="O74" s="106"/>
      <c r="P74" s="68">
        <f t="shared" ref="P74" si="43">+N74+O74</f>
        <v>200028000</v>
      </c>
      <c r="Q74" s="68">
        <f t="shared" ref="Q74" si="44">+M74+P74</f>
        <v>200028000</v>
      </c>
    </row>
    <row r="75" spans="2:17" ht="22.5">
      <c r="B75" s="38" t="s">
        <v>170</v>
      </c>
      <c r="C75" s="39" t="s">
        <v>132</v>
      </c>
      <c r="D75" s="40" t="s">
        <v>4</v>
      </c>
      <c r="E75" s="39" t="s">
        <v>0</v>
      </c>
      <c r="F75" s="48" t="s">
        <v>42</v>
      </c>
      <c r="G75" s="46"/>
      <c r="H75" s="46"/>
      <c r="I75" s="46"/>
      <c r="J75" s="46"/>
      <c r="K75" s="68">
        <f t="shared" si="41"/>
        <v>0</v>
      </c>
      <c r="L75" s="47"/>
      <c r="M75" s="68">
        <f t="shared" si="42"/>
        <v>0</v>
      </c>
      <c r="N75" s="110">
        <v>-1000</v>
      </c>
      <c r="O75" s="106"/>
      <c r="P75" s="68">
        <f>+N75+O75</f>
        <v>-1000</v>
      </c>
      <c r="Q75" s="68">
        <f>+M75+P75</f>
        <v>-1000</v>
      </c>
    </row>
    <row r="76" spans="2:17">
      <c r="B76" s="38" t="s">
        <v>170</v>
      </c>
      <c r="C76" s="39" t="s">
        <v>133</v>
      </c>
      <c r="D76" s="40" t="s">
        <v>4</v>
      </c>
      <c r="E76" s="39" t="s">
        <v>0</v>
      </c>
      <c r="F76" s="48" t="s">
        <v>43</v>
      </c>
      <c r="G76" s="46"/>
      <c r="H76" s="46"/>
      <c r="I76" s="46"/>
      <c r="J76" s="46"/>
      <c r="K76" s="68">
        <f t="shared" si="41"/>
        <v>0</v>
      </c>
      <c r="L76" s="47"/>
      <c r="M76" s="68">
        <f t="shared" si="42"/>
        <v>0</v>
      </c>
      <c r="N76" s="106">
        <v>842684000</v>
      </c>
      <c r="O76" s="106"/>
      <c r="P76" s="68">
        <f>+N76+O76</f>
        <v>842684000</v>
      </c>
      <c r="Q76" s="68">
        <f t="shared" ref="Q76" si="45">+M76+P76</f>
        <v>842684000</v>
      </c>
    </row>
    <row r="77" spans="2:17" ht="22.5">
      <c r="B77" s="38" t="s">
        <v>170</v>
      </c>
      <c r="C77" s="39" t="s">
        <v>134</v>
      </c>
      <c r="D77" s="40" t="s">
        <v>4</v>
      </c>
      <c r="E77" s="39" t="s">
        <v>0</v>
      </c>
      <c r="F77" s="48" t="s">
        <v>44</v>
      </c>
      <c r="G77" s="46"/>
      <c r="H77" s="46"/>
      <c r="I77" s="46"/>
      <c r="J77" s="46"/>
      <c r="K77" s="68">
        <f t="shared" si="41"/>
        <v>0</v>
      </c>
      <c r="L77" s="47"/>
      <c r="M77" s="68">
        <f t="shared" si="42"/>
        <v>0</v>
      </c>
      <c r="N77" s="106">
        <v>9000</v>
      </c>
      <c r="O77" s="106"/>
      <c r="P77" s="68">
        <f t="shared" ref="P77" si="46">+N77+O77</f>
        <v>9000</v>
      </c>
      <c r="Q77" s="68">
        <f>+M77+P77</f>
        <v>9000</v>
      </c>
    </row>
    <row r="78" spans="2:17">
      <c r="B78" s="38" t="s">
        <v>170</v>
      </c>
      <c r="C78" s="39" t="s">
        <v>135</v>
      </c>
      <c r="D78" s="40" t="s">
        <v>4</v>
      </c>
      <c r="E78" s="39" t="s">
        <v>0</v>
      </c>
      <c r="F78" s="48" t="s">
        <v>45</v>
      </c>
      <c r="G78" s="46"/>
      <c r="H78" s="46"/>
      <c r="I78" s="46"/>
      <c r="J78" s="46"/>
      <c r="K78" s="68">
        <f t="shared" si="41"/>
        <v>0</v>
      </c>
      <c r="L78" s="47"/>
      <c r="M78" s="68">
        <f t="shared" si="42"/>
        <v>0</v>
      </c>
      <c r="N78" s="106">
        <v>81016428000</v>
      </c>
      <c r="O78" s="106"/>
      <c r="P78" s="68">
        <f>+N78+O78</f>
        <v>81016428000</v>
      </c>
      <c r="Q78" s="91">
        <f t="shared" ref="Q78" si="47">+M78+P78</f>
        <v>81016428000</v>
      </c>
    </row>
    <row r="79" spans="2:17">
      <c r="B79" s="38" t="s">
        <v>170</v>
      </c>
      <c r="C79" s="39" t="s">
        <v>136</v>
      </c>
      <c r="D79" s="40" t="s">
        <v>4</v>
      </c>
      <c r="E79" s="39" t="s">
        <v>0</v>
      </c>
      <c r="F79" s="48" t="s">
        <v>46</v>
      </c>
      <c r="G79" s="46"/>
      <c r="H79" s="46"/>
      <c r="I79" s="46"/>
      <c r="J79" s="46"/>
      <c r="K79" s="68">
        <f t="shared" si="41"/>
        <v>0</v>
      </c>
      <c r="L79" s="47"/>
      <c r="M79" s="68">
        <f t="shared" si="42"/>
        <v>0</v>
      </c>
      <c r="N79" s="106">
        <v>-119152156000</v>
      </c>
      <c r="O79" s="106"/>
      <c r="P79" s="68">
        <f>+N79+O79</f>
        <v>-119152156000</v>
      </c>
      <c r="Q79" s="91">
        <f>+M79+P79</f>
        <v>-119152156000</v>
      </c>
    </row>
    <row r="80" spans="2:17">
      <c r="B80" s="38" t="s">
        <v>170</v>
      </c>
      <c r="C80" s="39" t="s">
        <v>137</v>
      </c>
      <c r="D80" s="40" t="s">
        <v>4</v>
      </c>
      <c r="E80" s="39" t="s">
        <v>0</v>
      </c>
      <c r="F80" s="45" t="s">
        <v>47</v>
      </c>
      <c r="G80" s="46"/>
      <c r="H80" s="46"/>
      <c r="I80" s="46"/>
      <c r="J80" s="46"/>
      <c r="K80" s="68">
        <f t="shared" si="41"/>
        <v>0</v>
      </c>
      <c r="L80" s="47"/>
      <c r="M80" s="68">
        <f t="shared" si="42"/>
        <v>0</v>
      </c>
      <c r="N80" s="106">
        <v>77374151000</v>
      </c>
      <c r="O80" s="106"/>
      <c r="P80" s="68">
        <f t="shared" ref="P80" si="48">+N80+O80</f>
        <v>77374151000</v>
      </c>
      <c r="Q80" s="91">
        <f t="shared" ref="Q80" si="49">+M80+P80</f>
        <v>77374151000</v>
      </c>
    </row>
    <row r="81" spans="1:17">
      <c r="B81" s="38" t="s">
        <v>170</v>
      </c>
      <c r="C81" s="39" t="s">
        <v>138</v>
      </c>
      <c r="D81" s="40" t="s">
        <v>4</v>
      </c>
      <c r="E81" s="39" t="s">
        <v>0</v>
      </c>
      <c r="F81" s="45" t="s">
        <v>48</v>
      </c>
      <c r="G81" s="78"/>
      <c r="H81" s="78"/>
      <c r="I81" s="78"/>
      <c r="J81" s="78"/>
      <c r="K81" s="79"/>
      <c r="L81" s="79"/>
      <c r="M81" s="79"/>
      <c r="N81" s="111"/>
      <c r="O81" s="111"/>
      <c r="P81" s="79"/>
      <c r="Q81" s="79"/>
    </row>
    <row r="82" spans="1:17">
      <c r="B82" s="49"/>
      <c r="C82" s="50"/>
      <c r="D82" s="50"/>
      <c r="E82" s="50"/>
      <c r="F82" s="51"/>
      <c r="G82" s="52"/>
      <c r="H82" s="52"/>
      <c r="I82" s="52"/>
      <c r="J82" s="52"/>
      <c r="K82" s="53"/>
      <c r="L82" s="53"/>
      <c r="M82" s="53"/>
      <c r="N82" s="53"/>
      <c r="O82" s="53"/>
      <c r="P82" s="53"/>
      <c r="Q82" s="54"/>
    </row>
    <row r="83" spans="1:17" ht="15.75" thickBot="1"/>
    <row r="84" spans="1:17" ht="90" customHeight="1">
      <c r="A84" s="15"/>
      <c r="B84" s="16"/>
      <c r="C84" s="17"/>
      <c r="D84" s="17"/>
      <c r="E84" s="18"/>
      <c r="F84" s="19" t="s">
        <v>75</v>
      </c>
      <c r="G84" s="76" t="str">
        <f>IF(G5="Agregar columna opcional","",G5)</f>
        <v/>
      </c>
      <c r="H84" s="76" t="str">
        <f>IF(H5="Agregar columna opcional","",H5)</f>
        <v/>
      </c>
      <c r="I84" s="76" t="str">
        <f>IF(I5="Agregar columna opcional","",I5)</f>
        <v/>
      </c>
      <c r="J84" s="76" t="str">
        <f>IF(J5="Agregar columna opcional","",J5)</f>
        <v/>
      </c>
      <c r="K84" s="21" t="s">
        <v>19</v>
      </c>
      <c r="L84" s="21" t="s">
        <v>18</v>
      </c>
      <c r="M84" s="21" t="s">
        <v>20</v>
      </c>
      <c r="N84" s="21" t="s">
        <v>21</v>
      </c>
      <c r="O84" s="21" t="s">
        <v>22</v>
      </c>
      <c r="P84" s="21" t="s">
        <v>23</v>
      </c>
      <c r="Q84" s="21" t="s">
        <v>24</v>
      </c>
    </row>
    <row r="85" spans="1:17">
      <c r="A85" s="30"/>
      <c r="B85" s="31"/>
      <c r="C85" s="32"/>
      <c r="D85" s="33"/>
      <c r="E85" s="34"/>
      <c r="F85" s="55"/>
      <c r="G85" s="56"/>
      <c r="H85" s="56"/>
      <c r="I85" s="56"/>
      <c r="J85" s="56"/>
      <c r="K85" s="34"/>
      <c r="L85" s="34"/>
      <c r="M85" s="34"/>
      <c r="N85" s="34"/>
      <c r="O85" s="34"/>
      <c r="P85" s="34"/>
      <c r="Q85" s="37"/>
    </row>
    <row r="86" spans="1:17">
      <c r="A86" s="30"/>
      <c r="B86" s="38"/>
      <c r="C86" s="39"/>
      <c r="D86" s="40"/>
      <c r="E86" s="41"/>
      <c r="F86" s="42"/>
      <c r="G86" s="43"/>
      <c r="H86" s="43"/>
      <c r="I86" s="43"/>
      <c r="J86" s="43"/>
      <c r="K86" s="39"/>
      <c r="L86" s="39"/>
      <c r="M86" s="39"/>
      <c r="N86" s="39"/>
      <c r="O86" s="39"/>
      <c r="P86" s="39"/>
      <c r="Q86" s="44"/>
    </row>
    <row r="87" spans="1:17">
      <c r="A87" s="30"/>
      <c r="B87" s="38" t="s">
        <v>170</v>
      </c>
      <c r="C87" s="101" t="s">
        <v>173</v>
      </c>
      <c r="D87" s="40" t="s">
        <v>71</v>
      </c>
      <c r="E87" s="39" t="s">
        <v>0</v>
      </c>
      <c r="F87" s="100" t="s">
        <v>169</v>
      </c>
      <c r="G87" s="97" t="s">
        <v>199</v>
      </c>
      <c r="H87" s="97"/>
      <c r="I87" s="97"/>
      <c r="J87" s="97"/>
      <c r="K87" s="98"/>
      <c r="L87" s="98"/>
      <c r="M87" s="98"/>
      <c r="N87" s="98"/>
      <c r="O87" s="98"/>
      <c r="P87" s="98"/>
      <c r="Q87" s="99"/>
    </row>
    <row r="88" spans="1:17">
      <c r="A88" s="30"/>
      <c r="B88" s="38" t="s">
        <v>170</v>
      </c>
      <c r="C88" s="39" t="s">
        <v>111</v>
      </c>
      <c r="D88" s="40" t="s">
        <v>71</v>
      </c>
      <c r="E88" s="39" t="s">
        <v>0</v>
      </c>
      <c r="F88" s="45" t="s">
        <v>25</v>
      </c>
      <c r="G88" s="46"/>
      <c r="H88" s="46"/>
      <c r="I88" s="46"/>
      <c r="J88" s="46"/>
      <c r="K88" s="68">
        <f>SUM(G88:J88)</f>
        <v>0</v>
      </c>
      <c r="L88" s="47"/>
      <c r="M88" s="68">
        <f t="shared" ref="M88:M95" si="50">+K88+L88</f>
        <v>0</v>
      </c>
      <c r="N88" s="106"/>
      <c r="O88" s="106"/>
      <c r="P88" s="68">
        <f t="shared" ref="P88:P91" si="51">+N88+O88</f>
        <v>0</v>
      </c>
      <c r="Q88" s="68">
        <f>+M88+P88</f>
        <v>0</v>
      </c>
    </row>
    <row r="89" spans="1:17" ht="22.5">
      <c r="A89" s="30"/>
      <c r="B89" s="38" t="s">
        <v>170</v>
      </c>
      <c r="C89" s="39" t="s">
        <v>148</v>
      </c>
      <c r="D89" s="40" t="s">
        <v>71</v>
      </c>
      <c r="E89" s="39" t="s">
        <v>0</v>
      </c>
      <c r="F89" s="48" t="s">
        <v>76</v>
      </c>
      <c r="G89" s="46"/>
      <c r="H89" s="46"/>
      <c r="I89" s="46"/>
      <c r="J89" s="46"/>
      <c r="K89" s="68">
        <f>SUM(G89:J89)</f>
        <v>0</v>
      </c>
      <c r="L89" s="47"/>
      <c r="M89" s="68">
        <f t="shared" si="50"/>
        <v>0</v>
      </c>
      <c r="N89" s="106"/>
      <c r="O89" s="106"/>
      <c r="P89" s="68">
        <f t="shared" si="51"/>
        <v>0</v>
      </c>
      <c r="Q89" s="68">
        <f>+M89+P89</f>
        <v>0</v>
      </c>
    </row>
    <row r="90" spans="1:17" ht="22.5">
      <c r="A90" s="30"/>
      <c r="B90" s="38" t="s">
        <v>170</v>
      </c>
      <c r="C90" s="39" t="s">
        <v>149</v>
      </c>
      <c r="D90" s="40" t="s">
        <v>71</v>
      </c>
      <c r="E90" s="39" t="s">
        <v>0</v>
      </c>
      <c r="F90" s="77" t="s">
        <v>77</v>
      </c>
      <c r="G90" s="71">
        <f>G88+G89</f>
        <v>0</v>
      </c>
      <c r="H90" s="71">
        <f t="shared" ref="H90:I90" si="52">H88+H89</f>
        <v>0</v>
      </c>
      <c r="I90" s="71">
        <f t="shared" si="52"/>
        <v>0</v>
      </c>
      <c r="J90" s="71">
        <f t="shared" ref="J90:L90" si="53">J88+J89</f>
        <v>0</v>
      </c>
      <c r="K90" s="68">
        <f t="shared" si="53"/>
        <v>0</v>
      </c>
      <c r="L90" s="68">
        <f t="shared" si="53"/>
        <v>0</v>
      </c>
      <c r="M90" s="68">
        <f t="shared" si="50"/>
        <v>0</v>
      </c>
      <c r="N90" s="108">
        <f t="shared" ref="N90:O90" si="54">N88+N89</f>
        <v>0</v>
      </c>
      <c r="O90" s="108">
        <f t="shared" si="54"/>
        <v>0</v>
      </c>
      <c r="P90" s="68">
        <f t="shared" si="51"/>
        <v>0</v>
      </c>
      <c r="Q90" s="68">
        <f>Q88+Q89</f>
        <v>0</v>
      </c>
    </row>
    <row r="91" spans="1:17">
      <c r="A91" s="30"/>
      <c r="B91" s="38" t="s">
        <v>170</v>
      </c>
      <c r="C91" s="39" t="s">
        <v>112</v>
      </c>
      <c r="D91" s="40" t="s">
        <v>71</v>
      </c>
      <c r="E91" s="39" t="s">
        <v>0</v>
      </c>
      <c r="F91" s="48" t="s">
        <v>78</v>
      </c>
      <c r="G91" s="46"/>
      <c r="H91" s="46"/>
      <c r="I91" s="46"/>
      <c r="J91" s="46"/>
      <c r="K91" s="68">
        <f t="shared" ref="K91:K95" si="55">SUM(G91:J91)</f>
        <v>0</v>
      </c>
      <c r="L91" s="47"/>
      <c r="M91" s="68">
        <f t="shared" si="50"/>
        <v>0</v>
      </c>
      <c r="N91" s="106">
        <v>5000</v>
      </c>
      <c r="O91" s="106"/>
      <c r="P91" s="68">
        <f t="shared" si="51"/>
        <v>5000</v>
      </c>
      <c r="Q91" s="68">
        <f>+M91+P91</f>
        <v>5000</v>
      </c>
    </row>
    <row r="92" spans="1:17">
      <c r="A92" s="30"/>
      <c r="B92" s="38" t="s">
        <v>170</v>
      </c>
      <c r="C92" s="39" t="s">
        <v>113</v>
      </c>
      <c r="D92" s="40" t="s">
        <v>71</v>
      </c>
      <c r="E92" s="39" t="s">
        <v>0</v>
      </c>
      <c r="F92" s="48" t="s">
        <v>79</v>
      </c>
      <c r="G92" s="46"/>
      <c r="H92" s="46"/>
      <c r="I92" s="46"/>
      <c r="J92" s="46"/>
      <c r="K92" s="68">
        <f t="shared" si="55"/>
        <v>0</v>
      </c>
      <c r="L92" s="47"/>
      <c r="M92" s="68">
        <f t="shared" si="50"/>
        <v>0</v>
      </c>
      <c r="N92" s="106"/>
      <c r="O92" s="106"/>
      <c r="P92" s="68">
        <f>+N92+O92</f>
        <v>0</v>
      </c>
      <c r="Q92" s="68">
        <f>+M92+P92</f>
        <v>0</v>
      </c>
    </row>
    <row r="93" spans="1:17">
      <c r="A93" s="30"/>
      <c r="B93" s="38" t="s">
        <v>170</v>
      </c>
      <c r="C93" s="39" t="s">
        <v>114</v>
      </c>
      <c r="D93" s="40" t="s">
        <v>71</v>
      </c>
      <c r="E93" s="39" t="s">
        <v>0</v>
      </c>
      <c r="F93" s="48" t="s">
        <v>80</v>
      </c>
      <c r="G93" s="46"/>
      <c r="H93" s="46"/>
      <c r="I93" s="46"/>
      <c r="J93" s="46"/>
      <c r="K93" s="68">
        <f t="shared" si="55"/>
        <v>0</v>
      </c>
      <c r="L93" s="47"/>
      <c r="M93" s="68">
        <f t="shared" si="50"/>
        <v>0</v>
      </c>
      <c r="N93" s="106"/>
      <c r="O93" s="106"/>
      <c r="P93" s="68">
        <f t="shared" ref="P93:P95" si="56">+N93+O93</f>
        <v>0</v>
      </c>
      <c r="Q93" s="68">
        <f>+M93+P93</f>
        <v>0</v>
      </c>
    </row>
    <row r="94" spans="1:17">
      <c r="A94" s="30"/>
      <c r="B94" s="38" t="s">
        <v>170</v>
      </c>
      <c r="C94" s="39" t="s">
        <v>115</v>
      </c>
      <c r="D94" s="40" t="s">
        <v>71</v>
      </c>
      <c r="E94" s="39" t="s">
        <v>0</v>
      </c>
      <c r="F94" s="48" t="s">
        <v>81</v>
      </c>
      <c r="G94" s="46"/>
      <c r="H94" s="46"/>
      <c r="I94" s="46"/>
      <c r="J94" s="46"/>
      <c r="K94" s="68">
        <f t="shared" si="55"/>
        <v>0</v>
      </c>
      <c r="L94" s="47"/>
      <c r="M94" s="68">
        <f t="shared" si="50"/>
        <v>0</v>
      </c>
      <c r="N94" s="106"/>
      <c r="O94" s="106"/>
      <c r="P94" s="68">
        <f t="shared" si="56"/>
        <v>0</v>
      </c>
      <c r="Q94" s="68">
        <f t="shared" ref="Q94:Q95" si="57">+M94+P94</f>
        <v>0</v>
      </c>
    </row>
    <row r="95" spans="1:17">
      <c r="A95" s="30"/>
      <c r="B95" s="38" t="s">
        <v>170</v>
      </c>
      <c r="C95" s="39" t="s">
        <v>116</v>
      </c>
      <c r="D95" s="40" t="s">
        <v>71</v>
      </c>
      <c r="E95" s="39" t="s">
        <v>0</v>
      </c>
      <c r="F95" s="48" t="s">
        <v>82</v>
      </c>
      <c r="G95" s="46"/>
      <c r="H95" s="46"/>
      <c r="I95" s="46"/>
      <c r="J95" s="46"/>
      <c r="K95" s="68">
        <f t="shared" si="55"/>
        <v>0</v>
      </c>
      <c r="L95" s="47"/>
      <c r="M95" s="68">
        <f t="shared" si="50"/>
        <v>0</v>
      </c>
      <c r="N95" s="106"/>
      <c r="O95" s="106"/>
      <c r="P95" s="68">
        <f t="shared" si="56"/>
        <v>0</v>
      </c>
      <c r="Q95" s="68">
        <f t="shared" si="57"/>
        <v>0</v>
      </c>
    </row>
    <row r="96" spans="1:17">
      <c r="B96" s="38" t="s">
        <v>170</v>
      </c>
      <c r="C96" s="39" t="s">
        <v>162</v>
      </c>
      <c r="D96" s="40" t="s">
        <v>71</v>
      </c>
      <c r="E96" s="39" t="s">
        <v>0</v>
      </c>
      <c r="F96" s="45" t="s">
        <v>26</v>
      </c>
      <c r="G96" s="69"/>
      <c r="H96" s="69"/>
      <c r="I96" s="69"/>
      <c r="J96" s="69"/>
      <c r="K96" s="70"/>
      <c r="L96" s="70"/>
      <c r="M96" s="70"/>
      <c r="N96" s="109"/>
      <c r="O96" s="109"/>
      <c r="P96" s="70"/>
      <c r="Q96" s="70"/>
    </row>
    <row r="97" spans="1:17">
      <c r="B97" s="38" t="s">
        <v>170</v>
      </c>
      <c r="C97" s="39" t="s">
        <v>117</v>
      </c>
      <c r="D97" s="40" t="s">
        <v>71</v>
      </c>
      <c r="E97" s="39" t="s">
        <v>0</v>
      </c>
      <c r="F97" s="45" t="s">
        <v>27</v>
      </c>
      <c r="G97" s="46"/>
      <c r="H97" s="46"/>
      <c r="I97" s="46"/>
      <c r="J97" s="46"/>
      <c r="K97" s="68">
        <f>SUM(G97:J97)</f>
        <v>0</v>
      </c>
      <c r="L97" s="47"/>
      <c r="M97" s="68">
        <f t="shared" ref="M97" si="58">+K97+L97</f>
        <v>0</v>
      </c>
      <c r="N97" s="106"/>
      <c r="O97" s="106"/>
      <c r="P97" s="68">
        <f t="shared" ref="P97" si="59">+N97+O97</f>
        <v>0</v>
      </c>
      <c r="Q97" s="68">
        <f t="shared" ref="Q97" si="60">+M97+P97</f>
        <v>0</v>
      </c>
    </row>
    <row r="98" spans="1:17">
      <c r="B98" s="38" t="s">
        <v>170</v>
      </c>
      <c r="C98" s="39" t="s">
        <v>118</v>
      </c>
      <c r="D98" s="40" t="s">
        <v>71</v>
      </c>
      <c r="E98" s="39" t="s">
        <v>0</v>
      </c>
      <c r="F98" s="45" t="s">
        <v>28</v>
      </c>
      <c r="G98" s="46"/>
      <c r="H98" s="46"/>
      <c r="I98" s="46"/>
      <c r="J98" s="46"/>
      <c r="K98" s="68">
        <f t="shared" ref="K98:K99" si="61">SUM(G98:J98)</f>
        <v>0</v>
      </c>
      <c r="L98" s="47"/>
      <c r="M98" s="68">
        <f>+K98+L98</f>
        <v>0</v>
      </c>
      <c r="N98" s="106"/>
      <c r="O98" s="106"/>
      <c r="P98" s="68">
        <f>+N98+O98</f>
        <v>0</v>
      </c>
      <c r="Q98" s="68">
        <f>+M98+P98</f>
        <v>0</v>
      </c>
    </row>
    <row r="99" spans="1:17">
      <c r="B99" s="38" t="s">
        <v>170</v>
      </c>
      <c r="C99" s="39" t="s">
        <v>119</v>
      </c>
      <c r="D99" s="40" t="s">
        <v>71</v>
      </c>
      <c r="E99" s="39" t="s">
        <v>0</v>
      </c>
      <c r="F99" s="45" t="s">
        <v>29</v>
      </c>
      <c r="G99" s="46"/>
      <c r="H99" s="46"/>
      <c r="I99" s="46"/>
      <c r="J99" s="46"/>
      <c r="K99" s="68">
        <f t="shared" si="61"/>
        <v>0</v>
      </c>
      <c r="L99" s="47"/>
      <c r="M99" s="68">
        <f>+K99+L99</f>
        <v>0</v>
      </c>
      <c r="N99" s="106"/>
      <c r="O99" s="106"/>
      <c r="P99" s="68">
        <f t="shared" ref="P99:P103" si="62">+N99+O99</f>
        <v>0</v>
      </c>
      <c r="Q99" s="68">
        <f>+M99+P99</f>
        <v>0</v>
      </c>
    </row>
    <row r="100" spans="1:17" ht="22.5">
      <c r="B100" s="38" t="s">
        <v>170</v>
      </c>
      <c r="C100" s="39" t="s">
        <v>150</v>
      </c>
      <c r="D100" s="40" t="s">
        <v>71</v>
      </c>
      <c r="E100" s="39" t="s">
        <v>0</v>
      </c>
      <c r="F100" s="48" t="s">
        <v>30</v>
      </c>
      <c r="G100" s="46"/>
      <c r="H100" s="46"/>
      <c r="I100" s="46"/>
      <c r="J100" s="46"/>
      <c r="K100" s="68">
        <f>SUM(G100:J100)</f>
        <v>0</v>
      </c>
      <c r="L100" s="47"/>
      <c r="M100" s="68">
        <f t="shared" ref="M100:M102" si="63">+K100+L100</f>
        <v>0</v>
      </c>
      <c r="N100" s="106"/>
      <c r="O100" s="106"/>
      <c r="P100" s="68">
        <f t="shared" si="62"/>
        <v>0</v>
      </c>
      <c r="Q100" s="68">
        <f>+M100+P100</f>
        <v>0</v>
      </c>
    </row>
    <row r="101" spans="1:17">
      <c r="B101" s="38" t="s">
        <v>170</v>
      </c>
      <c r="C101" s="39" t="s">
        <v>120</v>
      </c>
      <c r="D101" s="40" t="s">
        <v>71</v>
      </c>
      <c r="E101" s="39" t="s">
        <v>0</v>
      </c>
      <c r="F101" s="45" t="s">
        <v>31</v>
      </c>
      <c r="G101" s="46"/>
      <c r="H101" s="46"/>
      <c r="I101" s="46"/>
      <c r="J101" s="46"/>
      <c r="K101" s="68">
        <f t="shared" ref="K101" si="64">SUM(G101:J101)</f>
        <v>0</v>
      </c>
      <c r="L101" s="47"/>
      <c r="M101" s="68">
        <f t="shared" si="63"/>
        <v>0</v>
      </c>
      <c r="N101" s="106"/>
      <c r="O101" s="106"/>
      <c r="P101" s="68">
        <f t="shared" si="62"/>
        <v>0</v>
      </c>
      <c r="Q101" s="68">
        <f t="shared" ref="Q101:Q102" si="65">+M101+P101</f>
        <v>0</v>
      </c>
    </row>
    <row r="102" spans="1:17">
      <c r="B102" s="38" t="s">
        <v>170</v>
      </c>
      <c r="C102" s="39" t="s">
        <v>121</v>
      </c>
      <c r="D102" s="40" t="s">
        <v>71</v>
      </c>
      <c r="E102" s="39" t="s">
        <v>0</v>
      </c>
      <c r="F102" s="45" t="s">
        <v>32</v>
      </c>
      <c r="G102" s="46"/>
      <c r="H102" s="46"/>
      <c r="I102" s="46"/>
      <c r="J102" s="46"/>
      <c r="K102" s="68">
        <f>SUM(G102:J102)</f>
        <v>0</v>
      </c>
      <c r="L102" s="47"/>
      <c r="M102" s="68">
        <f t="shared" si="63"/>
        <v>0</v>
      </c>
      <c r="N102" s="106"/>
      <c r="O102" s="106"/>
      <c r="P102" s="68">
        <f t="shared" si="62"/>
        <v>0</v>
      </c>
      <c r="Q102" s="68">
        <f t="shared" si="65"/>
        <v>0</v>
      </c>
    </row>
    <row r="103" spans="1:17">
      <c r="B103" s="38" t="s">
        <v>170</v>
      </c>
      <c r="C103" s="39" t="s">
        <v>122</v>
      </c>
      <c r="D103" s="40" t="s">
        <v>71</v>
      </c>
      <c r="E103" s="39" t="s">
        <v>0</v>
      </c>
      <c r="F103" s="45" t="s">
        <v>33</v>
      </c>
      <c r="G103" s="46"/>
      <c r="H103" s="46"/>
      <c r="I103" s="46"/>
      <c r="J103" s="46"/>
      <c r="K103" s="68">
        <f>SUM(G103:J103)</f>
        <v>0</v>
      </c>
      <c r="L103" s="47"/>
      <c r="M103" s="68">
        <f>+K103+L103</f>
        <v>0</v>
      </c>
      <c r="N103" s="106"/>
      <c r="O103" s="106"/>
      <c r="P103" s="68">
        <f t="shared" si="62"/>
        <v>0</v>
      </c>
      <c r="Q103" s="68">
        <f>+M103+P103</f>
        <v>0</v>
      </c>
    </row>
    <row r="104" spans="1:17">
      <c r="B104" s="38" t="s">
        <v>170</v>
      </c>
      <c r="C104" s="39" t="s">
        <v>123</v>
      </c>
      <c r="D104" s="40" t="s">
        <v>71</v>
      </c>
      <c r="E104" s="39" t="s">
        <v>0</v>
      </c>
      <c r="F104" s="42" t="s">
        <v>34</v>
      </c>
      <c r="G104" s="71">
        <f>+G103-G101</f>
        <v>0</v>
      </c>
      <c r="H104" s="71">
        <f t="shared" ref="H104:I104" si="66">+H103-H101</f>
        <v>0</v>
      </c>
      <c r="I104" s="71">
        <f t="shared" si="66"/>
        <v>0</v>
      </c>
      <c r="J104" s="71">
        <f t="shared" ref="J104:O104" si="67">+J103-J101</f>
        <v>0</v>
      </c>
      <c r="K104" s="68">
        <f t="shared" si="67"/>
        <v>0</v>
      </c>
      <c r="L104" s="68">
        <f t="shared" si="67"/>
        <v>0</v>
      </c>
      <c r="M104" s="68">
        <f t="shared" si="67"/>
        <v>0</v>
      </c>
      <c r="N104" s="108">
        <f t="shared" si="67"/>
        <v>0</v>
      </c>
      <c r="O104" s="108">
        <f t="shared" si="67"/>
        <v>0</v>
      </c>
      <c r="P104" s="68">
        <f>+P103-P101</f>
        <v>0</v>
      </c>
      <c r="Q104" s="68">
        <f>+Q103-Q101</f>
        <v>0</v>
      </c>
    </row>
    <row r="105" spans="1:17">
      <c r="B105" s="38" t="s">
        <v>170</v>
      </c>
      <c r="C105" s="39" t="s">
        <v>124</v>
      </c>
      <c r="D105" s="40" t="s">
        <v>71</v>
      </c>
      <c r="E105" s="39" t="s">
        <v>0</v>
      </c>
      <c r="F105" s="45" t="s">
        <v>35</v>
      </c>
      <c r="G105" s="46"/>
      <c r="H105" s="46"/>
      <c r="I105" s="46"/>
      <c r="J105" s="46"/>
      <c r="K105" s="68">
        <f t="shared" ref="K105" si="68">SUM(G105:J105)</f>
        <v>0</v>
      </c>
      <c r="L105" s="47"/>
      <c r="M105" s="68">
        <f t="shared" ref="M105" si="69">+K105+L105</f>
        <v>0</v>
      </c>
      <c r="N105" s="106"/>
      <c r="O105" s="106"/>
      <c r="P105" s="68">
        <f>+N105+O105</f>
        <v>0</v>
      </c>
      <c r="Q105" s="68">
        <f>+M105+P105</f>
        <v>0</v>
      </c>
    </row>
    <row r="106" spans="1:17">
      <c r="B106" s="38" t="s">
        <v>170</v>
      </c>
      <c r="C106" s="39" t="s">
        <v>125</v>
      </c>
      <c r="D106" s="40" t="s">
        <v>71</v>
      </c>
      <c r="E106" s="39" t="s">
        <v>0</v>
      </c>
      <c r="F106" s="42" t="s">
        <v>36</v>
      </c>
      <c r="G106" s="71">
        <f>+G104+G105</f>
        <v>0</v>
      </c>
      <c r="H106" s="71">
        <f t="shared" ref="H106:I106" si="70">+H104+H105</f>
        <v>0</v>
      </c>
      <c r="I106" s="71">
        <f t="shared" si="70"/>
        <v>0</v>
      </c>
      <c r="J106" s="71">
        <f t="shared" ref="J106:O106" si="71">+J104+J105</f>
        <v>0</v>
      </c>
      <c r="K106" s="68">
        <f t="shared" si="71"/>
        <v>0</v>
      </c>
      <c r="L106" s="68">
        <f t="shared" si="71"/>
        <v>0</v>
      </c>
      <c r="M106" s="68">
        <f t="shared" si="71"/>
        <v>0</v>
      </c>
      <c r="N106" s="108">
        <f t="shared" si="71"/>
        <v>0</v>
      </c>
      <c r="O106" s="108">
        <f t="shared" si="71"/>
        <v>0</v>
      </c>
      <c r="P106" s="68">
        <f>+P104+P105</f>
        <v>0</v>
      </c>
      <c r="Q106" s="68">
        <f>+Q104+Q105</f>
        <v>0</v>
      </c>
    </row>
    <row r="107" spans="1:17">
      <c r="A107" t="s">
        <v>72</v>
      </c>
      <c r="B107" s="38" t="s">
        <v>170</v>
      </c>
      <c r="C107" s="39" t="s">
        <v>126</v>
      </c>
      <c r="D107" s="40" t="s">
        <v>3</v>
      </c>
      <c r="E107" s="39" t="s">
        <v>0</v>
      </c>
      <c r="F107" s="45" t="s">
        <v>37</v>
      </c>
      <c r="G107" s="46"/>
      <c r="H107" s="46"/>
      <c r="I107" s="46"/>
      <c r="J107" s="46"/>
      <c r="K107" s="68">
        <f t="shared" ref="K107:K110" si="72">SUM(G107:J107)</f>
        <v>0</v>
      </c>
      <c r="L107" s="47"/>
      <c r="M107" s="68">
        <f t="shared" ref="M107:M110" si="73">+K107+L107</f>
        <v>0</v>
      </c>
      <c r="N107" s="106"/>
      <c r="O107" s="106">
        <v>1428508485000</v>
      </c>
      <c r="P107" s="68">
        <f>+N107+O107</f>
        <v>1428508485000</v>
      </c>
      <c r="Q107" s="91">
        <f>+M107+P107</f>
        <v>1428508485000</v>
      </c>
    </row>
    <row r="108" spans="1:17">
      <c r="A108" t="s">
        <v>72</v>
      </c>
      <c r="B108" s="38" t="s">
        <v>170</v>
      </c>
      <c r="C108" s="39" t="s">
        <v>151</v>
      </c>
      <c r="D108" s="40" t="s">
        <v>3</v>
      </c>
      <c r="E108" s="39" t="s">
        <v>0</v>
      </c>
      <c r="F108" s="45" t="s">
        <v>38</v>
      </c>
      <c r="G108" s="46"/>
      <c r="H108" s="46"/>
      <c r="I108" s="46"/>
      <c r="J108" s="46"/>
      <c r="K108" s="68">
        <f t="shared" si="72"/>
        <v>0</v>
      </c>
      <c r="L108" s="47"/>
      <c r="M108" s="68">
        <f t="shared" si="73"/>
        <v>0</v>
      </c>
      <c r="N108" s="106"/>
      <c r="O108" s="106"/>
      <c r="P108" s="68">
        <f>+N108+O108</f>
        <v>0</v>
      </c>
      <c r="Q108" s="68">
        <f>+M108+P108</f>
        <v>0</v>
      </c>
    </row>
    <row r="109" spans="1:17" ht="34.5" customHeight="1">
      <c r="B109" s="38" t="s">
        <v>170</v>
      </c>
      <c r="C109" s="39" t="s">
        <v>127</v>
      </c>
      <c r="D109" s="40" t="s">
        <v>71</v>
      </c>
      <c r="E109" s="39" t="s">
        <v>0</v>
      </c>
      <c r="F109" s="48" t="s">
        <v>39</v>
      </c>
      <c r="G109" s="46"/>
      <c r="H109" s="46"/>
      <c r="I109" s="46"/>
      <c r="J109" s="46"/>
      <c r="K109" s="68">
        <f t="shared" si="72"/>
        <v>0</v>
      </c>
      <c r="L109" s="47"/>
      <c r="M109" s="68">
        <f t="shared" si="73"/>
        <v>0</v>
      </c>
      <c r="N109" s="106"/>
      <c r="O109" s="106"/>
      <c r="P109" s="68">
        <f>+N109+O109</f>
        <v>0</v>
      </c>
      <c r="Q109" s="68">
        <f t="shared" ref="Q109:Q110" si="74">+M109+P109</f>
        <v>0</v>
      </c>
    </row>
    <row r="110" spans="1:17">
      <c r="A110" t="s">
        <v>72</v>
      </c>
      <c r="B110" s="38" t="s">
        <v>170</v>
      </c>
      <c r="C110" s="39" t="s">
        <v>128</v>
      </c>
      <c r="D110" s="40" t="s">
        <v>3</v>
      </c>
      <c r="E110" s="39" t="s">
        <v>0</v>
      </c>
      <c r="F110" s="45" t="s">
        <v>40</v>
      </c>
      <c r="G110" s="46"/>
      <c r="H110" s="46"/>
      <c r="I110" s="46"/>
      <c r="J110" s="46"/>
      <c r="K110" s="68">
        <f t="shared" si="72"/>
        <v>0</v>
      </c>
      <c r="L110" s="47"/>
      <c r="M110" s="68">
        <f t="shared" si="73"/>
        <v>0</v>
      </c>
      <c r="N110" s="106"/>
      <c r="O110" s="106">
        <v>633630520000</v>
      </c>
      <c r="P110" s="68">
        <f>+N110+O110</f>
        <v>633630520000</v>
      </c>
      <c r="Q110" s="91">
        <f t="shared" si="74"/>
        <v>633630520000</v>
      </c>
    </row>
    <row r="111" spans="1:17">
      <c r="A111" t="s">
        <v>72</v>
      </c>
      <c r="B111" s="38" t="s">
        <v>170</v>
      </c>
      <c r="C111" s="72" t="s">
        <v>129</v>
      </c>
      <c r="D111" s="80" t="s">
        <v>3</v>
      </c>
      <c r="E111" s="73"/>
      <c r="F111" s="74" t="s">
        <v>69</v>
      </c>
      <c r="G111" s="69"/>
      <c r="H111" s="69"/>
      <c r="I111" s="69"/>
      <c r="J111" s="69"/>
      <c r="K111" s="70"/>
      <c r="L111" s="70"/>
      <c r="M111" s="70"/>
      <c r="N111" s="70"/>
      <c r="O111" s="70"/>
      <c r="P111" s="70"/>
      <c r="Q111" s="106">
        <f>O107-O110</f>
        <v>794877965000</v>
      </c>
    </row>
    <row r="112" spans="1:17">
      <c r="A112" t="s">
        <v>72</v>
      </c>
      <c r="B112" s="38" t="s">
        <v>170</v>
      </c>
      <c r="C112" s="72" t="s">
        <v>130</v>
      </c>
      <c r="D112" s="80" t="s">
        <v>3</v>
      </c>
      <c r="E112" s="73" t="s">
        <v>0</v>
      </c>
      <c r="F112" s="75" t="s">
        <v>70</v>
      </c>
      <c r="G112" s="69"/>
      <c r="H112" s="69"/>
      <c r="I112" s="69"/>
      <c r="J112" s="69"/>
      <c r="K112" s="70"/>
      <c r="L112" s="70"/>
      <c r="M112" s="70"/>
      <c r="N112" s="70"/>
      <c r="O112" s="70"/>
      <c r="P112" s="70"/>
      <c r="Q112" s="68">
        <f>+Q110+Q111</f>
        <v>1428508485000</v>
      </c>
    </row>
    <row r="113" spans="2:17">
      <c r="B113" s="38" t="s">
        <v>170</v>
      </c>
      <c r="C113" s="39" t="s">
        <v>131</v>
      </c>
      <c r="D113" s="40" t="s">
        <v>71</v>
      </c>
      <c r="E113" s="39" t="s">
        <v>0</v>
      </c>
      <c r="F113" s="48" t="s">
        <v>41</v>
      </c>
      <c r="G113" s="46"/>
      <c r="H113" s="46"/>
      <c r="I113" s="46"/>
      <c r="J113" s="46"/>
      <c r="K113" s="68">
        <f t="shared" ref="K113:K119" si="75">SUM(G113:J113)</f>
        <v>0</v>
      </c>
      <c r="L113" s="47"/>
      <c r="M113" s="68">
        <f t="shared" ref="M113:M119" si="76">+K113+L113</f>
        <v>0</v>
      </c>
      <c r="N113" s="47"/>
      <c r="O113" s="47"/>
      <c r="P113" s="68">
        <f t="shared" ref="P113" si="77">+N113+O113</f>
        <v>0</v>
      </c>
      <c r="Q113" s="68">
        <f t="shared" ref="Q113" si="78">+M113+P113</f>
        <v>0</v>
      </c>
    </row>
    <row r="114" spans="2:17" ht="22.5">
      <c r="B114" s="38" t="s">
        <v>170</v>
      </c>
      <c r="C114" s="39" t="s">
        <v>132</v>
      </c>
      <c r="D114" s="40" t="s">
        <v>71</v>
      </c>
      <c r="E114" s="39" t="s">
        <v>0</v>
      </c>
      <c r="F114" s="48" t="s">
        <v>42</v>
      </c>
      <c r="G114" s="46"/>
      <c r="H114" s="46"/>
      <c r="I114" s="46"/>
      <c r="J114" s="46"/>
      <c r="K114" s="68">
        <f t="shared" si="75"/>
        <v>0</v>
      </c>
      <c r="L114" s="47"/>
      <c r="M114" s="68">
        <f t="shared" si="76"/>
        <v>0</v>
      </c>
      <c r="N114" s="47"/>
      <c r="O114" s="47"/>
      <c r="P114" s="68">
        <f>+N114+O114</f>
        <v>0</v>
      </c>
      <c r="Q114" s="68">
        <f>+M114+P114</f>
        <v>0</v>
      </c>
    </row>
    <row r="115" spans="2:17">
      <c r="B115" s="38" t="s">
        <v>170</v>
      </c>
      <c r="C115" s="39" t="s">
        <v>133</v>
      </c>
      <c r="D115" s="40" t="s">
        <v>71</v>
      </c>
      <c r="E115" s="39" t="s">
        <v>0</v>
      </c>
      <c r="F115" s="48" t="s">
        <v>43</v>
      </c>
      <c r="G115" s="46"/>
      <c r="H115" s="46"/>
      <c r="I115" s="46"/>
      <c r="J115" s="46"/>
      <c r="K115" s="68">
        <f t="shared" si="75"/>
        <v>0</v>
      </c>
      <c r="L115" s="47"/>
      <c r="M115" s="68">
        <f t="shared" si="76"/>
        <v>0</v>
      </c>
      <c r="N115" s="47"/>
      <c r="O115" s="47"/>
      <c r="P115" s="68">
        <f>+N115+O115</f>
        <v>0</v>
      </c>
      <c r="Q115" s="68">
        <f t="shared" ref="Q115" si="79">+M115+P115</f>
        <v>0</v>
      </c>
    </row>
    <row r="116" spans="2:17" ht="22.5">
      <c r="B116" s="38" t="s">
        <v>170</v>
      </c>
      <c r="C116" s="39" t="s">
        <v>134</v>
      </c>
      <c r="D116" s="40" t="s">
        <v>71</v>
      </c>
      <c r="E116" s="39" t="s">
        <v>0</v>
      </c>
      <c r="F116" s="48" t="s">
        <v>44</v>
      </c>
      <c r="G116" s="46"/>
      <c r="H116" s="46"/>
      <c r="I116" s="46"/>
      <c r="J116" s="46"/>
      <c r="K116" s="68">
        <f t="shared" si="75"/>
        <v>0</v>
      </c>
      <c r="L116" s="47"/>
      <c r="M116" s="68">
        <f t="shared" si="76"/>
        <v>0</v>
      </c>
      <c r="N116" s="47"/>
      <c r="O116" s="47"/>
      <c r="P116" s="68">
        <f t="shared" ref="P116" si="80">+N116+O116</f>
        <v>0</v>
      </c>
      <c r="Q116" s="68">
        <f>+M116+P116</f>
        <v>0</v>
      </c>
    </row>
    <row r="117" spans="2:17">
      <c r="B117" s="38" t="s">
        <v>170</v>
      </c>
      <c r="C117" s="39" t="s">
        <v>135</v>
      </c>
      <c r="D117" s="40" t="s">
        <v>71</v>
      </c>
      <c r="E117" s="39" t="s">
        <v>0</v>
      </c>
      <c r="F117" s="48" t="s">
        <v>45</v>
      </c>
      <c r="G117" s="46"/>
      <c r="H117" s="46"/>
      <c r="I117" s="46"/>
      <c r="J117" s="46"/>
      <c r="K117" s="68">
        <f t="shared" si="75"/>
        <v>0</v>
      </c>
      <c r="L117" s="47"/>
      <c r="M117" s="68">
        <f t="shared" si="76"/>
        <v>0</v>
      </c>
      <c r="N117" s="47"/>
      <c r="O117" s="47"/>
      <c r="P117" s="68">
        <f>+N117+O117</f>
        <v>0</v>
      </c>
      <c r="Q117" s="68">
        <f t="shared" ref="Q117" si="81">+M117+P117</f>
        <v>0</v>
      </c>
    </row>
    <row r="118" spans="2:17">
      <c r="B118" s="38" t="s">
        <v>170</v>
      </c>
      <c r="C118" s="39" t="s">
        <v>136</v>
      </c>
      <c r="D118" s="40" t="s">
        <v>71</v>
      </c>
      <c r="E118" s="39" t="s">
        <v>0</v>
      </c>
      <c r="F118" s="48" t="s">
        <v>46</v>
      </c>
      <c r="G118" s="46"/>
      <c r="H118" s="46"/>
      <c r="I118" s="46"/>
      <c r="J118" s="46"/>
      <c r="K118" s="68">
        <f t="shared" si="75"/>
        <v>0</v>
      </c>
      <c r="L118" s="47"/>
      <c r="M118" s="68">
        <f t="shared" si="76"/>
        <v>0</v>
      </c>
      <c r="N118" s="47"/>
      <c r="O118" s="47"/>
      <c r="P118" s="68">
        <f>+N118+O118</f>
        <v>0</v>
      </c>
      <c r="Q118" s="68">
        <f>+M118+P118</f>
        <v>0</v>
      </c>
    </row>
    <row r="119" spans="2:17">
      <c r="B119" s="38" t="s">
        <v>170</v>
      </c>
      <c r="C119" s="39" t="s">
        <v>137</v>
      </c>
      <c r="D119" s="40" t="s">
        <v>71</v>
      </c>
      <c r="E119" s="39" t="s">
        <v>0</v>
      </c>
      <c r="F119" s="45" t="s">
        <v>47</v>
      </c>
      <c r="G119" s="46"/>
      <c r="H119" s="46"/>
      <c r="I119" s="46"/>
      <c r="J119" s="46"/>
      <c r="K119" s="68">
        <f t="shared" si="75"/>
        <v>0</v>
      </c>
      <c r="L119" s="47"/>
      <c r="M119" s="68">
        <f t="shared" si="76"/>
        <v>0</v>
      </c>
      <c r="N119" s="47"/>
      <c r="O119" s="47"/>
      <c r="P119" s="68">
        <f t="shared" ref="P119" si="82">+N119+O119</f>
        <v>0</v>
      </c>
      <c r="Q119" s="68">
        <f t="shared" ref="Q119" si="83">+M119+P119</f>
        <v>0</v>
      </c>
    </row>
    <row r="120" spans="2:17">
      <c r="B120" s="38" t="s">
        <v>170</v>
      </c>
      <c r="C120" s="39" t="s">
        <v>138</v>
      </c>
      <c r="D120" s="40" t="s">
        <v>71</v>
      </c>
      <c r="E120" s="39" t="s">
        <v>0</v>
      </c>
      <c r="F120" s="45" t="s">
        <v>48</v>
      </c>
      <c r="G120" s="78"/>
      <c r="H120" s="78"/>
      <c r="I120" s="78"/>
      <c r="J120" s="78"/>
      <c r="K120" s="79"/>
      <c r="L120" s="79"/>
      <c r="M120" s="79"/>
      <c r="N120" s="79"/>
      <c r="O120" s="79"/>
      <c r="P120" s="79"/>
      <c r="Q120" s="79"/>
    </row>
    <row r="121" spans="2:17">
      <c r="B121" s="49"/>
      <c r="C121" s="50"/>
      <c r="D121" s="50"/>
      <c r="E121" s="50"/>
      <c r="F121" s="51"/>
      <c r="G121" s="52"/>
      <c r="H121" s="52"/>
      <c r="I121" s="52"/>
      <c r="J121" s="52"/>
      <c r="K121" s="53"/>
      <c r="L121" s="53"/>
      <c r="M121" s="53"/>
      <c r="N121" s="53"/>
      <c r="O121" s="53"/>
      <c r="P121" s="53"/>
      <c r="Q121" s="54"/>
    </row>
  </sheetData>
  <conditionalFormatting sqref="Q10 Q49">
    <cfRule type="expression" dxfId="19" priority="168">
      <formula>OR(IF(OR(NOT(ISERROR(FIND("ERR",#REF!)&gt;1)),NOT(ISERROR(FIND("ERR",#REF!)&gt;1))),TRUE,FALSE),IF(NOT(ISERR(FIND("ERR",#REF!)))=TRUE,TRUE,FALSE),IF(NOT(ISERR(FIND("ERR",#REF!)))=TRUE,TRUE,FALSE),IF(NOT(ISERR(FIND("ERR",#REF!)))=TRUE,TRUE,FALSE),IF(NOT(ISERR(FIND("ERR",#REF!)))=TRUE,TRUE,FALSE))</formula>
    </cfRule>
  </conditionalFormatting>
  <conditionalFormatting sqref="Q13 Q52 Q16:Q17 Q55:Q56 Q21 Q60">
    <cfRule type="expression" dxfId="18" priority="169">
      <formula>OR(IF(NOT(ISERR(FIND("ERR",#REF!)))=TRUE,TRUE,FALSE),IF(NOT(ISERR(FIND("ERR",#REF!)))=TRUE,TRUE,FALSE))</formula>
    </cfRule>
  </conditionalFormatting>
  <conditionalFormatting sqref="Q14:Q15 Q53:Q54 Q66 Q26:Q27">
    <cfRule type="expression" dxfId="17" priority="171">
      <formula>OR(IF(NOT(ISERR(FIND("ERR",#REF!)))=TRUE,TRUE,FALSE),)</formula>
    </cfRule>
  </conditionalFormatting>
  <conditionalFormatting sqref="Q62">
    <cfRule type="expression" dxfId="16" priority="175">
      <formula>OR(IF(NOT(ISERR(FIND("ERR",#REF!)))=TRUE,TRUE,FALSE),IF(NOT(ISERR(FIND("ERR",#REF!)))=TRUE,TRUE,FALSE))</formula>
    </cfRule>
  </conditionalFormatting>
  <conditionalFormatting sqref="Q28 Q67">
    <cfRule type="expression" dxfId="15" priority="178">
      <formula>OR(IF(NOT(ISERR(FIND("ERR",#REF!)))=TRUE,TRUE,FALSE),IF(NOT(ISERR(FIND("ERR",#REF!)))=TRUE,TRUE,FALSE),IF(NOT(ISERR(FIND("ERR",#REF!)))=TRUE,TRUE,FALSE),IF(NOT(ISERR(FIND("ERR",#REF!)))=TRUE,TRUE,FALSE),)</formula>
    </cfRule>
  </conditionalFormatting>
  <conditionalFormatting sqref="Q32 Q110 Q23 Q39:Q41 Q78:Q80 Q29 Q107">
    <cfRule type="expression" dxfId="14" priority="180">
      <formula>OR(IF(OR(NOT(ISERROR(FIND("ERR",#REF!)&gt;1)),NOT(ISERROR(FIND("ERR",#REF!)&gt;1))),TRUE,FALSE),IF(NOT(ISERR(FIND("ERR",#REF!)))=TRUE,TRUE,FALSE))</formula>
    </cfRule>
  </conditionalFormatting>
  <conditionalFormatting sqref="Q25 Q64:Q65">
    <cfRule type="expression" dxfId="13" priority="188">
      <formula>IF(OR(NOT(ISERROR(FIND("ERR",#REF!)&gt;1)),NOT(ISERROR(FIND("ERR",#REF!)&gt;1))),TRUE,FALSE)</formula>
    </cfRule>
  </conditionalFormatting>
  <conditionalFormatting sqref="Q9">
    <cfRule type="expression" dxfId="12" priority="3">
      <formula>OR(IF(OR(NOT(ISERROR(FIND("ERR",#REF!)&gt;1)),NOT(ISERROR(FIND("ERR",#REF!)&gt;1))),TRUE,FALSE),IF(NOT(ISERR(FIND("ERR",#REF!)))=TRUE,TRUE,FALSE),IF(NOT(ISERR(FIND("ERR",#REF!)))=TRUE,TRUE,FALSE),IF(NOT(ISERR(FIND("ERR",#REF!)))=TRUE,TRUE,FALSE),IF(NOT(ISERR(FIND("ERR",#REF!)))=TRUE,TRUE,FALSE))</formula>
    </cfRule>
  </conditionalFormatting>
  <conditionalFormatting sqref="Q48">
    <cfRule type="expression" dxfId="11" priority="2">
      <formula>OR(IF(OR(NOT(ISERROR(FIND("ERR",#REF!)&gt;1)),NOT(ISERROR(FIND("ERR",#REF!)&gt;1))),TRUE,FALSE),IF(NOT(ISERR(FIND("ERR",#REF!)))=TRUE,TRUE,FALSE),IF(NOT(ISERR(FIND("ERR",#REF!)))=TRUE,TRUE,FALSE),IF(NOT(ISERR(FIND("ERR",#REF!)))=TRUE,TRUE,FALSE),IF(NOT(ISERR(FIND("ERR",#REF!)))=TRUE,TRUE,FALSE))</formula>
    </cfRule>
  </conditionalFormatting>
  <conditionalFormatting sqref="Q87">
    <cfRule type="expression" dxfId="10" priority="1">
      <formula>OR(IF(OR(NOT(ISERROR(FIND("ERR",#REF!)&gt;1)),NOT(ISERROR(FIND("ERR",#REF!)&gt;1))),TRUE,FALSE),IF(NOT(ISERR(FIND("ERR",#REF!)))=TRUE,TRUE,FALSE),IF(NOT(ISERR(FIND("ERR",#REF!)))=TRUE,TRUE,FALSE),IF(NOT(ISERR(FIND("ERR",#REF!)))=TRUE,TRUE,FALSE),IF(NOT(ISERR(FIND("ERR",#REF!)))=TRUE,TRUE,FALSE))</formula>
    </cfRule>
  </conditionalFormatting>
  <pageMargins left="0.7" right="0.7" top="0.75" bottom="0.75" header="0.3" footer="0.3"/>
  <pageSetup paperSize="9" orientation="portrait" horizontalDpi="300" verticalDpi="300"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Hoja1!$A$1:$A$2</xm:f>
          </x14:formula1>
          <xm:sqref>G4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7">
    <tabColor theme="5" tint="0.39997558519241921"/>
  </sheetPr>
  <dimension ref="A1:I18"/>
  <sheetViews>
    <sheetView topLeftCell="A4" zoomScale="80" zoomScaleNormal="80" workbookViewId="0">
      <selection activeCell="G16" sqref="G16"/>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s>
  <sheetData>
    <row r="1" spans="1:9" ht="54.95" customHeight="1" thickBot="1"/>
    <row r="2" spans="1:9" ht="177" customHeight="1" thickBot="1">
      <c r="F2" s="12" t="s">
        <v>1</v>
      </c>
    </row>
    <row r="3" spans="1:9" ht="16.5" thickBot="1">
      <c r="F3" s="13" t="s">
        <v>2</v>
      </c>
    </row>
    <row r="4" spans="1:9" ht="16.5" thickBot="1">
      <c r="F4" s="87" t="s">
        <v>86</v>
      </c>
      <c r="G4" s="88" t="s">
        <v>84</v>
      </c>
    </row>
    <row r="5" spans="1:9" ht="87.75" customHeight="1">
      <c r="A5" s="15" t="s">
        <v>152</v>
      </c>
      <c r="B5" s="16"/>
      <c r="C5" s="17"/>
      <c r="D5" s="17"/>
      <c r="E5" s="18"/>
      <c r="F5" s="19" t="s">
        <v>50</v>
      </c>
      <c r="G5" s="20" t="s">
        <v>17</v>
      </c>
      <c r="H5" s="20" t="s">
        <v>17</v>
      </c>
      <c r="I5" s="21" t="s">
        <v>52</v>
      </c>
    </row>
    <row r="6" spans="1:9" ht="98.25" hidden="1" customHeight="1">
      <c r="A6" s="22" t="s">
        <v>153</v>
      </c>
      <c r="B6" s="23"/>
      <c r="C6" s="24"/>
      <c r="D6" s="25" t="s">
        <v>157</v>
      </c>
      <c r="E6" s="26" t="s">
        <v>156</v>
      </c>
      <c r="F6" s="27"/>
      <c r="G6" s="28" t="str">
        <f>SUBSTITUTE(CONCATENATE("IFRS8-InfoProdServ_",TRIM(G5),"_",COLUMN(G6),"|",G5)," ","")</f>
        <v>IFRS8-InfoProdServ_Agregarcolumnaopcional_7|Agregarcolumnaopcional</v>
      </c>
      <c r="H6" s="28" t="str">
        <f>SUBSTITUTE(CONCATENATE("IFRS8-InfoProdServ_",TRIM(H5),"_",COLUMN(H6),"|",H5)," ","")</f>
        <v>IFRS8-InfoProdServ_Agregarcolumnaopcional_8|Agregarcolumnaopcional</v>
      </c>
      <c r="I6" s="29" t="s">
        <v>139</v>
      </c>
    </row>
    <row r="7" spans="1:9" ht="13.5" customHeight="1">
      <c r="A7" s="30"/>
      <c r="B7" s="31"/>
      <c r="C7" s="32"/>
      <c r="D7" s="33"/>
      <c r="E7" s="34"/>
      <c r="F7" s="35"/>
      <c r="G7" s="36"/>
      <c r="H7" s="36"/>
      <c r="I7" s="37"/>
    </row>
    <row r="8" spans="1:9">
      <c r="A8" s="30"/>
      <c r="B8" s="38"/>
      <c r="C8" s="39"/>
      <c r="D8" s="40"/>
      <c r="E8" s="41"/>
      <c r="F8" s="42" t="s">
        <v>53</v>
      </c>
      <c r="G8" s="43"/>
      <c r="H8" s="43"/>
      <c r="I8" s="44"/>
    </row>
    <row r="9" spans="1:9">
      <c r="A9" s="30"/>
      <c r="B9" s="38" t="s">
        <v>170</v>
      </c>
      <c r="C9" s="101" t="s">
        <v>172</v>
      </c>
      <c r="D9" s="40" t="s">
        <v>3</v>
      </c>
      <c r="E9" s="39" t="s">
        <v>0</v>
      </c>
      <c r="F9" s="100" t="s">
        <v>171</v>
      </c>
      <c r="G9" s="97" t="s">
        <v>200</v>
      </c>
      <c r="H9" s="97"/>
      <c r="I9" s="99"/>
    </row>
    <row r="10" spans="1:9">
      <c r="A10" s="30"/>
      <c r="B10" s="38" t="s">
        <v>170</v>
      </c>
      <c r="C10" s="39" t="s">
        <v>111</v>
      </c>
      <c r="D10" s="40" t="s">
        <v>3</v>
      </c>
      <c r="E10" s="39" t="s">
        <v>0</v>
      </c>
      <c r="F10" s="45" t="s">
        <v>25</v>
      </c>
      <c r="G10" s="46">
        <v>146210509000</v>
      </c>
      <c r="H10" s="46"/>
      <c r="I10" s="89">
        <f>SUM(G10:H10)</f>
        <v>146210509000</v>
      </c>
    </row>
    <row r="11" spans="1:9">
      <c r="B11" s="49"/>
      <c r="C11" s="50"/>
      <c r="D11" s="50"/>
      <c r="E11" s="50"/>
      <c r="F11" s="51"/>
      <c r="G11" s="52"/>
      <c r="H11" s="52"/>
      <c r="I11" s="54"/>
    </row>
    <row r="12" spans="1:9" ht="15.75" thickBot="1"/>
    <row r="13" spans="1:9" ht="90" customHeight="1">
      <c r="A13" s="15"/>
      <c r="B13" s="16"/>
      <c r="C13" s="17"/>
      <c r="D13" s="17"/>
      <c r="E13" s="18"/>
      <c r="F13" s="19" t="s">
        <v>50</v>
      </c>
      <c r="G13" s="76" t="str">
        <f>IF(G5="Agregar columna opcional","",G5)</f>
        <v/>
      </c>
      <c r="H13" s="76" t="str">
        <f>IF(H5="Agregar columna opcional","",H5)</f>
        <v/>
      </c>
      <c r="I13" s="21" t="s">
        <v>52</v>
      </c>
    </row>
    <row r="14" spans="1:9">
      <c r="A14" s="30"/>
      <c r="B14" s="31"/>
      <c r="C14" s="32"/>
      <c r="D14" s="33"/>
      <c r="E14" s="34"/>
      <c r="F14" s="55"/>
      <c r="G14" s="56"/>
      <c r="H14" s="56"/>
      <c r="I14" s="66"/>
    </row>
    <row r="15" spans="1:9">
      <c r="A15" s="30"/>
      <c r="B15" s="38"/>
      <c r="C15" s="39"/>
      <c r="D15" s="40"/>
      <c r="E15" s="41"/>
      <c r="F15" s="42" t="s">
        <v>53</v>
      </c>
      <c r="G15" s="43"/>
      <c r="H15" s="43"/>
      <c r="I15" s="67"/>
    </row>
    <row r="16" spans="1:9">
      <c r="A16" s="30"/>
      <c r="B16" s="38" t="s">
        <v>170</v>
      </c>
      <c r="C16" s="101" t="s">
        <v>172</v>
      </c>
      <c r="D16" s="40" t="s">
        <v>4</v>
      </c>
      <c r="E16" s="39" t="s">
        <v>0</v>
      </c>
      <c r="F16" s="100" t="s">
        <v>171</v>
      </c>
      <c r="G16" s="97" t="s">
        <v>198</v>
      </c>
      <c r="H16" s="97"/>
      <c r="I16" s="99"/>
    </row>
    <row r="17" spans="1:9">
      <c r="A17" s="30"/>
      <c r="B17" s="38" t="s">
        <v>170</v>
      </c>
      <c r="C17" s="39" t="s">
        <v>111</v>
      </c>
      <c r="D17" s="40" t="s">
        <v>4</v>
      </c>
      <c r="E17" s="39" t="s">
        <v>0</v>
      </c>
      <c r="F17" s="45" t="s">
        <v>25</v>
      </c>
      <c r="G17" s="46">
        <v>125886312000</v>
      </c>
      <c r="H17" s="46"/>
      <c r="I17" s="89">
        <f>SUM(G17:H17)</f>
        <v>125886312000</v>
      </c>
    </row>
    <row r="18" spans="1:9">
      <c r="B18" s="49"/>
      <c r="C18" s="50"/>
      <c r="D18" s="50"/>
      <c r="E18" s="50"/>
      <c r="F18" s="51"/>
      <c r="G18" s="52"/>
      <c r="H18" s="52"/>
      <c r="I18" s="54"/>
    </row>
  </sheetData>
  <conditionalFormatting sqref="I10 I17">
    <cfRule type="expression" dxfId="9" priority="189">
      <formula>OR(IF(OR(NOT(ISERROR(FIND("ERR",#REF!)&gt;1)),NOT(ISERROR(FIND("ERR",#REF!)&gt;1))),TRUE,FALSE),IF(NOT(ISERR(FIND("ERR",#REF!)))=TRUE,TRUE,FALSE),IF(NOT(ISERR(FIND("ERR",#REF!)))=TRUE,TRUE,FALSE),IF(NOT(ISERR(FIND("ERR",#REF!)))=TRUE,TRUE,FALSE),IF(NOT(ISERR(FIND("ERR",#REF!)))=TRUE,TRUE,FALSE))</formula>
    </cfRule>
  </conditionalFormatting>
  <conditionalFormatting sqref="I9">
    <cfRule type="expression" dxfId="8" priority="3">
      <formula>OR(IF(OR(NOT(ISERROR(FIND("ERR",#REF!)&gt;1)),NOT(ISERROR(FIND("ERR",#REF!)&gt;1))),TRUE,FALSE),IF(NOT(ISERR(FIND("ERR",#REF!)))=TRUE,TRUE,FALSE),IF(NOT(ISERR(FIND("ERR",#REF!)))=TRUE,TRUE,FALSE),IF(NOT(ISERR(FIND("ERR",#REF!)))=TRUE,TRUE,FALSE),IF(NOT(ISERR(FIND("ERR",#REF!)))=TRUE,TRUE,FALSE))</formula>
    </cfRule>
  </conditionalFormatting>
  <conditionalFormatting sqref="I16">
    <cfRule type="expression" dxfId="7" priority="1">
      <formula>OR(IF(OR(NOT(ISERROR(FIND("ERR",#REF!)&gt;1)),NOT(ISERROR(FIND("ERR",#REF!)&gt;1))),TRUE,FALSE),IF(NOT(ISERR(FIND("ERR",#REF!)))=TRUE,TRUE,FALSE),IF(NOT(ISERR(FIND("ERR",#REF!)))=TRUE,TRUE,FALSE),IF(NOT(ISERR(FIND("ERR",#REF!)))=TRUE,TRUE,FALSE),IF(NOT(ISERR(FIND("ERR",#REF!)))=TRUE,TRUE,FALSE))</formula>
    </cfRule>
  </conditionalFormatting>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Hoja1!$A$1:$A$2</xm:f>
          </x14:formula1>
          <xm:sqref>G4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theme="7" tint="0.39997558519241921"/>
  </sheetPr>
  <dimension ref="A1:K20"/>
  <sheetViews>
    <sheetView topLeftCell="A7" zoomScale="80" zoomScaleNormal="80" workbookViewId="0">
      <selection activeCell="H17" sqref="H17"/>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s>
  <sheetData>
    <row r="1" spans="1:11" ht="54.95" customHeight="1" thickBot="1"/>
    <row r="2" spans="1:11" ht="177" customHeight="1" thickBot="1">
      <c r="F2" s="12" t="s">
        <v>1</v>
      </c>
    </row>
    <row r="3" spans="1:11" ht="16.5" thickBot="1">
      <c r="F3" s="13" t="s">
        <v>2</v>
      </c>
    </row>
    <row r="4" spans="1:11" ht="16.5" thickBot="1">
      <c r="F4" s="87" t="s">
        <v>86</v>
      </c>
      <c r="G4" s="88" t="s">
        <v>84</v>
      </c>
    </row>
    <row r="5" spans="1:11" ht="87.75" customHeight="1">
      <c r="A5" s="15" t="s">
        <v>152</v>
      </c>
      <c r="B5" s="16"/>
      <c r="C5" s="17"/>
      <c r="D5" s="17"/>
      <c r="E5" s="18"/>
      <c r="F5" s="19" t="s">
        <v>55</v>
      </c>
      <c r="G5" s="83" t="s">
        <v>164</v>
      </c>
      <c r="H5" s="20" t="s">
        <v>17</v>
      </c>
      <c r="I5" s="20" t="s">
        <v>17</v>
      </c>
      <c r="J5" s="21" t="s">
        <v>165</v>
      </c>
      <c r="K5" s="21" t="s">
        <v>166</v>
      </c>
    </row>
    <row r="6" spans="1:11" ht="98.25" hidden="1" customHeight="1">
      <c r="A6" s="22" t="s">
        <v>153</v>
      </c>
      <c r="B6" s="23"/>
      <c r="C6" s="24"/>
      <c r="D6" s="25" t="s">
        <v>159</v>
      </c>
      <c r="E6" s="26" t="s">
        <v>158</v>
      </c>
      <c r="F6" s="27"/>
      <c r="G6" s="29" t="s">
        <v>140</v>
      </c>
      <c r="H6" s="28" t="str">
        <f>SUBSTITUTE(CONCATENATE("IFRS8-InfoAreaGeog_",TRIM(H5),"_",COLUMN(H6),"|",H5)," ","")</f>
        <v>IFRS8-InfoAreaGeog_Agregarcolumnaopcional_8|Agregarcolumnaopcional</v>
      </c>
      <c r="I6" s="28" t="str">
        <f>SUBSTITUTE(CONCATENATE("IFRS8-InfoAreaGeog_",TRIM(I5),"_",COLUMN(I6),"|",I5)," ","")</f>
        <v>IFRS8-InfoAreaGeog_Agregarcolumnaopcional_9|Agregarcolumnaopcional</v>
      </c>
      <c r="J6" s="29" t="s">
        <v>141</v>
      </c>
      <c r="K6" s="29" t="s">
        <v>142</v>
      </c>
    </row>
    <row r="7" spans="1:11" ht="13.5" customHeight="1">
      <c r="A7" s="30"/>
      <c r="B7" s="31"/>
      <c r="C7" s="32"/>
      <c r="D7" s="33"/>
      <c r="E7" s="34"/>
      <c r="F7" s="55"/>
      <c r="G7" s="37"/>
      <c r="H7" s="36"/>
      <c r="I7" s="36"/>
      <c r="J7" s="37"/>
      <c r="K7" s="37"/>
    </row>
    <row r="8" spans="1:11">
      <c r="A8" s="30"/>
      <c r="B8" s="38"/>
      <c r="C8" s="39"/>
      <c r="D8" s="40"/>
      <c r="E8" s="41"/>
      <c r="F8" s="84" t="s">
        <v>57</v>
      </c>
      <c r="G8" s="44"/>
      <c r="H8" s="43"/>
      <c r="I8" s="43"/>
      <c r="J8" s="44"/>
      <c r="K8" s="44"/>
    </row>
    <row r="9" spans="1:11">
      <c r="A9" s="30"/>
      <c r="B9" s="38" t="s">
        <v>170</v>
      </c>
      <c r="C9" s="101" t="s">
        <v>175</v>
      </c>
      <c r="D9" s="40" t="s">
        <v>3</v>
      </c>
      <c r="E9" s="41" t="s">
        <v>0</v>
      </c>
      <c r="F9" s="101" t="s">
        <v>174</v>
      </c>
      <c r="G9" s="103"/>
      <c r="H9" s="97" t="s">
        <v>197</v>
      </c>
      <c r="I9" s="97"/>
      <c r="J9" s="98"/>
      <c r="K9" s="99"/>
    </row>
    <row r="10" spans="1:11">
      <c r="A10" s="30"/>
      <c r="B10" s="38" t="s">
        <v>170</v>
      </c>
      <c r="C10" s="39" t="s">
        <v>111</v>
      </c>
      <c r="D10" s="40" t="s">
        <v>3</v>
      </c>
      <c r="E10" s="41" t="s">
        <v>0</v>
      </c>
      <c r="F10" s="39" t="s">
        <v>25</v>
      </c>
      <c r="G10" s="86"/>
      <c r="H10" s="46">
        <v>146210509000</v>
      </c>
      <c r="I10" s="46"/>
      <c r="J10" s="104">
        <f>SUM(H10:I10)</f>
        <v>146210509000</v>
      </c>
      <c r="K10" s="105">
        <f>+G10+J10</f>
        <v>146210509000</v>
      </c>
    </row>
    <row r="11" spans="1:11" ht="33.75">
      <c r="A11" s="30"/>
      <c r="B11" s="38" t="s">
        <v>170</v>
      </c>
      <c r="C11" s="39" t="s">
        <v>143</v>
      </c>
      <c r="D11" s="40" t="s">
        <v>3</v>
      </c>
      <c r="E11" s="39" t="s">
        <v>0</v>
      </c>
      <c r="F11" s="85" t="s">
        <v>56</v>
      </c>
      <c r="G11" s="86"/>
      <c r="H11" s="46"/>
      <c r="I11" s="46"/>
      <c r="J11" s="104">
        <f>SUM(H11:I11)</f>
        <v>0</v>
      </c>
      <c r="K11" s="104">
        <f>+G11+J11</f>
        <v>0</v>
      </c>
    </row>
    <row r="12" spans="1:11">
      <c r="B12" s="49"/>
      <c r="C12" s="50"/>
      <c r="D12" s="50"/>
      <c r="E12" s="50"/>
      <c r="F12" s="50"/>
      <c r="G12" s="51"/>
      <c r="H12" s="52"/>
      <c r="I12" s="52"/>
      <c r="J12" s="54"/>
      <c r="K12" s="54"/>
    </row>
    <row r="13" spans="1:11" ht="15.75" thickBot="1"/>
    <row r="14" spans="1:11" ht="90" customHeight="1">
      <c r="A14" s="15"/>
      <c r="B14" s="16"/>
      <c r="C14" s="17"/>
      <c r="D14" s="17"/>
      <c r="E14" s="18"/>
      <c r="F14" s="19" t="s">
        <v>55</v>
      </c>
      <c r="G14" s="83" t="str">
        <f>G5</f>
        <v xml:space="preserve">País de domicilio [miembro]  </v>
      </c>
      <c r="H14" s="76" t="str">
        <f>IF(H5="Agregar columna opcional","",H5)</f>
        <v/>
      </c>
      <c r="I14" s="76" t="str">
        <f>IF(I5="Agregar columna opcional","",I5)</f>
        <v/>
      </c>
      <c r="J14" s="21" t="str">
        <f t="shared" ref="J14:K14" si="0">J5</f>
        <v xml:space="preserve">Países extranjeros [miembro]  </v>
      </c>
      <c r="K14" s="21" t="str">
        <f t="shared" si="0"/>
        <v xml:space="preserve">Áreas geográficas [miembro]  </v>
      </c>
    </row>
    <row r="15" spans="1:11">
      <c r="A15" s="30"/>
      <c r="B15" s="31"/>
      <c r="C15" s="32"/>
      <c r="D15" s="33"/>
      <c r="E15" s="34"/>
      <c r="F15" s="55"/>
      <c r="G15" s="37"/>
      <c r="H15" s="56"/>
      <c r="I15" s="56"/>
      <c r="J15" s="66"/>
      <c r="K15" s="37"/>
    </row>
    <row r="16" spans="1:11">
      <c r="A16" s="30"/>
      <c r="B16" s="38"/>
      <c r="C16" s="39"/>
      <c r="D16" s="40"/>
      <c r="E16" s="41"/>
      <c r="F16" s="84" t="s">
        <v>57</v>
      </c>
      <c r="G16" s="44"/>
      <c r="H16" s="43"/>
      <c r="I16" s="43"/>
      <c r="J16" s="44"/>
      <c r="K16" s="44"/>
    </row>
    <row r="17" spans="1:11">
      <c r="A17" s="30"/>
      <c r="B17" s="38" t="s">
        <v>170</v>
      </c>
      <c r="C17" s="101" t="s">
        <v>175</v>
      </c>
      <c r="D17" s="40" t="s">
        <v>4</v>
      </c>
      <c r="E17" s="41" t="s">
        <v>0</v>
      </c>
      <c r="F17" s="101" t="s">
        <v>174</v>
      </c>
      <c r="G17" s="103"/>
      <c r="H17" s="97" t="s">
        <v>198</v>
      </c>
      <c r="I17" s="97"/>
      <c r="J17" s="98"/>
      <c r="K17" s="99"/>
    </row>
    <row r="18" spans="1:11">
      <c r="A18" s="30"/>
      <c r="B18" s="38" t="s">
        <v>170</v>
      </c>
      <c r="C18" s="39" t="s">
        <v>111</v>
      </c>
      <c r="D18" s="40" t="s">
        <v>4</v>
      </c>
      <c r="E18" s="39" t="s">
        <v>0</v>
      </c>
      <c r="F18" s="39" t="s">
        <v>25</v>
      </c>
      <c r="G18" s="86"/>
      <c r="H18" s="46">
        <v>125886312000</v>
      </c>
      <c r="I18" s="46"/>
      <c r="J18" s="104">
        <f t="shared" ref="J18:J19" si="1">SUM(H18:I18)</f>
        <v>125886312000</v>
      </c>
      <c r="K18" s="105">
        <f>+G18+J18</f>
        <v>125886312000</v>
      </c>
    </row>
    <row r="19" spans="1:11" ht="33.75">
      <c r="A19" s="30"/>
      <c r="B19" s="38" t="s">
        <v>170</v>
      </c>
      <c r="C19" s="39" t="s">
        <v>143</v>
      </c>
      <c r="D19" s="40" t="s">
        <v>4</v>
      </c>
      <c r="E19" s="39" t="s">
        <v>0</v>
      </c>
      <c r="F19" s="85" t="s">
        <v>56</v>
      </c>
      <c r="G19" s="86"/>
      <c r="H19" s="58"/>
      <c r="I19" s="58"/>
      <c r="J19" s="104">
        <f t="shared" si="1"/>
        <v>0</v>
      </c>
      <c r="K19" s="104">
        <f>+G19+J19</f>
        <v>0</v>
      </c>
    </row>
    <row r="20" spans="1:11">
      <c r="B20" s="49"/>
      <c r="C20" s="50"/>
      <c r="D20" s="50"/>
      <c r="E20" s="50"/>
      <c r="F20" s="50"/>
      <c r="G20" s="51"/>
      <c r="H20" s="52"/>
      <c r="I20" s="52"/>
      <c r="J20" s="54"/>
      <c r="K20" s="54"/>
    </row>
  </sheetData>
  <conditionalFormatting sqref="K10 K18">
    <cfRule type="expression" dxfId="6" priority="189">
      <formula>OR(IF(OR(NOT(ISERROR(FIND("ERR",#REF!)&gt;1)),NOT(ISERROR(FIND("ERR",#REF!)&gt;1))),TRUE,FALSE),IF(NOT(ISERR(FIND("ERR",#REF!)))=TRUE,TRUE,FALSE),IF(NOT(ISERR(FIND("ERR",#REF!)))=TRUE,TRUE,FALSE),IF(NOT(ISERR(FIND("ERR",#REF!)))=TRUE,TRUE,FALSE),IF(NOT(ISERR(FIND("ERR",#REF!)))=TRUE,TRUE,FALSE))</formula>
    </cfRule>
  </conditionalFormatting>
  <conditionalFormatting sqref="K9">
    <cfRule type="expression" dxfId="5" priority="2">
      <formula>OR(IF(OR(NOT(ISERROR(FIND("ERR",#REF!)&gt;1)),NOT(ISERROR(FIND("ERR",#REF!)&gt;1))),TRUE,FALSE),IF(NOT(ISERR(FIND("ERR",#REF!)))=TRUE,TRUE,FALSE),IF(NOT(ISERR(FIND("ERR",#REF!)))=TRUE,TRUE,FALSE),IF(NOT(ISERR(FIND("ERR",#REF!)))=TRUE,TRUE,FALSE),IF(NOT(ISERR(FIND("ERR",#REF!)))=TRUE,TRUE,FALSE))</formula>
    </cfRule>
  </conditionalFormatting>
  <conditionalFormatting sqref="K17">
    <cfRule type="expression" dxfId="4" priority="1">
      <formula>OR(IF(OR(NOT(ISERROR(FIND("ERR",#REF!)&gt;1)),NOT(ISERROR(FIND("ERR",#REF!)&gt;1))),TRUE,FALSE),IF(NOT(ISERR(FIND("ERR",#REF!)))=TRUE,TRUE,FALSE),IF(NOT(ISERR(FIND("ERR",#REF!)))=TRUE,TRUE,FALSE),IF(NOT(ISERR(FIND("ERR",#REF!)))=TRUE,TRUE,FALSE),IF(NOT(ISERR(FIND("ERR",#REF!)))=TRUE,TRUE,FALSE))</formula>
    </cfRule>
  </conditionalFormatting>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300-000000000000}">
          <x14:formula1>
            <xm:f>Hoja1!$A$1:$A$2</xm:f>
          </x14:formula1>
          <xm:sqref>G4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tabColor theme="6" tint="0.39997558519241921"/>
  </sheetPr>
  <dimension ref="A1:L20"/>
  <sheetViews>
    <sheetView topLeftCell="A4" zoomScale="80" zoomScaleNormal="80" workbookViewId="0">
      <selection activeCell="G17" sqref="G17"/>
    </sheetView>
  </sheetViews>
  <sheetFormatPr baseColWidth="10" defaultRowHeight="15"/>
  <cols>
    <col min="1" max="1" width="2.7109375" customWidth="1"/>
    <col min="2" max="2" width="3.28515625" customWidth="1"/>
    <col min="3" max="3" width="2.7109375" customWidth="1"/>
    <col min="4" max="4" width="5.42578125" customWidth="1"/>
    <col min="5" max="5" width="2.7109375" customWidth="1"/>
    <col min="6" max="6" width="90.7109375" customWidth="1"/>
  </cols>
  <sheetData>
    <row r="1" spans="1:12" ht="54.95" customHeight="1" thickBot="1"/>
    <row r="2" spans="1:12" ht="177" customHeight="1" thickBot="1">
      <c r="F2" s="12" t="s">
        <v>1</v>
      </c>
    </row>
    <row r="3" spans="1:12" ht="16.5" thickBot="1">
      <c r="F3" s="13" t="s">
        <v>2</v>
      </c>
    </row>
    <row r="4" spans="1:12" ht="16.5" thickBot="1">
      <c r="F4" s="87" t="s">
        <v>86</v>
      </c>
      <c r="G4" s="88" t="s">
        <v>84</v>
      </c>
    </row>
    <row r="5" spans="1:12" ht="87.75" customHeight="1">
      <c r="A5" s="15" t="s">
        <v>152</v>
      </c>
      <c r="B5" s="16"/>
      <c r="C5" s="17"/>
      <c r="D5" s="17"/>
      <c r="E5" s="18"/>
      <c r="F5" s="19" t="s">
        <v>59</v>
      </c>
      <c r="G5" s="20" t="s">
        <v>17</v>
      </c>
      <c r="H5" s="20" t="s">
        <v>17</v>
      </c>
      <c r="I5" s="21" t="s">
        <v>62</v>
      </c>
      <c r="J5" s="20" t="s">
        <v>17</v>
      </c>
      <c r="K5" s="20" t="s">
        <v>17</v>
      </c>
      <c r="L5" s="21" t="s">
        <v>63</v>
      </c>
    </row>
    <row r="6" spans="1:12" ht="98.25" hidden="1" customHeight="1">
      <c r="A6" s="22" t="s">
        <v>153</v>
      </c>
      <c r="B6" s="23"/>
      <c r="C6" s="24"/>
      <c r="D6" s="25" t="s">
        <v>161</v>
      </c>
      <c r="E6" s="26" t="s">
        <v>160</v>
      </c>
      <c r="F6" s="27"/>
      <c r="G6" s="28" t="str">
        <f>SUBSTITUTE(CONCATENATE("IFRS8-InfoClieImpr_",TRIM(G5),"_",COLUMN(G6),"|",G5)," ","")</f>
        <v>IFRS8-InfoClieImpr_Agregarcolumnaopcional_7|Agregarcolumnaopcional</v>
      </c>
      <c r="H6" s="28" t="str">
        <f>SUBSTITUTE(CONCATENATE("IFRS8-InfoClieImpr_",TRIM(H5),"_",COLUMN(H6),"|",H5)," ","")</f>
        <v>IFRS8-InfoClieImpr_Agregarcolumnaopcional_8|Agregarcolumnaopcional</v>
      </c>
      <c r="I6" s="29" t="s">
        <v>144</v>
      </c>
      <c r="J6" s="28" t="str">
        <f>SUBSTITUTE(CONCATENATE("IFRS8-InfoClieImpr_",TRIM(J5),"_",COLUMN(J6),"|",J5)," ","")</f>
        <v>IFRS8-InfoClieImpr_Agregarcolumnaopcional_10|Agregarcolumnaopcional</v>
      </c>
      <c r="K6" s="28" t="str">
        <f>SUBSTITUTE(CONCATENATE("IFRS8-InfoClieImpr_",TRIM(K5),"_",COLUMN(K6),"|",K5)," ","")</f>
        <v>IFRS8-InfoClieImpr_Agregarcolumnaopcional_11|Agregarcolumnaopcional</v>
      </c>
      <c r="L6" s="29" t="s">
        <v>145</v>
      </c>
    </row>
    <row r="7" spans="1:12" ht="13.5" customHeight="1">
      <c r="A7" s="30"/>
      <c r="B7" s="31"/>
      <c r="C7" s="32"/>
      <c r="D7" s="33"/>
      <c r="E7" s="34"/>
      <c r="F7" s="35"/>
      <c r="G7" s="36"/>
      <c r="H7" s="36"/>
      <c r="I7" s="37"/>
      <c r="J7" s="36"/>
      <c r="K7" s="36"/>
      <c r="L7" s="37"/>
    </row>
    <row r="8" spans="1:12">
      <c r="A8" s="30"/>
      <c r="B8" s="38"/>
      <c r="C8" s="39"/>
      <c r="D8" s="40"/>
      <c r="E8" s="41"/>
      <c r="F8" s="42" t="s">
        <v>64</v>
      </c>
      <c r="G8" s="43"/>
      <c r="H8" s="43"/>
      <c r="I8" s="44"/>
      <c r="J8" s="43"/>
      <c r="K8" s="43"/>
      <c r="L8" s="44"/>
    </row>
    <row r="9" spans="1:12">
      <c r="A9" s="30"/>
      <c r="B9" s="38" t="s">
        <v>170</v>
      </c>
      <c r="C9" s="101" t="s">
        <v>177</v>
      </c>
      <c r="D9" s="40" t="s">
        <v>3</v>
      </c>
      <c r="E9" s="41" t="s">
        <v>0</v>
      </c>
      <c r="F9" s="100" t="s">
        <v>176</v>
      </c>
      <c r="G9" s="97"/>
      <c r="H9" s="97" t="s">
        <v>197</v>
      </c>
      <c r="I9" s="98"/>
      <c r="J9" s="97"/>
      <c r="K9" s="97"/>
      <c r="L9" s="99"/>
    </row>
    <row r="10" spans="1:12">
      <c r="A10" s="30"/>
      <c r="B10" s="38" t="s">
        <v>170</v>
      </c>
      <c r="C10" s="39" t="s">
        <v>111</v>
      </c>
      <c r="D10" s="40" t="s">
        <v>3</v>
      </c>
      <c r="E10" s="41" t="s">
        <v>0</v>
      </c>
      <c r="F10" s="45" t="s">
        <v>25</v>
      </c>
      <c r="G10" s="46"/>
      <c r="H10" s="46">
        <v>146210509000</v>
      </c>
      <c r="I10" s="104">
        <f>SUM(G10:H10)</f>
        <v>146210509000</v>
      </c>
      <c r="J10" s="46"/>
      <c r="K10" s="46"/>
      <c r="L10" s="105">
        <f>I10+SUM(J10:K10)</f>
        <v>146210509000</v>
      </c>
    </row>
    <row r="11" spans="1:12">
      <c r="A11" s="30"/>
      <c r="B11" s="38" t="s">
        <v>170</v>
      </c>
      <c r="C11" s="39" t="s">
        <v>146</v>
      </c>
      <c r="D11" s="40" t="s">
        <v>3</v>
      </c>
      <c r="E11" s="41" t="s">
        <v>0</v>
      </c>
      <c r="F11" s="45" t="s">
        <v>83</v>
      </c>
      <c r="G11" s="58"/>
      <c r="H11" s="58"/>
      <c r="I11" s="104">
        <f>SUM(G11:H11)</f>
        <v>0</v>
      </c>
      <c r="J11" s="58"/>
      <c r="K11" s="58"/>
      <c r="L11" s="104">
        <f>I11+SUM(J11:K11)</f>
        <v>0</v>
      </c>
    </row>
    <row r="12" spans="1:12">
      <c r="B12" s="49"/>
      <c r="C12" s="50"/>
      <c r="D12" s="50"/>
      <c r="E12" s="50"/>
      <c r="F12" s="51"/>
      <c r="G12" s="52"/>
      <c r="H12" s="52"/>
      <c r="I12" s="54"/>
      <c r="J12" s="52"/>
      <c r="K12" s="52"/>
      <c r="L12" s="54"/>
    </row>
    <row r="13" spans="1:12" ht="15.75" thickBot="1"/>
    <row r="14" spans="1:12" ht="90" customHeight="1">
      <c r="A14" s="15"/>
      <c r="B14" s="16"/>
      <c r="C14" s="17"/>
      <c r="D14" s="17"/>
      <c r="E14" s="18"/>
      <c r="F14" s="19" t="s">
        <v>59</v>
      </c>
      <c r="G14" s="76" t="str">
        <f>IF(G5="Agregar columna opcional","",G5)</f>
        <v/>
      </c>
      <c r="H14" s="76" t="str">
        <f>IF(H5="Agregar columna opcional","",H5)</f>
        <v/>
      </c>
      <c r="I14" s="21" t="s">
        <v>62</v>
      </c>
      <c r="J14" s="76" t="str">
        <f>IF(J5="Agregar columna opcional","",J5)</f>
        <v/>
      </c>
      <c r="K14" s="76" t="str">
        <f>IF(K5="Agregar columna opcional","",K5)</f>
        <v/>
      </c>
      <c r="L14" s="21" t="s">
        <v>63</v>
      </c>
    </row>
    <row r="15" spans="1:12">
      <c r="A15" s="30"/>
      <c r="B15" s="31"/>
      <c r="C15" s="32"/>
      <c r="D15" s="33"/>
      <c r="E15" s="34"/>
      <c r="F15" s="55"/>
      <c r="G15" s="56"/>
      <c r="H15" s="56"/>
      <c r="I15" s="34"/>
      <c r="J15" s="56"/>
      <c r="K15" s="56"/>
      <c r="L15" s="34"/>
    </row>
    <row r="16" spans="1:12">
      <c r="A16" s="30"/>
      <c r="B16" s="38"/>
      <c r="C16" s="39"/>
      <c r="D16" s="40"/>
      <c r="E16" s="41"/>
      <c r="F16" s="42" t="s">
        <v>64</v>
      </c>
      <c r="G16" s="43"/>
      <c r="H16" s="43"/>
      <c r="I16" s="44"/>
      <c r="J16" s="43"/>
      <c r="K16" s="43"/>
      <c r="L16" s="44"/>
    </row>
    <row r="17" spans="1:12">
      <c r="A17" s="30"/>
      <c r="B17" s="38" t="s">
        <v>170</v>
      </c>
      <c r="C17" s="101" t="s">
        <v>177</v>
      </c>
      <c r="D17" s="40" t="s">
        <v>4</v>
      </c>
      <c r="E17" s="41" t="s">
        <v>0</v>
      </c>
      <c r="F17" s="100" t="s">
        <v>176</v>
      </c>
      <c r="G17" s="97"/>
      <c r="H17" s="97" t="s">
        <v>198</v>
      </c>
      <c r="I17" s="98"/>
      <c r="J17" s="97"/>
      <c r="K17" s="97"/>
      <c r="L17" s="99"/>
    </row>
    <row r="18" spans="1:12">
      <c r="A18" s="30"/>
      <c r="B18" s="38" t="s">
        <v>170</v>
      </c>
      <c r="C18" s="39" t="s">
        <v>111</v>
      </c>
      <c r="D18" s="40" t="s">
        <v>4</v>
      </c>
      <c r="E18" s="39" t="s">
        <v>0</v>
      </c>
      <c r="F18" s="45" t="s">
        <v>25</v>
      </c>
      <c r="G18" s="46"/>
      <c r="H18" s="46">
        <v>125886312000</v>
      </c>
      <c r="I18" s="104">
        <f>SUM(G18:H18)</f>
        <v>125886312000</v>
      </c>
      <c r="J18" s="46"/>
      <c r="K18" s="46"/>
      <c r="L18" s="105">
        <f>I18+SUM(J18:K18)</f>
        <v>125886312000</v>
      </c>
    </row>
    <row r="19" spans="1:12">
      <c r="A19" s="30"/>
      <c r="B19" s="38" t="s">
        <v>170</v>
      </c>
      <c r="C19" s="39" t="s">
        <v>146</v>
      </c>
      <c r="D19" s="40" t="s">
        <v>4</v>
      </c>
      <c r="E19" s="39" t="s">
        <v>0</v>
      </c>
      <c r="F19" s="45" t="s">
        <v>83</v>
      </c>
      <c r="G19" s="58"/>
      <c r="H19" s="58"/>
      <c r="I19" s="104">
        <f>SUM(G19:H19)</f>
        <v>0</v>
      </c>
      <c r="J19" s="58"/>
      <c r="K19" s="58"/>
      <c r="L19" s="104">
        <f>I19+SUM(J19:K19)</f>
        <v>0</v>
      </c>
    </row>
    <row r="20" spans="1:12">
      <c r="B20" s="49"/>
      <c r="C20" s="50"/>
      <c r="D20" s="50"/>
      <c r="E20" s="50"/>
      <c r="F20" s="51"/>
      <c r="G20" s="52"/>
      <c r="H20" s="52"/>
      <c r="I20" s="54"/>
      <c r="J20" s="52"/>
      <c r="K20" s="52"/>
      <c r="L20" s="54"/>
    </row>
  </sheetData>
  <conditionalFormatting sqref="L18">
    <cfRule type="expression" dxfId="3" priority="190">
      <formula>OR(IF(NOT(ISERR(FIND("ERR",#REF!)))=TRUE,TRUE,FALSE),IF(NOT(ISERR(FIND("ERR",#REF!)))=TRUE,TRUE,FALSE),IF(NOT(ISERR(FIND("ERR",#REF!)))=TRUE,TRUE,FALSE),IF(NOT(ISERR(FIND("ERR",#REF!)))=TRUE,TRUE,FALSE),IF(NOT(ISERR(FIND("ERR",#REF!)))=TRUE,TRUE,FALSE))</formula>
    </cfRule>
  </conditionalFormatting>
  <conditionalFormatting sqref="L10">
    <cfRule type="expression" dxfId="2" priority="191">
      <formula>OR(IF(OR(NOT(ISERROR(FIND("ERR",#REF!)&gt;1)),NOT(ISERROR(FIND("ERR",#REF!)&gt;1))),TRUE,FALSE),IF(NOT(ISERR(FIND("ERR",#REF!)))=TRUE,TRUE,FALSE),IF(NOT(ISERR(FIND("ERR",#REF!)))=TRUE,TRUE,FALSE),IF(NOT(ISERR(FIND("ERR",#REF!)))=TRUE,TRUE,FALSE),IF(NOT(ISERR(FIND("ERR",#REF!)))=TRUE,TRUE,FALSE))</formula>
    </cfRule>
  </conditionalFormatting>
  <conditionalFormatting sqref="L9">
    <cfRule type="expression" dxfId="1" priority="2">
      <formula>OR(IF(OR(NOT(ISERROR(FIND("ERR",#REF!)&gt;1)),NOT(ISERROR(FIND("ERR",#REF!)&gt;1))),TRUE,FALSE),IF(NOT(ISERR(FIND("ERR",#REF!)))=TRUE,TRUE,FALSE),IF(NOT(ISERR(FIND("ERR",#REF!)))=TRUE,TRUE,FALSE),IF(NOT(ISERR(FIND("ERR",#REF!)))=TRUE,TRUE,FALSE),IF(NOT(ISERR(FIND("ERR",#REF!)))=TRUE,TRUE,FALSE))</formula>
    </cfRule>
  </conditionalFormatting>
  <conditionalFormatting sqref="L17">
    <cfRule type="expression" dxfId="0" priority="1">
      <formula>OR(IF(OR(NOT(ISERROR(FIND("ERR",#REF!)&gt;1)),NOT(ISERROR(FIND("ERR",#REF!)&gt;1))),TRUE,FALSE),IF(NOT(ISERR(FIND("ERR",#REF!)))=TRUE,TRUE,FALSE),IF(NOT(ISERR(FIND("ERR",#REF!)))=TRUE,TRUE,FALSE),IF(NOT(ISERR(FIND("ERR",#REF!)))=TRUE,TRUE,FALSE),IF(NOT(ISERR(FIND("ERR",#REF!)))=TRUE,TRUE,FALSE))</formula>
    </cfRule>
  </conditionalFormatting>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400-000000000000}">
          <x14:formula1>
            <xm:f>Hoja1!$A$1:$A$2</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A2"/>
  <sheetViews>
    <sheetView workbookViewId="0">
      <selection activeCell="C7" sqref="C7"/>
    </sheetView>
  </sheetViews>
  <sheetFormatPr baseColWidth="10" defaultRowHeight="15"/>
  <sheetData>
    <row r="1" spans="1:1">
      <c r="A1" t="s">
        <v>84</v>
      </c>
    </row>
    <row r="2" spans="1:1">
      <c r="A2"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IFRS8-Cuadros</vt:lpstr>
      <vt:lpstr>IFRS8-InfoSegmOper</vt:lpstr>
      <vt:lpstr>IFRS8-InfoProdServ</vt:lpstr>
      <vt:lpstr>IFRS8-InfoAreaGeog</vt:lpstr>
      <vt:lpstr>IFRS8-InfoClieImpr</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jaime</cp:lastModifiedBy>
  <dcterms:created xsi:type="dcterms:W3CDTF">2013-03-21T17:58:38Z</dcterms:created>
  <dcterms:modified xsi:type="dcterms:W3CDTF">2022-02-22T15:44:41Z</dcterms:modified>
</cp:coreProperties>
</file>