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lo_\OneDrive\Desktop\CI\xls\"/>
    </mc:Choice>
  </mc:AlternateContent>
  <xr:revisionPtr revIDLastSave="0" documentId="13_ncr:1_{0EEA408B-F16A-4863-AB58-BFDC196C7A23}" xr6:coauthVersionLast="47" xr6:coauthVersionMax="47" xr10:uidLastSave="{00000000-0000-0000-0000-000000000000}"/>
  <bookViews>
    <workbookView xWindow="-105" yWindow="0" windowWidth="38610" windowHeight="20985" activeTab="3" xr2:uid="{00000000-000D-0000-FFFF-FFFF00000000}"/>
  </bookViews>
  <sheets>
    <sheet name="IAS36-Cuadros" sheetId="1" r:id="rId1"/>
    <sheet name="IAS36-PerdDeteValo" sheetId="2" r:id="rId2"/>
    <sheet name="IAS36-PerdDeteSign" sheetId="4" r:id="rId3"/>
    <sheet name="IAS36-UnidGeneEfec" sheetId="6" r:id="rId4"/>
    <sheet name="IAS36-PerDeteReco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8" i="5" l="1"/>
  <c r="R17" i="5"/>
  <c r="R14" i="5"/>
  <c r="R13" i="5"/>
  <c r="R37" i="5"/>
  <c r="R36" i="5"/>
  <c r="R33" i="5"/>
  <c r="R32" i="5"/>
  <c r="I40" i="4" l="1"/>
  <c r="J40" i="4" s="1"/>
  <c r="I16" i="4"/>
  <c r="J16" i="4" s="1"/>
  <c r="J32" i="6" l="1"/>
  <c r="K32" i="6" s="1"/>
  <c r="J31" i="6"/>
  <c r="K31" i="6" s="1"/>
  <c r="J9" i="6"/>
  <c r="K9" i="6" s="1"/>
  <c r="J8" i="6"/>
  <c r="K8" i="6" s="1"/>
  <c r="H50" i="5" l="1"/>
  <c r="L55" i="5" l="1"/>
  <c r="L54" i="5"/>
  <c r="L51" i="5"/>
  <c r="L50" i="5"/>
  <c r="L37" i="5"/>
  <c r="L36" i="5"/>
  <c r="L33" i="5"/>
  <c r="L32" i="5"/>
  <c r="L18" i="5"/>
  <c r="L17" i="5"/>
  <c r="L14" i="5"/>
  <c r="L13" i="5"/>
  <c r="P24" i="2" l="1"/>
  <c r="P23" i="2"/>
  <c r="P21" i="2"/>
  <c r="P19" i="2"/>
  <c r="P13" i="2"/>
  <c r="P12" i="2"/>
  <c r="P10" i="2"/>
  <c r="P8" i="2"/>
  <c r="G5" i="5" l="1"/>
  <c r="Y55" i="5" l="1"/>
  <c r="X55" i="5"/>
  <c r="V55" i="5"/>
  <c r="T55" i="5"/>
  <c r="R55" i="5"/>
  <c r="P55" i="5"/>
  <c r="N55" i="5"/>
  <c r="J55" i="5"/>
  <c r="H55" i="5"/>
  <c r="Y54" i="5"/>
  <c r="X54" i="5"/>
  <c r="V54" i="5"/>
  <c r="T54" i="5"/>
  <c r="R54" i="5"/>
  <c r="P54" i="5"/>
  <c r="N54" i="5"/>
  <c r="J54" i="5"/>
  <c r="H54" i="5"/>
  <c r="Y51" i="5"/>
  <c r="X51" i="5"/>
  <c r="V51" i="5"/>
  <c r="T51" i="5"/>
  <c r="R51" i="5"/>
  <c r="P51" i="5"/>
  <c r="N51" i="5"/>
  <c r="J51" i="5"/>
  <c r="H51" i="5"/>
  <c r="Y50" i="5"/>
  <c r="X50" i="5"/>
  <c r="V50" i="5"/>
  <c r="T50" i="5"/>
  <c r="R50" i="5"/>
  <c r="P50" i="5"/>
  <c r="N50" i="5"/>
  <c r="J50" i="5"/>
  <c r="Y37" i="5"/>
  <c r="X37" i="5"/>
  <c r="V37" i="5"/>
  <c r="T37" i="5"/>
  <c r="P37" i="5"/>
  <c r="N37" i="5"/>
  <c r="J37" i="5"/>
  <c r="H37" i="5"/>
  <c r="Y36" i="5"/>
  <c r="X36" i="5"/>
  <c r="V36" i="5"/>
  <c r="T36" i="5"/>
  <c r="P36" i="5"/>
  <c r="N36" i="5"/>
  <c r="J36" i="5"/>
  <c r="H36" i="5"/>
  <c r="Y33" i="5"/>
  <c r="X33" i="5"/>
  <c r="V33" i="5"/>
  <c r="T33" i="5"/>
  <c r="P33" i="5"/>
  <c r="N33" i="5"/>
  <c r="J33" i="5"/>
  <c r="H33" i="5"/>
  <c r="Y32" i="5"/>
  <c r="X32" i="5"/>
  <c r="V32" i="5"/>
  <c r="T32" i="5"/>
  <c r="P32" i="5"/>
  <c r="N32" i="5"/>
  <c r="J32" i="5"/>
  <c r="H32" i="5"/>
  <c r="Z37" i="5" l="1"/>
  <c r="Z51" i="5"/>
  <c r="Z55" i="5"/>
  <c r="Z32" i="5"/>
  <c r="Z33" i="5"/>
  <c r="Z36" i="5"/>
  <c r="Z50" i="5"/>
  <c r="Z54" i="5"/>
  <c r="H28" i="6"/>
  <c r="I34" i="4" l="1"/>
  <c r="J34" i="4" s="1"/>
  <c r="I33" i="4"/>
  <c r="J33" i="4" s="1"/>
  <c r="I5" i="6" l="1"/>
  <c r="H5" i="6"/>
  <c r="I28" i="6"/>
  <c r="H5" i="5" l="1"/>
  <c r="I5" i="5" l="1"/>
  <c r="J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W5" i="5" s="1"/>
  <c r="X5" i="5" s="1"/>
  <c r="Y5" i="5" s="1"/>
  <c r="Z5" i="5" s="1"/>
  <c r="K5" i="5"/>
  <c r="L5" i="5" s="1"/>
  <c r="X18" i="5" l="1"/>
  <c r="X17" i="5"/>
  <c r="X14" i="5"/>
  <c r="X13" i="5"/>
  <c r="V18" i="5"/>
  <c r="V17" i="5"/>
  <c r="V14" i="5"/>
  <c r="V13" i="5"/>
  <c r="T18" i="5"/>
  <c r="T17" i="5"/>
  <c r="T14" i="5"/>
  <c r="T13" i="5"/>
  <c r="P18" i="5"/>
  <c r="P17" i="5"/>
  <c r="P14" i="5"/>
  <c r="P13" i="5"/>
  <c r="N18" i="5"/>
  <c r="N17" i="5"/>
  <c r="N14" i="5"/>
  <c r="N13" i="5"/>
  <c r="J18" i="5"/>
  <c r="J17" i="5"/>
  <c r="J14" i="5"/>
  <c r="J13" i="5"/>
  <c r="H18" i="5"/>
  <c r="H17" i="5"/>
  <c r="H14" i="5"/>
  <c r="H13" i="5"/>
  <c r="Z18" i="5" l="1"/>
  <c r="Y18" i="5"/>
  <c r="Z17" i="5"/>
  <c r="Y17" i="5"/>
  <c r="Z14" i="5"/>
  <c r="Y14" i="5"/>
  <c r="Z13" i="5"/>
  <c r="Y13" i="5"/>
  <c r="G7" i="5"/>
  <c r="G44" i="5"/>
  <c r="G26" i="5" l="1"/>
  <c r="H29" i="4" l="1"/>
  <c r="G29" i="4"/>
  <c r="I9" i="4" l="1"/>
  <c r="J9" i="4" s="1"/>
  <c r="I10" i="4"/>
  <c r="J10" i="4" s="1"/>
  <c r="H5" i="4"/>
  <c r="G5" i="4"/>
</calcChain>
</file>

<file path=xl/sharedStrings.xml><?xml version="1.0" encoding="utf-8"?>
<sst xmlns="http://schemas.openxmlformats.org/spreadsheetml/2006/main" count="957" uniqueCount="190">
  <si>
    <t xml:space="preserve"> </t>
  </si>
  <si>
    <t xml:space="preserve">    Información a revelar sobre deterioro de valor de activos [bloque de texto]  </t>
  </si>
  <si>
    <t xml:space="preserve">      Información a revelar sobre pérdidas por deterioro del valor y reversión de las pérdidas por deterioro del valor [bloque de texto]  </t>
  </si>
  <si>
    <t xml:space="preserve">      Explicación sobre pérdidas por deterioros de valor reconocidos o revertidos [bloque de texto]  </t>
  </si>
  <si>
    <t xml:space="preserve">      Explicación de los principales eventos y circunstancias que han llevado al reconocimiento de pérdidas por deterioro del valor y reversiones de pérdidas por deterioro del valor [Texto]</t>
  </si>
  <si>
    <t xml:space="preserve">      Explicación de las principales clases de activos afectados por pérdidas por deterioro de valor o reversiones de pérdidas por deterioros de valor [Texto]</t>
  </si>
  <si>
    <t xml:space="preserve">      Plusvalía no distribuida [Número]</t>
  </si>
  <si>
    <t xml:space="preserve">      Explicación de la plusvalía no asignada a la unidad generadora de efectivo [Texto]</t>
  </si>
  <si>
    <t xml:space="preserve">      Explicación del hecho de que la suma del importe en libros de la plusvalía o de los activos intangibles con vidas útiles indefinidas no es significativa [Texto]</t>
  </si>
  <si>
    <t xml:space="preserve">      Explicación del hecho de que el total del importe en libros agregado de la plusvalía o activos intangibles con vidas útiles indefinidas atribuidas a unidades generadoras de efectivo es significativo [Texto]</t>
  </si>
  <si>
    <t xml:space="preserve">      Información a revelar sobre las unidades generadoras de efectivo [bloque de texto]  </t>
  </si>
  <si>
    <t>Periodo Actual</t>
  </si>
  <si>
    <t>Periodo Anterior</t>
  </si>
  <si>
    <t>ACT</t>
  </si>
  <si>
    <t>ANT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</si>
  <si>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</si>
  <si>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</si>
  <si>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 xml:space="preserve">            Pérdidas por deterioro de valor reconocidas en el resultado del periodo [Número]</t>
  </si>
  <si>
    <t xml:space="preserve">            Descripción de la partida o partidas del estado del resultado integral en las que se incluyen las pérdidas por deterioro de valor reconocidas en el resultado del periodo [Texto]</t>
  </si>
  <si>
    <t xml:space="preserve">            Reversión de pérdidas por deterioro de valor reconocidas en el resultado del periodo [Número]</t>
  </si>
  <si>
    <t xml:space="preserve">            Descripción de la partida o partidas del estado del resultado integral en las que se revierten las pérdidas por deterioro de valor reconocidas en el resultado del periodo [Texto]</t>
  </si>
  <si>
    <t xml:space="preserve">            Pérdidas por deterioro de valor reconocidas en otro resultado integral [Número]</t>
  </si>
  <si>
    <t xml:space="preserve">            Reversión de pérdidas por deterioro de valor reconocidas en otro resultado integral [Número]</t>
  </si>
  <si>
    <t xml:space="preserve">              Activos [miembro]  </t>
  </si>
  <si>
    <t xml:space="preserve">                Propiedades, planta y equipo [miembro]  </t>
  </si>
  <si>
    <t xml:space="preserve">                Activos para exploración y evaluación [miembro]  </t>
  </si>
  <si>
    <t xml:space="preserve">                Activos financieros, clase [miembro]  </t>
  </si>
  <si>
    <t xml:space="preserve">                Plusvalía [miembro]  </t>
  </si>
  <si>
    <t xml:space="preserve">                Inversiones contabilizadas utilizando el método de la participación [miembro]  </t>
  </si>
  <si>
    <t xml:space="preserve">                Activos no corrientes o grupos de activos para su disposición clasificados como mantenidos para la venta [miembro]  </t>
  </si>
  <si>
    <t xml:space="preserve">          Información a revelar sobre pérdidas por deterioro del valor y reversión de las pérdidas por deterioro del valor</t>
  </si>
  <si>
    <t xml:space="preserve">        Información a revelar sobre pérdidas por deterioro del valor y reversión de las pérdidas por deterioro del valor [sinopsis]  </t>
  </si>
  <si>
    <t xml:space="preserve">        Información a revelar para cada pérdida por deterioro de valor significativa reconocida o que haya revertido para activos individuales o unidades generadoras de efectivo [sinopsis]  </t>
  </si>
  <si>
    <t xml:space="preserve">          Información a revelar para cada pérdida por deterioro de valor significativa reconocida o que haya revertido para activos individuales o unidades generadoras de efectivo [partidas]  </t>
  </si>
  <si>
    <t xml:space="preserve">Total de la entidad por activos individuales o unidades generadoras de efectivo [miembro]  </t>
  </si>
  <si>
    <t xml:space="preserve"> Activos individuales o unidades generadoras de efectivo [miembro]  </t>
  </si>
  <si>
    <t>DIMEAVA</t>
  </si>
  <si>
    <t xml:space="preserve">        Información a revelar sobre pérdidas por deterioro de valor reconocidas o revertidas [resumen]  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</si>
  <si>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tabla  marcada con línea punteada roja y con fondo verde indican las posiciones donde es posible agregar elementos. Esta tabla puede ser copiada  debajo de este cuadro si se desean agregar mas columnas.
-Para cada columna creada (verde) debe escribirse una descripción (en rojo).
-Las tablas marcadas en plomo </t>
    </r>
    <r>
      <rPr>
        <b/>
        <sz val="10"/>
        <rFont val="Calibri"/>
        <family val="2"/>
      </rPr>
      <t>no deben ser editadas, eliminadas ni movidas.</t>
    </r>
  </si>
  <si>
    <t xml:space="preserve">Activos individuales o unidades generadoras de efectivo [miembro]  </t>
  </si>
  <si>
    <t xml:space="preserve">Propiedades, planta y equipo [miembro]  </t>
  </si>
  <si>
    <t xml:space="preserve">Activos intangibles distintos de la plusvalía [miembro]  </t>
  </si>
  <si>
    <t xml:space="preserve">Plusvalía [miembro]  </t>
  </si>
  <si>
    <t xml:space="preserve">Activos no corrientes o grupos de activos para su disposición clasificados como mantenidos para la venta [miembro]  </t>
  </si>
  <si>
    <t xml:space="preserve">Activos para exploración y evaluación [miembro]  </t>
  </si>
  <si>
    <t xml:space="preserve">Activos financieros, clase [miembro]  </t>
  </si>
  <si>
    <t xml:space="preserve">Inversiones contabilizadas utilizando el método de la participación [miembro]  </t>
  </si>
  <si>
    <t xml:space="preserve">Otros activos con su valor deteriorado [miembro]  </t>
  </si>
  <si>
    <t xml:space="preserve"> Activos [miembro]  </t>
  </si>
  <si>
    <t xml:space="preserve">Segmentos sobre los que debe informarse [miembro]  </t>
  </si>
  <si>
    <t>Reversión de la pérdida por deterioro de valor [Número]</t>
  </si>
  <si>
    <t>Pérdidas por deterioro de valor [Número]</t>
  </si>
  <si>
    <t xml:space="preserve">Unidades generadoras de efectivo [miembro]  </t>
  </si>
  <si>
    <t xml:space="preserve">Unidades generadoras de efectivo acumuladas para las que el importe de la plusvalía o activos intangibles con vidas útiles indefinidas no es significativo [miembro]  </t>
  </si>
  <si>
    <t xml:space="preserve">        Información a revelar sobre las unidades generadoras de efectivo [resumen]  </t>
  </si>
  <si>
    <t xml:space="preserve">          Información a revelar sobre las unidades generadoras de efectivo [partidas]  </t>
  </si>
  <si>
    <t xml:space="preserve">            Plusvalía [Número]</t>
  </si>
  <si>
    <t xml:space="preserve">            Activos intangibles con vidas útiles indefinidas [Número]</t>
  </si>
  <si>
    <t xml:space="preserve">            Descripción de la base sobre la que se ha determinado el importe recuperable de la unidad [Texto]</t>
  </si>
  <si>
    <t xml:space="preserve">            Descripción de las hipótesis clave sobre las que la gerencia ha basado las proyecciones de flujos de efectivo [Texto]</t>
  </si>
  <si>
    <t xml:space="preserve">            Descripción de las técnicas de valoración utilizadas para medir el valor razonable menos los costos de disposición [Texto]</t>
  </si>
  <si>
    <t xml:space="preserve">            Descripción de las suposiciones clave sobre las cuales la gerencia ha basado la determinación del valor razonable menos los costos de disposición [Texto]</t>
  </si>
  <si>
    <t xml:space="preserve">            Descripción del enfoque de la gerencia para determinar los valores asignados a las hipótesis clave [Texto]</t>
  </si>
  <si>
    <t xml:space="preserve">            Descripción del nivel de la jerarquía del valor razonable dentro del que se clasifica la medición del valor razonable [Texto]</t>
  </si>
  <si>
    <t xml:space="preserve">            Explicación del periodo en el que la gerencia ha proyectado los flujos de efectivo [Texto]</t>
  </si>
  <si>
    <t xml:space="preserve">            La tasa de crecimiento utilizada para extrapolar las proyecciones de flujo de efectivo. [Porcentaje]</t>
  </si>
  <si>
    <t xml:space="preserve">            Descripción de la justificación de utilizar una tasa de crecimiento que excede la tasa de crecimiento promedio a largo plazo [Texto]</t>
  </si>
  <si>
    <t xml:space="preserve">            Tasa de descuento aplicada a proyecciones de flujos de efectivo [Porcentaje]</t>
  </si>
  <si>
    <t xml:space="preserve">            Cantidad en la que el importe recuperable de la unidad excede su valor en libros [Número]</t>
  </si>
  <si>
    <t xml:space="preserve">            Explicación del valor asignado a las hipótesis clave [Texto]</t>
  </si>
  <si>
    <t xml:space="preserve">            Importe en que debe cambiar el valor asignado a las hipótesis clave para que el importe recuperable de la unidad sea igual al importe en libros [Decimal]</t>
  </si>
  <si>
    <t>DIMENUE</t>
  </si>
  <si>
    <t>Agregar columna opcional</t>
  </si>
  <si>
    <t xml:space="preserve">Total de la entidad por unidades generadoras de efectivo [miembro]  </t>
  </si>
  <si>
    <t xml:space="preserve">      Información a revelar para cada pérdida por deterioro de valor significativa reconocida o que haya revertido para activos individuales o unidades generadoras de efectivo [bloque de texto]  </t>
  </si>
  <si>
    <t>Segmentos [miembro]</t>
  </si>
  <si>
    <t>INGRESAR DESCRIPCIÓN DE COLUMNA OPCIONAL</t>
  </si>
  <si>
    <t>Importe recuperable de activos o unidades generadoras de efectivo</t>
  </si>
  <si>
    <t>Descripción del nivel de la jerarquía del valor razonable dentro del que se clasifica la medición del valor razonable [Texto]</t>
  </si>
  <si>
    <t>Descripción de las técnicas de valoración utilizadas para medir el valor razonable menos los costos de disposición</t>
  </si>
  <si>
    <t>Descripción de cambios en la técnica de valoración utilizada para medir el valor razonable menos los costos de disposición</t>
  </si>
  <si>
    <t>Descripción de las razones de los cambios en la técnica de valoración utilizada para medir el valor razonable menos los costos de disposición</t>
  </si>
  <si>
    <t>Descripción de las suposiciones clave sobre las cuales la gerencia ha basado la determinación del valor razonable menos los costos de disposición</t>
  </si>
  <si>
    <t>Tasa de descuento utilizada en la medición corriente del valor razonable menos los costos de disposición [Porcentaje]</t>
  </si>
  <si>
    <t>Tasa de descuento utilizada en la medición previa del valor razonable menos los costos de disposición [Porcentaje]</t>
  </si>
  <si>
    <t>Explicación de los principales eventos y circunstancias que han llevado al reconocimiento de pérdidas por deterioro del valor y reversiones de pérdidas por deterioro del valor [Texto]</t>
  </si>
  <si>
    <t>Descripción de la naturaleza de activos individuales [Texto]</t>
  </si>
  <si>
    <t>Descripción del segmento sobre el que se debe informar al que pertenece el activo individual [Texto]</t>
  </si>
  <si>
    <t>Descripción de la unidad generadora de efectivo [Texto]</t>
  </si>
  <si>
    <t>Descripción de las formas actuales y anteriores de agregar activos [Texto]</t>
  </si>
  <si>
    <t>Descripción de las razones para cambiar la forma en que se identifica la unidad generadora de efectivo [Texto]</t>
  </si>
  <si>
    <t>Información de si el importe recuperable del activo es el valor razonable menos los costos de disposición o el valor en uso [Texto]</t>
  </si>
  <si>
    <t>Tasa de descuento utilizada en estimaciones actuales del valor en uso [Porcentaje]</t>
  </si>
  <si>
    <t>Tasa de descuento utilizada en estimaciones anteriores del valor en uso [Porcentaje]</t>
  </si>
  <si>
    <t xml:space="preserve">Información a revelar para cada pérdida por deterioro de valor significativa reconocida o que haya revertido para activos individuales o unidades generadoras de efectivo [partidas]  </t>
  </si>
  <si>
    <t>Cierre periodo año actual</t>
  </si>
  <si>
    <t>Cierre periodo año anterior</t>
  </si>
  <si>
    <t>Descripción de cambios en la técnica de valoración utilizada para medir el valor razonable menos los costos de disposición [texto]</t>
  </si>
  <si>
    <t>Descripción de las razones de los cambios en la técnica de valoración utilizada para medir el valor razonable menos los costos de disposición [Texto]</t>
  </si>
  <si>
    <t>Información a revelar sobre pérdidas por deterioro del valor y reversión de las pérdidas por deterioro del valor [tabla]</t>
  </si>
  <si>
    <t>INI</t>
  </si>
  <si>
    <t>AAN</t>
  </si>
  <si>
    <t>full_ifrs-cor_2015-03-11.xsd#ifrs-full_DisclosureOfImpairmentOfAssetsExplanatory</t>
  </si>
  <si>
    <t>full_ifrs-cor_2015-03-11.xsd#ifrs-full_DisclosureOfImpairmentLossAndReversalOfImpairmentLossExplanatory</t>
  </si>
  <si>
    <t>full_ifrs-cor_2015-03-11.xsd#ifrs-full_DisclosureOfInformationForEachMaterialImpairmentLossRecognisedOrReversedForIndividualAssetOrCashgeneratingUnitExplanatory</t>
  </si>
  <si>
    <t>full_ifrs-cor_2015-03-11.xsd#ifrs-full_ExplanationOfImpairmentLossRecognisedOrReversedByClassOfAssetsAndByReportableSegment</t>
  </si>
  <si>
    <t>full_ifrs-cor_2015-03-11.xsd#ifrs-full_ExplanationOfMainEventsAndCircumstancesThatLedToRecognitionOfImpairmentLossesAndReversalsOfImpairmentLosses</t>
  </si>
  <si>
    <t>full_ifrs-cor_2015-03-11.xsd#ifrs-full_ExplanationOfMainClassesOfAssetsAffectedByImpairmentLossesOrReversalsOfImpairmentLosses</t>
  </si>
  <si>
    <t>full_ifrs-cor_2015-03-11.xsd#ifrs-full_UnallocatedGoodwill</t>
  </si>
  <si>
    <t>full_ifrs-cor_2015-03-11.xsd#ifrs-full_DisclosureOfGoodwillNotAllocatedToCashgeneratingUnitExplanatory</t>
  </si>
  <si>
    <t>full_ifrs-cor_2015-03-11.xsd#ifrs-full_ExplanationOfFactThatCarryingAmountOfGoodwillOrIntangibleAssetsWithIndefiniteUsefulLivesIsNotSignificant</t>
  </si>
  <si>
    <t>full_ifrs-cor_2015-03-11.xsd#ifrs-full_ExplanationOfFactThatAggregateCarryingAmountOfGoodwillOrIntangibleAssetsWithIndefiniteUsefulLivesAllocatedToRecoverableAmountsIsSignificant</t>
  </si>
  <si>
    <t>full_ifrs-cor_2015-03-11.xsd#ifrs-full_DisclosureOfInformationForIndividualAssetOrCashgeneratingUnitWithSignificantAmountOfGoodwillOrIntangibleAssetsWithIndefiniteUsefulLivesExplanatory</t>
  </si>
  <si>
    <t>full_ifrs-cor_2015-03-11.xsd#ifrs-full_PropertyPlantAndEquipmentMember</t>
  </si>
  <si>
    <t>full_ifrs-cor_2015-03-11.xsd#ifrs-full_IntangibleAssetsOtherThanGoodwillMember</t>
  </si>
  <si>
    <t>full_ifrs-cor_2015-03-11.xsd#ifrs-full_ExplorationAndEvaluationAssetsMember</t>
  </si>
  <si>
    <t>full_ifrs-cor_2015-03-11.xsd#ifrs-full_GoodwillMember</t>
  </si>
  <si>
    <t>full_ifrs-cor_2015-03-11.xsd#ifrs-full_InvestmentsAccountedForUsingEquityMethodMember</t>
  </si>
  <si>
    <t>full_ifrs-cor_2015-03-11.xsd#ifrs-full_NoncurrentAssetsOrDisposalGroupsClassifiedAsHeldForSaleMember</t>
  </si>
  <si>
    <t>full_ifrs-cor_2015-03-11.xsd#ifrs-full_OtherImpairedAssetsMember</t>
  </si>
  <si>
    <t>full_ifrs-cor_2015-03-11.xsd#ifrs-full_ClassesOfAssetsMember</t>
  </si>
  <si>
    <t>full_ifrs-cor_2015-03-11.xsd#ifrs-full_ImpairmentLossRecognisedInProfitOrLoss</t>
  </si>
  <si>
    <t>full_ifrs-cor_2015-03-11.xsd#ifrs-full_DescriptionOfLineItemsInStatementOfComprehensiveIncomeInWhichImpairmentLossesRecognisedInProfitOrLossAreIncluded</t>
  </si>
  <si>
    <t>full_ifrs-cor_2015-03-11.xsd#ifrs-full_ReversalOfImpairmentLossRecognisedInProfitOrLoss</t>
  </si>
  <si>
    <t>full_ifrs-cor_2015-03-11.xsd#ifrs-full_DescriptionOfLineItemsInStatementOfComprehensiveIncomeInWhichImpairmentLossesRecognisedInProfitOrLossAreReversed</t>
  </si>
  <si>
    <t>full_ifrs-cor_2015-03-11.xsd#ifrs-full_ImpairmentLossRecognisedInOtherComprehensiveIncome</t>
  </si>
  <si>
    <t>full_ifrs-cor_2015-03-11.xsd#ifrs-full_ReversalOfImpairmentLossRecognisedInOtherComprehensiveIncome</t>
  </si>
  <si>
    <t>full_ifrs-cor_2015-03-11.xsd#ifrs-full_IndividualAssetsOrCashgeneratingUnitsMember</t>
  </si>
  <si>
    <t>full_ifrs-cor_2015-03-11.xsd#ifrs-full_EntitysTotalForIndividualAssetsOrCashgeneratingUnitsMember</t>
  </si>
  <si>
    <t>full_ifrs-cor_2015-03-11.xsd#ifrs-full_ImpairmentLoss</t>
  </si>
  <si>
    <t>full_ifrs-cor_2015-03-11.xsd#ifrs-full_ReversalOfImpairmentLoss</t>
  </si>
  <si>
    <t>full_ifrs-cor_2015-03-11.xsd#ifrs-full_DescriptionOfNatureOfIndividualAsset</t>
  </si>
  <si>
    <t>full_ifrs-cor_2015-03-11.xsd#ifrs-full_DescriptionOfReportableSegmentToWhichIndividualAssetBelongs</t>
  </si>
  <si>
    <t>full_ifrs-cor_2015-03-11.xsd#ifrs-full_DescriptionOfCashgeneratingUnit</t>
  </si>
  <si>
    <t>full_ifrs-cor_2015-03-11.xsd#ifrs-full_DescriptionOfCurrentAndFormerWayOfAggregatingAssets</t>
  </si>
  <si>
    <t>full_ifrs-cor_2015-03-11.xsd#ifrs-full_DescriptionOfReasonsForChangingWayCashgeneratingUnitIsIdentified</t>
  </si>
  <si>
    <t>full_ifrs-cor_2015-03-11.xsd#ifrs-full_RecoverableAmountOfAssetOrCashgeneratingUnit</t>
  </si>
  <si>
    <t>full_ifrs-cor_2015-03-11.xsd#ifrs-full_InformationWhetherRecoverableAmountOfAssetIsFairValueLessCostsToSellOrValueInUse</t>
  </si>
  <si>
    <t>full_ifrs-cor_2015-03-11.xsd#ifrs-full_DescriptionOfLevelOfFairValueHierarchyWithinWhichFairValueMeasurementIsCategorised</t>
  </si>
  <si>
    <t>full_ifrs-cor_2015-03-11.xsd#ifrs-full_DescriptionOfValuationTechniquesUsedToMeasureFairValueLessCostsOfDisposal</t>
  </si>
  <si>
    <t>full_ifrs-cor_2015-03-11.xsd#ifrs-full_DescriptionOfChangeInValuationTechniqueUsedToMeasureFairValueLessCostsOfDisposal</t>
  </si>
  <si>
    <t>full_ifrs-cor_2015-03-11.xsd#ifrs-full_DescriptionOfReasonsForChangeInValuationTechniqueUsedToMeasureFairValueLessCostsOfDisposal</t>
  </si>
  <si>
    <t>full_ifrs-cor_2015-03-11.xsd#ifrs-full_DescriptionOfKeyAssumptionsOnWhichManagementHasBasedDeterminationOfFairValueLessCostsOfDisposal</t>
  </si>
  <si>
    <t>full_ifrs-cor_2015-03-11.xsd#ifrs-full_DiscountRateUsedInCurrentMeasurementOfFairValueLessCostsOfDisposal</t>
  </si>
  <si>
    <t>full_ifrs-cor_2015-03-11.xsd#ifrs-full_DiscountRateUsedInPreviousMeasurementOfFairValueLessCostsOfDisposal</t>
  </si>
  <si>
    <t>full_ifrs-cor_2015-03-11.xsd#ifrs-full_DescriptionOfDiscountRatesUsedInCurrentEstimateOfValueInUse</t>
  </si>
  <si>
    <t>full_ifrs-cor_2015-03-11.xsd#ifrs-full_DescriptionOfDiscountRatesUsedInPreviousEstimateOfValueInUse</t>
  </si>
  <si>
    <t>full_ifrs-cor_2015-03-11.xsd#ifrs-full_AggregateNotSignificantIndividualAssetsOrCashgeneratingUnitsMember</t>
  </si>
  <si>
    <t>full_ifrs-cor_2015-03-11.xsd#ifrs-full_IndividualAssetsOrCashgeneratingUnitsWithSignificantAmountOfGoodwillOrIntangibleAssetsWithIndefiniteUsefulLivesMember</t>
  </si>
  <si>
    <t>full_ifrs-cor_2015-03-11.xsd#ifrs-full_EntitysTotalForCashgeneratingUnitsMember</t>
  </si>
  <si>
    <t>full_ifrs-cor_2015-03-11.xsd#ifrs-full_Goodwill</t>
  </si>
  <si>
    <t>full_ifrs-cor_2015-03-11.xsd#ifrs-full_IntangibleAssetsWithIndefiniteUsefulLife</t>
  </si>
  <si>
    <t>full_ifrs-cor_2015-03-11.xsd#ifrs-full_DescriptionOfBasisOnWhichUnitsRecoverableAmountHasBeenDetermined</t>
  </si>
  <si>
    <t>full_ifrs-cor_2015-03-11.xsd#ifrs-full_DescriptionOfKeyAssumptionsOnWhichManagementHasBasedCashFlowProjections</t>
  </si>
  <si>
    <t>full_ifrs-cor_2015-03-11.xsd#ifrs-full_DescriptionOfManagementsApproachToDeterminingValuesAssignedToKeyAssumptions</t>
  </si>
  <si>
    <t>full_ifrs-cor_2015-03-11.xsd#ifrs-full_ExplanationOfPeriodOverWhichManagementHasProjectedCashFlows</t>
  </si>
  <si>
    <t>full_ifrs-cor_2015-03-11.xsd#ifrs-full_DescriptionOfGrowthRateUsedToExtrapolateCashFlowProjections</t>
  </si>
  <si>
    <t>full_ifrs-cor_2015-03-11.xsd#ifrs-full_DescriptionOfJustificationForUsingGrowthRateThatExceedsLongtermAverageGrowthRate</t>
  </si>
  <si>
    <t>full_ifrs-cor_2015-03-11.xsd#ifrs-full_DescriptionOfDiscountRatesAppliedToCashFlowProjections</t>
  </si>
  <si>
    <t>full_ifrs-cor_2015-03-11.xsd#ifrs-full_AmountByWhichUnitsRecoverableAmountExceedsItsCarryingAmount</t>
  </si>
  <si>
    <t>full_ifrs-cor_2015-03-11.xsd#ifrs-full_ExplanationOfValueAssignedToKeyAssumption</t>
  </si>
  <si>
    <t>full_ifrs-cor_2015-03-11.xsd#ifrs-full_AmountByWhichValueAssignedToKeyAssumptionMustChangeInOrderForUnitsRecoverableAmountToBeEqualToCarryingAmount</t>
  </si>
  <si>
    <t>full_ifrs-cor_2015-03-11.xsd#ifrs-full_DisclosureOfImpairmentLossRecognisedOrReversedTable</t>
  </si>
  <si>
    <t>full_ifrs-cor_2015-03-11.xsd#ifrs-full_SegmentsAxis</t>
  </si>
  <si>
    <t>full_ifrs-cor_2015-03-11.xsd#ifrs-full_ClassesOfAssetsAxis</t>
  </si>
  <si>
    <t>full_ifrs-cor_2015-03-11.xsd#ifrs-full_IndividualAssetsOrCashgeneratingUnitsAxis</t>
  </si>
  <si>
    <t>full_ifrs-cor_2015-03-11.xsd#ifrs-full_ReportableSegmentsMember</t>
  </si>
  <si>
    <t>full_ifrs-cor_2015-03-11.xsd#ifrs-full_SegmentsMember</t>
  </si>
  <si>
    <t>full_ifrs-cor_2015-03-11.xsd#ifrs-full_DisclosureOfImpairmentLossAndReversalOfImpairmentLossTable</t>
  </si>
  <si>
    <t>full_ifrs-cor_2015-03-11.xsd#ifrs-full_DisclosureOfInformationForEachMaterialImpairmentLossRecognisedOrReversedForIndividualAssetOrCashgeneratingUnitTable</t>
  </si>
  <si>
    <t>full_ifrs-cor_2015-03-11.xsd#ifrs-full_IndividualAssetsOrCashgeneratingUnitsWithSignificantAmountOfGoodwillOrIntangibleAssetsWithIndefiniteUsefulLivesAxis</t>
  </si>
  <si>
    <t>full_ifrs-cor_2015-03-11.xsd#ifrs-full_DisclosureOfInformationForIndividualAssetOrCashgeneratingUnitWithSignificantAmountOfGoodwillOrIntangibleAssetsWithIndefiniteUsefulLivesTable</t>
  </si>
  <si>
    <t>cl-ci_cor_2016-01-11.xsd#cl-ci_FinancialAssetsMember</t>
  </si>
  <si>
    <t>Activos por derechos de uso [member]</t>
  </si>
  <si>
    <t>full_ifrs-cor_2016-03-31.xsd#ifrs-full_RightofuseAssetsMember</t>
  </si>
  <si>
    <t>pre_cl-ci_ias-36_2016-03-31_role-832410</t>
  </si>
  <si>
    <t>Información a revelar sobre pérdidas por deterioro reconocidas o revertidas para activos individuales o unidades generadoras de efectivo [tabla]</t>
  </si>
  <si>
    <t>Información a revelar sobre pérdidas por deterioro de valor reconocidas o revertidas [tabla]</t>
  </si>
  <si>
    <t>Información a revelar sobre las unidades generadoras de efectivo [tabla]</t>
  </si>
  <si>
    <t>6.1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</si>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</sst>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28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b/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11"/>
      <color theme="0"/>
      <name val="Calibri"/>
      <family val="2"/>
      <scheme val="minor"/>
    </font>
    <font>
      <b/>
      <sz val="9"/>
      <color indexed="9"/>
      <name val="Verdana"/>
      <family val="2"/>
    </font>
    <font>
      <sz val="9"/>
      <color theme="1"/>
      <name val="Verdana"/>
      <family val="2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sz val="11"/>
      <name val="Calibri"/>
      <family val="2"/>
      <scheme val="minor"/>
    </font>
    <font>
      <sz val="8"/>
      <name val="Verdana"/>
      <family val="2"/>
    </font>
    <font>
      <sz val="11"/>
      <color indexed="10"/>
      <name val="Calibri"/>
      <family val="2"/>
    </font>
    <font>
      <b/>
      <sz val="18"/>
      <name val="Calibri"/>
      <family val="2"/>
    </font>
    <font>
      <b/>
      <sz val="11"/>
      <name val="Verdana"/>
      <family val="2"/>
    </font>
    <font>
      <b/>
      <sz val="9"/>
      <color rgb="FFFF0000"/>
      <name val="Verdana"/>
      <family val="2"/>
    </font>
    <font>
      <b/>
      <sz val="9"/>
      <color indexed="9"/>
      <name val="Calibri"/>
      <family val="2"/>
      <scheme val="minor"/>
    </font>
    <font>
      <sz val="9"/>
      <color rgb="FFFFC000"/>
      <name val="Verdana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Instrument Sans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Dashed">
        <color indexed="10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/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thin">
        <color indexed="64"/>
      </bottom>
      <diagonal/>
    </border>
    <border>
      <left/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/>
      <right style="mediumDashed">
        <color rgb="FFFF0000"/>
      </right>
      <top style="thin">
        <color indexed="64"/>
      </top>
      <bottom/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thin">
        <color indexed="64"/>
      </bottom>
      <diagonal/>
    </border>
    <border>
      <left style="medium">
        <color indexed="64"/>
      </left>
      <right/>
      <top style="mediumDashed">
        <color indexed="10"/>
      </top>
      <bottom style="medium">
        <color indexed="64"/>
      </bottom>
      <diagonal/>
    </border>
    <border>
      <left/>
      <right/>
      <top style="mediumDashed">
        <color indexed="10"/>
      </top>
      <bottom style="medium">
        <color indexed="64"/>
      </bottom>
      <diagonal/>
    </border>
    <border>
      <left/>
      <right style="medium">
        <color indexed="64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 style="mediumDashed">
        <color indexed="10"/>
      </top>
      <bottom style="medium">
        <color indexed="64"/>
      </bottom>
      <diagonal/>
    </border>
    <border>
      <left/>
      <right style="mediumDashed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ed">
        <color rgb="FFFF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 style="thin">
        <color indexed="64"/>
      </right>
      <top style="mediumDashed">
        <color rgb="FFFF0000"/>
      </top>
      <bottom/>
      <diagonal/>
    </border>
    <border>
      <left/>
      <right style="thin">
        <color indexed="64"/>
      </right>
      <top/>
      <bottom style="mediumDashed">
        <color rgb="FFFF0000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5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25" fillId="0" borderId="0" applyNumberFormat="0" applyFill="0" applyBorder="0" applyAlignment="0" applyProtection="0"/>
  </cellStyleXfs>
  <cellXfs count="177">
    <xf numFmtId="0" fontId="0" fillId="0" borderId="0" xfId="0"/>
    <xf numFmtId="3" fontId="2" fillId="2" borderId="0" xfId="1" applyNumberFormat="1" applyFont="1" applyFill="1" applyBorder="1">
      <alignment vertical="center"/>
    </xf>
    <xf numFmtId="0" fontId="3" fillId="2" borderId="0" xfId="0" applyFont="1" applyFill="1" applyAlignment="1">
      <alignment horizontal="left" vertical="center" indent="3"/>
    </xf>
    <xf numFmtId="3" fontId="2" fillId="2" borderId="2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0" fontId="3" fillId="2" borderId="8" xfId="0" applyFont="1" applyFill="1" applyBorder="1" applyAlignment="1">
      <alignment horizontal="left" vertical="center" indent="3"/>
    </xf>
    <xf numFmtId="3" fontId="2" fillId="2" borderId="9" xfId="1" applyNumberFormat="1" applyFont="1" applyFill="1" applyBorder="1">
      <alignment vertical="center"/>
    </xf>
    <xf numFmtId="0" fontId="0" fillId="5" borderId="10" xfId="0" applyFill="1" applyBorder="1"/>
    <xf numFmtId="0" fontId="3" fillId="3" borderId="1" xfId="0" applyFont="1" applyFill="1" applyBorder="1" applyAlignment="1">
      <alignment horizontal="left" vertical="center" indent="3"/>
    </xf>
    <xf numFmtId="3" fontId="2" fillId="3" borderId="1" xfId="1" applyNumberFormat="1" applyFont="1" applyFill="1" applyBorder="1">
      <alignment vertical="center"/>
    </xf>
    <xf numFmtId="0" fontId="3" fillId="2" borderId="0" xfId="0" applyFont="1" applyFill="1" applyAlignment="1">
      <alignment horizontal="left" vertical="center" wrapText="1" indent="3"/>
    </xf>
    <xf numFmtId="0" fontId="3" fillId="0" borderId="0" xfId="0" applyFont="1"/>
    <xf numFmtId="0" fontId="3" fillId="2" borderId="5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2" applyNumberFormat="1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 wrapText="1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9" fillId="7" borderId="13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6" borderId="10" xfId="2" applyNumberFormat="1" applyFont="1" applyFill="1" applyBorder="1" applyAlignment="1">
      <alignment horizontal="center" vertical="center" wrapText="1"/>
    </xf>
    <xf numFmtId="0" fontId="15" fillId="6" borderId="14" xfId="2" applyNumberFormat="1" applyFont="1" applyFill="1" applyBorder="1" applyAlignment="1">
      <alignment horizontal="center" vertical="center" wrapText="1"/>
    </xf>
    <xf numFmtId="0" fontId="16" fillId="6" borderId="14" xfId="2" applyNumberFormat="1" applyFont="1" applyFill="1" applyBorder="1" applyAlignment="1">
      <alignment horizontal="center" vertical="center" wrapText="1"/>
    </xf>
    <xf numFmtId="0" fontId="7" fillId="6" borderId="14" xfId="2" applyNumberFormat="1" applyFont="1" applyFill="1" applyBorder="1" applyAlignment="1">
      <alignment horizontal="center" vertical="center" wrapText="1"/>
    </xf>
    <xf numFmtId="0" fontId="16" fillId="6" borderId="1" xfId="2" applyNumberFormat="1" applyFont="1" applyFill="1" applyBorder="1" applyAlignment="1">
      <alignment horizontal="center" vertical="center" wrapText="1"/>
    </xf>
    <xf numFmtId="0" fontId="16" fillId="6" borderId="11" xfId="2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8" borderId="5" xfId="3" applyFont="1" applyFill="1" applyBorder="1">
      <alignment vertical="center"/>
    </xf>
    <xf numFmtId="0" fontId="4" fillId="8" borderId="0" xfId="3" applyFont="1" applyFill="1" applyBorder="1">
      <alignment vertical="center"/>
    </xf>
    <xf numFmtId="0" fontId="3" fillId="8" borderId="0" xfId="3" applyFont="1" applyFill="1" applyBorder="1">
      <alignment vertical="center"/>
    </xf>
    <xf numFmtId="0" fontId="3" fillId="8" borderId="3" xfId="3" applyFont="1" applyFill="1" applyBorder="1" applyAlignment="1">
      <alignment horizontal="center" vertical="center" wrapText="1"/>
    </xf>
    <xf numFmtId="0" fontId="0" fillId="2" borderId="0" xfId="0" applyFill="1"/>
    <xf numFmtId="0" fontId="3" fillId="8" borderId="4" xfId="3" applyFont="1" applyFill="1" applyBorder="1" applyAlignment="1">
      <alignment vertical="center" wrapText="1"/>
    </xf>
    <xf numFmtId="0" fontId="3" fillId="2" borderId="2" xfId="0" applyFont="1" applyFill="1" applyBorder="1"/>
    <xf numFmtId="0" fontId="3" fillId="2" borderId="3" xfId="0" applyFont="1" applyFill="1" applyBorder="1"/>
    <xf numFmtId="0" fontId="8" fillId="2" borderId="3" xfId="0" applyFont="1" applyFill="1" applyBorder="1"/>
    <xf numFmtId="0" fontId="3" fillId="8" borderId="3" xfId="3" applyFont="1" applyFill="1" applyBorder="1">
      <alignment vertical="center"/>
    </xf>
    <xf numFmtId="0" fontId="4" fillId="8" borderId="3" xfId="3" applyFont="1" applyFill="1" applyBorder="1" applyAlignment="1">
      <alignment vertical="center" wrapText="1"/>
    </xf>
    <xf numFmtId="0" fontId="3" fillId="8" borderId="4" xfId="3" applyFont="1" applyFill="1" applyBorder="1">
      <alignment vertical="center"/>
    </xf>
    <xf numFmtId="0" fontId="3" fillId="2" borderId="8" xfId="2" applyNumberFormat="1" applyFont="1" applyFill="1" applyBorder="1" applyAlignment="1">
      <alignment horizontal="left" vertical="center"/>
    </xf>
    <xf numFmtId="3" fontId="3" fillId="3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 wrapText="1"/>
    </xf>
    <xf numFmtId="3" fontId="3" fillId="2" borderId="8" xfId="0" applyNumberFormat="1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 wrapText="1"/>
    </xf>
    <xf numFmtId="0" fontId="3" fillId="2" borderId="6" xfId="0" applyFont="1" applyFill="1" applyBorder="1" applyAlignment="1">
      <alignment horizontal="left" vertical="center"/>
    </xf>
    <xf numFmtId="3" fontId="3" fillId="2" borderId="9" xfId="0" applyNumberFormat="1" applyFont="1" applyFill="1" applyBorder="1" applyAlignment="1">
      <alignment horizontal="left" vertical="center"/>
    </xf>
    <xf numFmtId="3" fontId="3" fillId="2" borderId="11" xfId="0" applyNumberFormat="1" applyFont="1" applyFill="1" applyBorder="1" applyAlignment="1">
      <alignment horizontal="left" vertical="center"/>
    </xf>
    <xf numFmtId="0" fontId="0" fillId="0" borderId="16" xfId="0" applyBorder="1"/>
    <xf numFmtId="0" fontId="19" fillId="0" borderId="0" xfId="0" applyFont="1"/>
    <xf numFmtId="0" fontId="20" fillId="10" borderId="13" xfId="0" applyFont="1" applyFill="1" applyBorder="1" applyAlignment="1">
      <alignment horizontal="center" vertical="center" wrapText="1"/>
    </xf>
    <xf numFmtId="0" fontId="6" fillId="6" borderId="20" xfId="0" applyFont="1" applyFill="1" applyBorder="1" applyProtection="1">
      <protection locked="0"/>
    </xf>
    <xf numFmtId="0" fontId="0" fillId="0" borderId="19" xfId="0" applyBorder="1" applyAlignment="1">
      <alignment vertical="center"/>
    </xf>
    <xf numFmtId="0" fontId="6" fillId="6" borderId="0" xfId="0" applyFont="1" applyFill="1" applyProtection="1">
      <protection locked="0"/>
    </xf>
    <xf numFmtId="0" fontId="6" fillId="6" borderId="25" xfId="0" applyFont="1" applyFill="1" applyBorder="1" applyProtection="1">
      <protection locked="0"/>
    </xf>
    <xf numFmtId="0" fontId="6" fillId="6" borderId="0" xfId="0" applyFont="1" applyFill="1"/>
    <xf numFmtId="0" fontId="6" fillId="6" borderId="17" xfId="0" applyFont="1" applyFill="1" applyBorder="1" applyProtection="1">
      <protection locked="0"/>
    </xf>
    <xf numFmtId="0" fontId="6" fillId="6" borderId="18" xfId="0" applyFont="1" applyFill="1" applyBorder="1" applyProtection="1">
      <protection locked="0"/>
    </xf>
    <xf numFmtId="0" fontId="6" fillId="6" borderId="2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8" borderId="0" xfId="0" applyFill="1" applyProtection="1">
      <protection locked="0"/>
    </xf>
    <xf numFmtId="0" fontId="0" fillId="8" borderId="5" xfId="0" applyFill="1" applyBorder="1" applyProtection="1">
      <protection locked="0"/>
    </xf>
    <xf numFmtId="0" fontId="21" fillId="2" borderId="8" xfId="3" applyFont="1" applyFill="1" applyBorder="1" applyAlignment="1" applyProtection="1">
      <alignment horizontal="left" vertical="center" wrapText="1"/>
      <protection locked="0"/>
    </xf>
    <xf numFmtId="0" fontId="3" fillId="2" borderId="5" xfId="3" applyFont="1" applyFill="1" applyBorder="1" applyProtection="1">
      <alignment vertical="center"/>
      <protection locked="0"/>
    </xf>
    <xf numFmtId="0" fontId="3" fillId="2" borderId="0" xfId="3" applyFont="1" applyFill="1" applyBorder="1" applyProtection="1">
      <alignment vertical="center"/>
      <protection locked="0"/>
    </xf>
    <xf numFmtId="0" fontId="4" fillId="2" borderId="0" xfId="3" applyFont="1" applyFill="1" applyBorder="1" applyAlignment="1" applyProtection="1">
      <alignment horizontal="left" vertical="center" wrapText="1"/>
      <protection locked="0"/>
    </xf>
    <xf numFmtId="0" fontId="3" fillId="2" borderId="0" xfId="3" applyFont="1" applyFill="1" applyBorder="1" applyAlignment="1" applyProtection="1">
      <alignment horizontal="left" vertical="center" wrapText="1" indent="1"/>
      <protection locked="0"/>
    </xf>
    <xf numFmtId="0" fontId="3" fillId="2" borderId="7" xfId="3" applyFont="1" applyFill="1" applyBorder="1" applyProtection="1">
      <alignment vertical="center"/>
      <protection locked="0"/>
    </xf>
    <xf numFmtId="0" fontId="3" fillId="2" borderId="8" xfId="3" applyFont="1" applyFill="1" applyBorder="1" applyProtection="1">
      <alignment vertical="center"/>
      <protection locked="0"/>
    </xf>
    <xf numFmtId="0" fontId="3" fillId="2" borderId="8" xfId="3" applyFont="1" applyFill="1" applyBorder="1" applyAlignment="1" applyProtection="1">
      <alignment horizontal="left" vertical="center" wrapText="1" indent="1"/>
      <protection locked="0"/>
    </xf>
    <xf numFmtId="0" fontId="6" fillId="6" borderId="22" xfId="0" applyFont="1" applyFill="1" applyBorder="1"/>
    <xf numFmtId="0" fontId="6" fillId="6" borderId="23" xfId="0" applyFont="1" applyFill="1" applyBorder="1"/>
    <xf numFmtId="0" fontId="6" fillId="6" borderId="25" xfId="0" applyFont="1" applyFill="1" applyBorder="1" applyAlignment="1" applyProtection="1">
      <alignment horizontal="center" vertical="center"/>
      <protection locked="0"/>
    </xf>
    <xf numFmtId="0" fontId="6" fillId="6" borderId="26" xfId="0" applyFont="1" applyFill="1" applyBorder="1" applyProtection="1">
      <protection locked="0"/>
    </xf>
    <xf numFmtId="0" fontId="6" fillId="6" borderId="22" xfId="0" applyFont="1" applyFill="1" applyBorder="1" applyProtection="1">
      <protection locked="0"/>
    </xf>
    <xf numFmtId="0" fontId="6" fillId="6" borderId="15" xfId="0" applyFont="1" applyFill="1" applyBorder="1" applyProtection="1">
      <protection locked="0"/>
    </xf>
    <xf numFmtId="0" fontId="6" fillId="6" borderId="27" xfId="0" applyFont="1" applyFill="1" applyBorder="1" applyProtection="1">
      <protection locked="0"/>
    </xf>
    <xf numFmtId="0" fontId="6" fillId="6" borderId="21" xfId="0" applyFont="1" applyFill="1" applyBorder="1" applyProtection="1">
      <protection locked="0"/>
    </xf>
    <xf numFmtId="0" fontId="6" fillId="6" borderId="24" xfId="0" applyFont="1" applyFill="1" applyBorder="1" applyAlignment="1" applyProtection="1">
      <alignment horizontal="center" vertical="center"/>
      <protection locked="0"/>
    </xf>
    <xf numFmtId="0" fontId="22" fillId="11" borderId="28" xfId="2" applyNumberFormat="1" applyFont="1" applyFill="1" applyBorder="1" applyAlignment="1">
      <alignment horizontal="center" vertical="center" wrapText="1"/>
    </xf>
    <xf numFmtId="0" fontId="17" fillId="11" borderId="29" xfId="3" applyFont="1" applyFill="1" applyBorder="1" applyAlignment="1">
      <alignment horizontal="center" vertical="center" wrapText="1"/>
    </xf>
    <xf numFmtId="0" fontId="3" fillId="8" borderId="29" xfId="3" applyFont="1" applyFill="1" applyBorder="1">
      <alignment vertical="center"/>
    </xf>
    <xf numFmtId="0" fontId="3" fillId="2" borderId="30" xfId="0" applyFont="1" applyFill="1" applyBorder="1" applyAlignment="1">
      <alignment horizontal="left" vertical="center"/>
    </xf>
    <xf numFmtId="3" fontId="3" fillId="3" borderId="1" xfId="0" applyNumberFormat="1" applyFont="1" applyFill="1" applyBorder="1" applyAlignment="1">
      <alignment horizontal="right" vertical="center"/>
    </xf>
    <xf numFmtId="3" fontId="3" fillId="14" borderId="1" xfId="0" applyNumberFormat="1" applyFont="1" applyFill="1" applyBorder="1" applyAlignment="1">
      <alignment horizontal="right" vertical="center"/>
    </xf>
    <xf numFmtId="0" fontId="3" fillId="2" borderId="31" xfId="0" applyFont="1" applyFill="1" applyBorder="1" applyAlignment="1">
      <alignment horizontal="left" vertical="center"/>
    </xf>
    <xf numFmtId="3" fontId="3" fillId="3" borderId="11" xfId="0" applyNumberFormat="1" applyFont="1" applyFill="1" applyBorder="1" applyAlignment="1">
      <alignment horizontal="left" vertical="center"/>
    </xf>
    <xf numFmtId="0" fontId="4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2" xfId="0" applyFont="1" applyFill="1" applyBorder="1" applyAlignment="1">
      <alignment horizontal="left" vertical="center"/>
    </xf>
    <xf numFmtId="0" fontId="0" fillId="0" borderId="31" xfId="0" applyBorder="1"/>
    <xf numFmtId="0" fontId="7" fillId="6" borderId="33" xfId="2" applyNumberFormat="1" applyFont="1" applyFill="1" applyBorder="1" applyAlignment="1">
      <alignment horizontal="center" vertical="center" wrapText="1"/>
    </xf>
    <xf numFmtId="0" fontId="4" fillId="8" borderId="34" xfId="3" applyFont="1" applyFill="1" applyBorder="1" applyAlignment="1">
      <alignment vertical="center" wrapText="1"/>
    </xf>
    <xf numFmtId="3" fontId="3" fillId="3" borderId="35" xfId="0" applyNumberFormat="1" applyFont="1" applyFill="1" applyBorder="1" applyAlignment="1">
      <alignment horizontal="left" vertical="center"/>
    </xf>
    <xf numFmtId="3" fontId="3" fillId="2" borderId="36" xfId="0" applyNumberFormat="1" applyFont="1" applyFill="1" applyBorder="1" applyAlignment="1">
      <alignment horizontal="left" vertical="center"/>
    </xf>
    <xf numFmtId="0" fontId="0" fillId="0" borderId="30" xfId="0" applyBorder="1"/>
    <xf numFmtId="0" fontId="15" fillId="6" borderId="35" xfId="2" applyNumberFormat="1" applyFont="1" applyFill="1" applyBorder="1" applyAlignment="1">
      <alignment horizontal="center" vertical="center" wrapText="1"/>
    </xf>
    <xf numFmtId="3" fontId="3" fillId="2" borderId="35" xfId="0" applyNumberFormat="1" applyFont="1" applyFill="1" applyBorder="1" applyAlignment="1">
      <alignment horizontal="left" vertical="center"/>
    </xf>
    <xf numFmtId="0" fontId="3" fillId="2" borderId="36" xfId="0" applyFont="1" applyFill="1" applyBorder="1" applyAlignment="1">
      <alignment horizontal="left" vertical="center"/>
    </xf>
    <xf numFmtId="1" fontId="18" fillId="14" borderId="1" xfId="3" applyNumberFormat="1" applyFont="1" applyFill="1" applyBorder="1" applyProtection="1">
      <alignment vertical="center"/>
      <protection locked="0"/>
    </xf>
    <xf numFmtId="1" fontId="18" fillId="9" borderId="1" xfId="3" applyNumberFormat="1" applyFont="1" applyFill="1" applyBorder="1" applyProtection="1">
      <alignment vertical="center"/>
      <protection locked="0"/>
    </xf>
    <xf numFmtId="164" fontId="3" fillId="3" borderId="11" xfId="0" applyNumberFormat="1" applyFont="1" applyFill="1" applyBorder="1" applyAlignment="1">
      <alignment horizontal="left" vertical="center"/>
    </xf>
    <xf numFmtId="164" fontId="3" fillId="3" borderId="1" xfId="0" applyNumberFormat="1" applyFont="1" applyFill="1" applyBorder="1" applyAlignment="1">
      <alignment horizontal="left" vertical="center"/>
    </xf>
    <xf numFmtId="0" fontId="3" fillId="15" borderId="1" xfId="0" applyFont="1" applyFill="1" applyBorder="1" applyAlignment="1">
      <alignment horizontal="left" vertical="center" indent="3"/>
    </xf>
    <xf numFmtId="0" fontId="6" fillId="11" borderId="0" xfId="0" applyFont="1" applyFill="1" applyProtection="1">
      <protection locked="0"/>
    </xf>
    <xf numFmtId="0" fontId="6" fillId="11" borderId="25" xfId="0" applyFont="1" applyFill="1" applyBorder="1" applyAlignment="1" applyProtection="1">
      <alignment horizontal="center" vertical="center"/>
      <protection locked="0"/>
    </xf>
    <xf numFmtId="0" fontId="6" fillId="11" borderId="25" xfId="0" applyFont="1" applyFill="1" applyBorder="1" applyProtection="1">
      <protection locked="0"/>
    </xf>
    <xf numFmtId="0" fontId="6" fillId="11" borderId="39" xfId="0" applyFont="1" applyFill="1" applyBorder="1" applyProtection="1">
      <protection locked="0"/>
    </xf>
    <xf numFmtId="0" fontId="6" fillId="11" borderId="40" xfId="0" applyFont="1" applyFill="1" applyBorder="1" applyProtection="1">
      <protection locked="0"/>
    </xf>
    <xf numFmtId="0" fontId="0" fillId="11" borderId="0" xfId="0" applyFill="1" applyProtection="1">
      <protection locked="0"/>
    </xf>
    <xf numFmtId="0" fontId="3" fillId="2" borderId="41" xfId="3" applyFont="1" applyFill="1" applyBorder="1" applyProtection="1">
      <alignment vertical="center"/>
      <protection locked="0"/>
    </xf>
    <xf numFmtId="0" fontId="3" fillId="2" borderId="41" xfId="3" applyFont="1" applyFill="1" applyBorder="1" applyAlignment="1" applyProtection="1">
      <alignment horizontal="left" vertical="center" wrapText="1" indent="1"/>
      <protection locked="0"/>
    </xf>
    <xf numFmtId="0" fontId="6" fillId="6" borderId="43" xfId="0" applyFont="1" applyFill="1" applyBorder="1"/>
    <xf numFmtId="0" fontId="6" fillId="6" borderId="43" xfId="0" applyFont="1" applyFill="1" applyBorder="1" applyAlignment="1" applyProtection="1">
      <alignment horizontal="center" vertical="center" wrapText="1"/>
      <protection locked="0"/>
    </xf>
    <xf numFmtId="0" fontId="6" fillId="6" borderId="44" xfId="0" applyFont="1" applyFill="1" applyBorder="1" applyProtection="1">
      <protection locked="0"/>
    </xf>
    <xf numFmtId="0" fontId="0" fillId="8" borderId="31" xfId="0" applyFill="1" applyBorder="1" applyProtection="1">
      <protection locked="0"/>
    </xf>
    <xf numFmtId="0" fontId="3" fillId="2" borderId="31" xfId="3" applyFont="1" applyFill="1" applyBorder="1" applyProtection="1">
      <alignment vertical="center"/>
      <protection locked="0"/>
    </xf>
    <xf numFmtId="1" fontId="18" fillId="14" borderId="45" xfId="3" applyNumberFormat="1" applyFont="1" applyFill="1" applyBorder="1" applyProtection="1">
      <alignment vertical="center"/>
      <protection locked="0"/>
    </xf>
    <xf numFmtId="0" fontId="3" fillId="2" borderId="31" xfId="3" applyFont="1" applyFill="1" applyBorder="1" applyAlignment="1" applyProtection="1">
      <alignment horizontal="left" vertical="center" wrapText="1" indent="1"/>
      <protection locked="0"/>
    </xf>
    <xf numFmtId="0" fontId="3" fillId="2" borderId="46" xfId="3" applyFont="1" applyFill="1" applyBorder="1" applyProtection="1">
      <alignment vertical="center"/>
      <protection locked="0"/>
    </xf>
    <xf numFmtId="0" fontId="0" fillId="0" borderId="4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6" xfId="0" applyBorder="1"/>
    <xf numFmtId="0" fontId="0" fillId="0" borderId="48" xfId="0" applyBorder="1"/>
    <xf numFmtId="0" fontId="15" fillId="6" borderId="33" xfId="2" applyNumberFormat="1" applyFont="1" applyFill="1" applyBorder="1" applyAlignment="1">
      <alignment horizontal="center" vertical="center" wrapText="1"/>
    </xf>
    <xf numFmtId="3" fontId="3" fillId="2" borderId="33" xfId="0" applyNumberFormat="1" applyFont="1" applyFill="1" applyBorder="1" applyAlignment="1">
      <alignment horizontal="left" vertical="center"/>
    </xf>
    <xf numFmtId="0" fontId="16" fillId="6" borderId="45" xfId="2" applyNumberFormat="1" applyFont="1" applyFill="1" applyBorder="1" applyAlignment="1">
      <alignment horizontal="center" vertical="center" wrapText="1"/>
    </xf>
    <xf numFmtId="0" fontId="0" fillId="0" borderId="35" xfId="0" applyBorder="1"/>
    <xf numFmtId="0" fontId="3" fillId="8" borderId="34" xfId="3" applyFont="1" applyFill="1" applyBorder="1">
      <alignment vertical="center"/>
    </xf>
    <xf numFmtId="3" fontId="3" fillId="2" borderId="32" xfId="0" applyNumberFormat="1" applyFont="1" applyFill="1" applyBorder="1" applyAlignment="1">
      <alignment horizontal="left" vertical="center"/>
    </xf>
    <xf numFmtId="0" fontId="0" fillId="0" borderId="33" xfId="0" applyBorder="1"/>
    <xf numFmtId="3" fontId="3" fillId="12" borderId="11" xfId="0" applyNumberFormat="1" applyFont="1" applyFill="1" applyBorder="1" applyAlignment="1">
      <alignment horizontal="right" vertical="center"/>
    </xf>
    <xf numFmtId="3" fontId="3" fillId="12" borderId="1" xfId="0" applyNumberFormat="1" applyFont="1" applyFill="1" applyBorder="1" applyAlignment="1">
      <alignment horizontal="right" vertical="center"/>
    </xf>
    <xf numFmtId="0" fontId="23" fillId="6" borderId="12" xfId="2" applyFont="1" applyFill="1" applyBorder="1" applyAlignment="1">
      <alignment horizontal="center" vertical="center" wrapText="1"/>
    </xf>
    <xf numFmtId="0" fontId="26" fillId="5" borderId="11" xfId="0" applyFont="1" applyFill="1" applyBorder="1"/>
    <xf numFmtId="3" fontId="4" fillId="12" borderId="11" xfId="0" applyNumberFormat="1" applyFont="1" applyFill="1" applyBorder="1" applyAlignment="1">
      <alignment horizontal="right" vertical="center"/>
    </xf>
    <xf numFmtId="3" fontId="3" fillId="3" borderId="35" xfId="0" applyNumberFormat="1" applyFont="1" applyFill="1" applyBorder="1" applyAlignment="1">
      <alignment horizontal="right" vertical="center"/>
    </xf>
    <xf numFmtId="0" fontId="3" fillId="2" borderId="31" xfId="0" applyFont="1" applyFill="1" applyBorder="1" applyAlignment="1">
      <alignment horizontal="right" vertical="center"/>
    </xf>
    <xf numFmtId="0" fontId="3" fillId="2" borderId="30" xfId="0" applyFont="1" applyFill="1" applyBorder="1" applyAlignment="1">
      <alignment horizontal="right" vertical="center"/>
    </xf>
    <xf numFmtId="0" fontId="3" fillId="2" borderId="9" xfId="0" applyFont="1" applyFill="1" applyBorder="1" applyAlignment="1">
      <alignment horizontal="right" vertical="center"/>
    </xf>
    <xf numFmtId="164" fontId="3" fillId="3" borderId="1" xfId="0" applyNumberFormat="1" applyFont="1" applyFill="1" applyBorder="1" applyAlignment="1">
      <alignment horizontal="right" vertical="center"/>
    </xf>
    <xf numFmtId="3" fontId="4" fillId="12" borderId="1" xfId="3" applyNumberFormat="1" applyFont="1" applyFill="1" applyBorder="1" applyAlignment="1" applyProtection="1">
      <alignment horizontal="right" vertical="center"/>
      <protection locked="0"/>
    </xf>
    <xf numFmtId="0" fontId="3" fillId="8" borderId="3" xfId="3" applyFont="1" applyFill="1" applyBorder="1" applyAlignment="1">
      <alignment horizontal="left" vertical="center"/>
    </xf>
    <xf numFmtId="3" fontId="18" fillId="0" borderId="1" xfId="3" applyNumberFormat="1" applyFont="1" applyFill="1" applyBorder="1" applyProtection="1">
      <alignment vertical="center"/>
      <protection locked="0"/>
    </xf>
    <xf numFmtId="49" fontId="3" fillId="3" borderId="1" xfId="0" applyNumberFormat="1" applyFont="1" applyFill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64" fontId="3" fillId="3" borderId="35" xfId="0" applyNumberFormat="1" applyFont="1" applyFill="1" applyBorder="1" applyAlignment="1">
      <alignment horizontal="right" vertical="center"/>
    </xf>
    <xf numFmtId="0" fontId="3" fillId="2" borderId="0" xfId="0" applyFont="1" applyFill="1" applyAlignment="1">
      <alignment horizontal="left" vertical="center" wrapText="1" indent="5"/>
    </xf>
    <xf numFmtId="0" fontId="3" fillId="17" borderId="4" xfId="3" applyFont="1" applyFill="1" applyBorder="1" applyAlignment="1">
      <alignment vertical="center" wrapText="1"/>
    </xf>
    <xf numFmtId="0" fontId="17" fillId="17" borderId="0" xfId="0" applyFont="1" applyFill="1"/>
    <xf numFmtId="0" fontId="17" fillId="17" borderId="22" xfId="0" applyFont="1" applyFill="1" applyBorder="1"/>
    <xf numFmtId="0" fontId="25" fillId="16" borderId="0" xfId="4" applyFill="1" applyBorder="1" applyAlignment="1">
      <alignment horizontal="left" vertical="center" wrapText="1" indent="3"/>
    </xf>
    <xf numFmtId="0" fontId="25" fillId="17" borderId="0" xfId="4" applyFill="1" applyBorder="1" applyAlignment="1">
      <alignment horizontal="left" vertical="center" wrapText="1" indent="3"/>
    </xf>
    <xf numFmtId="0" fontId="25" fillId="18" borderId="0" xfId="4" applyFill="1" applyBorder="1" applyAlignment="1">
      <alignment horizontal="left" vertical="center" indent="3"/>
    </xf>
    <xf numFmtId="0" fontId="25" fillId="19" borderId="0" xfId="4" applyFill="1" applyBorder="1" applyAlignment="1">
      <alignment horizontal="left" vertical="center" indent="3"/>
    </xf>
    <xf numFmtId="0" fontId="24" fillId="2" borderId="0" xfId="0" applyFont="1" applyFill="1" applyAlignment="1">
      <alignment horizontal="left" vertical="center" wrapText="1"/>
    </xf>
    <xf numFmtId="3" fontId="0" fillId="0" borderId="0" xfId="0" applyNumberFormat="1"/>
    <xf numFmtId="3" fontId="27" fillId="0" borderId="0" xfId="0" applyNumberFormat="1" applyFont="1"/>
    <xf numFmtId="0" fontId="6" fillId="6" borderId="26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0" fillId="11" borderId="18" xfId="0" applyFill="1" applyBorder="1" applyAlignment="1" applyProtection="1">
      <alignment horizontal="center" vertical="center" wrapText="1"/>
      <protection locked="0"/>
    </xf>
    <xf numFmtId="0" fontId="0" fillId="11" borderId="24" xfId="0" applyFill="1" applyBorder="1" applyAlignment="1" applyProtection="1">
      <alignment horizontal="center" vertical="center" wrapText="1"/>
      <protection locked="0"/>
    </xf>
    <xf numFmtId="0" fontId="6" fillId="6" borderId="43" xfId="0" applyFont="1" applyFill="1" applyBorder="1" applyAlignment="1">
      <alignment horizontal="center" vertical="center" wrapText="1"/>
    </xf>
    <xf numFmtId="0" fontId="17" fillId="13" borderId="26" xfId="0" applyFont="1" applyFill="1" applyBorder="1" applyAlignment="1" applyProtection="1">
      <alignment horizontal="center"/>
      <protection locked="0"/>
    </xf>
    <xf numFmtId="0" fontId="17" fillId="13" borderId="22" xfId="0" applyFont="1" applyFill="1" applyBorder="1" applyAlignment="1" applyProtection="1">
      <alignment horizontal="center"/>
      <protection locked="0"/>
    </xf>
    <xf numFmtId="0" fontId="17" fillId="13" borderId="23" xfId="0" applyFont="1" applyFill="1" applyBorder="1" applyAlignment="1" applyProtection="1">
      <alignment horizontal="center"/>
      <protection locked="0"/>
    </xf>
    <xf numFmtId="0" fontId="22" fillId="11" borderId="37" xfId="2" applyNumberFormat="1" applyFont="1" applyFill="1" applyBorder="1" applyAlignment="1">
      <alignment horizontal="center" vertical="center" wrapText="1"/>
    </xf>
    <xf numFmtId="0" fontId="4" fillId="11" borderId="38" xfId="2" applyNumberFormat="1" applyFont="1" applyFill="1" applyBorder="1" applyAlignment="1">
      <alignment horizontal="center" vertical="center" wrapText="1"/>
    </xf>
    <xf numFmtId="0" fontId="4" fillId="11" borderId="42" xfId="2" applyNumberFormat="1" applyFont="1" applyFill="1" applyBorder="1" applyAlignment="1">
      <alignment horizontal="center" vertical="center" wrapText="1"/>
    </xf>
  </cellXfs>
  <cellStyles count="5">
    <cellStyle name="60% - akcent 1" xfId="2" xr:uid="{00000000-0005-0000-0000-000000000000}"/>
    <cellStyle name="Hipervínculo" xfId="4" builtinId="8"/>
    <cellStyle name="Normal" xfId="0" builtinId="0"/>
    <cellStyle name="Normal 10" xfId="1" xr:uid="{00000000-0005-0000-0000-000003000000}"/>
    <cellStyle name="Normal 12" xfId="3" xr:uid="{00000000-0005-0000-0000-000004000000}"/>
  </cellStyles>
  <dxfs count="4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142315</xdr:colOff>
      <xdr:row>1</xdr:row>
      <xdr:rowOff>1293720</xdr:rowOff>
    </xdr:from>
    <xdr:to>
      <xdr:col>7</xdr:col>
      <xdr:colOff>489698</xdr:colOff>
      <xdr:row>1</xdr:row>
      <xdr:rowOff>2212602</xdr:rowOff>
    </xdr:to>
    <xdr:sp macro="" textlink="">
      <xdr:nvSpPr>
        <xdr:cNvPr id="4" name="3 Flecha abaj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076640" y="198904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400050</xdr:colOff>
      <xdr:row>1</xdr:row>
      <xdr:rowOff>542925</xdr:rowOff>
    </xdr:from>
    <xdr:to>
      <xdr:col>8</xdr:col>
      <xdr:colOff>344021</xdr:colOff>
      <xdr:row>1</xdr:row>
      <xdr:rowOff>1215278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572375" y="123825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 editAs="absolute">
    <xdr:from>
      <xdr:col>5</xdr:col>
      <xdr:colOff>4781550</xdr:colOff>
      <xdr:row>0</xdr:row>
      <xdr:rowOff>171450</xdr:rowOff>
    </xdr:from>
    <xdr:to>
      <xdr:col>6</xdr:col>
      <xdr:colOff>14287</xdr:colOff>
      <xdr:row>0</xdr:row>
      <xdr:rowOff>564356</xdr:rowOff>
    </xdr:to>
    <xdr:sp macro="[0]!Copiar_columna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>
        <a:xfrm>
          <a:off x="5838825" y="171450"/>
          <a:ext cx="1281112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8</xdr:col>
      <xdr:colOff>142315</xdr:colOff>
      <xdr:row>1</xdr:row>
      <xdr:rowOff>1293720</xdr:rowOff>
    </xdr:from>
    <xdr:to>
      <xdr:col>8</xdr:col>
      <xdr:colOff>489698</xdr:colOff>
      <xdr:row>1</xdr:row>
      <xdr:rowOff>2212602</xdr:rowOff>
    </xdr:to>
    <xdr:sp macro="" textlink="">
      <xdr:nvSpPr>
        <xdr:cNvPr id="4" name="3 Flecha abaj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009965" y="198904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7</xdr:col>
      <xdr:colOff>371476</xdr:colOff>
      <xdr:row>1</xdr:row>
      <xdr:rowOff>542925</xdr:rowOff>
    </xdr:from>
    <xdr:to>
      <xdr:col>9</xdr:col>
      <xdr:colOff>344022</xdr:colOff>
      <xdr:row>1</xdr:row>
      <xdr:rowOff>1215278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296276" y="1304925"/>
          <a:ext cx="1496546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 editAs="absolute">
    <xdr:from>
      <xdr:col>5</xdr:col>
      <xdr:colOff>2306731</xdr:colOff>
      <xdr:row>0</xdr:row>
      <xdr:rowOff>180975</xdr:rowOff>
    </xdr:from>
    <xdr:to>
      <xdr:col>5</xdr:col>
      <xdr:colOff>3590644</xdr:colOff>
      <xdr:row>0</xdr:row>
      <xdr:rowOff>573881</xdr:rowOff>
    </xdr:to>
    <xdr:sp macro="[0]!Copiar_columna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/>
        </xdr:cNvSpPr>
      </xdr:nvSpPr>
      <xdr:spPr>
        <a:xfrm>
          <a:off x="5829300" y="180975"/>
          <a:ext cx="1281112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59531</xdr:colOff>
      <xdr:row>0</xdr:row>
      <xdr:rowOff>166688</xdr:rowOff>
    </xdr:from>
    <xdr:to>
      <xdr:col>5</xdr:col>
      <xdr:colOff>1131063</xdr:colOff>
      <xdr:row>0</xdr:row>
      <xdr:rowOff>598688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240631" y="166688"/>
          <a:ext cx="1071532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1310744</xdr:colOff>
      <xdr:row>0</xdr:row>
      <xdr:rowOff>166688</xdr:rowOff>
    </xdr:from>
    <xdr:to>
      <xdr:col>5</xdr:col>
      <xdr:colOff>2390744</xdr:colOff>
      <xdr:row>0</xdr:row>
      <xdr:rowOff>598688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491844" y="166688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4"/>
  <sheetViews>
    <sheetView zoomScale="90" zoomScaleNormal="90" workbookViewId="0">
      <selection activeCell="I29" sqref="I29"/>
    </sheetView>
  </sheetViews>
  <sheetFormatPr baseColWidth="10" defaultRowHeight="15"/>
  <cols>
    <col min="1" max="5" width="2.7109375" customWidth="1"/>
    <col min="6" max="6" width="101.85546875" bestFit="1" customWidth="1"/>
    <col min="7" max="7" width="2.7109375" customWidth="1"/>
    <col min="8" max="9" width="16.7109375" customWidth="1"/>
  </cols>
  <sheetData>
    <row r="1" spans="1:10" ht="105" customHeight="1">
      <c r="A1" t="s">
        <v>0</v>
      </c>
    </row>
    <row r="2" spans="1:10">
      <c r="G2" s="12" t="s">
        <v>0</v>
      </c>
      <c r="H2" s="141" t="s">
        <v>179</v>
      </c>
    </row>
    <row r="3" spans="1:10">
      <c r="B3" s="3" t="s">
        <v>0</v>
      </c>
      <c r="C3" s="4" t="s">
        <v>0</v>
      </c>
      <c r="D3" s="4" t="s">
        <v>0</v>
      </c>
      <c r="E3" s="4" t="s">
        <v>0</v>
      </c>
      <c r="F3" s="4"/>
      <c r="G3" s="4" t="s">
        <v>0</v>
      </c>
      <c r="H3" s="4"/>
      <c r="I3" s="4"/>
      <c r="J3" s="5"/>
    </row>
    <row r="4" spans="1:10">
      <c r="B4" s="6" t="s">
        <v>0</v>
      </c>
      <c r="C4" s="1" t="s">
        <v>0</v>
      </c>
      <c r="D4" s="1" t="s">
        <v>0</v>
      </c>
      <c r="E4" s="1" t="s">
        <v>0</v>
      </c>
      <c r="F4" s="2"/>
      <c r="G4" s="1" t="s">
        <v>0</v>
      </c>
      <c r="H4" s="1"/>
      <c r="I4" s="1"/>
      <c r="J4" s="7"/>
    </row>
    <row r="5" spans="1:10">
      <c r="B5" s="6"/>
      <c r="C5" s="1"/>
      <c r="D5" s="1" t="s">
        <v>0</v>
      </c>
      <c r="E5" s="1" t="s">
        <v>0</v>
      </c>
      <c r="F5" s="2" t="s">
        <v>1</v>
      </c>
      <c r="G5" s="1" t="s">
        <v>0</v>
      </c>
      <c r="H5" s="1"/>
      <c r="I5" s="1"/>
      <c r="J5" s="7"/>
    </row>
    <row r="6" spans="1:10">
      <c r="B6" s="6" t="s">
        <v>175</v>
      </c>
      <c r="C6" s="1" t="s">
        <v>102</v>
      </c>
      <c r="D6" s="1" t="s">
        <v>0</v>
      </c>
      <c r="E6" s="1" t="s">
        <v>0</v>
      </c>
      <c r="F6" s="13" t="s">
        <v>180</v>
      </c>
      <c r="G6" s="1" t="s">
        <v>0</v>
      </c>
      <c r="H6" s="1"/>
      <c r="I6" s="1"/>
      <c r="J6" s="7"/>
    </row>
    <row r="7" spans="1:10">
      <c r="B7" s="6"/>
      <c r="C7" s="1"/>
      <c r="D7" s="1"/>
      <c r="E7" s="1"/>
      <c r="F7" s="2"/>
      <c r="G7" s="1"/>
      <c r="H7" s="1"/>
      <c r="I7" s="1"/>
      <c r="J7" s="7"/>
    </row>
    <row r="8" spans="1:10" ht="22.5">
      <c r="B8" s="6"/>
      <c r="C8" s="1"/>
      <c r="D8" s="1"/>
      <c r="E8" s="1"/>
      <c r="F8" s="15" t="s">
        <v>2</v>
      </c>
      <c r="G8" s="1"/>
      <c r="H8" s="1"/>
      <c r="I8" s="1"/>
      <c r="J8" s="7"/>
    </row>
    <row r="9" spans="1:10">
      <c r="B9" s="6" t="s">
        <v>175</v>
      </c>
      <c r="C9" s="1" t="s">
        <v>103</v>
      </c>
      <c r="D9" s="1" t="s">
        <v>0</v>
      </c>
      <c r="E9" s="1" t="s">
        <v>0</v>
      </c>
      <c r="F9" s="13" t="s">
        <v>181</v>
      </c>
      <c r="G9" s="1"/>
      <c r="H9" s="1"/>
      <c r="I9" s="1"/>
      <c r="J9" s="7"/>
    </row>
    <row r="10" spans="1:10">
      <c r="B10" s="6"/>
      <c r="C10" s="1"/>
      <c r="D10" s="1"/>
      <c r="E10" s="1"/>
      <c r="F10" s="2"/>
      <c r="G10" s="1"/>
      <c r="H10" s="1"/>
      <c r="I10" s="1"/>
      <c r="J10" s="7"/>
    </row>
    <row r="11" spans="1:10" ht="30">
      <c r="B11" s="6"/>
      <c r="C11" s="1"/>
      <c r="D11" s="1"/>
      <c r="E11" s="1"/>
      <c r="F11" s="158" t="s">
        <v>99</v>
      </c>
      <c r="G11" s="1"/>
      <c r="H11" s="1"/>
      <c r="I11" s="1"/>
      <c r="J11" s="7"/>
    </row>
    <row r="12" spans="1:10">
      <c r="B12" s="6"/>
      <c r="C12" s="1"/>
      <c r="D12" s="1"/>
      <c r="E12" s="1"/>
      <c r="F12" s="2"/>
      <c r="G12" s="1"/>
      <c r="H12" s="1"/>
      <c r="I12" s="1"/>
      <c r="J12" s="7"/>
    </row>
    <row r="13" spans="1:10" ht="22.5">
      <c r="B13" s="6"/>
      <c r="C13" s="1"/>
      <c r="D13" s="1" t="s">
        <v>0</v>
      </c>
      <c r="E13" s="1" t="s">
        <v>0</v>
      </c>
      <c r="F13" s="15" t="s">
        <v>74</v>
      </c>
      <c r="G13" s="1"/>
      <c r="H13" s="1"/>
      <c r="I13" s="1"/>
      <c r="J13" s="7"/>
    </row>
    <row r="14" spans="1:10">
      <c r="B14" s="6" t="s">
        <v>175</v>
      </c>
      <c r="C14" s="1" t="s">
        <v>104</v>
      </c>
      <c r="D14" s="1" t="s">
        <v>0</v>
      </c>
      <c r="E14" s="1" t="s">
        <v>0</v>
      </c>
      <c r="F14" s="110" t="s">
        <v>182</v>
      </c>
      <c r="G14" s="1"/>
      <c r="H14" s="1"/>
      <c r="I14" s="1"/>
      <c r="J14" s="7"/>
    </row>
    <row r="15" spans="1:10">
      <c r="B15" s="6"/>
      <c r="C15" s="1"/>
      <c r="D15" s="1" t="s">
        <v>0</v>
      </c>
      <c r="E15" s="1" t="s">
        <v>0</v>
      </c>
      <c r="F15" s="2"/>
      <c r="G15" s="1"/>
      <c r="H15" s="1"/>
      <c r="I15" s="1"/>
      <c r="J15" s="7"/>
    </row>
    <row r="16" spans="1:10" ht="30">
      <c r="B16" s="6"/>
      <c r="C16" s="1"/>
      <c r="D16" s="1"/>
      <c r="E16" s="1"/>
      <c r="F16" s="159" t="s">
        <v>176</v>
      </c>
      <c r="G16" s="1"/>
      <c r="H16" s="1"/>
      <c r="I16" s="1"/>
      <c r="J16" s="7"/>
    </row>
    <row r="17" spans="2:10">
      <c r="B17" s="6"/>
      <c r="C17" s="1"/>
      <c r="D17" s="1"/>
      <c r="E17" s="1"/>
      <c r="F17" s="2"/>
      <c r="G17" s="1"/>
      <c r="H17" s="1"/>
      <c r="I17" s="1"/>
      <c r="J17" s="7"/>
    </row>
    <row r="18" spans="2:10">
      <c r="B18" s="6"/>
      <c r="C18" s="1"/>
      <c r="D18" s="1"/>
      <c r="E18" s="1"/>
      <c r="F18" s="2" t="s">
        <v>3</v>
      </c>
      <c r="G18" s="1"/>
      <c r="H18" s="1"/>
      <c r="I18" s="1"/>
      <c r="J18" s="7"/>
    </row>
    <row r="19" spans="2:10">
      <c r="B19" s="6" t="s">
        <v>175</v>
      </c>
      <c r="C19" s="1" t="s">
        <v>105</v>
      </c>
      <c r="D19" s="1" t="s">
        <v>0</v>
      </c>
      <c r="E19" s="1" t="s">
        <v>0</v>
      </c>
      <c r="F19" s="13" t="s">
        <v>183</v>
      </c>
      <c r="G19" s="1"/>
      <c r="H19" s="1"/>
      <c r="I19" s="1"/>
      <c r="J19" s="7"/>
    </row>
    <row r="20" spans="2:10">
      <c r="B20" s="6"/>
      <c r="C20" s="1"/>
      <c r="D20" s="1"/>
      <c r="E20" s="1"/>
      <c r="F20" s="2"/>
      <c r="G20" s="1"/>
      <c r="H20" s="1"/>
      <c r="I20" s="1"/>
      <c r="J20" s="7"/>
    </row>
    <row r="21" spans="2:10">
      <c r="B21" s="6"/>
      <c r="C21" s="1"/>
      <c r="D21" s="1"/>
      <c r="E21" s="1"/>
      <c r="F21" s="160" t="s">
        <v>177</v>
      </c>
      <c r="G21" s="1"/>
      <c r="H21" s="1"/>
      <c r="I21" s="1"/>
      <c r="J21" s="7"/>
    </row>
    <row r="22" spans="2:10">
      <c r="B22" s="6"/>
      <c r="C22" s="1"/>
      <c r="D22" s="1"/>
      <c r="E22" s="1"/>
      <c r="F22" s="2"/>
      <c r="G22" s="1"/>
      <c r="H22" s="1"/>
      <c r="I22" s="1"/>
      <c r="J22" s="7"/>
    </row>
    <row r="23" spans="2:10" ht="22.5">
      <c r="B23" s="6"/>
      <c r="C23" s="1"/>
      <c r="D23" s="1" t="s">
        <v>0</v>
      </c>
      <c r="E23" s="1" t="s">
        <v>0</v>
      </c>
      <c r="F23" s="15" t="s">
        <v>4</v>
      </c>
      <c r="G23" s="1"/>
      <c r="H23" s="1"/>
      <c r="I23" s="1"/>
      <c r="J23" s="7"/>
    </row>
    <row r="24" spans="2:10">
      <c r="B24" s="6" t="s">
        <v>175</v>
      </c>
      <c r="C24" s="1" t="s">
        <v>106</v>
      </c>
      <c r="D24" s="1" t="s">
        <v>0</v>
      </c>
      <c r="E24" s="1" t="s">
        <v>0</v>
      </c>
      <c r="F24" s="13" t="s">
        <v>184</v>
      </c>
      <c r="G24" s="1"/>
      <c r="H24" s="1"/>
      <c r="I24" s="1"/>
      <c r="J24" s="7"/>
    </row>
    <row r="25" spans="2:10">
      <c r="B25" s="6" t="s">
        <v>0</v>
      </c>
      <c r="C25" s="1" t="s">
        <v>0</v>
      </c>
      <c r="D25" s="1" t="s">
        <v>0</v>
      </c>
      <c r="E25" s="1" t="s">
        <v>0</v>
      </c>
      <c r="F25" s="2"/>
      <c r="G25" s="1"/>
      <c r="H25" s="1"/>
      <c r="I25" s="1"/>
      <c r="J25" s="7"/>
    </row>
    <row r="26" spans="2:10" ht="22.5">
      <c r="B26" s="6"/>
      <c r="C26" s="1"/>
      <c r="D26" s="1" t="s">
        <v>0</v>
      </c>
      <c r="E26" s="1" t="s">
        <v>0</v>
      </c>
      <c r="F26" s="15" t="s">
        <v>5</v>
      </c>
      <c r="G26" s="1"/>
      <c r="H26" s="1"/>
      <c r="I26" s="1"/>
      <c r="J26" s="7"/>
    </row>
    <row r="27" spans="2:10">
      <c r="B27" s="6" t="s">
        <v>175</v>
      </c>
      <c r="C27" s="1" t="s">
        <v>107</v>
      </c>
      <c r="D27" s="1" t="s">
        <v>0</v>
      </c>
      <c r="E27" s="1" t="s">
        <v>0</v>
      </c>
      <c r="F27" s="13" t="s">
        <v>185</v>
      </c>
      <c r="G27" s="1"/>
      <c r="H27" s="1"/>
      <c r="I27" s="1"/>
      <c r="J27" s="7"/>
    </row>
    <row r="28" spans="2:10" ht="24">
      <c r="B28" s="6"/>
      <c r="C28" s="1"/>
      <c r="D28" s="1"/>
      <c r="E28" s="1"/>
      <c r="F28" s="2"/>
      <c r="G28" s="1"/>
      <c r="H28" s="140" t="s">
        <v>95</v>
      </c>
      <c r="I28" s="140" t="s">
        <v>96</v>
      </c>
      <c r="J28" s="7"/>
    </row>
    <row r="29" spans="2:10">
      <c r="B29" s="6" t="s">
        <v>175</v>
      </c>
      <c r="C29" s="1" t="s">
        <v>108</v>
      </c>
      <c r="D29" s="1" t="s">
        <v>0</v>
      </c>
      <c r="E29" s="1" t="s">
        <v>0</v>
      </c>
      <c r="F29" s="2" t="s">
        <v>6</v>
      </c>
      <c r="G29" s="1"/>
      <c r="H29" s="14"/>
      <c r="I29" s="14"/>
      <c r="J29" s="7"/>
    </row>
    <row r="30" spans="2:10">
      <c r="B30" s="6" t="s">
        <v>0</v>
      </c>
      <c r="C30" s="1" t="s">
        <v>0</v>
      </c>
      <c r="D30" s="1" t="s">
        <v>0</v>
      </c>
      <c r="E30" s="1" t="s">
        <v>0</v>
      </c>
      <c r="F30" s="2"/>
      <c r="G30" s="1"/>
      <c r="H30" s="1"/>
      <c r="I30" s="1"/>
      <c r="J30" s="7"/>
    </row>
    <row r="31" spans="2:10">
      <c r="B31" s="6"/>
      <c r="C31" s="1"/>
      <c r="D31" s="1" t="s">
        <v>0</v>
      </c>
      <c r="E31" s="1" t="s">
        <v>0</v>
      </c>
      <c r="F31" s="2" t="s">
        <v>7</v>
      </c>
      <c r="G31" s="1"/>
      <c r="H31" s="1"/>
      <c r="I31" s="1"/>
      <c r="J31" s="7"/>
    </row>
    <row r="32" spans="2:10">
      <c r="B32" s="6" t="s">
        <v>175</v>
      </c>
      <c r="C32" s="1" t="s">
        <v>109</v>
      </c>
      <c r="D32" s="1" t="s">
        <v>0</v>
      </c>
      <c r="E32" s="1" t="s">
        <v>0</v>
      </c>
      <c r="F32" s="13" t="s">
        <v>186</v>
      </c>
      <c r="G32" s="1"/>
      <c r="H32" s="1"/>
      <c r="I32" s="1"/>
      <c r="J32" s="7"/>
    </row>
    <row r="33" spans="2:10">
      <c r="B33" s="6" t="s">
        <v>0</v>
      </c>
      <c r="C33" s="1" t="s">
        <v>0</v>
      </c>
      <c r="D33" s="1" t="s">
        <v>0</v>
      </c>
      <c r="E33" s="1" t="s">
        <v>0</v>
      </c>
      <c r="F33" s="2"/>
      <c r="G33" s="1"/>
      <c r="H33" s="1"/>
      <c r="I33" s="1"/>
      <c r="J33" s="7"/>
    </row>
    <row r="34" spans="2:10" ht="22.5">
      <c r="B34" s="6"/>
      <c r="C34" s="1"/>
      <c r="D34" s="1" t="s">
        <v>0</v>
      </c>
      <c r="E34" s="1" t="s">
        <v>0</v>
      </c>
      <c r="F34" s="15" t="s">
        <v>8</v>
      </c>
      <c r="G34" s="1"/>
      <c r="H34" s="1"/>
      <c r="I34" s="1"/>
      <c r="J34" s="7"/>
    </row>
    <row r="35" spans="2:10">
      <c r="B35" s="6" t="s">
        <v>175</v>
      </c>
      <c r="C35" s="1" t="s">
        <v>110</v>
      </c>
      <c r="D35" s="1" t="s">
        <v>0</v>
      </c>
      <c r="E35" s="1" t="s">
        <v>0</v>
      </c>
      <c r="F35" s="13" t="s">
        <v>187</v>
      </c>
      <c r="G35" s="1"/>
      <c r="H35" s="1"/>
      <c r="I35" s="1"/>
      <c r="J35" s="7"/>
    </row>
    <row r="36" spans="2:10">
      <c r="B36" s="6" t="s">
        <v>0</v>
      </c>
      <c r="C36" s="1" t="s">
        <v>0</v>
      </c>
      <c r="D36" s="1" t="s">
        <v>0</v>
      </c>
      <c r="E36" s="1" t="s">
        <v>0</v>
      </c>
      <c r="F36" s="2"/>
      <c r="G36" s="1"/>
      <c r="H36" s="1"/>
      <c r="I36" s="1"/>
      <c r="J36" s="7"/>
    </row>
    <row r="37" spans="2:10" ht="33.75">
      <c r="B37" s="6"/>
      <c r="C37" s="1"/>
      <c r="D37" s="1" t="s">
        <v>0</v>
      </c>
      <c r="E37" s="1" t="s">
        <v>0</v>
      </c>
      <c r="F37" s="15" t="s">
        <v>9</v>
      </c>
      <c r="G37" s="1"/>
      <c r="H37" s="1"/>
      <c r="I37" s="1"/>
      <c r="J37" s="7"/>
    </row>
    <row r="38" spans="2:10">
      <c r="B38" s="6" t="s">
        <v>175</v>
      </c>
      <c r="C38" s="1" t="s">
        <v>111</v>
      </c>
      <c r="D38" s="1" t="s">
        <v>0</v>
      </c>
      <c r="E38" s="1" t="s">
        <v>0</v>
      </c>
      <c r="F38" s="13" t="s">
        <v>188</v>
      </c>
      <c r="G38" s="1"/>
      <c r="H38" s="1"/>
      <c r="I38" s="1"/>
      <c r="J38" s="7"/>
    </row>
    <row r="39" spans="2:10">
      <c r="B39" s="6" t="s">
        <v>0</v>
      </c>
      <c r="C39" s="1" t="s">
        <v>0</v>
      </c>
      <c r="D39" s="1" t="s">
        <v>0</v>
      </c>
      <c r="E39" s="1" t="s">
        <v>0</v>
      </c>
      <c r="F39" s="2"/>
      <c r="G39" s="1"/>
      <c r="H39" s="1"/>
      <c r="I39" s="1"/>
      <c r="J39" s="7"/>
    </row>
    <row r="40" spans="2:10">
      <c r="B40" s="6"/>
      <c r="C40" s="1"/>
      <c r="D40" s="1" t="s">
        <v>0</v>
      </c>
      <c r="E40" s="1" t="s">
        <v>0</v>
      </c>
      <c r="F40" s="2" t="s">
        <v>10</v>
      </c>
      <c r="G40" s="1"/>
      <c r="H40" s="1"/>
      <c r="I40" s="1"/>
      <c r="J40" s="7"/>
    </row>
    <row r="41" spans="2:10">
      <c r="B41" s="6" t="s">
        <v>175</v>
      </c>
      <c r="C41" s="1" t="s">
        <v>112</v>
      </c>
      <c r="D41" s="1" t="s">
        <v>0</v>
      </c>
      <c r="E41" s="1" t="s">
        <v>0</v>
      </c>
      <c r="F41" s="13" t="s">
        <v>189</v>
      </c>
      <c r="G41" s="1"/>
      <c r="H41" s="1"/>
      <c r="I41" s="1"/>
      <c r="J41" s="7"/>
    </row>
    <row r="42" spans="2:10">
      <c r="B42" s="6"/>
      <c r="C42" s="1"/>
      <c r="D42" s="1"/>
      <c r="E42" s="1"/>
      <c r="F42" s="2"/>
      <c r="G42" s="1"/>
      <c r="H42" s="1"/>
      <c r="I42" s="1"/>
      <c r="J42" s="7"/>
    </row>
    <row r="43" spans="2:10">
      <c r="B43" s="6"/>
      <c r="C43" s="1"/>
      <c r="D43" s="1"/>
      <c r="E43" s="1"/>
      <c r="F43" s="161" t="s">
        <v>178</v>
      </c>
      <c r="G43" s="1"/>
      <c r="H43" s="1"/>
      <c r="I43" s="1"/>
      <c r="J43" s="7"/>
    </row>
    <row r="44" spans="2:10">
      <c r="B44" s="8"/>
      <c r="C44" s="9"/>
      <c r="D44" s="9"/>
      <c r="E44" s="9"/>
      <c r="F44" s="10"/>
      <c r="G44" s="9"/>
      <c r="H44" s="9"/>
      <c r="I44" s="9"/>
      <c r="J44" s="11"/>
    </row>
  </sheetData>
  <hyperlinks>
    <hyperlink ref="F11" location="'IAS36-PerdDeteValo'!A1" display="Información a revelar sobre pérdidas por deterioro del valor y reversión de las pérdidas por deterioro del valor [tabla]" xr:uid="{00000000-0004-0000-0000-000000000000}"/>
    <hyperlink ref="F16" location="'IAS36-PerdDeteSign'!A1" display="Información a revelar sobre pérdidas por deterioro reconocidas o revertidas para activos individuales o unidades generadoras de efectivo [tabla]" xr:uid="{00000000-0004-0000-0000-000001000000}"/>
    <hyperlink ref="F21" location="'IAS36-UnidGeneEfec'!A1" display="Información a revelar sobre pérdidas por deterioro de valor reconocidas o revertidas [tabla]" xr:uid="{00000000-0004-0000-0000-000002000000}"/>
    <hyperlink ref="F43" location="'IAS36-PerDeteReco'!A1" display="Información a revelar sobre las unidades generadoras de efectivo [tabla]" xr:uid="{00000000-0004-0000-0000-00000300000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6" tint="0.59999389629810485"/>
  </sheetPr>
  <dimension ref="A1:P24"/>
  <sheetViews>
    <sheetView topLeftCell="D4" zoomScale="80" zoomScaleNormal="80" workbookViewId="0">
      <selection activeCell="F56" sqref="F56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7" width="12.28515625" customWidth="1"/>
    <col min="8" max="9" width="13.28515625" customWidth="1"/>
    <col min="10" max="10" width="11.7109375" customWidth="1"/>
    <col min="11" max="11" width="12" customWidth="1"/>
    <col min="12" max="12" width="14.42578125" bestFit="1" customWidth="1"/>
    <col min="13" max="13" width="13.7109375" customWidth="1"/>
    <col min="16" max="16" width="16.5703125" customWidth="1"/>
  </cols>
  <sheetData>
    <row r="1" spans="1:16" ht="54.95" customHeight="1" thickBot="1"/>
    <row r="2" spans="1:16" ht="177" customHeight="1" thickBot="1">
      <c r="F2" s="25" t="s">
        <v>15</v>
      </c>
    </row>
    <row r="3" spans="1:16" ht="16.5" thickBot="1">
      <c r="F3" s="26" t="s">
        <v>16</v>
      </c>
    </row>
    <row r="4" spans="1:16" ht="90" customHeight="1">
      <c r="A4" s="27" t="s">
        <v>71</v>
      </c>
      <c r="B4" s="28"/>
      <c r="C4" s="29"/>
      <c r="D4" s="29"/>
      <c r="E4" s="30"/>
      <c r="F4" s="31" t="s">
        <v>31</v>
      </c>
      <c r="G4" s="32" t="s">
        <v>24</v>
      </c>
      <c r="H4" s="33" t="s">
        <v>41</v>
      </c>
      <c r="I4" s="33" t="s">
        <v>173</v>
      </c>
      <c r="J4" s="33" t="s">
        <v>25</v>
      </c>
      <c r="K4" s="33" t="s">
        <v>26</v>
      </c>
      <c r="L4" s="33" t="s">
        <v>27</v>
      </c>
      <c r="M4" s="33" t="s">
        <v>28</v>
      </c>
      <c r="N4" s="33" t="s">
        <v>29</v>
      </c>
      <c r="O4" s="33" t="s">
        <v>47</v>
      </c>
      <c r="P4" s="33" t="s">
        <v>23</v>
      </c>
    </row>
    <row r="5" spans="1:16" ht="75.75" hidden="1" customHeight="1">
      <c r="A5" s="34" t="s">
        <v>36</v>
      </c>
      <c r="B5" s="35"/>
      <c r="C5" s="36"/>
      <c r="D5" s="37" t="s">
        <v>168</v>
      </c>
      <c r="E5" s="38" t="s">
        <v>164</v>
      </c>
      <c r="F5" s="39"/>
      <c r="G5" s="40" t="s">
        <v>113</v>
      </c>
      <c r="H5" s="40" t="s">
        <v>114</v>
      </c>
      <c r="I5" s="155" t="s">
        <v>174</v>
      </c>
      <c r="J5" s="40" t="s">
        <v>115</v>
      </c>
      <c r="K5" s="40" t="s">
        <v>172</v>
      </c>
      <c r="L5" s="40" t="s">
        <v>116</v>
      </c>
      <c r="M5" s="40" t="s">
        <v>117</v>
      </c>
      <c r="N5" s="40" t="s">
        <v>118</v>
      </c>
      <c r="O5" s="40" t="s">
        <v>119</v>
      </c>
      <c r="P5" s="40" t="s">
        <v>120</v>
      </c>
    </row>
    <row r="6" spans="1:16">
      <c r="A6" s="16"/>
      <c r="B6" s="41"/>
      <c r="C6" s="42"/>
      <c r="D6" s="43"/>
      <c r="E6" s="44"/>
      <c r="F6" s="45"/>
      <c r="G6" s="44"/>
      <c r="H6" s="44"/>
      <c r="I6" s="44"/>
      <c r="J6" s="44"/>
      <c r="K6" s="44"/>
      <c r="L6" s="44"/>
      <c r="M6" s="44"/>
      <c r="N6" s="44"/>
      <c r="O6" s="44"/>
      <c r="P6" s="46"/>
    </row>
    <row r="7" spans="1:16" ht="22.5">
      <c r="A7" s="16"/>
      <c r="B7" s="17"/>
      <c r="C7" s="18"/>
      <c r="D7" s="19"/>
      <c r="E7" s="20"/>
      <c r="F7" s="49" t="s">
        <v>30</v>
      </c>
      <c r="G7" s="18"/>
      <c r="H7" s="18"/>
      <c r="I7" s="18"/>
      <c r="J7" s="18"/>
      <c r="K7" s="18"/>
      <c r="L7" s="18"/>
      <c r="M7" s="18"/>
      <c r="N7" s="18"/>
      <c r="O7" s="18"/>
      <c r="P7" s="52"/>
    </row>
    <row r="8" spans="1:16">
      <c r="A8" s="16"/>
      <c r="B8" s="17" t="s">
        <v>175</v>
      </c>
      <c r="C8" s="18" t="s">
        <v>121</v>
      </c>
      <c r="D8" s="19" t="s">
        <v>13</v>
      </c>
      <c r="E8" s="18" t="s">
        <v>0</v>
      </c>
      <c r="F8" s="18" t="s">
        <v>17</v>
      </c>
      <c r="G8" s="150"/>
      <c r="H8" s="150"/>
      <c r="I8" s="90"/>
      <c r="J8" s="90"/>
      <c r="K8" s="90"/>
      <c r="L8" s="164"/>
      <c r="M8" s="90"/>
      <c r="N8" s="90"/>
      <c r="O8" s="90"/>
      <c r="P8" s="91">
        <f>SUM(G8:O8)</f>
        <v>0</v>
      </c>
    </row>
    <row r="9" spans="1:16" ht="22.5">
      <c r="A9" s="16"/>
      <c r="B9" s="17" t="s">
        <v>175</v>
      </c>
      <c r="C9" s="18" t="s">
        <v>122</v>
      </c>
      <c r="D9" s="19" t="s">
        <v>13</v>
      </c>
      <c r="E9" s="18" t="s">
        <v>0</v>
      </c>
      <c r="F9" s="22" t="s">
        <v>18</v>
      </c>
      <c r="G9" s="151"/>
      <c r="H9" s="151"/>
      <c r="I9" s="90"/>
      <c r="J9" s="151"/>
      <c r="K9" s="151"/>
      <c r="L9" s="164"/>
      <c r="M9" s="151"/>
      <c r="N9" s="151"/>
      <c r="O9" s="151"/>
      <c r="P9" s="152"/>
    </row>
    <row r="10" spans="1:16" ht="22.5">
      <c r="A10" s="16"/>
      <c r="B10" s="17" t="s">
        <v>175</v>
      </c>
      <c r="C10" s="18" t="s">
        <v>123</v>
      </c>
      <c r="D10" s="19" t="s">
        <v>13</v>
      </c>
      <c r="E10" s="18" t="s">
        <v>0</v>
      </c>
      <c r="F10" s="22" t="s">
        <v>19</v>
      </c>
      <c r="G10" s="150"/>
      <c r="H10" s="150"/>
      <c r="I10" s="90"/>
      <c r="J10" s="90"/>
      <c r="K10" s="90"/>
      <c r="L10" s="164"/>
      <c r="M10" s="90"/>
      <c r="N10" s="90"/>
      <c r="O10" s="90"/>
      <c r="P10" s="91">
        <f>SUM(G10:O10)</f>
        <v>0</v>
      </c>
    </row>
    <row r="11" spans="1:16" ht="22.5">
      <c r="A11" s="16"/>
      <c r="B11" s="17" t="s">
        <v>175</v>
      </c>
      <c r="C11" s="18" t="s">
        <v>124</v>
      </c>
      <c r="D11" s="19" t="s">
        <v>13</v>
      </c>
      <c r="E11" s="18" t="s">
        <v>0</v>
      </c>
      <c r="F11" s="22" t="s">
        <v>20</v>
      </c>
      <c r="G11" s="151"/>
      <c r="H11" s="151"/>
      <c r="I11" s="90"/>
      <c r="J11" s="151"/>
      <c r="K11" s="151"/>
      <c r="L11" s="164"/>
      <c r="M11" s="151"/>
      <c r="N11" s="151"/>
      <c r="O11" s="151"/>
      <c r="P11" s="152"/>
    </row>
    <row r="12" spans="1:16">
      <c r="A12" s="16"/>
      <c r="B12" s="17" t="s">
        <v>175</v>
      </c>
      <c r="C12" s="18" t="s">
        <v>125</v>
      </c>
      <c r="D12" s="19" t="s">
        <v>13</v>
      </c>
      <c r="E12" s="18" t="s">
        <v>0</v>
      </c>
      <c r="F12" s="18" t="s">
        <v>21</v>
      </c>
      <c r="G12" s="150"/>
      <c r="H12" s="150"/>
      <c r="I12" s="90"/>
      <c r="J12" s="90"/>
      <c r="K12" s="90"/>
      <c r="L12" s="164"/>
      <c r="M12" s="90"/>
      <c r="N12" s="90"/>
      <c r="O12" s="90"/>
      <c r="P12" s="91">
        <f>SUM(G12:O12)</f>
        <v>0</v>
      </c>
    </row>
    <row r="13" spans="1:16" ht="22.5">
      <c r="A13" s="16"/>
      <c r="B13" s="17" t="s">
        <v>175</v>
      </c>
      <c r="C13" s="18" t="s">
        <v>126</v>
      </c>
      <c r="D13" s="19" t="s">
        <v>13</v>
      </c>
      <c r="E13" s="18" t="s">
        <v>0</v>
      </c>
      <c r="F13" s="22" t="s">
        <v>22</v>
      </c>
      <c r="G13" s="150"/>
      <c r="H13" s="150"/>
      <c r="I13" s="90"/>
      <c r="J13" s="90"/>
      <c r="K13" s="90"/>
      <c r="L13" s="164"/>
      <c r="M13" s="90"/>
      <c r="N13" s="90"/>
      <c r="O13" s="90"/>
      <c r="P13" s="91">
        <f>SUM(G13:O13)</f>
        <v>0</v>
      </c>
    </row>
    <row r="14" spans="1:16">
      <c r="A14" s="16"/>
      <c r="B14" s="23"/>
      <c r="C14" s="24"/>
      <c r="D14" s="47"/>
      <c r="E14" s="24"/>
      <c r="F14" s="24"/>
      <c r="G14" s="50"/>
      <c r="H14" s="50"/>
      <c r="I14" s="50"/>
      <c r="J14" s="50"/>
      <c r="K14" s="50"/>
      <c r="L14" s="50"/>
      <c r="M14" s="50"/>
      <c r="N14" s="50"/>
      <c r="O14" s="50"/>
      <c r="P14" s="53"/>
    </row>
    <row r="16" spans="1:16" ht="90" customHeight="1">
      <c r="A16" s="27"/>
      <c r="B16" s="28"/>
      <c r="C16" s="29"/>
      <c r="D16" s="29"/>
      <c r="E16" s="30"/>
      <c r="F16" s="31" t="s">
        <v>31</v>
      </c>
      <c r="G16" s="32" t="s">
        <v>24</v>
      </c>
      <c r="H16" s="33" t="s">
        <v>41</v>
      </c>
      <c r="I16" s="33" t="s">
        <v>173</v>
      </c>
      <c r="J16" s="33" t="s">
        <v>25</v>
      </c>
      <c r="K16" s="33" t="s">
        <v>26</v>
      </c>
      <c r="L16" s="33" t="s">
        <v>27</v>
      </c>
      <c r="M16" s="33" t="s">
        <v>28</v>
      </c>
      <c r="N16" s="33" t="s">
        <v>29</v>
      </c>
      <c r="O16" s="33" t="s">
        <v>47</v>
      </c>
      <c r="P16" s="33" t="s">
        <v>23</v>
      </c>
    </row>
    <row r="17" spans="1:16">
      <c r="A17" s="16"/>
      <c r="B17" s="41"/>
      <c r="C17" s="42"/>
      <c r="D17" s="43"/>
      <c r="E17" s="44"/>
      <c r="F17" s="45"/>
      <c r="G17" s="44"/>
      <c r="H17" s="44"/>
      <c r="I17" s="44"/>
      <c r="J17" s="44"/>
      <c r="K17" s="44"/>
      <c r="L17" s="44"/>
      <c r="M17" s="44"/>
      <c r="N17" s="44"/>
      <c r="O17" s="44"/>
      <c r="P17" s="46"/>
    </row>
    <row r="18" spans="1:16" ht="22.5">
      <c r="A18" s="16"/>
      <c r="B18" s="17"/>
      <c r="C18" s="18"/>
      <c r="D18" s="19"/>
      <c r="E18" s="20"/>
      <c r="F18" s="49" t="s">
        <v>30</v>
      </c>
      <c r="G18" s="18"/>
      <c r="H18" s="18"/>
      <c r="I18" s="18"/>
      <c r="J18" s="18"/>
      <c r="K18" s="18"/>
      <c r="L18" s="18"/>
      <c r="M18" s="18"/>
      <c r="N18" s="18"/>
      <c r="O18" s="18"/>
      <c r="P18" s="52"/>
    </row>
    <row r="19" spans="1:16">
      <c r="A19" s="16"/>
      <c r="B19" s="17" t="s">
        <v>175</v>
      </c>
      <c r="C19" s="18" t="s">
        <v>121</v>
      </c>
      <c r="D19" s="19" t="s">
        <v>14</v>
      </c>
      <c r="E19" s="18" t="s">
        <v>0</v>
      </c>
      <c r="F19" s="18" t="s">
        <v>17</v>
      </c>
      <c r="G19" s="150"/>
      <c r="H19" s="90"/>
      <c r="I19" s="90"/>
      <c r="J19" s="90"/>
      <c r="K19" s="90"/>
      <c r="L19" s="164"/>
      <c r="M19" s="90"/>
      <c r="N19" s="90"/>
      <c r="O19" s="90"/>
      <c r="P19" s="91">
        <f>SUM(G19:O19)</f>
        <v>0</v>
      </c>
    </row>
    <row r="20" spans="1:16" ht="22.5">
      <c r="A20" s="16"/>
      <c r="B20" s="17" t="s">
        <v>175</v>
      </c>
      <c r="C20" s="18" t="s">
        <v>122</v>
      </c>
      <c r="D20" s="19" t="s">
        <v>14</v>
      </c>
      <c r="E20" s="18" t="s">
        <v>0</v>
      </c>
      <c r="F20" s="22" t="s">
        <v>18</v>
      </c>
      <c r="G20" s="151"/>
      <c r="H20" s="151"/>
      <c r="I20" s="151"/>
      <c r="J20" s="151"/>
      <c r="K20" s="151"/>
      <c r="L20" s="163"/>
      <c r="M20" s="151"/>
      <c r="N20" s="151"/>
      <c r="O20" s="151"/>
      <c r="P20" s="152"/>
    </row>
    <row r="21" spans="1:16" ht="22.5">
      <c r="A21" s="16"/>
      <c r="B21" s="17" t="s">
        <v>175</v>
      </c>
      <c r="C21" s="18" t="s">
        <v>123</v>
      </c>
      <c r="D21" s="19" t="s">
        <v>14</v>
      </c>
      <c r="E21" s="18" t="s">
        <v>0</v>
      </c>
      <c r="F21" s="22" t="s">
        <v>19</v>
      </c>
      <c r="G21" s="90"/>
      <c r="H21" s="90"/>
      <c r="I21" s="90"/>
      <c r="J21" s="90"/>
      <c r="K21" s="90"/>
      <c r="L21" s="164"/>
      <c r="M21" s="90"/>
      <c r="N21" s="90"/>
      <c r="O21" s="90"/>
      <c r="P21" s="91">
        <f>SUM(G21:O21)</f>
        <v>0</v>
      </c>
    </row>
    <row r="22" spans="1:16" ht="22.5">
      <c r="B22" s="17" t="s">
        <v>175</v>
      </c>
      <c r="C22" s="18" t="s">
        <v>124</v>
      </c>
      <c r="D22" s="19" t="s">
        <v>14</v>
      </c>
      <c r="E22" s="18" t="s">
        <v>0</v>
      </c>
      <c r="F22" s="22" t="s">
        <v>20</v>
      </c>
      <c r="G22" s="151"/>
      <c r="H22" s="151"/>
      <c r="I22" s="151"/>
      <c r="J22" s="151"/>
      <c r="K22" s="151"/>
      <c r="M22" s="151"/>
      <c r="N22" s="151"/>
      <c r="O22" s="151"/>
      <c r="P22" s="152"/>
    </row>
    <row r="23" spans="1:16">
      <c r="B23" s="17" t="s">
        <v>175</v>
      </c>
      <c r="C23" s="18" t="s">
        <v>125</v>
      </c>
      <c r="D23" s="19" t="s">
        <v>14</v>
      </c>
      <c r="E23" s="18" t="s">
        <v>0</v>
      </c>
      <c r="F23" s="18" t="s">
        <v>21</v>
      </c>
      <c r="G23" s="90"/>
      <c r="H23" s="90"/>
      <c r="I23" s="90"/>
      <c r="J23" s="90"/>
      <c r="K23" s="90"/>
      <c r="L23" s="164"/>
      <c r="M23" s="90"/>
      <c r="N23" s="90"/>
      <c r="O23" s="90"/>
      <c r="P23" s="91">
        <f>SUM(G23:O23)</f>
        <v>0</v>
      </c>
    </row>
    <row r="24" spans="1:16" ht="22.5">
      <c r="B24" s="23" t="s">
        <v>175</v>
      </c>
      <c r="C24" s="24" t="s">
        <v>126</v>
      </c>
      <c r="D24" s="47" t="s">
        <v>14</v>
      </c>
      <c r="E24" s="24" t="s">
        <v>0</v>
      </c>
      <c r="F24" s="51" t="s">
        <v>22</v>
      </c>
      <c r="G24" s="90"/>
      <c r="H24" s="90"/>
      <c r="I24" s="90"/>
      <c r="J24" s="90"/>
      <c r="K24" s="90"/>
      <c r="L24" s="164"/>
      <c r="M24" s="90"/>
      <c r="N24" s="90"/>
      <c r="O24" s="90"/>
      <c r="P24" s="91">
        <f>SUM(G24:O24)</f>
        <v>0</v>
      </c>
    </row>
  </sheetData>
  <conditionalFormatting sqref="G19 G8:H8 G10:H10 G12:H13">
    <cfRule type="expression" dxfId="3" priority="30">
      <formula>IF(FIND("ERR",#REF!)&gt;1,TRUE,FALSE)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FF00"/>
  </sheetPr>
  <dimension ref="A1:J51"/>
  <sheetViews>
    <sheetView topLeftCell="A28" workbookViewId="0">
      <selection activeCell="F9" sqref="F9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9" max="9" width="12.28515625" customWidth="1"/>
    <col min="10" max="10" width="13.28515625" customWidth="1"/>
  </cols>
  <sheetData>
    <row r="1" spans="1:10" ht="54.95" customHeight="1" thickBot="1"/>
    <row r="2" spans="1:10" ht="177" customHeight="1" thickBot="1">
      <c r="F2" s="25" t="s">
        <v>15</v>
      </c>
    </row>
    <row r="3" spans="1:10" ht="16.5" thickBot="1">
      <c r="F3" s="26" t="s">
        <v>16</v>
      </c>
    </row>
    <row r="4" spans="1:10" ht="90">
      <c r="A4" s="27" t="s">
        <v>71</v>
      </c>
      <c r="B4" s="28"/>
      <c r="C4" s="29"/>
      <c r="D4" s="29"/>
      <c r="E4" s="30"/>
      <c r="F4" s="31" t="s">
        <v>32</v>
      </c>
      <c r="G4" s="86" t="s">
        <v>72</v>
      </c>
      <c r="H4" s="86" t="s">
        <v>72</v>
      </c>
      <c r="I4" s="32" t="s">
        <v>35</v>
      </c>
      <c r="J4" s="33" t="s">
        <v>34</v>
      </c>
    </row>
    <row r="5" spans="1:10" ht="75.75" hidden="1" customHeight="1">
      <c r="A5" s="34" t="s">
        <v>36</v>
      </c>
      <c r="B5" s="35"/>
      <c r="C5" s="36"/>
      <c r="D5" s="37" t="s">
        <v>169</v>
      </c>
      <c r="E5" s="38" t="s">
        <v>165</v>
      </c>
      <c r="F5" s="39"/>
      <c r="G5" s="87" t="str">
        <f>SUBSTITUTE(CONCATENATE("IFRS3-TranActvPasi_",TRIM(G4),"_",COLUMN(G5),"|",G4)," ","")</f>
        <v>IFRS3-TranActvPasi_Agregarcolumnaopcional_7|Agregarcolumnaopcional</v>
      </c>
      <c r="H5" s="87" t="str">
        <f>SUBSTITUTE(CONCATENATE("IFRS3-TranActvPasi_",TRIM(H4),"_",COLUMN(H5),"|",H4)," ","")</f>
        <v>IFRS3-TranActvPasi_Agregarcolumnaopcional_8|Agregarcolumnaopcional</v>
      </c>
      <c r="I5" s="40" t="s">
        <v>127</v>
      </c>
      <c r="J5" s="40" t="s">
        <v>128</v>
      </c>
    </row>
    <row r="6" spans="1:10">
      <c r="A6" s="16"/>
      <c r="B6" s="41"/>
      <c r="C6" s="42"/>
      <c r="D6" s="43"/>
      <c r="E6" s="44"/>
      <c r="F6" s="45"/>
      <c r="G6" s="88"/>
      <c r="H6" s="88"/>
      <c r="I6" s="44"/>
      <c r="J6" s="46"/>
    </row>
    <row r="7" spans="1:10" ht="22.5">
      <c r="A7" s="16"/>
      <c r="B7" s="17"/>
      <c r="C7" s="18"/>
      <c r="D7" s="19"/>
      <c r="E7" s="20"/>
      <c r="F7" s="94" t="s">
        <v>94</v>
      </c>
      <c r="G7" s="92"/>
      <c r="H7" s="89"/>
      <c r="I7" s="18"/>
      <c r="J7" s="21"/>
    </row>
    <row r="8" spans="1:10" ht="22.5">
      <c r="A8" s="16"/>
      <c r="B8" s="17" t="s">
        <v>175</v>
      </c>
      <c r="C8" s="18" t="s">
        <v>106</v>
      </c>
      <c r="D8" s="19" t="s">
        <v>13</v>
      </c>
      <c r="E8" s="18" t="s">
        <v>0</v>
      </c>
      <c r="F8" s="95" t="s">
        <v>85</v>
      </c>
      <c r="G8" s="100"/>
      <c r="H8" s="100"/>
      <c r="I8" s="93"/>
      <c r="J8" s="48"/>
    </row>
    <row r="9" spans="1:10">
      <c r="A9" s="16"/>
      <c r="B9" s="17" t="s">
        <v>175</v>
      </c>
      <c r="C9" s="18" t="s">
        <v>129</v>
      </c>
      <c r="D9" s="19" t="s">
        <v>13</v>
      </c>
      <c r="E9" s="18" t="s">
        <v>0</v>
      </c>
      <c r="F9" s="92" t="s">
        <v>51</v>
      </c>
      <c r="G9" s="100">
        <v>0</v>
      </c>
      <c r="H9" s="100">
        <v>0</v>
      </c>
      <c r="I9" s="138">
        <f>SUM(G9:H9)</f>
        <v>0</v>
      </c>
      <c r="J9" s="139">
        <f>I9</f>
        <v>0</v>
      </c>
    </row>
    <row r="10" spans="1:10">
      <c r="A10" s="16"/>
      <c r="B10" s="17" t="s">
        <v>175</v>
      </c>
      <c r="C10" s="18" t="s">
        <v>130</v>
      </c>
      <c r="D10" s="19" t="s">
        <v>13</v>
      </c>
      <c r="E10" s="18" t="s">
        <v>0</v>
      </c>
      <c r="F10" s="92" t="s">
        <v>50</v>
      </c>
      <c r="G10" s="100"/>
      <c r="H10" s="100"/>
      <c r="I10" s="138">
        <f>SUM(G10:H10)</f>
        <v>0</v>
      </c>
      <c r="J10" s="139">
        <f>I10</f>
        <v>0</v>
      </c>
    </row>
    <row r="11" spans="1:10">
      <c r="A11" s="16"/>
      <c r="B11" s="17" t="s">
        <v>175</v>
      </c>
      <c r="C11" s="18" t="s">
        <v>131</v>
      </c>
      <c r="D11" s="19" t="s">
        <v>13</v>
      </c>
      <c r="E11" s="18" t="s">
        <v>0</v>
      </c>
      <c r="F11" s="92" t="s">
        <v>86</v>
      </c>
      <c r="G11" s="100"/>
      <c r="H11" s="100"/>
      <c r="I11" s="93"/>
      <c r="J11" s="48"/>
    </row>
    <row r="12" spans="1:10" ht="22.5">
      <c r="A12" s="16"/>
      <c r="B12" s="17" t="s">
        <v>175</v>
      </c>
      <c r="C12" s="18" t="s">
        <v>132</v>
      </c>
      <c r="D12" s="19" t="s">
        <v>13</v>
      </c>
      <c r="E12" s="18" t="s">
        <v>0</v>
      </c>
      <c r="F12" s="95" t="s">
        <v>87</v>
      </c>
      <c r="G12" s="100"/>
      <c r="H12" s="100"/>
      <c r="I12" s="93"/>
      <c r="J12" s="48"/>
    </row>
    <row r="13" spans="1:10">
      <c r="A13" s="16"/>
      <c r="B13" s="17" t="s">
        <v>175</v>
      </c>
      <c r="C13" s="18" t="s">
        <v>133</v>
      </c>
      <c r="D13" s="19" t="s">
        <v>13</v>
      </c>
      <c r="E13" s="18" t="s">
        <v>0</v>
      </c>
      <c r="F13" s="92" t="s">
        <v>88</v>
      </c>
      <c r="G13" s="100"/>
      <c r="H13" s="100"/>
      <c r="I13" s="93"/>
      <c r="J13" s="48"/>
    </row>
    <row r="14" spans="1:10">
      <c r="A14" s="16"/>
      <c r="B14" s="17" t="s">
        <v>175</v>
      </c>
      <c r="C14" s="18" t="s">
        <v>134</v>
      </c>
      <c r="D14" s="19" t="s">
        <v>13</v>
      </c>
      <c r="E14" s="18" t="s">
        <v>0</v>
      </c>
      <c r="F14" s="92" t="s">
        <v>89</v>
      </c>
      <c r="G14" s="100"/>
      <c r="H14" s="100"/>
      <c r="I14" s="93"/>
      <c r="J14" s="48"/>
    </row>
    <row r="15" spans="1:10" ht="22.5">
      <c r="A15" s="16"/>
      <c r="B15" s="17" t="s">
        <v>175</v>
      </c>
      <c r="C15" s="18" t="s">
        <v>135</v>
      </c>
      <c r="D15" s="19" t="s">
        <v>13</v>
      </c>
      <c r="E15" s="18" t="s">
        <v>0</v>
      </c>
      <c r="F15" s="95" t="s">
        <v>90</v>
      </c>
      <c r="G15" s="100"/>
      <c r="H15" s="100"/>
      <c r="I15" s="93"/>
      <c r="J15" s="48"/>
    </row>
    <row r="16" spans="1:10">
      <c r="A16" s="16"/>
      <c r="B16" s="17" t="s">
        <v>175</v>
      </c>
      <c r="C16" s="18" t="s">
        <v>136</v>
      </c>
      <c r="D16" s="19" t="s">
        <v>13</v>
      </c>
      <c r="E16" s="18"/>
      <c r="F16" s="95" t="s">
        <v>77</v>
      </c>
      <c r="G16" s="100"/>
      <c r="H16" s="100"/>
      <c r="I16" s="138">
        <f>SUM(G16:H16)</f>
        <v>0</v>
      </c>
      <c r="J16" s="139">
        <f>I16</f>
        <v>0</v>
      </c>
    </row>
    <row r="17" spans="1:10" ht="22.5">
      <c r="A17" s="16"/>
      <c r="B17" s="17" t="s">
        <v>175</v>
      </c>
      <c r="C17" s="18" t="s">
        <v>137</v>
      </c>
      <c r="D17" s="19" t="s">
        <v>13</v>
      </c>
      <c r="E17" s="18" t="s">
        <v>0</v>
      </c>
      <c r="F17" s="95" t="s">
        <v>91</v>
      </c>
      <c r="G17" s="100"/>
      <c r="H17" s="100"/>
      <c r="I17" s="93"/>
      <c r="J17" s="48"/>
    </row>
    <row r="18" spans="1:10" ht="22.5">
      <c r="A18" s="16"/>
      <c r="B18" s="17" t="s">
        <v>175</v>
      </c>
      <c r="C18" s="18" t="s">
        <v>138</v>
      </c>
      <c r="D18" s="19" t="s">
        <v>13</v>
      </c>
      <c r="E18" s="18" t="s">
        <v>0</v>
      </c>
      <c r="F18" s="95" t="s">
        <v>78</v>
      </c>
      <c r="G18" s="100"/>
      <c r="H18" s="100"/>
      <c r="I18" s="93"/>
      <c r="J18" s="48"/>
    </row>
    <row r="19" spans="1:10" ht="22.5">
      <c r="A19" s="16"/>
      <c r="B19" s="17" t="s">
        <v>175</v>
      </c>
      <c r="C19" s="18" t="s">
        <v>139</v>
      </c>
      <c r="D19" s="19" t="s">
        <v>13</v>
      </c>
      <c r="E19" s="18"/>
      <c r="F19" s="95" t="s">
        <v>79</v>
      </c>
      <c r="G19" s="100"/>
      <c r="H19" s="100"/>
      <c r="I19" s="93"/>
      <c r="J19" s="48"/>
    </row>
    <row r="20" spans="1:10" ht="22.5">
      <c r="A20" s="16"/>
      <c r="B20" s="17" t="s">
        <v>175</v>
      </c>
      <c r="C20" s="18" t="s">
        <v>140</v>
      </c>
      <c r="D20" s="19" t="s">
        <v>13</v>
      </c>
      <c r="E20" s="18"/>
      <c r="F20" s="95" t="s">
        <v>80</v>
      </c>
      <c r="G20" s="100"/>
      <c r="H20" s="100"/>
      <c r="I20" s="93"/>
      <c r="J20" s="48"/>
    </row>
    <row r="21" spans="1:10" ht="22.5">
      <c r="A21" s="16"/>
      <c r="B21" s="17" t="s">
        <v>175</v>
      </c>
      <c r="C21" s="18" t="s">
        <v>141</v>
      </c>
      <c r="D21" s="19" t="s">
        <v>13</v>
      </c>
      <c r="E21" s="18"/>
      <c r="F21" s="95" t="s">
        <v>81</v>
      </c>
      <c r="G21" s="100"/>
      <c r="H21" s="100"/>
      <c r="I21" s="93"/>
      <c r="J21" s="48"/>
    </row>
    <row r="22" spans="1:10" ht="22.5">
      <c r="A22" s="16"/>
      <c r="B22" s="17" t="s">
        <v>175</v>
      </c>
      <c r="C22" s="18" t="s">
        <v>142</v>
      </c>
      <c r="D22" s="19" t="s">
        <v>13</v>
      </c>
      <c r="E22" s="18"/>
      <c r="F22" s="95" t="s">
        <v>82</v>
      </c>
      <c r="G22" s="100"/>
      <c r="H22" s="100"/>
      <c r="I22" s="93"/>
      <c r="J22" s="48"/>
    </row>
    <row r="23" spans="1:10" ht="22.5">
      <c r="A23" s="16"/>
      <c r="B23" s="17" t="s">
        <v>175</v>
      </c>
      <c r="C23" s="18" t="s">
        <v>143</v>
      </c>
      <c r="D23" s="19" t="s">
        <v>13</v>
      </c>
      <c r="E23" s="18" t="s">
        <v>0</v>
      </c>
      <c r="F23" s="95" t="s">
        <v>83</v>
      </c>
      <c r="G23" s="100"/>
      <c r="H23" s="100"/>
      <c r="I23" s="108"/>
      <c r="J23" s="109"/>
    </row>
    <row r="24" spans="1:10" ht="22.5">
      <c r="A24" s="16"/>
      <c r="B24" s="17" t="s">
        <v>175</v>
      </c>
      <c r="C24" s="18" t="s">
        <v>144</v>
      </c>
      <c r="D24" s="19" t="s">
        <v>13</v>
      </c>
      <c r="E24" s="18" t="s">
        <v>0</v>
      </c>
      <c r="F24" s="95" t="s">
        <v>84</v>
      </c>
      <c r="G24" s="100"/>
      <c r="H24" s="100"/>
      <c r="I24" s="108"/>
      <c r="J24" s="109"/>
    </row>
    <row r="25" spans="1:10">
      <c r="A25" s="16"/>
      <c r="B25" s="17" t="s">
        <v>175</v>
      </c>
      <c r="C25" s="18" t="s">
        <v>145</v>
      </c>
      <c r="D25" s="19" t="s">
        <v>13</v>
      </c>
      <c r="E25" s="18" t="s">
        <v>0</v>
      </c>
      <c r="F25" s="92" t="s">
        <v>92</v>
      </c>
      <c r="G25" s="100"/>
      <c r="H25" s="100"/>
      <c r="I25" s="108"/>
      <c r="J25" s="109"/>
    </row>
    <row r="26" spans="1:10">
      <c r="A26" s="16"/>
      <c r="B26" s="17" t="s">
        <v>175</v>
      </c>
      <c r="C26" s="18" t="s">
        <v>146</v>
      </c>
      <c r="D26" s="19" t="s">
        <v>13</v>
      </c>
      <c r="E26" s="18" t="s">
        <v>0</v>
      </c>
      <c r="F26" s="95" t="s">
        <v>93</v>
      </c>
      <c r="G26" s="100"/>
      <c r="H26" s="100"/>
      <c r="I26" s="108"/>
      <c r="J26" s="109"/>
    </row>
    <row r="27" spans="1:10">
      <c r="A27" s="16"/>
      <c r="B27" s="23"/>
      <c r="C27" s="24"/>
      <c r="D27" s="47"/>
      <c r="E27" s="24"/>
      <c r="F27" s="96"/>
      <c r="G27" s="101"/>
      <c r="H27" s="104"/>
      <c r="I27" s="50"/>
      <c r="J27" s="54"/>
    </row>
    <row r="28" spans="1:10">
      <c r="F28" s="97"/>
      <c r="G28" s="102"/>
      <c r="H28" s="102"/>
    </row>
    <row r="29" spans="1:10" ht="90" customHeight="1">
      <c r="A29" s="27"/>
      <c r="B29" s="28"/>
      <c r="C29" s="29"/>
      <c r="D29" s="29"/>
      <c r="E29" s="30"/>
      <c r="F29" s="98" t="s">
        <v>32</v>
      </c>
      <c r="G29" s="103" t="str">
        <f>IF(G4="Agregar columna opcional","",G4)</f>
        <v/>
      </c>
      <c r="H29" s="103" t="str">
        <f>IF(H4="Agregar columna opcional","",H4)</f>
        <v/>
      </c>
      <c r="I29" s="33" t="s">
        <v>35</v>
      </c>
      <c r="J29" s="33" t="s">
        <v>34</v>
      </c>
    </row>
    <row r="30" spans="1:10">
      <c r="A30" s="16"/>
      <c r="B30" s="41"/>
      <c r="C30" s="42"/>
      <c r="D30" s="43"/>
      <c r="E30" s="44"/>
      <c r="F30" s="99"/>
      <c r="G30" s="88"/>
      <c r="H30" s="88"/>
      <c r="I30" s="44"/>
      <c r="J30" s="46"/>
    </row>
    <row r="31" spans="1:10" ht="33.75">
      <c r="A31" s="16"/>
      <c r="B31" s="17"/>
      <c r="C31" s="18"/>
      <c r="D31" s="19"/>
      <c r="E31" s="20"/>
      <c r="F31" s="94" t="s">
        <v>33</v>
      </c>
      <c r="G31" s="89"/>
      <c r="H31" s="105"/>
      <c r="I31" s="18"/>
      <c r="J31" s="21"/>
    </row>
    <row r="32" spans="1:10" ht="22.5">
      <c r="A32" s="16"/>
      <c r="B32" s="17" t="s">
        <v>175</v>
      </c>
      <c r="C32" s="18" t="s">
        <v>106</v>
      </c>
      <c r="D32" s="19" t="s">
        <v>14</v>
      </c>
      <c r="E32" s="18" t="s">
        <v>0</v>
      </c>
      <c r="F32" s="95" t="s">
        <v>85</v>
      </c>
      <c r="G32" s="100"/>
      <c r="H32" s="100"/>
      <c r="I32" s="93"/>
      <c r="J32" s="48"/>
    </row>
    <row r="33" spans="1:10">
      <c r="A33" s="16"/>
      <c r="B33" s="17" t="s">
        <v>175</v>
      </c>
      <c r="C33" s="18" t="s">
        <v>129</v>
      </c>
      <c r="D33" s="19" t="s">
        <v>14</v>
      </c>
      <c r="E33" s="18" t="s">
        <v>0</v>
      </c>
      <c r="F33" s="92" t="s">
        <v>51</v>
      </c>
      <c r="G33" s="100">
        <v>0</v>
      </c>
      <c r="H33" s="100">
        <v>0</v>
      </c>
      <c r="I33" s="138">
        <f>SUM(G33:H33)</f>
        <v>0</v>
      </c>
      <c r="J33" s="139">
        <f>I33</f>
        <v>0</v>
      </c>
    </row>
    <row r="34" spans="1:10">
      <c r="A34" s="16"/>
      <c r="B34" s="17" t="s">
        <v>175</v>
      </c>
      <c r="C34" s="18" t="s">
        <v>130</v>
      </c>
      <c r="D34" s="19" t="s">
        <v>14</v>
      </c>
      <c r="E34" s="18" t="s">
        <v>0</v>
      </c>
      <c r="F34" s="92" t="s">
        <v>50</v>
      </c>
      <c r="G34" s="100"/>
      <c r="H34" s="100"/>
      <c r="I34" s="138">
        <f>SUM(G34:H34)</f>
        <v>0</v>
      </c>
      <c r="J34" s="139">
        <f>I34</f>
        <v>0</v>
      </c>
    </row>
    <row r="35" spans="1:10">
      <c r="A35" s="16"/>
      <c r="B35" s="17" t="s">
        <v>175</v>
      </c>
      <c r="C35" s="18" t="s">
        <v>131</v>
      </c>
      <c r="D35" s="19" t="s">
        <v>14</v>
      </c>
      <c r="E35" s="18" t="s">
        <v>0</v>
      </c>
      <c r="F35" s="92" t="s">
        <v>86</v>
      </c>
      <c r="G35" s="100"/>
      <c r="H35" s="100"/>
      <c r="I35" s="93"/>
      <c r="J35" s="48"/>
    </row>
    <row r="36" spans="1:10" ht="22.5">
      <c r="A36" s="16"/>
      <c r="B36" s="17" t="s">
        <v>175</v>
      </c>
      <c r="C36" s="18" t="s">
        <v>132</v>
      </c>
      <c r="D36" s="19" t="s">
        <v>14</v>
      </c>
      <c r="E36" s="18" t="s">
        <v>0</v>
      </c>
      <c r="F36" s="95" t="s">
        <v>87</v>
      </c>
      <c r="G36" s="100"/>
      <c r="H36" s="100"/>
      <c r="I36" s="93"/>
      <c r="J36" s="48"/>
    </row>
    <row r="37" spans="1:10">
      <c r="A37" s="16"/>
      <c r="B37" s="17" t="s">
        <v>175</v>
      </c>
      <c r="C37" s="18" t="s">
        <v>133</v>
      </c>
      <c r="D37" s="19" t="s">
        <v>14</v>
      </c>
      <c r="E37" s="18" t="s">
        <v>0</v>
      </c>
      <c r="F37" s="92" t="s">
        <v>88</v>
      </c>
      <c r="G37" s="100"/>
      <c r="H37" s="100"/>
      <c r="I37" s="93"/>
      <c r="J37" s="48"/>
    </row>
    <row r="38" spans="1:10">
      <c r="A38" s="16"/>
      <c r="B38" s="17" t="s">
        <v>175</v>
      </c>
      <c r="C38" s="18" t="s">
        <v>134</v>
      </c>
      <c r="D38" s="19" t="s">
        <v>14</v>
      </c>
      <c r="E38" s="18" t="s">
        <v>0</v>
      </c>
      <c r="F38" s="92" t="s">
        <v>89</v>
      </c>
      <c r="G38" s="100"/>
      <c r="H38" s="100"/>
      <c r="I38" s="93"/>
      <c r="J38" s="48"/>
    </row>
    <row r="39" spans="1:10" ht="22.5">
      <c r="A39" s="16"/>
      <c r="B39" s="17" t="s">
        <v>175</v>
      </c>
      <c r="C39" s="18" t="s">
        <v>135</v>
      </c>
      <c r="D39" s="19" t="s">
        <v>14</v>
      </c>
      <c r="E39" s="18" t="s">
        <v>0</v>
      </c>
      <c r="F39" s="95" t="s">
        <v>90</v>
      </c>
      <c r="G39" s="100"/>
      <c r="H39" s="100"/>
      <c r="I39" s="93"/>
      <c r="J39" s="48"/>
    </row>
    <row r="40" spans="1:10">
      <c r="A40" s="16"/>
      <c r="B40" s="17" t="s">
        <v>175</v>
      </c>
      <c r="C40" s="18" t="s">
        <v>136</v>
      </c>
      <c r="D40" s="19" t="s">
        <v>14</v>
      </c>
      <c r="E40" s="18"/>
      <c r="F40" s="95" t="s">
        <v>77</v>
      </c>
      <c r="G40" s="100"/>
      <c r="H40" s="100"/>
      <c r="I40" s="138">
        <f>SUM(G40:H40)</f>
        <v>0</v>
      </c>
      <c r="J40" s="139">
        <f>I40</f>
        <v>0</v>
      </c>
    </row>
    <row r="41" spans="1:10" ht="22.5">
      <c r="A41" s="16"/>
      <c r="B41" s="17" t="s">
        <v>175</v>
      </c>
      <c r="C41" s="18" t="s">
        <v>137</v>
      </c>
      <c r="D41" s="19" t="s">
        <v>14</v>
      </c>
      <c r="E41" s="18" t="s">
        <v>0</v>
      </c>
      <c r="F41" s="95" t="s">
        <v>91</v>
      </c>
      <c r="G41" s="100"/>
      <c r="H41" s="100"/>
      <c r="I41" s="93"/>
      <c r="J41" s="48"/>
    </row>
    <row r="42" spans="1:10" ht="22.5">
      <c r="A42" s="16"/>
      <c r="B42" s="17" t="s">
        <v>175</v>
      </c>
      <c r="C42" s="18" t="s">
        <v>138</v>
      </c>
      <c r="D42" s="19" t="s">
        <v>14</v>
      </c>
      <c r="E42" s="18" t="s">
        <v>0</v>
      </c>
      <c r="F42" s="95" t="s">
        <v>78</v>
      </c>
      <c r="G42" s="100"/>
      <c r="H42" s="100"/>
      <c r="I42" s="93"/>
      <c r="J42" s="48"/>
    </row>
    <row r="43" spans="1:10" ht="22.5">
      <c r="A43" s="16"/>
      <c r="B43" s="17" t="s">
        <v>175</v>
      </c>
      <c r="C43" s="18" t="s">
        <v>139</v>
      </c>
      <c r="D43" s="19" t="s">
        <v>14</v>
      </c>
      <c r="E43" s="18"/>
      <c r="F43" s="95" t="s">
        <v>79</v>
      </c>
      <c r="G43" s="100"/>
      <c r="H43" s="100"/>
      <c r="I43" s="93"/>
      <c r="J43" s="48"/>
    </row>
    <row r="44" spans="1:10" ht="22.5">
      <c r="A44" s="16"/>
      <c r="B44" s="17" t="s">
        <v>175</v>
      </c>
      <c r="C44" s="18" t="s">
        <v>140</v>
      </c>
      <c r="D44" s="19" t="s">
        <v>14</v>
      </c>
      <c r="E44" s="18"/>
      <c r="F44" s="95" t="s">
        <v>80</v>
      </c>
      <c r="G44" s="100"/>
      <c r="H44" s="100"/>
      <c r="I44" s="93"/>
      <c r="J44" s="48"/>
    </row>
    <row r="45" spans="1:10" ht="22.5">
      <c r="A45" s="16"/>
      <c r="B45" s="17" t="s">
        <v>175</v>
      </c>
      <c r="C45" s="18" t="s">
        <v>141</v>
      </c>
      <c r="D45" s="19" t="s">
        <v>14</v>
      </c>
      <c r="E45" s="18"/>
      <c r="F45" s="95" t="s">
        <v>81</v>
      </c>
      <c r="G45" s="100"/>
      <c r="H45" s="100"/>
      <c r="I45" s="93"/>
      <c r="J45" s="48"/>
    </row>
    <row r="46" spans="1:10" ht="22.5">
      <c r="A46" s="16"/>
      <c r="B46" s="17" t="s">
        <v>175</v>
      </c>
      <c r="C46" s="18" t="s">
        <v>142</v>
      </c>
      <c r="D46" s="19" t="s">
        <v>14</v>
      </c>
      <c r="E46" s="18"/>
      <c r="F46" s="95" t="s">
        <v>82</v>
      </c>
      <c r="G46" s="100"/>
      <c r="H46" s="100"/>
      <c r="I46" s="93"/>
      <c r="J46" s="48"/>
    </row>
    <row r="47" spans="1:10" ht="22.5">
      <c r="A47" s="16"/>
      <c r="B47" s="17" t="s">
        <v>175</v>
      </c>
      <c r="C47" s="18" t="s">
        <v>143</v>
      </c>
      <c r="D47" s="19" t="s">
        <v>14</v>
      </c>
      <c r="E47" s="18" t="s">
        <v>0</v>
      </c>
      <c r="F47" s="95" t="s">
        <v>83</v>
      </c>
      <c r="G47" s="100"/>
      <c r="H47" s="100"/>
      <c r="I47" s="108"/>
      <c r="J47" s="109"/>
    </row>
    <row r="48" spans="1:10" ht="22.5">
      <c r="A48" s="16"/>
      <c r="B48" s="17" t="s">
        <v>175</v>
      </c>
      <c r="C48" s="18" t="s">
        <v>144</v>
      </c>
      <c r="D48" s="19" t="s">
        <v>14</v>
      </c>
      <c r="E48" s="18" t="s">
        <v>0</v>
      </c>
      <c r="F48" s="95" t="s">
        <v>84</v>
      </c>
      <c r="G48" s="100"/>
      <c r="H48" s="100"/>
      <c r="I48" s="108"/>
      <c r="J48" s="109"/>
    </row>
    <row r="49" spans="1:10">
      <c r="A49" s="16"/>
      <c r="B49" s="17" t="s">
        <v>175</v>
      </c>
      <c r="C49" s="18" t="s">
        <v>145</v>
      </c>
      <c r="D49" s="19" t="s">
        <v>14</v>
      </c>
      <c r="E49" s="18" t="s">
        <v>0</v>
      </c>
      <c r="F49" s="92" t="s">
        <v>92</v>
      </c>
      <c r="G49" s="100"/>
      <c r="H49" s="100"/>
      <c r="I49" s="108"/>
      <c r="J49" s="109"/>
    </row>
    <row r="50" spans="1:10">
      <c r="A50" s="16"/>
      <c r="B50" s="17" t="s">
        <v>175</v>
      </c>
      <c r="C50" s="18" t="s">
        <v>146</v>
      </c>
      <c r="D50" s="19" t="s">
        <v>14</v>
      </c>
      <c r="E50" s="18" t="s">
        <v>0</v>
      </c>
      <c r="F50" s="95" t="s">
        <v>93</v>
      </c>
      <c r="G50" s="100"/>
      <c r="H50" s="100"/>
      <c r="I50" s="108"/>
      <c r="J50" s="109"/>
    </row>
    <row r="51" spans="1:10">
      <c r="A51" s="16"/>
      <c r="B51" s="23"/>
      <c r="C51" s="24"/>
      <c r="D51" s="47"/>
      <c r="E51" s="24"/>
      <c r="F51" s="96"/>
      <c r="G51" s="101"/>
      <c r="H51" s="104"/>
      <c r="I51" s="50"/>
      <c r="J51" s="5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39997558519241921"/>
  </sheetPr>
  <dimension ref="A1:K49"/>
  <sheetViews>
    <sheetView tabSelected="1" topLeftCell="A16" zoomScale="85" zoomScaleNormal="85" workbookViewId="0">
      <selection activeCell="G31" sqref="G31:G33"/>
    </sheetView>
  </sheetViews>
  <sheetFormatPr baseColWidth="10" defaultRowHeight="15"/>
  <cols>
    <col min="1" max="1" width="2.7109375" customWidth="1"/>
    <col min="2" max="2" width="39.7109375" bestFit="1" customWidth="1"/>
    <col min="3" max="3" width="2.7109375" customWidth="1"/>
    <col min="4" max="4" width="5" customWidth="1"/>
    <col min="5" max="5" width="2.7109375" customWidth="1"/>
    <col min="6" max="6" width="90.7109375" customWidth="1"/>
    <col min="7" max="7" width="12.28515625" customWidth="1"/>
    <col min="10" max="11" width="16.28515625" bestFit="1" customWidth="1"/>
  </cols>
  <sheetData>
    <row r="1" spans="1:11" ht="60" customHeight="1" thickBot="1"/>
    <row r="2" spans="1:11" ht="164.25" thickBot="1">
      <c r="F2" s="25" t="s">
        <v>15</v>
      </c>
    </row>
    <row r="3" spans="1:11" ht="16.5" thickBot="1">
      <c r="F3" s="26" t="s">
        <v>16</v>
      </c>
    </row>
    <row r="4" spans="1:11" ht="191.25">
      <c r="A4" s="27" t="s">
        <v>71</v>
      </c>
      <c r="B4" s="28"/>
      <c r="C4" s="29"/>
      <c r="D4" s="29"/>
      <c r="E4" s="30"/>
      <c r="F4" s="31" t="s">
        <v>54</v>
      </c>
      <c r="G4" s="32" t="s">
        <v>53</v>
      </c>
      <c r="H4" s="86" t="s">
        <v>72</v>
      </c>
      <c r="I4" s="86" t="s">
        <v>72</v>
      </c>
      <c r="J4" s="33" t="s">
        <v>52</v>
      </c>
      <c r="K4" s="33" t="s">
        <v>73</v>
      </c>
    </row>
    <row r="5" spans="1:11" ht="123.75" hidden="1">
      <c r="A5" s="34" t="s">
        <v>36</v>
      </c>
      <c r="B5" s="35"/>
      <c r="C5" s="36"/>
      <c r="D5" s="37" t="s">
        <v>171</v>
      </c>
      <c r="E5" s="149" t="s">
        <v>170</v>
      </c>
      <c r="F5" s="39"/>
      <c r="G5" s="40" t="s">
        <v>147</v>
      </c>
      <c r="H5" s="87" t="str">
        <f>SUBSTITUTE(CONCATENATE("IAS36-UnidGeneEfec_",TRIM(H4),"_",COLUMN(H5),"|",H4)," ","")</f>
        <v>IAS36-UnidGeneEfec_Agregarcolumnaopcional_8|Agregarcolumnaopcional</v>
      </c>
      <c r="I5" s="87" t="str">
        <f>SUBSTITUTE(CONCATENATE("IAS36-UnidGeneEfec_",TRIM(I4),"_",COLUMN(I5),"|",I4)," ","")</f>
        <v>IAS36-UnidGeneEfec_Agregarcolumnaopcional_9|Agregarcolumnaopcional</v>
      </c>
      <c r="J5" s="40" t="s">
        <v>148</v>
      </c>
      <c r="K5" s="40" t="s">
        <v>149</v>
      </c>
    </row>
    <row r="6" spans="1:11">
      <c r="A6" s="16"/>
      <c r="B6" s="41"/>
      <c r="C6" s="42"/>
      <c r="D6" s="43"/>
      <c r="E6" s="44"/>
      <c r="F6" s="45"/>
      <c r="G6" s="44"/>
      <c r="H6" s="88"/>
      <c r="I6" s="88"/>
      <c r="J6" s="46"/>
      <c r="K6" s="46"/>
    </row>
    <row r="7" spans="1:11">
      <c r="A7" s="16"/>
      <c r="B7" s="17"/>
      <c r="C7" s="18"/>
      <c r="D7" s="19"/>
      <c r="E7" s="20"/>
      <c r="F7" s="49" t="s">
        <v>55</v>
      </c>
      <c r="G7" s="18"/>
      <c r="H7" s="89"/>
      <c r="I7" s="89"/>
      <c r="J7" s="21"/>
      <c r="K7" s="21"/>
    </row>
    <row r="8" spans="1:11">
      <c r="A8" s="16"/>
      <c r="B8" s="17" t="s">
        <v>175</v>
      </c>
      <c r="C8" s="18" t="s">
        <v>150</v>
      </c>
      <c r="D8" s="19" t="s">
        <v>13</v>
      </c>
      <c r="E8" s="18" t="s">
        <v>0</v>
      </c>
      <c r="F8" s="22" t="s">
        <v>56</v>
      </c>
      <c r="G8" s="164"/>
      <c r="H8" s="143"/>
      <c r="I8" s="143"/>
      <c r="J8" s="142">
        <f>SUM(G8:I8)</f>
        <v>0</v>
      </c>
      <c r="K8" s="148">
        <f>J8</f>
        <v>0</v>
      </c>
    </row>
    <row r="9" spans="1:11">
      <c r="A9" s="16"/>
      <c r="B9" s="17" t="s">
        <v>175</v>
      </c>
      <c r="C9" s="18" t="s">
        <v>151</v>
      </c>
      <c r="D9" s="19" t="s">
        <v>13</v>
      </c>
      <c r="E9" s="18" t="s">
        <v>0</v>
      </c>
      <c r="F9" s="22" t="s">
        <v>57</v>
      </c>
      <c r="G9" s="90"/>
      <c r="H9" s="143"/>
      <c r="I9" s="143"/>
      <c r="J9" s="142">
        <f>SUM(G9:I9)</f>
        <v>0</v>
      </c>
      <c r="K9" s="148">
        <f>J9</f>
        <v>0</v>
      </c>
    </row>
    <row r="10" spans="1:11">
      <c r="A10" s="16"/>
      <c r="B10" s="17"/>
      <c r="C10" s="18"/>
      <c r="D10" s="19"/>
      <c r="E10" s="18" t="s">
        <v>0</v>
      </c>
      <c r="F10" s="162"/>
      <c r="G10" s="144"/>
      <c r="H10" s="145"/>
      <c r="I10" s="145"/>
      <c r="J10" s="146"/>
      <c r="K10" s="146"/>
    </row>
    <row r="11" spans="1:11" ht="22.5">
      <c r="A11" s="16"/>
      <c r="B11" s="17" t="s">
        <v>175</v>
      </c>
      <c r="C11" s="18" t="s">
        <v>152</v>
      </c>
      <c r="D11" s="19" t="s">
        <v>13</v>
      </c>
      <c r="E11" s="18" t="s">
        <v>0</v>
      </c>
      <c r="F11" s="22" t="s">
        <v>58</v>
      </c>
      <c r="G11" s="90"/>
      <c r="H11" s="143"/>
      <c r="I11" s="143"/>
      <c r="J11" s="90"/>
      <c r="K11" s="90"/>
    </row>
    <row r="12" spans="1:11" ht="22.5">
      <c r="A12" s="16"/>
      <c r="B12" s="17" t="s">
        <v>175</v>
      </c>
      <c r="C12" s="18" t="s">
        <v>153</v>
      </c>
      <c r="D12" s="19" t="s">
        <v>13</v>
      </c>
      <c r="E12" s="18" t="s">
        <v>0</v>
      </c>
      <c r="F12" s="22" t="s">
        <v>59</v>
      </c>
      <c r="G12" s="90"/>
      <c r="H12" s="143"/>
      <c r="I12" s="143"/>
      <c r="J12" s="90"/>
      <c r="K12" s="90"/>
    </row>
    <row r="13" spans="1:11" ht="22.5">
      <c r="A13" s="16"/>
      <c r="B13" s="17" t="s">
        <v>175</v>
      </c>
      <c r="C13" s="18" t="s">
        <v>139</v>
      </c>
      <c r="D13" s="19" t="s">
        <v>13</v>
      </c>
      <c r="E13" s="18" t="s">
        <v>0</v>
      </c>
      <c r="F13" s="22" t="s">
        <v>60</v>
      </c>
      <c r="G13" s="90"/>
      <c r="H13" s="143"/>
      <c r="I13" s="143"/>
      <c r="J13" s="90"/>
      <c r="K13" s="90"/>
    </row>
    <row r="14" spans="1:11" ht="22.5">
      <c r="A14" s="16"/>
      <c r="B14" s="17" t="s">
        <v>175</v>
      </c>
      <c r="C14" s="18" t="s">
        <v>142</v>
      </c>
      <c r="D14" s="19" t="s">
        <v>13</v>
      </c>
      <c r="E14" s="18" t="s">
        <v>0</v>
      </c>
      <c r="F14" s="22" t="s">
        <v>61</v>
      </c>
      <c r="G14" s="90"/>
      <c r="H14" s="143"/>
      <c r="I14" s="143"/>
      <c r="J14" s="90"/>
      <c r="K14" s="90"/>
    </row>
    <row r="15" spans="1:11" ht="22.5">
      <c r="A15" s="16"/>
      <c r="B15" s="17" t="s">
        <v>175</v>
      </c>
      <c r="C15" s="18" t="s">
        <v>154</v>
      </c>
      <c r="D15" s="19" t="s">
        <v>13</v>
      </c>
      <c r="E15" s="18" t="s">
        <v>0</v>
      </c>
      <c r="F15" s="22" t="s">
        <v>62</v>
      </c>
      <c r="G15" s="90"/>
      <c r="H15" s="143"/>
      <c r="I15" s="143"/>
      <c r="J15" s="90"/>
      <c r="K15" s="90"/>
    </row>
    <row r="16" spans="1:11" ht="22.5">
      <c r="A16" s="16"/>
      <c r="B16" s="17" t="s">
        <v>175</v>
      </c>
      <c r="C16" s="18" t="s">
        <v>138</v>
      </c>
      <c r="D16" s="19" t="s">
        <v>13</v>
      </c>
      <c r="E16" s="18" t="s">
        <v>0</v>
      </c>
      <c r="F16" s="22" t="s">
        <v>63</v>
      </c>
      <c r="G16" s="90"/>
      <c r="H16" s="143"/>
      <c r="I16" s="143"/>
      <c r="J16" s="90"/>
      <c r="K16" s="90"/>
    </row>
    <row r="17" spans="1:11" ht="22.5">
      <c r="A17" s="16"/>
      <c r="B17" s="17" t="s">
        <v>175</v>
      </c>
      <c r="C17" s="18" t="s">
        <v>140</v>
      </c>
      <c r="D17" s="19" t="s">
        <v>13</v>
      </c>
      <c r="E17" s="18" t="s">
        <v>0</v>
      </c>
      <c r="F17" s="154" t="s">
        <v>97</v>
      </c>
      <c r="G17" s="90"/>
      <c r="H17" s="143"/>
      <c r="I17" s="143"/>
      <c r="J17" s="90"/>
      <c r="K17" s="90"/>
    </row>
    <row r="18" spans="1:11" ht="22.5">
      <c r="A18" s="16"/>
      <c r="B18" s="17" t="s">
        <v>175</v>
      </c>
      <c r="C18" s="18" t="s">
        <v>141</v>
      </c>
      <c r="D18" s="19" t="s">
        <v>13</v>
      </c>
      <c r="E18" s="18" t="s">
        <v>0</v>
      </c>
      <c r="F18" s="154" t="s">
        <v>98</v>
      </c>
      <c r="G18" s="90"/>
      <c r="H18" s="143"/>
      <c r="I18" s="143"/>
      <c r="J18" s="90"/>
      <c r="K18" s="90"/>
    </row>
    <row r="19" spans="1:11">
      <c r="A19" s="16"/>
      <c r="B19" s="17" t="s">
        <v>175</v>
      </c>
      <c r="C19" s="18" t="s">
        <v>155</v>
      </c>
      <c r="D19" s="19" t="s">
        <v>13</v>
      </c>
      <c r="E19" s="18" t="s">
        <v>0</v>
      </c>
      <c r="F19" s="22" t="s">
        <v>64</v>
      </c>
      <c r="G19" s="90"/>
      <c r="H19" s="143"/>
      <c r="I19" s="143"/>
      <c r="J19" s="90"/>
      <c r="K19" s="90"/>
    </row>
    <row r="20" spans="1:11" ht="22.5">
      <c r="A20" s="16"/>
      <c r="B20" s="17" t="s">
        <v>175</v>
      </c>
      <c r="C20" s="18" t="s">
        <v>156</v>
      </c>
      <c r="D20" s="19" t="s">
        <v>13</v>
      </c>
      <c r="E20" s="18" t="s">
        <v>0</v>
      </c>
      <c r="F20" s="22" t="s">
        <v>65</v>
      </c>
      <c r="G20" s="147"/>
      <c r="H20" s="143"/>
      <c r="I20" s="143"/>
      <c r="J20" s="90"/>
      <c r="K20" s="90"/>
    </row>
    <row r="21" spans="1:11" ht="22.5">
      <c r="A21" s="16"/>
      <c r="B21" s="17" t="s">
        <v>175</v>
      </c>
      <c r="C21" s="18" t="s">
        <v>157</v>
      </c>
      <c r="D21" s="19" t="s">
        <v>13</v>
      </c>
      <c r="E21" s="18" t="s">
        <v>0</v>
      </c>
      <c r="F21" s="22" t="s">
        <v>66</v>
      </c>
      <c r="G21" s="90"/>
      <c r="H21" s="143"/>
      <c r="I21" s="143"/>
      <c r="J21" s="90"/>
      <c r="K21" s="90"/>
    </row>
    <row r="22" spans="1:11">
      <c r="A22" s="16"/>
      <c r="B22" s="17" t="s">
        <v>175</v>
      </c>
      <c r="C22" s="18" t="s">
        <v>158</v>
      </c>
      <c r="D22" s="19" t="s">
        <v>13</v>
      </c>
      <c r="E22" s="18" t="s">
        <v>0</v>
      </c>
      <c r="F22" s="22" t="s">
        <v>67</v>
      </c>
      <c r="G22" s="147"/>
      <c r="H22" s="143"/>
      <c r="I22" s="143"/>
      <c r="J22" s="90"/>
      <c r="K22" s="90"/>
    </row>
    <row r="23" spans="1:11">
      <c r="A23" s="16"/>
      <c r="B23" s="17" t="s">
        <v>175</v>
      </c>
      <c r="C23" s="18" t="s">
        <v>159</v>
      </c>
      <c r="D23" s="19" t="s">
        <v>13</v>
      </c>
      <c r="E23" s="18" t="s">
        <v>0</v>
      </c>
      <c r="F23" s="18" t="s">
        <v>68</v>
      </c>
      <c r="G23" s="90"/>
      <c r="H23" s="143"/>
      <c r="I23" s="143"/>
      <c r="J23" s="90"/>
      <c r="K23" s="90"/>
    </row>
    <row r="24" spans="1:11">
      <c r="A24" s="16"/>
      <c r="B24" s="17" t="s">
        <v>175</v>
      </c>
      <c r="C24" s="18" t="s">
        <v>160</v>
      </c>
      <c r="D24" s="19" t="s">
        <v>13</v>
      </c>
      <c r="E24" s="18" t="s">
        <v>0</v>
      </c>
      <c r="F24" s="22" t="s">
        <v>69</v>
      </c>
      <c r="G24" s="90"/>
      <c r="H24" s="143"/>
      <c r="I24" s="143"/>
      <c r="J24" s="90"/>
      <c r="K24" s="90"/>
    </row>
    <row r="25" spans="1:11" ht="22.5">
      <c r="A25" s="16"/>
      <c r="B25" s="17" t="s">
        <v>175</v>
      </c>
      <c r="C25" s="18" t="s">
        <v>161</v>
      </c>
      <c r="D25" s="19" t="s">
        <v>13</v>
      </c>
      <c r="E25" s="18" t="s">
        <v>0</v>
      </c>
      <c r="F25" s="22" t="s">
        <v>70</v>
      </c>
      <c r="G25" s="147"/>
      <c r="H25" s="143"/>
      <c r="I25" s="143"/>
      <c r="J25" s="90"/>
      <c r="K25" s="90"/>
    </row>
    <row r="26" spans="1:11">
      <c r="A26" s="16"/>
      <c r="B26" s="23"/>
      <c r="C26" s="24"/>
      <c r="D26" s="47"/>
      <c r="E26" s="24"/>
      <c r="F26" s="24"/>
      <c r="G26" s="132"/>
      <c r="H26" s="104"/>
      <c r="I26" s="104"/>
      <c r="J26" s="54"/>
      <c r="K26" s="54"/>
    </row>
    <row r="27" spans="1:11">
      <c r="G27" s="137"/>
      <c r="H27" s="134"/>
      <c r="I27" s="102"/>
    </row>
    <row r="28" spans="1:11" ht="191.25">
      <c r="A28" s="27"/>
      <c r="B28" s="28"/>
      <c r="C28" s="29"/>
      <c r="D28" s="29"/>
      <c r="E28" s="30"/>
      <c r="F28" s="31" t="s">
        <v>54</v>
      </c>
      <c r="G28" s="133" t="s">
        <v>53</v>
      </c>
      <c r="H28" s="103" t="str">
        <f>IF(H4="Agregar columna opcional","",H14)</f>
        <v/>
      </c>
      <c r="I28" s="131" t="str">
        <f>IF(I4="Agregar columna opcional","",I14)</f>
        <v/>
      </c>
      <c r="J28" s="33" t="s">
        <v>52</v>
      </c>
      <c r="K28" s="33" t="s">
        <v>73</v>
      </c>
    </row>
    <row r="29" spans="1:11">
      <c r="A29" s="16"/>
      <c r="B29" s="41"/>
      <c r="C29" s="42"/>
      <c r="D29" s="43"/>
      <c r="E29" s="44"/>
      <c r="F29" s="45"/>
      <c r="G29" s="135"/>
      <c r="H29" s="88"/>
      <c r="I29" s="88"/>
      <c r="J29" s="46"/>
      <c r="K29" s="46"/>
    </row>
    <row r="30" spans="1:11">
      <c r="A30" s="16"/>
      <c r="B30" s="17"/>
      <c r="C30" s="18"/>
      <c r="D30" s="19"/>
      <c r="E30" s="20"/>
      <c r="F30" s="49" t="s">
        <v>55</v>
      </c>
      <c r="G30" s="92"/>
      <c r="H30" s="89"/>
      <c r="I30" s="89"/>
      <c r="J30" s="21"/>
      <c r="K30" s="21"/>
    </row>
    <row r="31" spans="1:11">
      <c r="A31" s="16" t="s">
        <v>100</v>
      </c>
      <c r="B31" s="17" t="s">
        <v>175</v>
      </c>
      <c r="C31" s="18" t="s">
        <v>150</v>
      </c>
      <c r="D31" s="19" t="s">
        <v>13</v>
      </c>
      <c r="E31" s="18" t="s">
        <v>0</v>
      </c>
      <c r="F31" s="22" t="s">
        <v>56</v>
      </c>
      <c r="G31" s="164"/>
      <c r="H31" s="143"/>
      <c r="I31" s="143"/>
      <c r="J31" s="142">
        <f t="shared" ref="J31:J32" si="0">SUM(G31:I31)</f>
        <v>0</v>
      </c>
      <c r="K31" s="148">
        <f t="shared" ref="K31:K32" si="1">J31</f>
        <v>0</v>
      </c>
    </row>
    <row r="32" spans="1:11">
      <c r="A32" s="16" t="s">
        <v>100</v>
      </c>
      <c r="B32" s="17" t="s">
        <v>175</v>
      </c>
      <c r="C32" s="18" t="s">
        <v>151</v>
      </c>
      <c r="D32" s="19" t="s">
        <v>13</v>
      </c>
      <c r="E32" s="18" t="s">
        <v>0</v>
      </c>
      <c r="F32" s="22" t="s">
        <v>57</v>
      </c>
      <c r="G32" s="90"/>
      <c r="H32" s="143"/>
      <c r="I32" s="143"/>
      <c r="J32" s="142">
        <f t="shared" si="0"/>
        <v>0</v>
      </c>
      <c r="K32" s="148">
        <f t="shared" si="1"/>
        <v>0</v>
      </c>
    </row>
    <row r="33" spans="1:11">
      <c r="A33" s="16"/>
      <c r="B33" s="17"/>
      <c r="C33" s="18"/>
      <c r="D33" s="19"/>
      <c r="E33" s="18" t="s">
        <v>0</v>
      </c>
      <c r="F33" s="162"/>
      <c r="G33" s="144"/>
      <c r="H33" s="145"/>
      <c r="I33" s="145"/>
      <c r="J33" s="146"/>
      <c r="K33" s="146"/>
    </row>
    <row r="34" spans="1:11" ht="22.5">
      <c r="A34" s="16"/>
      <c r="B34" s="17" t="s">
        <v>175</v>
      </c>
      <c r="C34" s="18" t="s">
        <v>152</v>
      </c>
      <c r="D34" s="19" t="s">
        <v>101</v>
      </c>
      <c r="E34" s="18" t="s">
        <v>0</v>
      </c>
      <c r="F34" s="22" t="s">
        <v>58</v>
      </c>
      <c r="G34" s="90"/>
      <c r="H34" s="143"/>
      <c r="I34" s="143"/>
      <c r="J34" s="90"/>
      <c r="K34" s="90"/>
    </row>
    <row r="35" spans="1:11" ht="22.5">
      <c r="A35" s="16"/>
      <c r="B35" s="17" t="s">
        <v>175</v>
      </c>
      <c r="C35" s="18" t="s">
        <v>153</v>
      </c>
      <c r="D35" s="19" t="s">
        <v>101</v>
      </c>
      <c r="E35" s="18" t="s">
        <v>0</v>
      </c>
      <c r="F35" s="22" t="s">
        <v>59</v>
      </c>
      <c r="G35" s="90"/>
      <c r="H35" s="143"/>
      <c r="I35" s="143"/>
      <c r="J35" s="90"/>
      <c r="K35" s="90"/>
    </row>
    <row r="36" spans="1:11" ht="22.5">
      <c r="A36" s="16"/>
      <c r="B36" s="17" t="s">
        <v>175</v>
      </c>
      <c r="C36" s="18" t="s">
        <v>139</v>
      </c>
      <c r="D36" s="19" t="s">
        <v>101</v>
      </c>
      <c r="E36" s="18" t="s">
        <v>0</v>
      </c>
      <c r="F36" s="22" t="s">
        <v>60</v>
      </c>
      <c r="G36" s="90"/>
      <c r="H36" s="143"/>
      <c r="I36" s="143"/>
      <c r="J36" s="90"/>
      <c r="K36" s="90"/>
    </row>
    <row r="37" spans="1:11" ht="22.5">
      <c r="A37" s="16"/>
      <c r="B37" s="17" t="s">
        <v>175</v>
      </c>
      <c r="C37" s="18" t="s">
        <v>142</v>
      </c>
      <c r="D37" s="19" t="s">
        <v>101</v>
      </c>
      <c r="E37" s="18" t="s">
        <v>0</v>
      </c>
      <c r="F37" s="22" t="s">
        <v>61</v>
      </c>
      <c r="G37" s="90"/>
      <c r="H37" s="143"/>
      <c r="I37" s="143"/>
      <c r="J37" s="90"/>
      <c r="K37" s="90"/>
    </row>
    <row r="38" spans="1:11" ht="22.5">
      <c r="A38" s="16"/>
      <c r="B38" s="17" t="s">
        <v>175</v>
      </c>
      <c r="C38" s="18" t="s">
        <v>154</v>
      </c>
      <c r="D38" s="19" t="s">
        <v>101</v>
      </c>
      <c r="E38" s="18" t="s">
        <v>0</v>
      </c>
      <c r="F38" s="22" t="s">
        <v>62</v>
      </c>
      <c r="G38" s="90"/>
      <c r="H38" s="143"/>
      <c r="I38" s="143"/>
      <c r="J38" s="90"/>
      <c r="K38" s="90"/>
    </row>
    <row r="39" spans="1:11" ht="22.5">
      <c r="A39" s="16"/>
      <c r="B39" s="17" t="s">
        <v>175</v>
      </c>
      <c r="C39" s="18" t="s">
        <v>138</v>
      </c>
      <c r="D39" s="19" t="s">
        <v>101</v>
      </c>
      <c r="E39" s="18" t="s">
        <v>0</v>
      </c>
      <c r="F39" s="22" t="s">
        <v>63</v>
      </c>
      <c r="G39" s="90"/>
      <c r="H39" s="143"/>
      <c r="I39" s="143"/>
      <c r="J39" s="90"/>
      <c r="K39" s="90"/>
    </row>
    <row r="40" spans="1:11" ht="22.5">
      <c r="A40" s="16"/>
      <c r="B40" s="17" t="s">
        <v>175</v>
      </c>
      <c r="C40" s="18" t="s">
        <v>140</v>
      </c>
      <c r="D40" s="19" t="s">
        <v>101</v>
      </c>
      <c r="E40" s="18" t="s">
        <v>0</v>
      </c>
      <c r="F40" s="154" t="s">
        <v>97</v>
      </c>
      <c r="G40" s="90"/>
      <c r="H40" s="143"/>
      <c r="I40" s="143"/>
      <c r="J40" s="90"/>
      <c r="K40" s="90"/>
    </row>
    <row r="41" spans="1:11" ht="22.5">
      <c r="A41" s="16"/>
      <c r="B41" s="17" t="s">
        <v>175</v>
      </c>
      <c r="C41" s="18" t="s">
        <v>141</v>
      </c>
      <c r="D41" s="19" t="s">
        <v>101</v>
      </c>
      <c r="E41" s="18" t="s">
        <v>0</v>
      </c>
      <c r="F41" s="154" t="s">
        <v>98</v>
      </c>
      <c r="G41" s="90"/>
      <c r="H41" s="143"/>
      <c r="I41" s="143"/>
      <c r="J41" s="90"/>
      <c r="K41" s="90"/>
    </row>
    <row r="42" spans="1:11">
      <c r="A42" s="16"/>
      <c r="B42" s="17" t="s">
        <v>175</v>
      </c>
      <c r="C42" s="18" t="s">
        <v>155</v>
      </c>
      <c r="D42" s="19" t="s">
        <v>101</v>
      </c>
      <c r="E42" s="18" t="s">
        <v>0</v>
      </c>
      <c r="F42" s="22" t="s">
        <v>64</v>
      </c>
      <c r="G42" s="90"/>
      <c r="H42" s="143"/>
      <c r="I42" s="143"/>
      <c r="J42" s="90"/>
      <c r="K42" s="90"/>
    </row>
    <row r="43" spans="1:11" ht="22.5">
      <c r="A43" s="16" t="s">
        <v>100</v>
      </c>
      <c r="B43" s="17" t="s">
        <v>175</v>
      </c>
      <c r="C43" s="18" t="s">
        <v>156</v>
      </c>
      <c r="D43" s="19" t="s">
        <v>13</v>
      </c>
      <c r="E43" s="18" t="s">
        <v>0</v>
      </c>
      <c r="F43" s="22" t="s">
        <v>65</v>
      </c>
      <c r="G43" s="147"/>
      <c r="H43" s="143"/>
      <c r="I43" s="143"/>
      <c r="J43" s="90"/>
      <c r="K43" s="90"/>
    </row>
    <row r="44" spans="1:11" ht="22.5">
      <c r="A44" s="16"/>
      <c r="B44" s="17" t="s">
        <v>175</v>
      </c>
      <c r="C44" s="18" t="s">
        <v>157</v>
      </c>
      <c r="D44" s="19" t="s">
        <v>101</v>
      </c>
      <c r="E44" s="18" t="s">
        <v>0</v>
      </c>
      <c r="F44" s="22" t="s">
        <v>66</v>
      </c>
      <c r="G44" s="90"/>
      <c r="H44" s="143"/>
      <c r="I44" s="143"/>
      <c r="J44" s="90"/>
      <c r="K44" s="90"/>
    </row>
    <row r="45" spans="1:11">
      <c r="A45" s="16" t="s">
        <v>100</v>
      </c>
      <c r="B45" s="17" t="s">
        <v>175</v>
      </c>
      <c r="C45" s="18" t="s">
        <v>158</v>
      </c>
      <c r="D45" s="19" t="s">
        <v>13</v>
      </c>
      <c r="E45" s="18" t="s">
        <v>0</v>
      </c>
      <c r="F45" s="22" t="s">
        <v>67</v>
      </c>
      <c r="G45" s="147"/>
      <c r="H45" s="153"/>
      <c r="I45" s="153"/>
      <c r="J45" s="147"/>
      <c r="K45" s="147"/>
    </row>
    <row r="46" spans="1:11">
      <c r="A46" s="16" t="s">
        <v>100</v>
      </c>
      <c r="B46" s="17" t="s">
        <v>175</v>
      </c>
      <c r="C46" s="18" t="s">
        <v>159</v>
      </c>
      <c r="D46" s="19" t="s">
        <v>13</v>
      </c>
      <c r="E46" s="18" t="s">
        <v>0</v>
      </c>
      <c r="F46" s="18" t="s">
        <v>68</v>
      </c>
      <c r="G46" s="90"/>
      <c r="H46" s="143"/>
      <c r="I46" s="143"/>
      <c r="J46" s="90"/>
      <c r="K46" s="90"/>
    </row>
    <row r="47" spans="1:11">
      <c r="A47" s="16"/>
      <c r="B47" s="17" t="s">
        <v>175</v>
      </c>
      <c r="C47" s="18" t="s">
        <v>160</v>
      </c>
      <c r="D47" s="19" t="s">
        <v>101</v>
      </c>
      <c r="E47" s="18" t="s">
        <v>0</v>
      </c>
      <c r="F47" s="22" t="s">
        <v>69</v>
      </c>
      <c r="G47" s="90"/>
      <c r="H47" s="143"/>
      <c r="I47" s="143"/>
      <c r="J47" s="90"/>
      <c r="K47" s="90"/>
    </row>
    <row r="48" spans="1:11" ht="22.5">
      <c r="A48" s="16" t="s">
        <v>100</v>
      </c>
      <c r="B48" s="17" t="s">
        <v>175</v>
      </c>
      <c r="C48" s="18" t="s">
        <v>161</v>
      </c>
      <c r="D48" s="19" t="s">
        <v>13</v>
      </c>
      <c r="E48" s="18" t="s">
        <v>0</v>
      </c>
      <c r="F48" s="22" t="s">
        <v>70</v>
      </c>
      <c r="G48" s="147"/>
      <c r="H48" s="143"/>
      <c r="I48" s="143"/>
      <c r="J48" s="90"/>
      <c r="K48" s="90"/>
    </row>
    <row r="49" spans="1:11">
      <c r="A49" s="16"/>
      <c r="B49" s="23"/>
      <c r="C49" s="24"/>
      <c r="D49" s="47"/>
      <c r="E49" s="24"/>
      <c r="F49" s="24"/>
      <c r="G49" s="136"/>
      <c r="H49" s="101"/>
      <c r="I49" s="50"/>
      <c r="J49" s="54"/>
      <c r="K49" s="54"/>
    </row>
  </sheetData>
  <conditionalFormatting sqref="K8">
    <cfRule type="expression" dxfId="2" priority="36">
      <formula>OR(IF(OR(NOT(ISERROR(FIND("ERR",#REF!)&gt;1)),NOT(ISERROR(FIND("ERR",#REF!)&gt;1))),TRUE,FALSE),IF(NOT(ISERR(FIND("ERR",#REF!)))=TRUE,TRUE,FALSE),IF(NOT(ISERR(FIND("ERR",#REF!)))=TRUE,TRUE,FALSE))</formula>
    </cfRule>
  </conditionalFormatting>
  <conditionalFormatting sqref="K9">
    <cfRule type="expression" dxfId="1" priority="2">
      <formula>OR(IF(OR(NOT(ISERROR(FIND("ERR",#REF!)&gt;1)),NOT(ISERROR(FIND("ERR",#REF!)&gt;1))),TRUE,FALSE),IF(NOT(ISERR(FIND("ERR",#REF!)))=TRUE,TRUE,FALSE),IF(NOT(ISERR(FIND("ERR",#REF!)))=TRUE,TRUE,FALSE))</formula>
    </cfRule>
  </conditionalFormatting>
  <conditionalFormatting sqref="K31:K32">
    <cfRule type="expression" dxfId="0" priority="1">
      <formula>OR(IF(OR(NOT(ISERROR(FIND("ERR",#REF!)&gt;1)),NOT(ISERROR(FIND("ERR",#REF!)&gt;1))),TRUE,FALSE),IF(NOT(ISERR(FIND("ERR",#REF!)))=TRUE,TRUE,FALSE),IF(NOT(ISERR(FIND("ERR",#REF!)))=TRUE,TRUE,FALSE))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5" tint="0.59999389629810485"/>
  </sheetPr>
  <dimension ref="A1:Z57"/>
  <sheetViews>
    <sheetView topLeftCell="B23" zoomScale="80" zoomScaleNormal="80" workbookViewId="0">
      <selection activeCell="F14" sqref="F14"/>
    </sheetView>
  </sheetViews>
  <sheetFormatPr baseColWidth="10" defaultRowHeight="15"/>
  <cols>
    <col min="1" max="1" width="2.140625" customWidth="1"/>
    <col min="2" max="2" width="3.5703125" customWidth="1"/>
    <col min="3" max="3" width="60.28515625" bestFit="1" customWidth="1"/>
    <col min="4" max="4" width="5" customWidth="1"/>
    <col min="5" max="5" width="3" customWidth="1"/>
    <col min="6" max="6" width="93.140625" customWidth="1"/>
    <col min="7" max="26" width="14.7109375" customWidth="1"/>
  </cols>
  <sheetData>
    <row r="1" spans="1:26" ht="60" customHeight="1" thickBot="1"/>
    <row r="2" spans="1:26" ht="171.75" customHeight="1" thickBot="1">
      <c r="F2" s="57" t="s">
        <v>38</v>
      </c>
    </row>
    <row r="3" spans="1:26" ht="15.75" thickBot="1">
      <c r="A3" s="56"/>
    </row>
    <row r="4" spans="1:26" ht="45.75" customHeight="1" thickBot="1">
      <c r="A4" s="127" t="s">
        <v>71</v>
      </c>
      <c r="B4" s="115" t="s">
        <v>0</v>
      </c>
      <c r="C4" s="115"/>
      <c r="D4" s="115"/>
      <c r="E4" s="115"/>
      <c r="F4" s="114"/>
      <c r="G4" s="174" t="s">
        <v>76</v>
      </c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5"/>
      <c r="Z4" s="176"/>
    </row>
    <row r="5" spans="1:26" ht="15.75" hidden="1" customHeight="1" thickBot="1">
      <c r="A5" s="128" t="s">
        <v>36</v>
      </c>
      <c r="B5" s="111"/>
      <c r="C5" s="111"/>
      <c r="D5" s="111" t="s">
        <v>162</v>
      </c>
      <c r="E5" s="116" t="s">
        <v>163</v>
      </c>
      <c r="F5" s="111"/>
      <c r="G5" s="81" t="str">
        <f>CONCATENATE("IAS36-PerDeteReco_",SUBSTITUTE(G4," ",""),"_",ROW(G4),"|",G4)</f>
        <v>IAS36-PerDeteReco_INGRESARDESCRIPCIÓNDECOLUMNAOPCIONAL_4|INGRESAR DESCRIPCIÓN DE COLUMNA OPCIONAL</v>
      </c>
      <c r="H5" s="81" t="str">
        <f>G5</f>
        <v>IAS36-PerDeteReco_INGRESARDESCRIPCIÓNDECOLUMNAOPCIONAL_4|INGRESAR DESCRIPCIÓN DE COLUMNA OPCIONAL</v>
      </c>
      <c r="I5" s="81" t="str">
        <f t="shared" ref="I5:Z5" si="0">H5</f>
        <v>IAS36-PerDeteReco_INGRESARDESCRIPCIÓNDECOLUMNAOPCIONAL_4|INGRESAR DESCRIPCIÓN DE COLUMNA OPCIONAL</v>
      </c>
      <c r="J5" s="81" t="str">
        <f t="shared" si="0"/>
        <v>IAS36-PerDeteReco_INGRESARDESCRIPCIÓNDECOLUMNAOPCIONAL_4|INGRESAR DESCRIPCIÓN DE COLUMNA OPCIONAL</v>
      </c>
      <c r="K5" s="81" t="str">
        <f>H5</f>
        <v>IAS36-PerDeteReco_INGRESARDESCRIPCIÓNDECOLUMNAOPCIONAL_4|INGRESAR DESCRIPCIÓN DE COLUMNA OPCIONAL</v>
      </c>
      <c r="L5" s="81" t="str">
        <f t="shared" ref="L5" si="1">K5</f>
        <v>IAS36-PerDeteReco_INGRESARDESCRIPCIÓNDECOLUMNAOPCIONAL_4|INGRESAR DESCRIPCIÓN DE COLUMNA OPCIONAL</v>
      </c>
      <c r="M5" s="81" t="str">
        <f>J5</f>
        <v>IAS36-PerDeteReco_INGRESARDESCRIPCIÓNDECOLUMNAOPCIONAL_4|INGRESAR DESCRIPCIÓN DE COLUMNA OPCIONAL</v>
      </c>
      <c r="N5" s="81" t="str">
        <f t="shared" si="0"/>
        <v>IAS36-PerDeteReco_INGRESARDESCRIPCIÓNDECOLUMNAOPCIONAL_4|INGRESAR DESCRIPCIÓN DE COLUMNA OPCIONAL</v>
      </c>
      <c r="O5" s="81" t="str">
        <f t="shared" si="0"/>
        <v>IAS36-PerDeteReco_INGRESARDESCRIPCIÓNDECOLUMNAOPCIONAL_4|INGRESAR DESCRIPCIÓN DE COLUMNA OPCIONAL</v>
      </c>
      <c r="P5" s="81" t="str">
        <f t="shared" si="0"/>
        <v>IAS36-PerDeteReco_INGRESARDESCRIPCIÓNDECOLUMNAOPCIONAL_4|INGRESAR DESCRIPCIÓN DE COLUMNA OPCIONAL</v>
      </c>
      <c r="Q5" s="81" t="str">
        <f t="shared" si="0"/>
        <v>IAS36-PerDeteReco_INGRESARDESCRIPCIÓNDECOLUMNAOPCIONAL_4|INGRESAR DESCRIPCIÓN DE COLUMNA OPCIONAL</v>
      </c>
      <c r="R5" s="81" t="str">
        <f t="shared" si="0"/>
        <v>IAS36-PerDeteReco_INGRESARDESCRIPCIÓNDECOLUMNAOPCIONAL_4|INGRESAR DESCRIPCIÓN DE COLUMNA OPCIONAL</v>
      </c>
      <c r="S5" s="81" t="str">
        <f t="shared" si="0"/>
        <v>IAS36-PerDeteReco_INGRESARDESCRIPCIÓNDECOLUMNAOPCIONAL_4|INGRESAR DESCRIPCIÓN DE COLUMNA OPCIONAL</v>
      </c>
      <c r="T5" s="81" t="str">
        <f t="shared" si="0"/>
        <v>IAS36-PerDeteReco_INGRESARDESCRIPCIÓNDECOLUMNAOPCIONAL_4|INGRESAR DESCRIPCIÓN DE COLUMNA OPCIONAL</v>
      </c>
      <c r="U5" s="81" t="str">
        <f t="shared" si="0"/>
        <v>IAS36-PerDeteReco_INGRESARDESCRIPCIÓNDECOLUMNAOPCIONAL_4|INGRESAR DESCRIPCIÓN DE COLUMNA OPCIONAL</v>
      </c>
      <c r="V5" s="81" t="str">
        <f t="shared" si="0"/>
        <v>IAS36-PerDeteReco_INGRESARDESCRIPCIÓNDECOLUMNAOPCIONAL_4|INGRESAR DESCRIPCIÓN DE COLUMNA OPCIONAL</v>
      </c>
      <c r="W5" s="81" t="str">
        <f t="shared" si="0"/>
        <v>IAS36-PerDeteReco_INGRESARDESCRIPCIÓNDECOLUMNAOPCIONAL_4|INGRESAR DESCRIPCIÓN DE COLUMNA OPCIONAL</v>
      </c>
      <c r="X5" s="81" t="str">
        <f t="shared" si="0"/>
        <v>IAS36-PerDeteReco_INGRESARDESCRIPCIÓNDECOLUMNAOPCIONAL_4|INGRESAR DESCRIPCIÓN DE COLUMNA OPCIONAL</v>
      </c>
      <c r="Y5" s="81" t="str">
        <f t="shared" si="0"/>
        <v>IAS36-PerDeteReco_INGRESARDESCRIPCIÓNDECOLUMNAOPCIONAL_4|INGRESAR DESCRIPCIÓN DE COLUMNA OPCIONAL</v>
      </c>
      <c r="Z5" s="81" t="str">
        <f t="shared" si="0"/>
        <v>IAS36-PerDeteReco_INGRESARDESCRIPCIÓNDECOLUMNAOPCIONAL_4|INGRESAR DESCRIPCIÓN DE COLUMNA OPCIONAL</v>
      </c>
    </row>
    <row r="6" spans="1:26" ht="77.25" customHeight="1" thickBot="1">
      <c r="A6" s="129"/>
      <c r="B6" s="111"/>
      <c r="C6" s="111"/>
      <c r="D6" s="111"/>
      <c r="E6" s="111"/>
      <c r="F6" s="112"/>
      <c r="G6" s="165" t="s">
        <v>40</v>
      </c>
      <c r="H6" s="167"/>
      <c r="I6" s="165" t="s">
        <v>41</v>
      </c>
      <c r="J6" s="167"/>
      <c r="K6" s="165" t="s">
        <v>173</v>
      </c>
      <c r="L6" s="167"/>
      <c r="M6" s="165" t="s">
        <v>44</v>
      </c>
      <c r="N6" s="167"/>
      <c r="O6" s="165" t="s">
        <v>45</v>
      </c>
      <c r="P6" s="167"/>
      <c r="Q6" s="165" t="s">
        <v>42</v>
      </c>
      <c r="R6" s="167"/>
      <c r="S6" s="165" t="s">
        <v>46</v>
      </c>
      <c r="T6" s="167"/>
      <c r="U6" s="165" t="s">
        <v>43</v>
      </c>
      <c r="V6" s="167"/>
      <c r="W6" s="165" t="s">
        <v>47</v>
      </c>
      <c r="X6" s="167"/>
      <c r="Y6" s="165" t="s">
        <v>48</v>
      </c>
      <c r="Z6" s="170"/>
    </row>
    <row r="7" spans="1:26" ht="15.75" hidden="1" customHeight="1" thickBot="1">
      <c r="A7" s="128" t="s">
        <v>36</v>
      </c>
      <c r="B7" s="111"/>
      <c r="C7" s="111"/>
      <c r="D7" s="111"/>
      <c r="E7" s="113" t="s">
        <v>164</v>
      </c>
      <c r="F7" s="113"/>
      <c r="G7" s="62" t="str">
        <f>H7</f>
        <v>full_ifrs-cor_2015-03-11.xsd#ifrs-full_PropertyPlantAndEquipmentMember</v>
      </c>
      <c r="H7" s="77" t="s">
        <v>113</v>
      </c>
      <c r="I7" s="62" t="s">
        <v>114</v>
      </c>
      <c r="J7" s="77" t="s">
        <v>114</v>
      </c>
      <c r="K7" s="156" t="s">
        <v>174</v>
      </c>
      <c r="L7" s="157" t="s">
        <v>174</v>
      </c>
      <c r="M7" s="62" t="s">
        <v>115</v>
      </c>
      <c r="N7" s="77" t="s">
        <v>115</v>
      </c>
      <c r="O7" s="62" t="s">
        <v>172</v>
      </c>
      <c r="P7" s="77" t="s">
        <v>172</v>
      </c>
      <c r="Q7" s="62" t="s">
        <v>116</v>
      </c>
      <c r="R7" s="77" t="s">
        <v>116</v>
      </c>
      <c r="S7" s="62" t="s">
        <v>117</v>
      </c>
      <c r="T7" s="77" t="s">
        <v>117</v>
      </c>
      <c r="U7" s="62" t="s">
        <v>118</v>
      </c>
      <c r="V7" s="77" t="s">
        <v>118</v>
      </c>
      <c r="W7" s="62" t="s">
        <v>119</v>
      </c>
      <c r="X7" s="77" t="s">
        <v>119</v>
      </c>
      <c r="Y7" s="62" t="s">
        <v>120</v>
      </c>
      <c r="Z7" s="119" t="s">
        <v>120</v>
      </c>
    </row>
    <row r="8" spans="1:26" ht="120.75" customHeight="1" thickBot="1">
      <c r="A8" s="129"/>
      <c r="B8" s="168" t="s">
        <v>37</v>
      </c>
      <c r="C8" s="168"/>
      <c r="D8" s="168"/>
      <c r="E8" s="168"/>
      <c r="F8" s="169"/>
      <c r="G8" s="65" t="s">
        <v>39</v>
      </c>
      <c r="H8" s="65" t="s">
        <v>34</v>
      </c>
      <c r="I8" s="65" t="s">
        <v>39</v>
      </c>
      <c r="J8" s="65" t="s">
        <v>34</v>
      </c>
      <c r="K8" s="65" t="s">
        <v>39</v>
      </c>
      <c r="L8" s="65" t="s">
        <v>34</v>
      </c>
      <c r="M8" s="65" t="s">
        <v>39</v>
      </c>
      <c r="N8" s="65" t="s">
        <v>34</v>
      </c>
      <c r="O8" s="65" t="s">
        <v>39</v>
      </c>
      <c r="P8" s="65" t="s">
        <v>34</v>
      </c>
      <c r="Q8" s="65" t="s">
        <v>39</v>
      </c>
      <c r="R8" s="65" t="s">
        <v>34</v>
      </c>
      <c r="S8" s="65" t="s">
        <v>39</v>
      </c>
      <c r="T8" s="65" t="s">
        <v>34</v>
      </c>
      <c r="U8" s="65" t="s">
        <v>39</v>
      </c>
      <c r="V8" s="65" t="s">
        <v>34</v>
      </c>
      <c r="W8" s="65" t="s">
        <v>39</v>
      </c>
      <c r="X8" s="65" t="s">
        <v>34</v>
      </c>
      <c r="Y8" s="65" t="s">
        <v>39</v>
      </c>
      <c r="Z8" s="120" t="s">
        <v>34</v>
      </c>
    </row>
    <row r="9" spans="1:26" ht="15.75" hidden="1" thickBot="1">
      <c r="A9" s="128" t="s">
        <v>36</v>
      </c>
      <c r="B9" s="67"/>
      <c r="C9" s="67"/>
      <c r="D9" s="67"/>
      <c r="E9" s="67" t="s">
        <v>165</v>
      </c>
      <c r="F9" s="67"/>
      <c r="G9" s="80" t="s">
        <v>127</v>
      </c>
      <c r="H9" s="80" t="s">
        <v>128</v>
      </c>
      <c r="I9" s="80" t="s">
        <v>127</v>
      </c>
      <c r="J9" s="80" t="s">
        <v>128</v>
      </c>
      <c r="K9" s="80" t="s">
        <v>127</v>
      </c>
      <c r="L9" s="80" t="s">
        <v>128</v>
      </c>
      <c r="M9" s="80" t="s">
        <v>127</v>
      </c>
      <c r="N9" s="80" t="s">
        <v>128</v>
      </c>
      <c r="O9" s="80" t="s">
        <v>127</v>
      </c>
      <c r="P9" s="80" t="s">
        <v>128</v>
      </c>
      <c r="Q9" s="80" t="s">
        <v>127</v>
      </c>
      <c r="R9" s="80" t="s">
        <v>128</v>
      </c>
      <c r="S9" s="80" t="s">
        <v>127</v>
      </c>
      <c r="T9" s="80" t="s">
        <v>128</v>
      </c>
      <c r="U9" s="80" t="s">
        <v>127</v>
      </c>
      <c r="V9" s="80" t="s">
        <v>128</v>
      </c>
      <c r="W9" s="80" t="s">
        <v>127</v>
      </c>
      <c r="X9" s="80" t="s">
        <v>128</v>
      </c>
      <c r="Y9" s="80" t="s">
        <v>127</v>
      </c>
      <c r="Z9" s="121" t="s">
        <v>128</v>
      </c>
    </row>
    <row r="10" spans="1:26" ht="22.5" customHeight="1">
      <c r="A10" s="129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122"/>
    </row>
    <row r="11" spans="1:26" ht="22.5" customHeight="1">
      <c r="A11" s="129"/>
      <c r="B11" s="67"/>
      <c r="C11" s="67"/>
      <c r="D11" s="67"/>
      <c r="E11" s="67"/>
      <c r="F11" s="69" t="s">
        <v>11</v>
      </c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122"/>
    </row>
    <row r="12" spans="1:26">
      <c r="A12" s="129"/>
      <c r="B12" s="71"/>
      <c r="C12" s="71"/>
      <c r="D12" s="71"/>
      <c r="E12" s="71"/>
      <c r="F12" s="72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123"/>
    </row>
    <row r="13" spans="1:26">
      <c r="A13" s="129"/>
      <c r="B13" s="71"/>
      <c r="C13" s="71" t="s">
        <v>129</v>
      </c>
      <c r="D13" s="71" t="s">
        <v>13</v>
      </c>
      <c r="E13" s="71" t="s">
        <v>0</v>
      </c>
      <c r="F13" s="73" t="s">
        <v>51</v>
      </c>
      <c r="G13" s="107"/>
      <c r="H13" s="106">
        <f>G13</f>
        <v>0</v>
      </c>
      <c r="I13" s="107"/>
      <c r="J13" s="106">
        <f>I13</f>
        <v>0</v>
      </c>
      <c r="K13" s="107"/>
      <c r="L13" s="106">
        <f>K13</f>
        <v>0</v>
      </c>
      <c r="M13" s="107"/>
      <c r="N13" s="106">
        <f>M13</f>
        <v>0</v>
      </c>
      <c r="O13" s="107"/>
      <c r="P13" s="106">
        <f>O13</f>
        <v>0</v>
      </c>
      <c r="Q13" s="107"/>
      <c r="R13" s="106">
        <f>Q13</f>
        <v>0</v>
      </c>
      <c r="S13" s="107"/>
      <c r="T13" s="106">
        <f>S13</f>
        <v>0</v>
      </c>
      <c r="U13" s="107"/>
      <c r="V13" s="106">
        <f>U13</f>
        <v>0</v>
      </c>
      <c r="W13" s="107"/>
      <c r="X13" s="106">
        <f>W13</f>
        <v>0</v>
      </c>
      <c r="Y13" s="106">
        <f>G13+I13+M13+O13+Q13+S13+U13+W13</f>
        <v>0</v>
      </c>
      <c r="Z13" s="124">
        <f>H13+J13+N13+P13+R13+T13+V13+X13</f>
        <v>0</v>
      </c>
    </row>
    <row r="14" spans="1:26">
      <c r="A14" s="129"/>
      <c r="B14" s="71"/>
      <c r="C14" s="71" t="s">
        <v>130</v>
      </c>
      <c r="D14" s="71" t="s">
        <v>13</v>
      </c>
      <c r="E14" s="71" t="s">
        <v>0</v>
      </c>
      <c r="F14" s="73" t="s">
        <v>50</v>
      </c>
      <c r="G14" s="107"/>
      <c r="H14" s="106">
        <f>G14</f>
        <v>0</v>
      </c>
      <c r="I14" s="107"/>
      <c r="J14" s="106">
        <f>I14</f>
        <v>0</v>
      </c>
      <c r="K14" s="107"/>
      <c r="L14" s="106">
        <f>K14</f>
        <v>0</v>
      </c>
      <c r="M14" s="107"/>
      <c r="N14" s="106">
        <f>M14</f>
        <v>0</v>
      </c>
      <c r="O14" s="107"/>
      <c r="P14" s="106">
        <f>O14</f>
        <v>0</v>
      </c>
      <c r="Q14" s="163"/>
      <c r="R14" s="106">
        <f>Q14</f>
        <v>0</v>
      </c>
      <c r="S14" s="107"/>
      <c r="T14" s="106">
        <f>S14</f>
        <v>0</v>
      </c>
      <c r="U14" s="107"/>
      <c r="V14" s="106">
        <f>U14</f>
        <v>0</v>
      </c>
      <c r="W14" s="107"/>
      <c r="X14" s="106">
        <f>W14</f>
        <v>0</v>
      </c>
      <c r="Y14" s="106">
        <f>G14+I14+M14+O14+Q14+S14+U14+W14</f>
        <v>0</v>
      </c>
      <c r="Z14" s="124">
        <f>H14+J14+N14+P14+R14+T14+V14+X14</f>
        <v>0</v>
      </c>
    </row>
    <row r="15" spans="1:26" ht="22.5" customHeight="1">
      <c r="A15" s="129"/>
      <c r="B15" s="67"/>
      <c r="C15" s="67"/>
      <c r="D15" s="67"/>
      <c r="E15" s="67"/>
      <c r="F15" s="69" t="s">
        <v>12</v>
      </c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122"/>
    </row>
    <row r="16" spans="1:26">
      <c r="A16" s="129"/>
      <c r="B16" s="71"/>
      <c r="C16" s="71"/>
      <c r="D16" s="71"/>
      <c r="E16" s="71"/>
      <c r="F16" s="72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123"/>
    </row>
    <row r="17" spans="1:26">
      <c r="A17" s="129"/>
      <c r="B17" s="71"/>
      <c r="C17" s="71" t="s">
        <v>129</v>
      </c>
      <c r="D17" s="71" t="s">
        <v>14</v>
      </c>
      <c r="E17" s="71" t="s">
        <v>0</v>
      </c>
      <c r="F17" s="73" t="s">
        <v>51</v>
      </c>
      <c r="G17" s="107"/>
      <c r="H17" s="106">
        <f t="shared" ref="H17:J18" si="2">G17</f>
        <v>0</v>
      </c>
      <c r="I17" s="107"/>
      <c r="J17" s="106">
        <f t="shared" si="2"/>
        <v>0</v>
      </c>
      <c r="K17" s="107"/>
      <c r="L17" s="106">
        <f t="shared" ref="L17:L18" si="3">K17</f>
        <v>0</v>
      </c>
      <c r="M17" s="107"/>
      <c r="N17" s="106">
        <f t="shared" ref="N17" si="4">M17</f>
        <v>0</v>
      </c>
      <c r="O17" s="107"/>
      <c r="P17" s="106">
        <f t="shared" ref="P17" si="5">O17</f>
        <v>0</v>
      </c>
      <c r="Q17" s="163"/>
      <c r="R17" s="106">
        <f t="shared" ref="R17:R18" si="6">Q17</f>
        <v>0</v>
      </c>
      <c r="S17" s="107"/>
      <c r="T17" s="106">
        <f t="shared" ref="T17" si="7">S17</f>
        <v>0</v>
      </c>
      <c r="U17" s="107"/>
      <c r="V17" s="106">
        <f t="shared" ref="V17" si="8">U17</f>
        <v>0</v>
      </c>
      <c r="W17" s="107"/>
      <c r="X17" s="106">
        <f t="shared" ref="X17" si="9">W17</f>
        <v>0</v>
      </c>
      <c r="Y17" s="106">
        <f>G17+I17+M17+O17+Q17+S17+U17+W17</f>
        <v>0</v>
      </c>
      <c r="Z17" s="124">
        <f>H17+J17+N17+P17+R17+T17+V17+X17</f>
        <v>0</v>
      </c>
    </row>
    <row r="18" spans="1:26">
      <c r="A18" s="129"/>
      <c r="B18" s="71"/>
      <c r="C18" s="71" t="s">
        <v>130</v>
      </c>
      <c r="D18" s="71" t="s">
        <v>14</v>
      </c>
      <c r="E18" s="71" t="s">
        <v>0</v>
      </c>
      <c r="F18" s="73" t="s">
        <v>50</v>
      </c>
      <c r="G18" s="107"/>
      <c r="H18" s="106">
        <f t="shared" si="2"/>
        <v>0</v>
      </c>
      <c r="I18" s="107"/>
      <c r="J18" s="106">
        <f t="shared" si="2"/>
        <v>0</v>
      </c>
      <c r="K18" s="107"/>
      <c r="L18" s="106">
        <f t="shared" si="3"/>
        <v>0</v>
      </c>
      <c r="M18" s="107"/>
      <c r="N18" s="106">
        <f t="shared" ref="N18" si="10">M18</f>
        <v>0</v>
      </c>
      <c r="O18" s="107"/>
      <c r="P18" s="106">
        <f t="shared" ref="P18" si="11">O18</f>
        <v>0</v>
      </c>
      <c r="Q18" s="163"/>
      <c r="R18" s="106">
        <f t="shared" si="6"/>
        <v>0</v>
      </c>
      <c r="S18" s="107"/>
      <c r="T18" s="106">
        <f t="shared" ref="T18" si="12">S18</f>
        <v>0</v>
      </c>
      <c r="U18" s="107"/>
      <c r="V18" s="106">
        <f t="shared" ref="V18" si="13">U18</f>
        <v>0</v>
      </c>
      <c r="W18" s="107"/>
      <c r="X18" s="106">
        <f t="shared" ref="X18" si="14">W18</f>
        <v>0</v>
      </c>
      <c r="Y18" s="106">
        <f>G18+I18+M18+O18+Q18+S18+U18+W18</f>
        <v>0</v>
      </c>
      <c r="Z18" s="124">
        <f>H18+J18+N18+P18+R18+T18+V18+X18</f>
        <v>0</v>
      </c>
    </row>
    <row r="19" spans="1:26">
      <c r="A19" s="129"/>
      <c r="B19" s="71"/>
      <c r="C19" s="71"/>
      <c r="D19" s="71"/>
      <c r="E19" s="71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125"/>
    </row>
    <row r="20" spans="1:26" ht="22.5" customHeight="1" thickBot="1">
      <c r="A20" s="130"/>
      <c r="B20" s="117"/>
      <c r="C20" s="117"/>
      <c r="D20" s="117"/>
      <c r="E20" s="117"/>
      <c r="F20" s="118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26"/>
    </row>
    <row r="21" spans="1:26">
      <c r="A21" s="56"/>
    </row>
    <row r="22" spans="1:26" ht="22.5" customHeight="1" thickBot="1">
      <c r="A22" s="56"/>
    </row>
    <row r="23" spans="1:26" ht="15.75" thickBot="1">
      <c r="A23" s="66" t="s">
        <v>71</v>
      </c>
      <c r="B23" s="83" t="s">
        <v>0</v>
      </c>
      <c r="C23" s="58"/>
      <c r="D23" s="58"/>
      <c r="E23" s="58"/>
      <c r="F23" s="84"/>
      <c r="G23" s="171" t="s">
        <v>49</v>
      </c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3"/>
    </row>
    <row r="24" spans="1:26" ht="15.75" hidden="1" thickBot="1">
      <c r="A24" s="66" t="s">
        <v>36</v>
      </c>
      <c r="B24" s="60"/>
      <c r="C24" s="60"/>
      <c r="D24" s="60" t="s">
        <v>162</v>
      </c>
      <c r="E24" s="67" t="s">
        <v>163</v>
      </c>
      <c r="F24" s="60"/>
      <c r="G24" s="81" t="s">
        <v>166</v>
      </c>
      <c r="H24" s="81" t="s">
        <v>166</v>
      </c>
      <c r="I24" s="81" t="s">
        <v>166</v>
      </c>
      <c r="J24" s="81" t="s">
        <v>166</v>
      </c>
      <c r="K24" s="81" t="s">
        <v>166</v>
      </c>
      <c r="L24" s="81" t="s">
        <v>166</v>
      </c>
      <c r="M24" s="81" t="s">
        <v>166</v>
      </c>
      <c r="N24" s="81" t="s">
        <v>166</v>
      </c>
      <c r="O24" s="81" t="s">
        <v>166</v>
      </c>
      <c r="P24" s="81" t="s">
        <v>166</v>
      </c>
      <c r="Q24" s="81" t="s">
        <v>166</v>
      </c>
      <c r="R24" s="81" t="s">
        <v>166</v>
      </c>
      <c r="S24" s="81" t="s">
        <v>166</v>
      </c>
      <c r="T24" s="81" t="s">
        <v>166</v>
      </c>
      <c r="U24" s="81" t="s">
        <v>166</v>
      </c>
      <c r="V24" s="81" t="s">
        <v>166</v>
      </c>
      <c r="W24" s="81" t="s">
        <v>166</v>
      </c>
      <c r="X24" s="81" t="s">
        <v>166</v>
      </c>
      <c r="Y24" s="81" t="s">
        <v>166</v>
      </c>
      <c r="Z24" s="81" t="s">
        <v>166</v>
      </c>
    </row>
    <row r="25" spans="1:26" ht="77.25" customHeight="1" thickBot="1">
      <c r="B25" s="82"/>
      <c r="C25" s="60"/>
      <c r="D25" s="60"/>
      <c r="E25" s="60"/>
      <c r="F25" s="79"/>
      <c r="G25" s="165" t="s">
        <v>40</v>
      </c>
      <c r="H25" s="167"/>
      <c r="I25" s="165" t="s">
        <v>41</v>
      </c>
      <c r="J25" s="167"/>
      <c r="K25" s="165" t="s">
        <v>173</v>
      </c>
      <c r="L25" s="167"/>
      <c r="M25" s="165" t="s">
        <v>44</v>
      </c>
      <c r="N25" s="167"/>
      <c r="O25" s="165" t="s">
        <v>45</v>
      </c>
      <c r="P25" s="167"/>
      <c r="Q25" s="165" t="s">
        <v>42</v>
      </c>
      <c r="R25" s="167"/>
      <c r="S25" s="165" t="s">
        <v>46</v>
      </c>
      <c r="T25" s="167"/>
      <c r="U25" s="165" t="s">
        <v>43</v>
      </c>
      <c r="V25" s="167"/>
      <c r="W25" s="165" t="s">
        <v>47</v>
      </c>
      <c r="X25" s="167"/>
      <c r="Y25" s="165" t="s">
        <v>48</v>
      </c>
      <c r="Z25" s="166"/>
    </row>
    <row r="26" spans="1:26" ht="15.75" hidden="1" customHeight="1" thickBot="1">
      <c r="A26" s="59" t="s">
        <v>36</v>
      </c>
      <c r="B26" s="60"/>
      <c r="C26" s="60"/>
      <c r="D26" s="60" t="s">
        <v>162</v>
      </c>
      <c r="E26" s="61" t="s">
        <v>164</v>
      </c>
      <c r="F26" s="61"/>
      <c r="G26" s="62" t="str">
        <f>H26</f>
        <v>full_ifrs-cor_2015-03-11.xsd#ifrs-full_PropertyPlantAndEquipmentMember</v>
      </c>
      <c r="H26" s="77" t="s">
        <v>113</v>
      </c>
      <c r="I26" s="62" t="s">
        <v>114</v>
      </c>
      <c r="J26" s="77" t="s">
        <v>114</v>
      </c>
      <c r="K26" s="156" t="s">
        <v>174</v>
      </c>
      <c r="L26" s="157" t="s">
        <v>174</v>
      </c>
      <c r="M26" s="62" t="s">
        <v>115</v>
      </c>
      <c r="N26" s="77" t="s">
        <v>115</v>
      </c>
      <c r="O26" s="62" t="s">
        <v>172</v>
      </c>
      <c r="P26" s="77" t="s">
        <v>172</v>
      </c>
      <c r="Q26" s="62" t="s">
        <v>116</v>
      </c>
      <c r="R26" s="77" t="s">
        <v>116</v>
      </c>
      <c r="S26" s="62" t="s">
        <v>117</v>
      </c>
      <c r="T26" s="77" t="s">
        <v>117</v>
      </c>
      <c r="U26" s="62" t="s">
        <v>118</v>
      </c>
      <c r="V26" s="77" t="s">
        <v>118</v>
      </c>
      <c r="W26" s="62" t="s">
        <v>119</v>
      </c>
      <c r="X26" s="77" t="s">
        <v>119</v>
      </c>
      <c r="Y26" s="62" t="s">
        <v>120</v>
      </c>
      <c r="Z26" s="78" t="s">
        <v>120</v>
      </c>
    </row>
    <row r="27" spans="1:26" ht="120.75" thickBot="1">
      <c r="B27" s="63"/>
      <c r="C27" s="64"/>
      <c r="D27" s="64"/>
      <c r="E27" s="64"/>
      <c r="F27" s="85" t="s">
        <v>37</v>
      </c>
      <c r="G27" s="65" t="s">
        <v>39</v>
      </c>
      <c r="H27" s="65" t="s">
        <v>34</v>
      </c>
      <c r="I27" s="65" t="s">
        <v>39</v>
      </c>
      <c r="J27" s="65" t="s">
        <v>34</v>
      </c>
      <c r="K27" s="65" t="s">
        <v>39</v>
      </c>
      <c r="L27" s="65" t="s">
        <v>34</v>
      </c>
      <c r="M27" s="65" t="s">
        <v>39</v>
      </c>
      <c r="N27" s="65" t="s">
        <v>34</v>
      </c>
      <c r="O27" s="65" t="s">
        <v>39</v>
      </c>
      <c r="P27" s="65" t="s">
        <v>34</v>
      </c>
      <c r="Q27" s="65" t="s">
        <v>39</v>
      </c>
      <c r="R27" s="65" t="s">
        <v>34</v>
      </c>
      <c r="S27" s="65" t="s">
        <v>39</v>
      </c>
      <c r="T27" s="65" t="s">
        <v>34</v>
      </c>
      <c r="U27" s="65" t="s">
        <v>39</v>
      </c>
      <c r="V27" s="65" t="s">
        <v>34</v>
      </c>
      <c r="W27" s="65" t="s">
        <v>39</v>
      </c>
      <c r="X27" s="65" t="s">
        <v>34</v>
      </c>
      <c r="Y27" s="65" t="s">
        <v>39</v>
      </c>
      <c r="Z27" s="65" t="s">
        <v>34</v>
      </c>
    </row>
    <row r="28" spans="1:26" ht="15.75" hidden="1" thickBot="1">
      <c r="A28" s="66" t="s">
        <v>36</v>
      </c>
      <c r="B28" s="67"/>
      <c r="C28" s="67"/>
      <c r="D28" s="67"/>
      <c r="E28" s="67" t="s">
        <v>165</v>
      </c>
      <c r="F28" s="67"/>
      <c r="G28" s="80" t="s">
        <v>127</v>
      </c>
      <c r="H28" s="80" t="s">
        <v>128</v>
      </c>
      <c r="I28" s="80" t="s">
        <v>127</v>
      </c>
      <c r="J28" s="80" t="s">
        <v>128</v>
      </c>
      <c r="K28" s="80" t="s">
        <v>127</v>
      </c>
      <c r="L28" s="80" t="s">
        <v>128</v>
      </c>
      <c r="M28" s="80" t="s">
        <v>127</v>
      </c>
      <c r="N28" s="80" t="s">
        <v>128</v>
      </c>
      <c r="O28" s="80" t="s">
        <v>127</v>
      </c>
      <c r="P28" s="80" t="s">
        <v>128</v>
      </c>
      <c r="Q28" s="80" t="s">
        <v>127</v>
      </c>
      <c r="R28" s="80" t="s">
        <v>128</v>
      </c>
      <c r="S28" s="80" t="s">
        <v>127</v>
      </c>
      <c r="T28" s="80" t="s">
        <v>128</v>
      </c>
      <c r="U28" s="80" t="s">
        <v>127</v>
      </c>
      <c r="V28" s="80" t="s">
        <v>128</v>
      </c>
      <c r="W28" s="80" t="s">
        <v>127</v>
      </c>
      <c r="X28" s="80" t="s">
        <v>128</v>
      </c>
      <c r="Y28" s="80" t="s">
        <v>127</v>
      </c>
      <c r="Z28" s="80" t="s">
        <v>128</v>
      </c>
    </row>
    <row r="29" spans="1:26" ht="22.5" customHeight="1">
      <c r="B29" s="68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</row>
    <row r="30" spans="1:26" ht="22.5" customHeight="1">
      <c r="B30" s="68"/>
      <c r="C30" s="67"/>
      <c r="D30" s="67"/>
      <c r="E30" s="67"/>
      <c r="F30" s="69" t="s">
        <v>11</v>
      </c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</row>
    <row r="31" spans="1:26">
      <c r="A31" s="55"/>
      <c r="B31" s="70"/>
      <c r="C31" s="71"/>
      <c r="D31" s="71"/>
      <c r="E31" s="71"/>
      <c r="F31" s="72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>
      <c r="A32" s="55"/>
      <c r="B32" s="70"/>
      <c r="C32" s="71" t="s">
        <v>129</v>
      </c>
      <c r="D32" s="71" t="s">
        <v>13</v>
      </c>
      <c r="E32" s="71" t="s">
        <v>0</v>
      </c>
      <c r="F32" s="73" t="s">
        <v>51</v>
      </c>
      <c r="G32" s="107"/>
      <c r="H32" s="106">
        <f>G32</f>
        <v>0</v>
      </c>
      <c r="I32" s="107"/>
      <c r="J32" s="106">
        <f>I32</f>
        <v>0</v>
      </c>
      <c r="K32" s="107"/>
      <c r="L32" s="106">
        <f>K32</f>
        <v>0</v>
      </c>
      <c r="M32" s="107"/>
      <c r="N32" s="106">
        <f>M32</f>
        <v>0</v>
      </c>
      <c r="O32" s="107"/>
      <c r="P32" s="106">
        <f>O32</f>
        <v>0</v>
      </c>
      <c r="Q32" s="107"/>
      <c r="R32" s="106">
        <f>Q32</f>
        <v>0</v>
      </c>
      <c r="S32" s="107"/>
      <c r="T32" s="106">
        <f>S32</f>
        <v>0</v>
      </c>
      <c r="U32" s="107"/>
      <c r="V32" s="106">
        <f>U32</f>
        <v>0</v>
      </c>
      <c r="W32" s="107"/>
      <c r="X32" s="106">
        <f>W32</f>
        <v>0</v>
      </c>
      <c r="Y32" s="106">
        <f>G32+I32+M32+O32+Q32+S32+U32+W32</f>
        <v>0</v>
      </c>
      <c r="Z32" s="124">
        <f>H32+J32+N32+P32+R32+T32+V32+X32</f>
        <v>0</v>
      </c>
    </row>
    <row r="33" spans="1:26">
      <c r="A33" s="55"/>
      <c r="B33" s="70"/>
      <c r="C33" s="71" t="s">
        <v>130</v>
      </c>
      <c r="D33" s="71" t="s">
        <v>13</v>
      </c>
      <c r="E33" s="71" t="s">
        <v>0</v>
      </c>
      <c r="F33" s="73" t="s">
        <v>50</v>
      </c>
      <c r="G33" s="107"/>
      <c r="H33" s="106">
        <f>G33</f>
        <v>0</v>
      </c>
      <c r="I33" s="107"/>
      <c r="J33" s="106">
        <f>I33</f>
        <v>0</v>
      </c>
      <c r="K33" s="107"/>
      <c r="L33" s="106">
        <f>K33</f>
        <v>0</v>
      </c>
      <c r="M33" s="107"/>
      <c r="N33" s="106">
        <f>M33</f>
        <v>0</v>
      </c>
      <c r="O33" s="107"/>
      <c r="P33" s="106">
        <f>O33</f>
        <v>0</v>
      </c>
      <c r="Q33" s="163"/>
      <c r="R33" s="106">
        <f>Q33</f>
        <v>0</v>
      </c>
      <c r="S33" s="107"/>
      <c r="T33" s="106">
        <f>S33</f>
        <v>0</v>
      </c>
      <c r="U33" s="107"/>
      <c r="V33" s="106">
        <f>U33</f>
        <v>0</v>
      </c>
      <c r="W33" s="107"/>
      <c r="X33" s="106">
        <f>W33</f>
        <v>0</v>
      </c>
      <c r="Y33" s="106">
        <f>G33+I33+M33+O33+Q33+S33+U33+W33</f>
        <v>0</v>
      </c>
      <c r="Z33" s="124">
        <f>H33+J33+N33+P33+R33+T33+V33+X33</f>
        <v>0</v>
      </c>
    </row>
    <row r="34" spans="1:26" ht="22.5" customHeight="1">
      <c r="B34" s="68"/>
      <c r="C34" s="67"/>
      <c r="D34" s="67"/>
      <c r="E34" s="67"/>
      <c r="F34" s="69" t="s">
        <v>12</v>
      </c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122"/>
    </row>
    <row r="35" spans="1:26">
      <c r="A35" s="55"/>
      <c r="B35" s="70"/>
      <c r="C35" s="71"/>
      <c r="D35" s="71"/>
      <c r="E35" s="71"/>
      <c r="F35" s="72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123"/>
    </row>
    <row r="36" spans="1:26">
      <c r="A36" s="55"/>
      <c r="B36" s="70"/>
      <c r="C36" s="71" t="s">
        <v>129</v>
      </c>
      <c r="D36" s="71" t="s">
        <v>14</v>
      </c>
      <c r="E36" s="71" t="s">
        <v>0</v>
      </c>
      <c r="F36" s="73" t="s">
        <v>51</v>
      </c>
      <c r="G36" s="107"/>
      <c r="H36" s="106">
        <f t="shared" ref="H36:H37" si="15">G36</f>
        <v>0</v>
      </c>
      <c r="I36" s="107"/>
      <c r="J36" s="106">
        <f t="shared" ref="J36:J37" si="16">I36</f>
        <v>0</v>
      </c>
      <c r="K36" s="107"/>
      <c r="L36" s="106">
        <f t="shared" ref="L36:L37" si="17">K36</f>
        <v>0</v>
      </c>
      <c r="M36" s="107"/>
      <c r="N36" s="106">
        <f t="shared" ref="N36:N37" si="18">M36</f>
        <v>0</v>
      </c>
      <c r="O36" s="107"/>
      <c r="P36" s="106">
        <f t="shared" ref="P36:P37" si="19">O36</f>
        <v>0</v>
      </c>
      <c r="Q36" s="163"/>
      <c r="R36" s="106">
        <f t="shared" ref="R36:R37" si="20">Q36</f>
        <v>0</v>
      </c>
      <c r="S36" s="107"/>
      <c r="T36" s="106">
        <f t="shared" ref="T36:T37" si="21">S36</f>
        <v>0</v>
      </c>
      <c r="U36" s="107"/>
      <c r="V36" s="106">
        <f t="shared" ref="V36:V37" si="22">U36</f>
        <v>0</v>
      </c>
      <c r="W36" s="107"/>
      <c r="X36" s="106">
        <f t="shared" ref="X36:X37" si="23">W36</f>
        <v>0</v>
      </c>
      <c r="Y36" s="106">
        <f>G36+I36+M36+O36+Q36+S36+U36+W36</f>
        <v>0</v>
      </c>
      <c r="Z36" s="124">
        <f>H36+J36+N36+P36+R36+T36+V36+X36</f>
        <v>0</v>
      </c>
    </row>
    <row r="37" spans="1:26">
      <c r="A37" s="55"/>
      <c r="B37" s="70"/>
      <c r="C37" s="71" t="s">
        <v>130</v>
      </c>
      <c r="D37" s="71" t="s">
        <v>14</v>
      </c>
      <c r="E37" s="71" t="s">
        <v>0</v>
      </c>
      <c r="F37" s="73" t="s">
        <v>50</v>
      </c>
      <c r="G37" s="107"/>
      <c r="H37" s="106">
        <f t="shared" si="15"/>
        <v>0</v>
      </c>
      <c r="I37" s="107"/>
      <c r="J37" s="106">
        <f t="shared" si="16"/>
        <v>0</v>
      </c>
      <c r="K37" s="107"/>
      <c r="L37" s="106">
        <f t="shared" si="17"/>
        <v>0</v>
      </c>
      <c r="M37" s="107"/>
      <c r="N37" s="106">
        <f t="shared" si="18"/>
        <v>0</v>
      </c>
      <c r="O37" s="107"/>
      <c r="P37" s="106">
        <f t="shared" si="19"/>
        <v>0</v>
      </c>
      <c r="Q37" s="163"/>
      <c r="R37" s="106">
        <f t="shared" si="20"/>
        <v>0</v>
      </c>
      <c r="S37" s="107"/>
      <c r="T37" s="106">
        <f t="shared" si="21"/>
        <v>0</v>
      </c>
      <c r="U37" s="107"/>
      <c r="V37" s="106">
        <f t="shared" si="22"/>
        <v>0</v>
      </c>
      <c r="W37" s="107"/>
      <c r="X37" s="106">
        <f t="shared" si="23"/>
        <v>0</v>
      </c>
      <c r="Y37" s="106">
        <f>G37+I37+M37+O37+Q37+S37+U37+W37</f>
        <v>0</v>
      </c>
      <c r="Z37" s="124">
        <f>H37+J37+N37+P37+R37+T37+V37+X37</f>
        <v>0</v>
      </c>
    </row>
    <row r="38" spans="1:26">
      <c r="A38" s="55"/>
      <c r="B38" s="70"/>
      <c r="C38" s="71"/>
      <c r="D38" s="71"/>
      <c r="E38" s="71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</row>
    <row r="39" spans="1:26" ht="22.5" customHeight="1">
      <c r="A39" s="55"/>
      <c r="B39" s="74"/>
      <c r="C39" s="75"/>
      <c r="D39" s="75"/>
      <c r="E39" s="75"/>
      <c r="F39" s="76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</row>
    <row r="40" spans="1:26" ht="15.75" thickBot="1"/>
    <row r="41" spans="1:26" ht="15.75" thickBot="1">
      <c r="A41" s="66" t="s">
        <v>71</v>
      </c>
      <c r="B41" s="83" t="s">
        <v>0</v>
      </c>
      <c r="C41" s="58"/>
      <c r="D41" s="58"/>
      <c r="E41" s="58"/>
      <c r="F41" s="84"/>
      <c r="G41" s="171" t="s">
        <v>75</v>
      </c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3"/>
    </row>
    <row r="42" spans="1:26" ht="15.75" hidden="1" thickBot="1">
      <c r="A42" s="66" t="s">
        <v>36</v>
      </c>
      <c r="B42" s="60"/>
      <c r="C42" s="60"/>
      <c r="D42" s="60" t="s">
        <v>162</v>
      </c>
      <c r="E42" s="67" t="s">
        <v>163</v>
      </c>
      <c r="F42" s="60"/>
      <c r="G42" s="80" t="s">
        <v>167</v>
      </c>
      <c r="H42" s="80" t="s">
        <v>167</v>
      </c>
      <c r="I42" s="80" t="s">
        <v>167</v>
      </c>
      <c r="J42" s="80" t="s">
        <v>167</v>
      </c>
      <c r="K42" s="80" t="s">
        <v>167</v>
      </c>
      <c r="L42" s="80" t="s">
        <v>167</v>
      </c>
      <c r="M42" s="80" t="s">
        <v>167</v>
      </c>
      <c r="N42" s="80" t="s">
        <v>167</v>
      </c>
      <c r="O42" s="80" t="s">
        <v>167</v>
      </c>
      <c r="P42" s="80" t="s">
        <v>167</v>
      </c>
      <c r="Q42" s="80" t="s">
        <v>167</v>
      </c>
      <c r="R42" s="80" t="s">
        <v>167</v>
      </c>
      <c r="S42" s="80" t="s">
        <v>167</v>
      </c>
      <c r="T42" s="80" t="s">
        <v>167</v>
      </c>
      <c r="U42" s="80" t="s">
        <v>167</v>
      </c>
      <c r="V42" s="80" t="s">
        <v>167</v>
      </c>
      <c r="W42" s="80" t="s">
        <v>167</v>
      </c>
      <c r="X42" s="80" t="s">
        <v>167</v>
      </c>
      <c r="Y42" s="80" t="s">
        <v>167</v>
      </c>
      <c r="Z42" s="80" t="s">
        <v>167</v>
      </c>
    </row>
    <row r="43" spans="1:26" ht="77.25" customHeight="1" thickBot="1">
      <c r="B43" s="82"/>
      <c r="C43" s="60"/>
      <c r="D43" s="60"/>
      <c r="E43" s="60"/>
      <c r="F43" s="79"/>
      <c r="G43" s="165" t="s">
        <v>40</v>
      </c>
      <c r="H43" s="167"/>
      <c r="I43" s="165" t="s">
        <v>41</v>
      </c>
      <c r="J43" s="167"/>
      <c r="K43" s="165" t="s">
        <v>173</v>
      </c>
      <c r="L43" s="167"/>
      <c r="M43" s="165" t="s">
        <v>44</v>
      </c>
      <c r="N43" s="167"/>
      <c r="O43" s="165" t="s">
        <v>45</v>
      </c>
      <c r="P43" s="167"/>
      <c r="Q43" s="165" t="s">
        <v>42</v>
      </c>
      <c r="R43" s="167"/>
      <c r="S43" s="165" t="s">
        <v>46</v>
      </c>
      <c r="T43" s="167"/>
      <c r="U43" s="165" t="s">
        <v>43</v>
      </c>
      <c r="V43" s="167"/>
      <c r="W43" s="165" t="s">
        <v>47</v>
      </c>
      <c r="X43" s="167"/>
      <c r="Y43" s="165" t="s">
        <v>48</v>
      </c>
      <c r="Z43" s="166"/>
    </row>
    <row r="44" spans="1:26" ht="15.75" hidden="1" thickBot="1">
      <c r="A44" s="59" t="s">
        <v>36</v>
      </c>
      <c r="B44" s="60"/>
      <c r="C44" s="60"/>
      <c r="D44" s="60"/>
      <c r="E44" s="61" t="s">
        <v>164</v>
      </c>
      <c r="F44" s="61"/>
      <c r="G44" s="62" t="str">
        <f>H44</f>
        <v>full_ifrs-cor_2015-03-11.xsd#ifrs-full_PropertyPlantAndEquipmentMember</v>
      </c>
      <c r="H44" s="77" t="s">
        <v>113</v>
      </c>
      <c r="I44" s="62" t="s">
        <v>114</v>
      </c>
      <c r="J44" s="77" t="s">
        <v>114</v>
      </c>
      <c r="K44" s="156" t="s">
        <v>174</v>
      </c>
      <c r="L44" s="157" t="s">
        <v>174</v>
      </c>
      <c r="M44" s="62" t="s">
        <v>115</v>
      </c>
      <c r="N44" s="77" t="s">
        <v>115</v>
      </c>
      <c r="O44" s="62" t="s">
        <v>172</v>
      </c>
      <c r="P44" s="77" t="s">
        <v>172</v>
      </c>
      <c r="Q44" s="62" t="s">
        <v>116</v>
      </c>
      <c r="R44" s="77" t="s">
        <v>116</v>
      </c>
      <c r="S44" s="62" t="s">
        <v>117</v>
      </c>
      <c r="T44" s="77" t="s">
        <v>117</v>
      </c>
      <c r="U44" s="62" t="s">
        <v>118</v>
      </c>
      <c r="V44" s="77" t="s">
        <v>118</v>
      </c>
      <c r="W44" s="62" t="s">
        <v>119</v>
      </c>
      <c r="X44" s="77" t="s">
        <v>119</v>
      </c>
      <c r="Y44" s="62" t="s">
        <v>120</v>
      </c>
      <c r="Z44" s="78" t="s">
        <v>120</v>
      </c>
    </row>
    <row r="45" spans="1:26" ht="120.75" thickBot="1">
      <c r="B45" s="63"/>
      <c r="C45" s="64"/>
      <c r="D45" s="64"/>
      <c r="E45" s="64"/>
      <c r="F45" s="85" t="s">
        <v>37</v>
      </c>
      <c r="G45" s="65" t="s">
        <v>39</v>
      </c>
      <c r="H45" s="65" t="s">
        <v>34</v>
      </c>
      <c r="I45" s="65" t="s">
        <v>39</v>
      </c>
      <c r="J45" s="65" t="s">
        <v>34</v>
      </c>
      <c r="K45" s="65" t="s">
        <v>39</v>
      </c>
      <c r="L45" s="65" t="s">
        <v>34</v>
      </c>
      <c r="M45" s="65" t="s">
        <v>39</v>
      </c>
      <c r="N45" s="65" t="s">
        <v>34</v>
      </c>
      <c r="O45" s="65" t="s">
        <v>39</v>
      </c>
      <c r="P45" s="65" t="s">
        <v>34</v>
      </c>
      <c r="Q45" s="65" t="s">
        <v>39</v>
      </c>
      <c r="R45" s="65" t="s">
        <v>34</v>
      </c>
      <c r="S45" s="65" t="s">
        <v>39</v>
      </c>
      <c r="T45" s="65" t="s">
        <v>34</v>
      </c>
      <c r="U45" s="65" t="s">
        <v>39</v>
      </c>
      <c r="V45" s="65" t="s">
        <v>34</v>
      </c>
      <c r="W45" s="65" t="s">
        <v>39</v>
      </c>
      <c r="X45" s="65" t="s">
        <v>34</v>
      </c>
      <c r="Y45" s="65" t="s">
        <v>39</v>
      </c>
      <c r="Z45" s="65" t="s">
        <v>34</v>
      </c>
    </row>
    <row r="46" spans="1:26" ht="15.75" hidden="1" thickBot="1">
      <c r="A46" s="66" t="s">
        <v>36</v>
      </c>
      <c r="B46" s="67"/>
      <c r="C46" s="67"/>
      <c r="D46" s="67"/>
      <c r="E46" s="67" t="s">
        <v>165</v>
      </c>
      <c r="F46" s="67"/>
      <c r="G46" s="80" t="s">
        <v>127</v>
      </c>
      <c r="H46" s="80" t="s">
        <v>128</v>
      </c>
      <c r="I46" s="80" t="s">
        <v>127</v>
      </c>
      <c r="J46" s="80" t="s">
        <v>128</v>
      </c>
      <c r="K46" s="80" t="s">
        <v>127</v>
      </c>
      <c r="L46" s="80" t="s">
        <v>128</v>
      </c>
      <c r="M46" s="80" t="s">
        <v>127</v>
      </c>
      <c r="N46" s="80" t="s">
        <v>128</v>
      </c>
      <c r="O46" s="80" t="s">
        <v>127</v>
      </c>
      <c r="P46" s="80" t="s">
        <v>128</v>
      </c>
      <c r="Q46" s="80" t="s">
        <v>127</v>
      </c>
      <c r="R46" s="80" t="s">
        <v>128</v>
      </c>
      <c r="S46" s="80" t="s">
        <v>127</v>
      </c>
      <c r="T46" s="80" t="s">
        <v>128</v>
      </c>
      <c r="U46" s="80" t="s">
        <v>127</v>
      </c>
      <c r="V46" s="80" t="s">
        <v>128</v>
      </c>
      <c r="W46" s="80" t="s">
        <v>127</v>
      </c>
      <c r="X46" s="80" t="s">
        <v>128</v>
      </c>
      <c r="Y46" s="80" t="s">
        <v>127</v>
      </c>
      <c r="Z46" s="80" t="s">
        <v>128</v>
      </c>
    </row>
    <row r="47" spans="1:26" ht="22.5" customHeight="1">
      <c r="B47" s="68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</row>
    <row r="48" spans="1:26" ht="22.5" customHeight="1">
      <c r="B48" s="68"/>
      <c r="C48" s="67"/>
      <c r="D48" s="67"/>
      <c r="E48" s="67"/>
      <c r="F48" s="69" t="s">
        <v>11</v>
      </c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</row>
    <row r="49" spans="1:26">
      <c r="A49" s="55"/>
      <c r="B49" s="70"/>
      <c r="C49" s="71"/>
      <c r="D49" s="71"/>
      <c r="E49" s="71"/>
      <c r="F49" s="72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>
      <c r="A50" s="55"/>
      <c r="B50" s="70"/>
      <c r="C50" s="71" t="s">
        <v>129</v>
      </c>
      <c r="D50" s="71" t="s">
        <v>13</v>
      </c>
      <c r="E50" s="71" t="s">
        <v>0</v>
      </c>
      <c r="F50" s="73" t="s">
        <v>51</v>
      </c>
      <c r="G50" s="107"/>
      <c r="H50" s="106">
        <f>G50</f>
        <v>0</v>
      </c>
      <c r="I50" s="107"/>
      <c r="J50" s="106">
        <f>I50</f>
        <v>0</v>
      </c>
      <c r="K50" s="107"/>
      <c r="L50" s="106">
        <f>K50</f>
        <v>0</v>
      </c>
      <c r="M50" s="107"/>
      <c r="N50" s="106">
        <f>M50</f>
        <v>0</v>
      </c>
      <c r="O50" s="107"/>
      <c r="P50" s="106">
        <f>O50</f>
        <v>0</v>
      </c>
      <c r="Q50" s="107"/>
      <c r="R50" s="106">
        <f>Q50</f>
        <v>0</v>
      </c>
      <c r="S50" s="107"/>
      <c r="T50" s="106">
        <f>S50</f>
        <v>0</v>
      </c>
      <c r="U50" s="107"/>
      <c r="V50" s="106">
        <f>U50</f>
        <v>0</v>
      </c>
      <c r="W50" s="107"/>
      <c r="X50" s="106">
        <f>W50</f>
        <v>0</v>
      </c>
      <c r="Y50" s="106">
        <f>G50+I50+M50+O50+Q50+S50+U50+W50</f>
        <v>0</v>
      </c>
      <c r="Z50" s="124">
        <f>H50+J50+N50+P50+R50+T50+V50+X50</f>
        <v>0</v>
      </c>
    </row>
    <row r="51" spans="1:26">
      <c r="A51" s="55"/>
      <c r="B51" s="70"/>
      <c r="C51" s="71" t="s">
        <v>130</v>
      </c>
      <c r="D51" s="71" t="s">
        <v>13</v>
      </c>
      <c r="E51" s="71" t="s">
        <v>0</v>
      </c>
      <c r="F51" s="73" t="s">
        <v>50</v>
      </c>
      <c r="G51" s="107"/>
      <c r="H51" s="106">
        <f>G51</f>
        <v>0</v>
      </c>
      <c r="I51" s="107"/>
      <c r="J51" s="106">
        <f>I51</f>
        <v>0</v>
      </c>
      <c r="K51" s="107"/>
      <c r="L51" s="106">
        <f>K51</f>
        <v>0</v>
      </c>
      <c r="M51" s="107"/>
      <c r="N51" s="106">
        <f>M51</f>
        <v>0</v>
      </c>
      <c r="O51" s="107"/>
      <c r="P51" s="106">
        <f>O51</f>
        <v>0</v>
      </c>
      <c r="Q51" s="163"/>
      <c r="R51" s="106">
        <f>Q51</f>
        <v>0</v>
      </c>
      <c r="S51" s="107"/>
      <c r="T51" s="106">
        <f>S51</f>
        <v>0</v>
      </c>
      <c r="U51" s="107"/>
      <c r="V51" s="106">
        <f>U51</f>
        <v>0</v>
      </c>
      <c r="W51" s="107"/>
      <c r="X51" s="106">
        <f>W51</f>
        <v>0</v>
      </c>
      <c r="Y51" s="106">
        <f>G51+I51+M51+O51+Q51+S51+U51+W51</f>
        <v>0</v>
      </c>
      <c r="Z51" s="124">
        <f>H51+J51+N51+P51+R51+T51+V51+X51</f>
        <v>0</v>
      </c>
    </row>
    <row r="52" spans="1:26" ht="22.5" customHeight="1">
      <c r="B52" s="68"/>
      <c r="C52" s="67"/>
      <c r="D52" s="67"/>
      <c r="E52" s="67"/>
      <c r="F52" s="69" t="s">
        <v>12</v>
      </c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122"/>
    </row>
    <row r="53" spans="1:26">
      <c r="A53" s="55"/>
      <c r="B53" s="70"/>
      <c r="C53" s="71"/>
      <c r="D53" s="71"/>
      <c r="E53" s="71"/>
      <c r="F53" s="72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123"/>
    </row>
    <row r="54" spans="1:26">
      <c r="A54" s="55"/>
      <c r="B54" s="70"/>
      <c r="C54" s="71" t="s">
        <v>129</v>
      </c>
      <c r="D54" s="71" t="s">
        <v>14</v>
      </c>
      <c r="E54" s="71" t="s">
        <v>0</v>
      </c>
      <c r="F54" s="73" t="s">
        <v>51</v>
      </c>
      <c r="G54" s="107"/>
      <c r="H54" s="106">
        <f t="shared" ref="H54:H55" si="24">G54</f>
        <v>0</v>
      </c>
      <c r="I54" s="107"/>
      <c r="J54" s="106">
        <f t="shared" ref="J54:J55" si="25">I54</f>
        <v>0</v>
      </c>
      <c r="K54" s="107"/>
      <c r="L54" s="106">
        <f t="shared" ref="L54:L55" si="26">K54</f>
        <v>0</v>
      </c>
      <c r="M54" s="107"/>
      <c r="N54" s="106">
        <f t="shared" ref="N54:N55" si="27">M54</f>
        <v>0</v>
      </c>
      <c r="O54" s="107"/>
      <c r="P54" s="106">
        <f t="shared" ref="P54:P55" si="28">O54</f>
        <v>0</v>
      </c>
      <c r="Q54" s="163"/>
      <c r="R54" s="106">
        <f t="shared" ref="R54:R55" si="29">Q54</f>
        <v>0</v>
      </c>
      <c r="S54" s="107"/>
      <c r="T54" s="106">
        <f t="shared" ref="T54:T55" si="30">S54</f>
        <v>0</v>
      </c>
      <c r="U54" s="107"/>
      <c r="V54" s="106">
        <f t="shared" ref="V54:V55" si="31">U54</f>
        <v>0</v>
      </c>
      <c r="W54" s="107"/>
      <c r="X54" s="106">
        <f t="shared" ref="X54:X55" si="32">W54</f>
        <v>0</v>
      </c>
      <c r="Y54" s="106">
        <f>G54+I54+M54+O54+Q54+S54+U54+W54</f>
        <v>0</v>
      </c>
      <c r="Z54" s="124">
        <f>H54+J54+N54+P54+R54+T54+V54+X54</f>
        <v>0</v>
      </c>
    </row>
    <row r="55" spans="1:26">
      <c r="A55" s="55"/>
      <c r="B55" s="70"/>
      <c r="C55" s="71" t="s">
        <v>130</v>
      </c>
      <c r="D55" s="71" t="s">
        <v>14</v>
      </c>
      <c r="E55" s="71" t="s">
        <v>0</v>
      </c>
      <c r="F55" s="73" t="s">
        <v>50</v>
      </c>
      <c r="G55" s="107"/>
      <c r="H55" s="106">
        <f t="shared" si="24"/>
        <v>0</v>
      </c>
      <c r="I55" s="107"/>
      <c r="J55" s="106">
        <f t="shared" si="25"/>
        <v>0</v>
      </c>
      <c r="K55" s="107"/>
      <c r="L55" s="106">
        <f t="shared" si="26"/>
        <v>0</v>
      </c>
      <c r="M55" s="107"/>
      <c r="N55" s="106">
        <f t="shared" si="27"/>
        <v>0</v>
      </c>
      <c r="O55" s="107"/>
      <c r="P55" s="106">
        <f t="shared" si="28"/>
        <v>0</v>
      </c>
      <c r="Q55" s="163"/>
      <c r="R55" s="106">
        <f t="shared" si="29"/>
        <v>0</v>
      </c>
      <c r="S55" s="107"/>
      <c r="T55" s="106">
        <f t="shared" si="30"/>
        <v>0</v>
      </c>
      <c r="U55" s="107"/>
      <c r="V55" s="106">
        <f t="shared" si="31"/>
        <v>0</v>
      </c>
      <c r="W55" s="107"/>
      <c r="X55" s="106">
        <f t="shared" si="32"/>
        <v>0</v>
      </c>
      <c r="Y55" s="106">
        <f>G55+I55+M55+O55+Q55+S55+U55+W55</f>
        <v>0</v>
      </c>
      <c r="Z55" s="124">
        <f>H55+J55+N55+P55+R55+T55+V55+X55</f>
        <v>0</v>
      </c>
    </row>
    <row r="56" spans="1:26">
      <c r="A56" s="55"/>
      <c r="B56" s="70"/>
      <c r="C56" s="71"/>
      <c r="D56" s="71"/>
      <c r="E56" s="71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</row>
    <row r="57" spans="1:26" ht="22.5" customHeight="1">
      <c r="A57" s="55"/>
      <c r="B57" s="74"/>
      <c r="C57" s="75"/>
      <c r="D57" s="75"/>
      <c r="E57" s="75"/>
      <c r="F57" s="76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</row>
  </sheetData>
  <mergeCells count="34">
    <mergeCell ref="G4:Z4"/>
    <mergeCell ref="G6:H6"/>
    <mergeCell ref="I6:J6"/>
    <mergeCell ref="M6:N6"/>
    <mergeCell ref="O6:P6"/>
    <mergeCell ref="Q6:R6"/>
    <mergeCell ref="S6:T6"/>
    <mergeCell ref="U6:V6"/>
    <mergeCell ref="K6:L6"/>
    <mergeCell ref="G41:Z41"/>
    <mergeCell ref="G43:H43"/>
    <mergeCell ref="I43:J43"/>
    <mergeCell ref="M43:N43"/>
    <mergeCell ref="O43:P43"/>
    <mergeCell ref="Q43:R43"/>
    <mergeCell ref="S43:T43"/>
    <mergeCell ref="U43:V43"/>
    <mergeCell ref="W43:X43"/>
    <mergeCell ref="Y43:Z43"/>
    <mergeCell ref="K43:L43"/>
    <mergeCell ref="Y25:Z25"/>
    <mergeCell ref="G25:H25"/>
    <mergeCell ref="W6:X6"/>
    <mergeCell ref="K25:L25"/>
    <mergeCell ref="B8:F8"/>
    <mergeCell ref="S25:T25"/>
    <mergeCell ref="U25:V25"/>
    <mergeCell ref="W25:X25"/>
    <mergeCell ref="Y6:Z6"/>
    <mergeCell ref="G23:Z23"/>
    <mergeCell ref="I25:J25"/>
    <mergeCell ref="M25:N25"/>
    <mergeCell ref="O25:P25"/>
    <mergeCell ref="Q25:R2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IAS36-Cuadros</vt:lpstr>
      <vt:lpstr>IAS36-PerdDeteValo</vt:lpstr>
      <vt:lpstr>IAS36-PerdDeteSign</vt:lpstr>
      <vt:lpstr>IAS36-UnidGeneEfec</vt:lpstr>
      <vt:lpstr>IAS36-PerDeteReco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González</cp:lastModifiedBy>
  <dcterms:created xsi:type="dcterms:W3CDTF">2013-03-21T17:58:38Z</dcterms:created>
  <dcterms:modified xsi:type="dcterms:W3CDTF">2024-06-19T21:39:26Z</dcterms:modified>
</cp:coreProperties>
</file>