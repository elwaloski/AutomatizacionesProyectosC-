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3\svs-cl-ci-2023-01-02\"/>
    </mc:Choice>
  </mc:AlternateContent>
  <xr:revisionPtr revIDLastSave="0" documentId="13_ncr:1_{35DED468-DF4F-48AD-B3B5-927C387A6B9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AS40-Cuadros" sheetId="1" r:id="rId1"/>
    <sheet name="IAS40-InfoRevePropInve" sheetId="4" r:id="rId2"/>
    <sheet name="Codigo" sheetId="3" state="hidden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56" i="4" l="1"/>
  <c r="BF55" i="4"/>
  <c r="BG54" i="4"/>
  <c r="BV54" i="4" s="1"/>
  <c r="BF54" i="4"/>
  <c r="BU54" i="4" s="1"/>
  <c r="BD54" i="4"/>
  <c r="BC54" i="4"/>
  <c r="BA54" i="4"/>
  <c r="BP54" i="4" s="1"/>
  <c r="AZ54" i="4"/>
  <c r="BG53" i="4"/>
  <c r="BV53" i="4" s="1"/>
  <c r="BF53" i="4"/>
  <c r="BU53" i="4" s="1"/>
  <c r="BD53" i="4"/>
  <c r="BS53" i="4" s="1"/>
  <c r="BC53" i="4"/>
  <c r="BA53" i="4"/>
  <c r="BP53" i="4" s="1"/>
  <c r="AZ53" i="4"/>
  <c r="BH52" i="4"/>
  <c r="BG52" i="4"/>
  <c r="BF52" i="4"/>
  <c r="BU52" i="4" s="1"/>
  <c r="BD52" i="4"/>
  <c r="BC52" i="4"/>
  <c r="BR52" i="4" s="1"/>
  <c r="BA52" i="4"/>
  <c r="AZ52" i="4"/>
  <c r="BO52" i="4" s="1"/>
  <c r="BG51" i="4"/>
  <c r="BV51" i="4" s="1"/>
  <c r="BF51" i="4"/>
  <c r="BD51" i="4"/>
  <c r="BC51" i="4"/>
  <c r="BA51" i="4"/>
  <c r="AZ51" i="4"/>
  <c r="BG50" i="4"/>
  <c r="BF50" i="4"/>
  <c r="BD50" i="4"/>
  <c r="BS50" i="4" s="1"/>
  <c r="BC50" i="4"/>
  <c r="BR50" i="4" s="1"/>
  <c r="BA50" i="4"/>
  <c r="BP50" i="4" s="1"/>
  <c r="AZ50" i="4"/>
  <c r="BG49" i="4"/>
  <c r="BF49" i="4"/>
  <c r="BE49" i="4"/>
  <c r="BD49" i="4"/>
  <c r="BC49" i="4"/>
  <c r="BR49" i="4" s="1"/>
  <c r="BA49" i="4"/>
  <c r="AZ49" i="4"/>
  <c r="BO49" i="4" s="1"/>
  <c r="BG48" i="4"/>
  <c r="BV48" i="4" s="1"/>
  <c r="BF48" i="4"/>
  <c r="BD48" i="4"/>
  <c r="BC48" i="4"/>
  <c r="BA48" i="4"/>
  <c r="BP48" i="4" s="1"/>
  <c r="AZ48" i="4"/>
  <c r="BO48" i="4" s="1"/>
  <c r="BG47" i="4"/>
  <c r="BF47" i="4"/>
  <c r="BU47" i="4" s="1"/>
  <c r="BD47" i="4"/>
  <c r="BC47" i="4"/>
  <c r="BR47" i="4" s="1"/>
  <c r="BA47" i="4"/>
  <c r="BP47" i="4" s="1"/>
  <c r="AZ47" i="4"/>
  <c r="BO47" i="4" s="1"/>
  <c r="BJ46" i="4"/>
  <c r="BG46" i="4"/>
  <c r="BF46" i="4"/>
  <c r="BE46" i="4"/>
  <c r="BD46" i="4"/>
  <c r="BC46" i="4"/>
  <c r="BA46" i="4"/>
  <c r="BP46" i="4" s="1"/>
  <c r="AZ46" i="4"/>
  <c r="BO46" i="4" s="1"/>
  <c r="BI45" i="4"/>
  <c r="BG45" i="4"/>
  <c r="BV45" i="4" s="1"/>
  <c r="BF45" i="4"/>
  <c r="BU45" i="4" s="1"/>
  <c r="BD45" i="4"/>
  <c r="BS45" i="4" s="1"/>
  <c r="BC45" i="4"/>
  <c r="BA45" i="4"/>
  <c r="BP45" i="4" s="1"/>
  <c r="AZ45" i="4"/>
  <c r="BO45" i="4" s="1"/>
  <c r="BH44" i="4"/>
  <c r="BG44" i="4"/>
  <c r="BF44" i="4"/>
  <c r="BU44" i="4" s="1"/>
  <c r="BD44" i="4"/>
  <c r="BS44" i="4" s="1"/>
  <c r="BC44" i="4"/>
  <c r="BR44" i="4" s="1"/>
  <c r="BA44" i="4"/>
  <c r="AZ44" i="4"/>
  <c r="BO44" i="4" s="1"/>
  <c r="BG42" i="4"/>
  <c r="BF42" i="4"/>
  <c r="BD42" i="4"/>
  <c r="BS42" i="4" s="1"/>
  <c r="BC42" i="4"/>
  <c r="BA42" i="4"/>
  <c r="BP42" i="4" s="1"/>
  <c r="AZ42" i="4"/>
  <c r="BH41" i="4"/>
  <c r="BG41" i="4"/>
  <c r="BF41" i="4"/>
  <c r="BD41" i="4"/>
  <c r="BC41" i="4"/>
  <c r="BR41" i="4" s="1"/>
  <c r="BA41" i="4"/>
  <c r="BP41" i="4" s="1"/>
  <c r="AZ41" i="4"/>
  <c r="BO41" i="4" s="1"/>
  <c r="BG38" i="4"/>
  <c r="BV38" i="4" s="1"/>
  <c r="BF38" i="4"/>
  <c r="BD38" i="4"/>
  <c r="BC38" i="4"/>
  <c r="BR38" i="4" s="1"/>
  <c r="BA38" i="4"/>
  <c r="BP38" i="4" s="1"/>
  <c r="AZ38" i="4"/>
  <c r="BO38" i="4" s="1"/>
  <c r="BG32" i="4"/>
  <c r="BV32" i="4" s="1"/>
  <c r="BF32" i="4"/>
  <c r="BD32" i="4"/>
  <c r="BC32" i="4"/>
  <c r="BA32" i="4"/>
  <c r="BP32" i="4" s="1"/>
  <c r="AZ32" i="4"/>
  <c r="BG31" i="4"/>
  <c r="BF31" i="4"/>
  <c r="BD31" i="4"/>
  <c r="BS31" i="4" s="1"/>
  <c r="BC31" i="4"/>
  <c r="BR31" i="4" s="1"/>
  <c r="BA31" i="4"/>
  <c r="AZ31" i="4"/>
  <c r="BJ30" i="4"/>
  <c r="BG30" i="4"/>
  <c r="BV30" i="4" s="1"/>
  <c r="BF30" i="4"/>
  <c r="BD30" i="4"/>
  <c r="BC30" i="4"/>
  <c r="BR30" i="4" s="1"/>
  <c r="BA30" i="4"/>
  <c r="AZ30" i="4"/>
  <c r="BI29" i="4"/>
  <c r="BG29" i="4"/>
  <c r="BF29" i="4"/>
  <c r="BU29" i="4" s="1"/>
  <c r="BD29" i="4"/>
  <c r="BC29" i="4"/>
  <c r="BA29" i="4"/>
  <c r="BP29" i="4" s="1"/>
  <c r="AZ29" i="4"/>
  <c r="BH28" i="4"/>
  <c r="BG28" i="4"/>
  <c r="BF28" i="4"/>
  <c r="BE28" i="4"/>
  <c r="BD28" i="4"/>
  <c r="BC28" i="4"/>
  <c r="BA28" i="4"/>
  <c r="BP28" i="4" s="1"/>
  <c r="AZ28" i="4"/>
  <c r="BG27" i="4"/>
  <c r="BV27" i="4" s="1"/>
  <c r="BF27" i="4"/>
  <c r="BD27" i="4"/>
  <c r="BS27" i="4" s="1"/>
  <c r="BC27" i="4"/>
  <c r="BA27" i="4"/>
  <c r="BP27" i="4" s="1"/>
  <c r="AZ27" i="4"/>
  <c r="BO27" i="4" s="1"/>
  <c r="BG26" i="4"/>
  <c r="BV26" i="4" s="1"/>
  <c r="BF26" i="4"/>
  <c r="BD26" i="4"/>
  <c r="BC26" i="4"/>
  <c r="BR26" i="4" s="1"/>
  <c r="BA26" i="4"/>
  <c r="AZ26" i="4"/>
  <c r="BO26" i="4" s="1"/>
  <c r="BM25" i="4"/>
  <c r="BJ25" i="4"/>
  <c r="BG25" i="4"/>
  <c r="BF25" i="4"/>
  <c r="BU25" i="4" s="1"/>
  <c r="BD25" i="4"/>
  <c r="BC25" i="4"/>
  <c r="BA25" i="4"/>
  <c r="BP25" i="4" s="1"/>
  <c r="AZ25" i="4"/>
  <c r="BO25" i="4" s="1"/>
  <c r="BI24" i="4"/>
  <c r="BG24" i="4"/>
  <c r="BV24" i="4" s="1"/>
  <c r="BF24" i="4"/>
  <c r="BD24" i="4"/>
  <c r="BS24" i="4" s="1"/>
  <c r="BC24" i="4"/>
  <c r="BA24" i="4"/>
  <c r="BP24" i="4" s="1"/>
  <c r="AZ24" i="4"/>
  <c r="BO24" i="4" s="1"/>
  <c r="BG23" i="4"/>
  <c r="BF23" i="4"/>
  <c r="BD23" i="4"/>
  <c r="BS23" i="4" s="1"/>
  <c r="BC23" i="4"/>
  <c r="BR23" i="4" s="1"/>
  <c r="BA23" i="4"/>
  <c r="AZ23" i="4"/>
  <c r="BO23" i="4" s="1"/>
  <c r="BJ22" i="4"/>
  <c r="BG22" i="4"/>
  <c r="BF22" i="4"/>
  <c r="BD22" i="4"/>
  <c r="BC22" i="4"/>
  <c r="BR22" i="4" s="1"/>
  <c r="BA22" i="4"/>
  <c r="BP22" i="4" s="1"/>
  <c r="AZ22" i="4"/>
  <c r="BH20" i="4"/>
  <c r="BG20" i="4"/>
  <c r="BV20" i="4" s="1"/>
  <c r="BF20" i="4"/>
  <c r="BD20" i="4"/>
  <c r="BC20" i="4"/>
  <c r="BR20" i="4" s="1"/>
  <c r="BA20" i="4"/>
  <c r="BP20" i="4" s="1"/>
  <c r="AZ20" i="4"/>
  <c r="BG19" i="4"/>
  <c r="BF19" i="4"/>
  <c r="BU19" i="4" s="1"/>
  <c r="BD19" i="4"/>
  <c r="BS19" i="4" s="1"/>
  <c r="BC19" i="4"/>
  <c r="BA19" i="4"/>
  <c r="AZ19" i="4"/>
  <c r="BO19" i="4" s="1"/>
  <c r="BG16" i="4"/>
  <c r="BF16" i="4"/>
  <c r="BD16" i="4"/>
  <c r="BS16" i="4" s="1"/>
  <c r="BC16" i="4"/>
  <c r="BR16" i="4" s="1"/>
  <c r="BA16" i="4"/>
  <c r="AZ16" i="4"/>
  <c r="BO16" i="4" s="1"/>
  <c r="BO54" i="4"/>
  <c r="BS54" i="4"/>
  <c r="BR54" i="4"/>
  <c r="AW54" i="4"/>
  <c r="AU54" i="4"/>
  <c r="AT54" i="4"/>
  <c r="AS54" i="4"/>
  <c r="AP54" i="4"/>
  <c r="BE54" i="4" s="1"/>
  <c r="AM54" i="4"/>
  <c r="BB54" i="4" s="1"/>
  <c r="AF54" i="4"/>
  <c r="AE54" i="4"/>
  <c r="AH54" i="4" s="1"/>
  <c r="BL54" i="4" s="1"/>
  <c r="AD54" i="4"/>
  <c r="BH54" i="4" s="1"/>
  <c r="AA54" i="4"/>
  <c r="X54" i="4"/>
  <c r="T54" i="4"/>
  <c r="Q54" i="4"/>
  <c r="P54" i="4"/>
  <c r="S54" i="4" s="1"/>
  <c r="O54" i="4"/>
  <c r="L54" i="4"/>
  <c r="I54" i="4"/>
  <c r="BO53" i="4"/>
  <c r="BR53" i="4"/>
  <c r="AU53" i="4"/>
  <c r="AX53" i="4" s="1"/>
  <c r="AT53" i="4"/>
  <c r="AV53" i="4" s="1"/>
  <c r="AS53" i="4"/>
  <c r="AP53" i="4"/>
  <c r="AM53" i="4"/>
  <c r="AF53" i="4"/>
  <c r="AI53" i="4" s="1"/>
  <c r="AE53" i="4"/>
  <c r="BI53" i="4" s="1"/>
  <c r="AD53" i="4"/>
  <c r="BH53" i="4" s="1"/>
  <c r="AA53" i="4"/>
  <c r="BE53" i="4" s="1"/>
  <c r="X53" i="4"/>
  <c r="Q53" i="4"/>
  <c r="T53" i="4" s="1"/>
  <c r="P53" i="4"/>
  <c r="O53" i="4"/>
  <c r="L53" i="4"/>
  <c r="I53" i="4"/>
  <c r="BV52" i="4"/>
  <c r="BS52" i="4"/>
  <c r="BP52" i="4"/>
  <c r="AU52" i="4"/>
  <c r="AX52" i="4" s="1"/>
  <c r="AT52" i="4"/>
  <c r="AS52" i="4"/>
  <c r="AP52" i="4"/>
  <c r="AM52" i="4"/>
  <c r="AF52" i="4"/>
  <c r="BJ52" i="4" s="1"/>
  <c r="AE52" i="4"/>
  <c r="AH52" i="4" s="1"/>
  <c r="AD52" i="4"/>
  <c r="AA52" i="4"/>
  <c r="BE52" i="4" s="1"/>
  <c r="X52" i="4"/>
  <c r="Q52" i="4"/>
  <c r="T52" i="4" s="1"/>
  <c r="P52" i="4"/>
  <c r="S52" i="4" s="1"/>
  <c r="O52" i="4"/>
  <c r="L52" i="4"/>
  <c r="I52" i="4"/>
  <c r="BU51" i="4"/>
  <c r="BS51" i="4"/>
  <c r="BR51" i="4"/>
  <c r="BP51" i="4"/>
  <c r="BO51" i="4"/>
  <c r="AU51" i="4"/>
  <c r="AX51" i="4" s="1"/>
  <c r="AT51" i="4"/>
  <c r="AW51" i="4" s="1"/>
  <c r="AS51" i="4"/>
  <c r="AP51" i="4"/>
  <c r="AM51" i="4"/>
  <c r="BB51" i="4" s="1"/>
  <c r="AF51" i="4"/>
  <c r="AE51" i="4"/>
  <c r="BI51" i="4" s="1"/>
  <c r="BX51" i="4" s="1"/>
  <c r="AD51" i="4"/>
  <c r="AA51" i="4"/>
  <c r="BE51" i="4" s="1"/>
  <c r="BT51" i="4" s="1"/>
  <c r="X51" i="4"/>
  <c r="S51" i="4"/>
  <c r="R51" i="4"/>
  <c r="Q51" i="4"/>
  <c r="T51" i="4" s="1"/>
  <c r="P51" i="4"/>
  <c r="O51" i="4"/>
  <c r="L51" i="4"/>
  <c r="I51" i="4"/>
  <c r="BO50" i="4"/>
  <c r="BV50" i="4"/>
  <c r="BU50" i="4"/>
  <c r="AU50" i="4"/>
  <c r="AX50" i="4" s="1"/>
  <c r="AT50" i="4"/>
  <c r="AW50" i="4" s="1"/>
  <c r="AS50" i="4"/>
  <c r="AP50" i="4"/>
  <c r="AM50" i="4"/>
  <c r="AI50" i="4"/>
  <c r="AF50" i="4"/>
  <c r="BJ50" i="4" s="1"/>
  <c r="AE50" i="4"/>
  <c r="AH50" i="4" s="1"/>
  <c r="AD50" i="4"/>
  <c r="BH50" i="4" s="1"/>
  <c r="AA50" i="4"/>
  <c r="BE50" i="4" s="1"/>
  <c r="X50" i="4"/>
  <c r="Q50" i="4"/>
  <c r="T50" i="4" s="1"/>
  <c r="P50" i="4"/>
  <c r="S50" i="4" s="1"/>
  <c r="O50" i="4"/>
  <c r="L50" i="4"/>
  <c r="I50" i="4"/>
  <c r="BP49" i="4"/>
  <c r="BV49" i="4"/>
  <c r="BU49" i="4"/>
  <c r="BS49" i="4"/>
  <c r="AX49" i="4"/>
  <c r="BM49" i="4" s="1"/>
  <c r="AU49" i="4"/>
  <c r="AT49" i="4"/>
  <c r="AW49" i="4" s="1"/>
  <c r="AS49" i="4"/>
  <c r="AP49" i="4"/>
  <c r="AM49" i="4"/>
  <c r="AF49" i="4"/>
  <c r="AI49" i="4" s="1"/>
  <c r="AE49" i="4"/>
  <c r="BI49" i="4" s="1"/>
  <c r="AD49" i="4"/>
  <c r="BH49" i="4" s="1"/>
  <c r="AA49" i="4"/>
  <c r="X49" i="4"/>
  <c r="BB49" i="4" s="1"/>
  <c r="Q49" i="4"/>
  <c r="T49" i="4" s="1"/>
  <c r="P49" i="4"/>
  <c r="O49" i="4"/>
  <c r="L49" i="4"/>
  <c r="I49" i="4"/>
  <c r="BR48" i="4"/>
  <c r="BU48" i="4"/>
  <c r="BS48" i="4"/>
  <c r="AU48" i="4"/>
  <c r="AX48" i="4" s="1"/>
  <c r="AT48" i="4"/>
  <c r="AS48" i="4"/>
  <c r="AP48" i="4"/>
  <c r="AM48" i="4"/>
  <c r="AF48" i="4"/>
  <c r="AI48" i="4" s="1"/>
  <c r="AE48" i="4"/>
  <c r="AH48" i="4" s="1"/>
  <c r="AD48" i="4"/>
  <c r="BH48" i="4" s="1"/>
  <c r="AA48" i="4"/>
  <c r="BE48" i="4" s="1"/>
  <c r="X48" i="4"/>
  <c r="BB48" i="4" s="1"/>
  <c r="BQ48" i="4" s="1"/>
  <c r="Q48" i="4"/>
  <c r="T48" i="4" s="1"/>
  <c r="P48" i="4"/>
  <c r="S48" i="4" s="1"/>
  <c r="O48" i="4"/>
  <c r="L48" i="4"/>
  <c r="I48" i="4"/>
  <c r="BV47" i="4"/>
  <c r="BS47" i="4"/>
  <c r="AU47" i="4"/>
  <c r="AX47" i="4" s="1"/>
  <c r="AT47" i="4"/>
  <c r="AW47" i="4" s="1"/>
  <c r="AS47" i="4"/>
  <c r="AP47" i="4"/>
  <c r="AM47" i="4"/>
  <c r="AF47" i="4"/>
  <c r="BJ47" i="4" s="1"/>
  <c r="AE47" i="4"/>
  <c r="BI47" i="4" s="1"/>
  <c r="AD47" i="4"/>
  <c r="BH47" i="4" s="1"/>
  <c r="AA47" i="4"/>
  <c r="X47" i="4"/>
  <c r="BB47" i="4" s="1"/>
  <c r="T47" i="4"/>
  <c r="Q47" i="4"/>
  <c r="P47" i="4"/>
  <c r="S47" i="4" s="1"/>
  <c r="O47" i="4"/>
  <c r="L47" i="4"/>
  <c r="I47" i="4"/>
  <c r="BU46" i="4"/>
  <c r="BV46" i="4"/>
  <c r="BS46" i="4"/>
  <c r="BR46" i="4"/>
  <c r="AX46" i="4"/>
  <c r="BM46" i="4" s="1"/>
  <c r="AU46" i="4"/>
  <c r="AT46" i="4"/>
  <c r="AW46" i="4" s="1"/>
  <c r="AS46" i="4"/>
  <c r="AP46" i="4"/>
  <c r="AM46" i="4"/>
  <c r="BB46" i="4" s="1"/>
  <c r="AI46" i="4"/>
  <c r="AG46" i="4"/>
  <c r="AF46" i="4"/>
  <c r="AE46" i="4"/>
  <c r="BI46" i="4" s="1"/>
  <c r="AD46" i="4"/>
  <c r="BH46" i="4" s="1"/>
  <c r="AA46" i="4"/>
  <c r="X46" i="4"/>
  <c r="S46" i="4"/>
  <c r="Q46" i="4"/>
  <c r="T46" i="4" s="1"/>
  <c r="P46" i="4"/>
  <c r="O46" i="4"/>
  <c r="L46" i="4"/>
  <c r="I46" i="4"/>
  <c r="BR45" i="4"/>
  <c r="AU45" i="4"/>
  <c r="AV45" i="4" s="1"/>
  <c r="AT45" i="4"/>
  <c r="AW45" i="4" s="1"/>
  <c r="AS45" i="4"/>
  <c r="AP45" i="4"/>
  <c r="AM45" i="4"/>
  <c r="AF45" i="4"/>
  <c r="BJ45" i="4" s="1"/>
  <c r="AE45" i="4"/>
  <c r="AD45" i="4"/>
  <c r="BH45" i="4" s="1"/>
  <c r="BW45" i="4" s="1"/>
  <c r="AA45" i="4"/>
  <c r="BE45" i="4" s="1"/>
  <c r="X45" i="4"/>
  <c r="BB45" i="4" s="1"/>
  <c r="Q45" i="4"/>
  <c r="T45" i="4" s="1"/>
  <c r="P45" i="4"/>
  <c r="S45" i="4" s="1"/>
  <c r="O45" i="4"/>
  <c r="L45" i="4"/>
  <c r="I45" i="4"/>
  <c r="BV44" i="4"/>
  <c r="BP44" i="4"/>
  <c r="AU44" i="4"/>
  <c r="AX44" i="4" s="1"/>
  <c r="AT44" i="4"/>
  <c r="AW44" i="4" s="1"/>
  <c r="AS44" i="4"/>
  <c r="AP44" i="4"/>
  <c r="AM44" i="4"/>
  <c r="AF44" i="4"/>
  <c r="BJ44" i="4" s="1"/>
  <c r="AE44" i="4"/>
  <c r="BI44" i="4" s="1"/>
  <c r="AD44" i="4"/>
  <c r="AA44" i="4"/>
  <c r="BE44" i="4" s="1"/>
  <c r="X44" i="4"/>
  <c r="Q44" i="4"/>
  <c r="T44" i="4" s="1"/>
  <c r="P44" i="4"/>
  <c r="S44" i="4" s="1"/>
  <c r="O44" i="4"/>
  <c r="L44" i="4"/>
  <c r="I44" i="4"/>
  <c r="AR43" i="4"/>
  <c r="AR55" i="4" s="1"/>
  <c r="AR56" i="4" s="1"/>
  <c r="AR58" i="4" s="1"/>
  <c r="AQ43" i="4"/>
  <c r="AQ55" i="4" s="1"/>
  <c r="AO43" i="4"/>
  <c r="AO55" i="4" s="1"/>
  <c r="AO56" i="4" s="1"/>
  <c r="AO58" i="4" s="1"/>
  <c r="AN43" i="4"/>
  <c r="AN55" i="4" s="1"/>
  <c r="AL43" i="4"/>
  <c r="AL55" i="4" s="1"/>
  <c r="AK43" i="4"/>
  <c r="AK55" i="4" s="1"/>
  <c r="AC43" i="4"/>
  <c r="BG43" i="4" s="1"/>
  <c r="AB43" i="4"/>
  <c r="AB55" i="4" s="1"/>
  <c r="Z43" i="4"/>
  <c r="Z55" i="4" s="1"/>
  <c r="Z56" i="4" s="1"/>
  <c r="Y43" i="4"/>
  <c r="BC43" i="4" s="1"/>
  <c r="W43" i="4"/>
  <c r="W55" i="4" s="1"/>
  <c r="V43" i="4"/>
  <c r="V55" i="4" s="1"/>
  <c r="N43" i="4"/>
  <c r="N55" i="4" s="1"/>
  <c r="N56" i="4" s="1"/>
  <c r="N58" i="4" s="1"/>
  <c r="M43" i="4"/>
  <c r="K43" i="4"/>
  <c r="K55" i="4" s="1"/>
  <c r="K56" i="4" s="1"/>
  <c r="K58" i="4" s="1"/>
  <c r="J43" i="4"/>
  <c r="J55" i="4" s="1"/>
  <c r="H43" i="4"/>
  <c r="G43" i="4"/>
  <c r="G55" i="4" s="1"/>
  <c r="BV42" i="4"/>
  <c r="BU42" i="4"/>
  <c r="BR42" i="4"/>
  <c r="BO42" i="4"/>
  <c r="AU42" i="4"/>
  <c r="AX42" i="4" s="1"/>
  <c r="AT42" i="4"/>
  <c r="AW42" i="4" s="1"/>
  <c r="AS42" i="4"/>
  <c r="AP42" i="4"/>
  <c r="AM42" i="4"/>
  <c r="AF42" i="4"/>
  <c r="AI42" i="4" s="1"/>
  <c r="BM42" i="4" s="1"/>
  <c r="AE42" i="4"/>
  <c r="BI42" i="4" s="1"/>
  <c r="AD42" i="4"/>
  <c r="AA42" i="4"/>
  <c r="BE42" i="4" s="1"/>
  <c r="X42" i="4"/>
  <c r="Q42" i="4"/>
  <c r="P42" i="4"/>
  <c r="O42" i="4"/>
  <c r="L42" i="4"/>
  <c r="I42" i="4"/>
  <c r="BV41" i="4"/>
  <c r="BU41" i="4"/>
  <c r="BS41" i="4"/>
  <c r="AU41" i="4"/>
  <c r="AU43" i="4" s="1"/>
  <c r="AT41" i="4"/>
  <c r="AT43" i="4" s="1"/>
  <c r="AS41" i="4"/>
  <c r="AP41" i="4"/>
  <c r="AM41" i="4"/>
  <c r="AF41" i="4"/>
  <c r="AI41" i="4" s="1"/>
  <c r="AE41" i="4"/>
  <c r="AH41" i="4" s="1"/>
  <c r="AD41" i="4"/>
  <c r="AA41" i="4"/>
  <c r="X41" i="4"/>
  <c r="R41" i="4"/>
  <c r="Q41" i="4"/>
  <c r="T41" i="4" s="1"/>
  <c r="P41" i="4"/>
  <c r="S41" i="4" s="1"/>
  <c r="O41" i="4"/>
  <c r="L41" i="4"/>
  <c r="I41" i="4"/>
  <c r="BU38" i="4"/>
  <c r="BS38" i="4"/>
  <c r="AU38" i="4"/>
  <c r="AT38" i="4"/>
  <c r="AW38" i="4" s="1"/>
  <c r="AS38" i="4"/>
  <c r="AP38" i="4"/>
  <c r="AM38" i="4"/>
  <c r="AF38" i="4"/>
  <c r="AI38" i="4" s="1"/>
  <c r="AE38" i="4"/>
  <c r="BI38" i="4" s="1"/>
  <c r="AD38" i="4"/>
  <c r="BH38" i="4" s="1"/>
  <c r="AA38" i="4"/>
  <c r="BE38" i="4" s="1"/>
  <c r="X38" i="4"/>
  <c r="BB38" i="4" s="1"/>
  <c r="Q38" i="4"/>
  <c r="T38" i="4" s="1"/>
  <c r="P38" i="4"/>
  <c r="S38" i="4" s="1"/>
  <c r="O38" i="4"/>
  <c r="L38" i="4"/>
  <c r="I38" i="4"/>
  <c r="BU32" i="4"/>
  <c r="BS32" i="4"/>
  <c r="BR32" i="4"/>
  <c r="BO32" i="4"/>
  <c r="AU32" i="4"/>
  <c r="AT32" i="4"/>
  <c r="AS32" i="4"/>
  <c r="AP32" i="4"/>
  <c r="AM32" i="4"/>
  <c r="AF32" i="4"/>
  <c r="BJ32" i="4" s="1"/>
  <c r="AE32" i="4"/>
  <c r="AG32" i="4" s="1"/>
  <c r="AD32" i="4"/>
  <c r="BH32" i="4" s="1"/>
  <c r="AA32" i="4"/>
  <c r="BE32" i="4" s="1"/>
  <c r="X32" i="4"/>
  <c r="T32" i="4"/>
  <c r="Q32" i="4"/>
  <c r="P32" i="4"/>
  <c r="R32" i="4" s="1"/>
  <c r="O32" i="4"/>
  <c r="L32" i="4"/>
  <c r="I32" i="4"/>
  <c r="BV31" i="4"/>
  <c r="BU31" i="4"/>
  <c r="BP31" i="4"/>
  <c r="BO31" i="4"/>
  <c r="AU31" i="4"/>
  <c r="AX31" i="4" s="1"/>
  <c r="AT31" i="4"/>
  <c r="AS31" i="4"/>
  <c r="AP31" i="4"/>
  <c r="AM31" i="4"/>
  <c r="AF31" i="4"/>
  <c r="BJ31" i="4" s="1"/>
  <c r="AE31" i="4"/>
  <c r="BI31" i="4" s="1"/>
  <c r="AD31" i="4"/>
  <c r="AA31" i="4"/>
  <c r="BE31" i="4" s="1"/>
  <c r="X31" i="4"/>
  <c r="BB31" i="4" s="1"/>
  <c r="Q31" i="4"/>
  <c r="T31" i="4" s="1"/>
  <c r="P31" i="4"/>
  <c r="S31" i="4" s="1"/>
  <c r="O31" i="4"/>
  <c r="L31" i="4"/>
  <c r="I31" i="4"/>
  <c r="BU30" i="4"/>
  <c r="BS30" i="4"/>
  <c r="BP30" i="4"/>
  <c r="BO30" i="4"/>
  <c r="AW30" i="4"/>
  <c r="AU30" i="4"/>
  <c r="AX30" i="4" s="1"/>
  <c r="AT30" i="4"/>
  <c r="AS30" i="4"/>
  <c r="AP30" i="4"/>
  <c r="AM30" i="4"/>
  <c r="AF30" i="4"/>
  <c r="AE30" i="4"/>
  <c r="BI30" i="4" s="1"/>
  <c r="AD30" i="4"/>
  <c r="BH30" i="4" s="1"/>
  <c r="AA30" i="4"/>
  <c r="BE30" i="4" s="1"/>
  <c r="BT30" i="4" s="1"/>
  <c r="X30" i="4"/>
  <c r="BB30" i="4" s="1"/>
  <c r="Q30" i="4"/>
  <c r="T30" i="4" s="1"/>
  <c r="P30" i="4"/>
  <c r="S30" i="4" s="1"/>
  <c r="O30" i="4"/>
  <c r="L30" i="4"/>
  <c r="I30" i="4"/>
  <c r="BS29" i="4"/>
  <c r="BV29" i="4"/>
  <c r="BR29" i="4"/>
  <c r="BO29" i="4"/>
  <c r="AU29" i="4"/>
  <c r="AX29" i="4" s="1"/>
  <c r="AT29" i="4"/>
  <c r="AS29" i="4"/>
  <c r="AP29" i="4"/>
  <c r="AM29" i="4"/>
  <c r="AF29" i="4"/>
  <c r="AI29" i="4" s="1"/>
  <c r="BM29" i="4" s="1"/>
  <c r="AE29" i="4"/>
  <c r="AH29" i="4" s="1"/>
  <c r="AD29" i="4"/>
  <c r="BH29" i="4" s="1"/>
  <c r="AA29" i="4"/>
  <c r="BE29" i="4" s="1"/>
  <c r="X29" i="4"/>
  <c r="BB29" i="4" s="1"/>
  <c r="Q29" i="4"/>
  <c r="T29" i="4" s="1"/>
  <c r="P29" i="4"/>
  <c r="S29" i="4" s="1"/>
  <c r="U29" i="4" s="1"/>
  <c r="O29" i="4"/>
  <c r="L29" i="4"/>
  <c r="I29" i="4"/>
  <c r="BV28" i="4"/>
  <c r="BU28" i="4"/>
  <c r="BS28" i="4"/>
  <c r="BR28" i="4"/>
  <c r="BO28" i="4"/>
  <c r="AU28" i="4"/>
  <c r="AX28" i="4" s="1"/>
  <c r="BM28" i="4" s="1"/>
  <c r="AT28" i="4"/>
  <c r="AW28" i="4" s="1"/>
  <c r="AY28" i="4" s="1"/>
  <c r="AS28" i="4"/>
  <c r="AP28" i="4"/>
  <c r="AM28" i="4"/>
  <c r="AI28" i="4"/>
  <c r="AF28" i="4"/>
  <c r="BJ28" i="4" s="1"/>
  <c r="AE28" i="4"/>
  <c r="AG28" i="4" s="1"/>
  <c r="AD28" i="4"/>
  <c r="AA28" i="4"/>
  <c r="X28" i="4"/>
  <c r="Q28" i="4"/>
  <c r="T28" i="4" s="1"/>
  <c r="P28" i="4"/>
  <c r="S28" i="4" s="1"/>
  <c r="O28" i="4"/>
  <c r="L28" i="4"/>
  <c r="I28" i="4"/>
  <c r="BU27" i="4"/>
  <c r="BR27" i="4"/>
  <c r="AU27" i="4"/>
  <c r="AX27" i="4" s="1"/>
  <c r="AT27" i="4"/>
  <c r="AS27" i="4"/>
  <c r="AP27" i="4"/>
  <c r="AM27" i="4"/>
  <c r="AH27" i="4"/>
  <c r="AF27" i="4"/>
  <c r="AI27" i="4" s="1"/>
  <c r="AE27" i="4"/>
  <c r="BI27" i="4" s="1"/>
  <c r="AD27" i="4"/>
  <c r="BH27" i="4" s="1"/>
  <c r="AA27" i="4"/>
  <c r="BE27" i="4" s="1"/>
  <c r="X27" i="4"/>
  <c r="BB27" i="4" s="1"/>
  <c r="Q27" i="4"/>
  <c r="T27" i="4" s="1"/>
  <c r="P27" i="4"/>
  <c r="O27" i="4"/>
  <c r="L27" i="4"/>
  <c r="I27" i="4"/>
  <c r="BU26" i="4"/>
  <c r="BS26" i="4"/>
  <c r="BP26" i="4"/>
  <c r="AW26" i="4"/>
  <c r="AU26" i="4"/>
  <c r="AX26" i="4" s="1"/>
  <c r="AT26" i="4"/>
  <c r="AS26" i="4"/>
  <c r="AP26" i="4"/>
  <c r="AM26" i="4"/>
  <c r="AF26" i="4"/>
  <c r="BJ26" i="4" s="1"/>
  <c r="AE26" i="4"/>
  <c r="BI26" i="4" s="1"/>
  <c r="AD26" i="4"/>
  <c r="BH26" i="4" s="1"/>
  <c r="AA26" i="4"/>
  <c r="BE26" i="4" s="1"/>
  <c r="X26" i="4"/>
  <c r="Q26" i="4"/>
  <c r="T26" i="4" s="1"/>
  <c r="P26" i="4"/>
  <c r="S26" i="4" s="1"/>
  <c r="O26" i="4"/>
  <c r="L26" i="4"/>
  <c r="I26" i="4"/>
  <c r="BS25" i="4"/>
  <c r="BV25" i="4"/>
  <c r="BR25" i="4"/>
  <c r="AU25" i="4"/>
  <c r="AX25" i="4" s="1"/>
  <c r="AT25" i="4"/>
  <c r="AS25" i="4"/>
  <c r="AP25" i="4"/>
  <c r="BE25" i="4" s="1"/>
  <c r="AM25" i="4"/>
  <c r="BB25" i="4" s="1"/>
  <c r="BQ25" i="4" s="1"/>
  <c r="AF25" i="4"/>
  <c r="AI25" i="4" s="1"/>
  <c r="AE25" i="4"/>
  <c r="AH25" i="4" s="1"/>
  <c r="AD25" i="4"/>
  <c r="BH25" i="4" s="1"/>
  <c r="AA25" i="4"/>
  <c r="X25" i="4"/>
  <c r="T25" i="4"/>
  <c r="S25" i="4"/>
  <c r="U25" i="4" s="1"/>
  <c r="Q25" i="4"/>
  <c r="P25" i="4"/>
  <c r="O25" i="4"/>
  <c r="L25" i="4"/>
  <c r="I25" i="4"/>
  <c r="BU24" i="4"/>
  <c r="BR24" i="4"/>
  <c r="AV24" i="4"/>
  <c r="AU24" i="4"/>
  <c r="AX24" i="4" s="1"/>
  <c r="AT24" i="4"/>
  <c r="AW24" i="4" s="1"/>
  <c r="AS24" i="4"/>
  <c r="AP24" i="4"/>
  <c r="AM24" i="4"/>
  <c r="AF24" i="4"/>
  <c r="BJ24" i="4" s="1"/>
  <c r="AE24" i="4"/>
  <c r="AD24" i="4"/>
  <c r="BH24" i="4" s="1"/>
  <c r="AA24" i="4"/>
  <c r="BE24" i="4" s="1"/>
  <c r="X24" i="4"/>
  <c r="Q24" i="4"/>
  <c r="T24" i="4" s="1"/>
  <c r="P24" i="4"/>
  <c r="S24" i="4" s="1"/>
  <c r="O24" i="4"/>
  <c r="L24" i="4"/>
  <c r="I24" i="4"/>
  <c r="BV23" i="4"/>
  <c r="BU23" i="4"/>
  <c r="BP23" i="4"/>
  <c r="AX23" i="4"/>
  <c r="AU23" i="4"/>
  <c r="AT23" i="4"/>
  <c r="AS23" i="4"/>
  <c r="AP23" i="4"/>
  <c r="AM23" i="4"/>
  <c r="AF23" i="4"/>
  <c r="AI23" i="4" s="1"/>
  <c r="AE23" i="4"/>
  <c r="AH23" i="4" s="1"/>
  <c r="AD23" i="4"/>
  <c r="AA23" i="4"/>
  <c r="BE23" i="4" s="1"/>
  <c r="X23" i="4"/>
  <c r="BB23" i="4" s="1"/>
  <c r="T23" i="4"/>
  <c r="Q23" i="4"/>
  <c r="P23" i="4"/>
  <c r="S23" i="4" s="1"/>
  <c r="O23" i="4"/>
  <c r="L23" i="4"/>
  <c r="I23" i="4"/>
  <c r="BU22" i="4"/>
  <c r="BS22" i="4"/>
  <c r="BV22" i="4"/>
  <c r="BO22" i="4"/>
  <c r="AU22" i="4"/>
  <c r="AX22" i="4" s="1"/>
  <c r="AT22" i="4"/>
  <c r="AW22" i="4" s="1"/>
  <c r="AS22" i="4"/>
  <c r="AP22" i="4"/>
  <c r="AM22" i="4"/>
  <c r="BB22" i="4" s="1"/>
  <c r="AF22" i="4"/>
  <c r="AE22" i="4"/>
  <c r="BI22" i="4" s="1"/>
  <c r="AD22" i="4"/>
  <c r="BH22" i="4" s="1"/>
  <c r="AA22" i="4"/>
  <c r="BE22" i="4" s="1"/>
  <c r="X22" i="4"/>
  <c r="Q22" i="4"/>
  <c r="T22" i="4" s="1"/>
  <c r="P22" i="4"/>
  <c r="S22" i="4" s="1"/>
  <c r="O22" i="4"/>
  <c r="L22" i="4"/>
  <c r="I22" i="4"/>
  <c r="AR21" i="4"/>
  <c r="AR33" i="4" s="1"/>
  <c r="AR34" i="4" s="1"/>
  <c r="AQ21" i="4"/>
  <c r="AQ33" i="4" s="1"/>
  <c r="AO21" i="4"/>
  <c r="AO33" i="4" s="1"/>
  <c r="AO34" i="4" s="1"/>
  <c r="AN21" i="4"/>
  <c r="AN33" i="4" s="1"/>
  <c r="AL21" i="4"/>
  <c r="AL33" i="4" s="1"/>
  <c r="AK21" i="4"/>
  <c r="AK33" i="4" s="1"/>
  <c r="AC21" i="4"/>
  <c r="BG21" i="4" s="1"/>
  <c r="AB21" i="4"/>
  <c r="BF21" i="4" s="1"/>
  <c r="Z21" i="4"/>
  <c r="Z33" i="4" s="1"/>
  <c r="BD33" i="4" s="1"/>
  <c r="Y21" i="4"/>
  <c r="Y33" i="4" s="1"/>
  <c r="BC33" i="4" s="1"/>
  <c r="W21" i="4"/>
  <c r="W33" i="4" s="1"/>
  <c r="V21" i="4"/>
  <c r="V33" i="4" s="1"/>
  <c r="N21" i="4"/>
  <c r="N33" i="4" s="1"/>
  <c r="N34" i="4" s="1"/>
  <c r="M21" i="4"/>
  <c r="M33" i="4" s="1"/>
  <c r="K21" i="4"/>
  <c r="K33" i="4" s="1"/>
  <c r="K34" i="4" s="1"/>
  <c r="J21" i="4"/>
  <c r="J33" i="4" s="1"/>
  <c r="H21" i="4"/>
  <c r="H33" i="4" s="1"/>
  <c r="G21" i="4"/>
  <c r="G33" i="4" s="1"/>
  <c r="BS20" i="4"/>
  <c r="BU20" i="4"/>
  <c r="BO20" i="4"/>
  <c r="AX20" i="4"/>
  <c r="AU20" i="4"/>
  <c r="AT20" i="4"/>
  <c r="AV20" i="4" s="1"/>
  <c r="AS20" i="4"/>
  <c r="AP20" i="4"/>
  <c r="AM20" i="4"/>
  <c r="AF20" i="4"/>
  <c r="AI20" i="4" s="1"/>
  <c r="AE20" i="4"/>
  <c r="AH20" i="4" s="1"/>
  <c r="AD20" i="4"/>
  <c r="AA20" i="4"/>
  <c r="BE20" i="4" s="1"/>
  <c r="X20" i="4"/>
  <c r="Q20" i="4"/>
  <c r="T20" i="4" s="1"/>
  <c r="P20" i="4"/>
  <c r="O20" i="4"/>
  <c r="L20" i="4"/>
  <c r="I20" i="4"/>
  <c r="BP19" i="4"/>
  <c r="BV19" i="4"/>
  <c r="BR19" i="4"/>
  <c r="AU19" i="4"/>
  <c r="AX19" i="4" s="1"/>
  <c r="AT19" i="4"/>
  <c r="AW19" i="4" s="1"/>
  <c r="AS19" i="4"/>
  <c r="AP19" i="4"/>
  <c r="AM19" i="4"/>
  <c r="AF19" i="4"/>
  <c r="AE19" i="4"/>
  <c r="AD19" i="4"/>
  <c r="BH19" i="4" s="1"/>
  <c r="AA19" i="4"/>
  <c r="BE19" i="4" s="1"/>
  <c r="X19" i="4"/>
  <c r="Q19" i="4"/>
  <c r="P19" i="4"/>
  <c r="S19" i="4" s="1"/>
  <c r="O19" i="4"/>
  <c r="L19" i="4"/>
  <c r="I19" i="4"/>
  <c r="BV16" i="4"/>
  <c r="BU16" i="4"/>
  <c r="AU16" i="4"/>
  <c r="AT16" i="4"/>
  <c r="AS16" i="4"/>
  <c r="AP16" i="4"/>
  <c r="AM16" i="4"/>
  <c r="AH16" i="4"/>
  <c r="AF16" i="4"/>
  <c r="AG16" i="4" s="1"/>
  <c r="AE16" i="4"/>
  <c r="BI16" i="4" s="1"/>
  <c r="AD16" i="4"/>
  <c r="BH16" i="4" s="1"/>
  <c r="AA16" i="4"/>
  <c r="BE16" i="4" s="1"/>
  <c r="X16" i="4"/>
  <c r="S16" i="4"/>
  <c r="Q16" i="4"/>
  <c r="T16" i="4" s="1"/>
  <c r="P16" i="4"/>
  <c r="O16" i="4"/>
  <c r="L16" i="4"/>
  <c r="I16" i="4"/>
  <c r="BM48" i="4" l="1"/>
  <c r="BM53" i="4"/>
  <c r="BB50" i="4"/>
  <c r="AZ55" i="4"/>
  <c r="BA55" i="4"/>
  <c r="BB41" i="4"/>
  <c r="BQ41" i="4" s="1"/>
  <c r="BB42" i="4"/>
  <c r="BB32" i="4"/>
  <c r="BB28" i="4"/>
  <c r="BB26" i="4"/>
  <c r="AY26" i="4"/>
  <c r="BM20" i="4"/>
  <c r="AZ33" i="4"/>
  <c r="BO33" i="4" s="1"/>
  <c r="BA33" i="4"/>
  <c r="BB19" i="4"/>
  <c r="BB20" i="4"/>
  <c r="BQ20" i="4" s="1"/>
  <c r="BB16" i="4"/>
  <c r="BQ16" i="4" s="1"/>
  <c r="BL41" i="4"/>
  <c r="AJ50" i="4"/>
  <c r="BL50" i="4"/>
  <c r="BM27" i="4"/>
  <c r="CB27" i="4" s="1"/>
  <c r="BK32" i="4"/>
  <c r="BK46" i="4"/>
  <c r="BM50" i="4"/>
  <c r="CB50" i="4" s="1"/>
  <c r="U16" i="4"/>
  <c r="AV19" i="4"/>
  <c r="U22" i="4"/>
  <c r="BI20" i="4"/>
  <c r="BI28" i="4"/>
  <c r="BJ29" i="4"/>
  <c r="BI41" i="4"/>
  <c r="BX41" i="4" s="1"/>
  <c r="BJ42" i="4"/>
  <c r="S32" i="4"/>
  <c r="BA21" i="4"/>
  <c r="BP21" i="4" s="1"/>
  <c r="BI50" i="4"/>
  <c r="BJ51" i="4"/>
  <c r="BY51" i="4" s="1"/>
  <c r="AE21" i="4"/>
  <c r="BI21" i="4" s="1"/>
  <c r="AY42" i="4"/>
  <c r="U45" i="4"/>
  <c r="AH47" i="4"/>
  <c r="BL47" i="4" s="1"/>
  <c r="BI19" i="4"/>
  <c r="BJ20" i="4"/>
  <c r="BY20" i="4" s="1"/>
  <c r="BC21" i="4"/>
  <c r="BR21" i="4" s="1"/>
  <c r="BM23" i="4"/>
  <c r="CB23" i="4" s="1"/>
  <c r="BJ41" i="4"/>
  <c r="BD43" i="4"/>
  <c r="BI48" i="4"/>
  <c r="BX48" i="4" s="1"/>
  <c r="BJ49" i="4"/>
  <c r="BW26" i="4"/>
  <c r="BQ31" i="4"/>
  <c r="AH32" i="4"/>
  <c r="BW38" i="4"/>
  <c r="AF21" i="4"/>
  <c r="U23" i="4"/>
  <c r="BT25" i="4"/>
  <c r="BT28" i="4"/>
  <c r="BW32" i="4"/>
  <c r="AC33" i="4"/>
  <c r="BG33" i="4" s="1"/>
  <c r="BV33" i="4" s="1"/>
  <c r="BW44" i="4"/>
  <c r="BQ46" i="4"/>
  <c r="AI47" i="4"/>
  <c r="BM47" i="4" s="1"/>
  <c r="BJ19" i="4"/>
  <c r="BD21" i="4"/>
  <c r="BJ27" i="4"/>
  <c r="BJ38" i="4"/>
  <c r="BJ48" i="4"/>
  <c r="AV27" i="4"/>
  <c r="R30" i="4"/>
  <c r="BT31" i="4"/>
  <c r="AG41" i="4"/>
  <c r="BW42" i="4"/>
  <c r="AV42" i="4"/>
  <c r="BT46" i="4"/>
  <c r="BJ16" i="4"/>
  <c r="BI25" i="4"/>
  <c r="BF43" i="4"/>
  <c r="BI54" i="4"/>
  <c r="BT19" i="4"/>
  <c r="BW31" i="4"/>
  <c r="BH23" i="4"/>
  <c r="BW23" i="4" s="1"/>
  <c r="BH31" i="4"/>
  <c r="BI32" i="4"/>
  <c r="BE41" i="4"/>
  <c r="BT41" i="4" s="1"/>
  <c r="R25" i="4"/>
  <c r="BQ26" i="4"/>
  <c r="AI44" i="4"/>
  <c r="BM44" i="4" s="1"/>
  <c r="CB44" i="4" s="1"/>
  <c r="BX46" i="4"/>
  <c r="AG48" i="4"/>
  <c r="AY49" i="4"/>
  <c r="BI23" i="4"/>
  <c r="BB24" i="4"/>
  <c r="BQ24" i="4" s="1"/>
  <c r="AZ43" i="4"/>
  <c r="BO43" i="4" s="1"/>
  <c r="BH51" i="4"/>
  <c r="BW51" i="4" s="1"/>
  <c r="BI52" i="4"/>
  <c r="BB53" i="4"/>
  <c r="BQ53" i="4" s="1"/>
  <c r="BJ53" i="4"/>
  <c r="BD55" i="4"/>
  <c r="BJ54" i="4"/>
  <c r="BY54" i="4" s="1"/>
  <c r="AT21" i="4"/>
  <c r="AT33" i="4" s="1"/>
  <c r="BY24" i="4"/>
  <c r="U28" i="4"/>
  <c r="BQ29" i="4"/>
  <c r="BW30" i="4"/>
  <c r="U38" i="4"/>
  <c r="AX45" i="4"/>
  <c r="AY45" i="4" s="1"/>
  <c r="BW47" i="4"/>
  <c r="U48" i="4"/>
  <c r="U51" i="4"/>
  <c r="AH51" i="4"/>
  <c r="BL51" i="4" s="1"/>
  <c r="CA51" i="4" s="1"/>
  <c r="AZ21" i="4"/>
  <c r="BJ23" i="4"/>
  <c r="BH42" i="4"/>
  <c r="BA43" i="4"/>
  <c r="BP43" i="4" s="1"/>
  <c r="BB44" i="4"/>
  <c r="BQ44" i="4" s="1"/>
  <c r="BE47" i="4"/>
  <c r="BT47" i="4" s="1"/>
  <c r="BB52" i="4"/>
  <c r="BQ52" i="4" s="1"/>
  <c r="BQ38" i="4"/>
  <c r="BQ50" i="4"/>
  <c r="BY31" i="4"/>
  <c r="BX22" i="4"/>
  <c r="BT32" i="4"/>
  <c r="BT24" i="4"/>
  <c r="U52" i="4"/>
  <c r="BT20" i="4"/>
  <c r="BY22" i="4"/>
  <c r="AV22" i="4"/>
  <c r="BW22" i="4"/>
  <c r="AG23" i="4"/>
  <c r="BW29" i="4"/>
  <c r="AV44" i="4"/>
  <c r="AI45" i="4"/>
  <c r="BM45" i="4" s="1"/>
  <c r="CB45" i="4" s="1"/>
  <c r="U47" i="4"/>
  <c r="AV49" i="4"/>
  <c r="U54" i="4"/>
  <c r="CA54" i="4"/>
  <c r="BT29" i="4"/>
  <c r="U50" i="4"/>
  <c r="BW19" i="4"/>
  <c r="BW20" i="4"/>
  <c r="AH22" i="4"/>
  <c r="R23" i="4"/>
  <c r="BW24" i="4"/>
  <c r="AG25" i="4"/>
  <c r="BW28" i="4"/>
  <c r="BY29" i="4"/>
  <c r="BQ32" i="4"/>
  <c r="X43" i="4"/>
  <c r="BW49" i="4"/>
  <c r="AI51" i="4"/>
  <c r="R52" i="4"/>
  <c r="AW53" i="4"/>
  <c r="AY53" i="4" s="1"/>
  <c r="AI54" i="4"/>
  <c r="AV54" i="4"/>
  <c r="AY22" i="4"/>
  <c r="R19" i="4"/>
  <c r="L21" i="4"/>
  <c r="AA21" i="4"/>
  <c r="R22" i="4"/>
  <c r="BQ23" i="4"/>
  <c r="BW27" i="4"/>
  <c r="BY28" i="4"/>
  <c r="AV28" i="4"/>
  <c r="BK28" i="4" s="1"/>
  <c r="R29" i="4"/>
  <c r="AG29" i="4"/>
  <c r="BQ30" i="4"/>
  <c r="AG31" i="4"/>
  <c r="U44" i="4"/>
  <c r="R48" i="4"/>
  <c r="CB49" i="4"/>
  <c r="BT50" i="4"/>
  <c r="BQ54" i="4"/>
  <c r="AX54" i="4"/>
  <c r="AY54" i="4" s="1"/>
  <c r="BQ19" i="4"/>
  <c r="P21" i="4"/>
  <c r="R21" i="4" s="1"/>
  <c r="AG20" i="4"/>
  <c r="BK20" i="4" s="1"/>
  <c r="BU21" i="4"/>
  <c r="AS21" i="4"/>
  <c r="BQ22" i="4"/>
  <c r="U24" i="4"/>
  <c r="AI24" i="4"/>
  <c r="AW27" i="4"/>
  <c r="AY27" i="4" s="1"/>
  <c r="AH28" i="4"/>
  <c r="AI31" i="4"/>
  <c r="BX32" i="4"/>
  <c r="L43" i="4"/>
  <c r="R46" i="4"/>
  <c r="BY46" i="4"/>
  <c r="AV46" i="4"/>
  <c r="BX47" i="4"/>
  <c r="BW50" i="4"/>
  <c r="BT54" i="4"/>
  <c r="BS21" i="4"/>
  <c r="CB28" i="4"/>
  <c r="AX41" i="4"/>
  <c r="AW43" i="4"/>
  <c r="BX50" i="4"/>
  <c r="BT52" i="4"/>
  <c r="BW54" i="4"/>
  <c r="BT22" i="4"/>
  <c r="O21" i="4"/>
  <c r="R24" i="4"/>
  <c r="BW25" i="4"/>
  <c r="R26" i="4"/>
  <c r="BT26" i="4"/>
  <c r="AY30" i="4"/>
  <c r="U46" i="4"/>
  <c r="AH46" i="4"/>
  <c r="BL46" i="4" s="1"/>
  <c r="R47" i="4"/>
  <c r="BT48" i="4"/>
  <c r="BY50" i="4"/>
  <c r="AV50" i="4"/>
  <c r="BW52" i="4"/>
  <c r="AG54" i="4"/>
  <c r="BT16" i="4"/>
  <c r="AY19" i="4"/>
  <c r="AG21" i="4"/>
  <c r="G34" i="4"/>
  <c r="I33" i="4"/>
  <c r="I34" i="4" s="1"/>
  <c r="AL34" i="4"/>
  <c r="BP33" i="4"/>
  <c r="W34" i="4"/>
  <c r="BY25" i="4"/>
  <c r="AL56" i="4"/>
  <c r="AL58" i="4" s="1"/>
  <c r="R16" i="4"/>
  <c r="AJ20" i="4"/>
  <c r="CB20" i="4"/>
  <c r="AW20" i="4"/>
  <c r="AY20" i="4" s="1"/>
  <c r="V34" i="4"/>
  <c r="X33" i="4"/>
  <c r="AD21" i="4"/>
  <c r="BH21" i="4" s="1"/>
  <c r="AM21" i="4"/>
  <c r="AU21" i="4"/>
  <c r="AX21" i="4" s="1"/>
  <c r="AY24" i="4"/>
  <c r="BX24" i="4"/>
  <c r="AW25" i="4"/>
  <c r="AY25" i="4" s="1"/>
  <c r="AV25" i="4"/>
  <c r="S27" i="4"/>
  <c r="U27" i="4" s="1"/>
  <c r="R27" i="4"/>
  <c r="AW29" i="4"/>
  <c r="AY29" i="4" s="1"/>
  <c r="AV29" i="4"/>
  <c r="AB33" i="4"/>
  <c r="BF33" i="4" s="1"/>
  <c r="M55" i="4"/>
  <c r="O43" i="4"/>
  <c r="AM55" i="4"/>
  <c r="AM56" i="4" s="1"/>
  <c r="AM58" i="4" s="1"/>
  <c r="AX43" i="4"/>
  <c r="H34" i="4"/>
  <c r="X21" i="4"/>
  <c r="BT23" i="4"/>
  <c r="AH30" i="4"/>
  <c r="BL30" i="4" s="1"/>
  <c r="AG30" i="4"/>
  <c r="AI16" i="4"/>
  <c r="AV16" i="4"/>
  <c r="BK16" i="4" s="1"/>
  <c r="AG19" i="4"/>
  <c r="BK19" i="4" s="1"/>
  <c r="BY19" i="4"/>
  <c r="I21" i="4"/>
  <c r="Q21" i="4"/>
  <c r="Y34" i="4"/>
  <c r="BC34" i="4" s="1"/>
  <c r="BR33" i="4"/>
  <c r="AA33" i="4"/>
  <c r="AP21" i="4"/>
  <c r="U26" i="4"/>
  <c r="BQ27" i="4"/>
  <c r="BQ28" i="4"/>
  <c r="AI30" i="4"/>
  <c r="BY30" i="4"/>
  <c r="AW31" i="4"/>
  <c r="AY31" i="4" s="1"/>
  <c r="AV31" i="4"/>
  <c r="BU43" i="4"/>
  <c r="AV23" i="4"/>
  <c r="AW23" i="4"/>
  <c r="AY23" i="4" s="1"/>
  <c r="AI26" i="4"/>
  <c r="BY26" i="4"/>
  <c r="U31" i="4"/>
  <c r="X34" i="4"/>
  <c r="AW16" i="4"/>
  <c r="BL16" i="4" s="1"/>
  <c r="T19" i="4"/>
  <c r="U19" i="4" s="1"/>
  <c r="AH19" i="4"/>
  <c r="BL19" i="4" s="1"/>
  <c r="R20" i="4"/>
  <c r="BX20" i="4"/>
  <c r="J34" i="4"/>
  <c r="L33" i="4"/>
  <c r="L34" i="4" s="1"/>
  <c r="Z34" i="4"/>
  <c r="BS33" i="4"/>
  <c r="AQ34" i="4"/>
  <c r="AS33" i="4"/>
  <c r="AS34" i="4" s="1"/>
  <c r="BV21" i="4"/>
  <c r="AG22" i="4"/>
  <c r="CB25" i="4"/>
  <c r="BT27" i="4"/>
  <c r="CB29" i="4"/>
  <c r="U30" i="4"/>
  <c r="U32" i="4"/>
  <c r="CB42" i="4"/>
  <c r="AN34" i="4"/>
  <c r="AP33" i="4"/>
  <c r="AP34" i="4" s="1"/>
  <c r="BX19" i="4"/>
  <c r="AX16" i="4"/>
  <c r="AI19" i="4"/>
  <c r="S20" i="4"/>
  <c r="U20" i="4" s="1"/>
  <c r="AI21" i="4"/>
  <c r="BM21" i="4" s="1"/>
  <c r="BO21" i="4"/>
  <c r="BY23" i="4"/>
  <c r="T42" i="4"/>
  <c r="Q43" i="4"/>
  <c r="Q55" i="4" s="1"/>
  <c r="Q56" i="4" s="1"/>
  <c r="Q58" i="4" s="1"/>
  <c r="Y55" i="4"/>
  <c r="BC55" i="4" s="1"/>
  <c r="BR43" i="4"/>
  <c r="AA43" i="4"/>
  <c r="BE43" i="4" s="1"/>
  <c r="BX44" i="4"/>
  <c r="AG44" i="4"/>
  <c r="BK44" i="4" s="1"/>
  <c r="AH44" i="4"/>
  <c r="BL44" i="4" s="1"/>
  <c r="AN56" i="4"/>
  <c r="AN58" i="4" s="1"/>
  <c r="AP55" i="4"/>
  <c r="AP56" i="4" s="1"/>
  <c r="AP58" i="4" s="1"/>
  <c r="AH26" i="4"/>
  <c r="BL26" i="4" s="1"/>
  <c r="AG26" i="4"/>
  <c r="T21" i="4"/>
  <c r="AK34" i="4"/>
  <c r="AM33" i="4"/>
  <c r="AM34" i="4" s="1"/>
  <c r="AJ25" i="4"/>
  <c r="BX26" i="4"/>
  <c r="AJ29" i="4"/>
  <c r="BN29" i="4" s="1"/>
  <c r="AW32" i="4"/>
  <c r="AV32" i="4"/>
  <c r="S53" i="4"/>
  <c r="U53" i="4" s="1"/>
  <c r="R53" i="4"/>
  <c r="AC34" i="4"/>
  <c r="BP16" i="4"/>
  <c r="M34" i="4"/>
  <c r="O33" i="4"/>
  <c r="O34" i="4" s="1"/>
  <c r="AI22" i="4"/>
  <c r="AJ23" i="4"/>
  <c r="AG24" i="4"/>
  <c r="BK24" i="4" s="1"/>
  <c r="BX30" i="4"/>
  <c r="AX32" i="4"/>
  <c r="R44" i="4"/>
  <c r="AH24" i="4"/>
  <c r="BL24" i="4" s="1"/>
  <c r="BX25" i="4"/>
  <c r="AJ27" i="4"/>
  <c r="BX29" i="4"/>
  <c r="R31" i="4"/>
  <c r="BX31" i="4"/>
  <c r="AF33" i="4"/>
  <c r="BY32" i="4"/>
  <c r="S42" i="4"/>
  <c r="U42" i="4" s="1"/>
  <c r="R42" i="4"/>
  <c r="AV43" i="4"/>
  <c r="AW48" i="4"/>
  <c r="AV48" i="4"/>
  <c r="AI52" i="4"/>
  <c r="BY52" i="4"/>
  <c r="AG52" i="4"/>
  <c r="W56" i="4"/>
  <c r="AH31" i="4"/>
  <c r="BL31" i="4" s="1"/>
  <c r="AI32" i="4"/>
  <c r="BM32" i="4" s="1"/>
  <c r="BT38" i="4"/>
  <c r="U41" i="4"/>
  <c r="AW41" i="4"/>
  <c r="AV41" i="4"/>
  <c r="BS43" i="4"/>
  <c r="AU55" i="4"/>
  <c r="AX55" i="4" s="1"/>
  <c r="BX23" i="4"/>
  <c r="BX27" i="4"/>
  <c r="AE33" i="4"/>
  <c r="AX38" i="4"/>
  <c r="BW41" i="4"/>
  <c r="BT42" i="4"/>
  <c r="G56" i="4"/>
  <c r="G58" i="4" s="1"/>
  <c r="P43" i="4"/>
  <c r="P55" i="4" s="1"/>
  <c r="P56" i="4" s="1"/>
  <c r="P58" i="4" s="1"/>
  <c r="AH49" i="4"/>
  <c r="BL49" i="4" s="1"/>
  <c r="AG49" i="4"/>
  <c r="BK49" i="4" s="1"/>
  <c r="BX49" i="4"/>
  <c r="BQ51" i="4"/>
  <c r="AV26" i="4"/>
  <c r="AG27" i="4"/>
  <c r="BK27" i="4" s="1"/>
  <c r="BY27" i="4"/>
  <c r="AV30" i="4"/>
  <c r="BX38" i="4"/>
  <c r="AG38" i="4"/>
  <c r="AV38" i="4"/>
  <c r="H55" i="4"/>
  <c r="T43" i="4"/>
  <c r="AC55" i="4"/>
  <c r="BG55" i="4" s="1"/>
  <c r="BV43" i="4"/>
  <c r="AP43" i="4"/>
  <c r="CB47" i="4"/>
  <c r="R28" i="4"/>
  <c r="BX28" i="4"/>
  <c r="BY41" i="4"/>
  <c r="AH42" i="4"/>
  <c r="BL42" i="4" s="1"/>
  <c r="AG42" i="4"/>
  <c r="BX42" i="4"/>
  <c r="I43" i="4"/>
  <c r="AF43" i="4"/>
  <c r="BJ43" i="4" s="1"/>
  <c r="BW53" i="4"/>
  <c r="Q33" i="4"/>
  <c r="Q34" i="4" s="1"/>
  <c r="AH38" i="4"/>
  <c r="BL38" i="4" s="1"/>
  <c r="AJ41" i="4"/>
  <c r="BQ42" i="4"/>
  <c r="BO55" i="4"/>
  <c r="V56" i="4"/>
  <c r="X55" i="4"/>
  <c r="BT44" i="4"/>
  <c r="AY44" i="4"/>
  <c r="BQ45" i="4"/>
  <c r="AY50" i="4"/>
  <c r="BY38" i="4"/>
  <c r="AE43" i="4"/>
  <c r="BY44" i="4"/>
  <c r="BW46" i="4"/>
  <c r="AJ47" i="4"/>
  <c r="CA50" i="4"/>
  <c r="AB56" i="4"/>
  <c r="BF56" i="4" s="1"/>
  <c r="X56" i="4"/>
  <c r="J56" i="4"/>
  <c r="J58" i="4" s="1"/>
  <c r="L55" i="4"/>
  <c r="L56" i="4" s="1"/>
  <c r="L58" i="4" s="1"/>
  <c r="BS56" i="4"/>
  <c r="BS58" i="4" s="1"/>
  <c r="AQ56" i="4"/>
  <c r="AQ58" i="4" s="1"/>
  <c r="AS55" i="4"/>
  <c r="AS56" i="4" s="1"/>
  <c r="AS58" i="4" s="1"/>
  <c r="BT45" i="4"/>
  <c r="BQ47" i="4"/>
  <c r="BY48" i="4"/>
  <c r="BY42" i="4"/>
  <c r="AY46" i="4"/>
  <c r="AY47" i="4"/>
  <c r="S49" i="4"/>
  <c r="U49" i="4" s="1"/>
  <c r="R49" i="4"/>
  <c r="BT53" i="4"/>
  <c r="AT55" i="4"/>
  <c r="AW55" i="4" s="1"/>
  <c r="AW56" i="4" s="1"/>
  <c r="BU55" i="4"/>
  <c r="AS43" i="4"/>
  <c r="AG45" i="4"/>
  <c r="BK45" i="4" s="1"/>
  <c r="BX45" i="4"/>
  <c r="CB46" i="4"/>
  <c r="BW48" i="4"/>
  <c r="AW52" i="4"/>
  <c r="AY52" i="4" s="1"/>
  <c r="AV52" i="4"/>
  <c r="BS55" i="4"/>
  <c r="BY45" i="4"/>
  <c r="AV47" i="4"/>
  <c r="CA47" i="4"/>
  <c r="AJ48" i="4"/>
  <c r="BQ49" i="4"/>
  <c r="AV51" i="4"/>
  <c r="BX52" i="4"/>
  <c r="AH53" i="4"/>
  <c r="BL53" i="4" s="1"/>
  <c r="AG53" i="4"/>
  <c r="BX53" i="4"/>
  <c r="AK56" i="4"/>
  <c r="AK58" i="4" s="1"/>
  <c r="Z58" i="4"/>
  <c r="R38" i="4"/>
  <c r="AD43" i="4"/>
  <c r="AM43" i="4"/>
  <c r="R45" i="4"/>
  <c r="AH45" i="4"/>
  <c r="BL45" i="4" s="1"/>
  <c r="BY47" i="4"/>
  <c r="CB48" i="4"/>
  <c r="BT49" i="4"/>
  <c r="AY51" i="4"/>
  <c r="CB53" i="4"/>
  <c r="AG47" i="4"/>
  <c r="BK47" i="4" s="1"/>
  <c r="AG51" i="4"/>
  <c r="AF55" i="4"/>
  <c r="BY49" i="4"/>
  <c r="BY53" i="4"/>
  <c r="R50" i="4"/>
  <c r="R54" i="4"/>
  <c r="BX54" i="4"/>
  <c r="AG50" i="4"/>
  <c r="BM54" i="4" l="1"/>
  <c r="BL32" i="4"/>
  <c r="BN27" i="4"/>
  <c r="BL25" i="4"/>
  <c r="CA25" i="4" s="1"/>
  <c r="BL20" i="4"/>
  <c r="AZ34" i="4"/>
  <c r="AT34" i="4"/>
  <c r="AW33" i="4"/>
  <c r="X58" i="4"/>
  <c r="BB56" i="4"/>
  <c r="AY48" i="4"/>
  <c r="BN48" i="4" s="1"/>
  <c r="CC48" i="4" s="1"/>
  <c r="BL48" i="4"/>
  <c r="BH43" i="4"/>
  <c r="BW43" i="4" s="1"/>
  <c r="AJ51" i="4"/>
  <c r="BN51" i="4" s="1"/>
  <c r="BN47" i="4"/>
  <c r="CC47" i="4" s="1"/>
  <c r="P33" i="4"/>
  <c r="R33" i="4" s="1"/>
  <c r="R34" i="4" s="1"/>
  <c r="BA56" i="4"/>
  <c r="BK26" i="4"/>
  <c r="BZ26" i="4" s="1"/>
  <c r="BM19" i="4"/>
  <c r="CB19" i="4" s="1"/>
  <c r="AA34" i="4"/>
  <c r="BE34" i="4" s="1"/>
  <c r="BE33" i="4"/>
  <c r="AJ16" i="4"/>
  <c r="BM16" i="4"/>
  <c r="BB33" i="4"/>
  <c r="BA34" i="4"/>
  <c r="BP34" i="4" s="1"/>
  <c r="AW21" i="4"/>
  <c r="CB31" i="4"/>
  <c r="BM31" i="4"/>
  <c r="BK25" i="4"/>
  <c r="BK23" i="4"/>
  <c r="BZ23" i="4" s="1"/>
  <c r="BK41" i="4"/>
  <c r="BZ41" i="4" s="1"/>
  <c r="BL29" i="4"/>
  <c r="CA29" i="4" s="1"/>
  <c r="BN50" i="4"/>
  <c r="CC50" i="4" s="1"/>
  <c r="BN23" i="4"/>
  <c r="CC23" i="4" s="1"/>
  <c r="BK52" i="4"/>
  <c r="BM22" i="4"/>
  <c r="CB22" i="4" s="1"/>
  <c r="BZ28" i="4"/>
  <c r="BZ32" i="4"/>
  <c r="BE21" i="4"/>
  <c r="BT21" i="4" s="1"/>
  <c r="BM51" i="4"/>
  <c r="CB51" i="4" s="1"/>
  <c r="BK48" i="4"/>
  <c r="BL52" i="4"/>
  <c r="BL27" i="4"/>
  <c r="BI33" i="4"/>
  <c r="BB34" i="4"/>
  <c r="BQ34" i="4" s="1"/>
  <c r="BK30" i="4"/>
  <c r="AF56" i="4"/>
  <c r="BJ55" i="4"/>
  <c r="BB55" i="4"/>
  <c r="BK22" i="4"/>
  <c r="BZ22" i="4" s="1"/>
  <c r="CB30" i="4"/>
  <c r="BM30" i="4"/>
  <c r="AY43" i="4"/>
  <c r="BZ46" i="4"/>
  <c r="BM24" i="4"/>
  <c r="CB24" i="4" s="1"/>
  <c r="BK29" i="4"/>
  <c r="BZ29" i="4" s="1"/>
  <c r="BL22" i="4"/>
  <c r="CA22" i="4" s="1"/>
  <c r="BJ21" i="4"/>
  <c r="BL23" i="4"/>
  <c r="CA23" i="4" s="1"/>
  <c r="BZ42" i="4"/>
  <c r="BK42" i="4"/>
  <c r="BG34" i="4"/>
  <c r="BV34" i="4" s="1"/>
  <c r="BZ54" i="4"/>
  <c r="AH21" i="4"/>
  <c r="BN25" i="4"/>
  <c r="CC25" i="4" s="1"/>
  <c r="BD34" i="4"/>
  <c r="BS34" i="4" s="1"/>
  <c r="BK54" i="4"/>
  <c r="BL28" i="4"/>
  <c r="CA28" i="4" s="1"/>
  <c r="BK31" i="4"/>
  <c r="BZ31" i="4" s="1"/>
  <c r="AZ56" i="4"/>
  <c r="BM52" i="4"/>
  <c r="CB52" i="4" s="1"/>
  <c r="BK50" i="4"/>
  <c r="BZ50" i="4" s="1"/>
  <c r="BK51" i="4"/>
  <c r="BK53" i="4"/>
  <c r="BZ53" i="4" s="1"/>
  <c r="AE55" i="4"/>
  <c r="BI43" i="4"/>
  <c r="BK38" i="4"/>
  <c r="BZ38" i="4" s="1"/>
  <c r="AI33" i="4"/>
  <c r="BM26" i="4"/>
  <c r="CB26" i="4" s="1"/>
  <c r="BB21" i="4"/>
  <c r="BN20" i="4"/>
  <c r="CC20" i="4" s="1"/>
  <c r="BM41" i="4"/>
  <c r="CB41" i="4" s="1"/>
  <c r="BB43" i="4"/>
  <c r="BQ43" i="4" s="1"/>
  <c r="BM38" i="4"/>
  <c r="CB38" i="4" s="1"/>
  <c r="AI55" i="4"/>
  <c r="BM55" i="4" s="1"/>
  <c r="CB55" i="4" s="1"/>
  <c r="AY41" i="4"/>
  <c r="BN41" i="4" s="1"/>
  <c r="BP55" i="4"/>
  <c r="BT43" i="4"/>
  <c r="S21" i="4"/>
  <c r="U21" i="4" s="1"/>
  <c r="BZ20" i="4"/>
  <c r="BZ25" i="4"/>
  <c r="BZ45" i="4"/>
  <c r="BZ48" i="4"/>
  <c r="CA41" i="4"/>
  <c r="BZ49" i="4"/>
  <c r="BZ24" i="4"/>
  <c r="AJ28" i="4"/>
  <c r="BZ30" i="4"/>
  <c r="BX21" i="4"/>
  <c r="CC27" i="4"/>
  <c r="CC29" i="4"/>
  <c r="CB54" i="4"/>
  <c r="AJ54" i="4"/>
  <c r="CA46" i="4"/>
  <c r="AJ46" i="4"/>
  <c r="BN46" i="4" s="1"/>
  <c r="CC46" i="4" s="1"/>
  <c r="BQ21" i="4"/>
  <c r="BZ16" i="4"/>
  <c r="BT34" i="4"/>
  <c r="CA16" i="4"/>
  <c r="CC51" i="4"/>
  <c r="AV21" i="4"/>
  <c r="BK21" i="4" s="1"/>
  <c r="BZ21" i="4" s="1"/>
  <c r="AJ53" i="4"/>
  <c r="CA53" i="4"/>
  <c r="AG55" i="4"/>
  <c r="BK55" i="4" s="1"/>
  <c r="T55" i="4"/>
  <c r="T56" i="4" s="1"/>
  <c r="T58" i="4" s="1"/>
  <c r="H56" i="4"/>
  <c r="H58" i="4" s="1"/>
  <c r="AE56" i="4"/>
  <c r="BI56" i="4" s="1"/>
  <c r="AJ49" i="4"/>
  <c r="CA49" i="4"/>
  <c r="AX56" i="4"/>
  <c r="AX58" i="4" s="1"/>
  <c r="BZ52" i="4"/>
  <c r="CA24" i="4"/>
  <c r="AJ24" i="4"/>
  <c r="AJ21" i="4"/>
  <c r="AJ19" i="4"/>
  <c r="CA19" i="4"/>
  <c r="BZ19" i="4"/>
  <c r="AJ30" i="4"/>
  <c r="CA30" i="4"/>
  <c r="O55" i="4"/>
  <c r="O56" i="4" s="1"/>
  <c r="O58" i="4" s="1"/>
  <c r="M56" i="4"/>
  <c r="M58" i="4" s="1"/>
  <c r="AF58" i="4"/>
  <c r="S33" i="4"/>
  <c r="AY21" i="4"/>
  <c r="AJ38" i="4"/>
  <c r="CA38" i="4"/>
  <c r="CA52" i="4"/>
  <c r="AI56" i="4"/>
  <c r="BM56" i="4" s="1"/>
  <c r="AJ26" i="4"/>
  <c r="CA26" i="4"/>
  <c r="BY55" i="4"/>
  <c r="AV55" i="4"/>
  <c r="AV56" i="4" s="1"/>
  <c r="AV58" i="4" s="1"/>
  <c r="AT56" i="4"/>
  <c r="AT58" i="4" s="1"/>
  <c r="AJ42" i="4"/>
  <c r="CA42" i="4"/>
  <c r="AU56" i="4"/>
  <c r="AU58" i="4" s="1"/>
  <c r="Y56" i="4"/>
  <c r="BC56" i="4" s="1"/>
  <c r="AA55" i="4"/>
  <c r="BE55" i="4" s="1"/>
  <c r="BR55" i="4"/>
  <c r="CB21" i="4"/>
  <c r="BD58" i="4"/>
  <c r="BU33" i="4"/>
  <c r="AB34" i="4"/>
  <c r="AD33" i="4"/>
  <c r="BH33" i="4" s="1"/>
  <c r="V58" i="4"/>
  <c r="S43" i="4"/>
  <c r="U43" i="4" s="1"/>
  <c r="R43" i="4"/>
  <c r="BZ51" i="4"/>
  <c r="CA45" i="4"/>
  <c r="AJ45" i="4"/>
  <c r="AJ52" i="4"/>
  <c r="BZ27" i="4"/>
  <c r="I55" i="4"/>
  <c r="I56" i="4" s="1"/>
  <c r="I58" i="4" s="1"/>
  <c r="BX33" i="4"/>
  <c r="AG33" i="4"/>
  <c r="CB32" i="4"/>
  <c r="AE34" i="4"/>
  <c r="BI34" i="4" s="1"/>
  <c r="T33" i="4"/>
  <c r="T34" i="4" s="1"/>
  <c r="R55" i="4"/>
  <c r="R56" i="4" s="1"/>
  <c r="R58" i="4" s="1"/>
  <c r="AF34" i="4"/>
  <c r="BW21" i="4"/>
  <c r="BZ47" i="4"/>
  <c r="CA48" i="4"/>
  <c r="AB58" i="4"/>
  <c r="AI43" i="4"/>
  <c r="BY43" i="4"/>
  <c r="AJ31" i="4"/>
  <c r="CA31" i="4"/>
  <c r="CA32" i="4"/>
  <c r="AY32" i="4"/>
  <c r="AJ44" i="4"/>
  <c r="CA44" i="4"/>
  <c r="BR34" i="4"/>
  <c r="BY16" i="4"/>
  <c r="AH33" i="4"/>
  <c r="BL33" i="4" s="1"/>
  <c r="BY21" i="4"/>
  <c r="CA20" i="4"/>
  <c r="BV55" i="4"/>
  <c r="AC56" i="4"/>
  <c r="BG56" i="4" s="1"/>
  <c r="AD55" i="4"/>
  <c r="BH55" i="4" s="1"/>
  <c r="BO34" i="4"/>
  <c r="AY55" i="4"/>
  <c r="AW58" i="4"/>
  <c r="AW34" i="4"/>
  <c r="AY16" i="4"/>
  <c r="BT33" i="4"/>
  <c r="BX16" i="4"/>
  <c r="BX43" i="4"/>
  <c r="AH43" i="4"/>
  <c r="BL43" i="4" s="1"/>
  <c r="AG43" i="4"/>
  <c r="BK43" i="4" s="1"/>
  <c r="S55" i="4"/>
  <c r="AY38" i="4"/>
  <c r="W58" i="4"/>
  <c r="AU33" i="4"/>
  <c r="BJ33" i="4" s="1"/>
  <c r="BW16" i="4"/>
  <c r="BZ44" i="4"/>
  <c r="AJ32" i="4"/>
  <c r="CA27" i="4"/>
  <c r="AJ22" i="4"/>
  <c r="BQ33" i="4"/>
  <c r="P34" i="4"/>
  <c r="BN26" i="4" l="1"/>
  <c r="CC26" i="4" s="1"/>
  <c r="BN49" i="4"/>
  <c r="CC49" i="4" s="1"/>
  <c r="BN44" i="4"/>
  <c r="CC44" i="4" s="1"/>
  <c r="BN42" i="4"/>
  <c r="CC42" i="4" s="1"/>
  <c r="BN28" i="4"/>
  <c r="CC28" i="4" s="1"/>
  <c r="BN24" i="4"/>
  <c r="CC24" i="4" s="1"/>
  <c r="BN54" i="4"/>
  <c r="CC54" i="4" s="1"/>
  <c r="BN21" i="4"/>
  <c r="CC21" i="4" s="1"/>
  <c r="BN32" i="4"/>
  <c r="BN31" i="4"/>
  <c r="CC31" i="4" s="1"/>
  <c r="CC52" i="4"/>
  <c r="BN52" i="4"/>
  <c r="BN16" i="4"/>
  <c r="CC16" i="4" s="1"/>
  <c r="BN19" i="4"/>
  <c r="CC19" i="4" s="1"/>
  <c r="BN22" i="4"/>
  <c r="CC22" i="4" s="1"/>
  <c r="AH55" i="4"/>
  <c r="BI55" i="4"/>
  <c r="BX55" i="4" s="1"/>
  <c r="BN38" i="4"/>
  <c r="CC38" i="4" s="1"/>
  <c r="BN30" i="4"/>
  <c r="CC30" i="4" s="1"/>
  <c r="CC41" i="4"/>
  <c r="BJ56" i="4"/>
  <c r="BF34" i="4"/>
  <c r="BU34" i="4" s="1"/>
  <c r="BJ34" i="4"/>
  <c r="AI34" i="4"/>
  <c r="BN45" i="4"/>
  <c r="CC45" i="4" s="1"/>
  <c r="BM43" i="4"/>
  <c r="CB43" i="4" s="1"/>
  <c r="BN53" i="4"/>
  <c r="CC53" i="4" s="1"/>
  <c r="BL21" i="4"/>
  <c r="CA21" i="4" s="1"/>
  <c r="BZ55" i="4"/>
  <c r="CC32" i="4"/>
  <c r="AJ33" i="4"/>
  <c r="CA33" i="4"/>
  <c r="AH34" i="4"/>
  <c r="BQ56" i="4"/>
  <c r="BQ58" i="4" s="1"/>
  <c r="BB58" i="4"/>
  <c r="BT55" i="4"/>
  <c r="AA56" i="4"/>
  <c r="BE56" i="4" s="1"/>
  <c r="U33" i="4"/>
  <c r="U34" i="4" s="1"/>
  <c r="S34" i="4"/>
  <c r="BU56" i="4"/>
  <c r="BU58" i="4" s="1"/>
  <c r="BF58" i="4"/>
  <c r="CB56" i="4"/>
  <c r="AY56" i="4"/>
  <c r="AY58" i="4" s="1"/>
  <c r="U55" i="4"/>
  <c r="U56" i="4" s="1"/>
  <c r="U58" i="4" s="1"/>
  <c r="S56" i="4"/>
  <c r="S58" i="4" s="1"/>
  <c r="BX34" i="4"/>
  <c r="BW33" i="4"/>
  <c r="AD34" i="4"/>
  <c r="AU34" i="4"/>
  <c r="AX33" i="4"/>
  <c r="BM33" i="4" s="1"/>
  <c r="BO56" i="4"/>
  <c r="BO58" i="4" s="1"/>
  <c r="AZ58" i="4"/>
  <c r="AV33" i="4"/>
  <c r="AV34" i="4" s="1"/>
  <c r="BW55" i="4"/>
  <c r="AD56" i="4"/>
  <c r="BH56" i="4" s="1"/>
  <c r="CB16" i="4"/>
  <c r="AG56" i="4"/>
  <c r="BK56" i="4" s="1"/>
  <c r="AE58" i="4"/>
  <c r="AJ43" i="4"/>
  <c r="CA43" i="4"/>
  <c r="BP56" i="4"/>
  <c r="BP58" i="4" s="1"/>
  <c r="BA58" i="4"/>
  <c r="BQ55" i="4"/>
  <c r="AC58" i="4"/>
  <c r="AI58" i="4"/>
  <c r="AG34" i="4"/>
  <c r="BY33" i="4"/>
  <c r="Y58" i="4"/>
  <c r="BZ43" i="4"/>
  <c r="BK34" i="4" l="1"/>
  <c r="BK33" i="4"/>
  <c r="BY34" i="4"/>
  <c r="BL34" i="4"/>
  <c r="CA34" i="4" s="1"/>
  <c r="BN43" i="4"/>
  <c r="CC43" i="4" s="1"/>
  <c r="BL55" i="4"/>
  <c r="CA55" i="4" s="1"/>
  <c r="AH56" i="4"/>
  <c r="AJ55" i="4"/>
  <c r="BH34" i="4"/>
  <c r="BW34" i="4" s="1"/>
  <c r="BX56" i="4"/>
  <c r="BX58" i="4" s="1"/>
  <c r="BI58" i="4"/>
  <c r="BY56" i="4"/>
  <c r="BY58" i="4" s="1"/>
  <c r="BJ58" i="4"/>
  <c r="AG58" i="4"/>
  <c r="AA58" i="4"/>
  <c r="BV56" i="4"/>
  <c r="BV58" i="4" s="1"/>
  <c r="BG58" i="4"/>
  <c r="CB58" i="4"/>
  <c r="BR56" i="4"/>
  <c r="BR58" i="4" s="1"/>
  <c r="BC58" i="4"/>
  <c r="CB33" i="4"/>
  <c r="AX34" i="4"/>
  <c r="AY33" i="4"/>
  <c r="AY34" i="4" s="1"/>
  <c r="BZ34" i="4"/>
  <c r="BM58" i="4"/>
  <c r="BZ33" i="4"/>
  <c r="AD58" i="4"/>
  <c r="AJ34" i="4"/>
  <c r="BL56" i="4" l="1"/>
  <c r="AH58" i="4"/>
  <c r="BN34" i="4"/>
  <c r="CC34" i="4" s="1"/>
  <c r="BN33" i="4"/>
  <c r="CC33" i="4" s="1"/>
  <c r="BN55" i="4"/>
  <c r="CC55" i="4" s="1"/>
  <c r="AJ56" i="4"/>
  <c r="BM34" i="4"/>
  <c r="CB34" i="4" s="1"/>
  <c r="BZ56" i="4"/>
  <c r="BZ58" i="4" s="1"/>
  <c r="BK58" i="4"/>
  <c r="BT56" i="4"/>
  <c r="BT58" i="4" s="1"/>
  <c r="BE58" i="4"/>
  <c r="BW56" i="4"/>
  <c r="BW58" i="4" s="1"/>
  <c r="BH58" i="4"/>
  <c r="BN56" i="4" l="1"/>
  <c r="AJ58" i="4"/>
  <c r="BL58" i="4"/>
  <c r="CA56" i="4"/>
  <c r="CA58" i="4" s="1"/>
  <c r="K27" i="1"/>
  <c r="K28" i="1" s="1"/>
  <c r="J27" i="1"/>
  <c r="J28" i="1" s="1"/>
  <c r="I27" i="1"/>
  <c r="I28" i="1" s="1"/>
  <c r="H27" i="1"/>
  <c r="H28" i="1" s="1"/>
  <c r="BN58" i="4" l="1"/>
  <c r="CC56" i="4"/>
  <c r="CC58" i="4" s="1"/>
</calcChain>
</file>

<file path=xl/sharedStrings.xml><?xml version="1.0" encoding="utf-8"?>
<sst xmlns="http://schemas.openxmlformats.org/spreadsheetml/2006/main" count="769" uniqueCount="170">
  <si>
    <t xml:space="preserve"> </t>
  </si>
  <si>
    <t>ACT</t>
  </si>
  <si>
    <t>Periodo Actual</t>
  </si>
  <si>
    <t>Periodo Anterior</t>
  </si>
  <si>
    <t>INI</t>
  </si>
  <si>
    <t xml:space="preserve">    Información a revelar sobre propiedades de inversión [bloque de texto]  </t>
  </si>
  <si>
    <t xml:space="preserve">      Información a revelar detallada sobre propiedades de inversión [bloque de texto]  </t>
  </si>
  <si>
    <t xml:space="preserve">      Explicación de si la entidad aplicaba el modelo del valor razonable o el modelo del costo para medir las propiedades de inversión [Texto]</t>
  </si>
  <si>
    <t xml:space="preserve">      Descripción de los criterios utilizados para distinguir entre propiedades de inversión de las propiedades ocupadas por el propietario y de las propiedades mantenidas para la venta en el curso ordinario del negocio [Texto]</t>
  </si>
  <si>
    <t xml:space="preserve">      Descripción de la medida en que el valor razonable de las propiedades de inversión se basan en la valoración por un tasador independiente [Texto]</t>
  </si>
  <si>
    <t xml:space="preserve">      Ingresos derivados de rentas provenientes de las propiedades de inversión [Número]</t>
  </si>
  <si>
    <t xml:space="preserve">      Gastos de operación directos procedentes de propiedades de inversión generadoras de ingresos por arrendamientos [Número]</t>
  </si>
  <si>
    <t xml:space="preserve">      Gastos de operación directos procedentes de propiedades de inversión no generadoras de ingresos por arrendamientos [Número]</t>
  </si>
  <si>
    <t xml:space="preserve">      Cambio acumulado en el valor razonable reconocido en el resultado del periodo por la venta de propiedades de inversión entre conjuntos de activos medidos usando diferentes modelos [Número]</t>
  </si>
  <si>
    <t xml:space="preserve">      Explicación de las restricciones sobre la realización de las propiedades de inversión o remisión de los ingresos y recursos obtenidos por su disposición [Texto]</t>
  </si>
  <si>
    <t xml:space="preserve">      Restricciones sobre la realización de propiedades de inversión o la remisión de ingresos e importes obtenidos por su disposición [Número]</t>
  </si>
  <si>
    <t xml:space="preserve">      Explicación de obligaciones contractuales para adquisición, construcción o desarrollo de propiedades de inversión o por reparaciones, mantenimiento o mejoras [Texto]</t>
  </si>
  <si>
    <t xml:space="preserve">      Información a revelar sobre ajustes significativos a la valoración obtenida [bloque de texto]  </t>
  </si>
  <si>
    <t xml:space="preserve">      Método de depreciación, propiedades de inversión, modelo del costo [Texto]</t>
  </si>
  <si>
    <t xml:space="preserve">      Descripción de propiedades de inversión en los que la información sobre el valor razonable es poco fiable, modelo del costo [Texto]</t>
  </si>
  <si>
    <t xml:space="preserve">      Explicación de porqué el valor razonable no puede a ser medido con fiabilidad para propiedades de inversión, modelo del costo [Texto]</t>
  </si>
  <si>
    <t xml:space="preserve">      Rango de estimaciones dentro de las que es probable que se encuentre el valor razonable para propiedades de inversión, modelo del costo [Texto]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</si>
  <si>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tabla  marcada con línea punteada roja y con fondo verde indican las posiciones donde es posible agregar elementos. Esta tabla puede ser copiada  debajo de este cuadro si se desean agregar mas columnas.
-Para cada columna creada (verde) debe escribirse una descripción (en rojo).
-Las tablas marcadas en plomo </t>
    </r>
    <r>
      <rPr>
        <b/>
        <sz val="10"/>
        <rFont val="Calibri"/>
        <family val="2"/>
      </rPr>
      <t>no deben ser editadas, eliminadas ni movidas.</t>
    </r>
  </si>
  <si>
    <t>DIMEAVA</t>
  </si>
  <si>
    <t xml:space="preserve">Depreciación acumulada, amortización y deterioro de valor [miembro]  </t>
  </si>
  <si>
    <t xml:space="preserve">Importe en libros en términos brutos [miembro]  </t>
  </si>
  <si>
    <t xml:space="preserve">Importe en libros [miembro]  </t>
  </si>
  <si>
    <t xml:space="preserve">Modelo del valor razonable [miembro]  </t>
  </si>
  <si>
    <t xml:space="preserve">Al costo [miembro]  </t>
  </si>
  <si>
    <t xml:space="preserve">Suma de mediciones [miembro]  </t>
  </si>
  <si>
    <t>DIMENUE</t>
  </si>
  <si>
    <t xml:space="preserve">        Información a revelar detallada sobre propiedades de inversión [resumen]  </t>
  </si>
  <si>
    <t>ANT</t>
  </si>
  <si>
    <t>Depreciación y amortización acumuladas [miembro]</t>
  </si>
  <si>
    <t>Deterioro de valor acumulado [miembro]</t>
  </si>
  <si>
    <t>Propiedades de inversión completadas [miembro]</t>
  </si>
  <si>
    <t>Propiedades de inversión en construcción o desarrollo [miembro]</t>
  </si>
  <si>
    <t>Propiedades de inversión [miembro]</t>
  </si>
  <si>
    <t xml:space="preserve">Cambios en propiedades de inversión [sinopsis]  </t>
  </si>
  <si>
    <t xml:space="preserve">Adiciones, propiedades de inversión [sinopsis]  </t>
  </si>
  <si>
    <t>Adiciones derivadas de desembolsos posteriores reconocidos como activos, propiedades de inversión [Número]</t>
  </si>
  <si>
    <t>Adiciones derivadas de adquisiciones, propiedades de inversión [Número]</t>
  </si>
  <si>
    <t>Adiciones distintas de las de combinaciones de negocios, propiedades de inversión [Número]</t>
  </si>
  <si>
    <t>Adquisiciones realizadas mediante combinaciones de negocios, propiedades de inversión [Número]</t>
  </si>
  <si>
    <t>Incremento (disminución) por diferencias de cambio netas, propiedades de inversión [Número]</t>
  </si>
  <si>
    <t>Depreciación, propiedades de inversión [Número]</t>
  </si>
  <si>
    <t>Pérdidas por deterioro de valor reconocida en resultados, propiedades de inversión [Número]</t>
  </si>
  <si>
    <t>Reversión de deterioro de valor reconocida en resultados, propiedades de inversión [Número]</t>
  </si>
  <si>
    <t>Ganancias (pérdidas) por ajustes del valor razonable, propiedades de inversión [Número]</t>
  </si>
  <si>
    <t>Transferencias de (a) inventarios y bienes inmuebles ocupados por el propietario, propiedades de inversión [Número]</t>
  </si>
  <si>
    <t>Disposiciones, propiedades de inversión [Número]</t>
  </si>
  <si>
    <t>Disminuciones mediante la clasificación de mantenidos para la venta, propiedades de inversión [Número]</t>
  </si>
  <si>
    <t>Incremento (disminución) por otros cambios, propiedades de inversión [Número]</t>
  </si>
  <si>
    <t>Incremento (disminución) en propiedades de inversión [Número]</t>
  </si>
  <si>
    <t>Propiedad de inversión al final del periodo [Número]</t>
  </si>
  <si>
    <t>Transferencia de propiedades de inversión en construcción o desarrollo, propiedades de inversión [Número]</t>
  </si>
  <si>
    <t xml:space="preserve">Conciliación por cambios en propiedades de inversión [sinopsis]  </t>
  </si>
  <si>
    <t>Información a revelar detallada sobre propiedades de inversión [tabla]</t>
  </si>
  <si>
    <t>Ingreso por alquileres de propiedades de inversión, neto de gastos de operación directos [resumen]</t>
  </si>
  <si>
    <t>Gastos de operación directos procedentes de propiedades de inversión [resumen]</t>
  </si>
  <si>
    <t>Trimestre acumulado año actual</t>
  </si>
  <si>
    <t>Trimestre acumulado año anterior</t>
  </si>
  <si>
    <t>Último trimestre año actual</t>
  </si>
  <si>
    <t>Último trimestre año anterior</t>
  </si>
  <si>
    <t>AAN</t>
  </si>
  <si>
    <t>Cargar hoja:</t>
  </si>
  <si>
    <t>SI</t>
  </si>
  <si>
    <t>NO</t>
  </si>
  <si>
    <t>full_ifrs-cor_2015-03-11.xsd#ifrs-full_DisclosureOfInvestmentPropertyExplanatory</t>
  </si>
  <si>
    <t>full_ifrs-cor_2015-03-11.xsd#ifrs-full_DisclosureOfDetailedInformationAboutInvestmentPropertyExplanatory</t>
  </si>
  <si>
    <t>full_ifrs-cor_2015-03-11.xsd#ifrs-full_ModelUsedToMeasureInvestmentProperty</t>
  </si>
  <si>
    <t>full_ifrs-cor_2015-03-11.xsd#ifrs-full_DescriptionOfCriteriaUsedToDistinguishInvestmentPropertyFromOwneroccupiedPropertyAndFromPropertyHeldSaleInOrdinaryCourseOfBusiness</t>
  </si>
  <si>
    <t>full_ifrs-cor_2015-03-11.xsd#ifrs-full_DescriptionOfExtentToWhichFairValueOfInvestmentPropertyIsBasedOnValuationByIndependentValuer</t>
  </si>
  <si>
    <t>full_ifrs-cor_2015-03-11.xsd#ifrs-full_RentalIncomeFromInvestmentProperty</t>
  </si>
  <si>
    <t>full_ifrs-cor_2015-03-11.xsd#ifrs-full_DirectOperatingExpenseFromInvestmentPropertyGeneratingRentalIncome</t>
  </si>
  <si>
    <t>full_ifrs-cor_2015-03-11.xsd#ifrs-full_DirectOperatingExpenseFromInvestmentPropertyNotGeneratingRentalIncome</t>
  </si>
  <si>
    <t>full_ifrs-cor_2015-03-11.xsd#ifrs-full_DirectOperatingExpenseFromInvestmentProperty</t>
  </si>
  <si>
    <t>full_ifrs-cor_2015-03-11.xsd#ifrs-full_RentalIncomeFromInvestmentPropertyNetOfDirectOperatingExpense</t>
  </si>
  <si>
    <t>full_ifrs-cor_2015-03-11.xsd#ifrs-full_CumulativeChangeInFairValueRecognisedInProfitOrLossOnSalesOfInvestmentPropertyBetweenPoolsOfAssetsMeasuredUsingDifferentModels</t>
  </si>
  <si>
    <t>full_ifrs-cor_2015-03-11.xsd#ifrs-full_ExplanationOfRestrictionsOnRemittanceOfIncomeAndDisposalProceedsOfInvestmentProperty</t>
  </si>
  <si>
    <t>full_ifrs-cor_2015-03-11.xsd#ifrs-full_RestrictionsOnRealisabilityOfInvestmentPropertyOrRemittanceOfIncomeAndProceedsOfDisposalOfInvestmentProperty</t>
  </si>
  <si>
    <t>full_ifrs-cor_2015-03-11.xsd#ifrs-full_ExplanationOfContractualObligationsToPurchaseConstructOrDevelopInvestmentPropertyOrForRepairsMaintenanceOrEnhancements</t>
  </si>
  <si>
    <t>full_ifrs-cor_2015-03-11.xsd#ifrs-full_DisclosureOfSignificantAdjustmentsToValuationObtainedExplanatory</t>
  </si>
  <si>
    <t>full_ifrs-cor_2015-03-11.xsd#ifrs-full_DepreciationMethodInvestmentPropertyCostModel</t>
  </si>
  <si>
    <t>full_ifrs-cor_2015-03-11.xsd#ifrs-full_DescriptionOfInvestmentPropertyWhereFairValueInformationIsUnreliableCostModel</t>
  </si>
  <si>
    <t>full_ifrs-cor_2015-03-11.xsd#ifrs-full_ExplanationWhyFairValueCannotBeReliablyMeasuredForInvestmentPropertyCostModel</t>
  </si>
  <si>
    <t>full_ifrs-cor_2015-03-11.xsd#ifrs-full_RangeOfEstimatesWithinWhichFairValueIsLikelyToLieForInvestmentPropertyCostModel</t>
  </si>
  <si>
    <t>full_ifrs-cor_2015-03-11.xsd#ifrs-full_DisclosureOfInvestmentPropertyTable</t>
  </si>
  <si>
    <t>full_ifrs-cor_2015-03-11.xsd#ifrs-full_MeasurementAxis</t>
  </si>
  <si>
    <t>full_ifrs-cor_2015-03-11.xsd#ifrs-full_AtCostMember</t>
  </si>
  <si>
    <t>full_ifrs-cor_2015-03-11.xsd#ifrs-full_FairValueModelMember</t>
  </si>
  <si>
    <t>full_ifrs-cor_2015-03-11.xsd#ifrs-full_AggregatedMeasurementMember</t>
  </si>
  <si>
    <t>full_ifrs-cor_2015-03-11.xsd#ifrs-full_CarryingAmountAccumulatedDepreciationAmortisationAndImpairmentAndGrossCarryingAmountAxis</t>
  </si>
  <si>
    <t>full_ifrs-cor_2015-03-11.xsd#ifrs-full_GrossCarryingAmountMember</t>
  </si>
  <si>
    <t>full_ifrs-cor_2015-03-11.xsd#ifrs-full_AccumulatedDepreciationAndAmortisationMember</t>
  </si>
  <si>
    <t>full_ifrs-cor_2015-03-11.xsd#ifrs-full_AccumulatedImpairmentMember</t>
  </si>
  <si>
    <t>full_ifrs-cor_2015-03-11.xsd#ifrs-full_AccumulatedDepreciationAmortisationAndImpairmentMember</t>
  </si>
  <si>
    <t>full_ifrs-cor_2015-03-11.xsd#ifrs-full_CarryingAmountMember</t>
  </si>
  <si>
    <t>full_ifrs-cor_2015-03-11.xsd#ifrs-full_TypesOfInvestmentPropertyAxis</t>
  </si>
  <si>
    <t>full_ifrs-cor_2015-03-11.xsd#ifrs-full_InvestmentPropertyCompletedMember</t>
  </si>
  <si>
    <t>full_ifrs-cor_2015-03-11.xsd#ifrs-full_InvestmentPropertyUnderConstructionOrDevelopmentMember</t>
  </si>
  <si>
    <t>full_ifrs-cor_2015-03-11.xsd#ifrs-full_InvestmentPropertyMember</t>
  </si>
  <si>
    <t>full_ifrs-cor_2015-03-11.xsd#ifrs-full_InvestmentProperty</t>
  </si>
  <si>
    <t>full_ifrs-cor_2015-03-11.xsd#ifrs-full_AdditionsFromSubsequentExpenditureRecognisedAsAssetInvestmentProperty</t>
  </si>
  <si>
    <t>full_ifrs-cor_2015-03-11.xsd#ifrs-full_AdditionsFromAcquisitionsInvestmentProperty</t>
  </si>
  <si>
    <t>full_ifrs-cor_2015-03-11.xsd#ifrs-full_AdditionsOtherThanThroughBusinessCombinationsInvestmentProperty</t>
  </si>
  <si>
    <t>full_ifrs-cor_2015-03-11.xsd#ifrs-full_AcquisitionsThroughBusinessCombinationsInvestmentProperty</t>
  </si>
  <si>
    <t>full_ifrs-cor_2015-03-11.xsd#ifrs-full_IncreaseDecreaseThroughNetExchangeDifferencesInvestmentProperty</t>
  </si>
  <si>
    <t>full_ifrs-cor_2015-03-11.xsd#ifrs-full_DepreciationInvestmentProperty</t>
  </si>
  <si>
    <t>full_ifrs-cor_2015-03-11.xsd#ifrs-full_ImpairmentLossRecognisedInProfitOrLossInvestmentProperty</t>
  </si>
  <si>
    <t>full_ifrs-cor_2015-03-11.xsd#ifrs-full_ReversalOfImpairmentLossRecognisedInProfitOrLossInvestmentProperty</t>
  </si>
  <si>
    <t>full_ifrs-cor_2015-03-11.xsd#ifrs-full_GainsLossesOnFairValueAdjustmentInvestmentProperty</t>
  </si>
  <si>
    <t>full_ifrs-cor_2015-03-11.xsd#ifrs-full_TransferFromToInventoriesAndOwnerOccupiedPropertyInvestmentProperty</t>
  </si>
  <si>
    <t>full_ifrs-cor_2015-03-11.xsd#ifrs-full_TransferFromInvestmentPropertyUnderConstructionOrDevelopmentInvestmentProperty</t>
  </si>
  <si>
    <t>full_ifrs-cor_2015-03-11.xsd#ifrs-full_DisposalsInvestmentProperty</t>
  </si>
  <si>
    <t>full_ifrs-cor_2015-03-11.xsd#ifrs-full_DecreaseThroughClassifiedAsHeldForSaleInvestmentProperty</t>
  </si>
  <si>
    <t>full_ifrs-cor_2015-03-11.xsd#ifrs-full_IncreaseDecreaseThroughOtherChangesInvestmentProperty</t>
  </si>
  <si>
    <t>full_ifrs-cor_2015-03-11.xsd#ifrs-full_ChangesInInvestmentProperty</t>
  </si>
  <si>
    <t>Total gastos de operación directos procedentes de propiedades de inversión [Número]</t>
  </si>
  <si>
    <t>Ingreso por alquileres de propiedades de inversión, neto de gastos de operación directos [Número]</t>
  </si>
  <si>
    <t>full_ifrs-cor_2016-03-31.xsd#ifrs-full_AtCostOrInAccordanceWithIFRS16WithinFairValueModelMember</t>
  </si>
  <si>
    <t>Al costo o de acuerdo con la NIIF 16 dentro del modelo de valor razonable [miembro]</t>
  </si>
  <si>
    <t>full_ifrs-cor_2016-03-31.xsd#ifrs-full_DescriptionOfInvestmentPropertyAtCostOrInAccordanceWithIFRS16WithinFairValueModel</t>
  </si>
  <si>
    <t>Descripción de propiedades de inversión, al costo o de acuerdo con la NIIF 16 dentro del modelo de valor razonable</t>
  </si>
  <si>
    <t>full_ifrs-cor_2016-03-31.xsd#ifrs-full_ExplanationOfWhyFairValueCannotBeReliablyMeasuredForInvestmentPropertyAtCostOrInAccordanceWithIFRS16WithinFairValueModel</t>
  </si>
  <si>
    <t>Explicación de porqué el valor razonable no puede ser medido con fiabilidad para propiedades de inversión, al costo o de acuerdo con la NIIF 16 dentro del modelo del valor razonable</t>
  </si>
  <si>
    <t>Rango de estimaciones dentro de las que es probable que se encuentre el valor razonable para propiedades de inversión, al costo o de acuerdo con la NIIF 16 dentro del modelo del valor razonable</t>
  </si>
  <si>
    <t>full_ifrs-cor_2016-03-31.xsd#ifrs-full_RangeOfEstimatesWithinWhichFairValueIsLikelyToLieForInvestmentPropertyAtCostOrInAccordanceWithIFRS16WithinFairValueModel</t>
  </si>
  <si>
    <t>full_ifrs-cor_2016-03-31.xsd#ifrs-full_ExplanationOfDisposalOfInvestmentPropertyCarriedAtCostOrInAccordanceWithIFRS16WithinFairValueModel</t>
  </si>
  <si>
    <t>Explicación de disposiciones de propiedades de inversión, al costo o de acuerdo a la NIIF 16 dentro del modelo del valor razonable</t>
  </si>
  <si>
    <t>Propiedades de inversión contabilizadas al costo o de acuerdo con la NIIF 16 dentro del modelo del valor razonable, en el momento de la venta</t>
  </si>
  <si>
    <t>full_ifrs-cor_2016-03-31.xsd#ifrs-full_InvestmentPropertyCarriedAtCostOrInAccordanceWithIFRS16WithinFairValueModelAtTimeOfSale</t>
  </si>
  <si>
    <t>Ganancias (pérdidas) por disposiciones de propiedades de inversión, contabilizadas al costo o de acuerdo con la NIIF 16 dentro del modelo del valor razonable</t>
  </si>
  <si>
    <t>full_ifrs-cor_2016-03-31.xsd#ifrs-full_GainsLossesOnDisposalsOfInvestmentPropertyCarriedAtCostOrInAccordanceWithIFRS16WithinFairValueModel</t>
  </si>
  <si>
    <t>10.0</t>
  </si>
  <si>
    <t>pre_cl-ci_ias-40_2019-03-27_role-825100</t>
  </si>
  <si>
    <t>Tasa de depreciación, propiedades de inversión, modelo del costo</t>
  </si>
  <si>
    <t>Vida útil medida como un periodo de tiempo, propiedades de inversión, modelo del costo</t>
  </si>
  <si>
    <t>Descripción de la vida útil, propiedades de inversión, modelo del costo</t>
  </si>
  <si>
    <t>full_ifrs-cor_2019-03-27.xsd#ifrs-full_UsefulLifeMeasuredAsPeriodOfTimeInvestmentPropertyCostModel</t>
  </si>
  <si>
    <t>full_ifrs-cor_2019-03-27.xsd#ifrs-full_DepreciationRateInvestmentPropertyCostModel</t>
  </si>
  <si>
    <t>full_ifrs-cor_2019-03-27.xsd#ifrs-full_DescriptionOfUsefulLifeInvestmentPropertyCostModel</t>
  </si>
  <si>
    <t>Cierre Trimestre Actual</t>
  </si>
  <si>
    <t>Cierre Trimestre Año Anterior</t>
  </si>
  <si>
    <t>Trimestre Acumulado Actual</t>
  </si>
  <si>
    <t>Trimestre Acumulado Anterior</t>
  </si>
  <si>
    <t>Trimestre Actual</t>
  </si>
  <si>
    <t>Trimestre Anterior</t>
  </si>
  <si>
    <t>full_ifrs-cor_2015-03-11.xsd#ifrs-full_AtFairValueMember</t>
  </si>
  <si>
    <t>A valor razonable [miembro]</t>
  </si>
  <si>
    <t>Propiedad de inversión al 31/12/2019 [Número]</t>
  </si>
  <si>
    <t>Propiedad de inversión al 31/12/2018 [Número]</t>
  </si>
  <si>
    <t>Fila de cuadratura con saldo inicial al 31-12-2019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</si>
  <si>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</si>
  <si>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</si>
  <si>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</si>
  <si>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</si>
  <si>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</si>
  <si>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</si>
  <si>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</si>
  <si>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</si>
  <si>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</si>
  <si>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</si>
  <si>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</si>
  <si>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</si>
  <si>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P10Y</t>
  </si>
  <si>
    <t>L</t>
  </si>
  <si>
    <t>m</t>
  </si>
  <si>
    <t>n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</si>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</sst>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11"/>
      <name val="Calibri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sz val="11"/>
      <color theme="0"/>
      <name val="Calibri"/>
      <family val="2"/>
      <scheme val="minor"/>
    </font>
    <font>
      <b/>
      <sz val="18"/>
      <name val="Calibri"/>
      <family val="2"/>
    </font>
    <font>
      <sz val="11"/>
      <color indexed="10"/>
      <name val="Calibri"/>
      <family val="2"/>
    </font>
    <font>
      <b/>
      <sz val="11"/>
      <name val="Verdana"/>
      <family val="2"/>
    </font>
    <font>
      <sz val="8"/>
      <name val="Verdana"/>
      <family val="2"/>
    </font>
    <font>
      <u/>
      <sz val="11"/>
      <color theme="1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11"/>
      <name val="Verdana"/>
      <family val="2"/>
    </font>
    <font>
      <u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10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14" fillId="0" borderId="0" applyNumberFormat="0" applyFill="0" applyBorder="0" applyAlignment="0" applyProtection="0"/>
  </cellStyleXfs>
  <cellXfs count="68">
    <xf numFmtId="0" fontId="0" fillId="0" borderId="0" xfId="0"/>
    <xf numFmtId="3" fontId="2" fillId="2" borderId="0" xfId="1" applyNumberFormat="1" applyFont="1" applyFill="1" applyBorder="1">
      <alignment vertical="center"/>
    </xf>
    <xf numFmtId="0" fontId="3" fillId="2" borderId="0" xfId="0" applyFont="1" applyFill="1" applyAlignment="1">
      <alignment horizontal="left" vertical="center" indent="3"/>
    </xf>
    <xf numFmtId="0" fontId="3" fillId="2" borderId="0" xfId="0" applyFont="1" applyFill="1" applyAlignment="1">
      <alignment horizontal="left" vertical="center" wrapText="1" indent="3"/>
    </xf>
    <xf numFmtId="0" fontId="3" fillId="3" borderId="1" xfId="0" applyFont="1" applyFill="1" applyBorder="1" applyAlignment="1">
      <alignment horizontal="left" vertical="center" indent="3"/>
    </xf>
    <xf numFmtId="0" fontId="4" fillId="2" borderId="0" xfId="0" applyFont="1" applyFill="1" applyAlignment="1">
      <alignment horizontal="left" vertical="center" wrapText="1" indent="3"/>
    </xf>
    <xf numFmtId="3" fontId="2" fillId="3" borderId="1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3" fontId="2" fillId="2" borderId="9" xfId="1" applyNumberFormat="1" applyFont="1" applyFill="1" applyBorder="1">
      <alignment vertical="center"/>
    </xf>
    <xf numFmtId="0" fontId="3" fillId="2" borderId="9" xfId="0" applyFont="1" applyFill="1" applyBorder="1" applyAlignment="1">
      <alignment horizontal="left" vertical="center" indent="3"/>
    </xf>
    <xf numFmtId="3" fontId="2" fillId="2" borderId="10" xfId="1" applyNumberFormat="1" applyFont="1" applyFill="1" applyBorder="1">
      <alignment vertical="center"/>
    </xf>
    <xf numFmtId="0" fontId="4" fillId="2" borderId="9" xfId="0" applyFont="1" applyFill="1" applyBorder="1" applyAlignment="1">
      <alignment horizontal="left" vertical="center" wrapText="1" indent="3"/>
    </xf>
    <xf numFmtId="0" fontId="10" fillId="8" borderId="13" xfId="0" applyFont="1" applyFill="1" applyBorder="1" applyAlignment="1">
      <alignment horizontal="center" vertical="center" wrapText="1"/>
    </xf>
    <xf numFmtId="0" fontId="11" fillId="0" borderId="0" xfId="0" applyFont="1"/>
    <xf numFmtId="0" fontId="9" fillId="6" borderId="17" xfId="0" applyFont="1" applyFill="1" applyBorder="1" applyProtection="1">
      <protection locked="0"/>
    </xf>
    <xf numFmtId="0" fontId="9" fillId="6" borderId="18" xfId="0" applyFont="1" applyFill="1" applyBorder="1" applyProtection="1">
      <protection locked="0"/>
    </xf>
    <xf numFmtId="0" fontId="9" fillId="6" borderId="19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7" borderId="0" xfId="0" applyFill="1" applyProtection="1">
      <protection locked="0"/>
    </xf>
    <xf numFmtId="0" fontId="6" fillId="6" borderId="0" xfId="0" applyFont="1" applyFill="1" applyProtection="1">
      <protection locked="0"/>
    </xf>
    <xf numFmtId="0" fontId="0" fillId="7" borderId="6" xfId="0" applyFill="1" applyBorder="1" applyProtection="1">
      <protection locked="0"/>
    </xf>
    <xf numFmtId="0" fontId="12" fillId="2" borderId="9" xfId="3" applyFont="1" applyFill="1" applyBorder="1" applyAlignment="1" applyProtection="1">
      <alignment horizontal="left" vertical="center" wrapText="1"/>
      <protection locked="0"/>
    </xf>
    <xf numFmtId="0" fontId="0" fillId="0" borderId="20" xfId="0" applyBorder="1"/>
    <xf numFmtId="0" fontId="3" fillId="2" borderId="6" xfId="3" applyFont="1" applyFill="1" applyBorder="1" applyProtection="1">
      <alignment vertical="center"/>
      <protection locked="0"/>
    </xf>
    <xf numFmtId="0" fontId="3" fillId="2" borderId="0" xfId="3" applyFont="1" applyFill="1" applyBorder="1" applyProtection="1">
      <alignment vertical="center"/>
      <protection locked="0"/>
    </xf>
    <xf numFmtId="0" fontId="4" fillId="2" borderId="0" xfId="3" applyFont="1" applyFill="1" applyBorder="1" applyAlignment="1" applyProtection="1">
      <alignment horizontal="left" vertical="center" wrapText="1"/>
      <protection locked="0"/>
    </xf>
    <xf numFmtId="0" fontId="3" fillId="2" borderId="0" xfId="3" applyFont="1" applyFill="1" applyBorder="1" applyAlignment="1" applyProtection="1">
      <alignment horizontal="left" vertical="center" wrapText="1" indent="1"/>
      <protection locked="0"/>
    </xf>
    <xf numFmtId="0" fontId="3" fillId="2" borderId="8" xfId="3" applyFont="1" applyFill="1" applyBorder="1" applyProtection="1">
      <alignment vertical="center"/>
      <protection locked="0"/>
    </xf>
    <xf numFmtId="0" fontId="3" fillId="2" borderId="9" xfId="3" applyFont="1" applyFill="1" applyBorder="1" applyProtection="1">
      <alignment vertical="center"/>
      <protection locked="0"/>
    </xf>
    <xf numFmtId="0" fontId="3" fillId="2" borderId="9" xfId="3" applyFont="1" applyFill="1" applyBorder="1" applyAlignment="1" applyProtection="1">
      <alignment horizontal="left" vertical="center" wrapText="1" indent="1"/>
      <protection locked="0"/>
    </xf>
    <xf numFmtId="0" fontId="9" fillId="6" borderId="21" xfId="0" applyFont="1" applyFill="1" applyBorder="1" applyProtection="1">
      <protection locked="0"/>
    </xf>
    <xf numFmtId="0" fontId="9" fillId="6" borderId="22" xfId="0" applyFont="1" applyFill="1" applyBorder="1" applyAlignment="1" applyProtection="1">
      <alignment horizontal="center" vertical="center"/>
      <protection locked="0"/>
    </xf>
    <xf numFmtId="0" fontId="9" fillId="6" borderId="23" xfId="0" applyFont="1" applyFill="1" applyBorder="1" applyProtection="1">
      <protection locked="0"/>
    </xf>
    <xf numFmtId="0" fontId="9" fillId="6" borderId="24" xfId="0" applyFont="1" applyFill="1" applyBorder="1" applyProtection="1">
      <protection locked="0"/>
    </xf>
    <xf numFmtId="3" fontId="13" fillId="9" borderId="1" xfId="3" applyNumberFormat="1" applyFont="1" applyFill="1" applyBorder="1" applyProtection="1">
      <alignment vertical="center"/>
      <protection locked="0"/>
    </xf>
    <xf numFmtId="3" fontId="13" fillId="10" borderId="1" xfId="3" applyNumberFormat="1" applyFont="1" applyFill="1" applyBorder="1" applyProtection="1">
      <alignment vertical="center"/>
      <protection locked="0"/>
    </xf>
    <xf numFmtId="0" fontId="3" fillId="2" borderId="0" xfId="3" applyFont="1" applyFill="1" applyBorder="1" applyAlignment="1" applyProtection="1">
      <alignment horizontal="left" vertical="center" wrapText="1"/>
      <protection locked="0"/>
    </xf>
    <xf numFmtId="0" fontId="0" fillId="7" borderId="7" xfId="0" applyFill="1" applyBorder="1" applyProtection="1">
      <protection locked="0"/>
    </xf>
    <xf numFmtId="0" fontId="3" fillId="2" borderId="7" xfId="3" applyFont="1" applyFill="1" applyBorder="1" applyProtection="1">
      <alignment vertical="center"/>
      <protection locked="0"/>
    </xf>
    <xf numFmtId="0" fontId="3" fillId="2" borderId="10" xfId="3" applyFont="1" applyFill="1" applyBorder="1" applyProtection="1">
      <alignment vertical="center"/>
      <protection locked="0"/>
    </xf>
    <xf numFmtId="0" fontId="4" fillId="2" borderId="0" xfId="0" applyFont="1" applyFill="1" applyAlignment="1">
      <alignment horizontal="left" vertical="center" indent="3"/>
    </xf>
    <xf numFmtId="0" fontId="15" fillId="6" borderId="2" xfId="2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left" vertical="center"/>
    </xf>
    <xf numFmtId="0" fontId="17" fillId="11" borderId="0" xfId="4" applyFont="1" applyFill="1" applyBorder="1" applyAlignment="1">
      <alignment horizontal="left" vertical="center" indent="3"/>
    </xf>
    <xf numFmtId="0" fontId="12" fillId="2" borderId="0" xfId="3" applyFont="1" applyFill="1" applyBorder="1" applyAlignment="1" applyProtection="1">
      <alignment horizontal="left" vertical="center" wrapText="1"/>
      <protection locked="0"/>
    </xf>
    <xf numFmtId="0" fontId="19" fillId="12" borderId="13" xfId="0" applyFont="1" applyFill="1" applyBorder="1" applyAlignment="1">
      <alignment horizontal="right" vertical="center" wrapText="1"/>
    </xf>
    <xf numFmtId="0" fontId="0" fillId="12" borderId="16" xfId="0" applyFill="1" applyBorder="1" applyAlignment="1">
      <alignment vertical="center"/>
    </xf>
    <xf numFmtId="0" fontId="4" fillId="2" borderId="1" xfId="3" applyFont="1" applyFill="1" applyBorder="1" applyAlignment="1" applyProtection="1">
      <alignment horizontal="left" vertical="center" wrapText="1"/>
      <protection locked="0"/>
    </xf>
    <xf numFmtId="3" fontId="0" fillId="5" borderId="1" xfId="0" applyNumberFormat="1" applyFill="1" applyBorder="1"/>
    <xf numFmtId="0" fontId="6" fillId="13" borderId="0" xfId="0" applyFont="1" applyFill="1" applyProtection="1">
      <protection locked="0"/>
    </xf>
    <xf numFmtId="0" fontId="0" fillId="14" borderId="0" xfId="0" applyFill="1"/>
    <xf numFmtId="0" fontId="3" fillId="0" borderId="1" xfId="0" applyFont="1" applyBorder="1" applyAlignment="1">
      <alignment horizontal="left" vertical="center" indent="3"/>
    </xf>
    <xf numFmtId="3" fontId="2" fillId="0" borderId="1" xfId="1" applyNumberFormat="1" applyFont="1" applyFill="1" applyBorder="1">
      <alignment vertical="center"/>
    </xf>
    <xf numFmtId="0" fontId="9" fillId="6" borderId="16" xfId="0" applyFont="1" applyFill="1" applyBorder="1" applyAlignment="1" applyProtection="1">
      <alignment horizontal="center" vertical="center" wrapText="1"/>
      <protection locked="0"/>
    </xf>
    <xf numFmtId="0" fontId="0" fillId="15" borderId="11" xfId="0" applyFill="1" applyBorder="1"/>
    <xf numFmtId="0" fontId="18" fillId="15" borderId="12" xfId="0" applyFont="1" applyFill="1" applyBorder="1"/>
    <xf numFmtId="3" fontId="20" fillId="10" borderId="1" xfId="3" applyNumberFormat="1" applyFont="1" applyFill="1" applyBorder="1" applyProtection="1">
      <alignment vertical="center"/>
      <protection locked="0"/>
    </xf>
    <xf numFmtId="3" fontId="2" fillId="16" borderId="6" xfId="1" applyNumberFormat="1" applyFont="1" applyFill="1" applyBorder="1">
      <alignment vertical="center"/>
    </xf>
    <xf numFmtId="3" fontId="2" fillId="16" borderId="0" xfId="1" applyNumberFormat="1" applyFont="1" applyFill="1" applyBorder="1">
      <alignment vertical="center"/>
    </xf>
    <xf numFmtId="0" fontId="3" fillId="16" borderId="0" xfId="0" applyFont="1" applyFill="1" applyAlignment="1">
      <alignment horizontal="left" vertical="center" indent="3"/>
    </xf>
    <xf numFmtId="0" fontId="9" fillId="6" borderId="14" xfId="0" applyFont="1" applyFill="1" applyBorder="1" applyAlignment="1" applyProtection="1">
      <alignment horizontal="center" vertical="center" wrapText="1"/>
      <protection locked="0"/>
    </xf>
    <xf numFmtId="0" fontId="9" fillId="6" borderId="15" xfId="0" applyFont="1" applyFill="1" applyBorder="1" applyAlignment="1" applyProtection="1">
      <alignment horizontal="center" vertical="center" wrapText="1"/>
      <protection locked="0"/>
    </xf>
    <xf numFmtId="0" fontId="9" fillId="6" borderId="16" xfId="0" applyFont="1" applyFill="1" applyBorder="1" applyAlignment="1" applyProtection="1">
      <alignment horizontal="center" vertical="center" wrapText="1"/>
      <protection locked="0"/>
    </xf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7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2" name="18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40631" y="166688"/>
          <a:ext cx="1071532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3" name="19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91844" y="166688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bnet/xbrl/entregables/parches/parche20190121_v3.7.37/backend/in/base/svs-cl-ci-2019-01-02/xls/IAS40-Cuadros(825100)_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AS40-Cuadros"/>
      <sheetName val="IAS40-InfoRevePropInve"/>
      <sheetName val="Codigo"/>
      <sheetName val="IAS40-Cuadros(825100)_2016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80"/>
  <sheetViews>
    <sheetView topLeftCell="A66" zoomScale="90" zoomScaleNormal="90" workbookViewId="0">
      <selection activeCell="J74" sqref="J74"/>
    </sheetView>
  </sheetViews>
  <sheetFormatPr baseColWidth="10" defaultRowHeight="15"/>
  <cols>
    <col min="1" max="5" width="2.7109375" customWidth="1"/>
    <col min="6" max="6" width="97.85546875" customWidth="1"/>
    <col min="7" max="7" width="2.7109375" customWidth="1"/>
    <col min="8" max="11" width="16.7109375" customWidth="1"/>
  </cols>
  <sheetData>
    <row r="1" spans="1:12" ht="105" customHeight="1">
      <c r="A1" t="s">
        <v>0</v>
      </c>
    </row>
    <row r="2" spans="1:12">
      <c r="G2" s="59" t="s">
        <v>0</v>
      </c>
      <c r="H2" s="60" t="s">
        <v>134</v>
      </c>
    </row>
    <row r="3" spans="1:12">
      <c r="B3" s="7"/>
      <c r="C3" s="8"/>
      <c r="D3" s="8"/>
      <c r="E3" s="8"/>
      <c r="F3" s="8"/>
      <c r="G3" s="8"/>
      <c r="H3" s="8"/>
      <c r="I3" s="8"/>
      <c r="J3" s="8"/>
      <c r="K3" s="8"/>
      <c r="L3" s="9"/>
    </row>
    <row r="4" spans="1:12">
      <c r="B4" s="10"/>
      <c r="C4" s="1"/>
      <c r="D4" s="1" t="s">
        <v>0</v>
      </c>
      <c r="E4" s="1" t="s">
        <v>0</v>
      </c>
      <c r="F4" s="2" t="s">
        <v>5</v>
      </c>
      <c r="G4" s="1"/>
      <c r="H4" s="1"/>
      <c r="I4" s="1"/>
      <c r="J4" s="1"/>
      <c r="K4" s="1"/>
      <c r="L4" s="11"/>
    </row>
    <row r="5" spans="1:12">
      <c r="B5" s="10" t="s">
        <v>135</v>
      </c>
      <c r="C5" s="1" t="s">
        <v>68</v>
      </c>
      <c r="D5" s="1" t="s">
        <v>0</v>
      </c>
      <c r="E5" s="1" t="s">
        <v>0</v>
      </c>
      <c r="F5" s="4" t="s">
        <v>153</v>
      </c>
      <c r="G5" s="1"/>
      <c r="H5" s="1"/>
      <c r="I5" s="1"/>
      <c r="J5" s="1"/>
      <c r="K5" s="1"/>
      <c r="L5" s="11"/>
    </row>
    <row r="6" spans="1:12">
      <c r="B6" s="10" t="s">
        <v>0</v>
      </c>
      <c r="C6" s="1" t="s">
        <v>0</v>
      </c>
      <c r="D6" s="1" t="s">
        <v>0</v>
      </c>
      <c r="E6" s="1" t="s">
        <v>0</v>
      </c>
      <c r="F6" s="2"/>
      <c r="G6" s="1"/>
      <c r="H6" s="1"/>
      <c r="I6" s="1"/>
      <c r="J6" s="1"/>
      <c r="K6" s="1"/>
      <c r="L6" s="11"/>
    </row>
    <row r="7" spans="1:12">
      <c r="B7" s="10"/>
      <c r="C7" s="1"/>
      <c r="D7" s="1" t="s">
        <v>0</v>
      </c>
      <c r="E7" s="1" t="s">
        <v>0</v>
      </c>
      <c r="F7" s="2" t="s">
        <v>6</v>
      </c>
      <c r="G7" s="1"/>
      <c r="H7" s="1"/>
      <c r="I7" s="1"/>
      <c r="J7" s="1"/>
      <c r="K7" s="1"/>
      <c r="L7" s="11"/>
    </row>
    <row r="8" spans="1:12">
      <c r="B8" s="10" t="s">
        <v>135</v>
      </c>
      <c r="C8" s="1" t="s">
        <v>69</v>
      </c>
      <c r="D8" s="1" t="s">
        <v>0</v>
      </c>
      <c r="E8" s="1" t="s">
        <v>0</v>
      </c>
      <c r="F8" s="4" t="s">
        <v>154</v>
      </c>
      <c r="G8" s="1"/>
      <c r="H8" s="1"/>
      <c r="I8" s="1"/>
      <c r="J8" s="1"/>
      <c r="K8" s="1"/>
      <c r="L8" s="11"/>
    </row>
    <row r="9" spans="1:12">
      <c r="B9" s="10"/>
      <c r="C9" s="1"/>
      <c r="D9" s="1"/>
      <c r="E9" s="1"/>
      <c r="F9" s="2"/>
      <c r="G9" s="1"/>
      <c r="H9" s="1"/>
      <c r="I9" s="1"/>
      <c r="J9" s="1"/>
      <c r="K9" s="1"/>
      <c r="L9" s="11"/>
    </row>
    <row r="10" spans="1:12">
      <c r="B10" s="10"/>
      <c r="C10" s="1"/>
      <c r="D10" s="1"/>
      <c r="E10" s="1"/>
      <c r="F10" s="48" t="s">
        <v>57</v>
      </c>
      <c r="G10" s="1"/>
      <c r="H10" s="1"/>
      <c r="I10" s="1"/>
      <c r="J10" s="1"/>
      <c r="K10" s="1"/>
      <c r="L10" s="11"/>
    </row>
    <row r="11" spans="1:12">
      <c r="B11" s="10"/>
      <c r="C11" s="1"/>
      <c r="D11" s="1"/>
      <c r="E11" s="1"/>
      <c r="F11" s="2"/>
      <c r="G11" s="1"/>
      <c r="H11" s="1"/>
      <c r="I11" s="1"/>
      <c r="J11" s="1"/>
      <c r="K11" s="1"/>
      <c r="L11" s="11"/>
    </row>
    <row r="12" spans="1:12" ht="22.5">
      <c r="B12" s="10"/>
      <c r="C12" s="1"/>
      <c r="D12" s="1" t="s">
        <v>0</v>
      </c>
      <c r="E12" s="1" t="s">
        <v>0</v>
      </c>
      <c r="F12" s="3" t="s">
        <v>7</v>
      </c>
      <c r="G12" s="5"/>
      <c r="H12" s="1"/>
      <c r="I12" s="1"/>
      <c r="J12" s="1"/>
      <c r="K12" s="5"/>
      <c r="L12" s="11"/>
    </row>
    <row r="13" spans="1:12">
      <c r="B13" s="10" t="s">
        <v>135</v>
      </c>
      <c r="C13" s="1" t="s">
        <v>70</v>
      </c>
      <c r="D13" s="1" t="s">
        <v>0</v>
      </c>
      <c r="E13" s="1" t="s">
        <v>0</v>
      </c>
      <c r="F13" s="4" t="s">
        <v>155</v>
      </c>
      <c r="G13" s="5"/>
      <c r="H13" s="1"/>
      <c r="I13" s="1"/>
      <c r="J13" s="1"/>
      <c r="K13" s="5"/>
      <c r="L13" s="11"/>
    </row>
    <row r="14" spans="1:12">
      <c r="B14" s="10" t="s">
        <v>0</v>
      </c>
      <c r="C14" s="1" t="s">
        <v>0</v>
      </c>
      <c r="D14" s="1" t="s">
        <v>0</v>
      </c>
      <c r="E14" s="1" t="s">
        <v>0</v>
      </c>
      <c r="F14" s="2"/>
      <c r="G14" s="5"/>
      <c r="H14" s="1"/>
      <c r="I14" s="1"/>
      <c r="J14" s="1"/>
      <c r="K14" s="5"/>
      <c r="L14" s="11"/>
    </row>
    <row r="15" spans="1:12" ht="33.75">
      <c r="B15" s="10"/>
      <c r="C15" s="1"/>
      <c r="D15" s="1" t="s">
        <v>0</v>
      </c>
      <c r="E15" s="1" t="s">
        <v>0</v>
      </c>
      <c r="F15" s="3" t="s">
        <v>8</v>
      </c>
      <c r="G15" s="5"/>
      <c r="H15" s="5"/>
      <c r="I15" s="5"/>
      <c r="J15" s="5"/>
      <c r="K15" s="5"/>
      <c r="L15" s="11"/>
    </row>
    <row r="16" spans="1:12">
      <c r="B16" s="10" t="s">
        <v>135</v>
      </c>
      <c r="C16" s="1" t="s">
        <v>71</v>
      </c>
      <c r="D16" s="1" t="s">
        <v>0</v>
      </c>
      <c r="E16" s="1" t="s">
        <v>0</v>
      </c>
      <c r="F16" s="4" t="s">
        <v>156</v>
      </c>
      <c r="G16" s="5"/>
      <c r="H16" s="5"/>
      <c r="I16" s="5"/>
      <c r="J16" s="5"/>
      <c r="K16" s="5"/>
      <c r="L16" s="11"/>
    </row>
    <row r="17" spans="2:12">
      <c r="B17" s="10" t="s">
        <v>0</v>
      </c>
      <c r="C17" s="1" t="s">
        <v>0</v>
      </c>
      <c r="D17" s="5" t="s">
        <v>0</v>
      </c>
      <c r="E17" s="5" t="s">
        <v>0</v>
      </c>
      <c r="F17" s="2"/>
      <c r="G17" s="5"/>
      <c r="H17" s="5"/>
      <c r="I17" s="5"/>
      <c r="J17" s="5"/>
      <c r="K17" s="5"/>
      <c r="L17" s="11"/>
    </row>
    <row r="18" spans="2:12" ht="22.5">
      <c r="B18" s="10"/>
      <c r="C18" s="1"/>
      <c r="D18" s="1" t="s">
        <v>0</v>
      </c>
      <c r="E18" s="1" t="s">
        <v>0</v>
      </c>
      <c r="F18" s="3" t="s">
        <v>9</v>
      </c>
      <c r="G18" s="5"/>
      <c r="H18" s="5"/>
      <c r="I18" s="5"/>
      <c r="J18" s="5"/>
      <c r="K18" s="5"/>
      <c r="L18" s="11"/>
    </row>
    <row r="19" spans="2:12">
      <c r="B19" s="10" t="s">
        <v>135</v>
      </c>
      <c r="C19" s="1" t="s">
        <v>72</v>
      </c>
      <c r="D19" s="1" t="s">
        <v>0</v>
      </c>
      <c r="E19" s="1" t="s">
        <v>0</v>
      </c>
      <c r="F19" s="4" t="s">
        <v>157</v>
      </c>
      <c r="G19" s="5"/>
      <c r="H19" s="5"/>
      <c r="I19" s="5"/>
      <c r="J19" s="5"/>
      <c r="K19" s="5"/>
      <c r="L19" s="11"/>
    </row>
    <row r="20" spans="2:12">
      <c r="B20" s="10"/>
      <c r="C20" s="1"/>
      <c r="D20" s="1"/>
      <c r="E20" s="1"/>
      <c r="F20" s="1"/>
      <c r="G20" s="5"/>
      <c r="H20" s="5"/>
      <c r="I20" s="5"/>
      <c r="J20" s="5"/>
      <c r="K20" s="5"/>
      <c r="L20" s="11"/>
    </row>
    <row r="21" spans="2:12" ht="24">
      <c r="B21" s="10"/>
      <c r="C21" s="1"/>
      <c r="D21" s="1"/>
      <c r="E21" s="1"/>
      <c r="F21" s="45" t="s">
        <v>58</v>
      </c>
      <c r="G21" s="5"/>
      <c r="H21" s="46" t="s">
        <v>60</v>
      </c>
      <c r="I21" s="46" t="s">
        <v>61</v>
      </c>
      <c r="J21" s="46" t="s">
        <v>62</v>
      </c>
      <c r="K21" s="46" t="s">
        <v>63</v>
      </c>
      <c r="L21" s="11"/>
    </row>
    <row r="22" spans="2:12">
      <c r="B22" s="10" t="s">
        <v>135</v>
      </c>
      <c r="C22" s="1" t="s">
        <v>73</v>
      </c>
      <c r="D22" s="1" t="s">
        <v>0</v>
      </c>
      <c r="E22" s="1" t="s">
        <v>0</v>
      </c>
      <c r="F22" s="2" t="s">
        <v>10</v>
      </c>
      <c r="G22" s="5"/>
      <c r="H22" s="6">
        <v>1000</v>
      </c>
      <c r="I22" s="6">
        <v>2000</v>
      </c>
      <c r="J22" s="6"/>
      <c r="K22" s="6"/>
      <c r="L22" s="11"/>
    </row>
    <row r="23" spans="2:12">
      <c r="B23" s="10"/>
      <c r="C23" s="1"/>
      <c r="D23" s="1"/>
      <c r="E23" s="1"/>
      <c r="F23" s="2"/>
      <c r="G23" s="2"/>
      <c r="H23" s="2"/>
      <c r="I23" s="2"/>
      <c r="J23" s="2"/>
      <c r="K23" s="2"/>
      <c r="L23" s="11"/>
    </row>
    <row r="24" spans="2:12">
      <c r="B24" s="10"/>
      <c r="C24" s="1"/>
      <c r="D24" s="1"/>
      <c r="E24" s="1"/>
      <c r="F24" s="45" t="s">
        <v>59</v>
      </c>
      <c r="G24" s="2"/>
      <c r="H24" s="2"/>
      <c r="I24" s="2"/>
      <c r="J24" s="2"/>
      <c r="K24" s="2"/>
      <c r="L24" s="11"/>
    </row>
    <row r="25" spans="2:12" ht="22.5">
      <c r="B25" s="10" t="s">
        <v>135</v>
      </c>
      <c r="C25" s="1" t="s">
        <v>74</v>
      </c>
      <c r="D25" s="1" t="s">
        <v>0</v>
      </c>
      <c r="E25" s="1" t="s">
        <v>0</v>
      </c>
      <c r="F25" s="3" t="s">
        <v>11</v>
      </c>
      <c r="G25" s="5"/>
      <c r="H25" s="6">
        <v>3000</v>
      </c>
      <c r="I25" s="6">
        <v>5000</v>
      </c>
      <c r="J25" s="6"/>
      <c r="K25" s="6"/>
      <c r="L25" s="11"/>
    </row>
    <row r="26" spans="2:12" ht="22.5">
      <c r="B26" s="10" t="s">
        <v>135</v>
      </c>
      <c r="C26" s="1" t="s">
        <v>75</v>
      </c>
      <c r="D26" s="1" t="s">
        <v>0</v>
      </c>
      <c r="E26" s="1" t="s">
        <v>0</v>
      </c>
      <c r="F26" s="3" t="s">
        <v>12</v>
      </c>
      <c r="G26" s="5"/>
      <c r="H26" s="6">
        <v>4000</v>
      </c>
      <c r="I26" s="6">
        <v>6000</v>
      </c>
      <c r="J26" s="6"/>
      <c r="K26" s="6"/>
      <c r="L26" s="11"/>
    </row>
    <row r="27" spans="2:12">
      <c r="B27" s="10" t="s">
        <v>135</v>
      </c>
      <c r="C27" s="1" t="s">
        <v>76</v>
      </c>
      <c r="D27" s="1" t="s">
        <v>0</v>
      </c>
      <c r="E27" s="1"/>
      <c r="F27" s="5" t="s">
        <v>118</v>
      </c>
      <c r="G27" s="5"/>
      <c r="H27" s="61">
        <f>+H25+H26</f>
        <v>7000</v>
      </c>
      <c r="I27" s="61">
        <f>+I25+I26</f>
        <v>11000</v>
      </c>
      <c r="J27" s="61">
        <f>+J25+J26</f>
        <v>0</v>
      </c>
      <c r="K27" s="61">
        <f>+K25+K26</f>
        <v>0</v>
      </c>
      <c r="L27" s="11"/>
    </row>
    <row r="28" spans="2:12" ht="22.5">
      <c r="B28" s="10" t="s">
        <v>135</v>
      </c>
      <c r="C28" s="1" t="s">
        <v>77</v>
      </c>
      <c r="D28" s="1" t="s">
        <v>0</v>
      </c>
      <c r="E28" s="1"/>
      <c r="F28" s="5" t="s">
        <v>119</v>
      </c>
      <c r="G28" s="5"/>
      <c r="H28" s="61">
        <f>H22-H27</f>
        <v>-6000</v>
      </c>
      <c r="I28" s="61">
        <f>I22-I27</f>
        <v>-9000</v>
      </c>
      <c r="J28" s="61">
        <f>J22-J27</f>
        <v>0</v>
      </c>
      <c r="K28" s="61">
        <f>K22-K27</f>
        <v>0</v>
      </c>
      <c r="L28" s="11"/>
    </row>
    <row r="29" spans="2:12" ht="22.5">
      <c r="B29" s="10" t="s">
        <v>135</v>
      </c>
      <c r="C29" s="1" t="s">
        <v>78</v>
      </c>
      <c r="D29" s="1" t="s">
        <v>0</v>
      </c>
      <c r="E29" s="1" t="s">
        <v>0</v>
      </c>
      <c r="F29" s="3" t="s">
        <v>13</v>
      </c>
      <c r="G29" s="5"/>
      <c r="H29" s="6">
        <v>7000</v>
      </c>
      <c r="I29" s="6">
        <v>8000</v>
      </c>
      <c r="J29" s="6"/>
      <c r="K29" s="6"/>
      <c r="L29" s="11"/>
    </row>
    <row r="30" spans="2:12">
      <c r="B30" s="10" t="s">
        <v>0</v>
      </c>
      <c r="C30" s="1" t="s">
        <v>0</v>
      </c>
      <c r="D30" s="1" t="s">
        <v>0</v>
      </c>
      <c r="E30" s="1" t="s">
        <v>0</v>
      </c>
      <c r="F30" s="2"/>
      <c r="G30" s="5"/>
      <c r="H30" s="5"/>
      <c r="I30" s="5"/>
      <c r="J30" s="5"/>
      <c r="K30" s="5"/>
      <c r="L30" s="11"/>
    </row>
    <row r="31" spans="2:12" ht="22.5">
      <c r="B31" s="10"/>
      <c r="C31" s="1"/>
      <c r="D31" s="1" t="s">
        <v>0</v>
      </c>
      <c r="E31" s="1" t="s">
        <v>0</v>
      </c>
      <c r="F31" s="3" t="s">
        <v>14</v>
      </c>
      <c r="G31" s="5"/>
      <c r="H31" s="5"/>
      <c r="I31" s="5"/>
      <c r="J31" s="5"/>
      <c r="K31" s="5"/>
      <c r="L31" s="11"/>
    </row>
    <row r="32" spans="2:12">
      <c r="B32" s="10" t="s">
        <v>135</v>
      </c>
      <c r="C32" s="1" t="s">
        <v>79</v>
      </c>
      <c r="D32" s="1" t="s">
        <v>0</v>
      </c>
      <c r="E32" s="1" t="s">
        <v>0</v>
      </c>
      <c r="F32" s="4" t="s">
        <v>158</v>
      </c>
      <c r="G32" s="5"/>
      <c r="H32" s="5"/>
      <c r="I32" s="5"/>
      <c r="J32" s="5"/>
      <c r="K32" s="5"/>
      <c r="L32" s="11"/>
    </row>
    <row r="33" spans="2:12">
      <c r="B33" s="10"/>
      <c r="C33" s="1"/>
      <c r="D33" s="1"/>
      <c r="E33" s="1"/>
      <c r="F33" s="1"/>
      <c r="G33" s="5"/>
      <c r="H33" s="5"/>
      <c r="I33" s="5"/>
      <c r="J33" s="5"/>
      <c r="K33" s="5"/>
      <c r="L33" s="11"/>
    </row>
    <row r="34" spans="2:12" ht="24">
      <c r="B34" s="10"/>
      <c r="C34" s="1"/>
      <c r="D34" s="1"/>
      <c r="E34" s="1"/>
      <c r="F34" s="1"/>
      <c r="G34" s="5"/>
      <c r="H34" s="46" t="s">
        <v>142</v>
      </c>
      <c r="I34" s="46" t="s">
        <v>143</v>
      </c>
      <c r="J34" s="5"/>
      <c r="K34" s="5"/>
      <c r="L34" s="11"/>
    </row>
    <row r="35" spans="2:12" ht="22.5">
      <c r="B35" s="10" t="s">
        <v>135</v>
      </c>
      <c r="C35" s="1" t="s">
        <v>80</v>
      </c>
      <c r="D35" s="1" t="s">
        <v>0</v>
      </c>
      <c r="E35" s="1" t="s">
        <v>0</v>
      </c>
      <c r="F35" s="3" t="s">
        <v>15</v>
      </c>
      <c r="G35" s="5"/>
      <c r="H35" s="47">
        <v>9000</v>
      </c>
      <c r="I35" s="47">
        <v>10000</v>
      </c>
      <c r="J35" s="5"/>
      <c r="K35" s="5"/>
      <c r="L35" s="11"/>
    </row>
    <row r="36" spans="2:12">
      <c r="B36" s="10" t="s">
        <v>0</v>
      </c>
      <c r="C36" s="1" t="s">
        <v>0</v>
      </c>
      <c r="D36" s="1" t="s">
        <v>0</v>
      </c>
      <c r="E36" s="1" t="s">
        <v>0</v>
      </c>
      <c r="F36" s="2"/>
      <c r="G36" s="5"/>
      <c r="H36" s="5"/>
      <c r="I36" s="5"/>
      <c r="J36" s="5"/>
      <c r="K36" s="5"/>
      <c r="L36" s="11"/>
    </row>
    <row r="37" spans="2:12" ht="22.5">
      <c r="B37" s="10"/>
      <c r="C37" s="1"/>
      <c r="D37" s="1" t="s">
        <v>0</v>
      </c>
      <c r="E37" s="1" t="s">
        <v>0</v>
      </c>
      <c r="F37" s="3" t="s">
        <v>16</v>
      </c>
      <c r="G37" s="5"/>
      <c r="H37" s="5"/>
      <c r="I37" s="5"/>
      <c r="J37" s="5"/>
      <c r="K37" s="5"/>
      <c r="L37" s="11"/>
    </row>
    <row r="38" spans="2:12">
      <c r="B38" s="10" t="s">
        <v>135</v>
      </c>
      <c r="C38" s="1" t="s">
        <v>81</v>
      </c>
      <c r="D38" s="1" t="s">
        <v>0</v>
      </c>
      <c r="E38" s="1" t="s">
        <v>0</v>
      </c>
      <c r="F38" s="4" t="s">
        <v>159</v>
      </c>
      <c r="G38" s="5"/>
      <c r="H38" s="5"/>
      <c r="I38" s="5"/>
      <c r="J38" s="5"/>
      <c r="K38" s="5"/>
      <c r="L38" s="11"/>
    </row>
    <row r="39" spans="2:12">
      <c r="B39" s="10" t="s">
        <v>0</v>
      </c>
      <c r="C39" s="1" t="s">
        <v>0</v>
      </c>
      <c r="D39" s="1" t="s">
        <v>0</v>
      </c>
      <c r="E39" s="1" t="s">
        <v>0</v>
      </c>
      <c r="F39" s="2"/>
      <c r="G39" s="5"/>
      <c r="H39" s="5"/>
      <c r="I39" s="5"/>
      <c r="J39" s="5"/>
      <c r="K39" s="5"/>
      <c r="L39" s="11"/>
    </row>
    <row r="40" spans="2:12">
      <c r="B40" s="10"/>
      <c r="C40" s="1"/>
      <c r="D40" s="1" t="s">
        <v>0</v>
      </c>
      <c r="E40" s="1" t="s">
        <v>0</v>
      </c>
      <c r="F40" s="2" t="s">
        <v>17</v>
      </c>
      <c r="G40" s="5"/>
      <c r="H40" s="5"/>
      <c r="I40" s="5"/>
      <c r="J40" s="5"/>
      <c r="K40" s="5"/>
      <c r="L40" s="11"/>
    </row>
    <row r="41" spans="2:12">
      <c r="B41" s="10" t="s">
        <v>135</v>
      </c>
      <c r="C41" s="1" t="s">
        <v>82</v>
      </c>
      <c r="D41" s="1" t="s">
        <v>0</v>
      </c>
      <c r="E41" s="1" t="s">
        <v>0</v>
      </c>
      <c r="F41" s="4" t="s">
        <v>160</v>
      </c>
      <c r="G41" s="5"/>
      <c r="H41" s="5"/>
      <c r="I41" s="5"/>
      <c r="J41" s="5"/>
      <c r="K41" s="5"/>
      <c r="L41" s="11"/>
    </row>
    <row r="42" spans="2:12">
      <c r="B42" s="10" t="s">
        <v>0</v>
      </c>
      <c r="C42" s="1" t="s">
        <v>0</v>
      </c>
      <c r="D42" s="1" t="s">
        <v>0</v>
      </c>
      <c r="E42" s="1" t="s">
        <v>0</v>
      </c>
      <c r="F42" s="2"/>
      <c r="G42" s="5"/>
      <c r="H42" s="5"/>
      <c r="I42" s="5"/>
      <c r="J42" s="5"/>
      <c r="K42" s="5"/>
      <c r="L42" s="11"/>
    </row>
    <row r="43" spans="2:12" ht="22.5">
      <c r="B43" s="10"/>
      <c r="C43" s="1"/>
      <c r="D43" s="1" t="s">
        <v>0</v>
      </c>
      <c r="E43" s="1" t="s">
        <v>0</v>
      </c>
      <c r="F43" s="3" t="s">
        <v>123</v>
      </c>
      <c r="G43" s="5"/>
      <c r="H43" s="5"/>
      <c r="I43" s="5"/>
      <c r="J43" s="5"/>
      <c r="K43" s="5"/>
      <c r="L43" s="11"/>
    </row>
    <row r="44" spans="2:12">
      <c r="B44" s="10" t="s">
        <v>135</v>
      </c>
      <c r="C44" s="1" t="s">
        <v>122</v>
      </c>
      <c r="D44" s="1" t="s">
        <v>0</v>
      </c>
      <c r="E44" s="1" t="s">
        <v>0</v>
      </c>
      <c r="F44" s="56" t="s">
        <v>161</v>
      </c>
      <c r="G44" s="5"/>
      <c r="H44" s="5"/>
      <c r="I44" s="5"/>
      <c r="J44" s="5"/>
      <c r="K44" s="5"/>
      <c r="L44" s="11"/>
    </row>
    <row r="45" spans="2:12">
      <c r="B45" s="10" t="s">
        <v>0</v>
      </c>
      <c r="C45" s="1" t="s">
        <v>0</v>
      </c>
      <c r="D45" s="1" t="s">
        <v>0</v>
      </c>
      <c r="E45" s="1" t="s">
        <v>0</v>
      </c>
      <c r="F45" s="2"/>
      <c r="G45" s="5"/>
      <c r="H45" s="5"/>
      <c r="I45" s="5"/>
      <c r="J45" s="5"/>
      <c r="K45" s="5"/>
      <c r="L45" s="11"/>
    </row>
    <row r="46" spans="2:12" ht="22.5">
      <c r="B46" s="10"/>
      <c r="C46" s="1"/>
      <c r="D46" s="1" t="s">
        <v>0</v>
      </c>
      <c r="E46" s="1" t="s">
        <v>0</v>
      </c>
      <c r="F46" s="3" t="s">
        <v>125</v>
      </c>
      <c r="G46" s="5"/>
      <c r="H46" s="5"/>
      <c r="I46" s="5"/>
      <c r="J46" s="5"/>
      <c r="K46" s="5"/>
      <c r="L46" s="11"/>
    </row>
    <row r="47" spans="2:12">
      <c r="B47" s="10" t="s">
        <v>135</v>
      </c>
      <c r="C47" s="1" t="s">
        <v>124</v>
      </c>
      <c r="D47" s="1" t="s">
        <v>0</v>
      </c>
      <c r="E47" s="1" t="s">
        <v>0</v>
      </c>
      <c r="F47" s="56" t="s">
        <v>162</v>
      </c>
      <c r="G47" s="5"/>
      <c r="H47" s="5"/>
      <c r="I47" s="5"/>
      <c r="J47" s="5"/>
      <c r="K47" s="5"/>
      <c r="L47" s="11"/>
    </row>
    <row r="48" spans="2:12">
      <c r="B48" s="10" t="s">
        <v>0</v>
      </c>
      <c r="C48" s="1" t="s">
        <v>0</v>
      </c>
      <c r="D48" s="1" t="s">
        <v>0</v>
      </c>
      <c r="E48" s="1" t="s">
        <v>0</v>
      </c>
      <c r="F48" s="2"/>
      <c r="G48" s="5"/>
      <c r="H48" s="5"/>
      <c r="I48" s="5"/>
      <c r="J48" s="5"/>
      <c r="K48" s="5"/>
      <c r="L48" s="11"/>
    </row>
    <row r="49" spans="2:12" ht="33.75">
      <c r="B49" s="10"/>
      <c r="C49" s="1"/>
      <c r="D49" s="1" t="s">
        <v>0</v>
      </c>
      <c r="E49" s="1" t="s">
        <v>0</v>
      </c>
      <c r="F49" s="3" t="s">
        <v>126</v>
      </c>
      <c r="G49" s="5"/>
      <c r="H49" s="5"/>
      <c r="I49" s="5"/>
      <c r="J49" s="5"/>
      <c r="K49" s="5"/>
      <c r="L49" s="11"/>
    </row>
    <row r="50" spans="2:12">
      <c r="B50" s="10" t="s">
        <v>135</v>
      </c>
      <c r="C50" s="1" t="s">
        <v>127</v>
      </c>
      <c r="D50" s="1" t="s">
        <v>0</v>
      </c>
      <c r="E50" s="1" t="s">
        <v>0</v>
      </c>
      <c r="F50" s="56" t="s">
        <v>163</v>
      </c>
      <c r="G50" s="5"/>
      <c r="H50" s="5"/>
      <c r="I50" s="5"/>
      <c r="J50" s="5"/>
      <c r="K50" s="5"/>
      <c r="L50" s="11"/>
    </row>
    <row r="51" spans="2:12">
      <c r="B51" s="10" t="s">
        <v>0</v>
      </c>
      <c r="C51" s="1" t="s">
        <v>0</v>
      </c>
      <c r="D51" s="1" t="s">
        <v>0</v>
      </c>
      <c r="E51" s="1" t="s">
        <v>0</v>
      </c>
      <c r="F51" s="2"/>
      <c r="G51" s="5"/>
      <c r="H51" s="5"/>
      <c r="I51" s="5"/>
      <c r="J51" s="5"/>
      <c r="K51" s="5"/>
      <c r="L51" s="11"/>
    </row>
    <row r="52" spans="2:12" ht="22.5">
      <c r="B52" s="10"/>
      <c r="C52" s="1"/>
      <c r="D52" s="1" t="s">
        <v>0</v>
      </c>
      <c r="E52" s="1" t="s">
        <v>0</v>
      </c>
      <c r="F52" s="3" t="s">
        <v>129</v>
      </c>
      <c r="G52" s="5"/>
      <c r="H52" s="5"/>
      <c r="I52" s="5"/>
      <c r="J52" s="5"/>
      <c r="K52" s="5"/>
      <c r="L52" s="11"/>
    </row>
    <row r="53" spans="2:12">
      <c r="B53" s="10" t="s">
        <v>135</v>
      </c>
      <c r="C53" s="1" t="s">
        <v>128</v>
      </c>
      <c r="D53" s="1" t="s">
        <v>0</v>
      </c>
      <c r="E53" s="1" t="s">
        <v>0</v>
      </c>
      <c r="F53" s="56" t="s">
        <v>164</v>
      </c>
      <c r="G53" s="5"/>
      <c r="H53" s="5"/>
      <c r="I53" s="5"/>
      <c r="J53" s="5"/>
      <c r="K53" s="5"/>
      <c r="L53" s="11"/>
    </row>
    <row r="54" spans="2:12">
      <c r="B54" s="10" t="s">
        <v>0</v>
      </c>
      <c r="C54" s="1" t="s">
        <v>0</v>
      </c>
      <c r="D54" s="1" t="s">
        <v>0</v>
      </c>
      <c r="E54" s="1" t="s">
        <v>0</v>
      </c>
      <c r="F54" s="2"/>
      <c r="G54" s="5"/>
      <c r="H54" s="5"/>
      <c r="I54" s="5"/>
      <c r="J54" s="5"/>
      <c r="K54" s="5"/>
      <c r="L54" s="11"/>
    </row>
    <row r="55" spans="2:12" ht="24">
      <c r="B55" s="10"/>
      <c r="C55" s="1"/>
      <c r="D55" s="1"/>
      <c r="E55" s="1"/>
      <c r="F55" s="2"/>
      <c r="G55" s="5"/>
      <c r="H55" s="46" t="s">
        <v>142</v>
      </c>
      <c r="I55" s="46" t="s">
        <v>143</v>
      </c>
      <c r="J55" s="5"/>
      <c r="K55" s="5"/>
      <c r="L55" s="11"/>
    </row>
    <row r="56" spans="2:12" ht="22.5">
      <c r="B56" s="10" t="s">
        <v>135</v>
      </c>
      <c r="C56" s="1" t="s">
        <v>131</v>
      </c>
      <c r="D56" s="1" t="s">
        <v>0</v>
      </c>
      <c r="E56" s="1" t="s">
        <v>0</v>
      </c>
      <c r="F56" s="3" t="s">
        <v>130</v>
      </c>
      <c r="G56" s="5"/>
      <c r="H56" s="57">
        <v>1000</v>
      </c>
      <c r="I56" s="57">
        <v>2000</v>
      </c>
      <c r="J56" s="5"/>
      <c r="K56" s="5"/>
      <c r="L56" s="11"/>
    </row>
    <row r="57" spans="2:12" ht="24">
      <c r="B57" s="10"/>
      <c r="C57" s="1"/>
      <c r="D57" s="1"/>
      <c r="E57" s="1"/>
      <c r="F57" s="3"/>
      <c r="G57" s="5"/>
      <c r="H57" s="46" t="s">
        <v>144</v>
      </c>
      <c r="I57" s="46" t="s">
        <v>145</v>
      </c>
      <c r="J57" s="46" t="s">
        <v>146</v>
      </c>
      <c r="K57" s="46" t="s">
        <v>147</v>
      </c>
      <c r="L57" s="11"/>
    </row>
    <row r="58" spans="2:12" ht="22.5">
      <c r="B58" s="10" t="s">
        <v>135</v>
      </c>
      <c r="C58" s="1" t="s">
        <v>133</v>
      </c>
      <c r="D58" s="1" t="s">
        <v>0</v>
      </c>
      <c r="E58" s="1" t="s">
        <v>0</v>
      </c>
      <c r="F58" s="3" t="s">
        <v>132</v>
      </c>
      <c r="G58" s="5"/>
      <c r="H58" s="57">
        <v>3000</v>
      </c>
      <c r="I58" s="57">
        <v>4000</v>
      </c>
      <c r="J58" s="57"/>
      <c r="K58" s="57"/>
      <c r="L58" s="11"/>
    </row>
    <row r="59" spans="2:12">
      <c r="B59" s="10" t="s">
        <v>0</v>
      </c>
      <c r="C59" s="1" t="s">
        <v>0</v>
      </c>
      <c r="D59" s="1" t="s">
        <v>0</v>
      </c>
      <c r="E59" s="1" t="s">
        <v>0</v>
      </c>
      <c r="F59" s="2"/>
      <c r="G59" s="5"/>
      <c r="H59" s="5"/>
      <c r="I59" s="5"/>
      <c r="J59" s="5"/>
      <c r="K59" s="5"/>
      <c r="L59" s="11"/>
    </row>
    <row r="60" spans="2:12">
      <c r="B60" s="10"/>
      <c r="C60" s="1"/>
      <c r="D60" s="1" t="s">
        <v>0</v>
      </c>
      <c r="E60" s="1" t="s">
        <v>0</v>
      </c>
      <c r="F60" s="2" t="s">
        <v>18</v>
      </c>
      <c r="G60" s="5"/>
      <c r="H60" s="5"/>
      <c r="I60" s="5"/>
      <c r="J60" s="5"/>
      <c r="K60" s="5"/>
      <c r="L60" s="11"/>
    </row>
    <row r="61" spans="2:12">
      <c r="B61" s="10" t="s">
        <v>135</v>
      </c>
      <c r="C61" s="1" t="s">
        <v>83</v>
      </c>
      <c r="D61" s="1" t="s">
        <v>0</v>
      </c>
      <c r="E61" s="1" t="s">
        <v>0</v>
      </c>
      <c r="F61" s="4" t="s">
        <v>162</v>
      </c>
      <c r="G61" s="5"/>
      <c r="H61" s="5"/>
      <c r="I61" s="5"/>
      <c r="J61" s="5"/>
      <c r="K61" s="5"/>
      <c r="L61" s="11"/>
    </row>
    <row r="62" spans="2:12" ht="24">
      <c r="B62" s="10" t="s">
        <v>0</v>
      </c>
      <c r="C62" s="1" t="s">
        <v>0</v>
      </c>
      <c r="D62" s="1" t="s">
        <v>0</v>
      </c>
      <c r="E62" s="1" t="s">
        <v>0</v>
      </c>
      <c r="F62" s="2"/>
      <c r="G62" s="5"/>
      <c r="H62" s="46" t="s">
        <v>144</v>
      </c>
      <c r="I62" s="46" t="s">
        <v>145</v>
      </c>
      <c r="J62" s="46" t="s">
        <v>146</v>
      </c>
      <c r="K62" s="46" t="s">
        <v>147</v>
      </c>
      <c r="L62" s="11"/>
    </row>
    <row r="63" spans="2:12">
      <c r="B63" s="62" t="s">
        <v>135</v>
      </c>
      <c r="C63" s="63" t="s">
        <v>140</v>
      </c>
      <c r="D63" s="1" t="s">
        <v>0</v>
      </c>
      <c r="E63" s="1" t="s">
        <v>0</v>
      </c>
      <c r="F63" s="64" t="s">
        <v>136</v>
      </c>
      <c r="G63" s="5"/>
      <c r="H63" s="57">
        <v>0</v>
      </c>
      <c r="I63" s="57">
        <v>0</v>
      </c>
      <c r="J63" s="57"/>
      <c r="K63" s="57"/>
      <c r="L63" s="11"/>
    </row>
    <row r="64" spans="2:12">
      <c r="B64" s="10"/>
      <c r="C64" s="1"/>
      <c r="D64" s="1"/>
      <c r="E64" s="1"/>
      <c r="F64" s="2"/>
      <c r="G64" s="5"/>
      <c r="H64" s="5"/>
      <c r="I64" s="5"/>
      <c r="J64" s="5"/>
      <c r="K64" s="5"/>
      <c r="L64" s="11"/>
    </row>
    <row r="65" spans="2:12">
      <c r="B65" s="10"/>
      <c r="C65" s="1"/>
      <c r="D65" s="1"/>
      <c r="E65" s="1"/>
      <c r="F65" s="64" t="s">
        <v>137</v>
      </c>
      <c r="G65" s="5"/>
      <c r="H65" s="5"/>
      <c r="I65" s="5"/>
      <c r="J65" s="5"/>
      <c r="K65" s="5"/>
      <c r="L65" s="11"/>
    </row>
    <row r="66" spans="2:12">
      <c r="B66" s="62" t="s">
        <v>135</v>
      </c>
      <c r="C66" s="63" t="s">
        <v>139</v>
      </c>
      <c r="D66" s="1" t="s">
        <v>0</v>
      </c>
      <c r="E66" s="1"/>
      <c r="F66" s="4" t="s">
        <v>165</v>
      </c>
      <c r="G66" s="5"/>
      <c r="H66" s="5"/>
      <c r="I66" s="5"/>
      <c r="J66" s="5"/>
      <c r="K66" s="5"/>
      <c r="L66" s="11"/>
    </row>
    <row r="67" spans="2:12">
      <c r="B67" s="10"/>
      <c r="C67" s="1"/>
      <c r="D67" s="1"/>
      <c r="E67" s="1"/>
      <c r="F67" s="2"/>
      <c r="G67" s="5"/>
      <c r="H67" s="5"/>
      <c r="I67" s="5"/>
      <c r="J67" s="5"/>
      <c r="K67" s="5"/>
      <c r="L67" s="11"/>
    </row>
    <row r="68" spans="2:12">
      <c r="B68" s="10"/>
      <c r="C68" s="1"/>
      <c r="D68" s="1"/>
      <c r="E68" s="1"/>
      <c r="F68" s="64" t="s">
        <v>138</v>
      </c>
      <c r="G68" s="5"/>
      <c r="H68" s="5"/>
      <c r="I68" s="5"/>
      <c r="J68" s="5"/>
      <c r="K68" s="5"/>
      <c r="L68" s="11"/>
    </row>
    <row r="69" spans="2:12">
      <c r="B69" s="62" t="s">
        <v>135</v>
      </c>
      <c r="C69" s="63" t="s">
        <v>141</v>
      </c>
      <c r="D69" s="1" t="s">
        <v>0</v>
      </c>
      <c r="E69" s="1"/>
      <c r="F69" s="4" t="s">
        <v>166</v>
      </c>
      <c r="G69" s="5"/>
      <c r="H69" s="5"/>
      <c r="I69" s="5"/>
      <c r="J69" s="5"/>
      <c r="K69" s="5"/>
      <c r="L69" s="11"/>
    </row>
    <row r="70" spans="2:12">
      <c r="B70" s="10"/>
      <c r="C70" s="1"/>
      <c r="D70" s="1"/>
      <c r="E70" s="1"/>
      <c r="F70" s="2"/>
      <c r="G70" s="5"/>
      <c r="H70" s="5"/>
      <c r="I70" s="5"/>
      <c r="J70" s="5"/>
      <c r="K70" s="5"/>
      <c r="L70" s="11"/>
    </row>
    <row r="71" spans="2:12" ht="22.5">
      <c r="B71" s="10"/>
      <c r="C71" s="1"/>
      <c r="D71" s="1" t="s">
        <v>0</v>
      </c>
      <c r="E71" s="1" t="s">
        <v>0</v>
      </c>
      <c r="F71" s="3" t="s">
        <v>19</v>
      </c>
      <c r="G71" s="5"/>
      <c r="H71" s="5"/>
      <c r="I71" s="5"/>
      <c r="J71" s="5"/>
      <c r="K71" s="5"/>
      <c r="L71" s="11"/>
    </row>
    <row r="72" spans="2:12">
      <c r="B72" s="10" t="s">
        <v>135</v>
      </c>
      <c r="C72" s="1" t="s">
        <v>84</v>
      </c>
      <c r="D72" s="1" t="s">
        <v>0</v>
      </c>
      <c r="E72" s="1" t="s">
        <v>0</v>
      </c>
      <c r="F72" s="4" t="s">
        <v>167</v>
      </c>
      <c r="G72" s="5"/>
      <c r="H72" s="5"/>
      <c r="I72" s="5"/>
      <c r="J72" s="5"/>
      <c r="K72" s="5"/>
      <c r="L72" s="11"/>
    </row>
    <row r="73" spans="2:12">
      <c r="B73" s="10" t="s">
        <v>0</v>
      </c>
      <c r="C73" s="1" t="s">
        <v>0</v>
      </c>
      <c r="D73" s="1" t="s">
        <v>0</v>
      </c>
      <c r="E73" s="1" t="s">
        <v>0</v>
      </c>
      <c r="F73" s="2"/>
      <c r="G73" s="5"/>
      <c r="H73" s="5"/>
      <c r="I73" s="5"/>
      <c r="J73" s="5"/>
      <c r="K73" s="5"/>
      <c r="L73" s="11"/>
    </row>
    <row r="74" spans="2:12" ht="22.5">
      <c r="B74" s="10"/>
      <c r="C74" s="1"/>
      <c r="D74" s="1" t="s">
        <v>0</v>
      </c>
      <c r="E74" s="1" t="s">
        <v>0</v>
      </c>
      <c r="F74" s="3" t="s">
        <v>20</v>
      </c>
      <c r="G74" s="5"/>
      <c r="H74" s="5"/>
      <c r="I74" s="5"/>
      <c r="J74" s="5"/>
      <c r="K74" s="5"/>
      <c r="L74" s="11"/>
    </row>
    <row r="75" spans="2:12">
      <c r="B75" s="10" t="s">
        <v>135</v>
      </c>
      <c r="C75" s="1" t="s">
        <v>85</v>
      </c>
      <c r="D75" s="1" t="s">
        <v>0</v>
      </c>
      <c r="E75" s="1" t="s">
        <v>0</v>
      </c>
      <c r="F75" s="4" t="s">
        <v>168</v>
      </c>
      <c r="G75" s="5"/>
      <c r="H75" s="5"/>
      <c r="I75" s="5"/>
      <c r="J75" s="5"/>
      <c r="K75" s="5"/>
      <c r="L75" s="11"/>
    </row>
    <row r="76" spans="2:12">
      <c r="B76" s="10" t="s">
        <v>0</v>
      </c>
      <c r="C76" s="1" t="s">
        <v>0</v>
      </c>
      <c r="D76" s="1" t="s">
        <v>0</v>
      </c>
      <c r="E76" s="1" t="s">
        <v>0</v>
      </c>
      <c r="F76" s="2"/>
      <c r="G76" s="5"/>
      <c r="H76" s="5"/>
      <c r="I76" s="5"/>
      <c r="J76" s="5"/>
      <c r="K76" s="5"/>
      <c r="L76" s="11"/>
    </row>
    <row r="77" spans="2:12" ht="22.5">
      <c r="B77" s="10"/>
      <c r="C77" s="1"/>
      <c r="D77" s="1" t="s">
        <v>0</v>
      </c>
      <c r="E77" s="1" t="s">
        <v>0</v>
      </c>
      <c r="F77" s="3" t="s">
        <v>21</v>
      </c>
      <c r="G77" s="5"/>
      <c r="H77" s="5"/>
      <c r="I77" s="5"/>
      <c r="J77" s="5"/>
      <c r="K77" s="5"/>
      <c r="L77" s="11"/>
    </row>
    <row r="78" spans="2:12">
      <c r="B78" s="10" t="s">
        <v>135</v>
      </c>
      <c r="C78" s="1" t="s">
        <v>86</v>
      </c>
      <c r="D78" s="1" t="s">
        <v>0</v>
      </c>
      <c r="E78" s="1" t="s">
        <v>0</v>
      </c>
      <c r="F78" s="4" t="s">
        <v>169</v>
      </c>
      <c r="G78" s="5"/>
      <c r="H78" s="5"/>
      <c r="I78" s="5"/>
      <c r="J78" s="5"/>
      <c r="K78" s="5"/>
      <c r="L78" s="11"/>
    </row>
    <row r="79" spans="2:12">
      <c r="B79" s="10"/>
      <c r="C79" s="1"/>
      <c r="D79" s="1"/>
      <c r="E79" s="1"/>
      <c r="F79" s="2"/>
      <c r="G79" s="5"/>
      <c r="H79" s="5"/>
      <c r="I79" s="5"/>
      <c r="J79" s="5"/>
      <c r="K79" s="5"/>
      <c r="L79" s="11"/>
    </row>
    <row r="80" spans="2:12">
      <c r="B80" s="12"/>
      <c r="C80" s="13"/>
      <c r="D80" s="13"/>
      <c r="E80" s="13"/>
      <c r="F80" s="14"/>
      <c r="G80" s="16"/>
      <c r="H80" s="16"/>
      <c r="I80" s="16"/>
      <c r="J80" s="16"/>
      <c r="K80" s="16"/>
      <c r="L80" s="15"/>
    </row>
  </sheetData>
  <hyperlinks>
    <hyperlink ref="F10" location="'IAS40-InfoRevePropInve'!A1" display="Información a revelar detallada sobre propiedades de inversión [tabla]" xr:uid="{00000000-0004-0000-0000-000000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9" tint="0.39997558519241921"/>
  </sheetPr>
  <dimension ref="A1:CC64"/>
  <sheetViews>
    <sheetView tabSelected="1" topLeftCell="A35" zoomScale="70" zoomScaleNormal="70" workbookViewId="0">
      <selection activeCell="AK44" sqref="AK44:AL54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81" width="14.7109375" customWidth="1"/>
  </cols>
  <sheetData>
    <row r="1" spans="1:81" ht="60" customHeight="1" thickBot="1"/>
    <row r="2" spans="1:81" ht="171.75" customHeight="1" thickBot="1">
      <c r="F2" s="17" t="s">
        <v>22</v>
      </c>
    </row>
    <row r="3" spans="1:81" ht="15.75" thickBot="1">
      <c r="A3" s="18"/>
    </row>
    <row r="4" spans="1:81" ht="16.5" thickBot="1">
      <c r="A4" s="18"/>
      <c r="F4" s="50" t="s">
        <v>65</v>
      </c>
      <c r="G4" s="51" t="s">
        <v>66</v>
      </c>
    </row>
    <row r="5" spans="1:81" ht="15.75" thickBot="1">
      <c r="A5" s="18"/>
    </row>
    <row r="6" spans="1:81" ht="26.25" customHeight="1" thickBot="1">
      <c r="A6" s="22" t="s">
        <v>30</v>
      </c>
      <c r="B6" s="37"/>
      <c r="C6" s="35"/>
      <c r="D6" s="35"/>
      <c r="E6" s="35"/>
      <c r="F6" s="36"/>
      <c r="G6" s="65" t="s">
        <v>28</v>
      </c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7"/>
      <c r="V6" s="65" t="s">
        <v>149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7"/>
      <c r="AK6" s="65" t="s">
        <v>121</v>
      </c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7"/>
      <c r="AZ6" s="65" t="s">
        <v>27</v>
      </c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7"/>
      <c r="BO6" s="65" t="s">
        <v>29</v>
      </c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7"/>
    </row>
    <row r="7" spans="1:81" ht="15.75" hidden="1" thickBot="1">
      <c r="A7" s="22" t="s">
        <v>23</v>
      </c>
      <c r="B7" s="38"/>
      <c r="C7" s="20"/>
      <c r="D7" s="24" t="s">
        <v>87</v>
      </c>
      <c r="E7" s="24" t="s">
        <v>88</v>
      </c>
      <c r="F7" s="24"/>
      <c r="G7" s="55" t="s">
        <v>89</v>
      </c>
      <c r="H7" s="55" t="s">
        <v>89</v>
      </c>
      <c r="I7" s="55" t="s">
        <v>89</v>
      </c>
      <c r="J7" s="55" t="s">
        <v>89</v>
      </c>
      <c r="K7" s="55" t="s">
        <v>89</v>
      </c>
      <c r="L7" s="55" t="s">
        <v>89</v>
      </c>
      <c r="M7" s="55" t="s">
        <v>89</v>
      </c>
      <c r="N7" s="55" t="s">
        <v>89</v>
      </c>
      <c r="O7" s="55" t="s">
        <v>89</v>
      </c>
      <c r="P7" s="55" t="s">
        <v>89</v>
      </c>
      <c r="Q7" s="55" t="s">
        <v>89</v>
      </c>
      <c r="R7" s="55" t="s">
        <v>89</v>
      </c>
      <c r="S7" s="55" t="s">
        <v>89</v>
      </c>
      <c r="T7" s="55" t="s">
        <v>89</v>
      </c>
      <c r="U7" s="55" t="s">
        <v>89</v>
      </c>
      <c r="V7" s="55" t="s">
        <v>148</v>
      </c>
      <c r="W7" s="55" t="s">
        <v>148</v>
      </c>
      <c r="X7" s="55" t="s">
        <v>148</v>
      </c>
      <c r="Y7" s="55" t="s">
        <v>148</v>
      </c>
      <c r="Z7" s="55" t="s">
        <v>148</v>
      </c>
      <c r="AA7" s="55" t="s">
        <v>148</v>
      </c>
      <c r="AB7" s="55" t="s">
        <v>148</v>
      </c>
      <c r="AC7" s="55" t="s">
        <v>148</v>
      </c>
      <c r="AD7" s="55" t="s">
        <v>148</v>
      </c>
      <c r="AE7" s="55" t="s">
        <v>148</v>
      </c>
      <c r="AF7" s="55" t="s">
        <v>148</v>
      </c>
      <c r="AG7" s="55" t="s">
        <v>148</v>
      </c>
      <c r="AH7" s="55" t="s">
        <v>148</v>
      </c>
      <c r="AI7" s="55" t="s">
        <v>148</v>
      </c>
      <c r="AJ7" s="55" t="s">
        <v>148</v>
      </c>
      <c r="AK7" s="54" t="s">
        <v>120</v>
      </c>
      <c r="AL7" s="54" t="s">
        <v>120</v>
      </c>
      <c r="AM7" s="54" t="s">
        <v>120</v>
      </c>
      <c r="AN7" s="54" t="s">
        <v>120</v>
      </c>
      <c r="AO7" s="54" t="s">
        <v>120</v>
      </c>
      <c r="AP7" s="54" t="s">
        <v>120</v>
      </c>
      <c r="AQ7" s="54" t="s">
        <v>120</v>
      </c>
      <c r="AR7" s="54" t="s">
        <v>120</v>
      </c>
      <c r="AS7" s="54" t="s">
        <v>120</v>
      </c>
      <c r="AT7" s="54" t="s">
        <v>120</v>
      </c>
      <c r="AU7" s="54" t="s">
        <v>120</v>
      </c>
      <c r="AV7" s="54" t="s">
        <v>120</v>
      </c>
      <c r="AW7" s="54" t="s">
        <v>120</v>
      </c>
      <c r="AX7" s="54" t="s">
        <v>120</v>
      </c>
      <c r="AY7" s="54" t="s">
        <v>120</v>
      </c>
      <c r="AZ7" s="55" t="s">
        <v>90</v>
      </c>
      <c r="BA7" s="55" t="s">
        <v>90</v>
      </c>
      <c r="BB7" s="55" t="s">
        <v>90</v>
      </c>
      <c r="BC7" s="55" t="s">
        <v>90</v>
      </c>
      <c r="BD7" s="55" t="s">
        <v>90</v>
      </c>
      <c r="BE7" s="55" t="s">
        <v>90</v>
      </c>
      <c r="BF7" s="55" t="s">
        <v>90</v>
      </c>
      <c r="BG7" s="55" t="s">
        <v>90</v>
      </c>
      <c r="BH7" s="55" t="s">
        <v>90</v>
      </c>
      <c r="BI7" s="55" t="s">
        <v>90</v>
      </c>
      <c r="BJ7" s="55" t="s">
        <v>90</v>
      </c>
      <c r="BK7" s="55" t="s">
        <v>90</v>
      </c>
      <c r="BL7" s="55" t="s">
        <v>90</v>
      </c>
      <c r="BM7" s="55" t="s">
        <v>90</v>
      </c>
      <c r="BN7" s="55" t="s">
        <v>90</v>
      </c>
      <c r="BO7" s="55" t="s">
        <v>91</v>
      </c>
      <c r="BP7" s="55" t="s">
        <v>91</v>
      </c>
      <c r="BQ7" s="55" t="s">
        <v>91</v>
      </c>
      <c r="BR7" s="55" t="s">
        <v>91</v>
      </c>
      <c r="BS7" s="55" t="s">
        <v>91</v>
      </c>
      <c r="BT7" s="55" t="s">
        <v>91</v>
      </c>
      <c r="BU7" s="55" t="s">
        <v>91</v>
      </c>
      <c r="BV7" s="55" t="s">
        <v>91</v>
      </c>
      <c r="BW7" s="55" t="s">
        <v>91</v>
      </c>
      <c r="BX7" s="55" t="s">
        <v>91</v>
      </c>
      <c r="BY7" s="55" t="s">
        <v>91</v>
      </c>
      <c r="BZ7" s="55" t="s">
        <v>91</v>
      </c>
      <c r="CA7" s="55" t="s">
        <v>91</v>
      </c>
      <c r="CB7" s="55" t="s">
        <v>91</v>
      </c>
      <c r="CC7" s="55" t="s">
        <v>91</v>
      </c>
    </row>
    <row r="8" spans="1:81" ht="95.25" customHeight="1" thickBot="1">
      <c r="B8" s="19"/>
      <c r="C8" s="20"/>
      <c r="D8" s="20"/>
      <c r="E8" s="20"/>
      <c r="F8" s="21" t="s">
        <v>31</v>
      </c>
      <c r="G8" s="65" t="s">
        <v>25</v>
      </c>
      <c r="H8" s="66"/>
      <c r="I8" s="67"/>
      <c r="J8" s="65" t="s">
        <v>33</v>
      </c>
      <c r="K8" s="66"/>
      <c r="L8" s="67"/>
      <c r="M8" s="65" t="s">
        <v>34</v>
      </c>
      <c r="N8" s="66"/>
      <c r="O8" s="67"/>
      <c r="P8" s="65" t="s">
        <v>24</v>
      </c>
      <c r="Q8" s="66"/>
      <c r="R8" s="67"/>
      <c r="S8" s="65" t="s">
        <v>26</v>
      </c>
      <c r="T8" s="66"/>
      <c r="U8" s="67"/>
      <c r="V8" s="65" t="s">
        <v>25</v>
      </c>
      <c r="W8" s="66"/>
      <c r="X8" s="67"/>
      <c r="Y8" s="65" t="s">
        <v>33</v>
      </c>
      <c r="Z8" s="66"/>
      <c r="AA8" s="67"/>
      <c r="AB8" s="65" t="s">
        <v>34</v>
      </c>
      <c r="AC8" s="66"/>
      <c r="AD8" s="67"/>
      <c r="AE8" s="65" t="s">
        <v>24</v>
      </c>
      <c r="AF8" s="66"/>
      <c r="AG8" s="67"/>
      <c r="AH8" s="65" t="s">
        <v>26</v>
      </c>
      <c r="AI8" s="66"/>
      <c r="AJ8" s="67"/>
      <c r="AK8" s="65" t="s">
        <v>25</v>
      </c>
      <c r="AL8" s="66"/>
      <c r="AM8" s="67"/>
      <c r="AN8" s="65" t="s">
        <v>33</v>
      </c>
      <c r="AO8" s="66"/>
      <c r="AP8" s="67"/>
      <c r="AQ8" s="65" t="s">
        <v>34</v>
      </c>
      <c r="AR8" s="66"/>
      <c r="AS8" s="67"/>
      <c r="AT8" s="65" t="s">
        <v>24</v>
      </c>
      <c r="AU8" s="66"/>
      <c r="AV8" s="67"/>
      <c r="AW8" s="65" t="s">
        <v>26</v>
      </c>
      <c r="AX8" s="66"/>
      <c r="AY8" s="67"/>
      <c r="AZ8" s="65" t="s">
        <v>25</v>
      </c>
      <c r="BA8" s="66"/>
      <c r="BB8" s="67"/>
      <c r="BC8" s="65" t="s">
        <v>33</v>
      </c>
      <c r="BD8" s="66"/>
      <c r="BE8" s="67"/>
      <c r="BF8" s="65" t="s">
        <v>34</v>
      </c>
      <c r="BG8" s="66"/>
      <c r="BH8" s="67"/>
      <c r="BI8" s="65" t="s">
        <v>24</v>
      </c>
      <c r="BJ8" s="66"/>
      <c r="BK8" s="67"/>
      <c r="BL8" s="65" t="s">
        <v>26</v>
      </c>
      <c r="BM8" s="66"/>
      <c r="BN8" s="67"/>
      <c r="BO8" s="65" t="s">
        <v>25</v>
      </c>
      <c r="BP8" s="66"/>
      <c r="BQ8" s="67"/>
      <c r="BR8" s="65" t="s">
        <v>33</v>
      </c>
      <c r="BS8" s="66"/>
      <c r="BT8" s="67"/>
      <c r="BU8" s="65" t="s">
        <v>34</v>
      </c>
      <c r="BV8" s="66"/>
      <c r="BW8" s="67"/>
      <c r="BX8" s="65" t="s">
        <v>24</v>
      </c>
      <c r="BY8" s="66"/>
      <c r="BZ8" s="67"/>
      <c r="CA8" s="65" t="s">
        <v>26</v>
      </c>
      <c r="CB8" s="66"/>
      <c r="CC8" s="67"/>
    </row>
    <row r="9" spans="1:81" ht="15.75" hidden="1" thickBot="1">
      <c r="A9" s="22" t="s">
        <v>23</v>
      </c>
      <c r="B9" s="23"/>
      <c r="C9" s="23"/>
      <c r="D9" s="23"/>
      <c r="E9" s="23" t="s">
        <v>92</v>
      </c>
      <c r="F9" s="23"/>
      <c r="G9" s="24" t="s">
        <v>93</v>
      </c>
      <c r="H9" s="24" t="s">
        <v>93</v>
      </c>
      <c r="I9" s="24" t="s">
        <v>93</v>
      </c>
      <c r="J9" s="24" t="s">
        <v>94</v>
      </c>
      <c r="K9" s="24" t="s">
        <v>94</v>
      </c>
      <c r="L9" s="24" t="s">
        <v>94</v>
      </c>
      <c r="M9" s="24" t="s">
        <v>95</v>
      </c>
      <c r="N9" s="24" t="s">
        <v>95</v>
      </c>
      <c r="O9" s="24" t="s">
        <v>95</v>
      </c>
      <c r="P9" s="24" t="s">
        <v>96</v>
      </c>
      <c r="Q9" s="24" t="s">
        <v>96</v>
      </c>
      <c r="R9" s="24" t="s">
        <v>96</v>
      </c>
      <c r="S9" s="24" t="s">
        <v>97</v>
      </c>
      <c r="T9" s="24" t="s">
        <v>97</v>
      </c>
      <c r="U9" s="24" t="s">
        <v>97</v>
      </c>
      <c r="V9" s="24" t="s">
        <v>93</v>
      </c>
      <c r="W9" s="24" t="s">
        <v>93</v>
      </c>
      <c r="X9" s="24" t="s">
        <v>93</v>
      </c>
      <c r="Y9" s="24" t="s">
        <v>94</v>
      </c>
      <c r="Z9" s="24" t="s">
        <v>94</v>
      </c>
      <c r="AA9" s="24" t="s">
        <v>94</v>
      </c>
      <c r="AB9" s="24" t="s">
        <v>95</v>
      </c>
      <c r="AC9" s="24" t="s">
        <v>95</v>
      </c>
      <c r="AD9" s="24" t="s">
        <v>95</v>
      </c>
      <c r="AE9" s="24" t="s">
        <v>96</v>
      </c>
      <c r="AF9" s="24" t="s">
        <v>96</v>
      </c>
      <c r="AG9" s="24" t="s">
        <v>96</v>
      </c>
      <c r="AH9" s="24" t="s">
        <v>97</v>
      </c>
      <c r="AI9" s="24" t="s">
        <v>97</v>
      </c>
      <c r="AJ9" s="24" t="s">
        <v>97</v>
      </c>
      <c r="AK9" s="24" t="s">
        <v>93</v>
      </c>
      <c r="AL9" s="24" t="s">
        <v>93</v>
      </c>
      <c r="AM9" s="24" t="s">
        <v>93</v>
      </c>
      <c r="AN9" s="24" t="s">
        <v>94</v>
      </c>
      <c r="AO9" s="24" t="s">
        <v>94</v>
      </c>
      <c r="AP9" s="24" t="s">
        <v>94</v>
      </c>
      <c r="AQ9" s="24" t="s">
        <v>95</v>
      </c>
      <c r="AR9" s="24" t="s">
        <v>95</v>
      </c>
      <c r="AS9" s="24" t="s">
        <v>95</v>
      </c>
      <c r="AT9" s="24" t="s">
        <v>96</v>
      </c>
      <c r="AU9" s="24" t="s">
        <v>96</v>
      </c>
      <c r="AV9" s="24" t="s">
        <v>96</v>
      </c>
      <c r="AW9" s="24" t="s">
        <v>97</v>
      </c>
      <c r="AX9" s="24" t="s">
        <v>97</v>
      </c>
      <c r="AY9" s="24" t="s">
        <v>97</v>
      </c>
      <c r="AZ9" s="24" t="s">
        <v>93</v>
      </c>
      <c r="BA9" s="24" t="s">
        <v>93</v>
      </c>
      <c r="BB9" s="24" t="s">
        <v>93</v>
      </c>
      <c r="BC9" s="24" t="s">
        <v>94</v>
      </c>
      <c r="BD9" s="24" t="s">
        <v>94</v>
      </c>
      <c r="BE9" s="24" t="s">
        <v>94</v>
      </c>
      <c r="BF9" s="24" t="s">
        <v>95</v>
      </c>
      <c r="BG9" s="24" t="s">
        <v>95</v>
      </c>
      <c r="BH9" s="24" t="s">
        <v>95</v>
      </c>
      <c r="BI9" s="24" t="s">
        <v>96</v>
      </c>
      <c r="BJ9" s="24" t="s">
        <v>96</v>
      </c>
      <c r="BK9" s="24" t="s">
        <v>96</v>
      </c>
      <c r="BL9" s="24" t="s">
        <v>97</v>
      </c>
      <c r="BM9" s="24" t="s">
        <v>97</v>
      </c>
      <c r="BN9" s="24" t="s">
        <v>97</v>
      </c>
      <c r="BO9" s="24" t="s">
        <v>93</v>
      </c>
      <c r="BP9" s="24" t="s">
        <v>93</v>
      </c>
      <c r="BQ9" s="24" t="s">
        <v>93</v>
      </c>
      <c r="BR9" s="24" t="s">
        <v>94</v>
      </c>
      <c r="BS9" s="24" t="s">
        <v>94</v>
      </c>
      <c r="BT9" s="24" t="s">
        <v>94</v>
      </c>
      <c r="BU9" s="24" t="s">
        <v>95</v>
      </c>
      <c r="BV9" s="24" t="s">
        <v>95</v>
      </c>
      <c r="BW9" s="24" t="s">
        <v>95</v>
      </c>
      <c r="BX9" s="24" t="s">
        <v>96</v>
      </c>
      <c r="BY9" s="24" t="s">
        <v>96</v>
      </c>
      <c r="BZ9" s="24" t="s">
        <v>96</v>
      </c>
      <c r="CA9" s="24" t="s">
        <v>97</v>
      </c>
      <c r="CB9" s="24" t="s">
        <v>97</v>
      </c>
      <c r="CC9" s="24" t="s">
        <v>97</v>
      </c>
    </row>
    <row r="10" spans="1:81" ht="95.25" customHeight="1" thickBot="1">
      <c r="B10" s="19"/>
      <c r="C10" s="20"/>
      <c r="D10" s="20"/>
      <c r="E10" s="20"/>
      <c r="F10" s="21"/>
      <c r="G10" s="58" t="s">
        <v>35</v>
      </c>
      <c r="H10" s="58" t="s">
        <v>36</v>
      </c>
      <c r="I10" s="58" t="s">
        <v>37</v>
      </c>
      <c r="J10" s="58" t="s">
        <v>35</v>
      </c>
      <c r="K10" s="58" t="s">
        <v>36</v>
      </c>
      <c r="L10" s="58" t="s">
        <v>37</v>
      </c>
      <c r="M10" s="58" t="s">
        <v>35</v>
      </c>
      <c r="N10" s="58" t="s">
        <v>36</v>
      </c>
      <c r="O10" s="58" t="s">
        <v>37</v>
      </c>
      <c r="P10" s="58" t="s">
        <v>35</v>
      </c>
      <c r="Q10" s="58" t="s">
        <v>36</v>
      </c>
      <c r="R10" s="58" t="s">
        <v>37</v>
      </c>
      <c r="S10" s="58" t="s">
        <v>35</v>
      </c>
      <c r="T10" s="58" t="s">
        <v>36</v>
      </c>
      <c r="U10" s="58" t="s">
        <v>37</v>
      </c>
      <c r="V10" s="58" t="s">
        <v>35</v>
      </c>
      <c r="W10" s="58" t="s">
        <v>36</v>
      </c>
      <c r="X10" s="58" t="s">
        <v>37</v>
      </c>
      <c r="Y10" s="58" t="s">
        <v>35</v>
      </c>
      <c r="Z10" s="58" t="s">
        <v>36</v>
      </c>
      <c r="AA10" s="58" t="s">
        <v>37</v>
      </c>
      <c r="AB10" s="58" t="s">
        <v>35</v>
      </c>
      <c r="AC10" s="58" t="s">
        <v>36</v>
      </c>
      <c r="AD10" s="58" t="s">
        <v>37</v>
      </c>
      <c r="AE10" s="58" t="s">
        <v>35</v>
      </c>
      <c r="AF10" s="58" t="s">
        <v>36</v>
      </c>
      <c r="AG10" s="58" t="s">
        <v>37</v>
      </c>
      <c r="AH10" s="58" t="s">
        <v>35</v>
      </c>
      <c r="AI10" s="58" t="s">
        <v>36</v>
      </c>
      <c r="AJ10" s="58" t="s">
        <v>37</v>
      </c>
      <c r="AK10" s="58" t="s">
        <v>35</v>
      </c>
      <c r="AL10" s="58" t="s">
        <v>36</v>
      </c>
      <c r="AM10" s="58" t="s">
        <v>37</v>
      </c>
      <c r="AN10" s="58" t="s">
        <v>35</v>
      </c>
      <c r="AO10" s="58" t="s">
        <v>36</v>
      </c>
      <c r="AP10" s="58" t="s">
        <v>37</v>
      </c>
      <c r="AQ10" s="58" t="s">
        <v>35</v>
      </c>
      <c r="AR10" s="58" t="s">
        <v>36</v>
      </c>
      <c r="AS10" s="58" t="s">
        <v>37</v>
      </c>
      <c r="AT10" s="58" t="s">
        <v>35</v>
      </c>
      <c r="AU10" s="58" t="s">
        <v>36</v>
      </c>
      <c r="AV10" s="58" t="s">
        <v>37</v>
      </c>
      <c r="AW10" s="58" t="s">
        <v>35</v>
      </c>
      <c r="AX10" s="58" t="s">
        <v>36</v>
      </c>
      <c r="AY10" s="58" t="s">
        <v>37</v>
      </c>
      <c r="AZ10" s="58" t="s">
        <v>35</v>
      </c>
      <c r="BA10" s="58" t="s">
        <v>36</v>
      </c>
      <c r="BB10" s="58" t="s">
        <v>37</v>
      </c>
      <c r="BC10" s="58" t="s">
        <v>35</v>
      </c>
      <c r="BD10" s="58" t="s">
        <v>36</v>
      </c>
      <c r="BE10" s="58" t="s">
        <v>37</v>
      </c>
      <c r="BF10" s="58" t="s">
        <v>35</v>
      </c>
      <c r="BG10" s="58" t="s">
        <v>36</v>
      </c>
      <c r="BH10" s="58" t="s">
        <v>37</v>
      </c>
      <c r="BI10" s="58" t="s">
        <v>35</v>
      </c>
      <c r="BJ10" s="58" t="s">
        <v>36</v>
      </c>
      <c r="BK10" s="58" t="s">
        <v>37</v>
      </c>
      <c r="BL10" s="58" t="s">
        <v>35</v>
      </c>
      <c r="BM10" s="58" t="s">
        <v>36</v>
      </c>
      <c r="BN10" s="58" t="s">
        <v>37</v>
      </c>
      <c r="BO10" s="58" t="s">
        <v>35</v>
      </c>
      <c r="BP10" s="58" t="s">
        <v>36</v>
      </c>
      <c r="BQ10" s="58" t="s">
        <v>37</v>
      </c>
      <c r="BR10" s="58" t="s">
        <v>35</v>
      </c>
      <c r="BS10" s="58" t="s">
        <v>36</v>
      </c>
      <c r="BT10" s="58" t="s">
        <v>37</v>
      </c>
      <c r="BU10" s="58" t="s">
        <v>35</v>
      </c>
      <c r="BV10" s="58" t="s">
        <v>36</v>
      </c>
      <c r="BW10" s="58" t="s">
        <v>37</v>
      </c>
      <c r="BX10" s="58" t="s">
        <v>35</v>
      </c>
      <c r="BY10" s="58" t="s">
        <v>36</v>
      </c>
      <c r="BZ10" s="58" t="s">
        <v>37</v>
      </c>
      <c r="CA10" s="58" t="s">
        <v>35</v>
      </c>
      <c r="CB10" s="58" t="s">
        <v>36</v>
      </c>
      <c r="CC10" s="58" t="s">
        <v>37</v>
      </c>
    </row>
    <row r="11" spans="1:81" hidden="1">
      <c r="A11" s="22" t="s">
        <v>23</v>
      </c>
      <c r="B11" s="23"/>
      <c r="C11" s="23"/>
      <c r="D11" s="23"/>
      <c r="E11" s="23" t="s">
        <v>98</v>
      </c>
      <c r="F11" s="23"/>
      <c r="G11" s="24" t="s">
        <v>99</v>
      </c>
      <c r="H11" s="24" t="s">
        <v>100</v>
      </c>
      <c r="I11" s="24" t="s">
        <v>101</v>
      </c>
      <c r="J11" s="24" t="s">
        <v>99</v>
      </c>
      <c r="K11" s="24" t="s">
        <v>100</v>
      </c>
      <c r="L11" s="24" t="s">
        <v>101</v>
      </c>
      <c r="M11" s="24" t="s">
        <v>99</v>
      </c>
      <c r="N11" s="24" t="s">
        <v>100</v>
      </c>
      <c r="O11" s="24" t="s">
        <v>101</v>
      </c>
      <c r="P11" s="24" t="s">
        <v>99</v>
      </c>
      <c r="Q11" s="24" t="s">
        <v>100</v>
      </c>
      <c r="R11" s="24" t="s">
        <v>101</v>
      </c>
      <c r="S11" s="24" t="s">
        <v>99</v>
      </c>
      <c r="T11" s="24" t="s">
        <v>100</v>
      </c>
      <c r="U11" s="24" t="s">
        <v>101</v>
      </c>
      <c r="V11" s="24" t="s">
        <v>99</v>
      </c>
      <c r="W11" s="24" t="s">
        <v>100</v>
      </c>
      <c r="X11" s="24" t="s">
        <v>101</v>
      </c>
      <c r="Y11" s="24" t="s">
        <v>99</v>
      </c>
      <c r="Z11" s="24" t="s">
        <v>100</v>
      </c>
      <c r="AA11" s="24" t="s">
        <v>101</v>
      </c>
      <c r="AB11" s="24" t="s">
        <v>99</v>
      </c>
      <c r="AC11" s="24" t="s">
        <v>100</v>
      </c>
      <c r="AD11" s="24" t="s">
        <v>101</v>
      </c>
      <c r="AE11" s="24" t="s">
        <v>99</v>
      </c>
      <c r="AF11" s="24" t="s">
        <v>100</v>
      </c>
      <c r="AG11" s="24" t="s">
        <v>101</v>
      </c>
      <c r="AH11" s="24" t="s">
        <v>99</v>
      </c>
      <c r="AI11" s="24" t="s">
        <v>100</v>
      </c>
      <c r="AJ11" s="24" t="s">
        <v>101</v>
      </c>
      <c r="AK11" s="24" t="s">
        <v>99</v>
      </c>
      <c r="AL11" s="24" t="s">
        <v>100</v>
      </c>
      <c r="AM11" s="24" t="s">
        <v>101</v>
      </c>
      <c r="AN11" s="24" t="s">
        <v>99</v>
      </c>
      <c r="AO11" s="24" t="s">
        <v>100</v>
      </c>
      <c r="AP11" s="24" t="s">
        <v>101</v>
      </c>
      <c r="AQ11" s="24" t="s">
        <v>99</v>
      </c>
      <c r="AR11" s="24" t="s">
        <v>100</v>
      </c>
      <c r="AS11" s="24" t="s">
        <v>101</v>
      </c>
      <c r="AT11" s="24" t="s">
        <v>99</v>
      </c>
      <c r="AU11" s="24" t="s">
        <v>100</v>
      </c>
      <c r="AV11" s="24" t="s">
        <v>101</v>
      </c>
      <c r="AW11" s="24" t="s">
        <v>99</v>
      </c>
      <c r="AX11" s="24" t="s">
        <v>100</v>
      </c>
      <c r="AY11" s="24" t="s">
        <v>101</v>
      </c>
      <c r="AZ11" s="24" t="s">
        <v>99</v>
      </c>
      <c r="BA11" s="24" t="s">
        <v>100</v>
      </c>
      <c r="BB11" s="24" t="s">
        <v>101</v>
      </c>
      <c r="BC11" s="24" t="s">
        <v>99</v>
      </c>
      <c r="BD11" s="24" t="s">
        <v>100</v>
      </c>
      <c r="BE11" s="24" t="s">
        <v>101</v>
      </c>
      <c r="BF11" s="24" t="s">
        <v>99</v>
      </c>
      <c r="BG11" s="24" t="s">
        <v>100</v>
      </c>
      <c r="BH11" s="24" t="s">
        <v>101</v>
      </c>
      <c r="BI11" s="24" t="s">
        <v>99</v>
      </c>
      <c r="BJ11" s="24" t="s">
        <v>100</v>
      </c>
      <c r="BK11" s="24" t="s">
        <v>101</v>
      </c>
      <c r="BL11" s="24" t="s">
        <v>99</v>
      </c>
      <c r="BM11" s="24" t="s">
        <v>100</v>
      </c>
      <c r="BN11" s="24" t="s">
        <v>101</v>
      </c>
      <c r="BO11" s="24" t="s">
        <v>99</v>
      </c>
      <c r="BP11" s="24" t="s">
        <v>100</v>
      </c>
      <c r="BQ11" s="24" t="s">
        <v>101</v>
      </c>
      <c r="BR11" s="24" t="s">
        <v>99</v>
      </c>
      <c r="BS11" s="24" t="s">
        <v>100</v>
      </c>
      <c r="BT11" s="24" t="s">
        <v>101</v>
      </c>
      <c r="BU11" s="24" t="s">
        <v>99</v>
      </c>
      <c r="BV11" s="24" t="s">
        <v>100</v>
      </c>
      <c r="BW11" s="24" t="s">
        <v>101</v>
      </c>
      <c r="BX11" s="24" t="s">
        <v>99</v>
      </c>
      <c r="BY11" s="24" t="s">
        <v>100</v>
      </c>
      <c r="BZ11" s="24" t="s">
        <v>101</v>
      </c>
      <c r="CA11" s="24" t="s">
        <v>99</v>
      </c>
      <c r="CB11" s="24" t="s">
        <v>100</v>
      </c>
      <c r="CC11" s="24" t="s">
        <v>101</v>
      </c>
    </row>
    <row r="12" spans="1:81">
      <c r="B12" s="2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42"/>
    </row>
    <row r="13" spans="1:81" ht="22.5" customHeight="1">
      <c r="B13" s="25"/>
      <c r="C13" s="23"/>
      <c r="D13" s="23"/>
      <c r="E13" s="23"/>
      <c r="F13" s="26" t="s">
        <v>2</v>
      </c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42"/>
    </row>
    <row r="14" spans="1:81">
      <c r="A14" s="27"/>
      <c r="B14" s="28"/>
      <c r="C14" s="29"/>
      <c r="D14" s="29"/>
      <c r="E14" s="29"/>
      <c r="F14" s="30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43"/>
    </row>
    <row r="15" spans="1:81">
      <c r="A15" s="27"/>
      <c r="B15" s="28"/>
      <c r="C15" s="29"/>
      <c r="D15" s="29" t="s">
        <v>0</v>
      </c>
      <c r="E15" s="29" t="s">
        <v>0</v>
      </c>
      <c r="F15" s="30" t="s">
        <v>56</v>
      </c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43"/>
    </row>
    <row r="16" spans="1:81">
      <c r="A16" s="27" t="s">
        <v>4</v>
      </c>
      <c r="B16" s="28"/>
      <c r="C16" s="29" t="s">
        <v>102</v>
      </c>
      <c r="D16" s="29" t="s">
        <v>1</v>
      </c>
      <c r="E16" s="29" t="s">
        <v>0</v>
      </c>
      <c r="F16" s="49" t="s">
        <v>150</v>
      </c>
      <c r="G16" s="39"/>
      <c r="H16" s="39"/>
      <c r="I16" s="40">
        <f>G16+H16</f>
        <v>0</v>
      </c>
      <c r="J16" s="39"/>
      <c r="K16" s="39"/>
      <c r="L16" s="40">
        <f>J16+K16</f>
        <v>0</v>
      </c>
      <c r="M16" s="39"/>
      <c r="N16" s="39"/>
      <c r="O16" s="40">
        <f>M16+N16</f>
        <v>0</v>
      </c>
      <c r="P16" s="40">
        <f>J16+M16</f>
        <v>0</v>
      </c>
      <c r="Q16" s="40">
        <f>K16+N16</f>
        <v>0</v>
      </c>
      <c r="R16" s="40">
        <f>P16+Q16</f>
        <v>0</v>
      </c>
      <c r="S16" s="40">
        <f>G16-P16</f>
        <v>0</v>
      </c>
      <c r="T16" s="40">
        <f>H16-Q16</f>
        <v>0</v>
      </c>
      <c r="U16" s="40">
        <f>S16+T16</f>
        <v>0</v>
      </c>
      <c r="V16" s="39"/>
      <c r="W16" s="39"/>
      <c r="X16" s="40">
        <f>V16+W16</f>
        <v>0</v>
      </c>
      <c r="Y16" s="39"/>
      <c r="Z16" s="39"/>
      <c r="AA16" s="40">
        <f>Y16+Z16</f>
        <v>0</v>
      </c>
      <c r="AB16" s="39"/>
      <c r="AC16" s="39"/>
      <c r="AD16" s="40">
        <f>AB16+AC16</f>
        <v>0</v>
      </c>
      <c r="AE16" s="40">
        <f>Y16+AB16</f>
        <v>0</v>
      </c>
      <c r="AF16" s="40">
        <f>Z16+AC16</f>
        <v>0</v>
      </c>
      <c r="AG16" s="40">
        <f>AE16+AF16</f>
        <v>0</v>
      </c>
      <c r="AH16" s="40">
        <f>V16-AE16</f>
        <v>0</v>
      </c>
      <c r="AI16" s="40">
        <f t="shared" ref="AI16" si="0">W16-AF16</f>
        <v>0</v>
      </c>
      <c r="AJ16" s="40">
        <f>AH16+AI16</f>
        <v>0</v>
      </c>
      <c r="AK16" s="39">
        <v>92351912000</v>
      </c>
      <c r="AL16" s="39">
        <v>998279510000</v>
      </c>
      <c r="AM16" s="40">
        <f>AK16+AL16</f>
        <v>1090631422000</v>
      </c>
      <c r="AN16" s="39"/>
      <c r="AO16" s="39"/>
      <c r="AP16" s="40">
        <f>AN16+AO16</f>
        <v>0</v>
      </c>
      <c r="AQ16" s="39"/>
      <c r="AR16" s="39"/>
      <c r="AS16" s="40">
        <f>AQ16+AR16</f>
        <v>0</v>
      </c>
      <c r="AT16" s="40">
        <f>AN16+AQ16</f>
        <v>0</v>
      </c>
      <c r="AU16" s="40">
        <f>AO16+AR16</f>
        <v>0</v>
      </c>
      <c r="AV16" s="40">
        <f>AT16+AU16</f>
        <v>0</v>
      </c>
      <c r="AW16" s="40">
        <f>AK16-AT16</f>
        <v>92351912000</v>
      </c>
      <c r="AX16" s="40">
        <f t="shared" ref="AX16" si="1">AL16-AU16</f>
        <v>998279510000</v>
      </c>
      <c r="AY16" s="40">
        <f>AW16+AX16</f>
        <v>1090631422000</v>
      </c>
      <c r="AZ16" s="40">
        <f>V16+AK16</f>
        <v>92351912000</v>
      </c>
      <c r="BA16" s="40">
        <f t="shared" ref="BA16:BN16" si="2">W16+AL16</f>
        <v>998279510000</v>
      </c>
      <c r="BB16" s="40">
        <f t="shared" si="2"/>
        <v>1090631422000</v>
      </c>
      <c r="BC16" s="40">
        <f t="shared" si="2"/>
        <v>0</v>
      </c>
      <c r="BD16" s="40">
        <f t="shared" si="2"/>
        <v>0</v>
      </c>
      <c r="BE16" s="40">
        <f t="shared" si="2"/>
        <v>0</v>
      </c>
      <c r="BF16" s="40">
        <f t="shared" si="2"/>
        <v>0</v>
      </c>
      <c r="BG16" s="40">
        <f t="shared" si="2"/>
        <v>0</v>
      </c>
      <c r="BH16" s="40">
        <f t="shared" si="2"/>
        <v>0</v>
      </c>
      <c r="BI16" s="40">
        <f t="shared" si="2"/>
        <v>0</v>
      </c>
      <c r="BJ16" s="40">
        <f t="shared" si="2"/>
        <v>0</v>
      </c>
      <c r="BK16" s="40">
        <f t="shared" si="2"/>
        <v>0</v>
      </c>
      <c r="BL16" s="40">
        <f t="shared" si="2"/>
        <v>92351912000</v>
      </c>
      <c r="BM16" s="40">
        <f t="shared" si="2"/>
        <v>998279510000</v>
      </c>
      <c r="BN16" s="40">
        <f t="shared" si="2"/>
        <v>1090631422000</v>
      </c>
      <c r="BO16" s="40">
        <f t="shared" ref="BO16:CC16" si="3">AZ16+G16</f>
        <v>92351912000</v>
      </c>
      <c r="BP16" s="40">
        <f t="shared" si="3"/>
        <v>998279510000</v>
      </c>
      <c r="BQ16" s="40">
        <f t="shared" si="3"/>
        <v>1090631422000</v>
      </c>
      <c r="BR16" s="40">
        <f t="shared" si="3"/>
        <v>0</v>
      </c>
      <c r="BS16" s="40">
        <f t="shared" si="3"/>
        <v>0</v>
      </c>
      <c r="BT16" s="40">
        <f t="shared" si="3"/>
        <v>0</v>
      </c>
      <c r="BU16" s="40">
        <f t="shared" si="3"/>
        <v>0</v>
      </c>
      <c r="BV16" s="40">
        <f t="shared" si="3"/>
        <v>0</v>
      </c>
      <c r="BW16" s="40">
        <f t="shared" si="3"/>
        <v>0</v>
      </c>
      <c r="BX16" s="40">
        <f t="shared" si="3"/>
        <v>0</v>
      </c>
      <c r="BY16" s="40">
        <f t="shared" si="3"/>
        <v>0</v>
      </c>
      <c r="BZ16" s="40">
        <f t="shared" si="3"/>
        <v>0</v>
      </c>
      <c r="CA16" s="40">
        <f t="shared" si="3"/>
        <v>92351912000</v>
      </c>
      <c r="CB16" s="40">
        <f t="shared" si="3"/>
        <v>998279510000</v>
      </c>
      <c r="CC16" s="40">
        <f t="shared" si="3"/>
        <v>1090631422000</v>
      </c>
    </row>
    <row r="17" spans="1:81">
      <c r="A17" s="27"/>
      <c r="B17" s="28"/>
      <c r="C17" s="29"/>
      <c r="D17" s="29" t="s">
        <v>0</v>
      </c>
      <c r="E17" s="29" t="s">
        <v>0</v>
      </c>
      <c r="F17" s="30" t="s">
        <v>38</v>
      </c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</row>
    <row r="18" spans="1:81">
      <c r="A18" s="27"/>
      <c r="B18" s="28"/>
      <c r="C18" s="29"/>
      <c r="D18" s="29" t="s">
        <v>0</v>
      </c>
      <c r="E18" s="29" t="s">
        <v>0</v>
      </c>
      <c r="F18" s="30" t="s">
        <v>39</v>
      </c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</row>
    <row r="19" spans="1:81" ht="22.5">
      <c r="A19" s="27"/>
      <c r="B19" s="28"/>
      <c r="C19" s="29" t="s">
        <v>103</v>
      </c>
      <c r="D19" s="29" t="s">
        <v>1</v>
      </c>
      <c r="E19" s="29" t="s">
        <v>0</v>
      </c>
      <c r="F19" s="31" t="s">
        <v>40</v>
      </c>
      <c r="G19" s="39"/>
      <c r="H19" s="39"/>
      <c r="I19" s="40">
        <f t="shared" ref="I19:I33" si="4">G19+H19</f>
        <v>0</v>
      </c>
      <c r="J19" s="39"/>
      <c r="K19" s="39"/>
      <c r="L19" s="40">
        <f t="shared" ref="L19:L33" si="5">J19+K19</f>
        <v>0</v>
      </c>
      <c r="M19" s="39"/>
      <c r="N19" s="39"/>
      <c r="O19" s="40">
        <f t="shared" ref="O19:O33" si="6">M19+N19</f>
        <v>0</v>
      </c>
      <c r="P19" s="40">
        <f>J19+M19</f>
        <v>0</v>
      </c>
      <c r="Q19" s="40">
        <f>K19+N19</f>
        <v>0</v>
      </c>
      <c r="R19" s="40">
        <f t="shared" ref="R19:R33" si="7">P19+Q19</f>
        <v>0</v>
      </c>
      <c r="S19" s="40">
        <f t="shared" ref="S19:T33" si="8">G19-P19</f>
        <v>0</v>
      </c>
      <c r="T19" s="40">
        <f t="shared" si="8"/>
        <v>0</v>
      </c>
      <c r="U19" s="40">
        <f t="shared" ref="U19:U33" si="9">S19+T19</f>
        <v>0</v>
      </c>
      <c r="V19" s="39"/>
      <c r="W19" s="39"/>
      <c r="X19" s="40">
        <f t="shared" ref="X19:X33" si="10">V19+W19</f>
        <v>0</v>
      </c>
      <c r="Y19" s="39"/>
      <c r="Z19" s="39"/>
      <c r="AA19" s="40">
        <f t="shared" ref="AA19:AA33" si="11">Y19+Z19</f>
        <v>0</v>
      </c>
      <c r="AB19" s="39"/>
      <c r="AC19" s="39"/>
      <c r="AD19" s="40">
        <f t="shared" ref="AD19:AD33" si="12">AB19+AC19</f>
        <v>0</v>
      </c>
      <c r="AE19" s="40">
        <f>Y19+AB19</f>
        <v>0</v>
      </c>
      <c r="AF19" s="40">
        <f>Z19+AC19</f>
        <v>0</v>
      </c>
      <c r="AG19" s="40">
        <f t="shared" ref="AG19:AG33" si="13">AE19+AF19</f>
        <v>0</v>
      </c>
      <c r="AH19" s="40">
        <f t="shared" ref="AH19:AI33" si="14">V19-AE19</f>
        <v>0</v>
      </c>
      <c r="AI19" s="40">
        <f t="shared" si="14"/>
        <v>0</v>
      </c>
      <c r="AJ19" s="40">
        <f t="shared" ref="AJ19:AJ33" si="15">AH19+AI19</f>
        <v>0</v>
      </c>
      <c r="AK19" s="39"/>
      <c r="AL19" s="39"/>
      <c r="AM19" s="40">
        <f t="shared" ref="AM19:AM33" si="16">AK19+AL19</f>
        <v>0</v>
      </c>
      <c r="AN19" s="39"/>
      <c r="AO19" s="39"/>
      <c r="AP19" s="40">
        <f t="shared" ref="AP19:AP33" si="17">AN19+AO19</f>
        <v>0</v>
      </c>
      <c r="AQ19" s="39"/>
      <c r="AR19" s="39"/>
      <c r="AS19" s="40">
        <f t="shared" ref="AS19:AS33" si="18">AQ19+AR19</f>
        <v>0</v>
      </c>
      <c r="AT19" s="40">
        <f>AN19+AQ19</f>
        <v>0</v>
      </c>
      <c r="AU19" s="40">
        <f>AO19+AR19</f>
        <v>0</v>
      </c>
      <c r="AV19" s="40">
        <f t="shared" ref="AV19:AV33" si="19">AT19+AU19</f>
        <v>0</v>
      </c>
      <c r="AW19" s="40">
        <f t="shared" ref="AW19:AX33" si="20">AK19-AT19</f>
        <v>0</v>
      </c>
      <c r="AX19" s="40">
        <f t="shared" si="20"/>
        <v>0</v>
      </c>
      <c r="AY19" s="40">
        <f t="shared" ref="AY19:AY33" si="21">AW19+AX19</f>
        <v>0</v>
      </c>
      <c r="AZ19" s="40">
        <f t="shared" ref="AZ19:AZ34" si="22">V19+AK19</f>
        <v>0</v>
      </c>
      <c r="BA19" s="40">
        <f t="shared" ref="BA19:BA34" si="23">W19+AL19</f>
        <v>0</v>
      </c>
      <c r="BB19" s="40">
        <f t="shared" ref="BB19:BB34" si="24">X19+AM19</f>
        <v>0</v>
      </c>
      <c r="BC19" s="40">
        <f t="shared" ref="BC19:BC34" si="25">Y19+AN19</f>
        <v>0</v>
      </c>
      <c r="BD19" s="40">
        <f t="shared" ref="BD19:BD34" si="26">Z19+AO19</f>
        <v>0</v>
      </c>
      <c r="BE19" s="40">
        <f t="shared" ref="BE19:BE34" si="27">AA19+AP19</f>
        <v>0</v>
      </c>
      <c r="BF19" s="40">
        <f t="shared" ref="BF19:BF34" si="28">AB19+AQ19</f>
        <v>0</v>
      </c>
      <c r="BG19" s="40">
        <f t="shared" ref="BG19:BG34" si="29">AC19+AR19</f>
        <v>0</v>
      </c>
      <c r="BH19" s="40">
        <f t="shared" ref="BH19:BH34" si="30">AD19+AS19</f>
        <v>0</v>
      </c>
      <c r="BI19" s="40">
        <f t="shared" ref="BI19:BI34" si="31">AE19+AT19</f>
        <v>0</v>
      </c>
      <c r="BJ19" s="40">
        <f t="shared" ref="BJ19:BJ34" si="32">AF19+AU19</f>
        <v>0</v>
      </c>
      <c r="BK19" s="40">
        <f t="shared" ref="BK19:BK34" si="33">AG19+AV19</f>
        <v>0</v>
      </c>
      <c r="BL19" s="40">
        <f t="shared" ref="BL19:BL34" si="34">AH19+AW19</f>
        <v>0</v>
      </c>
      <c r="BM19" s="40">
        <f t="shared" ref="BM19:BM34" si="35">AI19+AX19</f>
        <v>0</v>
      </c>
      <c r="BN19" s="40">
        <f t="shared" ref="BN19:BN34" si="36">AJ19+AY19</f>
        <v>0</v>
      </c>
      <c r="BO19" s="40">
        <f t="shared" ref="BO19:BO34" si="37">AZ19+G19</f>
        <v>0</v>
      </c>
      <c r="BP19" s="40">
        <f t="shared" ref="BP19:BP34" si="38">BA19+H19</f>
        <v>0</v>
      </c>
      <c r="BQ19" s="40">
        <f t="shared" ref="BQ19:BQ34" si="39">BB19+I19</f>
        <v>0</v>
      </c>
      <c r="BR19" s="40">
        <f t="shared" ref="BR19:BR34" si="40">BC19+J19</f>
        <v>0</v>
      </c>
      <c r="BS19" s="40">
        <f t="shared" ref="BS19:BS34" si="41">BD19+K19</f>
        <v>0</v>
      </c>
      <c r="BT19" s="40">
        <f t="shared" ref="BT19:BT34" si="42">BE19+L19</f>
        <v>0</v>
      </c>
      <c r="BU19" s="40">
        <f t="shared" ref="BU19:BU34" si="43">BF19+M19</f>
        <v>0</v>
      </c>
      <c r="BV19" s="40">
        <f t="shared" ref="BV19:BV34" si="44">BG19+N19</f>
        <v>0</v>
      </c>
      <c r="BW19" s="40">
        <f t="shared" ref="BW19:BW34" si="45">BH19+O19</f>
        <v>0</v>
      </c>
      <c r="BX19" s="40">
        <f t="shared" ref="BX19:BX34" si="46">BI19+P19</f>
        <v>0</v>
      </c>
      <c r="BY19" s="40">
        <f t="shared" ref="BY19:BY34" si="47">BJ19+Q19</f>
        <v>0</v>
      </c>
      <c r="BZ19" s="40">
        <f t="shared" ref="BZ19:BZ34" si="48">BK19+R19</f>
        <v>0</v>
      </c>
      <c r="CA19" s="40">
        <f t="shared" ref="CA19:CA34" si="49">BL19+S19</f>
        <v>0</v>
      </c>
      <c r="CB19" s="40">
        <f t="shared" ref="CB19:CB34" si="50">BM19+T19</f>
        <v>0</v>
      </c>
      <c r="CC19" s="40">
        <f t="shared" ref="CC19:CC34" si="51">BN19+U19</f>
        <v>0</v>
      </c>
    </row>
    <row r="20" spans="1:81">
      <c r="A20" s="27"/>
      <c r="B20" s="28"/>
      <c r="C20" s="29" t="s">
        <v>104</v>
      </c>
      <c r="D20" s="29" t="s">
        <v>1</v>
      </c>
      <c r="E20" s="29" t="s">
        <v>0</v>
      </c>
      <c r="F20" s="31" t="s">
        <v>41</v>
      </c>
      <c r="G20" s="39"/>
      <c r="H20" s="39"/>
      <c r="I20" s="40">
        <f t="shared" si="4"/>
        <v>0</v>
      </c>
      <c r="J20" s="39"/>
      <c r="K20" s="39"/>
      <c r="L20" s="40">
        <f t="shared" si="5"/>
        <v>0</v>
      </c>
      <c r="M20" s="39"/>
      <c r="N20" s="39"/>
      <c r="O20" s="40">
        <f t="shared" si="6"/>
        <v>0</v>
      </c>
      <c r="P20" s="40">
        <f>J20+M20</f>
        <v>0</v>
      </c>
      <c r="Q20" s="40">
        <f>K20+N20</f>
        <v>0</v>
      </c>
      <c r="R20" s="40">
        <f t="shared" si="7"/>
        <v>0</v>
      </c>
      <c r="S20" s="40">
        <f t="shared" si="8"/>
        <v>0</v>
      </c>
      <c r="T20" s="40">
        <f t="shared" si="8"/>
        <v>0</v>
      </c>
      <c r="U20" s="40">
        <f t="shared" si="9"/>
        <v>0</v>
      </c>
      <c r="V20" s="39"/>
      <c r="W20" s="39"/>
      <c r="X20" s="40">
        <f t="shared" si="10"/>
        <v>0</v>
      </c>
      <c r="Y20" s="39"/>
      <c r="Z20" s="39"/>
      <c r="AA20" s="40">
        <f t="shared" si="11"/>
        <v>0</v>
      </c>
      <c r="AB20" s="39"/>
      <c r="AC20" s="39"/>
      <c r="AD20" s="40">
        <f t="shared" si="12"/>
        <v>0</v>
      </c>
      <c r="AE20" s="40">
        <f>Y20+AB20</f>
        <v>0</v>
      </c>
      <c r="AF20" s="40">
        <f>Z20+AC20</f>
        <v>0</v>
      </c>
      <c r="AG20" s="40">
        <f t="shared" si="13"/>
        <v>0</v>
      </c>
      <c r="AH20" s="40">
        <f t="shared" si="14"/>
        <v>0</v>
      </c>
      <c r="AI20" s="40">
        <f t="shared" si="14"/>
        <v>0</v>
      </c>
      <c r="AJ20" s="40">
        <f t="shared" si="15"/>
        <v>0</v>
      </c>
      <c r="AK20" s="39">
        <v>83821971000</v>
      </c>
      <c r="AL20" s="39">
        <v>43730024000</v>
      </c>
      <c r="AM20" s="40">
        <f t="shared" si="16"/>
        <v>127551995000</v>
      </c>
      <c r="AN20" s="39"/>
      <c r="AO20" s="39"/>
      <c r="AP20" s="40">
        <f t="shared" si="17"/>
        <v>0</v>
      </c>
      <c r="AQ20" s="39"/>
      <c r="AR20" s="39"/>
      <c r="AS20" s="40">
        <f t="shared" si="18"/>
        <v>0</v>
      </c>
      <c r="AT20" s="40">
        <f>AN20+AQ20</f>
        <v>0</v>
      </c>
      <c r="AU20" s="40">
        <f>AO20+AR20</f>
        <v>0</v>
      </c>
      <c r="AV20" s="40">
        <f t="shared" si="19"/>
        <v>0</v>
      </c>
      <c r="AW20" s="40">
        <f t="shared" si="20"/>
        <v>83821971000</v>
      </c>
      <c r="AX20" s="40">
        <f t="shared" si="20"/>
        <v>43730024000</v>
      </c>
      <c r="AY20" s="40">
        <f t="shared" si="21"/>
        <v>127551995000</v>
      </c>
      <c r="AZ20" s="40">
        <f t="shared" si="22"/>
        <v>83821971000</v>
      </c>
      <c r="BA20" s="40">
        <f t="shared" si="23"/>
        <v>43730024000</v>
      </c>
      <c r="BB20" s="40">
        <f t="shared" si="24"/>
        <v>127551995000</v>
      </c>
      <c r="BC20" s="40">
        <f t="shared" si="25"/>
        <v>0</v>
      </c>
      <c r="BD20" s="40">
        <f t="shared" si="26"/>
        <v>0</v>
      </c>
      <c r="BE20" s="40">
        <f t="shared" si="27"/>
        <v>0</v>
      </c>
      <c r="BF20" s="40">
        <f t="shared" si="28"/>
        <v>0</v>
      </c>
      <c r="BG20" s="40">
        <f t="shared" si="29"/>
        <v>0</v>
      </c>
      <c r="BH20" s="40">
        <f t="shared" si="30"/>
        <v>0</v>
      </c>
      <c r="BI20" s="40">
        <f t="shared" si="31"/>
        <v>0</v>
      </c>
      <c r="BJ20" s="40">
        <f t="shared" si="32"/>
        <v>0</v>
      </c>
      <c r="BK20" s="40">
        <f t="shared" si="33"/>
        <v>0</v>
      </c>
      <c r="BL20" s="40">
        <f t="shared" si="34"/>
        <v>83821971000</v>
      </c>
      <c r="BM20" s="40">
        <f t="shared" si="35"/>
        <v>43730024000</v>
      </c>
      <c r="BN20" s="40">
        <f t="shared" si="36"/>
        <v>127551995000</v>
      </c>
      <c r="BO20" s="40">
        <f t="shared" si="37"/>
        <v>83821971000</v>
      </c>
      <c r="BP20" s="40">
        <f t="shared" si="38"/>
        <v>43730024000</v>
      </c>
      <c r="BQ20" s="40">
        <f t="shared" si="39"/>
        <v>127551995000</v>
      </c>
      <c r="BR20" s="40">
        <f t="shared" si="40"/>
        <v>0</v>
      </c>
      <c r="BS20" s="40">
        <f t="shared" si="41"/>
        <v>0</v>
      </c>
      <c r="BT20" s="40">
        <f t="shared" si="42"/>
        <v>0</v>
      </c>
      <c r="BU20" s="40">
        <f t="shared" si="43"/>
        <v>0</v>
      </c>
      <c r="BV20" s="40">
        <f t="shared" si="44"/>
        <v>0</v>
      </c>
      <c r="BW20" s="40">
        <f t="shared" si="45"/>
        <v>0</v>
      </c>
      <c r="BX20" s="40">
        <f t="shared" si="46"/>
        <v>0</v>
      </c>
      <c r="BY20" s="40">
        <f t="shared" si="47"/>
        <v>0</v>
      </c>
      <c r="BZ20" s="40">
        <f t="shared" si="48"/>
        <v>0</v>
      </c>
      <c r="CA20" s="40">
        <f t="shared" si="49"/>
        <v>83821971000</v>
      </c>
      <c r="CB20" s="40">
        <f t="shared" si="50"/>
        <v>43730024000</v>
      </c>
      <c r="CC20" s="40">
        <f t="shared" si="51"/>
        <v>127551995000</v>
      </c>
    </row>
    <row r="21" spans="1:81">
      <c r="A21" s="27"/>
      <c r="B21" s="28"/>
      <c r="C21" s="29" t="s">
        <v>105</v>
      </c>
      <c r="D21" s="29" t="s">
        <v>1</v>
      </c>
      <c r="E21" s="29" t="s">
        <v>0</v>
      </c>
      <c r="F21" s="30" t="s">
        <v>42</v>
      </c>
      <c r="G21" s="40">
        <f t="shared" ref="G21:H21" si="52">G19+G20</f>
        <v>0</v>
      </c>
      <c r="H21" s="40">
        <f t="shared" si="52"/>
        <v>0</v>
      </c>
      <c r="I21" s="40">
        <f t="shared" si="4"/>
        <v>0</v>
      </c>
      <c r="J21" s="40">
        <f t="shared" ref="J21:K21" si="53">J19+J20</f>
        <v>0</v>
      </c>
      <c r="K21" s="40">
        <f t="shared" si="53"/>
        <v>0</v>
      </c>
      <c r="L21" s="40">
        <f t="shared" si="5"/>
        <v>0</v>
      </c>
      <c r="M21" s="40">
        <f t="shared" ref="M21:N21" si="54">M19+M20</f>
        <v>0</v>
      </c>
      <c r="N21" s="40">
        <f t="shared" si="54"/>
        <v>0</v>
      </c>
      <c r="O21" s="40">
        <f t="shared" si="6"/>
        <v>0</v>
      </c>
      <c r="P21" s="40">
        <f t="shared" ref="P21:Q21" si="55">P19+P20</f>
        <v>0</v>
      </c>
      <c r="Q21" s="40">
        <f t="shared" si="55"/>
        <v>0</v>
      </c>
      <c r="R21" s="40">
        <f t="shared" si="7"/>
        <v>0</v>
      </c>
      <c r="S21" s="40">
        <f t="shared" si="8"/>
        <v>0</v>
      </c>
      <c r="T21" s="40">
        <f t="shared" si="8"/>
        <v>0</v>
      </c>
      <c r="U21" s="40">
        <f t="shared" si="9"/>
        <v>0</v>
      </c>
      <c r="V21" s="40">
        <f>V19+V20</f>
        <v>0</v>
      </c>
      <c r="W21" s="40">
        <f t="shared" ref="W21" si="56">W19+W20</f>
        <v>0</v>
      </c>
      <c r="X21" s="40">
        <f t="shared" si="10"/>
        <v>0</v>
      </c>
      <c r="Y21" s="40">
        <f>Y19+Y20</f>
        <v>0</v>
      </c>
      <c r="Z21" s="40">
        <f t="shared" ref="Z21" si="57">Z19+Z20</f>
        <v>0</v>
      </c>
      <c r="AA21" s="40">
        <f t="shared" si="11"/>
        <v>0</v>
      </c>
      <c r="AB21" s="40">
        <f>AB19+AB20</f>
        <v>0</v>
      </c>
      <c r="AC21" s="40">
        <f t="shared" ref="AC21" si="58">AC19+AC20</f>
        <v>0</v>
      </c>
      <c r="AD21" s="40">
        <f t="shared" si="12"/>
        <v>0</v>
      </c>
      <c r="AE21" s="40">
        <f t="shared" ref="AE21:AF21" si="59">AE19+AE20</f>
        <v>0</v>
      </c>
      <c r="AF21" s="40">
        <f t="shared" si="59"/>
        <v>0</v>
      </c>
      <c r="AG21" s="40">
        <f t="shared" si="13"/>
        <v>0</v>
      </c>
      <c r="AH21" s="40">
        <f t="shared" si="14"/>
        <v>0</v>
      </c>
      <c r="AI21" s="40">
        <f t="shared" si="14"/>
        <v>0</v>
      </c>
      <c r="AJ21" s="40">
        <f t="shared" si="15"/>
        <v>0</v>
      </c>
      <c r="AK21" s="40">
        <f t="shared" ref="AK21:AL21" si="60">AK19+AK20</f>
        <v>83821971000</v>
      </c>
      <c r="AL21" s="40">
        <f t="shared" si="60"/>
        <v>43730024000</v>
      </c>
      <c r="AM21" s="40">
        <f t="shared" si="16"/>
        <v>127551995000</v>
      </c>
      <c r="AN21" s="40">
        <f t="shared" ref="AN21:AO21" si="61">AN19+AN20</f>
        <v>0</v>
      </c>
      <c r="AO21" s="40">
        <f t="shared" si="61"/>
        <v>0</v>
      </c>
      <c r="AP21" s="40">
        <f t="shared" si="17"/>
        <v>0</v>
      </c>
      <c r="AQ21" s="40">
        <f t="shared" ref="AQ21:AR21" si="62">AQ19+AQ20</f>
        <v>0</v>
      </c>
      <c r="AR21" s="40">
        <f t="shared" si="62"/>
        <v>0</v>
      </c>
      <c r="AS21" s="40">
        <f t="shared" si="18"/>
        <v>0</v>
      </c>
      <c r="AT21" s="40">
        <f t="shared" ref="AT21:AU21" si="63">AT19+AT20</f>
        <v>0</v>
      </c>
      <c r="AU21" s="40">
        <f t="shared" si="63"/>
        <v>0</v>
      </c>
      <c r="AV21" s="40">
        <f t="shared" si="19"/>
        <v>0</v>
      </c>
      <c r="AW21" s="40">
        <f t="shared" si="20"/>
        <v>83821971000</v>
      </c>
      <c r="AX21" s="40">
        <f t="shared" si="20"/>
        <v>43730024000</v>
      </c>
      <c r="AY21" s="40">
        <f t="shared" si="21"/>
        <v>127551995000</v>
      </c>
      <c r="AZ21" s="40">
        <f t="shared" si="22"/>
        <v>83821971000</v>
      </c>
      <c r="BA21" s="40">
        <f t="shared" si="23"/>
        <v>43730024000</v>
      </c>
      <c r="BB21" s="40">
        <f t="shared" si="24"/>
        <v>127551995000</v>
      </c>
      <c r="BC21" s="40">
        <f t="shared" si="25"/>
        <v>0</v>
      </c>
      <c r="BD21" s="40">
        <f t="shared" si="26"/>
        <v>0</v>
      </c>
      <c r="BE21" s="40">
        <f t="shared" si="27"/>
        <v>0</v>
      </c>
      <c r="BF21" s="40">
        <f t="shared" si="28"/>
        <v>0</v>
      </c>
      <c r="BG21" s="40">
        <f t="shared" si="29"/>
        <v>0</v>
      </c>
      <c r="BH21" s="40">
        <f t="shared" si="30"/>
        <v>0</v>
      </c>
      <c r="BI21" s="40">
        <f t="shared" si="31"/>
        <v>0</v>
      </c>
      <c r="BJ21" s="40">
        <f t="shared" si="32"/>
        <v>0</v>
      </c>
      <c r="BK21" s="40">
        <f t="shared" si="33"/>
        <v>0</v>
      </c>
      <c r="BL21" s="40">
        <f t="shared" si="34"/>
        <v>83821971000</v>
      </c>
      <c r="BM21" s="40">
        <f t="shared" si="35"/>
        <v>43730024000</v>
      </c>
      <c r="BN21" s="40">
        <f t="shared" si="36"/>
        <v>127551995000</v>
      </c>
      <c r="BO21" s="40">
        <f t="shared" si="37"/>
        <v>83821971000</v>
      </c>
      <c r="BP21" s="40">
        <f t="shared" si="38"/>
        <v>43730024000</v>
      </c>
      <c r="BQ21" s="40">
        <f t="shared" si="39"/>
        <v>127551995000</v>
      </c>
      <c r="BR21" s="40">
        <f t="shared" si="40"/>
        <v>0</v>
      </c>
      <c r="BS21" s="40">
        <f t="shared" si="41"/>
        <v>0</v>
      </c>
      <c r="BT21" s="40">
        <f t="shared" si="42"/>
        <v>0</v>
      </c>
      <c r="BU21" s="40">
        <f t="shared" si="43"/>
        <v>0</v>
      </c>
      <c r="BV21" s="40">
        <f t="shared" si="44"/>
        <v>0</v>
      </c>
      <c r="BW21" s="40">
        <f t="shared" si="45"/>
        <v>0</v>
      </c>
      <c r="BX21" s="40">
        <f t="shared" si="46"/>
        <v>0</v>
      </c>
      <c r="BY21" s="40">
        <f t="shared" si="47"/>
        <v>0</v>
      </c>
      <c r="BZ21" s="40">
        <f t="shared" si="48"/>
        <v>0</v>
      </c>
      <c r="CA21" s="40">
        <f t="shared" si="49"/>
        <v>83821971000</v>
      </c>
      <c r="CB21" s="40">
        <f t="shared" si="50"/>
        <v>43730024000</v>
      </c>
      <c r="CC21" s="40">
        <f t="shared" si="51"/>
        <v>127551995000</v>
      </c>
    </row>
    <row r="22" spans="1:81">
      <c r="A22" s="27"/>
      <c r="B22" s="28"/>
      <c r="C22" s="29" t="s">
        <v>106</v>
      </c>
      <c r="D22" s="29" t="s">
        <v>1</v>
      </c>
      <c r="E22" s="29" t="s">
        <v>0</v>
      </c>
      <c r="F22" s="41" t="s">
        <v>43</v>
      </c>
      <c r="G22" s="39"/>
      <c r="H22" s="39"/>
      <c r="I22" s="40">
        <f t="shared" si="4"/>
        <v>0</v>
      </c>
      <c r="J22" s="39"/>
      <c r="K22" s="39"/>
      <c r="L22" s="40">
        <f t="shared" si="5"/>
        <v>0</v>
      </c>
      <c r="M22" s="39"/>
      <c r="N22" s="39"/>
      <c r="O22" s="40">
        <f t="shared" si="6"/>
        <v>0</v>
      </c>
      <c r="P22" s="40">
        <f t="shared" ref="P22:Q32" si="64">J22+M22</f>
        <v>0</v>
      </c>
      <c r="Q22" s="40">
        <f t="shared" si="64"/>
        <v>0</v>
      </c>
      <c r="R22" s="40">
        <f t="shared" si="7"/>
        <v>0</v>
      </c>
      <c r="S22" s="40">
        <f t="shared" si="8"/>
        <v>0</v>
      </c>
      <c r="T22" s="40">
        <f t="shared" si="8"/>
        <v>0</v>
      </c>
      <c r="U22" s="40">
        <f t="shared" si="9"/>
        <v>0</v>
      </c>
      <c r="V22" s="39"/>
      <c r="W22" s="39"/>
      <c r="X22" s="40">
        <f t="shared" si="10"/>
        <v>0</v>
      </c>
      <c r="Y22" s="39"/>
      <c r="Z22" s="39"/>
      <c r="AA22" s="40">
        <f t="shared" si="11"/>
        <v>0</v>
      </c>
      <c r="AB22" s="39"/>
      <c r="AC22" s="39"/>
      <c r="AD22" s="40">
        <f t="shared" si="12"/>
        <v>0</v>
      </c>
      <c r="AE22" s="40">
        <f t="shared" ref="AE22:AF32" si="65">Y22+AB22</f>
        <v>0</v>
      </c>
      <c r="AF22" s="40">
        <f t="shared" si="65"/>
        <v>0</v>
      </c>
      <c r="AG22" s="40">
        <f t="shared" si="13"/>
        <v>0</v>
      </c>
      <c r="AH22" s="40">
        <f t="shared" si="14"/>
        <v>0</v>
      </c>
      <c r="AI22" s="40">
        <f t="shared" si="14"/>
        <v>0</v>
      </c>
      <c r="AJ22" s="40">
        <f t="shared" si="15"/>
        <v>0</v>
      </c>
      <c r="AK22" s="39"/>
      <c r="AL22" s="39">
        <v>60481259000</v>
      </c>
      <c r="AM22" s="40">
        <f t="shared" si="16"/>
        <v>60481259000</v>
      </c>
      <c r="AN22" s="39"/>
      <c r="AO22" s="39"/>
      <c r="AP22" s="40">
        <f t="shared" si="17"/>
        <v>0</v>
      </c>
      <c r="AQ22" s="39"/>
      <c r="AR22" s="39"/>
      <c r="AS22" s="40">
        <f t="shared" si="18"/>
        <v>0</v>
      </c>
      <c r="AT22" s="40">
        <f t="shared" ref="AT22:AU32" si="66">AN22+AQ22</f>
        <v>0</v>
      </c>
      <c r="AU22" s="40">
        <f t="shared" si="66"/>
        <v>0</v>
      </c>
      <c r="AV22" s="40">
        <f t="shared" si="19"/>
        <v>0</v>
      </c>
      <c r="AW22" s="40">
        <f t="shared" si="20"/>
        <v>0</v>
      </c>
      <c r="AX22" s="40">
        <f t="shared" si="20"/>
        <v>60481259000</v>
      </c>
      <c r="AY22" s="40">
        <f t="shared" si="21"/>
        <v>60481259000</v>
      </c>
      <c r="AZ22" s="40">
        <f t="shared" si="22"/>
        <v>0</v>
      </c>
      <c r="BA22" s="40">
        <f t="shared" si="23"/>
        <v>60481259000</v>
      </c>
      <c r="BB22" s="40">
        <f t="shared" si="24"/>
        <v>60481259000</v>
      </c>
      <c r="BC22" s="40">
        <f t="shared" si="25"/>
        <v>0</v>
      </c>
      <c r="BD22" s="40">
        <f t="shared" si="26"/>
        <v>0</v>
      </c>
      <c r="BE22" s="40">
        <f t="shared" si="27"/>
        <v>0</v>
      </c>
      <c r="BF22" s="40">
        <f t="shared" si="28"/>
        <v>0</v>
      </c>
      <c r="BG22" s="40">
        <f t="shared" si="29"/>
        <v>0</v>
      </c>
      <c r="BH22" s="40">
        <f t="shared" si="30"/>
        <v>0</v>
      </c>
      <c r="BI22" s="40">
        <f t="shared" si="31"/>
        <v>0</v>
      </c>
      <c r="BJ22" s="40">
        <f t="shared" si="32"/>
        <v>0</v>
      </c>
      <c r="BK22" s="40">
        <f t="shared" si="33"/>
        <v>0</v>
      </c>
      <c r="BL22" s="40">
        <f t="shared" si="34"/>
        <v>0</v>
      </c>
      <c r="BM22" s="40">
        <f t="shared" si="35"/>
        <v>60481259000</v>
      </c>
      <c r="BN22" s="40">
        <f t="shared" si="36"/>
        <v>60481259000</v>
      </c>
      <c r="BO22" s="40">
        <f t="shared" si="37"/>
        <v>0</v>
      </c>
      <c r="BP22" s="40">
        <f t="shared" si="38"/>
        <v>60481259000</v>
      </c>
      <c r="BQ22" s="40">
        <f t="shared" si="39"/>
        <v>60481259000</v>
      </c>
      <c r="BR22" s="40">
        <f t="shared" si="40"/>
        <v>0</v>
      </c>
      <c r="BS22" s="40">
        <f t="shared" si="41"/>
        <v>0</v>
      </c>
      <c r="BT22" s="40">
        <f t="shared" si="42"/>
        <v>0</v>
      </c>
      <c r="BU22" s="40">
        <f t="shared" si="43"/>
        <v>0</v>
      </c>
      <c r="BV22" s="40">
        <f t="shared" si="44"/>
        <v>0</v>
      </c>
      <c r="BW22" s="40">
        <f t="shared" si="45"/>
        <v>0</v>
      </c>
      <c r="BX22" s="40">
        <f t="shared" si="46"/>
        <v>0</v>
      </c>
      <c r="BY22" s="40">
        <f t="shared" si="47"/>
        <v>0</v>
      </c>
      <c r="BZ22" s="40">
        <f t="shared" si="48"/>
        <v>0</v>
      </c>
      <c r="CA22" s="40">
        <f t="shared" si="49"/>
        <v>0</v>
      </c>
      <c r="CB22" s="40">
        <f t="shared" si="50"/>
        <v>60481259000</v>
      </c>
      <c r="CC22" s="40">
        <f t="shared" si="51"/>
        <v>60481259000</v>
      </c>
    </row>
    <row r="23" spans="1:81">
      <c r="A23" s="27"/>
      <c r="B23" s="28"/>
      <c r="C23" s="29" t="s">
        <v>107</v>
      </c>
      <c r="D23" s="29" t="s">
        <v>1</v>
      </c>
      <c r="E23" s="29" t="s">
        <v>0</v>
      </c>
      <c r="F23" s="41" t="s">
        <v>44</v>
      </c>
      <c r="G23" s="39"/>
      <c r="H23" s="39"/>
      <c r="I23" s="40">
        <f t="shared" si="4"/>
        <v>0</v>
      </c>
      <c r="J23" s="39"/>
      <c r="K23" s="39"/>
      <c r="L23" s="40">
        <f t="shared" si="5"/>
        <v>0</v>
      </c>
      <c r="M23" s="39"/>
      <c r="N23" s="39"/>
      <c r="O23" s="40">
        <f t="shared" si="6"/>
        <v>0</v>
      </c>
      <c r="P23" s="40">
        <f t="shared" si="64"/>
        <v>0</v>
      </c>
      <c r="Q23" s="40">
        <f t="shared" si="64"/>
        <v>0</v>
      </c>
      <c r="R23" s="40">
        <f t="shared" si="7"/>
        <v>0</v>
      </c>
      <c r="S23" s="40">
        <f t="shared" si="8"/>
        <v>0</v>
      </c>
      <c r="T23" s="40">
        <f t="shared" si="8"/>
        <v>0</v>
      </c>
      <c r="U23" s="40">
        <f t="shared" si="9"/>
        <v>0</v>
      </c>
      <c r="V23" s="39"/>
      <c r="W23" s="39"/>
      <c r="X23" s="40">
        <f t="shared" si="10"/>
        <v>0</v>
      </c>
      <c r="Y23" s="39"/>
      <c r="Z23" s="39"/>
      <c r="AA23" s="40">
        <f t="shared" si="11"/>
        <v>0</v>
      </c>
      <c r="AB23" s="39"/>
      <c r="AC23" s="39"/>
      <c r="AD23" s="40">
        <f t="shared" si="12"/>
        <v>0</v>
      </c>
      <c r="AE23" s="40">
        <f t="shared" si="65"/>
        <v>0</v>
      </c>
      <c r="AF23" s="40">
        <f t="shared" si="65"/>
        <v>0</v>
      </c>
      <c r="AG23" s="40">
        <f t="shared" si="13"/>
        <v>0</v>
      </c>
      <c r="AH23" s="40">
        <f t="shared" si="14"/>
        <v>0</v>
      </c>
      <c r="AI23" s="40">
        <f t="shared" si="14"/>
        <v>0</v>
      </c>
      <c r="AJ23" s="40">
        <f t="shared" si="15"/>
        <v>0</v>
      </c>
      <c r="AK23" s="39">
        <v>-2579577000</v>
      </c>
      <c r="AL23" s="39">
        <v>-5748669000</v>
      </c>
      <c r="AM23" s="40">
        <f t="shared" si="16"/>
        <v>-8328246000</v>
      </c>
      <c r="AN23" s="39"/>
      <c r="AO23" s="39"/>
      <c r="AP23" s="40">
        <f t="shared" si="17"/>
        <v>0</v>
      </c>
      <c r="AQ23" s="39"/>
      <c r="AR23" s="39"/>
      <c r="AS23" s="40">
        <f t="shared" si="18"/>
        <v>0</v>
      </c>
      <c r="AT23" s="40">
        <f t="shared" si="66"/>
        <v>0</v>
      </c>
      <c r="AU23" s="40">
        <f t="shared" si="66"/>
        <v>0</v>
      </c>
      <c r="AV23" s="40">
        <f t="shared" si="19"/>
        <v>0</v>
      </c>
      <c r="AW23" s="40">
        <f t="shared" si="20"/>
        <v>-2579577000</v>
      </c>
      <c r="AX23" s="40">
        <f t="shared" si="20"/>
        <v>-5748669000</v>
      </c>
      <c r="AY23" s="40">
        <f t="shared" si="21"/>
        <v>-8328246000</v>
      </c>
      <c r="AZ23" s="40">
        <f t="shared" si="22"/>
        <v>-2579577000</v>
      </c>
      <c r="BA23" s="40">
        <f t="shared" si="23"/>
        <v>-5748669000</v>
      </c>
      <c r="BB23" s="40">
        <f t="shared" si="24"/>
        <v>-8328246000</v>
      </c>
      <c r="BC23" s="40">
        <f t="shared" si="25"/>
        <v>0</v>
      </c>
      <c r="BD23" s="40">
        <f t="shared" si="26"/>
        <v>0</v>
      </c>
      <c r="BE23" s="40">
        <f t="shared" si="27"/>
        <v>0</v>
      </c>
      <c r="BF23" s="40">
        <f t="shared" si="28"/>
        <v>0</v>
      </c>
      <c r="BG23" s="40">
        <f t="shared" si="29"/>
        <v>0</v>
      </c>
      <c r="BH23" s="40">
        <f t="shared" si="30"/>
        <v>0</v>
      </c>
      <c r="BI23" s="40">
        <f t="shared" si="31"/>
        <v>0</v>
      </c>
      <c r="BJ23" s="40">
        <f t="shared" si="32"/>
        <v>0</v>
      </c>
      <c r="BK23" s="40">
        <f t="shared" si="33"/>
        <v>0</v>
      </c>
      <c r="BL23" s="40">
        <f t="shared" si="34"/>
        <v>-2579577000</v>
      </c>
      <c r="BM23" s="40">
        <f t="shared" si="35"/>
        <v>-5748669000</v>
      </c>
      <c r="BN23" s="40">
        <f t="shared" si="36"/>
        <v>-8328246000</v>
      </c>
      <c r="BO23" s="40">
        <f t="shared" si="37"/>
        <v>-2579577000</v>
      </c>
      <c r="BP23" s="40">
        <f t="shared" si="38"/>
        <v>-5748669000</v>
      </c>
      <c r="BQ23" s="40">
        <f t="shared" si="39"/>
        <v>-8328246000</v>
      </c>
      <c r="BR23" s="40">
        <f t="shared" si="40"/>
        <v>0</v>
      </c>
      <c r="BS23" s="40">
        <f t="shared" si="41"/>
        <v>0</v>
      </c>
      <c r="BT23" s="40">
        <f t="shared" si="42"/>
        <v>0</v>
      </c>
      <c r="BU23" s="40">
        <f t="shared" si="43"/>
        <v>0</v>
      </c>
      <c r="BV23" s="40">
        <f t="shared" si="44"/>
        <v>0</v>
      </c>
      <c r="BW23" s="40">
        <f t="shared" si="45"/>
        <v>0</v>
      </c>
      <c r="BX23" s="40">
        <f t="shared" si="46"/>
        <v>0</v>
      </c>
      <c r="BY23" s="40">
        <f t="shared" si="47"/>
        <v>0</v>
      </c>
      <c r="BZ23" s="40">
        <f t="shared" si="48"/>
        <v>0</v>
      </c>
      <c r="CA23" s="40">
        <f t="shared" si="49"/>
        <v>-2579577000</v>
      </c>
      <c r="CB23" s="40">
        <f t="shared" si="50"/>
        <v>-5748669000</v>
      </c>
      <c r="CC23" s="40">
        <f t="shared" si="51"/>
        <v>-8328246000</v>
      </c>
    </row>
    <row r="24" spans="1:81">
      <c r="A24" s="27"/>
      <c r="B24" s="28"/>
      <c r="C24" s="29" t="s">
        <v>108</v>
      </c>
      <c r="D24" s="29" t="s">
        <v>1</v>
      </c>
      <c r="E24" s="29" t="s">
        <v>0</v>
      </c>
      <c r="F24" s="41" t="s">
        <v>45</v>
      </c>
      <c r="G24" s="39"/>
      <c r="H24" s="39"/>
      <c r="I24" s="40">
        <f t="shared" si="4"/>
        <v>0</v>
      </c>
      <c r="J24" s="39"/>
      <c r="K24" s="39"/>
      <c r="L24" s="40">
        <f t="shared" si="5"/>
        <v>0</v>
      </c>
      <c r="M24" s="39"/>
      <c r="N24" s="39"/>
      <c r="O24" s="40">
        <f t="shared" si="6"/>
        <v>0</v>
      </c>
      <c r="P24" s="40">
        <f t="shared" si="64"/>
        <v>0</v>
      </c>
      <c r="Q24" s="40">
        <f t="shared" si="64"/>
        <v>0</v>
      </c>
      <c r="R24" s="40">
        <f t="shared" si="7"/>
        <v>0</v>
      </c>
      <c r="S24" s="40">
        <f t="shared" si="8"/>
        <v>0</v>
      </c>
      <c r="T24" s="40">
        <f t="shared" si="8"/>
        <v>0</v>
      </c>
      <c r="U24" s="40">
        <f t="shared" si="9"/>
        <v>0</v>
      </c>
      <c r="V24" s="39"/>
      <c r="W24" s="39"/>
      <c r="X24" s="40">
        <f t="shared" si="10"/>
        <v>0</v>
      </c>
      <c r="Y24" s="39"/>
      <c r="Z24" s="39"/>
      <c r="AA24" s="40">
        <f t="shared" si="11"/>
        <v>0</v>
      </c>
      <c r="AB24" s="39"/>
      <c r="AC24" s="39"/>
      <c r="AD24" s="40">
        <f t="shared" si="12"/>
        <v>0</v>
      </c>
      <c r="AE24" s="40">
        <f t="shared" si="65"/>
        <v>0</v>
      </c>
      <c r="AF24" s="40">
        <f t="shared" si="65"/>
        <v>0</v>
      </c>
      <c r="AG24" s="40">
        <f t="shared" si="13"/>
        <v>0</v>
      </c>
      <c r="AH24" s="40">
        <f t="shared" si="14"/>
        <v>0</v>
      </c>
      <c r="AI24" s="40">
        <f t="shared" si="14"/>
        <v>0</v>
      </c>
      <c r="AJ24" s="40">
        <f t="shared" si="15"/>
        <v>0</v>
      </c>
      <c r="AK24" s="39"/>
      <c r="AL24" s="39"/>
      <c r="AM24" s="40">
        <f t="shared" si="16"/>
        <v>0</v>
      </c>
      <c r="AN24" s="39"/>
      <c r="AO24" s="39"/>
      <c r="AP24" s="40">
        <f t="shared" si="17"/>
        <v>0</v>
      </c>
      <c r="AQ24" s="39"/>
      <c r="AR24" s="39"/>
      <c r="AS24" s="40">
        <f t="shared" si="18"/>
        <v>0</v>
      </c>
      <c r="AT24" s="40">
        <f t="shared" si="66"/>
        <v>0</v>
      </c>
      <c r="AU24" s="40">
        <f t="shared" si="66"/>
        <v>0</v>
      </c>
      <c r="AV24" s="40">
        <f t="shared" si="19"/>
        <v>0</v>
      </c>
      <c r="AW24" s="40">
        <f t="shared" si="20"/>
        <v>0</v>
      </c>
      <c r="AX24" s="40">
        <f t="shared" si="20"/>
        <v>0</v>
      </c>
      <c r="AY24" s="40">
        <f t="shared" si="21"/>
        <v>0</v>
      </c>
      <c r="AZ24" s="40">
        <f t="shared" si="22"/>
        <v>0</v>
      </c>
      <c r="BA24" s="40">
        <f t="shared" si="23"/>
        <v>0</v>
      </c>
      <c r="BB24" s="40">
        <f t="shared" si="24"/>
        <v>0</v>
      </c>
      <c r="BC24" s="40">
        <f t="shared" si="25"/>
        <v>0</v>
      </c>
      <c r="BD24" s="40">
        <f t="shared" si="26"/>
        <v>0</v>
      </c>
      <c r="BE24" s="40">
        <f t="shared" si="27"/>
        <v>0</v>
      </c>
      <c r="BF24" s="40">
        <f t="shared" si="28"/>
        <v>0</v>
      </c>
      <c r="BG24" s="40">
        <f t="shared" si="29"/>
        <v>0</v>
      </c>
      <c r="BH24" s="40">
        <f t="shared" si="30"/>
        <v>0</v>
      </c>
      <c r="BI24" s="40">
        <f t="shared" si="31"/>
        <v>0</v>
      </c>
      <c r="BJ24" s="40">
        <f t="shared" si="32"/>
        <v>0</v>
      </c>
      <c r="BK24" s="40">
        <f t="shared" si="33"/>
        <v>0</v>
      </c>
      <c r="BL24" s="40">
        <f t="shared" si="34"/>
        <v>0</v>
      </c>
      <c r="BM24" s="40">
        <f t="shared" si="35"/>
        <v>0</v>
      </c>
      <c r="BN24" s="40">
        <f t="shared" si="36"/>
        <v>0</v>
      </c>
      <c r="BO24" s="40">
        <f t="shared" si="37"/>
        <v>0</v>
      </c>
      <c r="BP24" s="40">
        <f t="shared" si="38"/>
        <v>0</v>
      </c>
      <c r="BQ24" s="40">
        <f t="shared" si="39"/>
        <v>0</v>
      </c>
      <c r="BR24" s="40">
        <f t="shared" si="40"/>
        <v>0</v>
      </c>
      <c r="BS24" s="40">
        <f t="shared" si="41"/>
        <v>0</v>
      </c>
      <c r="BT24" s="40">
        <f t="shared" si="42"/>
        <v>0</v>
      </c>
      <c r="BU24" s="40">
        <f t="shared" si="43"/>
        <v>0</v>
      </c>
      <c r="BV24" s="40">
        <f t="shared" si="44"/>
        <v>0</v>
      </c>
      <c r="BW24" s="40">
        <f t="shared" si="45"/>
        <v>0</v>
      </c>
      <c r="BX24" s="40">
        <f t="shared" si="46"/>
        <v>0</v>
      </c>
      <c r="BY24" s="40">
        <f t="shared" si="47"/>
        <v>0</v>
      </c>
      <c r="BZ24" s="40">
        <f t="shared" si="48"/>
        <v>0</v>
      </c>
      <c r="CA24" s="40">
        <f t="shared" si="49"/>
        <v>0</v>
      </c>
      <c r="CB24" s="40">
        <f t="shared" si="50"/>
        <v>0</v>
      </c>
      <c r="CC24" s="40">
        <f t="shared" si="51"/>
        <v>0</v>
      </c>
    </row>
    <row r="25" spans="1:81">
      <c r="A25" s="27"/>
      <c r="B25" s="28"/>
      <c r="C25" s="29" t="s">
        <v>109</v>
      </c>
      <c r="D25" s="29" t="s">
        <v>1</v>
      </c>
      <c r="E25" s="29" t="s">
        <v>0</v>
      </c>
      <c r="F25" s="41" t="s">
        <v>46</v>
      </c>
      <c r="G25" s="39"/>
      <c r="H25" s="39"/>
      <c r="I25" s="40">
        <f t="shared" si="4"/>
        <v>0</v>
      </c>
      <c r="J25" s="39"/>
      <c r="K25" s="39"/>
      <c r="L25" s="40">
        <f t="shared" si="5"/>
        <v>0</v>
      </c>
      <c r="M25" s="39"/>
      <c r="N25" s="39"/>
      <c r="O25" s="40">
        <f t="shared" si="6"/>
        <v>0</v>
      </c>
      <c r="P25" s="40">
        <f t="shared" si="64"/>
        <v>0</v>
      </c>
      <c r="Q25" s="40">
        <f t="shared" si="64"/>
        <v>0</v>
      </c>
      <c r="R25" s="40">
        <f t="shared" si="7"/>
        <v>0</v>
      </c>
      <c r="S25" s="40">
        <f t="shared" si="8"/>
        <v>0</v>
      </c>
      <c r="T25" s="40">
        <f t="shared" si="8"/>
        <v>0</v>
      </c>
      <c r="U25" s="40">
        <f t="shared" si="9"/>
        <v>0</v>
      </c>
      <c r="V25" s="39"/>
      <c r="W25" s="39"/>
      <c r="X25" s="40">
        <f t="shared" si="10"/>
        <v>0</v>
      </c>
      <c r="Y25" s="39"/>
      <c r="Z25" s="39"/>
      <c r="AA25" s="40">
        <f t="shared" si="11"/>
        <v>0</v>
      </c>
      <c r="AB25" s="39"/>
      <c r="AC25" s="39"/>
      <c r="AD25" s="40">
        <f t="shared" si="12"/>
        <v>0</v>
      </c>
      <c r="AE25" s="40">
        <f t="shared" si="65"/>
        <v>0</v>
      </c>
      <c r="AF25" s="40">
        <f t="shared" si="65"/>
        <v>0</v>
      </c>
      <c r="AG25" s="40">
        <f t="shared" si="13"/>
        <v>0</v>
      </c>
      <c r="AH25" s="40">
        <f t="shared" si="14"/>
        <v>0</v>
      </c>
      <c r="AI25" s="40">
        <f t="shared" si="14"/>
        <v>0</v>
      </c>
      <c r="AJ25" s="40">
        <f t="shared" si="15"/>
        <v>0</v>
      </c>
      <c r="AK25" s="39"/>
      <c r="AL25" s="39"/>
      <c r="AM25" s="40">
        <f t="shared" si="16"/>
        <v>0</v>
      </c>
      <c r="AN25" s="39"/>
      <c r="AO25" s="39"/>
      <c r="AP25" s="40">
        <f t="shared" si="17"/>
        <v>0</v>
      </c>
      <c r="AQ25" s="39"/>
      <c r="AR25" s="39"/>
      <c r="AS25" s="40">
        <f t="shared" si="18"/>
        <v>0</v>
      </c>
      <c r="AT25" s="40">
        <f t="shared" si="66"/>
        <v>0</v>
      </c>
      <c r="AU25" s="40">
        <f t="shared" si="66"/>
        <v>0</v>
      </c>
      <c r="AV25" s="40">
        <f t="shared" si="19"/>
        <v>0</v>
      </c>
      <c r="AW25" s="40">
        <f t="shared" si="20"/>
        <v>0</v>
      </c>
      <c r="AX25" s="40">
        <f t="shared" si="20"/>
        <v>0</v>
      </c>
      <c r="AY25" s="40">
        <f t="shared" si="21"/>
        <v>0</v>
      </c>
      <c r="AZ25" s="40">
        <f t="shared" si="22"/>
        <v>0</v>
      </c>
      <c r="BA25" s="40">
        <f t="shared" si="23"/>
        <v>0</v>
      </c>
      <c r="BB25" s="40">
        <f t="shared" si="24"/>
        <v>0</v>
      </c>
      <c r="BC25" s="40">
        <f t="shared" si="25"/>
        <v>0</v>
      </c>
      <c r="BD25" s="40">
        <f t="shared" si="26"/>
        <v>0</v>
      </c>
      <c r="BE25" s="40">
        <f t="shared" si="27"/>
        <v>0</v>
      </c>
      <c r="BF25" s="40">
        <f t="shared" si="28"/>
        <v>0</v>
      </c>
      <c r="BG25" s="40">
        <f t="shared" si="29"/>
        <v>0</v>
      </c>
      <c r="BH25" s="40">
        <f t="shared" si="30"/>
        <v>0</v>
      </c>
      <c r="BI25" s="40">
        <f t="shared" si="31"/>
        <v>0</v>
      </c>
      <c r="BJ25" s="40">
        <f t="shared" si="32"/>
        <v>0</v>
      </c>
      <c r="BK25" s="40">
        <f t="shared" si="33"/>
        <v>0</v>
      </c>
      <c r="BL25" s="40">
        <f t="shared" si="34"/>
        <v>0</v>
      </c>
      <c r="BM25" s="40">
        <f t="shared" si="35"/>
        <v>0</v>
      </c>
      <c r="BN25" s="40">
        <f t="shared" si="36"/>
        <v>0</v>
      </c>
      <c r="BO25" s="40">
        <f t="shared" si="37"/>
        <v>0</v>
      </c>
      <c r="BP25" s="40">
        <f t="shared" si="38"/>
        <v>0</v>
      </c>
      <c r="BQ25" s="40">
        <f t="shared" si="39"/>
        <v>0</v>
      </c>
      <c r="BR25" s="40">
        <f t="shared" si="40"/>
        <v>0</v>
      </c>
      <c r="BS25" s="40">
        <f t="shared" si="41"/>
        <v>0</v>
      </c>
      <c r="BT25" s="40">
        <f t="shared" si="42"/>
        <v>0</v>
      </c>
      <c r="BU25" s="40">
        <f t="shared" si="43"/>
        <v>0</v>
      </c>
      <c r="BV25" s="40">
        <f t="shared" si="44"/>
        <v>0</v>
      </c>
      <c r="BW25" s="40">
        <f t="shared" si="45"/>
        <v>0</v>
      </c>
      <c r="BX25" s="40">
        <f t="shared" si="46"/>
        <v>0</v>
      </c>
      <c r="BY25" s="40">
        <f t="shared" si="47"/>
        <v>0</v>
      </c>
      <c r="BZ25" s="40">
        <f t="shared" si="48"/>
        <v>0</v>
      </c>
      <c r="CA25" s="40">
        <f t="shared" si="49"/>
        <v>0</v>
      </c>
      <c r="CB25" s="40">
        <f t="shared" si="50"/>
        <v>0</v>
      </c>
      <c r="CC25" s="40">
        <f t="shared" si="51"/>
        <v>0</v>
      </c>
    </row>
    <row r="26" spans="1:81">
      <c r="A26" s="27"/>
      <c r="B26" s="28"/>
      <c r="C26" s="29" t="s">
        <v>110</v>
      </c>
      <c r="D26" s="29" t="s">
        <v>1</v>
      </c>
      <c r="E26" s="29" t="s">
        <v>0</v>
      </c>
      <c r="F26" s="41" t="s">
        <v>47</v>
      </c>
      <c r="G26" s="39"/>
      <c r="H26" s="39"/>
      <c r="I26" s="40">
        <f t="shared" si="4"/>
        <v>0</v>
      </c>
      <c r="J26" s="39"/>
      <c r="K26" s="39"/>
      <c r="L26" s="40">
        <f t="shared" si="5"/>
        <v>0</v>
      </c>
      <c r="M26" s="39"/>
      <c r="N26" s="39"/>
      <c r="O26" s="40">
        <f t="shared" si="6"/>
        <v>0</v>
      </c>
      <c r="P26" s="40">
        <f t="shared" si="64"/>
        <v>0</v>
      </c>
      <c r="Q26" s="40">
        <f t="shared" si="64"/>
        <v>0</v>
      </c>
      <c r="R26" s="40">
        <f t="shared" si="7"/>
        <v>0</v>
      </c>
      <c r="S26" s="40">
        <f t="shared" si="8"/>
        <v>0</v>
      </c>
      <c r="T26" s="40">
        <f t="shared" si="8"/>
        <v>0</v>
      </c>
      <c r="U26" s="40">
        <f t="shared" si="9"/>
        <v>0</v>
      </c>
      <c r="V26" s="39"/>
      <c r="W26" s="39"/>
      <c r="X26" s="40">
        <f t="shared" si="10"/>
        <v>0</v>
      </c>
      <c r="Y26" s="39"/>
      <c r="Z26" s="39"/>
      <c r="AA26" s="40">
        <f t="shared" si="11"/>
        <v>0</v>
      </c>
      <c r="AB26" s="39"/>
      <c r="AC26" s="39"/>
      <c r="AD26" s="40">
        <f t="shared" si="12"/>
        <v>0</v>
      </c>
      <c r="AE26" s="40">
        <f t="shared" si="65"/>
        <v>0</v>
      </c>
      <c r="AF26" s="40">
        <f t="shared" si="65"/>
        <v>0</v>
      </c>
      <c r="AG26" s="40">
        <f t="shared" si="13"/>
        <v>0</v>
      </c>
      <c r="AH26" s="40">
        <f t="shared" si="14"/>
        <v>0</v>
      </c>
      <c r="AI26" s="40">
        <f t="shared" si="14"/>
        <v>0</v>
      </c>
      <c r="AJ26" s="40">
        <f t="shared" si="15"/>
        <v>0</v>
      </c>
      <c r="AK26" s="39"/>
      <c r="AL26" s="39"/>
      <c r="AM26" s="40">
        <f t="shared" si="16"/>
        <v>0</v>
      </c>
      <c r="AN26" s="39"/>
      <c r="AO26" s="39"/>
      <c r="AP26" s="40">
        <f t="shared" si="17"/>
        <v>0</v>
      </c>
      <c r="AQ26" s="39"/>
      <c r="AR26" s="39"/>
      <c r="AS26" s="40">
        <f t="shared" si="18"/>
        <v>0</v>
      </c>
      <c r="AT26" s="40">
        <f t="shared" si="66"/>
        <v>0</v>
      </c>
      <c r="AU26" s="40">
        <f t="shared" si="66"/>
        <v>0</v>
      </c>
      <c r="AV26" s="40">
        <f t="shared" si="19"/>
        <v>0</v>
      </c>
      <c r="AW26" s="40">
        <f t="shared" si="20"/>
        <v>0</v>
      </c>
      <c r="AX26" s="40">
        <f t="shared" si="20"/>
        <v>0</v>
      </c>
      <c r="AY26" s="40">
        <f t="shared" si="21"/>
        <v>0</v>
      </c>
      <c r="AZ26" s="40">
        <f t="shared" si="22"/>
        <v>0</v>
      </c>
      <c r="BA26" s="40">
        <f t="shared" si="23"/>
        <v>0</v>
      </c>
      <c r="BB26" s="40">
        <f t="shared" si="24"/>
        <v>0</v>
      </c>
      <c r="BC26" s="40">
        <f t="shared" si="25"/>
        <v>0</v>
      </c>
      <c r="BD26" s="40">
        <f t="shared" si="26"/>
        <v>0</v>
      </c>
      <c r="BE26" s="40">
        <f t="shared" si="27"/>
        <v>0</v>
      </c>
      <c r="BF26" s="40">
        <f t="shared" si="28"/>
        <v>0</v>
      </c>
      <c r="BG26" s="40">
        <f t="shared" si="29"/>
        <v>0</v>
      </c>
      <c r="BH26" s="40">
        <f t="shared" si="30"/>
        <v>0</v>
      </c>
      <c r="BI26" s="40">
        <f t="shared" si="31"/>
        <v>0</v>
      </c>
      <c r="BJ26" s="40">
        <f t="shared" si="32"/>
        <v>0</v>
      </c>
      <c r="BK26" s="40">
        <f t="shared" si="33"/>
        <v>0</v>
      </c>
      <c r="BL26" s="40">
        <f t="shared" si="34"/>
        <v>0</v>
      </c>
      <c r="BM26" s="40">
        <f t="shared" si="35"/>
        <v>0</v>
      </c>
      <c r="BN26" s="40">
        <f t="shared" si="36"/>
        <v>0</v>
      </c>
      <c r="BO26" s="40">
        <f t="shared" si="37"/>
        <v>0</v>
      </c>
      <c r="BP26" s="40">
        <f t="shared" si="38"/>
        <v>0</v>
      </c>
      <c r="BQ26" s="40">
        <f t="shared" si="39"/>
        <v>0</v>
      </c>
      <c r="BR26" s="40">
        <f t="shared" si="40"/>
        <v>0</v>
      </c>
      <c r="BS26" s="40">
        <f t="shared" si="41"/>
        <v>0</v>
      </c>
      <c r="BT26" s="40">
        <f t="shared" si="42"/>
        <v>0</v>
      </c>
      <c r="BU26" s="40">
        <f t="shared" si="43"/>
        <v>0</v>
      </c>
      <c r="BV26" s="40">
        <f t="shared" si="44"/>
        <v>0</v>
      </c>
      <c r="BW26" s="40">
        <f t="shared" si="45"/>
        <v>0</v>
      </c>
      <c r="BX26" s="40">
        <f t="shared" si="46"/>
        <v>0</v>
      </c>
      <c r="BY26" s="40">
        <f t="shared" si="47"/>
        <v>0</v>
      </c>
      <c r="BZ26" s="40">
        <f t="shared" si="48"/>
        <v>0</v>
      </c>
      <c r="CA26" s="40">
        <f t="shared" si="49"/>
        <v>0</v>
      </c>
      <c r="CB26" s="40">
        <f t="shared" si="50"/>
        <v>0</v>
      </c>
      <c r="CC26" s="40">
        <f t="shared" si="51"/>
        <v>0</v>
      </c>
    </row>
    <row r="27" spans="1:81">
      <c r="A27" s="27"/>
      <c r="B27" s="28"/>
      <c r="C27" s="29" t="s">
        <v>111</v>
      </c>
      <c r="D27" s="29" t="s">
        <v>1</v>
      </c>
      <c r="E27" s="29" t="s">
        <v>0</v>
      </c>
      <c r="F27" s="41" t="s">
        <v>48</v>
      </c>
      <c r="G27" s="39"/>
      <c r="H27" s="39"/>
      <c r="I27" s="40">
        <f t="shared" si="4"/>
        <v>0</v>
      </c>
      <c r="J27" s="39"/>
      <c r="K27" s="39"/>
      <c r="L27" s="40">
        <f t="shared" si="5"/>
        <v>0</v>
      </c>
      <c r="M27" s="39"/>
      <c r="N27" s="39"/>
      <c r="O27" s="40">
        <f t="shared" si="6"/>
        <v>0</v>
      </c>
      <c r="P27" s="40">
        <f t="shared" si="64"/>
        <v>0</v>
      </c>
      <c r="Q27" s="40">
        <f t="shared" si="64"/>
        <v>0</v>
      </c>
      <c r="R27" s="40">
        <f t="shared" si="7"/>
        <v>0</v>
      </c>
      <c r="S27" s="40">
        <f t="shared" si="8"/>
        <v>0</v>
      </c>
      <c r="T27" s="40">
        <f t="shared" si="8"/>
        <v>0</v>
      </c>
      <c r="U27" s="40">
        <f t="shared" si="9"/>
        <v>0</v>
      </c>
      <c r="V27" s="39"/>
      <c r="W27" s="39"/>
      <c r="X27" s="40">
        <f t="shared" si="10"/>
        <v>0</v>
      </c>
      <c r="Y27" s="39"/>
      <c r="Z27" s="39"/>
      <c r="AA27" s="40">
        <f t="shared" si="11"/>
        <v>0</v>
      </c>
      <c r="AB27" s="39"/>
      <c r="AC27" s="39"/>
      <c r="AD27" s="40">
        <f t="shared" si="12"/>
        <v>0</v>
      </c>
      <c r="AE27" s="40">
        <f t="shared" si="65"/>
        <v>0</v>
      </c>
      <c r="AF27" s="40">
        <f t="shared" si="65"/>
        <v>0</v>
      </c>
      <c r="AG27" s="40">
        <f t="shared" si="13"/>
        <v>0</v>
      </c>
      <c r="AH27" s="40">
        <f t="shared" si="14"/>
        <v>0</v>
      </c>
      <c r="AI27" s="40">
        <f t="shared" si="14"/>
        <v>0</v>
      </c>
      <c r="AJ27" s="40">
        <f t="shared" si="15"/>
        <v>0</v>
      </c>
      <c r="AK27" s="39"/>
      <c r="AL27" s="39">
        <v>33955291000</v>
      </c>
      <c r="AM27" s="40">
        <f t="shared" si="16"/>
        <v>33955291000</v>
      </c>
      <c r="AN27" s="39"/>
      <c r="AO27" s="39"/>
      <c r="AP27" s="40">
        <f t="shared" si="17"/>
        <v>0</v>
      </c>
      <c r="AQ27" s="39"/>
      <c r="AR27" s="39"/>
      <c r="AS27" s="40">
        <f t="shared" si="18"/>
        <v>0</v>
      </c>
      <c r="AT27" s="40">
        <f t="shared" si="66"/>
        <v>0</v>
      </c>
      <c r="AU27" s="40">
        <f t="shared" si="66"/>
        <v>0</v>
      </c>
      <c r="AV27" s="40">
        <f t="shared" si="19"/>
        <v>0</v>
      </c>
      <c r="AW27" s="40">
        <f t="shared" si="20"/>
        <v>0</v>
      </c>
      <c r="AX27" s="40">
        <f t="shared" si="20"/>
        <v>33955291000</v>
      </c>
      <c r="AY27" s="40">
        <f t="shared" si="21"/>
        <v>33955291000</v>
      </c>
      <c r="AZ27" s="40">
        <f t="shared" si="22"/>
        <v>0</v>
      </c>
      <c r="BA27" s="40">
        <f t="shared" si="23"/>
        <v>33955291000</v>
      </c>
      <c r="BB27" s="40">
        <f t="shared" si="24"/>
        <v>33955291000</v>
      </c>
      <c r="BC27" s="40">
        <f t="shared" si="25"/>
        <v>0</v>
      </c>
      <c r="BD27" s="40">
        <f t="shared" si="26"/>
        <v>0</v>
      </c>
      <c r="BE27" s="40">
        <f t="shared" si="27"/>
        <v>0</v>
      </c>
      <c r="BF27" s="40">
        <f t="shared" si="28"/>
        <v>0</v>
      </c>
      <c r="BG27" s="40">
        <f t="shared" si="29"/>
        <v>0</v>
      </c>
      <c r="BH27" s="40">
        <f t="shared" si="30"/>
        <v>0</v>
      </c>
      <c r="BI27" s="40">
        <f t="shared" si="31"/>
        <v>0</v>
      </c>
      <c r="BJ27" s="40">
        <f t="shared" si="32"/>
        <v>0</v>
      </c>
      <c r="BK27" s="40">
        <f t="shared" si="33"/>
        <v>0</v>
      </c>
      <c r="BL27" s="40">
        <f t="shared" si="34"/>
        <v>0</v>
      </c>
      <c r="BM27" s="40">
        <f t="shared" si="35"/>
        <v>33955291000</v>
      </c>
      <c r="BN27" s="40">
        <f t="shared" si="36"/>
        <v>33955291000</v>
      </c>
      <c r="BO27" s="40">
        <f t="shared" si="37"/>
        <v>0</v>
      </c>
      <c r="BP27" s="40">
        <f t="shared" si="38"/>
        <v>33955291000</v>
      </c>
      <c r="BQ27" s="40">
        <f t="shared" si="39"/>
        <v>33955291000</v>
      </c>
      <c r="BR27" s="40">
        <f t="shared" si="40"/>
        <v>0</v>
      </c>
      <c r="BS27" s="40">
        <f t="shared" si="41"/>
        <v>0</v>
      </c>
      <c r="BT27" s="40">
        <f t="shared" si="42"/>
        <v>0</v>
      </c>
      <c r="BU27" s="40">
        <f t="shared" si="43"/>
        <v>0</v>
      </c>
      <c r="BV27" s="40">
        <f t="shared" si="44"/>
        <v>0</v>
      </c>
      <c r="BW27" s="40">
        <f t="shared" si="45"/>
        <v>0</v>
      </c>
      <c r="BX27" s="40">
        <f t="shared" si="46"/>
        <v>0</v>
      </c>
      <c r="BY27" s="40">
        <f t="shared" si="47"/>
        <v>0</v>
      </c>
      <c r="BZ27" s="40">
        <f t="shared" si="48"/>
        <v>0</v>
      </c>
      <c r="CA27" s="40">
        <f t="shared" si="49"/>
        <v>0</v>
      </c>
      <c r="CB27" s="40">
        <f t="shared" si="50"/>
        <v>33955291000</v>
      </c>
      <c r="CC27" s="40">
        <f t="shared" si="51"/>
        <v>33955291000</v>
      </c>
    </row>
    <row r="28" spans="1:81" ht="22.5">
      <c r="A28" s="27"/>
      <c r="B28" s="28"/>
      <c r="C28" s="29" t="s">
        <v>112</v>
      </c>
      <c r="D28" s="29" t="s">
        <v>1</v>
      </c>
      <c r="E28" s="29" t="s">
        <v>0</v>
      </c>
      <c r="F28" s="41" t="s">
        <v>49</v>
      </c>
      <c r="G28" s="39"/>
      <c r="H28" s="39"/>
      <c r="I28" s="40">
        <f t="shared" si="4"/>
        <v>0</v>
      </c>
      <c r="J28" s="39"/>
      <c r="K28" s="39"/>
      <c r="L28" s="40">
        <f t="shared" si="5"/>
        <v>0</v>
      </c>
      <c r="M28" s="39"/>
      <c r="N28" s="39"/>
      <c r="O28" s="40">
        <f t="shared" si="6"/>
        <v>0</v>
      </c>
      <c r="P28" s="40">
        <f t="shared" si="64"/>
        <v>0</v>
      </c>
      <c r="Q28" s="40">
        <f t="shared" si="64"/>
        <v>0</v>
      </c>
      <c r="R28" s="40">
        <f t="shared" si="7"/>
        <v>0</v>
      </c>
      <c r="S28" s="40">
        <f t="shared" si="8"/>
        <v>0</v>
      </c>
      <c r="T28" s="40">
        <f t="shared" si="8"/>
        <v>0</v>
      </c>
      <c r="U28" s="40">
        <f t="shared" si="9"/>
        <v>0</v>
      </c>
      <c r="V28" s="39"/>
      <c r="W28" s="39"/>
      <c r="X28" s="40">
        <f t="shared" si="10"/>
        <v>0</v>
      </c>
      <c r="Y28" s="39"/>
      <c r="Z28" s="39"/>
      <c r="AA28" s="40">
        <f t="shared" si="11"/>
        <v>0</v>
      </c>
      <c r="AB28" s="39"/>
      <c r="AC28" s="39"/>
      <c r="AD28" s="40">
        <f t="shared" si="12"/>
        <v>0</v>
      </c>
      <c r="AE28" s="40">
        <f t="shared" si="65"/>
        <v>0</v>
      </c>
      <c r="AF28" s="40">
        <f t="shared" si="65"/>
        <v>0</v>
      </c>
      <c r="AG28" s="40">
        <f t="shared" si="13"/>
        <v>0</v>
      </c>
      <c r="AH28" s="40">
        <f t="shared" si="14"/>
        <v>0</v>
      </c>
      <c r="AI28" s="40">
        <f t="shared" si="14"/>
        <v>0</v>
      </c>
      <c r="AJ28" s="40">
        <f t="shared" si="15"/>
        <v>0</v>
      </c>
      <c r="AK28" s="39">
        <v>-25418751000</v>
      </c>
      <c r="AL28" s="39">
        <v>25418751000</v>
      </c>
      <c r="AM28" s="40">
        <f t="shared" si="16"/>
        <v>0</v>
      </c>
      <c r="AN28" s="39"/>
      <c r="AO28" s="39"/>
      <c r="AP28" s="40">
        <f t="shared" si="17"/>
        <v>0</v>
      </c>
      <c r="AQ28" s="39"/>
      <c r="AR28" s="39"/>
      <c r="AS28" s="40">
        <f t="shared" si="18"/>
        <v>0</v>
      </c>
      <c r="AT28" s="40">
        <f t="shared" si="66"/>
        <v>0</v>
      </c>
      <c r="AU28" s="40">
        <f t="shared" si="66"/>
        <v>0</v>
      </c>
      <c r="AV28" s="40">
        <f t="shared" si="19"/>
        <v>0</v>
      </c>
      <c r="AW28" s="40">
        <f t="shared" si="20"/>
        <v>-25418751000</v>
      </c>
      <c r="AX28" s="40">
        <f t="shared" si="20"/>
        <v>25418751000</v>
      </c>
      <c r="AY28" s="40">
        <f t="shared" si="21"/>
        <v>0</v>
      </c>
      <c r="AZ28" s="40">
        <f t="shared" si="22"/>
        <v>-25418751000</v>
      </c>
      <c r="BA28" s="40">
        <f t="shared" si="23"/>
        <v>25418751000</v>
      </c>
      <c r="BB28" s="40">
        <f t="shared" si="24"/>
        <v>0</v>
      </c>
      <c r="BC28" s="40">
        <f t="shared" si="25"/>
        <v>0</v>
      </c>
      <c r="BD28" s="40">
        <f t="shared" si="26"/>
        <v>0</v>
      </c>
      <c r="BE28" s="40">
        <f t="shared" si="27"/>
        <v>0</v>
      </c>
      <c r="BF28" s="40">
        <f t="shared" si="28"/>
        <v>0</v>
      </c>
      <c r="BG28" s="40">
        <f t="shared" si="29"/>
        <v>0</v>
      </c>
      <c r="BH28" s="40">
        <f t="shared" si="30"/>
        <v>0</v>
      </c>
      <c r="BI28" s="40">
        <f t="shared" si="31"/>
        <v>0</v>
      </c>
      <c r="BJ28" s="40">
        <f t="shared" si="32"/>
        <v>0</v>
      </c>
      <c r="BK28" s="40">
        <f t="shared" si="33"/>
        <v>0</v>
      </c>
      <c r="BL28" s="40">
        <f t="shared" si="34"/>
        <v>-25418751000</v>
      </c>
      <c r="BM28" s="40">
        <f t="shared" si="35"/>
        <v>25418751000</v>
      </c>
      <c r="BN28" s="40">
        <f t="shared" si="36"/>
        <v>0</v>
      </c>
      <c r="BO28" s="40">
        <f t="shared" si="37"/>
        <v>-25418751000</v>
      </c>
      <c r="BP28" s="40">
        <f t="shared" si="38"/>
        <v>25418751000</v>
      </c>
      <c r="BQ28" s="40">
        <f t="shared" si="39"/>
        <v>0</v>
      </c>
      <c r="BR28" s="40">
        <f t="shared" si="40"/>
        <v>0</v>
      </c>
      <c r="BS28" s="40">
        <f t="shared" si="41"/>
        <v>0</v>
      </c>
      <c r="BT28" s="40">
        <f t="shared" si="42"/>
        <v>0</v>
      </c>
      <c r="BU28" s="40">
        <f t="shared" si="43"/>
        <v>0</v>
      </c>
      <c r="BV28" s="40">
        <f t="shared" si="44"/>
        <v>0</v>
      </c>
      <c r="BW28" s="40">
        <f t="shared" si="45"/>
        <v>0</v>
      </c>
      <c r="BX28" s="40">
        <f t="shared" si="46"/>
        <v>0</v>
      </c>
      <c r="BY28" s="40">
        <f t="shared" si="47"/>
        <v>0</v>
      </c>
      <c r="BZ28" s="40">
        <f t="shared" si="48"/>
        <v>0</v>
      </c>
      <c r="CA28" s="40">
        <f t="shared" si="49"/>
        <v>-25418751000</v>
      </c>
      <c r="CB28" s="40">
        <f t="shared" si="50"/>
        <v>25418751000</v>
      </c>
      <c r="CC28" s="40">
        <f t="shared" si="51"/>
        <v>0</v>
      </c>
    </row>
    <row r="29" spans="1:81" ht="22.5">
      <c r="A29" s="27"/>
      <c r="B29" s="28"/>
      <c r="C29" s="29" t="s">
        <v>113</v>
      </c>
      <c r="D29" s="29" t="s">
        <v>1</v>
      </c>
      <c r="E29" s="29" t="s">
        <v>0</v>
      </c>
      <c r="F29" s="41" t="s">
        <v>55</v>
      </c>
      <c r="G29" s="39"/>
      <c r="H29" s="39"/>
      <c r="I29" s="40">
        <f t="shared" si="4"/>
        <v>0</v>
      </c>
      <c r="J29" s="39"/>
      <c r="K29" s="39"/>
      <c r="L29" s="40">
        <f t="shared" si="5"/>
        <v>0</v>
      </c>
      <c r="M29" s="39"/>
      <c r="N29" s="39"/>
      <c r="O29" s="40">
        <f t="shared" si="6"/>
        <v>0</v>
      </c>
      <c r="P29" s="40">
        <f t="shared" si="64"/>
        <v>0</v>
      </c>
      <c r="Q29" s="40">
        <f t="shared" si="64"/>
        <v>0</v>
      </c>
      <c r="R29" s="40">
        <f t="shared" si="7"/>
        <v>0</v>
      </c>
      <c r="S29" s="40">
        <f t="shared" si="8"/>
        <v>0</v>
      </c>
      <c r="T29" s="40">
        <f t="shared" si="8"/>
        <v>0</v>
      </c>
      <c r="U29" s="40">
        <f t="shared" si="9"/>
        <v>0</v>
      </c>
      <c r="V29" s="39"/>
      <c r="W29" s="39"/>
      <c r="X29" s="40">
        <f t="shared" si="10"/>
        <v>0</v>
      </c>
      <c r="Y29" s="39"/>
      <c r="Z29" s="39"/>
      <c r="AA29" s="40">
        <f t="shared" si="11"/>
        <v>0</v>
      </c>
      <c r="AB29" s="39"/>
      <c r="AC29" s="39"/>
      <c r="AD29" s="40">
        <f t="shared" si="12"/>
        <v>0</v>
      </c>
      <c r="AE29" s="40">
        <f t="shared" si="65"/>
        <v>0</v>
      </c>
      <c r="AF29" s="40">
        <f t="shared" si="65"/>
        <v>0</v>
      </c>
      <c r="AG29" s="40">
        <f t="shared" si="13"/>
        <v>0</v>
      </c>
      <c r="AH29" s="40">
        <f t="shared" si="14"/>
        <v>0</v>
      </c>
      <c r="AI29" s="40">
        <f t="shared" si="14"/>
        <v>0</v>
      </c>
      <c r="AJ29" s="40">
        <f t="shared" si="15"/>
        <v>0</v>
      </c>
      <c r="AK29" s="39"/>
      <c r="AL29" s="39"/>
      <c r="AM29" s="40">
        <f t="shared" si="16"/>
        <v>0</v>
      </c>
      <c r="AN29" s="39"/>
      <c r="AO29" s="39"/>
      <c r="AP29" s="40">
        <f t="shared" si="17"/>
        <v>0</v>
      </c>
      <c r="AQ29" s="39"/>
      <c r="AR29" s="39"/>
      <c r="AS29" s="40">
        <f t="shared" si="18"/>
        <v>0</v>
      </c>
      <c r="AT29" s="40">
        <f t="shared" si="66"/>
        <v>0</v>
      </c>
      <c r="AU29" s="40">
        <f t="shared" si="66"/>
        <v>0</v>
      </c>
      <c r="AV29" s="40">
        <f t="shared" si="19"/>
        <v>0</v>
      </c>
      <c r="AW29" s="40">
        <f t="shared" si="20"/>
        <v>0</v>
      </c>
      <c r="AX29" s="40">
        <f t="shared" si="20"/>
        <v>0</v>
      </c>
      <c r="AY29" s="40">
        <f t="shared" si="21"/>
        <v>0</v>
      </c>
      <c r="AZ29" s="40">
        <f t="shared" si="22"/>
        <v>0</v>
      </c>
      <c r="BA29" s="40">
        <f t="shared" si="23"/>
        <v>0</v>
      </c>
      <c r="BB29" s="40">
        <f t="shared" si="24"/>
        <v>0</v>
      </c>
      <c r="BC29" s="40">
        <f t="shared" si="25"/>
        <v>0</v>
      </c>
      <c r="BD29" s="40">
        <f t="shared" si="26"/>
        <v>0</v>
      </c>
      <c r="BE29" s="40">
        <f t="shared" si="27"/>
        <v>0</v>
      </c>
      <c r="BF29" s="40">
        <f t="shared" si="28"/>
        <v>0</v>
      </c>
      <c r="BG29" s="40">
        <f t="shared" si="29"/>
        <v>0</v>
      </c>
      <c r="BH29" s="40">
        <f t="shared" si="30"/>
        <v>0</v>
      </c>
      <c r="BI29" s="40">
        <f t="shared" si="31"/>
        <v>0</v>
      </c>
      <c r="BJ29" s="40">
        <f t="shared" si="32"/>
        <v>0</v>
      </c>
      <c r="BK29" s="40">
        <f t="shared" si="33"/>
        <v>0</v>
      </c>
      <c r="BL29" s="40">
        <f t="shared" si="34"/>
        <v>0</v>
      </c>
      <c r="BM29" s="40">
        <f t="shared" si="35"/>
        <v>0</v>
      </c>
      <c r="BN29" s="40">
        <f t="shared" si="36"/>
        <v>0</v>
      </c>
      <c r="BO29" s="40">
        <f t="shared" si="37"/>
        <v>0</v>
      </c>
      <c r="BP29" s="40">
        <f t="shared" si="38"/>
        <v>0</v>
      </c>
      <c r="BQ29" s="40">
        <f t="shared" si="39"/>
        <v>0</v>
      </c>
      <c r="BR29" s="40">
        <f t="shared" si="40"/>
        <v>0</v>
      </c>
      <c r="BS29" s="40">
        <f t="shared" si="41"/>
        <v>0</v>
      </c>
      <c r="BT29" s="40">
        <f t="shared" si="42"/>
        <v>0</v>
      </c>
      <c r="BU29" s="40">
        <f t="shared" si="43"/>
        <v>0</v>
      </c>
      <c r="BV29" s="40">
        <f t="shared" si="44"/>
        <v>0</v>
      </c>
      <c r="BW29" s="40">
        <f t="shared" si="45"/>
        <v>0</v>
      </c>
      <c r="BX29" s="40">
        <f t="shared" si="46"/>
        <v>0</v>
      </c>
      <c r="BY29" s="40">
        <f t="shared" si="47"/>
        <v>0</v>
      </c>
      <c r="BZ29" s="40">
        <f t="shared" si="48"/>
        <v>0</v>
      </c>
      <c r="CA29" s="40">
        <f t="shared" si="49"/>
        <v>0</v>
      </c>
      <c r="CB29" s="40">
        <f t="shared" si="50"/>
        <v>0</v>
      </c>
      <c r="CC29" s="40">
        <f t="shared" si="51"/>
        <v>0</v>
      </c>
    </row>
    <row r="30" spans="1:81">
      <c r="A30" s="27"/>
      <c r="B30" s="28"/>
      <c r="C30" s="29" t="s">
        <v>114</v>
      </c>
      <c r="D30" s="29" t="s">
        <v>1</v>
      </c>
      <c r="E30" s="29" t="s">
        <v>0</v>
      </c>
      <c r="F30" s="41" t="s">
        <v>50</v>
      </c>
      <c r="G30" s="39"/>
      <c r="H30" s="39"/>
      <c r="I30" s="40">
        <f t="shared" si="4"/>
        <v>0</v>
      </c>
      <c r="J30" s="39"/>
      <c r="K30" s="39"/>
      <c r="L30" s="40">
        <f t="shared" si="5"/>
        <v>0</v>
      </c>
      <c r="M30" s="39"/>
      <c r="N30" s="39"/>
      <c r="O30" s="40">
        <f t="shared" si="6"/>
        <v>0</v>
      </c>
      <c r="P30" s="40">
        <f t="shared" si="64"/>
        <v>0</v>
      </c>
      <c r="Q30" s="40">
        <f t="shared" si="64"/>
        <v>0</v>
      </c>
      <c r="R30" s="40">
        <f t="shared" si="7"/>
        <v>0</v>
      </c>
      <c r="S30" s="40">
        <f t="shared" si="8"/>
        <v>0</v>
      </c>
      <c r="T30" s="40">
        <f t="shared" si="8"/>
        <v>0</v>
      </c>
      <c r="U30" s="40">
        <f t="shared" si="9"/>
        <v>0</v>
      </c>
      <c r="V30" s="39"/>
      <c r="W30" s="39"/>
      <c r="X30" s="40">
        <f t="shared" si="10"/>
        <v>0</v>
      </c>
      <c r="Y30" s="39"/>
      <c r="Z30" s="39"/>
      <c r="AA30" s="40">
        <f t="shared" si="11"/>
        <v>0</v>
      </c>
      <c r="AB30" s="39"/>
      <c r="AC30" s="39"/>
      <c r="AD30" s="40">
        <f t="shared" si="12"/>
        <v>0</v>
      </c>
      <c r="AE30" s="40">
        <f t="shared" si="65"/>
        <v>0</v>
      </c>
      <c r="AF30" s="40">
        <f t="shared" si="65"/>
        <v>0</v>
      </c>
      <c r="AG30" s="40">
        <f t="shared" si="13"/>
        <v>0</v>
      </c>
      <c r="AH30" s="40">
        <f t="shared" si="14"/>
        <v>0</v>
      </c>
      <c r="AI30" s="40">
        <f t="shared" si="14"/>
        <v>0</v>
      </c>
      <c r="AJ30" s="40">
        <f t="shared" si="15"/>
        <v>0</v>
      </c>
      <c r="AK30" s="39"/>
      <c r="AL30" s="39"/>
      <c r="AM30" s="40">
        <f t="shared" si="16"/>
        <v>0</v>
      </c>
      <c r="AN30" s="39"/>
      <c r="AO30" s="39"/>
      <c r="AP30" s="40">
        <f t="shared" si="17"/>
        <v>0</v>
      </c>
      <c r="AQ30" s="39"/>
      <c r="AR30" s="39"/>
      <c r="AS30" s="40">
        <f t="shared" si="18"/>
        <v>0</v>
      </c>
      <c r="AT30" s="40">
        <f t="shared" si="66"/>
        <v>0</v>
      </c>
      <c r="AU30" s="40">
        <f t="shared" si="66"/>
        <v>0</v>
      </c>
      <c r="AV30" s="40">
        <f t="shared" si="19"/>
        <v>0</v>
      </c>
      <c r="AW30" s="40">
        <f t="shared" si="20"/>
        <v>0</v>
      </c>
      <c r="AX30" s="40">
        <f t="shared" si="20"/>
        <v>0</v>
      </c>
      <c r="AY30" s="40">
        <f t="shared" si="21"/>
        <v>0</v>
      </c>
      <c r="AZ30" s="40">
        <f t="shared" si="22"/>
        <v>0</v>
      </c>
      <c r="BA30" s="40">
        <f t="shared" si="23"/>
        <v>0</v>
      </c>
      <c r="BB30" s="40">
        <f t="shared" si="24"/>
        <v>0</v>
      </c>
      <c r="BC30" s="40">
        <f t="shared" si="25"/>
        <v>0</v>
      </c>
      <c r="BD30" s="40">
        <f t="shared" si="26"/>
        <v>0</v>
      </c>
      <c r="BE30" s="40">
        <f t="shared" si="27"/>
        <v>0</v>
      </c>
      <c r="BF30" s="40">
        <f t="shared" si="28"/>
        <v>0</v>
      </c>
      <c r="BG30" s="40">
        <f t="shared" si="29"/>
        <v>0</v>
      </c>
      <c r="BH30" s="40">
        <f t="shared" si="30"/>
        <v>0</v>
      </c>
      <c r="BI30" s="40">
        <f t="shared" si="31"/>
        <v>0</v>
      </c>
      <c r="BJ30" s="40">
        <f t="shared" si="32"/>
        <v>0</v>
      </c>
      <c r="BK30" s="40">
        <f t="shared" si="33"/>
        <v>0</v>
      </c>
      <c r="BL30" s="40">
        <f t="shared" si="34"/>
        <v>0</v>
      </c>
      <c r="BM30" s="40">
        <f t="shared" si="35"/>
        <v>0</v>
      </c>
      <c r="BN30" s="40">
        <f t="shared" si="36"/>
        <v>0</v>
      </c>
      <c r="BO30" s="40">
        <f t="shared" si="37"/>
        <v>0</v>
      </c>
      <c r="BP30" s="40">
        <f t="shared" si="38"/>
        <v>0</v>
      </c>
      <c r="BQ30" s="40">
        <f t="shared" si="39"/>
        <v>0</v>
      </c>
      <c r="BR30" s="40">
        <f t="shared" si="40"/>
        <v>0</v>
      </c>
      <c r="BS30" s="40">
        <f t="shared" si="41"/>
        <v>0</v>
      </c>
      <c r="BT30" s="40">
        <f t="shared" si="42"/>
        <v>0</v>
      </c>
      <c r="BU30" s="40">
        <f t="shared" si="43"/>
        <v>0</v>
      </c>
      <c r="BV30" s="40">
        <f t="shared" si="44"/>
        <v>0</v>
      </c>
      <c r="BW30" s="40">
        <f t="shared" si="45"/>
        <v>0</v>
      </c>
      <c r="BX30" s="40">
        <f t="shared" si="46"/>
        <v>0</v>
      </c>
      <c r="BY30" s="40">
        <f t="shared" si="47"/>
        <v>0</v>
      </c>
      <c r="BZ30" s="40">
        <f t="shared" si="48"/>
        <v>0</v>
      </c>
      <c r="CA30" s="40">
        <f t="shared" si="49"/>
        <v>0</v>
      </c>
      <c r="CB30" s="40">
        <f t="shared" si="50"/>
        <v>0</v>
      </c>
      <c r="CC30" s="40">
        <f t="shared" si="51"/>
        <v>0</v>
      </c>
    </row>
    <row r="31" spans="1:81" ht="22.5">
      <c r="A31" s="27"/>
      <c r="B31" s="28"/>
      <c r="C31" s="29" t="s">
        <v>115</v>
      </c>
      <c r="D31" s="29" t="s">
        <v>1</v>
      </c>
      <c r="E31" s="29" t="s">
        <v>0</v>
      </c>
      <c r="F31" s="41" t="s">
        <v>51</v>
      </c>
      <c r="G31" s="39"/>
      <c r="H31" s="39"/>
      <c r="I31" s="40">
        <f t="shared" si="4"/>
        <v>0</v>
      </c>
      <c r="J31" s="39"/>
      <c r="K31" s="39"/>
      <c r="L31" s="40">
        <f t="shared" si="5"/>
        <v>0</v>
      </c>
      <c r="M31" s="39"/>
      <c r="N31" s="39"/>
      <c r="O31" s="40">
        <f t="shared" si="6"/>
        <v>0</v>
      </c>
      <c r="P31" s="40">
        <f t="shared" si="64"/>
        <v>0</v>
      </c>
      <c r="Q31" s="40">
        <f t="shared" si="64"/>
        <v>0</v>
      </c>
      <c r="R31" s="40">
        <f t="shared" si="7"/>
        <v>0</v>
      </c>
      <c r="S31" s="40">
        <f t="shared" si="8"/>
        <v>0</v>
      </c>
      <c r="T31" s="40">
        <f t="shared" si="8"/>
        <v>0</v>
      </c>
      <c r="U31" s="40">
        <f t="shared" si="9"/>
        <v>0</v>
      </c>
      <c r="V31" s="39"/>
      <c r="W31" s="39"/>
      <c r="X31" s="40">
        <f t="shared" si="10"/>
        <v>0</v>
      </c>
      <c r="Y31" s="39"/>
      <c r="Z31" s="39"/>
      <c r="AA31" s="40">
        <f t="shared" si="11"/>
        <v>0</v>
      </c>
      <c r="AB31" s="39"/>
      <c r="AC31" s="39"/>
      <c r="AD31" s="40">
        <f t="shared" si="12"/>
        <v>0</v>
      </c>
      <c r="AE31" s="40">
        <f t="shared" si="65"/>
        <v>0</v>
      </c>
      <c r="AF31" s="40">
        <f t="shared" si="65"/>
        <v>0</v>
      </c>
      <c r="AG31" s="40">
        <f t="shared" si="13"/>
        <v>0</v>
      </c>
      <c r="AH31" s="40">
        <f t="shared" si="14"/>
        <v>0</v>
      </c>
      <c r="AI31" s="40">
        <f t="shared" si="14"/>
        <v>0</v>
      </c>
      <c r="AJ31" s="40">
        <f t="shared" si="15"/>
        <v>0</v>
      </c>
      <c r="AK31" s="39"/>
      <c r="AL31" s="39"/>
      <c r="AM31" s="40">
        <f t="shared" si="16"/>
        <v>0</v>
      </c>
      <c r="AN31" s="39"/>
      <c r="AO31" s="39"/>
      <c r="AP31" s="40">
        <f t="shared" si="17"/>
        <v>0</v>
      </c>
      <c r="AQ31" s="39"/>
      <c r="AR31" s="39"/>
      <c r="AS31" s="40">
        <f t="shared" si="18"/>
        <v>0</v>
      </c>
      <c r="AT31" s="40">
        <f t="shared" si="66"/>
        <v>0</v>
      </c>
      <c r="AU31" s="40">
        <f t="shared" si="66"/>
        <v>0</v>
      </c>
      <c r="AV31" s="40">
        <f t="shared" si="19"/>
        <v>0</v>
      </c>
      <c r="AW31" s="40">
        <f t="shared" si="20"/>
        <v>0</v>
      </c>
      <c r="AX31" s="40">
        <f t="shared" si="20"/>
        <v>0</v>
      </c>
      <c r="AY31" s="40">
        <f t="shared" si="21"/>
        <v>0</v>
      </c>
      <c r="AZ31" s="40">
        <f t="shared" si="22"/>
        <v>0</v>
      </c>
      <c r="BA31" s="40">
        <f t="shared" si="23"/>
        <v>0</v>
      </c>
      <c r="BB31" s="40">
        <f t="shared" si="24"/>
        <v>0</v>
      </c>
      <c r="BC31" s="40">
        <f t="shared" si="25"/>
        <v>0</v>
      </c>
      <c r="BD31" s="40">
        <f t="shared" si="26"/>
        <v>0</v>
      </c>
      <c r="BE31" s="40">
        <f t="shared" si="27"/>
        <v>0</v>
      </c>
      <c r="BF31" s="40">
        <f t="shared" si="28"/>
        <v>0</v>
      </c>
      <c r="BG31" s="40">
        <f t="shared" si="29"/>
        <v>0</v>
      </c>
      <c r="BH31" s="40">
        <f t="shared" si="30"/>
        <v>0</v>
      </c>
      <c r="BI31" s="40">
        <f t="shared" si="31"/>
        <v>0</v>
      </c>
      <c r="BJ31" s="40">
        <f t="shared" si="32"/>
        <v>0</v>
      </c>
      <c r="BK31" s="40">
        <f t="shared" si="33"/>
        <v>0</v>
      </c>
      <c r="BL31" s="40">
        <f t="shared" si="34"/>
        <v>0</v>
      </c>
      <c r="BM31" s="40">
        <f t="shared" si="35"/>
        <v>0</v>
      </c>
      <c r="BN31" s="40">
        <f t="shared" si="36"/>
        <v>0</v>
      </c>
      <c r="BO31" s="40">
        <f t="shared" si="37"/>
        <v>0</v>
      </c>
      <c r="BP31" s="40">
        <f t="shared" si="38"/>
        <v>0</v>
      </c>
      <c r="BQ31" s="40">
        <f t="shared" si="39"/>
        <v>0</v>
      </c>
      <c r="BR31" s="40">
        <f t="shared" si="40"/>
        <v>0</v>
      </c>
      <c r="BS31" s="40">
        <f t="shared" si="41"/>
        <v>0</v>
      </c>
      <c r="BT31" s="40">
        <f t="shared" si="42"/>
        <v>0</v>
      </c>
      <c r="BU31" s="40">
        <f t="shared" si="43"/>
        <v>0</v>
      </c>
      <c r="BV31" s="40">
        <f t="shared" si="44"/>
        <v>0</v>
      </c>
      <c r="BW31" s="40">
        <f t="shared" si="45"/>
        <v>0</v>
      </c>
      <c r="BX31" s="40">
        <f t="shared" si="46"/>
        <v>0</v>
      </c>
      <c r="BY31" s="40">
        <f t="shared" si="47"/>
        <v>0</v>
      </c>
      <c r="BZ31" s="40">
        <f t="shared" si="48"/>
        <v>0</v>
      </c>
      <c r="CA31" s="40">
        <f t="shared" si="49"/>
        <v>0</v>
      </c>
      <c r="CB31" s="40">
        <f t="shared" si="50"/>
        <v>0</v>
      </c>
      <c r="CC31" s="40">
        <f t="shared" si="51"/>
        <v>0</v>
      </c>
    </row>
    <row r="32" spans="1:81">
      <c r="A32" s="27"/>
      <c r="B32" s="28"/>
      <c r="C32" s="29" t="s">
        <v>116</v>
      </c>
      <c r="D32" s="29" t="s">
        <v>1</v>
      </c>
      <c r="E32" s="29" t="s">
        <v>0</v>
      </c>
      <c r="F32" s="41" t="s">
        <v>52</v>
      </c>
      <c r="G32" s="39"/>
      <c r="H32" s="39"/>
      <c r="I32" s="40">
        <f t="shared" si="4"/>
        <v>0</v>
      </c>
      <c r="J32" s="39"/>
      <c r="K32" s="39"/>
      <c r="L32" s="40">
        <f t="shared" si="5"/>
        <v>0</v>
      </c>
      <c r="M32" s="39"/>
      <c r="N32" s="39"/>
      <c r="O32" s="40">
        <f t="shared" si="6"/>
        <v>0</v>
      </c>
      <c r="P32" s="40">
        <f t="shared" si="64"/>
        <v>0</v>
      </c>
      <c r="Q32" s="40">
        <f t="shared" si="64"/>
        <v>0</v>
      </c>
      <c r="R32" s="40">
        <f t="shared" si="7"/>
        <v>0</v>
      </c>
      <c r="S32" s="40">
        <f t="shared" si="8"/>
        <v>0</v>
      </c>
      <c r="T32" s="40">
        <f t="shared" si="8"/>
        <v>0</v>
      </c>
      <c r="U32" s="40">
        <f t="shared" si="9"/>
        <v>0</v>
      </c>
      <c r="V32" s="39"/>
      <c r="W32" s="39"/>
      <c r="X32" s="40">
        <f t="shared" si="10"/>
        <v>0</v>
      </c>
      <c r="Y32" s="39"/>
      <c r="Z32" s="39"/>
      <c r="AA32" s="40">
        <f t="shared" si="11"/>
        <v>0</v>
      </c>
      <c r="AB32" s="39"/>
      <c r="AC32" s="39"/>
      <c r="AD32" s="40">
        <f t="shared" si="12"/>
        <v>0</v>
      </c>
      <c r="AE32" s="40">
        <f t="shared" si="65"/>
        <v>0</v>
      </c>
      <c r="AF32" s="40">
        <f t="shared" si="65"/>
        <v>0</v>
      </c>
      <c r="AG32" s="40">
        <f t="shared" si="13"/>
        <v>0</v>
      </c>
      <c r="AH32" s="40">
        <f t="shared" si="14"/>
        <v>0</v>
      </c>
      <c r="AI32" s="40">
        <f t="shared" si="14"/>
        <v>0</v>
      </c>
      <c r="AJ32" s="40">
        <f t="shared" si="15"/>
        <v>0</v>
      </c>
      <c r="AK32" s="39">
        <v>-667991000</v>
      </c>
      <c r="AL32" s="39">
        <v>5531054000</v>
      </c>
      <c r="AM32" s="40">
        <f t="shared" si="16"/>
        <v>4863063000</v>
      </c>
      <c r="AN32" s="39"/>
      <c r="AO32" s="39"/>
      <c r="AP32" s="40">
        <f t="shared" si="17"/>
        <v>0</v>
      </c>
      <c r="AQ32" s="39"/>
      <c r="AR32" s="39"/>
      <c r="AS32" s="40">
        <f t="shared" si="18"/>
        <v>0</v>
      </c>
      <c r="AT32" s="40">
        <f t="shared" si="66"/>
        <v>0</v>
      </c>
      <c r="AU32" s="40">
        <f t="shared" si="66"/>
        <v>0</v>
      </c>
      <c r="AV32" s="40">
        <f t="shared" si="19"/>
        <v>0</v>
      </c>
      <c r="AW32" s="40">
        <f t="shared" si="20"/>
        <v>-667991000</v>
      </c>
      <c r="AX32" s="40">
        <f t="shared" si="20"/>
        <v>5531054000</v>
      </c>
      <c r="AY32" s="40">
        <f t="shared" si="21"/>
        <v>4863063000</v>
      </c>
      <c r="AZ32" s="40">
        <f t="shared" si="22"/>
        <v>-667991000</v>
      </c>
      <c r="BA32" s="40">
        <f t="shared" si="23"/>
        <v>5531054000</v>
      </c>
      <c r="BB32" s="40">
        <f t="shared" si="24"/>
        <v>4863063000</v>
      </c>
      <c r="BC32" s="40">
        <f t="shared" si="25"/>
        <v>0</v>
      </c>
      <c r="BD32" s="40">
        <f t="shared" si="26"/>
        <v>0</v>
      </c>
      <c r="BE32" s="40">
        <f t="shared" si="27"/>
        <v>0</v>
      </c>
      <c r="BF32" s="40">
        <f t="shared" si="28"/>
        <v>0</v>
      </c>
      <c r="BG32" s="40">
        <f t="shared" si="29"/>
        <v>0</v>
      </c>
      <c r="BH32" s="40">
        <f t="shared" si="30"/>
        <v>0</v>
      </c>
      <c r="BI32" s="40">
        <f t="shared" si="31"/>
        <v>0</v>
      </c>
      <c r="BJ32" s="40">
        <f t="shared" si="32"/>
        <v>0</v>
      </c>
      <c r="BK32" s="40">
        <f t="shared" si="33"/>
        <v>0</v>
      </c>
      <c r="BL32" s="40">
        <f t="shared" si="34"/>
        <v>-667991000</v>
      </c>
      <c r="BM32" s="40">
        <f t="shared" si="35"/>
        <v>5531054000</v>
      </c>
      <c r="BN32" s="40">
        <f t="shared" si="36"/>
        <v>4863063000</v>
      </c>
      <c r="BO32" s="40">
        <f t="shared" si="37"/>
        <v>-667991000</v>
      </c>
      <c r="BP32" s="40">
        <f t="shared" si="38"/>
        <v>5531054000</v>
      </c>
      <c r="BQ32" s="40">
        <f t="shared" si="39"/>
        <v>4863063000</v>
      </c>
      <c r="BR32" s="40">
        <f t="shared" si="40"/>
        <v>0</v>
      </c>
      <c r="BS32" s="40">
        <f t="shared" si="41"/>
        <v>0</v>
      </c>
      <c r="BT32" s="40">
        <f t="shared" si="42"/>
        <v>0</v>
      </c>
      <c r="BU32" s="40">
        <f t="shared" si="43"/>
        <v>0</v>
      </c>
      <c r="BV32" s="40">
        <f t="shared" si="44"/>
        <v>0</v>
      </c>
      <c r="BW32" s="40">
        <f t="shared" si="45"/>
        <v>0</v>
      </c>
      <c r="BX32" s="40">
        <f t="shared" si="46"/>
        <v>0</v>
      </c>
      <c r="BY32" s="40">
        <f t="shared" si="47"/>
        <v>0</v>
      </c>
      <c r="BZ32" s="40">
        <f t="shared" si="48"/>
        <v>0</v>
      </c>
      <c r="CA32" s="40">
        <f t="shared" si="49"/>
        <v>-667991000</v>
      </c>
      <c r="CB32" s="40">
        <f t="shared" si="50"/>
        <v>5531054000</v>
      </c>
      <c r="CC32" s="40">
        <f t="shared" si="51"/>
        <v>4863063000</v>
      </c>
    </row>
    <row r="33" spans="1:81">
      <c r="A33" s="27"/>
      <c r="B33" s="28"/>
      <c r="C33" s="29" t="s">
        <v>117</v>
      </c>
      <c r="D33" s="29" t="s">
        <v>1</v>
      </c>
      <c r="E33" s="29" t="s">
        <v>0</v>
      </c>
      <c r="F33" s="30" t="s">
        <v>53</v>
      </c>
      <c r="G33" s="40">
        <f>G32-G31-G30+G29+G28+G27+G26-G25-G24+G23+G22+G21</f>
        <v>0</v>
      </c>
      <c r="H33" s="40">
        <f>H32-H31-H30+H29+H28+H27+H26-H25-H24+H23+H22+H21</f>
        <v>0</v>
      </c>
      <c r="I33" s="40">
        <f t="shared" si="4"/>
        <v>0</v>
      </c>
      <c r="J33" s="40">
        <f>J32-J31-J30+J29+J28+J27+J26-J25-J24+J23+J22+J21</f>
        <v>0</v>
      </c>
      <c r="K33" s="40">
        <f>K32-K31-K30+K29+K28+K27+K26-K25-K24+K23+K22+K21</f>
        <v>0</v>
      </c>
      <c r="L33" s="40">
        <f t="shared" si="5"/>
        <v>0</v>
      </c>
      <c r="M33" s="40">
        <f>M32-M31-M30+M29+M28+M27+M26-M25-M24+M23+M22+M21</f>
        <v>0</v>
      </c>
      <c r="N33" s="40">
        <f>N32-N31-N30+N29+N28+N27+N26-N25-N24+N23+N22+N21</f>
        <v>0</v>
      </c>
      <c r="O33" s="40">
        <f t="shared" si="6"/>
        <v>0</v>
      </c>
      <c r="P33" s="40">
        <f>P32-P31-P30+P29+P28+P27+P26-P25-P24+P23+P22+P21</f>
        <v>0</v>
      </c>
      <c r="Q33" s="40">
        <f>Q32-Q31-Q30+Q29+Q28+Q27+Q26-Q25-Q24+Q23+Q22+Q21</f>
        <v>0</v>
      </c>
      <c r="R33" s="40">
        <f t="shared" si="7"/>
        <v>0</v>
      </c>
      <c r="S33" s="40">
        <f t="shared" si="8"/>
        <v>0</v>
      </c>
      <c r="T33" s="40">
        <f t="shared" si="8"/>
        <v>0</v>
      </c>
      <c r="U33" s="40">
        <f t="shared" si="9"/>
        <v>0</v>
      </c>
      <c r="V33" s="40">
        <f>V32-V31-V30+V29+V28+V27+V26-V25-V24+V23+V22+V21</f>
        <v>0</v>
      </c>
      <c r="W33" s="40">
        <f>W32-W31-W30+W29+W28+W27+W26-W25-W24+W23+W22+W21</f>
        <v>0</v>
      </c>
      <c r="X33" s="40">
        <f t="shared" si="10"/>
        <v>0</v>
      </c>
      <c r="Y33" s="40">
        <f>Y32-Y31-Y30+Y29+Y28+Y27+Y26-Y25-Y24+Y23+Y22+Y21</f>
        <v>0</v>
      </c>
      <c r="Z33" s="40">
        <f>Z32-Z31-Z30+Z29+Z28+Z27+Z26-Z25-Z24+Z23+Z22+Z21</f>
        <v>0</v>
      </c>
      <c r="AA33" s="40">
        <f t="shared" si="11"/>
        <v>0</v>
      </c>
      <c r="AB33" s="40">
        <f>AB32-AB31-AB30+AB29+AB28+AB27+AB26-AB25-AB24+AB23+AB22+AB21</f>
        <v>0</v>
      </c>
      <c r="AC33" s="40">
        <f>AC32-AC31-AC30+AC29+AC28+AC27+AC26-AC25-AC24+AC23+AC22+AC21</f>
        <v>0</v>
      </c>
      <c r="AD33" s="40">
        <f t="shared" si="12"/>
        <v>0</v>
      </c>
      <c r="AE33" s="40">
        <f>AE32-AE31-AE30+AE29+AE28+AE27+AE26-AE25-AE24+AE23+AE22+AE21</f>
        <v>0</v>
      </c>
      <c r="AF33" s="40">
        <f>AF32-AF31-AF30+AF29+AF28+AF27+AF26-AF25-AF24+AF23+AF22+AF21</f>
        <v>0</v>
      </c>
      <c r="AG33" s="40">
        <f t="shared" si="13"/>
        <v>0</v>
      </c>
      <c r="AH33" s="40">
        <f t="shared" si="14"/>
        <v>0</v>
      </c>
      <c r="AI33" s="40">
        <f t="shared" si="14"/>
        <v>0</v>
      </c>
      <c r="AJ33" s="40">
        <f t="shared" si="15"/>
        <v>0</v>
      </c>
      <c r="AK33" s="40">
        <f>AK32-AK31-AK30+AK29+AK28+AK27+AK26-AK25-AK24+AK23+AK22+AK21</f>
        <v>55155652000</v>
      </c>
      <c r="AL33" s="40">
        <f>AL32-AL31-AL30+AL29+AL28+AL27+AL26-AL25-AL24+AL23+AL22+AL21</f>
        <v>163367710000</v>
      </c>
      <c r="AM33" s="40">
        <f t="shared" si="16"/>
        <v>218523362000</v>
      </c>
      <c r="AN33" s="40">
        <f>AN32-AN31-AN30+AN29+AN28+AN27+AN26-AN25-AN24+AN23+AN22+AN21</f>
        <v>0</v>
      </c>
      <c r="AO33" s="40">
        <f>AO32-AO31-AO30+AO29+AO28+AO27+AO26-AO25-AO24+AO23+AO22+AO21</f>
        <v>0</v>
      </c>
      <c r="AP33" s="40">
        <f t="shared" si="17"/>
        <v>0</v>
      </c>
      <c r="AQ33" s="40">
        <f>AQ32-AQ31-AQ30+AQ29+AQ28+AQ27+AQ26-AQ25-AQ24+AQ23+AQ22+AQ21</f>
        <v>0</v>
      </c>
      <c r="AR33" s="40">
        <f>AR32-AR31-AR30+AR29+AR28+AR27+AR26-AR25-AR24+AR23+AR22+AR21</f>
        <v>0</v>
      </c>
      <c r="AS33" s="40">
        <f t="shared" si="18"/>
        <v>0</v>
      </c>
      <c r="AT33" s="40">
        <f>AT32-AT31-AT30+AT29+AT28+AT27+AT26-AT25-AT24+AT23+AT22+AT21</f>
        <v>0</v>
      </c>
      <c r="AU33" s="40">
        <f>AU32-AU31-AU30+AU29+AU28+AU27+AU26-AU25-AU24+AU23+AU22+AU21</f>
        <v>0</v>
      </c>
      <c r="AV33" s="40">
        <f t="shared" si="19"/>
        <v>0</v>
      </c>
      <c r="AW33" s="40">
        <f t="shared" si="20"/>
        <v>55155652000</v>
      </c>
      <c r="AX33" s="40">
        <f t="shared" si="20"/>
        <v>163367710000</v>
      </c>
      <c r="AY33" s="40">
        <f t="shared" si="21"/>
        <v>218523362000</v>
      </c>
      <c r="AZ33" s="40">
        <f t="shared" si="22"/>
        <v>55155652000</v>
      </c>
      <c r="BA33" s="40">
        <f t="shared" si="23"/>
        <v>163367710000</v>
      </c>
      <c r="BB33" s="40">
        <f t="shared" si="24"/>
        <v>218523362000</v>
      </c>
      <c r="BC33" s="40">
        <f t="shared" si="25"/>
        <v>0</v>
      </c>
      <c r="BD33" s="40">
        <f t="shared" si="26"/>
        <v>0</v>
      </c>
      <c r="BE33" s="40">
        <f t="shared" si="27"/>
        <v>0</v>
      </c>
      <c r="BF33" s="40">
        <f t="shared" si="28"/>
        <v>0</v>
      </c>
      <c r="BG33" s="40">
        <f t="shared" si="29"/>
        <v>0</v>
      </c>
      <c r="BH33" s="40">
        <f t="shared" si="30"/>
        <v>0</v>
      </c>
      <c r="BI33" s="40">
        <f t="shared" si="31"/>
        <v>0</v>
      </c>
      <c r="BJ33" s="40">
        <f t="shared" si="32"/>
        <v>0</v>
      </c>
      <c r="BK33" s="40">
        <f t="shared" si="33"/>
        <v>0</v>
      </c>
      <c r="BL33" s="40">
        <f t="shared" si="34"/>
        <v>55155652000</v>
      </c>
      <c r="BM33" s="40">
        <f t="shared" si="35"/>
        <v>163367710000</v>
      </c>
      <c r="BN33" s="40">
        <f t="shared" si="36"/>
        <v>218523362000</v>
      </c>
      <c r="BO33" s="40">
        <f t="shared" si="37"/>
        <v>55155652000</v>
      </c>
      <c r="BP33" s="40">
        <f t="shared" si="38"/>
        <v>163367710000</v>
      </c>
      <c r="BQ33" s="40">
        <f t="shared" si="39"/>
        <v>218523362000</v>
      </c>
      <c r="BR33" s="40">
        <f t="shared" si="40"/>
        <v>0</v>
      </c>
      <c r="BS33" s="40">
        <f t="shared" si="41"/>
        <v>0</v>
      </c>
      <c r="BT33" s="40">
        <f t="shared" si="42"/>
        <v>0</v>
      </c>
      <c r="BU33" s="40">
        <f t="shared" si="43"/>
        <v>0</v>
      </c>
      <c r="BV33" s="40">
        <f t="shared" si="44"/>
        <v>0</v>
      </c>
      <c r="BW33" s="40">
        <f t="shared" si="45"/>
        <v>0</v>
      </c>
      <c r="BX33" s="40">
        <f t="shared" si="46"/>
        <v>0</v>
      </c>
      <c r="BY33" s="40">
        <f t="shared" si="47"/>
        <v>0</v>
      </c>
      <c r="BZ33" s="40">
        <f t="shared" si="48"/>
        <v>0</v>
      </c>
      <c r="CA33" s="40">
        <f t="shared" si="49"/>
        <v>55155652000</v>
      </c>
      <c r="CB33" s="40">
        <f t="shared" si="50"/>
        <v>163367710000</v>
      </c>
      <c r="CC33" s="40">
        <f t="shared" si="51"/>
        <v>218523362000</v>
      </c>
    </row>
    <row r="34" spans="1:81">
      <c r="A34" s="27"/>
      <c r="B34" s="28"/>
      <c r="C34" s="29" t="s">
        <v>102</v>
      </c>
      <c r="D34" s="29" t="s">
        <v>1</v>
      </c>
      <c r="E34" s="29" t="s">
        <v>0</v>
      </c>
      <c r="F34" s="49" t="s">
        <v>54</v>
      </c>
      <c r="G34" s="40">
        <f t="shared" ref="G34:AY34" si="67">G16+G33</f>
        <v>0</v>
      </c>
      <c r="H34" s="40">
        <f t="shared" si="67"/>
        <v>0</v>
      </c>
      <c r="I34" s="40">
        <f t="shared" si="67"/>
        <v>0</v>
      </c>
      <c r="J34" s="40">
        <f t="shared" si="67"/>
        <v>0</v>
      </c>
      <c r="K34" s="40">
        <f t="shared" si="67"/>
        <v>0</v>
      </c>
      <c r="L34" s="40">
        <f t="shared" si="67"/>
        <v>0</v>
      </c>
      <c r="M34" s="40">
        <f t="shared" si="67"/>
        <v>0</v>
      </c>
      <c r="N34" s="40">
        <f t="shared" si="67"/>
        <v>0</v>
      </c>
      <c r="O34" s="40">
        <f t="shared" si="67"/>
        <v>0</v>
      </c>
      <c r="P34" s="40">
        <f t="shared" si="67"/>
        <v>0</v>
      </c>
      <c r="Q34" s="40">
        <f t="shared" si="67"/>
        <v>0</v>
      </c>
      <c r="R34" s="40">
        <f t="shared" si="67"/>
        <v>0</v>
      </c>
      <c r="S34" s="40">
        <f t="shared" si="67"/>
        <v>0</v>
      </c>
      <c r="T34" s="40">
        <f t="shared" si="67"/>
        <v>0</v>
      </c>
      <c r="U34" s="40">
        <f t="shared" si="67"/>
        <v>0</v>
      </c>
      <c r="V34" s="40">
        <f t="shared" si="67"/>
        <v>0</v>
      </c>
      <c r="W34" s="40">
        <f t="shared" si="67"/>
        <v>0</v>
      </c>
      <c r="X34" s="40">
        <f t="shared" si="67"/>
        <v>0</v>
      </c>
      <c r="Y34" s="40">
        <f t="shared" si="67"/>
        <v>0</v>
      </c>
      <c r="Z34" s="40">
        <f t="shared" si="67"/>
        <v>0</v>
      </c>
      <c r="AA34" s="40">
        <f t="shared" si="67"/>
        <v>0</v>
      </c>
      <c r="AB34" s="40">
        <f t="shared" si="67"/>
        <v>0</v>
      </c>
      <c r="AC34" s="40">
        <f t="shared" si="67"/>
        <v>0</v>
      </c>
      <c r="AD34" s="40">
        <f t="shared" si="67"/>
        <v>0</v>
      </c>
      <c r="AE34" s="40">
        <f t="shared" si="67"/>
        <v>0</v>
      </c>
      <c r="AF34" s="40">
        <f t="shared" si="67"/>
        <v>0</v>
      </c>
      <c r="AG34" s="40">
        <f t="shared" si="67"/>
        <v>0</v>
      </c>
      <c r="AH34" s="40">
        <f t="shared" si="67"/>
        <v>0</v>
      </c>
      <c r="AI34" s="40">
        <f t="shared" si="67"/>
        <v>0</v>
      </c>
      <c r="AJ34" s="40">
        <f t="shared" si="67"/>
        <v>0</v>
      </c>
      <c r="AK34" s="40">
        <f t="shared" si="67"/>
        <v>147507564000</v>
      </c>
      <c r="AL34" s="40">
        <f t="shared" si="67"/>
        <v>1161647220000</v>
      </c>
      <c r="AM34" s="40">
        <f t="shared" si="67"/>
        <v>1309154784000</v>
      </c>
      <c r="AN34" s="40">
        <f t="shared" si="67"/>
        <v>0</v>
      </c>
      <c r="AO34" s="40">
        <f t="shared" si="67"/>
        <v>0</v>
      </c>
      <c r="AP34" s="40">
        <f t="shared" si="67"/>
        <v>0</v>
      </c>
      <c r="AQ34" s="40">
        <f t="shared" si="67"/>
        <v>0</v>
      </c>
      <c r="AR34" s="40">
        <f t="shared" si="67"/>
        <v>0</v>
      </c>
      <c r="AS34" s="40">
        <f t="shared" si="67"/>
        <v>0</v>
      </c>
      <c r="AT34" s="40">
        <f t="shared" si="67"/>
        <v>0</v>
      </c>
      <c r="AU34" s="40">
        <f t="shared" si="67"/>
        <v>0</v>
      </c>
      <c r="AV34" s="40">
        <f t="shared" si="67"/>
        <v>0</v>
      </c>
      <c r="AW34" s="40">
        <f t="shared" si="67"/>
        <v>147507564000</v>
      </c>
      <c r="AX34" s="40">
        <f t="shared" si="67"/>
        <v>1161647220000</v>
      </c>
      <c r="AY34" s="40">
        <f t="shared" si="67"/>
        <v>1309154784000</v>
      </c>
      <c r="AZ34" s="40">
        <f t="shared" si="22"/>
        <v>147507564000</v>
      </c>
      <c r="BA34" s="40">
        <f t="shared" si="23"/>
        <v>1161647220000</v>
      </c>
      <c r="BB34" s="40">
        <f t="shared" si="24"/>
        <v>1309154784000</v>
      </c>
      <c r="BC34" s="40">
        <f t="shared" si="25"/>
        <v>0</v>
      </c>
      <c r="BD34" s="40">
        <f t="shared" si="26"/>
        <v>0</v>
      </c>
      <c r="BE34" s="40">
        <f t="shared" si="27"/>
        <v>0</v>
      </c>
      <c r="BF34" s="40">
        <f t="shared" si="28"/>
        <v>0</v>
      </c>
      <c r="BG34" s="40">
        <f t="shared" si="29"/>
        <v>0</v>
      </c>
      <c r="BH34" s="40">
        <f t="shared" si="30"/>
        <v>0</v>
      </c>
      <c r="BI34" s="40">
        <f t="shared" si="31"/>
        <v>0</v>
      </c>
      <c r="BJ34" s="40">
        <f t="shared" si="32"/>
        <v>0</v>
      </c>
      <c r="BK34" s="40">
        <f t="shared" si="33"/>
        <v>0</v>
      </c>
      <c r="BL34" s="40">
        <f t="shared" si="34"/>
        <v>147507564000</v>
      </c>
      <c r="BM34" s="40">
        <f t="shared" si="35"/>
        <v>1161647220000</v>
      </c>
      <c r="BN34" s="40">
        <f t="shared" si="36"/>
        <v>1309154784000</v>
      </c>
      <c r="BO34" s="40">
        <f t="shared" si="37"/>
        <v>147507564000</v>
      </c>
      <c r="BP34" s="40">
        <f t="shared" si="38"/>
        <v>1161647220000</v>
      </c>
      <c r="BQ34" s="40">
        <f t="shared" si="39"/>
        <v>1309154784000</v>
      </c>
      <c r="BR34" s="40">
        <f t="shared" si="40"/>
        <v>0</v>
      </c>
      <c r="BS34" s="40">
        <f t="shared" si="41"/>
        <v>0</v>
      </c>
      <c r="BT34" s="40">
        <f t="shared" si="42"/>
        <v>0</v>
      </c>
      <c r="BU34" s="40">
        <f t="shared" si="43"/>
        <v>0</v>
      </c>
      <c r="BV34" s="40">
        <f t="shared" si="44"/>
        <v>0</v>
      </c>
      <c r="BW34" s="40">
        <f t="shared" si="45"/>
        <v>0</v>
      </c>
      <c r="BX34" s="40">
        <f t="shared" si="46"/>
        <v>0</v>
      </c>
      <c r="BY34" s="40">
        <f t="shared" si="47"/>
        <v>0</v>
      </c>
      <c r="BZ34" s="40">
        <f t="shared" si="48"/>
        <v>0</v>
      </c>
      <c r="CA34" s="40">
        <f t="shared" si="49"/>
        <v>147507564000</v>
      </c>
      <c r="CB34" s="40">
        <f t="shared" si="50"/>
        <v>1161647220000</v>
      </c>
      <c r="CC34" s="40">
        <f t="shared" si="51"/>
        <v>1309154784000</v>
      </c>
    </row>
    <row r="35" spans="1:81" ht="22.5" customHeight="1">
      <c r="B35" s="25"/>
      <c r="C35" s="23"/>
      <c r="D35" s="23"/>
      <c r="E35" s="23"/>
      <c r="F35" s="26" t="s">
        <v>3</v>
      </c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</row>
    <row r="36" spans="1:81">
      <c r="A36" s="27"/>
      <c r="B36" s="28"/>
      <c r="C36" s="29"/>
      <c r="D36" s="29"/>
      <c r="E36" s="29"/>
      <c r="F36" s="30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</row>
    <row r="37" spans="1:81">
      <c r="A37" s="27"/>
      <c r="B37" s="28"/>
      <c r="C37" s="29"/>
      <c r="D37" s="29"/>
      <c r="E37" s="29" t="s">
        <v>0</v>
      </c>
      <c r="F37" s="30" t="s">
        <v>56</v>
      </c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</row>
    <row r="38" spans="1:81">
      <c r="A38" s="27" t="s">
        <v>4</v>
      </c>
      <c r="B38" s="28"/>
      <c r="C38" s="29" t="s">
        <v>102</v>
      </c>
      <c r="D38" s="29" t="s">
        <v>32</v>
      </c>
      <c r="E38" s="29" t="s">
        <v>0</v>
      </c>
      <c r="F38" s="49" t="s">
        <v>151</v>
      </c>
      <c r="G38" s="39"/>
      <c r="H38" s="39"/>
      <c r="I38" s="40">
        <f>G38+H38</f>
        <v>0</v>
      </c>
      <c r="J38" s="39"/>
      <c r="K38" s="39"/>
      <c r="L38" s="40">
        <f>J38+K38</f>
        <v>0</v>
      </c>
      <c r="M38" s="39"/>
      <c r="N38" s="39"/>
      <c r="O38" s="40">
        <f>M38+N38</f>
        <v>0</v>
      </c>
      <c r="P38" s="40">
        <f>J38+M38</f>
        <v>0</v>
      </c>
      <c r="Q38" s="40">
        <f>K38+N38</f>
        <v>0</v>
      </c>
      <c r="R38" s="40">
        <f>P38+Q38</f>
        <v>0</v>
      </c>
      <c r="S38" s="40">
        <f>G38-P38</f>
        <v>0</v>
      </c>
      <c r="T38" s="40">
        <f>H38-Q38</f>
        <v>0</v>
      </c>
      <c r="U38" s="40">
        <f>S38+T38</f>
        <v>0</v>
      </c>
      <c r="V38" s="39"/>
      <c r="W38" s="39"/>
      <c r="X38" s="40">
        <f>V38+W38</f>
        <v>0</v>
      </c>
      <c r="Y38" s="39"/>
      <c r="Z38" s="39"/>
      <c r="AA38" s="40">
        <f>Y38+Z38</f>
        <v>0</v>
      </c>
      <c r="AB38" s="39"/>
      <c r="AC38" s="39"/>
      <c r="AD38" s="40">
        <f>AB38+AC38</f>
        <v>0</v>
      </c>
      <c r="AE38" s="40">
        <f>Y38+AB38</f>
        <v>0</v>
      </c>
      <c r="AF38" s="40">
        <f>Z38+AC38</f>
        <v>0</v>
      </c>
      <c r="AG38" s="40">
        <f>AE38+AF38</f>
        <v>0</v>
      </c>
      <c r="AH38" s="40">
        <f>V38-AE38</f>
        <v>0</v>
      </c>
      <c r="AI38" s="40">
        <f t="shared" ref="AI38" si="68">W38-AF38</f>
        <v>0</v>
      </c>
      <c r="AJ38" s="40">
        <f>AH38+AI38</f>
        <v>0</v>
      </c>
      <c r="AK38" s="39">
        <v>174996149000</v>
      </c>
      <c r="AL38" s="39">
        <v>772842731000</v>
      </c>
      <c r="AM38" s="40">
        <f>AK38+AL38</f>
        <v>947838880000</v>
      </c>
      <c r="AN38" s="39"/>
      <c r="AO38" s="39"/>
      <c r="AP38" s="40">
        <f>AN38+AO38</f>
        <v>0</v>
      </c>
      <c r="AQ38" s="39"/>
      <c r="AR38" s="39"/>
      <c r="AS38" s="40">
        <f>AQ38+AR38</f>
        <v>0</v>
      </c>
      <c r="AT38" s="40">
        <f>AN38+AQ38</f>
        <v>0</v>
      </c>
      <c r="AU38" s="40">
        <f>AO38+AR38</f>
        <v>0</v>
      </c>
      <c r="AV38" s="40">
        <f>AT38+AU38</f>
        <v>0</v>
      </c>
      <c r="AW38" s="40">
        <f>AK38-AT38</f>
        <v>174996149000</v>
      </c>
      <c r="AX38" s="40">
        <f t="shared" ref="AX38" si="69">AL38-AU38</f>
        <v>772842731000</v>
      </c>
      <c r="AY38" s="40">
        <f>AW38+AX38</f>
        <v>947838880000</v>
      </c>
      <c r="AZ38" s="40">
        <f>V38+AK38</f>
        <v>174996149000</v>
      </c>
      <c r="BA38" s="40">
        <f t="shared" ref="BA38" si="70">W38+AL38</f>
        <v>772842731000</v>
      </c>
      <c r="BB38" s="40">
        <f t="shared" ref="BB38" si="71">X38+AM38</f>
        <v>947838880000</v>
      </c>
      <c r="BC38" s="40">
        <f t="shared" ref="BC38" si="72">Y38+AN38</f>
        <v>0</v>
      </c>
      <c r="BD38" s="40">
        <f t="shared" ref="BD38" si="73">Z38+AO38</f>
        <v>0</v>
      </c>
      <c r="BE38" s="40">
        <f t="shared" ref="BE38" si="74">AA38+AP38</f>
        <v>0</v>
      </c>
      <c r="BF38" s="40">
        <f t="shared" ref="BF38" si="75">AB38+AQ38</f>
        <v>0</v>
      </c>
      <c r="BG38" s="40">
        <f t="shared" ref="BG38" si="76">AC38+AR38</f>
        <v>0</v>
      </c>
      <c r="BH38" s="40">
        <f t="shared" ref="BH38" si="77">AD38+AS38</f>
        <v>0</v>
      </c>
      <c r="BI38" s="40">
        <f t="shared" ref="BI38" si="78">AE38+AT38</f>
        <v>0</v>
      </c>
      <c r="BJ38" s="40">
        <f t="shared" ref="BJ38" si="79">AF38+AU38</f>
        <v>0</v>
      </c>
      <c r="BK38" s="40">
        <f t="shared" ref="BK38" si="80">AG38+AV38</f>
        <v>0</v>
      </c>
      <c r="BL38" s="40">
        <f t="shared" ref="BL38" si="81">AH38+AW38</f>
        <v>174996149000</v>
      </c>
      <c r="BM38" s="40">
        <f t="shared" ref="BM38" si="82">AI38+AX38</f>
        <v>772842731000</v>
      </c>
      <c r="BN38" s="40">
        <f t="shared" ref="BN38" si="83">AJ38+AY38</f>
        <v>947838880000</v>
      </c>
      <c r="BO38" s="40">
        <f t="shared" ref="BO38:CC38" si="84">AZ38+G38</f>
        <v>174996149000</v>
      </c>
      <c r="BP38" s="40">
        <f t="shared" si="84"/>
        <v>772842731000</v>
      </c>
      <c r="BQ38" s="40">
        <f t="shared" si="84"/>
        <v>947838880000</v>
      </c>
      <c r="BR38" s="40">
        <f t="shared" si="84"/>
        <v>0</v>
      </c>
      <c r="BS38" s="40">
        <f t="shared" si="84"/>
        <v>0</v>
      </c>
      <c r="BT38" s="40">
        <f t="shared" si="84"/>
        <v>0</v>
      </c>
      <c r="BU38" s="40">
        <f t="shared" si="84"/>
        <v>0</v>
      </c>
      <c r="BV38" s="40">
        <f t="shared" si="84"/>
        <v>0</v>
      </c>
      <c r="BW38" s="40">
        <f t="shared" si="84"/>
        <v>0</v>
      </c>
      <c r="BX38" s="40">
        <f t="shared" si="84"/>
        <v>0</v>
      </c>
      <c r="BY38" s="40">
        <f t="shared" si="84"/>
        <v>0</v>
      </c>
      <c r="BZ38" s="40">
        <f t="shared" si="84"/>
        <v>0</v>
      </c>
      <c r="CA38" s="40">
        <f t="shared" si="84"/>
        <v>174996149000</v>
      </c>
      <c r="CB38" s="40">
        <f t="shared" si="84"/>
        <v>772842731000</v>
      </c>
      <c r="CC38" s="40">
        <f t="shared" si="84"/>
        <v>947838880000</v>
      </c>
    </row>
    <row r="39" spans="1:81">
      <c r="A39" s="27"/>
      <c r="B39" s="28"/>
      <c r="C39" s="29"/>
      <c r="D39" s="29"/>
      <c r="E39" s="29" t="s">
        <v>0</v>
      </c>
      <c r="F39" s="30" t="s">
        <v>38</v>
      </c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</row>
    <row r="40" spans="1:81">
      <c r="A40" s="27"/>
      <c r="B40" s="28"/>
      <c r="C40" s="29"/>
      <c r="D40" s="29"/>
      <c r="E40" s="29" t="s">
        <v>0</v>
      </c>
      <c r="F40" s="30" t="s">
        <v>39</v>
      </c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</row>
    <row r="41" spans="1:81" ht="22.5">
      <c r="A41" s="27"/>
      <c r="B41" s="28"/>
      <c r="C41" s="29" t="s">
        <v>103</v>
      </c>
      <c r="D41" s="29" t="s">
        <v>64</v>
      </c>
      <c r="E41" s="29" t="s">
        <v>0</v>
      </c>
      <c r="F41" s="31" t="s">
        <v>40</v>
      </c>
      <c r="G41" s="39"/>
      <c r="H41" s="39"/>
      <c r="I41" s="40">
        <f t="shared" ref="I41:I55" si="85">G41+H41</f>
        <v>0</v>
      </c>
      <c r="J41" s="39"/>
      <c r="K41" s="39"/>
      <c r="L41" s="40">
        <f t="shared" ref="L41:L55" si="86">J41+K41</f>
        <v>0</v>
      </c>
      <c r="M41" s="39"/>
      <c r="N41" s="39"/>
      <c r="O41" s="40">
        <f t="shared" ref="O41:O55" si="87">M41+N41</f>
        <v>0</v>
      </c>
      <c r="P41" s="40">
        <f>J41+M41</f>
        <v>0</v>
      </c>
      <c r="Q41" s="40">
        <f>K41+N41</f>
        <v>0</v>
      </c>
      <c r="R41" s="40">
        <f t="shared" ref="R41:R55" si="88">P41+Q41</f>
        <v>0</v>
      </c>
      <c r="S41" s="40">
        <f t="shared" ref="S41:T55" si="89">G41-P41</f>
        <v>0</v>
      </c>
      <c r="T41" s="40">
        <f t="shared" si="89"/>
        <v>0</v>
      </c>
      <c r="U41" s="40">
        <f t="shared" ref="U41:U55" si="90">S41+T41</f>
        <v>0</v>
      </c>
      <c r="V41" s="39"/>
      <c r="W41" s="39"/>
      <c r="X41" s="40">
        <f t="shared" ref="X41:X55" si="91">V41+W41</f>
        <v>0</v>
      </c>
      <c r="Y41" s="39"/>
      <c r="Z41" s="39"/>
      <c r="AA41" s="40">
        <f t="shared" ref="AA41:AA55" si="92">Y41+Z41</f>
        <v>0</v>
      </c>
      <c r="AB41" s="39"/>
      <c r="AC41" s="39"/>
      <c r="AD41" s="40">
        <f t="shared" ref="AD41:AD55" si="93">AB41+AC41</f>
        <v>0</v>
      </c>
      <c r="AE41" s="40">
        <f>Y41+AB41</f>
        <v>0</v>
      </c>
      <c r="AF41" s="40">
        <f>Z41+AC41</f>
        <v>0</v>
      </c>
      <c r="AG41" s="40">
        <f t="shared" ref="AG41:AG55" si="94">AE41+AF41</f>
        <v>0</v>
      </c>
      <c r="AH41" s="40">
        <f t="shared" ref="AH41:AI55" si="95">V41-AE41</f>
        <v>0</v>
      </c>
      <c r="AI41" s="40">
        <f t="shared" si="95"/>
        <v>0</v>
      </c>
      <c r="AJ41" s="40">
        <f t="shared" ref="AJ41:AJ55" si="96">AH41+AI41</f>
        <v>0</v>
      </c>
      <c r="AK41" s="39"/>
      <c r="AL41" s="39"/>
      <c r="AM41" s="40">
        <f t="shared" ref="AM41:AM55" si="97">AK41+AL41</f>
        <v>0</v>
      </c>
      <c r="AN41" s="39"/>
      <c r="AO41" s="39"/>
      <c r="AP41" s="40">
        <f t="shared" ref="AP41:AP55" si="98">AN41+AO41</f>
        <v>0</v>
      </c>
      <c r="AQ41" s="39"/>
      <c r="AR41" s="39"/>
      <c r="AS41" s="40">
        <f t="shared" ref="AS41:AS55" si="99">AQ41+AR41</f>
        <v>0</v>
      </c>
      <c r="AT41" s="40">
        <f>AN41+AQ41</f>
        <v>0</v>
      </c>
      <c r="AU41" s="40">
        <f>AO41+AR41</f>
        <v>0</v>
      </c>
      <c r="AV41" s="40">
        <f t="shared" ref="AV41:AV55" si="100">AT41+AU41</f>
        <v>0</v>
      </c>
      <c r="AW41" s="40">
        <f t="shared" ref="AW41:AX55" si="101">AK41-AT41</f>
        <v>0</v>
      </c>
      <c r="AX41" s="40">
        <f t="shared" si="101"/>
        <v>0</v>
      </c>
      <c r="AY41" s="40">
        <f t="shared" ref="AY41:AY55" si="102">AW41+AX41</f>
        <v>0</v>
      </c>
      <c r="AZ41" s="40">
        <f t="shared" ref="AZ41:AZ56" si="103">V41+AK41</f>
        <v>0</v>
      </c>
      <c r="BA41" s="40">
        <f t="shared" ref="BA41:BA56" si="104">W41+AL41</f>
        <v>0</v>
      </c>
      <c r="BB41" s="40">
        <f t="shared" ref="BB41:BB56" si="105">X41+AM41</f>
        <v>0</v>
      </c>
      <c r="BC41" s="40">
        <f t="shared" ref="BC41:BC56" si="106">Y41+AN41</f>
        <v>0</v>
      </c>
      <c r="BD41" s="40">
        <f t="shared" ref="BD41:BD56" si="107">Z41+AO41</f>
        <v>0</v>
      </c>
      <c r="BE41" s="40">
        <f t="shared" ref="BE41:BE56" si="108">AA41+AP41</f>
        <v>0</v>
      </c>
      <c r="BF41" s="40">
        <f t="shared" ref="BF41:BF56" si="109">AB41+AQ41</f>
        <v>0</v>
      </c>
      <c r="BG41" s="40">
        <f t="shared" ref="BG41:BG56" si="110">AC41+AR41</f>
        <v>0</v>
      </c>
      <c r="BH41" s="40">
        <f t="shared" ref="BH41:BH56" si="111">AD41+AS41</f>
        <v>0</v>
      </c>
      <c r="BI41" s="40">
        <f t="shared" ref="BI41:BI56" si="112">AE41+AT41</f>
        <v>0</v>
      </c>
      <c r="BJ41" s="40">
        <f t="shared" ref="BJ41:BJ56" si="113">AF41+AU41</f>
        <v>0</v>
      </c>
      <c r="BK41" s="40">
        <f t="shared" ref="BK41:BK56" si="114">AG41+AV41</f>
        <v>0</v>
      </c>
      <c r="BL41" s="40">
        <f t="shared" ref="BL41:BL56" si="115">AH41+AW41</f>
        <v>0</v>
      </c>
      <c r="BM41" s="40">
        <f t="shared" ref="BM41:BM56" si="116">AI41+AX41</f>
        <v>0</v>
      </c>
      <c r="BN41" s="40">
        <f t="shared" ref="BN41:BN56" si="117">AJ41+AY41</f>
        <v>0</v>
      </c>
      <c r="BO41" s="40">
        <f t="shared" ref="BO41:BO56" si="118">AZ41+G41</f>
        <v>0</v>
      </c>
      <c r="BP41" s="40">
        <f t="shared" ref="BP41:BP56" si="119">BA41+H41</f>
        <v>0</v>
      </c>
      <c r="BQ41" s="40">
        <f t="shared" ref="BQ41:BQ56" si="120">BB41+I41</f>
        <v>0</v>
      </c>
      <c r="BR41" s="40">
        <f t="shared" ref="BR41:BR56" si="121">BC41+J41</f>
        <v>0</v>
      </c>
      <c r="BS41" s="40">
        <f t="shared" ref="BS41:BS56" si="122">BD41+K41</f>
        <v>0</v>
      </c>
      <c r="BT41" s="40">
        <f t="shared" ref="BT41:BT56" si="123">BE41+L41</f>
        <v>0</v>
      </c>
      <c r="BU41" s="40">
        <f t="shared" ref="BU41:BU56" si="124">BF41+M41</f>
        <v>0</v>
      </c>
      <c r="BV41" s="40">
        <f t="shared" ref="BV41:BV56" si="125">BG41+N41</f>
        <v>0</v>
      </c>
      <c r="BW41" s="40">
        <f t="shared" ref="BW41:BW56" si="126">BH41+O41</f>
        <v>0</v>
      </c>
      <c r="BX41" s="40">
        <f t="shared" ref="BX41:BX56" si="127">BI41+P41</f>
        <v>0</v>
      </c>
      <c r="BY41" s="40">
        <f t="shared" ref="BY41:BY56" si="128">BJ41+Q41</f>
        <v>0</v>
      </c>
      <c r="BZ41" s="40">
        <f t="shared" ref="BZ41:BZ56" si="129">BK41+R41</f>
        <v>0</v>
      </c>
      <c r="CA41" s="40">
        <f t="shared" ref="CA41:CA56" si="130">BL41+S41</f>
        <v>0</v>
      </c>
      <c r="CB41" s="40">
        <f t="shared" ref="CB41:CB56" si="131">BM41+T41</f>
        <v>0</v>
      </c>
      <c r="CC41" s="40">
        <f t="shared" ref="CC41:CC56" si="132">BN41+U41</f>
        <v>0</v>
      </c>
    </row>
    <row r="42" spans="1:81">
      <c r="A42" s="27"/>
      <c r="B42" s="28"/>
      <c r="C42" s="29" t="s">
        <v>104</v>
      </c>
      <c r="D42" s="29" t="s">
        <v>64</v>
      </c>
      <c r="E42" s="29" t="s">
        <v>0</v>
      </c>
      <c r="F42" s="31" t="s">
        <v>41</v>
      </c>
      <c r="G42" s="39"/>
      <c r="H42" s="39"/>
      <c r="I42" s="40">
        <f t="shared" si="85"/>
        <v>0</v>
      </c>
      <c r="J42" s="39"/>
      <c r="K42" s="39"/>
      <c r="L42" s="40">
        <f t="shared" si="86"/>
        <v>0</v>
      </c>
      <c r="M42" s="39"/>
      <c r="N42" s="39"/>
      <c r="O42" s="40">
        <f t="shared" si="87"/>
        <v>0</v>
      </c>
      <c r="P42" s="40">
        <f>J42+M42</f>
        <v>0</v>
      </c>
      <c r="Q42" s="40">
        <f>K42+N42</f>
        <v>0</v>
      </c>
      <c r="R42" s="40">
        <f t="shared" si="88"/>
        <v>0</v>
      </c>
      <c r="S42" s="40">
        <f t="shared" si="89"/>
        <v>0</v>
      </c>
      <c r="T42" s="40">
        <f t="shared" si="89"/>
        <v>0</v>
      </c>
      <c r="U42" s="40">
        <f t="shared" si="90"/>
        <v>0</v>
      </c>
      <c r="V42" s="39"/>
      <c r="W42" s="39"/>
      <c r="X42" s="40">
        <f t="shared" si="91"/>
        <v>0</v>
      </c>
      <c r="Y42" s="39"/>
      <c r="Z42" s="39"/>
      <c r="AA42" s="40">
        <f t="shared" si="92"/>
        <v>0</v>
      </c>
      <c r="AB42" s="39"/>
      <c r="AC42" s="39"/>
      <c r="AD42" s="40">
        <f t="shared" si="93"/>
        <v>0</v>
      </c>
      <c r="AE42" s="40">
        <f>Y42+AB42</f>
        <v>0</v>
      </c>
      <c r="AF42" s="40">
        <f>Z42+AC42</f>
        <v>0</v>
      </c>
      <c r="AG42" s="40">
        <f t="shared" si="94"/>
        <v>0</v>
      </c>
      <c r="AH42" s="40">
        <f t="shared" si="95"/>
        <v>0</v>
      </c>
      <c r="AI42" s="40">
        <f t="shared" si="95"/>
        <v>0</v>
      </c>
      <c r="AJ42" s="40">
        <f t="shared" si="96"/>
        <v>0</v>
      </c>
      <c r="AK42" s="39">
        <v>58362670000</v>
      </c>
      <c r="AL42" s="39">
        <v>58513007000</v>
      </c>
      <c r="AM42" s="40">
        <f t="shared" si="97"/>
        <v>116875677000</v>
      </c>
      <c r="AN42" s="39"/>
      <c r="AO42" s="39"/>
      <c r="AP42" s="40">
        <f t="shared" si="98"/>
        <v>0</v>
      </c>
      <c r="AQ42" s="39"/>
      <c r="AR42" s="39"/>
      <c r="AS42" s="40">
        <f t="shared" si="99"/>
        <v>0</v>
      </c>
      <c r="AT42" s="40">
        <f>AN42+AQ42</f>
        <v>0</v>
      </c>
      <c r="AU42" s="40">
        <f>AO42+AR42</f>
        <v>0</v>
      </c>
      <c r="AV42" s="40">
        <f t="shared" si="100"/>
        <v>0</v>
      </c>
      <c r="AW42" s="40">
        <f t="shared" si="101"/>
        <v>58362670000</v>
      </c>
      <c r="AX42" s="40">
        <f t="shared" si="101"/>
        <v>58513007000</v>
      </c>
      <c r="AY42" s="40">
        <f t="shared" si="102"/>
        <v>116875677000</v>
      </c>
      <c r="AZ42" s="40">
        <f t="shared" si="103"/>
        <v>58362670000</v>
      </c>
      <c r="BA42" s="40">
        <f t="shared" si="104"/>
        <v>58513007000</v>
      </c>
      <c r="BB42" s="40">
        <f t="shared" si="105"/>
        <v>116875677000</v>
      </c>
      <c r="BC42" s="40">
        <f t="shared" si="106"/>
        <v>0</v>
      </c>
      <c r="BD42" s="40">
        <f t="shared" si="107"/>
        <v>0</v>
      </c>
      <c r="BE42" s="40">
        <f t="shared" si="108"/>
        <v>0</v>
      </c>
      <c r="BF42" s="40">
        <f t="shared" si="109"/>
        <v>0</v>
      </c>
      <c r="BG42" s="40">
        <f t="shared" si="110"/>
        <v>0</v>
      </c>
      <c r="BH42" s="40">
        <f t="shared" si="111"/>
        <v>0</v>
      </c>
      <c r="BI42" s="40">
        <f t="shared" si="112"/>
        <v>0</v>
      </c>
      <c r="BJ42" s="40">
        <f t="shared" si="113"/>
        <v>0</v>
      </c>
      <c r="BK42" s="40">
        <f t="shared" si="114"/>
        <v>0</v>
      </c>
      <c r="BL42" s="40">
        <f t="shared" si="115"/>
        <v>58362670000</v>
      </c>
      <c r="BM42" s="40">
        <f t="shared" si="116"/>
        <v>58513007000</v>
      </c>
      <c r="BN42" s="40">
        <f t="shared" si="117"/>
        <v>116875677000</v>
      </c>
      <c r="BO42" s="40">
        <f t="shared" si="118"/>
        <v>58362670000</v>
      </c>
      <c r="BP42" s="40">
        <f t="shared" si="119"/>
        <v>58513007000</v>
      </c>
      <c r="BQ42" s="40">
        <f t="shared" si="120"/>
        <v>116875677000</v>
      </c>
      <c r="BR42" s="40">
        <f t="shared" si="121"/>
        <v>0</v>
      </c>
      <c r="BS42" s="40">
        <f t="shared" si="122"/>
        <v>0</v>
      </c>
      <c r="BT42" s="40">
        <f t="shared" si="123"/>
        <v>0</v>
      </c>
      <c r="BU42" s="40">
        <f t="shared" si="124"/>
        <v>0</v>
      </c>
      <c r="BV42" s="40">
        <f t="shared" si="125"/>
        <v>0</v>
      </c>
      <c r="BW42" s="40">
        <f t="shared" si="126"/>
        <v>0</v>
      </c>
      <c r="BX42" s="40">
        <f t="shared" si="127"/>
        <v>0</v>
      </c>
      <c r="BY42" s="40">
        <f t="shared" si="128"/>
        <v>0</v>
      </c>
      <c r="BZ42" s="40">
        <f t="shared" si="129"/>
        <v>0</v>
      </c>
      <c r="CA42" s="40">
        <f t="shared" si="130"/>
        <v>58362670000</v>
      </c>
      <c r="CB42" s="40">
        <f t="shared" si="131"/>
        <v>58513007000</v>
      </c>
      <c r="CC42" s="40">
        <f t="shared" si="132"/>
        <v>116875677000</v>
      </c>
    </row>
    <row r="43" spans="1:81">
      <c r="A43" s="27"/>
      <c r="B43" s="28"/>
      <c r="C43" s="29" t="s">
        <v>105</v>
      </c>
      <c r="D43" s="29" t="s">
        <v>64</v>
      </c>
      <c r="E43" s="29" t="s">
        <v>0</v>
      </c>
      <c r="F43" s="30" t="s">
        <v>42</v>
      </c>
      <c r="G43" s="40">
        <f t="shared" ref="G43:H43" si="133">G41+G42</f>
        <v>0</v>
      </c>
      <c r="H43" s="40">
        <f t="shared" si="133"/>
        <v>0</v>
      </c>
      <c r="I43" s="40">
        <f t="shared" si="85"/>
        <v>0</v>
      </c>
      <c r="J43" s="40">
        <f t="shared" ref="J43:K43" si="134">J41+J42</f>
        <v>0</v>
      </c>
      <c r="K43" s="40">
        <f t="shared" si="134"/>
        <v>0</v>
      </c>
      <c r="L43" s="40">
        <f t="shared" si="86"/>
        <v>0</v>
      </c>
      <c r="M43" s="40">
        <f t="shared" ref="M43:N43" si="135">M41+M42</f>
        <v>0</v>
      </c>
      <c r="N43" s="40">
        <f t="shared" si="135"/>
        <v>0</v>
      </c>
      <c r="O43" s="40">
        <f t="shared" si="87"/>
        <v>0</v>
      </c>
      <c r="P43" s="40">
        <f t="shared" ref="P43:Q43" si="136">P41+P42</f>
        <v>0</v>
      </c>
      <c r="Q43" s="40">
        <f t="shared" si="136"/>
        <v>0</v>
      </c>
      <c r="R43" s="40">
        <f t="shared" si="88"/>
        <v>0</v>
      </c>
      <c r="S43" s="40">
        <f t="shared" si="89"/>
        <v>0</v>
      </c>
      <c r="T43" s="40">
        <f t="shared" si="89"/>
        <v>0</v>
      </c>
      <c r="U43" s="40">
        <f t="shared" si="90"/>
        <v>0</v>
      </c>
      <c r="V43" s="40">
        <f>V41+V42</f>
        <v>0</v>
      </c>
      <c r="W43" s="40">
        <f t="shared" ref="W43" si="137">W41+W42</f>
        <v>0</v>
      </c>
      <c r="X43" s="40">
        <f t="shared" si="91"/>
        <v>0</v>
      </c>
      <c r="Y43" s="40">
        <f>Y41+Y42</f>
        <v>0</v>
      </c>
      <c r="Z43" s="40">
        <f t="shared" ref="Z43" si="138">Z41+Z42</f>
        <v>0</v>
      </c>
      <c r="AA43" s="40">
        <f t="shared" si="92"/>
        <v>0</v>
      </c>
      <c r="AB43" s="40">
        <f>AB41+AB42</f>
        <v>0</v>
      </c>
      <c r="AC43" s="40">
        <f t="shared" ref="AC43" si="139">AC41+AC42</f>
        <v>0</v>
      </c>
      <c r="AD43" s="40">
        <f t="shared" si="93"/>
        <v>0</v>
      </c>
      <c r="AE43" s="40">
        <f t="shared" ref="AE43:AF43" si="140">AE41+AE42</f>
        <v>0</v>
      </c>
      <c r="AF43" s="40">
        <f t="shared" si="140"/>
        <v>0</v>
      </c>
      <c r="AG43" s="40">
        <f t="shared" si="94"/>
        <v>0</v>
      </c>
      <c r="AH43" s="40">
        <f t="shared" si="95"/>
        <v>0</v>
      </c>
      <c r="AI43" s="40">
        <f t="shared" si="95"/>
        <v>0</v>
      </c>
      <c r="AJ43" s="40">
        <f t="shared" si="96"/>
        <v>0</v>
      </c>
      <c r="AK43" s="40">
        <f t="shared" ref="AK43:AL43" si="141">AK41+AK42</f>
        <v>58362670000</v>
      </c>
      <c r="AL43" s="40">
        <f t="shared" si="141"/>
        <v>58513007000</v>
      </c>
      <c r="AM43" s="40">
        <f t="shared" si="97"/>
        <v>116875677000</v>
      </c>
      <c r="AN43" s="40">
        <f t="shared" ref="AN43:AO43" si="142">AN41+AN42</f>
        <v>0</v>
      </c>
      <c r="AO43" s="40">
        <f t="shared" si="142"/>
        <v>0</v>
      </c>
      <c r="AP43" s="40">
        <f t="shared" si="98"/>
        <v>0</v>
      </c>
      <c r="AQ43" s="40">
        <f t="shared" ref="AQ43:AR43" si="143">AQ41+AQ42</f>
        <v>0</v>
      </c>
      <c r="AR43" s="40">
        <f t="shared" si="143"/>
        <v>0</v>
      </c>
      <c r="AS43" s="40">
        <f t="shared" si="99"/>
        <v>0</v>
      </c>
      <c r="AT43" s="40">
        <f t="shared" ref="AT43:AU43" si="144">AT41+AT42</f>
        <v>0</v>
      </c>
      <c r="AU43" s="40">
        <f t="shared" si="144"/>
        <v>0</v>
      </c>
      <c r="AV43" s="40">
        <f t="shared" si="100"/>
        <v>0</v>
      </c>
      <c r="AW43" s="40">
        <f t="shared" si="101"/>
        <v>58362670000</v>
      </c>
      <c r="AX43" s="40">
        <f t="shared" si="101"/>
        <v>58513007000</v>
      </c>
      <c r="AY43" s="40">
        <f t="shared" si="102"/>
        <v>116875677000</v>
      </c>
      <c r="AZ43" s="40">
        <f t="shared" si="103"/>
        <v>58362670000</v>
      </c>
      <c r="BA43" s="40">
        <f t="shared" si="104"/>
        <v>58513007000</v>
      </c>
      <c r="BB43" s="40">
        <f t="shared" si="105"/>
        <v>116875677000</v>
      </c>
      <c r="BC43" s="40">
        <f t="shared" si="106"/>
        <v>0</v>
      </c>
      <c r="BD43" s="40">
        <f t="shared" si="107"/>
        <v>0</v>
      </c>
      <c r="BE43" s="40">
        <f t="shared" si="108"/>
        <v>0</v>
      </c>
      <c r="BF43" s="40">
        <f t="shared" si="109"/>
        <v>0</v>
      </c>
      <c r="BG43" s="40">
        <f t="shared" si="110"/>
        <v>0</v>
      </c>
      <c r="BH43" s="40">
        <f t="shared" si="111"/>
        <v>0</v>
      </c>
      <c r="BI43" s="40">
        <f t="shared" si="112"/>
        <v>0</v>
      </c>
      <c r="BJ43" s="40">
        <f t="shared" si="113"/>
        <v>0</v>
      </c>
      <c r="BK43" s="40">
        <f t="shared" si="114"/>
        <v>0</v>
      </c>
      <c r="BL43" s="40">
        <f t="shared" si="115"/>
        <v>58362670000</v>
      </c>
      <c r="BM43" s="40">
        <f t="shared" si="116"/>
        <v>58513007000</v>
      </c>
      <c r="BN43" s="40">
        <f t="shared" si="117"/>
        <v>116875677000</v>
      </c>
      <c r="BO43" s="40">
        <f t="shared" si="118"/>
        <v>58362670000</v>
      </c>
      <c r="BP43" s="40">
        <f t="shared" si="119"/>
        <v>58513007000</v>
      </c>
      <c r="BQ43" s="40">
        <f t="shared" si="120"/>
        <v>116875677000</v>
      </c>
      <c r="BR43" s="40">
        <f t="shared" si="121"/>
        <v>0</v>
      </c>
      <c r="BS43" s="40">
        <f t="shared" si="122"/>
        <v>0</v>
      </c>
      <c r="BT43" s="40">
        <f t="shared" si="123"/>
        <v>0</v>
      </c>
      <c r="BU43" s="40">
        <f t="shared" si="124"/>
        <v>0</v>
      </c>
      <c r="BV43" s="40">
        <f t="shared" si="125"/>
        <v>0</v>
      </c>
      <c r="BW43" s="40">
        <f t="shared" si="126"/>
        <v>0</v>
      </c>
      <c r="BX43" s="40">
        <f t="shared" si="127"/>
        <v>0</v>
      </c>
      <c r="BY43" s="40">
        <f t="shared" si="128"/>
        <v>0</v>
      </c>
      <c r="BZ43" s="40">
        <f t="shared" si="129"/>
        <v>0</v>
      </c>
      <c r="CA43" s="40">
        <f t="shared" si="130"/>
        <v>58362670000</v>
      </c>
      <c r="CB43" s="40">
        <f t="shared" si="131"/>
        <v>58513007000</v>
      </c>
      <c r="CC43" s="40">
        <f t="shared" si="132"/>
        <v>116875677000</v>
      </c>
    </row>
    <row r="44" spans="1:81">
      <c r="A44" s="27"/>
      <c r="B44" s="28"/>
      <c r="C44" s="29" t="s">
        <v>106</v>
      </c>
      <c r="D44" s="29" t="s">
        <v>64</v>
      </c>
      <c r="E44" s="29" t="s">
        <v>0</v>
      </c>
      <c r="F44" s="41" t="s">
        <v>43</v>
      </c>
      <c r="G44" s="39"/>
      <c r="H44" s="39"/>
      <c r="I44" s="40">
        <f t="shared" si="85"/>
        <v>0</v>
      </c>
      <c r="J44" s="39"/>
      <c r="K44" s="39"/>
      <c r="L44" s="40">
        <f t="shared" si="86"/>
        <v>0</v>
      </c>
      <c r="M44" s="39"/>
      <c r="N44" s="39"/>
      <c r="O44" s="40">
        <f t="shared" si="87"/>
        <v>0</v>
      </c>
      <c r="P44" s="40">
        <f t="shared" ref="P44:Q54" si="145">J44+M44</f>
        <v>0</v>
      </c>
      <c r="Q44" s="40">
        <f t="shared" si="145"/>
        <v>0</v>
      </c>
      <c r="R44" s="40">
        <f t="shared" si="88"/>
        <v>0</v>
      </c>
      <c r="S44" s="40">
        <f t="shared" si="89"/>
        <v>0</v>
      </c>
      <c r="T44" s="40">
        <f t="shared" si="89"/>
        <v>0</v>
      </c>
      <c r="U44" s="40">
        <f t="shared" si="90"/>
        <v>0</v>
      </c>
      <c r="V44" s="39"/>
      <c r="W44" s="39"/>
      <c r="X44" s="40">
        <f t="shared" si="91"/>
        <v>0</v>
      </c>
      <c r="Y44" s="39"/>
      <c r="Z44" s="39"/>
      <c r="AA44" s="40">
        <f t="shared" si="92"/>
        <v>0</v>
      </c>
      <c r="AB44" s="39"/>
      <c r="AC44" s="39"/>
      <c r="AD44" s="40">
        <f t="shared" si="93"/>
        <v>0</v>
      </c>
      <c r="AE44" s="40">
        <f t="shared" ref="AE44:AF54" si="146">Y44+AB44</f>
        <v>0</v>
      </c>
      <c r="AF44" s="40">
        <f t="shared" si="146"/>
        <v>0</v>
      </c>
      <c r="AG44" s="40">
        <f t="shared" si="94"/>
        <v>0</v>
      </c>
      <c r="AH44" s="40">
        <f t="shared" si="95"/>
        <v>0</v>
      </c>
      <c r="AI44" s="40">
        <f t="shared" si="95"/>
        <v>0</v>
      </c>
      <c r="AJ44" s="40">
        <f t="shared" si="96"/>
        <v>0</v>
      </c>
      <c r="AK44" s="39"/>
      <c r="AL44" s="39"/>
      <c r="AM44" s="40">
        <f t="shared" si="97"/>
        <v>0</v>
      </c>
      <c r="AN44" s="39"/>
      <c r="AO44" s="39"/>
      <c r="AP44" s="40">
        <f t="shared" si="98"/>
        <v>0</v>
      </c>
      <c r="AQ44" s="39"/>
      <c r="AR44" s="39"/>
      <c r="AS44" s="40">
        <f t="shared" si="99"/>
        <v>0</v>
      </c>
      <c r="AT44" s="40">
        <f t="shared" ref="AT44:AU54" si="147">AN44+AQ44</f>
        <v>0</v>
      </c>
      <c r="AU44" s="40">
        <f t="shared" si="147"/>
        <v>0</v>
      </c>
      <c r="AV44" s="40">
        <f t="shared" si="100"/>
        <v>0</v>
      </c>
      <c r="AW44" s="40">
        <f t="shared" si="101"/>
        <v>0</v>
      </c>
      <c r="AX44" s="40">
        <f t="shared" si="101"/>
        <v>0</v>
      </c>
      <c r="AY44" s="40">
        <f t="shared" si="102"/>
        <v>0</v>
      </c>
      <c r="AZ44" s="40">
        <f t="shared" si="103"/>
        <v>0</v>
      </c>
      <c r="BA44" s="40">
        <f t="shared" si="104"/>
        <v>0</v>
      </c>
      <c r="BB44" s="40">
        <f t="shared" si="105"/>
        <v>0</v>
      </c>
      <c r="BC44" s="40">
        <f t="shared" si="106"/>
        <v>0</v>
      </c>
      <c r="BD44" s="40">
        <f t="shared" si="107"/>
        <v>0</v>
      </c>
      <c r="BE44" s="40">
        <f t="shared" si="108"/>
        <v>0</v>
      </c>
      <c r="BF44" s="40">
        <f t="shared" si="109"/>
        <v>0</v>
      </c>
      <c r="BG44" s="40">
        <f t="shared" si="110"/>
        <v>0</v>
      </c>
      <c r="BH44" s="40">
        <f t="shared" si="111"/>
        <v>0</v>
      </c>
      <c r="BI44" s="40">
        <f t="shared" si="112"/>
        <v>0</v>
      </c>
      <c r="BJ44" s="40">
        <f t="shared" si="113"/>
        <v>0</v>
      </c>
      <c r="BK44" s="40">
        <f t="shared" si="114"/>
        <v>0</v>
      </c>
      <c r="BL44" s="40">
        <f t="shared" si="115"/>
        <v>0</v>
      </c>
      <c r="BM44" s="40">
        <f t="shared" si="116"/>
        <v>0</v>
      </c>
      <c r="BN44" s="40">
        <f t="shared" si="117"/>
        <v>0</v>
      </c>
      <c r="BO44" s="40">
        <f t="shared" si="118"/>
        <v>0</v>
      </c>
      <c r="BP44" s="40">
        <f t="shared" si="119"/>
        <v>0</v>
      </c>
      <c r="BQ44" s="40">
        <f t="shared" si="120"/>
        <v>0</v>
      </c>
      <c r="BR44" s="40">
        <f t="shared" si="121"/>
        <v>0</v>
      </c>
      <c r="BS44" s="40">
        <f t="shared" si="122"/>
        <v>0</v>
      </c>
      <c r="BT44" s="40">
        <f t="shared" si="123"/>
        <v>0</v>
      </c>
      <c r="BU44" s="40">
        <f t="shared" si="124"/>
        <v>0</v>
      </c>
      <c r="BV44" s="40">
        <f t="shared" si="125"/>
        <v>0</v>
      </c>
      <c r="BW44" s="40">
        <f t="shared" si="126"/>
        <v>0</v>
      </c>
      <c r="BX44" s="40">
        <f t="shared" si="127"/>
        <v>0</v>
      </c>
      <c r="BY44" s="40">
        <f t="shared" si="128"/>
        <v>0</v>
      </c>
      <c r="BZ44" s="40">
        <f t="shared" si="129"/>
        <v>0</v>
      </c>
      <c r="CA44" s="40">
        <f t="shared" si="130"/>
        <v>0</v>
      </c>
      <c r="CB44" s="40">
        <f t="shared" si="131"/>
        <v>0</v>
      </c>
      <c r="CC44" s="40">
        <f t="shared" si="132"/>
        <v>0</v>
      </c>
    </row>
    <row r="45" spans="1:81">
      <c r="A45" s="27"/>
      <c r="B45" s="28"/>
      <c r="C45" s="29" t="s">
        <v>107</v>
      </c>
      <c r="D45" s="29" t="s">
        <v>64</v>
      </c>
      <c r="E45" s="29" t="s">
        <v>0</v>
      </c>
      <c r="F45" s="41" t="s">
        <v>44</v>
      </c>
      <c r="G45" s="39"/>
      <c r="H45" s="39"/>
      <c r="I45" s="40">
        <f t="shared" si="85"/>
        <v>0</v>
      </c>
      <c r="J45" s="39"/>
      <c r="K45" s="39"/>
      <c r="L45" s="40">
        <f t="shared" si="86"/>
        <v>0</v>
      </c>
      <c r="M45" s="39"/>
      <c r="N45" s="39"/>
      <c r="O45" s="40">
        <f t="shared" si="87"/>
        <v>0</v>
      </c>
      <c r="P45" s="40">
        <f t="shared" si="145"/>
        <v>0</v>
      </c>
      <c r="Q45" s="40">
        <f t="shared" si="145"/>
        <v>0</v>
      </c>
      <c r="R45" s="40">
        <f t="shared" si="88"/>
        <v>0</v>
      </c>
      <c r="S45" s="40">
        <f t="shared" si="89"/>
        <v>0</v>
      </c>
      <c r="T45" s="40">
        <f t="shared" si="89"/>
        <v>0</v>
      </c>
      <c r="U45" s="40">
        <f t="shared" si="90"/>
        <v>0</v>
      </c>
      <c r="V45" s="39"/>
      <c r="W45" s="39"/>
      <c r="X45" s="40">
        <f t="shared" si="91"/>
        <v>0</v>
      </c>
      <c r="Y45" s="39"/>
      <c r="Z45" s="39"/>
      <c r="AA45" s="40">
        <f t="shared" si="92"/>
        <v>0</v>
      </c>
      <c r="AB45" s="39"/>
      <c r="AC45" s="39"/>
      <c r="AD45" s="40">
        <f t="shared" si="93"/>
        <v>0</v>
      </c>
      <c r="AE45" s="40">
        <f t="shared" si="146"/>
        <v>0</v>
      </c>
      <c r="AF45" s="40">
        <f t="shared" si="146"/>
        <v>0</v>
      </c>
      <c r="AG45" s="40">
        <f t="shared" si="94"/>
        <v>0</v>
      </c>
      <c r="AH45" s="40">
        <f t="shared" si="95"/>
        <v>0</v>
      </c>
      <c r="AI45" s="40">
        <f t="shared" si="95"/>
        <v>0</v>
      </c>
      <c r="AJ45" s="40">
        <f t="shared" si="96"/>
        <v>0</v>
      </c>
      <c r="AK45" s="39">
        <v>-270176000</v>
      </c>
      <c r="AL45" s="39">
        <v>11319909000</v>
      </c>
      <c r="AM45" s="40">
        <f t="shared" si="97"/>
        <v>11049733000</v>
      </c>
      <c r="AN45" s="39"/>
      <c r="AO45" s="39"/>
      <c r="AP45" s="40">
        <f t="shared" si="98"/>
        <v>0</v>
      </c>
      <c r="AQ45" s="39"/>
      <c r="AR45" s="39"/>
      <c r="AS45" s="40">
        <f t="shared" si="99"/>
        <v>0</v>
      </c>
      <c r="AT45" s="40">
        <f t="shared" si="147"/>
        <v>0</v>
      </c>
      <c r="AU45" s="40">
        <f t="shared" si="147"/>
        <v>0</v>
      </c>
      <c r="AV45" s="40">
        <f t="shared" si="100"/>
        <v>0</v>
      </c>
      <c r="AW45" s="40">
        <f t="shared" si="101"/>
        <v>-270176000</v>
      </c>
      <c r="AX45" s="40">
        <f t="shared" si="101"/>
        <v>11319909000</v>
      </c>
      <c r="AY45" s="40">
        <f t="shared" si="102"/>
        <v>11049733000</v>
      </c>
      <c r="AZ45" s="40">
        <f t="shared" si="103"/>
        <v>-270176000</v>
      </c>
      <c r="BA45" s="40">
        <f t="shared" si="104"/>
        <v>11319909000</v>
      </c>
      <c r="BB45" s="40">
        <f t="shared" si="105"/>
        <v>11049733000</v>
      </c>
      <c r="BC45" s="40">
        <f t="shared" si="106"/>
        <v>0</v>
      </c>
      <c r="BD45" s="40">
        <f t="shared" si="107"/>
        <v>0</v>
      </c>
      <c r="BE45" s="40">
        <f t="shared" si="108"/>
        <v>0</v>
      </c>
      <c r="BF45" s="40">
        <f t="shared" si="109"/>
        <v>0</v>
      </c>
      <c r="BG45" s="40">
        <f t="shared" si="110"/>
        <v>0</v>
      </c>
      <c r="BH45" s="40">
        <f t="shared" si="111"/>
        <v>0</v>
      </c>
      <c r="BI45" s="40">
        <f t="shared" si="112"/>
        <v>0</v>
      </c>
      <c r="BJ45" s="40">
        <f t="shared" si="113"/>
        <v>0</v>
      </c>
      <c r="BK45" s="40">
        <f t="shared" si="114"/>
        <v>0</v>
      </c>
      <c r="BL45" s="40">
        <f t="shared" si="115"/>
        <v>-270176000</v>
      </c>
      <c r="BM45" s="40">
        <f t="shared" si="116"/>
        <v>11319909000</v>
      </c>
      <c r="BN45" s="40">
        <f t="shared" si="117"/>
        <v>11049733000</v>
      </c>
      <c r="BO45" s="40">
        <f t="shared" si="118"/>
        <v>-270176000</v>
      </c>
      <c r="BP45" s="40">
        <f t="shared" si="119"/>
        <v>11319909000</v>
      </c>
      <c r="BQ45" s="40">
        <f t="shared" si="120"/>
        <v>11049733000</v>
      </c>
      <c r="BR45" s="40">
        <f t="shared" si="121"/>
        <v>0</v>
      </c>
      <c r="BS45" s="40">
        <f t="shared" si="122"/>
        <v>0</v>
      </c>
      <c r="BT45" s="40">
        <f t="shared" si="123"/>
        <v>0</v>
      </c>
      <c r="BU45" s="40">
        <f t="shared" si="124"/>
        <v>0</v>
      </c>
      <c r="BV45" s="40">
        <f t="shared" si="125"/>
        <v>0</v>
      </c>
      <c r="BW45" s="40">
        <f t="shared" si="126"/>
        <v>0</v>
      </c>
      <c r="BX45" s="40">
        <f t="shared" si="127"/>
        <v>0</v>
      </c>
      <c r="BY45" s="40">
        <f t="shared" si="128"/>
        <v>0</v>
      </c>
      <c r="BZ45" s="40">
        <f t="shared" si="129"/>
        <v>0</v>
      </c>
      <c r="CA45" s="40">
        <f t="shared" si="130"/>
        <v>-270176000</v>
      </c>
      <c r="CB45" s="40">
        <f t="shared" si="131"/>
        <v>11319909000</v>
      </c>
      <c r="CC45" s="40">
        <f t="shared" si="132"/>
        <v>11049733000</v>
      </c>
    </row>
    <row r="46" spans="1:81">
      <c r="A46" s="27"/>
      <c r="B46" s="28"/>
      <c r="C46" s="29" t="s">
        <v>108</v>
      </c>
      <c r="D46" s="29" t="s">
        <v>64</v>
      </c>
      <c r="E46" s="29" t="s">
        <v>0</v>
      </c>
      <c r="F46" s="41" t="s">
        <v>45</v>
      </c>
      <c r="G46" s="39"/>
      <c r="H46" s="39"/>
      <c r="I46" s="40">
        <f t="shared" si="85"/>
        <v>0</v>
      </c>
      <c r="J46" s="39"/>
      <c r="K46" s="39"/>
      <c r="L46" s="40">
        <f t="shared" si="86"/>
        <v>0</v>
      </c>
      <c r="M46" s="39"/>
      <c r="N46" s="39"/>
      <c r="O46" s="40">
        <f t="shared" si="87"/>
        <v>0</v>
      </c>
      <c r="P46" s="40">
        <f t="shared" si="145"/>
        <v>0</v>
      </c>
      <c r="Q46" s="40">
        <f t="shared" si="145"/>
        <v>0</v>
      </c>
      <c r="R46" s="40">
        <f t="shared" si="88"/>
        <v>0</v>
      </c>
      <c r="S46" s="40">
        <f t="shared" si="89"/>
        <v>0</v>
      </c>
      <c r="T46" s="40">
        <f t="shared" si="89"/>
        <v>0</v>
      </c>
      <c r="U46" s="40">
        <f t="shared" si="90"/>
        <v>0</v>
      </c>
      <c r="V46" s="39"/>
      <c r="W46" s="39"/>
      <c r="X46" s="40">
        <f t="shared" si="91"/>
        <v>0</v>
      </c>
      <c r="Y46" s="39"/>
      <c r="Z46" s="39"/>
      <c r="AA46" s="40">
        <f t="shared" si="92"/>
        <v>0</v>
      </c>
      <c r="AB46" s="39"/>
      <c r="AC46" s="39"/>
      <c r="AD46" s="40">
        <f t="shared" si="93"/>
        <v>0</v>
      </c>
      <c r="AE46" s="40">
        <f t="shared" si="146"/>
        <v>0</v>
      </c>
      <c r="AF46" s="40">
        <f t="shared" si="146"/>
        <v>0</v>
      </c>
      <c r="AG46" s="40">
        <f t="shared" si="94"/>
        <v>0</v>
      </c>
      <c r="AH46" s="40">
        <f t="shared" si="95"/>
        <v>0</v>
      </c>
      <c r="AI46" s="40">
        <f t="shared" si="95"/>
        <v>0</v>
      </c>
      <c r="AJ46" s="40">
        <f t="shared" si="96"/>
        <v>0</v>
      </c>
      <c r="AK46" s="39"/>
      <c r="AL46" s="39"/>
      <c r="AM46" s="40">
        <f t="shared" si="97"/>
        <v>0</v>
      </c>
      <c r="AN46" s="39"/>
      <c r="AO46" s="39"/>
      <c r="AP46" s="40">
        <f t="shared" si="98"/>
        <v>0</v>
      </c>
      <c r="AQ46" s="39"/>
      <c r="AR46" s="39"/>
      <c r="AS46" s="40">
        <f t="shared" si="99"/>
        <v>0</v>
      </c>
      <c r="AT46" s="40">
        <f t="shared" si="147"/>
        <v>0</v>
      </c>
      <c r="AU46" s="40">
        <f t="shared" si="147"/>
        <v>0</v>
      </c>
      <c r="AV46" s="40">
        <f t="shared" si="100"/>
        <v>0</v>
      </c>
      <c r="AW46" s="40">
        <f t="shared" si="101"/>
        <v>0</v>
      </c>
      <c r="AX46" s="40">
        <f t="shared" si="101"/>
        <v>0</v>
      </c>
      <c r="AY46" s="40">
        <f t="shared" si="102"/>
        <v>0</v>
      </c>
      <c r="AZ46" s="40">
        <f t="shared" si="103"/>
        <v>0</v>
      </c>
      <c r="BA46" s="40">
        <f t="shared" si="104"/>
        <v>0</v>
      </c>
      <c r="BB46" s="40">
        <f t="shared" si="105"/>
        <v>0</v>
      </c>
      <c r="BC46" s="40">
        <f t="shared" si="106"/>
        <v>0</v>
      </c>
      <c r="BD46" s="40">
        <f t="shared" si="107"/>
        <v>0</v>
      </c>
      <c r="BE46" s="40">
        <f t="shared" si="108"/>
        <v>0</v>
      </c>
      <c r="BF46" s="40">
        <f t="shared" si="109"/>
        <v>0</v>
      </c>
      <c r="BG46" s="40">
        <f t="shared" si="110"/>
        <v>0</v>
      </c>
      <c r="BH46" s="40">
        <f t="shared" si="111"/>
        <v>0</v>
      </c>
      <c r="BI46" s="40">
        <f t="shared" si="112"/>
        <v>0</v>
      </c>
      <c r="BJ46" s="40">
        <f t="shared" si="113"/>
        <v>0</v>
      </c>
      <c r="BK46" s="40">
        <f t="shared" si="114"/>
        <v>0</v>
      </c>
      <c r="BL46" s="40">
        <f t="shared" si="115"/>
        <v>0</v>
      </c>
      <c r="BM46" s="40">
        <f t="shared" si="116"/>
        <v>0</v>
      </c>
      <c r="BN46" s="40">
        <f t="shared" si="117"/>
        <v>0</v>
      </c>
      <c r="BO46" s="40">
        <f t="shared" si="118"/>
        <v>0</v>
      </c>
      <c r="BP46" s="40">
        <f t="shared" si="119"/>
        <v>0</v>
      </c>
      <c r="BQ46" s="40">
        <f t="shared" si="120"/>
        <v>0</v>
      </c>
      <c r="BR46" s="40">
        <f t="shared" si="121"/>
        <v>0</v>
      </c>
      <c r="BS46" s="40">
        <f t="shared" si="122"/>
        <v>0</v>
      </c>
      <c r="BT46" s="40">
        <f t="shared" si="123"/>
        <v>0</v>
      </c>
      <c r="BU46" s="40">
        <f t="shared" si="124"/>
        <v>0</v>
      </c>
      <c r="BV46" s="40">
        <f t="shared" si="125"/>
        <v>0</v>
      </c>
      <c r="BW46" s="40">
        <f t="shared" si="126"/>
        <v>0</v>
      </c>
      <c r="BX46" s="40">
        <f t="shared" si="127"/>
        <v>0</v>
      </c>
      <c r="BY46" s="40">
        <f t="shared" si="128"/>
        <v>0</v>
      </c>
      <c r="BZ46" s="40">
        <f t="shared" si="129"/>
        <v>0</v>
      </c>
      <c r="CA46" s="40">
        <f t="shared" si="130"/>
        <v>0</v>
      </c>
      <c r="CB46" s="40">
        <f t="shared" si="131"/>
        <v>0</v>
      </c>
      <c r="CC46" s="40">
        <f t="shared" si="132"/>
        <v>0</v>
      </c>
    </row>
    <row r="47" spans="1:81">
      <c r="A47" s="27"/>
      <c r="B47" s="28"/>
      <c r="C47" s="29" t="s">
        <v>109</v>
      </c>
      <c r="D47" s="29" t="s">
        <v>64</v>
      </c>
      <c r="E47" s="29" t="s">
        <v>0</v>
      </c>
      <c r="F47" s="41" t="s">
        <v>46</v>
      </c>
      <c r="G47" s="39"/>
      <c r="H47" s="39"/>
      <c r="I47" s="40">
        <f t="shared" si="85"/>
        <v>0</v>
      </c>
      <c r="J47" s="39"/>
      <c r="K47" s="39"/>
      <c r="L47" s="40">
        <f t="shared" si="86"/>
        <v>0</v>
      </c>
      <c r="M47" s="39"/>
      <c r="N47" s="39"/>
      <c r="O47" s="40">
        <f t="shared" si="87"/>
        <v>0</v>
      </c>
      <c r="P47" s="40">
        <f t="shared" si="145"/>
        <v>0</v>
      </c>
      <c r="Q47" s="40">
        <f t="shared" si="145"/>
        <v>0</v>
      </c>
      <c r="R47" s="40">
        <f t="shared" si="88"/>
        <v>0</v>
      </c>
      <c r="S47" s="40">
        <f t="shared" si="89"/>
        <v>0</v>
      </c>
      <c r="T47" s="40">
        <f t="shared" si="89"/>
        <v>0</v>
      </c>
      <c r="U47" s="40">
        <f t="shared" si="90"/>
        <v>0</v>
      </c>
      <c r="V47" s="39"/>
      <c r="W47" s="39"/>
      <c r="X47" s="40">
        <f t="shared" si="91"/>
        <v>0</v>
      </c>
      <c r="Y47" s="39"/>
      <c r="Z47" s="39"/>
      <c r="AA47" s="40">
        <f t="shared" si="92"/>
        <v>0</v>
      </c>
      <c r="AB47" s="39"/>
      <c r="AC47" s="39"/>
      <c r="AD47" s="40">
        <f t="shared" si="93"/>
        <v>0</v>
      </c>
      <c r="AE47" s="40">
        <f t="shared" si="146"/>
        <v>0</v>
      </c>
      <c r="AF47" s="40">
        <f t="shared" si="146"/>
        <v>0</v>
      </c>
      <c r="AG47" s="40">
        <f t="shared" si="94"/>
        <v>0</v>
      </c>
      <c r="AH47" s="40">
        <f t="shared" si="95"/>
        <v>0</v>
      </c>
      <c r="AI47" s="40">
        <f t="shared" si="95"/>
        <v>0</v>
      </c>
      <c r="AJ47" s="40">
        <f t="shared" si="96"/>
        <v>0</v>
      </c>
      <c r="AK47" s="39"/>
      <c r="AL47" s="39"/>
      <c r="AM47" s="40">
        <f t="shared" si="97"/>
        <v>0</v>
      </c>
      <c r="AN47" s="39"/>
      <c r="AO47" s="39"/>
      <c r="AP47" s="40">
        <f t="shared" si="98"/>
        <v>0</v>
      </c>
      <c r="AQ47" s="39"/>
      <c r="AR47" s="39"/>
      <c r="AS47" s="40">
        <f t="shared" si="99"/>
        <v>0</v>
      </c>
      <c r="AT47" s="40">
        <f t="shared" si="147"/>
        <v>0</v>
      </c>
      <c r="AU47" s="40">
        <f t="shared" si="147"/>
        <v>0</v>
      </c>
      <c r="AV47" s="40">
        <f t="shared" si="100"/>
        <v>0</v>
      </c>
      <c r="AW47" s="40">
        <f t="shared" si="101"/>
        <v>0</v>
      </c>
      <c r="AX47" s="40">
        <f t="shared" si="101"/>
        <v>0</v>
      </c>
      <c r="AY47" s="40">
        <f t="shared" si="102"/>
        <v>0</v>
      </c>
      <c r="AZ47" s="40">
        <f t="shared" si="103"/>
        <v>0</v>
      </c>
      <c r="BA47" s="40">
        <f t="shared" si="104"/>
        <v>0</v>
      </c>
      <c r="BB47" s="40">
        <f t="shared" si="105"/>
        <v>0</v>
      </c>
      <c r="BC47" s="40">
        <f t="shared" si="106"/>
        <v>0</v>
      </c>
      <c r="BD47" s="40">
        <f t="shared" si="107"/>
        <v>0</v>
      </c>
      <c r="BE47" s="40">
        <f t="shared" si="108"/>
        <v>0</v>
      </c>
      <c r="BF47" s="40">
        <f t="shared" si="109"/>
        <v>0</v>
      </c>
      <c r="BG47" s="40">
        <f t="shared" si="110"/>
        <v>0</v>
      </c>
      <c r="BH47" s="40">
        <f t="shared" si="111"/>
        <v>0</v>
      </c>
      <c r="BI47" s="40">
        <f t="shared" si="112"/>
        <v>0</v>
      </c>
      <c r="BJ47" s="40">
        <f t="shared" si="113"/>
        <v>0</v>
      </c>
      <c r="BK47" s="40">
        <f t="shared" si="114"/>
        <v>0</v>
      </c>
      <c r="BL47" s="40">
        <f t="shared" si="115"/>
        <v>0</v>
      </c>
      <c r="BM47" s="40">
        <f t="shared" si="116"/>
        <v>0</v>
      </c>
      <c r="BN47" s="40">
        <f t="shared" si="117"/>
        <v>0</v>
      </c>
      <c r="BO47" s="40">
        <f t="shared" si="118"/>
        <v>0</v>
      </c>
      <c r="BP47" s="40">
        <f t="shared" si="119"/>
        <v>0</v>
      </c>
      <c r="BQ47" s="40">
        <f t="shared" si="120"/>
        <v>0</v>
      </c>
      <c r="BR47" s="40">
        <f t="shared" si="121"/>
        <v>0</v>
      </c>
      <c r="BS47" s="40">
        <f t="shared" si="122"/>
        <v>0</v>
      </c>
      <c r="BT47" s="40">
        <f t="shared" si="123"/>
        <v>0</v>
      </c>
      <c r="BU47" s="40">
        <f t="shared" si="124"/>
        <v>0</v>
      </c>
      <c r="BV47" s="40">
        <f t="shared" si="125"/>
        <v>0</v>
      </c>
      <c r="BW47" s="40">
        <f t="shared" si="126"/>
        <v>0</v>
      </c>
      <c r="BX47" s="40">
        <f t="shared" si="127"/>
        <v>0</v>
      </c>
      <c r="BY47" s="40">
        <f t="shared" si="128"/>
        <v>0</v>
      </c>
      <c r="BZ47" s="40">
        <f t="shared" si="129"/>
        <v>0</v>
      </c>
      <c r="CA47" s="40">
        <f t="shared" si="130"/>
        <v>0</v>
      </c>
      <c r="CB47" s="40">
        <f t="shared" si="131"/>
        <v>0</v>
      </c>
      <c r="CC47" s="40">
        <f t="shared" si="132"/>
        <v>0</v>
      </c>
    </row>
    <row r="48" spans="1:81">
      <c r="A48" s="27"/>
      <c r="B48" s="28"/>
      <c r="C48" s="29" t="s">
        <v>110</v>
      </c>
      <c r="D48" s="29" t="s">
        <v>64</v>
      </c>
      <c r="E48" s="29" t="s">
        <v>0</v>
      </c>
      <c r="F48" s="41" t="s">
        <v>47</v>
      </c>
      <c r="G48" s="39"/>
      <c r="H48" s="39"/>
      <c r="I48" s="40">
        <f t="shared" si="85"/>
        <v>0</v>
      </c>
      <c r="J48" s="39"/>
      <c r="K48" s="39"/>
      <c r="L48" s="40">
        <f t="shared" si="86"/>
        <v>0</v>
      </c>
      <c r="M48" s="39"/>
      <c r="N48" s="39"/>
      <c r="O48" s="40">
        <f t="shared" si="87"/>
        <v>0</v>
      </c>
      <c r="P48" s="40">
        <f t="shared" si="145"/>
        <v>0</v>
      </c>
      <c r="Q48" s="40">
        <f t="shared" si="145"/>
        <v>0</v>
      </c>
      <c r="R48" s="40">
        <f t="shared" si="88"/>
        <v>0</v>
      </c>
      <c r="S48" s="40">
        <f t="shared" si="89"/>
        <v>0</v>
      </c>
      <c r="T48" s="40">
        <f t="shared" si="89"/>
        <v>0</v>
      </c>
      <c r="U48" s="40">
        <f t="shared" si="90"/>
        <v>0</v>
      </c>
      <c r="V48" s="39"/>
      <c r="W48" s="39"/>
      <c r="X48" s="40">
        <f t="shared" si="91"/>
        <v>0</v>
      </c>
      <c r="Y48" s="39"/>
      <c r="Z48" s="39"/>
      <c r="AA48" s="40">
        <f t="shared" si="92"/>
        <v>0</v>
      </c>
      <c r="AB48" s="39"/>
      <c r="AC48" s="39"/>
      <c r="AD48" s="40">
        <f t="shared" si="93"/>
        <v>0</v>
      </c>
      <c r="AE48" s="40">
        <f t="shared" si="146"/>
        <v>0</v>
      </c>
      <c r="AF48" s="40">
        <f t="shared" si="146"/>
        <v>0</v>
      </c>
      <c r="AG48" s="40">
        <f t="shared" si="94"/>
        <v>0</v>
      </c>
      <c r="AH48" s="40">
        <f t="shared" si="95"/>
        <v>0</v>
      </c>
      <c r="AI48" s="40">
        <f t="shared" si="95"/>
        <v>0</v>
      </c>
      <c r="AJ48" s="40">
        <f t="shared" si="96"/>
        <v>0</v>
      </c>
      <c r="AK48" s="39"/>
      <c r="AL48" s="39"/>
      <c r="AM48" s="40">
        <f t="shared" si="97"/>
        <v>0</v>
      </c>
      <c r="AN48" s="39"/>
      <c r="AO48" s="39"/>
      <c r="AP48" s="40">
        <f t="shared" si="98"/>
        <v>0</v>
      </c>
      <c r="AQ48" s="39"/>
      <c r="AR48" s="39"/>
      <c r="AS48" s="40">
        <f t="shared" si="99"/>
        <v>0</v>
      </c>
      <c r="AT48" s="40">
        <f t="shared" si="147"/>
        <v>0</v>
      </c>
      <c r="AU48" s="40">
        <f t="shared" si="147"/>
        <v>0</v>
      </c>
      <c r="AV48" s="40">
        <f t="shared" si="100"/>
        <v>0</v>
      </c>
      <c r="AW48" s="40">
        <f t="shared" si="101"/>
        <v>0</v>
      </c>
      <c r="AX48" s="40">
        <f t="shared" si="101"/>
        <v>0</v>
      </c>
      <c r="AY48" s="40">
        <f t="shared" si="102"/>
        <v>0</v>
      </c>
      <c r="AZ48" s="40">
        <f t="shared" si="103"/>
        <v>0</v>
      </c>
      <c r="BA48" s="40">
        <f t="shared" si="104"/>
        <v>0</v>
      </c>
      <c r="BB48" s="40">
        <f t="shared" si="105"/>
        <v>0</v>
      </c>
      <c r="BC48" s="40">
        <f t="shared" si="106"/>
        <v>0</v>
      </c>
      <c r="BD48" s="40">
        <f t="shared" si="107"/>
        <v>0</v>
      </c>
      <c r="BE48" s="40">
        <f t="shared" si="108"/>
        <v>0</v>
      </c>
      <c r="BF48" s="40">
        <f t="shared" si="109"/>
        <v>0</v>
      </c>
      <c r="BG48" s="40">
        <f t="shared" si="110"/>
        <v>0</v>
      </c>
      <c r="BH48" s="40">
        <f t="shared" si="111"/>
        <v>0</v>
      </c>
      <c r="BI48" s="40">
        <f t="shared" si="112"/>
        <v>0</v>
      </c>
      <c r="BJ48" s="40">
        <f t="shared" si="113"/>
        <v>0</v>
      </c>
      <c r="BK48" s="40">
        <f t="shared" si="114"/>
        <v>0</v>
      </c>
      <c r="BL48" s="40">
        <f t="shared" si="115"/>
        <v>0</v>
      </c>
      <c r="BM48" s="40">
        <f t="shared" si="116"/>
        <v>0</v>
      </c>
      <c r="BN48" s="40">
        <f t="shared" si="117"/>
        <v>0</v>
      </c>
      <c r="BO48" s="40">
        <f t="shared" si="118"/>
        <v>0</v>
      </c>
      <c r="BP48" s="40">
        <f t="shared" si="119"/>
        <v>0</v>
      </c>
      <c r="BQ48" s="40">
        <f t="shared" si="120"/>
        <v>0</v>
      </c>
      <c r="BR48" s="40">
        <f t="shared" si="121"/>
        <v>0</v>
      </c>
      <c r="BS48" s="40">
        <f t="shared" si="122"/>
        <v>0</v>
      </c>
      <c r="BT48" s="40">
        <f t="shared" si="123"/>
        <v>0</v>
      </c>
      <c r="BU48" s="40">
        <f t="shared" si="124"/>
        <v>0</v>
      </c>
      <c r="BV48" s="40">
        <f t="shared" si="125"/>
        <v>0</v>
      </c>
      <c r="BW48" s="40">
        <f t="shared" si="126"/>
        <v>0</v>
      </c>
      <c r="BX48" s="40">
        <f t="shared" si="127"/>
        <v>0</v>
      </c>
      <c r="BY48" s="40">
        <f t="shared" si="128"/>
        <v>0</v>
      </c>
      <c r="BZ48" s="40">
        <f t="shared" si="129"/>
        <v>0</v>
      </c>
      <c r="CA48" s="40">
        <f t="shared" si="130"/>
        <v>0</v>
      </c>
      <c r="CB48" s="40">
        <f t="shared" si="131"/>
        <v>0</v>
      </c>
      <c r="CC48" s="40">
        <f t="shared" si="132"/>
        <v>0</v>
      </c>
    </row>
    <row r="49" spans="1:81">
      <c r="A49" s="27"/>
      <c r="B49" s="28"/>
      <c r="C49" s="29" t="s">
        <v>111</v>
      </c>
      <c r="D49" s="29" t="s">
        <v>64</v>
      </c>
      <c r="E49" s="29" t="s">
        <v>0</v>
      </c>
      <c r="F49" s="41" t="s">
        <v>48</v>
      </c>
      <c r="G49" s="39"/>
      <c r="H49" s="39"/>
      <c r="I49" s="40">
        <f t="shared" si="85"/>
        <v>0</v>
      </c>
      <c r="J49" s="39"/>
      <c r="K49" s="39"/>
      <c r="L49" s="40">
        <f t="shared" si="86"/>
        <v>0</v>
      </c>
      <c r="M49" s="39"/>
      <c r="N49" s="39"/>
      <c r="O49" s="40">
        <f t="shared" si="87"/>
        <v>0</v>
      </c>
      <c r="P49" s="40">
        <f t="shared" si="145"/>
        <v>0</v>
      </c>
      <c r="Q49" s="40">
        <f t="shared" si="145"/>
        <v>0</v>
      </c>
      <c r="R49" s="40">
        <f t="shared" si="88"/>
        <v>0</v>
      </c>
      <c r="S49" s="40">
        <f t="shared" si="89"/>
        <v>0</v>
      </c>
      <c r="T49" s="40">
        <f t="shared" si="89"/>
        <v>0</v>
      </c>
      <c r="U49" s="40">
        <f t="shared" si="90"/>
        <v>0</v>
      </c>
      <c r="V49" s="39"/>
      <c r="W49" s="39"/>
      <c r="X49" s="40">
        <f t="shared" si="91"/>
        <v>0</v>
      </c>
      <c r="Y49" s="39"/>
      <c r="Z49" s="39"/>
      <c r="AA49" s="40">
        <f t="shared" si="92"/>
        <v>0</v>
      </c>
      <c r="AB49" s="39"/>
      <c r="AC49" s="39"/>
      <c r="AD49" s="40">
        <f t="shared" si="93"/>
        <v>0</v>
      </c>
      <c r="AE49" s="40">
        <f t="shared" si="146"/>
        <v>0</v>
      </c>
      <c r="AF49" s="40">
        <f t="shared" si="146"/>
        <v>0</v>
      </c>
      <c r="AG49" s="40">
        <f t="shared" si="94"/>
        <v>0</v>
      </c>
      <c r="AH49" s="40">
        <f t="shared" si="95"/>
        <v>0</v>
      </c>
      <c r="AI49" s="40">
        <f t="shared" si="95"/>
        <v>0</v>
      </c>
      <c r="AJ49" s="40">
        <f t="shared" si="96"/>
        <v>0</v>
      </c>
      <c r="AK49" s="39"/>
      <c r="AL49" s="39">
        <v>16707834000</v>
      </c>
      <c r="AM49" s="40">
        <f t="shared" si="97"/>
        <v>16707834000</v>
      </c>
      <c r="AN49" s="39"/>
      <c r="AO49" s="39"/>
      <c r="AP49" s="40">
        <f t="shared" si="98"/>
        <v>0</v>
      </c>
      <c r="AQ49" s="39"/>
      <c r="AR49" s="39"/>
      <c r="AS49" s="40">
        <f t="shared" si="99"/>
        <v>0</v>
      </c>
      <c r="AT49" s="40">
        <f t="shared" si="147"/>
        <v>0</v>
      </c>
      <c r="AU49" s="40">
        <f t="shared" si="147"/>
        <v>0</v>
      </c>
      <c r="AV49" s="40">
        <f t="shared" si="100"/>
        <v>0</v>
      </c>
      <c r="AW49" s="40">
        <f t="shared" si="101"/>
        <v>0</v>
      </c>
      <c r="AX49" s="40">
        <f t="shared" si="101"/>
        <v>16707834000</v>
      </c>
      <c r="AY49" s="40">
        <f t="shared" si="102"/>
        <v>16707834000</v>
      </c>
      <c r="AZ49" s="40">
        <f t="shared" si="103"/>
        <v>0</v>
      </c>
      <c r="BA49" s="40">
        <f t="shared" si="104"/>
        <v>16707834000</v>
      </c>
      <c r="BB49" s="40">
        <f t="shared" si="105"/>
        <v>16707834000</v>
      </c>
      <c r="BC49" s="40">
        <f t="shared" si="106"/>
        <v>0</v>
      </c>
      <c r="BD49" s="40">
        <f t="shared" si="107"/>
        <v>0</v>
      </c>
      <c r="BE49" s="40">
        <f t="shared" si="108"/>
        <v>0</v>
      </c>
      <c r="BF49" s="40">
        <f t="shared" si="109"/>
        <v>0</v>
      </c>
      <c r="BG49" s="40">
        <f t="shared" si="110"/>
        <v>0</v>
      </c>
      <c r="BH49" s="40">
        <f t="shared" si="111"/>
        <v>0</v>
      </c>
      <c r="BI49" s="40">
        <f t="shared" si="112"/>
        <v>0</v>
      </c>
      <c r="BJ49" s="40">
        <f t="shared" si="113"/>
        <v>0</v>
      </c>
      <c r="BK49" s="40">
        <f t="shared" si="114"/>
        <v>0</v>
      </c>
      <c r="BL49" s="40">
        <f t="shared" si="115"/>
        <v>0</v>
      </c>
      <c r="BM49" s="40">
        <f t="shared" si="116"/>
        <v>16707834000</v>
      </c>
      <c r="BN49" s="40">
        <f t="shared" si="117"/>
        <v>16707834000</v>
      </c>
      <c r="BO49" s="40">
        <f t="shared" si="118"/>
        <v>0</v>
      </c>
      <c r="BP49" s="40">
        <f t="shared" si="119"/>
        <v>16707834000</v>
      </c>
      <c r="BQ49" s="40">
        <f t="shared" si="120"/>
        <v>16707834000</v>
      </c>
      <c r="BR49" s="40">
        <f t="shared" si="121"/>
        <v>0</v>
      </c>
      <c r="BS49" s="40">
        <f t="shared" si="122"/>
        <v>0</v>
      </c>
      <c r="BT49" s="40">
        <f t="shared" si="123"/>
        <v>0</v>
      </c>
      <c r="BU49" s="40">
        <f t="shared" si="124"/>
        <v>0</v>
      </c>
      <c r="BV49" s="40">
        <f t="shared" si="125"/>
        <v>0</v>
      </c>
      <c r="BW49" s="40">
        <f t="shared" si="126"/>
        <v>0</v>
      </c>
      <c r="BX49" s="40">
        <f t="shared" si="127"/>
        <v>0</v>
      </c>
      <c r="BY49" s="40">
        <f t="shared" si="128"/>
        <v>0</v>
      </c>
      <c r="BZ49" s="40">
        <f t="shared" si="129"/>
        <v>0</v>
      </c>
      <c r="CA49" s="40">
        <f t="shared" si="130"/>
        <v>0</v>
      </c>
      <c r="CB49" s="40">
        <f t="shared" si="131"/>
        <v>16707834000</v>
      </c>
      <c r="CC49" s="40">
        <f t="shared" si="132"/>
        <v>16707834000</v>
      </c>
    </row>
    <row r="50" spans="1:81" ht="22.5">
      <c r="A50" s="27"/>
      <c r="B50" s="28"/>
      <c r="C50" s="29" t="s">
        <v>112</v>
      </c>
      <c r="D50" s="29" t="s">
        <v>64</v>
      </c>
      <c r="E50" s="29" t="s">
        <v>0</v>
      </c>
      <c r="F50" s="41" t="s">
        <v>49</v>
      </c>
      <c r="G50" s="39"/>
      <c r="H50" s="39"/>
      <c r="I50" s="40">
        <f t="shared" si="85"/>
        <v>0</v>
      </c>
      <c r="J50" s="39"/>
      <c r="K50" s="39"/>
      <c r="L50" s="40">
        <f t="shared" si="86"/>
        <v>0</v>
      </c>
      <c r="M50" s="39"/>
      <c r="N50" s="39"/>
      <c r="O50" s="40">
        <f t="shared" si="87"/>
        <v>0</v>
      </c>
      <c r="P50" s="40">
        <f t="shared" si="145"/>
        <v>0</v>
      </c>
      <c r="Q50" s="40">
        <f t="shared" si="145"/>
        <v>0</v>
      </c>
      <c r="R50" s="40">
        <f t="shared" si="88"/>
        <v>0</v>
      </c>
      <c r="S50" s="40">
        <f t="shared" si="89"/>
        <v>0</v>
      </c>
      <c r="T50" s="40">
        <f t="shared" si="89"/>
        <v>0</v>
      </c>
      <c r="U50" s="40">
        <f t="shared" si="90"/>
        <v>0</v>
      </c>
      <c r="V50" s="39"/>
      <c r="W50" s="39"/>
      <c r="X50" s="40">
        <f t="shared" si="91"/>
        <v>0</v>
      </c>
      <c r="Y50" s="39"/>
      <c r="Z50" s="39"/>
      <c r="AA50" s="40">
        <f t="shared" si="92"/>
        <v>0</v>
      </c>
      <c r="AB50" s="39"/>
      <c r="AC50" s="39"/>
      <c r="AD50" s="40">
        <f t="shared" si="93"/>
        <v>0</v>
      </c>
      <c r="AE50" s="40">
        <f t="shared" si="146"/>
        <v>0</v>
      </c>
      <c r="AF50" s="40">
        <f t="shared" si="146"/>
        <v>0</v>
      </c>
      <c r="AG50" s="40">
        <f t="shared" si="94"/>
        <v>0</v>
      </c>
      <c r="AH50" s="40">
        <f t="shared" si="95"/>
        <v>0</v>
      </c>
      <c r="AI50" s="40">
        <f t="shared" si="95"/>
        <v>0</v>
      </c>
      <c r="AJ50" s="40">
        <f t="shared" si="96"/>
        <v>0</v>
      </c>
      <c r="AK50" s="39">
        <v>-140254046000</v>
      </c>
      <c r="AL50" s="39">
        <v>140254046000</v>
      </c>
      <c r="AM50" s="40">
        <f t="shared" si="97"/>
        <v>0</v>
      </c>
      <c r="AN50" s="39"/>
      <c r="AO50" s="39"/>
      <c r="AP50" s="40">
        <f t="shared" si="98"/>
        <v>0</v>
      </c>
      <c r="AQ50" s="39"/>
      <c r="AR50" s="39"/>
      <c r="AS50" s="40">
        <f t="shared" si="99"/>
        <v>0</v>
      </c>
      <c r="AT50" s="40">
        <f t="shared" si="147"/>
        <v>0</v>
      </c>
      <c r="AU50" s="40">
        <f t="shared" si="147"/>
        <v>0</v>
      </c>
      <c r="AV50" s="40">
        <f t="shared" si="100"/>
        <v>0</v>
      </c>
      <c r="AW50" s="40">
        <f t="shared" si="101"/>
        <v>-140254046000</v>
      </c>
      <c r="AX50" s="40">
        <f t="shared" si="101"/>
        <v>140254046000</v>
      </c>
      <c r="AY50" s="40">
        <f t="shared" si="102"/>
        <v>0</v>
      </c>
      <c r="AZ50" s="40">
        <f t="shared" si="103"/>
        <v>-140254046000</v>
      </c>
      <c r="BA50" s="40">
        <f t="shared" si="104"/>
        <v>140254046000</v>
      </c>
      <c r="BB50" s="40">
        <f t="shared" si="105"/>
        <v>0</v>
      </c>
      <c r="BC50" s="40">
        <f t="shared" si="106"/>
        <v>0</v>
      </c>
      <c r="BD50" s="40">
        <f t="shared" si="107"/>
        <v>0</v>
      </c>
      <c r="BE50" s="40">
        <f t="shared" si="108"/>
        <v>0</v>
      </c>
      <c r="BF50" s="40">
        <f t="shared" si="109"/>
        <v>0</v>
      </c>
      <c r="BG50" s="40">
        <f t="shared" si="110"/>
        <v>0</v>
      </c>
      <c r="BH50" s="40">
        <f t="shared" si="111"/>
        <v>0</v>
      </c>
      <c r="BI50" s="40">
        <f t="shared" si="112"/>
        <v>0</v>
      </c>
      <c r="BJ50" s="40">
        <f t="shared" si="113"/>
        <v>0</v>
      </c>
      <c r="BK50" s="40">
        <f t="shared" si="114"/>
        <v>0</v>
      </c>
      <c r="BL50" s="40">
        <f t="shared" si="115"/>
        <v>-140254046000</v>
      </c>
      <c r="BM50" s="40">
        <f t="shared" si="116"/>
        <v>140254046000</v>
      </c>
      <c r="BN50" s="40">
        <f t="shared" si="117"/>
        <v>0</v>
      </c>
      <c r="BO50" s="40">
        <f t="shared" si="118"/>
        <v>-140254046000</v>
      </c>
      <c r="BP50" s="40">
        <f t="shared" si="119"/>
        <v>140254046000</v>
      </c>
      <c r="BQ50" s="40">
        <f t="shared" si="120"/>
        <v>0</v>
      </c>
      <c r="BR50" s="40">
        <f t="shared" si="121"/>
        <v>0</v>
      </c>
      <c r="BS50" s="40">
        <f t="shared" si="122"/>
        <v>0</v>
      </c>
      <c r="BT50" s="40">
        <f t="shared" si="123"/>
        <v>0</v>
      </c>
      <c r="BU50" s="40">
        <f t="shared" si="124"/>
        <v>0</v>
      </c>
      <c r="BV50" s="40">
        <f t="shared" si="125"/>
        <v>0</v>
      </c>
      <c r="BW50" s="40">
        <f t="shared" si="126"/>
        <v>0</v>
      </c>
      <c r="BX50" s="40">
        <f t="shared" si="127"/>
        <v>0</v>
      </c>
      <c r="BY50" s="40">
        <f t="shared" si="128"/>
        <v>0</v>
      </c>
      <c r="BZ50" s="40">
        <f t="shared" si="129"/>
        <v>0</v>
      </c>
      <c r="CA50" s="40">
        <f t="shared" si="130"/>
        <v>-140254046000</v>
      </c>
      <c r="CB50" s="40">
        <f t="shared" si="131"/>
        <v>140254046000</v>
      </c>
      <c r="CC50" s="40">
        <f t="shared" si="132"/>
        <v>0</v>
      </c>
    </row>
    <row r="51" spans="1:81" ht="22.5">
      <c r="A51" s="27"/>
      <c r="B51" s="28"/>
      <c r="C51" s="29" t="s">
        <v>113</v>
      </c>
      <c r="D51" s="29" t="s">
        <v>64</v>
      </c>
      <c r="E51" s="29" t="s">
        <v>0</v>
      </c>
      <c r="F51" s="41" t="s">
        <v>55</v>
      </c>
      <c r="G51" s="39"/>
      <c r="H51" s="39"/>
      <c r="I51" s="40">
        <f t="shared" si="85"/>
        <v>0</v>
      </c>
      <c r="J51" s="39"/>
      <c r="K51" s="39"/>
      <c r="L51" s="40">
        <f t="shared" si="86"/>
        <v>0</v>
      </c>
      <c r="M51" s="39"/>
      <c r="N51" s="39"/>
      <c r="O51" s="40">
        <f t="shared" si="87"/>
        <v>0</v>
      </c>
      <c r="P51" s="40">
        <f t="shared" si="145"/>
        <v>0</v>
      </c>
      <c r="Q51" s="40">
        <f t="shared" si="145"/>
        <v>0</v>
      </c>
      <c r="R51" s="40">
        <f t="shared" si="88"/>
        <v>0</v>
      </c>
      <c r="S51" s="40">
        <f t="shared" si="89"/>
        <v>0</v>
      </c>
      <c r="T51" s="40">
        <f t="shared" si="89"/>
        <v>0</v>
      </c>
      <c r="U51" s="40">
        <f t="shared" si="90"/>
        <v>0</v>
      </c>
      <c r="V51" s="39"/>
      <c r="W51" s="39"/>
      <c r="X51" s="40">
        <f t="shared" si="91"/>
        <v>0</v>
      </c>
      <c r="Y51" s="39"/>
      <c r="Z51" s="39"/>
      <c r="AA51" s="40">
        <f t="shared" si="92"/>
        <v>0</v>
      </c>
      <c r="AB51" s="39"/>
      <c r="AC51" s="39"/>
      <c r="AD51" s="40">
        <f t="shared" si="93"/>
        <v>0</v>
      </c>
      <c r="AE51" s="40">
        <f t="shared" si="146"/>
        <v>0</v>
      </c>
      <c r="AF51" s="40">
        <f t="shared" si="146"/>
        <v>0</v>
      </c>
      <c r="AG51" s="40">
        <f t="shared" si="94"/>
        <v>0</v>
      </c>
      <c r="AH51" s="40">
        <f t="shared" si="95"/>
        <v>0</v>
      </c>
      <c r="AI51" s="40">
        <f t="shared" si="95"/>
        <v>0</v>
      </c>
      <c r="AJ51" s="40">
        <f t="shared" si="96"/>
        <v>0</v>
      </c>
      <c r="AK51" s="39"/>
      <c r="AL51" s="39"/>
      <c r="AM51" s="40">
        <f t="shared" si="97"/>
        <v>0</v>
      </c>
      <c r="AN51" s="39"/>
      <c r="AO51" s="39"/>
      <c r="AP51" s="40">
        <f t="shared" si="98"/>
        <v>0</v>
      </c>
      <c r="AQ51" s="39"/>
      <c r="AR51" s="39"/>
      <c r="AS51" s="40">
        <f t="shared" si="99"/>
        <v>0</v>
      </c>
      <c r="AT51" s="40">
        <f t="shared" si="147"/>
        <v>0</v>
      </c>
      <c r="AU51" s="40">
        <f t="shared" si="147"/>
        <v>0</v>
      </c>
      <c r="AV51" s="40">
        <f t="shared" si="100"/>
        <v>0</v>
      </c>
      <c r="AW51" s="40">
        <f t="shared" si="101"/>
        <v>0</v>
      </c>
      <c r="AX51" s="40">
        <f t="shared" si="101"/>
        <v>0</v>
      </c>
      <c r="AY51" s="40">
        <f t="shared" si="102"/>
        <v>0</v>
      </c>
      <c r="AZ51" s="40">
        <f t="shared" si="103"/>
        <v>0</v>
      </c>
      <c r="BA51" s="40">
        <f t="shared" si="104"/>
        <v>0</v>
      </c>
      <c r="BB51" s="40">
        <f t="shared" si="105"/>
        <v>0</v>
      </c>
      <c r="BC51" s="40">
        <f t="shared" si="106"/>
        <v>0</v>
      </c>
      <c r="BD51" s="40">
        <f t="shared" si="107"/>
        <v>0</v>
      </c>
      <c r="BE51" s="40">
        <f t="shared" si="108"/>
        <v>0</v>
      </c>
      <c r="BF51" s="40">
        <f t="shared" si="109"/>
        <v>0</v>
      </c>
      <c r="BG51" s="40">
        <f t="shared" si="110"/>
        <v>0</v>
      </c>
      <c r="BH51" s="40">
        <f t="shared" si="111"/>
        <v>0</v>
      </c>
      <c r="BI51" s="40">
        <f t="shared" si="112"/>
        <v>0</v>
      </c>
      <c r="BJ51" s="40">
        <f t="shared" si="113"/>
        <v>0</v>
      </c>
      <c r="BK51" s="40">
        <f t="shared" si="114"/>
        <v>0</v>
      </c>
      <c r="BL51" s="40">
        <f t="shared" si="115"/>
        <v>0</v>
      </c>
      <c r="BM51" s="40">
        <f t="shared" si="116"/>
        <v>0</v>
      </c>
      <c r="BN51" s="40">
        <f t="shared" si="117"/>
        <v>0</v>
      </c>
      <c r="BO51" s="40">
        <f t="shared" si="118"/>
        <v>0</v>
      </c>
      <c r="BP51" s="40">
        <f t="shared" si="119"/>
        <v>0</v>
      </c>
      <c r="BQ51" s="40">
        <f t="shared" si="120"/>
        <v>0</v>
      </c>
      <c r="BR51" s="40">
        <f t="shared" si="121"/>
        <v>0</v>
      </c>
      <c r="BS51" s="40">
        <f t="shared" si="122"/>
        <v>0</v>
      </c>
      <c r="BT51" s="40">
        <f t="shared" si="123"/>
        <v>0</v>
      </c>
      <c r="BU51" s="40">
        <f t="shared" si="124"/>
        <v>0</v>
      </c>
      <c r="BV51" s="40">
        <f t="shared" si="125"/>
        <v>0</v>
      </c>
      <c r="BW51" s="40">
        <f t="shared" si="126"/>
        <v>0</v>
      </c>
      <c r="BX51" s="40">
        <f t="shared" si="127"/>
        <v>0</v>
      </c>
      <c r="BY51" s="40">
        <f t="shared" si="128"/>
        <v>0</v>
      </c>
      <c r="BZ51" s="40">
        <f t="shared" si="129"/>
        <v>0</v>
      </c>
      <c r="CA51" s="40">
        <f t="shared" si="130"/>
        <v>0</v>
      </c>
      <c r="CB51" s="40">
        <f t="shared" si="131"/>
        <v>0</v>
      </c>
      <c r="CC51" s="40">
        <f t="shared" si="132"/>
        <v>0</v>
      </c>
    </row>
    <row r="52" spans="1:81">
      <c r="A52" s="27"/>
      <c r="B52" s="28"/>
      <c r="C52" s="29" t="s">
        <v>114</v>
      </c>
      <c r="D52" s="29" t="s">
        <v>64</v>
      </c>
      <c r="E52" s="29" t="s">
        <v>0</v>
      </c>
      <c r="F52" s="41" t="s">
        <v>50</v>
      </c>
      <c r="G52" s="39"/>
      <c r="H52" s="39"/>
      <c r="I52" s="40">
        <f t="shared" si="85"/>
        <v>0</v>
      </c>
      <c r="J52" s="39"/>
      <c r="K52" s="39"/>
      <c r="L52" s="40">
        <f t="shared" si="86"/>
        <v>0</v>
      </c>
      <c r="M52" s="39"/>
      <c r="N52" s="39"/>
      <c r="O52" s="40">
        <f t="shared" si="87"/>
        <v>0</v>
      </c>
      <c r="P52" s="40">
        <f t="shared" si="145"/>
        <v>0</v>
      </c>
      <c r="Q52" s="40">
        <f t="shared" si="145"/>
        <v>0</v>
      </c>
      <c r="R52" s="40">
        <f t="shared" si="88"/>
        <v>0</v>
      </c>
      <c r="S52" s="40">
        <f t="shared" si="89"/>
        <v>0</v>
      </c>
      <c r="T52" s="40">
        <f t="shared" si="89"/>
        <v>0</v>
      </c>
      <c r="U52" s="40">
        <f t="shared" si="90"/>
        <v>0</v>
      </c>
      <c r="V52" s="39"/>
      <c r="W52" s="39"/>
      <c r="X52" s="40">
        <f t="shared" si="91"/>
        <v>0</v>
      </c>
      <c r="Y52" s="39"/>
      <c r="Z52" s="39"/>
      <c r="AA52" s="40">
        <f t="shared" si="92"/>
        <v>0</v>
      </c>
      <c r="AB52" s="39"/>
      <c r="AC52" s="39"/>
      <c r="AD52" s="40">
        <f t="shared" si="93"/>
        <v>0</v>
      </c>
      <c r="AE52" s="40">
        <f t="shared" si="146"/>
        <v>0</v>
      </c>
      <c r="AF52" s="40">
        <f t="shared" si="146"/>
        <v>0</v>
      </c>
      <c r="AG52" s="40">
        <f t="shared" si="94"/>
        <v>0</v>
      </c>
      <c r="AH52" s="40">
        <f t="shared" si="95"/>
        <v>0</v>
      </c>
      <c r="AI52" s="40">
        <f t="shared" si="95"/>
        <v>0</v>
      </c>
      <c r="AJ52" s="40">
        <f t="shared" si="96"/>
        <v>0</v>
      </c>
      <c r="AK52" s="39"/>
      <c r="AL52" s="39"/>
      <c r="AM52" s="40">
        <f t="shared" si="97"/>
        <v>0</v>
      </c>
      <c r="AN52" s="39"/>
      <c r="AO52" s="39"/>
      <c r="AP52" s="40">
        <f t="shared" si="98"/>
        <v>0</v>
      </c>
      <c r="AQ52" s="39"/>
      <c r="AR52" s="39"/>
      <c r="AS52" s="40">
        <f t="shared" si="99"/>
        <v>0</v>
      </c>
      <c r="AT52" s="40">
        <f t="shared" si="147"/>
        <v>0</v>
      </c>
      <c r="AU52" s="40">
        <f t="shared" si="147"/>
        <v>0</v>
      </c>
      <c r="AV52" s="40">
        <f t="shared" si="100"/>
        <v>0</v>
      </c>
      <c r="AW52" s="40">
        <f t="shared" si="101"/>
        <v>0</v>
      </c>
      <c r="AX52" s="40">
        <f t="shared" si="101"/>
        <v>0</v>
      </c>
      <c r="AY52" s="40">
        <f t="shared" si="102"/>
        <v>0</v>
      </c>
      <c r="AZ52" s="40">
        <f t="shared" si="103"/>
        <v>0</v>
      </c>
      <c r="BA52" s="40">
        <f t="shared" si="104"/>
        <v>0</v>
      </c>
      <c r="BB52" s="40">
        <f t="shared" si="105"/>
        <v>0</v>
      </c>
      <c r="BC52" s="40">
        <f t="shared" si="106"/>
        <v>0</v>
      </c>
      <c r="BD52" s="40">
        <f t="shared" si="107"/>
        <v>0</v>
      </c>
      <c r="BE52" s="40">
        <f t="shared" si="108"/>
        <v>0</v>
      </c>
      <c r="BF52" s="40">
        <f t="shared" si="109"/>
        <v>0</v>
      </c>
      <c r="BG52" s="40">
        <f t="shared" si="110"/>
        <v>0</v>
      </c>
      <c r="BH52" s="40">
        <f t="shared" si="111"/>
        <v>0</v>
      </c>
      <c r="BI52" s="40">
        <f t="shared" si="112"/>
        <v>0</v>
      </c>
      <c r="BJ52" s="40">
        <f t="shared" si="113"/>
        <v>0</v>
      </c>
      <c r="BK52" s="40">
        <f t="shared" si="114"/>
        <v>0</v>
      </c>
      <c r="BL52" s="40">
        <f t="shared" si="115"/>
        <v>0</v>
      </c>
      <c r="BM52" s="40">
        <f t="shared" si="116"/>
        <v>0</v>
      </c>
      <c r="BN52" s="40">
        <f t="shared" si="117"/>
        <v>0</v>
      </c>
      <c r="BO52" s="40">
        <f t="shared" si="118"/>
        <v>0</v>
      </c>
      <c r="BP52" s="40">
        <f t="shared" si="119"/>
        <v>0</v>
      </c>
      <c r="BQ52" s="40">
        <f t="shared" si="120"/>
        <v>0</v>
      </c>
      <c r="BR52" s="40">
        <f t="shared" si="121"/>
        <v>0</v>
      </c>
      <c r="BS52" s="40">
        <f t="shared" si="122"/>
        <v>0</v>
      </c>
      <c r="BT52" s="40">
        <f t="shared" si="123"/>
        <v>0</v>
      </c>
      <c r="BU52" s="40">
        <f t="shared" si="124"/>
        <v>0</v>
      </c>
      <c r="BV52" s="40">
        <f t="shared" si="125"/>
        <v>0</v>
      </c>
      <c r="BW52" s="40">
        <f t="shared" si="126"/>
        <v>0</v>
      </c>
      <c r="BX52" s="40">
        <f t="shared" si="127"/>
        <v>0</v>
      </c>
      <c r="BY52" s="40">
        <f t="shared" si="128"/>
        <v>0</v>
      </c>
      <c r="BZ52" s="40">
        <f t="shared" si="129"/>
        <v>0</v>
      </c>
      <c r="CA52" s="40">
        <f t="shared" si="130"/>
        <v>0</v>
      </c>
      <c r="CB52" s="40">
        <f t="shared" si="131"/>
        <v>0</v>
      </c>
      <c r="CC52" s="40">
        <f t="shared" si="132"/>
        <v>0</v>
      </c>
    </row>
    <row r="53" spans="1:81" ht="22.5">
      <c r="A53" s="27"/>
      <c r="B53" s="28"/>
      <c r="C53" s="29" t="s">
        <v>115</v>
      </c>
      <c r="D53" s="29" t="s">
        <v>64</v>
      </c>
      <c r="E53" s="29" t="s">
        <v>0</v>
      </c>
      <c r="F53" s="41" t="s">
        <v>51</v>
      </c>
      <c r="G53" s="39"/>
      <c r="H53" s="39"/>
      <c r="I53" s="40">
        <f t="shared" si="85"/>
        <v>0</v>
      </c>
      <c r="J53" s="39"/>
      <c r="K53" s="39"/>
      <c r="L53" s="40">
        <f t="shared" si="86"/>
        <v>0</v>
      </c>
      <c r="M53" s="39"/>
      <c r="N53" s="39"/>
      <c r="O53" s="40">
        <f t="shared" si="87"/>
        <v>0</v>
      </c>
      <c r="P53" s="40">
        <f t="shared" si="145"/>
        <v>0</v>
      </c>
      <c r="Q53" s="40">
        <f t="shared" si="145"/>
        <v>0</v>
      </c>
      <c r="R53" s="40">
        <f t="shared" si="88"/>
        <v>0</v>
      </c>
      <c r="S53" s="40">
        <f t="shared" si="89"/>
        <v>0</v>
      </c>
      <c r="T53" s="40">
        <f t="shared" si="89"/>
        <v>0</v>
      </c>
      <c r="U53" s="40">
        <f t="shared" si="90"/>
        <v>0</v>
      </c>
      <c r="V53" s="39"/>
      <c r="W53" s="39"/>
      <c r="X53" s="40">
        <f t="shared" si="91"/>
        <v>0</v>
      </c>
      <c r="Y53" s="39"/>
      <c r="Z53" s="39"/>
      <c r="AA53" s="40">
        <f t="shared" si="92"/>
        <v>0</v>
      </c>
      <c r="AB53" s="39"/>
      <c r="AC53" s="39"/>
      <c r="AD53" s="40">
        <f t="shared" si="93"/>
        <v>0</v>
      </c>
      <c r="AE53" s="40">
        <f t="shared" si="146"/>
        <v>0</v>
      </c>
      <c r="AF53" s="40">
        <f t="shared" si="146"/>
        <v>0</v>
      </c>
      <c r="AG53" s="40">
        <f t="shared" si="94"/>
        <v>0</v>
      </c>
      <c r="AH53" s="40">
        <f t="shared" si="95"/>
        <v>0</v>
      </c>
      <c r="AI53" s="40">
        <f t="shared" si="95"/>
        <v>0</v>
      </c>
      <c r="AJ53" s="40">
        <f t="shared" si="96"/>
        <v>0</v>
      </c>
      <c r="AK53" s="39"/>
      <c r="AL53" s="39"/>
      <c r="AM53" s="40">
        <f t="shared" si="97"/>
        <v>0</v>
      </c>
      <c r="AN53" s="39"/>
      <c r="AO53" s="39"/>
      <c r="AP53" s="40">
        <f t="shared" si="98"/>
        <v>0</v>
      </c>
      <c r="AQ53" s="39"/>
      <c r="AR53" s="39"/>
      <c r="AS53" s="40">
        <f t="shared" si="99"/>
        <v>0</v>
      </c>
      <c r="AT53" s="40">
        <f t="shared" si="147"/>
        <v>0</v>
      </c>
      <c r="AU53" s="40">
        <f t="shared" si="147"/>
        <v>0</v>
      </c>
      <c r="AV53" s="40">
        <f t="shared" si="100"/>
        <v>0</v>
      </c>
      <c r="AW53" s="40">
        <f t="shared" si="101"/>
        <v>0</v>
      </c>
      <c r="AX53" s="40">
        <f t="shared" si="101"/>
        <v>0</v>
      </c>
      <c r="AY53" s="40">
        <f t="shared" si="102"/>
        <v>0</v>
      </c>
      <c r="AZ53" s="40">
        <f t="shared" si="103"/>
        <v>0</v>
      </c>
      <c r="BA53" s="40">
        <f t="shared" si="104"/>
        <v>0</v>
      </c>
      <c r="BB53" s="40">
        <f t="shared" si="105"/>
        <v>0</v>
      </c>
      <c r="BC53" s="40">
        <f t="shared" si="106"/>
        <v>0</v>
      </c>
      <c r="BD53" s="40">
        <f t="shared" si="107"/>
        <v>0</v>
      </c>
      <c r="BE53" s="40">
        <f t="shared" si="108"/>
        <v>0</v>
      </c>
      <c r="BF53" s="40">
        <f t="shared" si="109"/>
        <v>0</v>
      </c>
      <c r="BG53" s="40">
        <f t="shared" si="110"/>
        <v>0</v>
      </c>
      <c r="BH53" s="40">
        <f t="shared" si="111"/>
        <v>0</v>
      </c>
      <c r="BI53" s="40">
        <f t="shared" si="112"/>
        <v>0</v>
      </c>
      <c r="BJ53" s="40">
        <f t="shared" si="113"/>
        <v>0</v>
      </c>
      <c r="BK53" s="40">
        <f t="shared" si="114"/>
        <v>0</v>
      </c>
      <c r="BL53" s="40">
        <f t="shared" si="115"/>
        <v>0</v>
      </c>
      <c r="BM53" s="40">
        <f t="shared" si="116"/>
        <v>0</v>
      </c>
      <c r="BN53" s="40">
        <f t="shared" si="117"/>
        <v>0</v>
      </c>
      <c r="BO53" s="40">
        <f t="shared" si="118"/>
        <v>0</v>
      </c>
      <c r="BP53" s="40">
        <f t="shared" si="119"/>
        <v>0</v>
      </c>
      <c r="BQ53" s="40">
        <f t="shared" si="120"/>
        <v>0</v>
      </c>
      <c r="BR53" s="40">
        <f t="shared" si="121"/>
        <v>0</v>
      </c>
      <c r="BS53" s="40">
        <f t="shared" si="122"/>
        <v>0</v>
      </c>
      <c r="BT53" s="40">
        <f t="shared" si="123"/>
        <v>0</v>
      </c>
      <c r="BU53" s="40">
        <f t="shared" si="124"/>
        <v>0</v>
      </c>
      <c r="BV53" s="40">
        <f t="shared" si="125"/>
        <v>0</v>
      </c>
      <c r="BW53" s="40">
        <f t="shared" si="126"/>
        <v>0</v>
      </c>
      <c r="BX53" s="40">
        <f t="shared" si="127"/>
        <v>0</v>
      </c>
      <c r="BY53" s="40">
        <f t="shared" si="128"/>
        <v>0</v>
      </c>
      <c r="BZ53" s="40">
        <f t="shared" si="129"/>
        <v>0</v>
      </c>
      <c r="CA53" s="40">
        <f t="shared" si="130"/>
        <v>0</v>
      </c>
      <c r="CB53" s="40">
        <f t="shared" si="131"/>
        <v>0</v>
      </c>
      <c r="CC53" s="40">
        <f t="shared" si="132"/>
        <v>0</v>
      </c>
    </row>
    <row r="54" spans="1:81">
      <c r="A54" s="27"/>
      <c r="B54" s="28"/>
      <c r="C54" s="29" t="s">
        <v>116</v>
      </c>
      <c r="D54" s="29" t="s">
        <v>64</v>
      </c>
      <c r="E54" s="29" t="s">
        <v>0</v>
      </c>
      <c r="F54" s="41" t="s">
        <v>52</v>
      </c>
      <c r="G54" s="39"/>
      <c r="H54" s="39"/>
      <c r="I54" s="40">
        <f t="shared" si="85"/>
        <v>0</v>
      </c>
      <c r="J54" s="39"/>
      <c r="K54" s="39"/>
      <c r="L54" s="40">
        <f t="shared" si="86"/>
        <v>0</v>
      </c>
      <c r="M54" s="39"/>
      <c r="N54" s="39"/>
      <c r="O54" s="40">
        <f t="shared" si="87"/>
        <v>0</v>
      </c>
      <c r="P54" s="40">
        <f t="shared" si="145"/>
        <v>0</v>
      </c>
      <c r="Q54" s="40">
        <f t="shared" si="145"/>
        <v>0</v>
      </c>
      <c r="R54" s="40">
        <f t="shared" si="88"/>
        <v>0</v>
      </c>
      <c r="S54" s="40">
        <f t="shared" si="89"/>
        <v>0</v>
      </c>
      <c r="T54" s="40">
        <f t="shared" si="89"/>
        <v>0</v>
      </c>
      <c r="U54" s="40">
        <f t="shared" si="90"/>
        <v>0</v>
      </c>
      <c r="V54" s="39"/>
      <c r="W54" s="39"/>
      <c r="X54" s="40">
        <f t="shared" si="91"/>
        <v>0</v>
      </c>
      <c r="Y54" s="39"/>
      <c r="Z54" s="39"/>
      <c r="AA54" s="40">
        <f t="shared" si="92"/>
        <v>0</v>
      </c>
      <c r="AB54" s="39"/>
      <c r="AC54" s="39"/>
      <c r="AD54" s="40">
        <f t="shared" si="93"/>
        <v>0</v>
      </c>
      <c r="AE54" s="40">
        <f t="shared" si="146"/>
        <v>0</v>
      </c>
      <c r="AF54" s="40">
        <f t="shared" si="146"/>
        <v>0</v>
      </c>
      <c r="AG54" s="40">
        <f t="shared" si="94"/>
        <v>0</v>
      </c>
      <c r="AH54" s="40">
        <f t="shared" si="95"/>
        <v>0</v>
      </c>
      <c r="AI54" s="40">
        <f t="shared" si="95"/>
        <v>0</v>
      </c>
      <c r="AJ54" s="40">
        <f t="shared" si="96"/>
        <v>0</v>
      </c>
      <c r="AK54" s="39">
        <v>-482685000</v>
      </c>
      <c r="AL54" s="39">
        <v>-1358017000</v>
      </c>
      <c r="AM54" s="40">
        <f t="shared" si="97"/>
        <v>-1840702000</v>
      </c>
      <c r="AN54" s="39"/>
      <c r="AO54" s="39"/>
      <c r="AP54" s="40">
        <f t="shared" si="98"/>
        <v>0</v>
      </c>
      <c r="AQ54" s="39"/>
      <c r="AR54" s="39"/>
      <c r="AS54" s="40">
        <f t="shared" si="99"/>
        <v>0</v>
      </c>
      <c r="AT54" s="40">
        <f t="shared" si="147"/>
        <v>0</v>
      </c>
      <c r="AU54" s="40">
        <f t="shared" si="147"/>
        <v>0</v>
      </c>
      <c r="AV54" s="40">
        <f t="shared" si="100"/>
        <v>0</v>
      </c>
      <c r="AW54" s="40">
        <f t="shared" si="101"/>
        <v>-482685000</v>
      </c>
      <c r="AX54" s="40">
        <f t="shared" si="101"/>
        <v>-1358017000</v>
      </c>
      <c r="AY54" s="40">
        <f t="shared" si="102"/>
        <v>-1840702000</v>
      </c>
      <c r="AZ54" s="40">
        <f t="shared" si="103"/>
        <v>-482685000</v>
      </c>
      <c r="BA54" s="40">
        <f t="shared" si="104"/>
        <v>-1358017000</v>
      </c>
      <c r="BB54" s="40">
        <f t="shared" si="105"/>
        <v>-1840702000</v>
      </c>
      <c r="BC54" s="40">
        <f t="shared" si="106"/>
        <v>0</v>
      </c>
      <c r="BD54" s="40">
        <f t="shared" si="107"/>
        <v>0</v>
      </c>
      <c r="BE54" s="40">
        <f t="shared" si="108"/>
        <v>0</v>
      </c>
      <c r="BF54" s="40">
        <f t="shared" si="109"/>
        <v>0</v>
      </c>
      <c r="BG54" s="40">
        <f t="shared" si="110"/>
        <v>0</v>
      </c>
      <c r="BH54" s="40">
        <f t="shared" si="111"/>
        <v>0</v>
      </c>
      <c r="BI54" s="40">
        <f t="shared" si="112"/>
        <v>0</v>
      </c>
      <c r="BJ54" s="40">
        <f t="shared" si="113"/>
        <v>0</v>
      </c>
      <c r="BK54" s="40">
        <f t="shared" si="114"/>
        <v>0</v>
      </c>
      <c r="BL54" s="40">
        <f t="shared" si="115"/>
        <v>-482685000</v>
      </c>
      <c r="BM54" s="40">
        <f t="shared" si="116"/>
        <v>-1358017000</v>
      </c>
      <c r="BN54" s="40">
        <f t="shared" si="117"/>
        <v>-1840702000</v>
      </c>
      <c r="BO54" s="40">
        <f t="shared" si="118"/>
        <v>-482685000</v>
      </c>
      <c r="BP54" s="40">
        <f t="shared" si="119"/>
        <v>-1358017000</v>
      </c>
      <c r="BQ54" s="40">
        <f t="shared" si="120"/>
        <v>-1840702000</v>
      </c>
      <c r="BR54" s="40">
        <f t="shared" si="121"/>
        <v>0</v>
      </c>
      <c r="BS54" s="40">
        <f t="shared" si="122"/>
        <v>0</v>
      </c>
      <c r="BT54" s="40">
        <f t="shared" si="123"/>
        <v>0</v>
      </c>
      <c r="BU54" s="40">
        <f t="shared" si="124"/>
        <v>0</v>
      </c>
      <c r="BV54" s="40">
        <f t="shared" si="125"/>
        <v>0</v>
      </c>
      <c r="BW54" s="40">
        <f t="shared" si="126"/>
        <v>0</v>
      </c>
      <c r="BX54" s="40">
        <f t="shared" si="127"/>
        <v>0</v>
      </c>
      <c r="BY54" s="40">
        <f t="shared" si="128"/>
        <v>0</v>
      </c>
      <c r="BZ54" s="40">
        <f t="shared" si="129"/>
        <v>0</v>
      </c>
      <c r="CA54" s="40">
        <f t="shared" si="130"/>
        <v>-482685000</v>
      </c>
      <c r="CB54" s="40">
        <f t="shared" si="131"/>
        <v>-1358017000</v>
      </c>
      <c r="CC54" s="40">
        <f t="shared" si="132"/>
        <v>-1840702000</v>
      </c>
    </row>
    <row r="55" spans="1:81">
      <c r="A55" s="27"/>
      <c r="B55" s="28"/>
      <c r="C55" s="29" t="s">
        <v>117</v>
      </c>
      <c r="D55" s="29" t="s">
        <v>64</v>
      </c>
      <c r="E55" s="29" t="s">
        <v>0</v>
      </c>
      <c r="F55" s="30" t="s">
        <v>53</v>
      </c>
      <c r="G55" s="40">
        <f>G54-G53-G52+G51+G50+G49+G48-G47-G46+G45+G44+G43</f>
        <v>0</v>
      </c>
      <c r="H55" s="40">
        <f>H54-H53-H52+H51+H50+H49+H48-H47-H46+H45+H44+H43</f>
        <v>0</v>
      </c>
      <c r="I55" s="40">
        <f t="shared" si="85"/>
        <v>0</v>
      </c>
      <c r="J55" s="40">
        <f>J54-J53-J52+J51+J50+J49+J48-J47-J46+J45+J44+J43</f>
        <v>0</v>
      </c>
      <c r="K55" s="40">
        <f>K54-K53-K52+K51+K50+K49+K48-K47-K46+K45+K44+K43</f>
        <v>0</v>
      </c>
      <c r="L55" s="40">
        <f t="shared" si="86"/>
        <v>0</v>
      </c>
      <c r="M55" s="40">
        <f>M54-M53-M52+M51+M50+M49+M48-M47-M46+M45+M44+M43</f>
        <v>0</v>
      </c>
      <c r="N55" s="40">
        <f>N54-N53-N52+N51+N50+N49+N48-N47-N46+N45+N44+N43</f>
        <v>0</v>
      </c>
      <c r="O55" s="40">
        <f t="shared" si="87"/>
        <v>0</v>
      </c>
      <c r="P55" s="40">
        <f>P54-P53-P52+P51+P50+P49+P48-P47-P46+P45+P44+P43</f>
        <v>0</v>
      </c>
      <c r="Q55" s="40">
        <f>Q54-Q53-Q52+Q51+Q50+Q49+Q48-Q47-Q46+Q45+Q44+Q43</f>
        <v>0</v>
      </c>
      <c r="R55" s="40">
        <f t="shared" si="88"/>
        <v>0</v>
      </c>
      <c r="S55" s="40">
        <f t="shared" si="89"/>
        <v>0</v>
      </c>
      <c r="T55" s="40">
        <f t="shared" si="89"/>
        <v>0</v>
      </c>
      <c r="U55" s="40">
        <f t="shared" si="90"/>
        <v>0</v>
      </c>
      <c r="V55" s="40">
        <f>V54-V53-V52+V51+V50+V49+V48-V47-V46+V45+V44+V43</f>
        <v>0</v>
      </c>
      <c r="W55" s="40">
        <f>W54-W53-W52+W51+W50+W49+W48-W47-W46+W45+W44+W43</f>
        <v>0</v>
      </c>
      <c r="X55" s="40">
        <f t="shared" si="91"/>
        <v>0</v>
      </c>
      <c r="Y55" s="40">
        <f>Y54-Y53-Y52+Y51+Y50+Y49+Y48-Y47-Y46+Y45+Y44+Y43</f>
        <v>0</v>
      </c>
      <c r="Z55" s="40">
        <f>Z54-Z53-Z52+Z51+Z50+Z49+Z48-Z47-Z46+Z45+Z44+Z43</f>
        <v>0</v>
      </c>
      <c r="AA55" s="40">
        <f t="shared" si="92"/>
        <v>0</v>
      </c>
      <c r="AB55" s="40">
        <f>AB54-AB53-AB52+AB51+AB50+AB49+AB48-AB47-AB46+AB45+AB44+AB43</f>
        <v>0</v>
      </c>
      <c r="AC55" s="40">
        <f>AC54-AC53-AC52+AC51+AC50+AC49+AC48-AC47-AC46+AC45+AC44+AC43</f>
        <v>0</v>
      </c>
      <c r="AD55" s="40">
        <f t="shared" si="93"/>
        <v>0</v>
      </c>
      <c r="AE55" s="40">
        <f>AE54-AE53-AE52+AE51+AE50+AE49+AE48-AE47-AE46+AE45+AE44+AE43</f>
        <v>0</v>
      </c>
      <c r="AF55" s="40">
        <f>AF54-AF53-AF52+AF51+AF50+AF49+AF48-AF47-AF46+AF45+AF44+AF43</f>
        <v>0</v>
      </c>
      <c r="AG55" s="40">
        <f t="shared" si="94"/>
        <v>0</v>
      </c>
      <c r="AH55" s="40">
        <f t="shared" si="95"/>
        <v>0</v>
      </c>
      <c r="AI55" s="40">
        <f t="shared" si="95"/>
        <v>0</v>
      </c>
      <c r="AJ55" s="40">
        <f t="shared" si="96"/>
        <v>0</v>
      </c>
      <c r="AK55" s="40">
        <f>AK54-AK53-AK52+AK51+AK50+AK49+AK48-AK47-AK46+AK45+AK44+AK43</f>
        <v>-82644237000</v>
      </c>
      <c r="AL55" s="40">
        <f>AL54-AL53-AL52+AL51+AL50+AL49+AL48-AL47-AL46+AL45+AL44+AL43</f>
        <v>225436779000</v>
      </c>
      <c r="AM55" s="40">
        <f t="shared" si="97"/>
        <v>142792542000</v>
      </c>
      <c r="AN55" s="40">
        <f>AN54-AN53-AN52+AN51+AN50+AN49+AN48-AN47-AN46+AN45+AN44+AN43</f>
        <v>0</v>
      </c>
      <c r="AO55" s="40">
        <f>AO54-AO53-AO52+AO51+AO50+AO49+AO48-AO47-AO46+AO45+AO44+AO43</f>
        <v>0</v>
      </c>
      <c r="AP55" s="40">
        <f t="shared" si="98"/>
        <v>0</v>
      </c>
      <c r="AQ55" s="40">
        <f>AQ54-AQ53-AQ52+AQ51+AQ50+AQ49+AQ48-AQ47-AQ46+AQ45+AQ44+AQ43</f>
        <v>0</v>
      </c>
      <c r="AR55" s="40">
        <f>AR54-AR53-AR52+AR51+AR50+AR49+AR48-AR47-AR46+AR45+AR44+AR43</f>
        <v>0</v>
      </c>
      <c r="AS55" s="40">
        <f t="shared" si="99"/>
        <v>0</v>
      </c>
      <c r="AT55" s="40">
        <f>AT54-AT53-AT52+AT51+AT50+AT49+AT48-AT47-AT46+AT45+AT44+AT43</f>
        <v>0</v>
      </c>
      <c r="AU55" s="40">
        <f>AU54-AU53-AU52+AU51+AU50+AU49+AU48-AU47-AU46+AU45+AU44+AU43</f>
        <v>0</v>
      </c>
      <c r="AV55" s="40">
        <f t="shared" si="100"/>
        <v>0</v>
      </c>
      <c r="AW55" s="40">
        <f t="shared" si="101"/>
        <v>-82644237000</v>
      </c>
      <c r="AX55" s="40">
        <f t="shared" si="101"/>
        <v>225436779000</v>
      </c>
      <c r="AY55" s="40">
        <f t="shared" si="102"/>
        <v>142792542000</v>
      </c>
      <c r="AZ55" s="40">
        <f t="shared" si="103"/>
        <v>-82644237000</v>
      </c>
      <c r="BA55" s="40">
        <f t="shared" si="104"/>
        <v>225436779000</v>
      </c>
      <c r="BB55" s="40">
        <f t="shared" si="105"/>
        <v>142792542000</v>
      </c>
      <c r="BC55" s="40">
        <f t="shared" si="106"/>
        <v>0</v>
      </c>
      <c r="BD55" s="40">
        <f t="shared" si="107"/>
        <v>0</v>
      </c>
      <c r="BE55" s="40">
        <f t="shared" si="108"/>
        <v>0</v>
      </c>
      <c r="BF55" s="40">
        <f t="shared" si="109"/>
        <v>0</v>
      </c>
      <c r="BG55" s="40">
        <f t="shared" si="110"/>
        <v>0</v>
      </c>
      <c r="BH55" s="40">
        <f t="shared" si="111"/>
        <v>0</v>
      </c>
      <c r="BI55" s="40">
        <f t="shared" si="112"/>
        <v>0</v>
      </c>
      <c r="BJ55" s="40">
        <f t="shared" si="113"/>
        <v>0</v>
      </c>
      <c r="BK55" s="40">
        <f t="shared" si="114"/>
        <v>0</v>
      </c>
      <c r="BL55" s="40">
        <f t="shared" si="115"/>
        <v>-82644237000</v>
      </c>
      <c r="BM55" s="40">
        <f t="shared" si="116"/>
        <v>225436779000</v>
      </c>
      <c r="BN55" s="40">
        <f t="shared" si="117"/>
        <v>142792542000</v>
      </c>
      <c r="BO55" s="40">
        <f t="shared" si="118"/>
        <v>-82644237000</v>
      </c>
      <c r="BP55" s="40">
        <f t="shared" si="119"/>
        <v>225436779000</v>
      </c>
      <c r="BQ55" s="40">
        <f t="shared" si="120"/>
        <v>142792542000</v>
      </c>
      <c r="BR55" s="40">
        <f t="shared" si="121"/>
        <v>0</v>
      </c>
      <c r="BS55" s="40">
        <f t="shared" si="122"/>
        <v>0</v>
      </c>
      <c r="BT55" s="40">
        <f t="shared" si="123"/>
        <v>0</v>
      </c>
      <c r="BU55" s="40">
        <f t="shared" si="124"/>
        <v>0</v>
      </c>
      <c r="BV55" s="40">
        <f t="shared" si="125"/>
        <v>0</v>
      </c>
      <c r="BW55" s="40">
        <f t="shared" si="126"/>
        <v>0</v>
      </c>
      <c r="BX55" s="40">
        <f t="shared" si="127"/>
        <v>0</v>
      </c>
      <c r="BY55" s="40">
        <f t="shared" si="128"/>
        <v>0</v>
      </c>
      <c r="BZ55" s="40">
        <f t="shared" si="129"/>
        <v>0</v>
      </c>
      <c r="CA55" s="40">
        <f t="shared" si="130"/>
        <v>-82644237000</v>
      </c>
      <c r="CB55" s="40">
        <f t="shared" si="131"/>
        <v>225436779000</v>
      </c>
      <c r="CC55" s="40">
        <f t="shared" si="132"/>
        <v>142792542000</v>
      </c>
    </row>
    <row r="56" spans="1:81">
      <c r="A56" s="27" t="s">
        <v>4</v>
      </c>
      <c r="B56" s="28"/>
      <c r="C56" s="29" t="s">
        <v>102</v>
      </c>
      <c r="D56" s="29" t="s">
        <v>1</v>
      </c>
      <c r="E56" s="29" t="s">
        <v>0</v>
      </c>
      <c r="F56" s="49" t="s">
        <v>150</v>
      </c>
      <c r="G56" s="40">
        <f t="shared" ref="G56:AY56" si="148">G38+G55</f>
        <v>0</v>
      </c>
      <c r="H56" s="40">
        <f t="shared" si="148"/>
        <v>0</v>
      </c>
      <c r="I56" s="40">
        <f t="shared" si="148"/>
        <v>0</v>
      </c>
      <c r="J56" s="40">
        <f t="shared" si="148"/>
        <v>0</v>
      </c>
      <c r="K56" s="40">
        <f t="shared" si="148"/>
        <v>0</v>
      </c>
      <c r="L56" s="40">
        <f t="shared" si="148"/>
        <v>0</v>
      </c>
      <c r="M56" s="40">
        <f t="shared" si="148"/>
        <v>0</v>
      </c>
      <c r="N56" s="40">
        <f t="shared" si="148"/>
        <v>0</v>
      </c>
      <c r="O56" s="40">
        <f t="shared" si="148"/>
        <v>0</v>
      </c>
      <c r="P56" s="40">
        <f t="shared" si="148"/>
        <v>0</v>
      </c>
      <c r="Q56" s="40">
        <f t="shared" si="148"/>
        <v>0</v>
      </c>
      <c r="R56" s="40">
        <f t="shared" si="148"/>
        <v>0</v>
      </c>
      <c r="S56" s="40">
        <f t="shared" si="148"/>
        <v>0</v>
      </c>
      <c r="T56" s="40">
        <f t="shared" si="148"/>
        <v>0</v>
      </c>
      <c r="U56" s="40">
        <f t="shared" si="148"/>
        <v>0</v>
      </c>
      <c r="V56" s="40">
        <f t="shared" si="148"/>
        <v>0</v>
      </c>
      <c r="W56" s="40">
        <f t="shared" si="148"/>
        <v>0</v>
      </c>
      <c r="X56" s="40">
        <f t="shared" si="148"/>
        <v>0</v>
      </c>
      <c r="Y56" s="40">
        <f t="shared" si="148"/>
        <v>0</v>
      </c>
      <c r="Z56" s="40">
        <f t="shared" si="148"/>
        <v>0</v>
      </c>
      <c r="AA56" s="40">
        <f t="shared" si="148"/>
        <v>0</v>
      </c>
      <c r="AB56" s="40">
        <f t="shared" si="148"/>
        <v>0</v>
      </c>
      <c r="AC56" s="40">
        <f t="shared" si="148"/>
        <v>0</v>
      </c>
      <c r="AD56" s="40">
        <f t="shared" si="148"/>
        <v>0</v>
      </c>
      <c r="AE56" s="40">
        <f t="shared" si="148"/>
        <v>0</v>
      </c>
      <c r="AF56" s="40">
        <f t="shared" si="148"/>
        <v>0</v>
      </c>
      <c r="AG56" s="40">
        <f t="shared" si="148"/>
        <v>0</v>
      </c>
      <c r="AH56" s="40">
        <f t="shared" si="148"/>
        <v>0</v>
      </c>
      <c r="AI56" s="40">
        <f t="shared" si="148"/>
        <v>0</v>
      </c>
      <c r="AJ56" s="40">
        <f t="shared" si="148"/>
        <v>0</v>
      </c>
      <c r="AK56" s="40">
        <f t="shared" si="148"/>
        <v>92351912000</v>
      </c>
      <c r="AL56" s="40">
        <f t="shared" si="148"/>
        <v>998279510000</v>
      </c>
      <c r="AM56" s="40">
        <f t="shared" si="148"/>
        <v>1090631422000</v>
      </c>
      <c r="AN56" s="40">
        <f t="shared" si="148"/>
        <v>0</v>
      </c>
      <c r="AO56" s="40">
        <f t="shared" si="148"/>
        <v>0</v>
      </c>
      <c r="AP56" s="40">
        <f t="shared" si="148"/>
        <v>0</v>
      </c>
      <c r="AQ56" s="40">
        <f t="shared" si="148"/>
        <v>0</v>
      </c>
      <c r="AR56" s="40">
        <f t="shared" si="148"/>
        <v>0</v>
      </c>
      <c r="AS56" s="40">
        <f t="shared" si="148"/>
        <v>0</v>
      </c>
      <c r="AT56" s="40">
        <f t="shared" si="148"/>
        <v>0</v>
      </c>
      <c r="AU56" s="40">
        <f t="shared" si="148"/>
        <v>0</v>
      </c>
      <c r="AV56" s="40">
        <f t="shared" si="148"/>
        <v>0</v>
      </c>
      <c r="AW56" s="40">
        <f t="shared" si="148"/>
        <v>92351912000</v>
      </c>
      <c r="AX56" s="40">
        <f t="shared" si="148"/>
        <v>998279510000</v>
      </c>
      <c r="AY56" s="40">
        <f t="shared" si="148"/>
        <v>1090631422000</v>
      </c>
      <c r="AZ56" s="40">
        <f t="shared" si="103"/>
        <v>92351912000</v>
      </c>
      <c r="BA56" s="40">
        <f t="shared" si="104"/>
        <v>998279510000</v>
      </c>
      <c r="BB56" s="40">
        <f t="shared" si="105"/>
        <v>1090631422000</v>
      </c>
      <c r="BC56" s="40">
        <f t="shared" si="106"/>
        <v>0</v>
      </c>
      <c r="BD56" s="40">
        <f t="shared" si="107"/>
        <v>0</v>
      </c>
      <c r="BE56" s="40">
        <f t="shared" si="108"/>
        <v>0</v>
      </c>
      <c r="BF56" s="40">
        <f t="shared" si="109"/>
        <v>0</v>
      </c>
      <c r="BG56" s="40">
        <f t="shared" si="110"/>
        <v>0</v>
      </c>
      <c r="BH56" s="40">
        <f t="shared" si="111"/>
        <v>0</v>
      </c>
      <c r="BI56" s="40">
        <f t="shared" si="112"/>
        <v>0</v>
      </c>
      <c r="BJ56" s="40">
        <f t="shared" si="113"/>
        <v>0</v>
      </c>
      <c r="BK56" s="40">
        <f t="shared" si="114"/>
        <v>0</v>
      </c>
      <c r="BL56" s="40">
        <f t="shared" si="115"/>
        <v>92351912000</v>
      </c>
      <c r="BM56" s="40">
        <f t="shared" si="116"/>
        <v>998279510000</v>
      </c>
      <c r="BN56" s="40">
        <f t="shared" si="117"/>
        <v>1090631422000</v>
      </c>
      <c r="BO56" s="40">
        <f t="shared" si="118"/>
        <v>92351912000</v>
      </c>
      <c r="BP56" s="40">
        <f t="shared" si="119"/>
        <v>998279510000</v>
      </c>
      <c r="BQ56" s="40">
        <f t="shared" si="120"/>
        <v>1090631422000</v>
      </c>
      <c r="BR56" s="40">
        <f t="shared" si="121"/>
        <v>0</v>
      </c>
      <c r="BS56" s="40">
        <f t="shared" si="122"/>
        <v>0</v>
      </c>
      <c r="BT56" s="40">
        <f t="shared" si="123"/>
        <v>0</v>
      </c>
      <c r="BU56" s="40">
        <f t="shared" si="124"/>
        <v>0</v>
      </c>
      <c r="BV56" s="40">
        <f t="shared" si="125"/>
        <v>0</v>
      </c>
      <c r="BW56" s="40">
        <f t="shared" si="126"/>
        <v>0</v>
      </c>
      <c r="BX56" s="40">
        <f t="shared" si="127"/>
        <v>0</v>
      </c>
      <c r="BY56" s="40">
        <f t="shared" si="128"/>
        <v>0</v>
      </c>
      <c r="BZ56" s="40">
        <f t="shared" si="129"/>
        <v>0</v>
      </c>
      <c r="CA56" s="40">
        <f t="shared" si="130"/>
        <v>92351912000</v>
      </c>
      <c r="CB56" s="40">
        <f t="shared" si="131"/>
        <v>998279510000</v>
      </c>
      <c r="CC56" s="40">
        <f t="shared" si="132"/>
        <v>1090631422000</v>
      </c>
    </row>
    <row r="57" spans="1:81" ht="22.5" customHeight="1">
      <c r="A57" s="27"/>
      <c r="B57" s="32"/>
      <c r="C57" s="33"/>
      <c r="D57" s="33"/>
      <c r="E57" s="33"/>
      <c r="F57" s="34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44"/>
    </row>
    <row r="58" spans="1:81" ht="22.5" customHeight="1">
      <c r="A58" s="18"/>
      <c r="F58" s="52" t="s">
        <v>152</v>
      </c>
      <c r="G58" s="53">
        <f>G16-G56</f>
        <v>0</v>
      </c>
      <c r="H58" s="53">
        <f t="shared" ref="H58:BS58" si="149">H16-H56</f>
        <v>0</v>
      </c>
      <c r="I58" s="53">
        <f t="shared" si="149"/>
        <v>0</v>
      </c>
      <c r="J58" s="53">
        <f t="shared" si="149"/>
        <v>0</v>
      </c>
      <c r="K58" s="53">
        <f t="shared" si="149"/>
        <v>0</v>
      </c>
      <c r="L58" s="53">
        <f t="shared" si="149"/>
        <v>0</v>
      </c>
      <c r="M58" s="53">
        <f t="shared" si="149"/>
        <v>0</v>
      </c>
      <c r="N58" s="53">
        <f t="shared" si="149"/>
        <v>0</v>
      </c>
      <c r="O58" s="53">
        <f t="shared" si="149"/>
        <v>0</v>
      </c>
      <c r="P58" s="53">
        <f t="shared" si="149"/>
        <v>0</v>
      </c>
      <c r="Q58" s="53">
        <f t="shared" si="149"/>
        <v>0</v>
      </c>
      <c r="R58" s="53">
        <f t="shared" si="149"/>
        <v>0</v>
      </c>
      <c r="S58" s="53">
        <f t="shared" si="149"/>
        <v>0</v>
      </c>
      <c r="T58" s="53">
        <f t="shared" si="149"/>
        <v>0</v>
      </c>
      <c r="U58" s="53">
        <f t="shared" si="149"/>
        <v>0</v>
      </c>
      <c r="V58" s="53">
        <f t="shared" si="149"/>
        <v>0</v>
      </c>
      <c r="W58" s="53">
        <f t="shared" si="149"/>
        <v>0</v>
      </c>
      <c r="X58" s="53">
        <f t="shared" si="149"/>
        <v>0</v>
      </c>
      <c r="Y58" s="53">
        <f t="shared" si="149"/>
        <v>0</v>
      </c>
      <c r="Z58" s="53">
        <f t="shared" si="149"/>
        <v>0</v>
      </c>
      <c r="AA58" s="53">
        <f t="shared" si="149"/>
        <v>0</v>
      </c>
      <c r="AB58" s="53">
        <f t="shared" si="149"/>
        <v>0</v>
      </c>
      <c r="AC58" s="53">
        <f t="shared" si="149"/>
        <v>0</v>
      </c>
      <c r="AD58" s="53">
        <f t="shared" si="149"/>
        <v>0</v>
      </c>
      <c r="AE58" s="53">
        <f t="shared" si="149"/>
        <v>0</v>
      </c>
      <c r="AF58" s="53">
        <f t="shared" si="149"/>
        <v>0</v>
      </c>
      <c r="AG58" s="53">
        <f t="shared" si="149"/>
        <v>0</v>
      </c>
      <c r="AH58" s="53">
        <f t="shared" si="149"/>
        <v>0</v>
      </c>
      <c r="AI58" s="53">
        <f t="shared" si="149"/>
        <v>0</v>
      </c>
      <c r="AJ58" s="53">
        <f t="shared" si="149"/>
        <v>0</v>
      </c>
      <c r="AK58" s="53">
        <f t="shared" si="149"/>
        <v>0</v>
      </c>
      <c r="AL58" s="53">
        <f t="shared" si="149"/>
        <v>0</v>
      </c>
      <c r="AM58" s="53">
        <f t="shared" si="149"/>
        <v>0</v>
      </c>
      <c r="AN58" s="53">
        <f t="shared" si="149"/>
        <v>0</v>
      </c>
      <c r="AO58" s="53">
        <f t="shared" si="149"/>
        <v>0</v>
      </c>
      <c r="AP58" s="53">
        <f t="shared" si="149"/>
        <v>0</v>
      </c>
      <c r="AQ58" s="53">
        <f t="shared" si="149"/>
        <v>0</v>
      </c>
      <c r="AR58" s="53">
        <f t="shared" si="149"/>
        <v>0</v>
      </c>
      <c r="AS58" s="53">
        <f t="shared" si="149"/>
        <v>0</v>
      </c>
      <c r="AT58" s="53">
        <f t="shared" si="149"/>
        <v>0</v>
      </c>
      <c r="AU58" s="53">
        <f t="shared" si="149"/>
        <v>0</v>
      </c>
      <c r="AV58" s="53">
        <f t="shared" si="149"/>
        <v>0</v>
      </c>
      <c r="AW58" s="53">
        <f t="shared" si="149"/>
        <v>0</v>
      </c>
      <c r="AX58" s="53">
        <f t="shared" si="149"/>
        <v>0</v>
      </c>
      <c r="AY58" s="53">
        <f t="shared" si="149"/>
        <v>0</v>
      </c>
      <c r="AZ58" s="53">
        <f t="shared" si="149"/>
        <v>0</v>
      </c>
      <c r="BA58" s="53">
        <f t="shared" si="149"/>
        <v>0</v>
      </c>
      <c r="BB58" s="53">
        <f t="shared" si="149"/>
        <v>0</v>
      </c>
      <c r="BC58" s="53">
        <f t="shared" si="149"/>
        <v>0</v>
      </c>
      <c r="BD58" s="53">
        <f t="shared" si="149"/>
        <v>0</v>
      </c>
      <c r="BE58" s="53">
        <f t="shared" si="149"/>
        <v>0</v>
      </c>
      <c r="BF58" s="53">
        <f t="shared" si="149"/>
        <v>0</v>
      </c>
      <c r="BG58" s="53">
        <f t="shared" si="149"/>
        <v>0</v>
      </c>
      <c r="BH58" s="53">
        <f t="shared" si="149"/>
        <v>0</v>
      </c>
      <c r="BI58" s="53">
        <f t="shared" si="149"/>
        <v>0</v>
      </c>
      <c r="BJ58" s="53">
        <f t="shared" si="149"/>
        <v>0</v>
      </c>
      <c r="BK58" s="53">
        <f t="shared" si="149"/>
        <v>0</v>
      </c>
      <c r="BL58" s="53">
        <f t="shared" si="149"/>
        <v>0</v>
      </c>
      <c r="BM58" s="53">
        <f t="shared" si="149"/>
        <v>0</v>
      </c>
      <c r="BN58" s="53">
        <f t="shared" si="149"/>
        <v>0</v>
      </c>
      <c r="BO58" s="53">
        <f t="shared" si="149"/>
        <v>0</v>
      </c>
      <c r="BP58" s="53">
        <f t="shared" si="149"/>
        <v>0</v>
      </c>
      <c r="BQ58" s="53">
        <f t="shared" si="149"/>
        <v>0</v>
      </c>
      <c r="BR58" s="53">
        <f t="shared" si="149"/>
        <v>0</v>
      </c>
      <c r="BS58" s="53">
        <f t="shared" si="149"/>
        <v>0</v>
      </c>
      <c r="BT58" s="53">
        <f t="shared" ref="BT58:CC58" si="150">BT16-BT56</f>
        <v>0</v>
      </c>
      <c r="BU58" s="53">
        <f t="shared" si="150"/>
        <v>0</v>
      </c>
      <c r="BV58" s="53">
        <f t="shared" si="150"/>
        <v>0</v>
      </c>
      <c r="BW58" s="53">
        <f t="shared" si="150"/>
        <v>0</v>
      </c>
      <c r="BX58" s="53">
        <f t="shared" si="150"/>
        <v>0</v>
      </c>
      <c r="BY58" s="53">
        <f t="shared" si="150"/>
        <v>0</v>
      </c>
      <c r="BZ58" s="53">
        <f t="shared" si="150"/>
        <v>0</v>
      </c>
      <c r="CA58" s="53">
        <f t="shared" si="150"/>
        <v>0</v>
      </c>
      <c r="CB58" s="53">
        <f t="shared" si="150"/>
        <v>0</v>
      </c>
      <c r="CC58" s="53">
        <f t="shared" si="150"/>
        <v>0</v>
      </c>
    </row>
    <row r="59" spans="1:81" ht="22.5" customHeight="1"/>
    <row r="60" spans="1:81" ht="22.5" customHeight="1"/>
    <row r="61" spans="1:81" ht="22.5" customHeight="1"/>
    <row r="62" spans="1:81" ht="22.5" customHeight="1"/>
    <row r="63" spans="1:81" ht="22.5" customHeight="1"/>
    <row r="64" spans="1:81" ht="22.5" customHeight="1"/>
  </sheetData>
  <mergeCells count="30">
    <mergeCell ref="BO6:CC6"/>
    <mergeCell ref="V8:X8"/>
    <mergeCell ref="G6:U6"/>
    <mergeCell ref="V6:AJ6"/>
    <mergeCell ref="AK6:AY6"/>
    <mergeCell ref="AZ6:BN6"/>
    <mergeCell ref="G8:I8"/>
    <mergeCell ref="J8:L8"/>
    <mergeCell ref="M8:O8"/>
    <mergeCell ref="P8:R8"/>
    <mergeCell ref="S8:U8"/>
    <mergeCell ref="AK8:AM8"/>
    <mergeCell ref="AN8:AP8"/>
    <mergeCell ref="AQ8:AS8"/>
    <mergeCell ref="Y8:AA8"/>
    <mergeCell ref="AB8:AD8"/>
    <mergeCell ref="AE8:AG8"/>
    <mergeCell ref="AH8:AJ8"/>
    <mergeCell ref="CA8:CC8"/>
    <mergeCell ref="AT8:AV8"/>
    <mergeCell ref="AW8:AY8"/>
    <mergeCell ref="AZ8:BB8"/>
    <mergeCell ref="BC8:BE8"/>
    <mergeCell ref="BF8:BH8"/>
    <mergeCell ref="BI8:BK8"/>
    <mergeCell ref="BL8:BN8"/>
    <mergeCell ref="BO8:BQ8"/>
    <mergeCell ref="BR8:BT8"/>
    <mergeCell ref="BU8:BW8"/>
    <mergeCell ref="BX8:BZ8"/>
  </mergeCells>
  <conditionalFormatting sqref="G58:AJ58 AZ58:CC58">
    <cfRule type="cellIs" dxfId="6" priority="4" operator="greaterThan">
      <formula>0</formula>
    </cfRule>
    <cfRule type="cellIs" dxfId="5" priority="5" operator="lessThan">
      <formula>0</formula>
    </cfRule>
    <cfRule type="cellIs" dxfId="4" priority="6" operator="equal">
      <formula>0</formula>
    </cfRule>
  </conditionalFormatting>
  <conditionalFormatting sqref="AK58:AY58">
    <cfRule type="cellIs" dxfId="3" priority="1" operator="greaterThan">
      <formula>0</formula>
    </cfRule>
    <cfRule type="cellIs" dxfId="2" priority="2" operator="lessThan">
      <formula>0</formula>
    </cfRule>
    <cfRule type="cellIs" dxfId="1" priority="3" operator="equal">
      <formula>0</formula>
    </cfRule>
  </conditionalFormatting>
  <conditionalFormatting sqref="CC16 CC38">
    <cfRule type="expression" dxfId="0" priority="7">
      <formula>OR(IF(OR(NOT(ISERROR(FIND("ERR",#REF!)&gt;1)),NOT(ISERROR(FIND("ERR",#REF!)&gt;1))),TRUE,FALSE),IF(NOT(ISERR(FIND("ERR",#REF!)))=TRUE,TRUE,FALSE))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'C:\dbnet\xbrl\entregables\parches\parche20190121_v3.7.37\backend\in\base\svs-cl-ci-2019-01-02\xls\[IAS40-Cuadros(825100)_2016.xlsm]Codigo'!#REF!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2"/>
  <sheetViews>
    <sheetView workbookViewId="0">
      <selection activeCell="C10" sqref="C10"/>
    </sheetView>
  </sheetViews>
  <sheetFormatPr baseColWidth="10" defaultRowHeight="15"/>
  <sheetData>
    <row r="1" spans="1:1">
      <c r="A1" t="s">
        <v>66</v>
      </c>
    </row>
    <row r="2" spans="1:1">
      <c r="A2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IAS40-Cuadros</vt:lpstr>
      <vt:lpstr>IAS40-InfoRevePropInve</vt:lpstr>
      <vt:lpstr>Codigo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jaime</cp:lastModifiedBy>
  <dcterms:created xsi:type="dcterms:W3CDTF">2013-03-21T17:58:38Z</dcterms:created>
  <dcterms:modified xsi:type="dcterms:W3CDTF">2023-02-14T21:07:27Z</dcterms:modified>
</cp:coreProperties>
</file>