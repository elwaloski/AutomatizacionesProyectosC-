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walo_\OneDrive\Desktop\CI\xls\"/>
    </mc:Choice>
  </mc:AlternateContent>
  <xr:revisionPtr revIDLastSave="0" documentId="13_ncr:1_{F4132044-681B-44EF-93F4-248B68B0423B}" xr6:coauthVersionLast="47" xr6:coauthVersionMax="47" xr10:uidLastSave="{00000000-0000-0000-0000-000000000000}"/>
  <bookViews>
    <workbookView xWindow="645" yWindow="570" windowWidth="37395" windowHeight="19995" tabRatio="707" xr2:uid="{00000000-000D-0000-FFFF-FFFF00000000}"/>
  </bookViews>
  <sheets>
    <sheet name="IAS1-Cuadros" sheetId="1" r:id="rId1"/>
    <sheet name="IAS1-AsigGastNatu" sheetId="14" r:id="rId2"/>
    <sheet name="IAS1-ValorInscr" sheetId="10" r:id="rId3"/>
    <sheet name="IAS1-InfoReveReCa" sheetId="3" r:id="rId4"/>
    <sheet name="IAS1-InfoReveAcPa" sheetId="4" r:id="rId5"/>
    <sheet name="IAS1-InfoReveObPo" sheetId="5" r:id="rId6"/>
    <sheet name="IAS1-ClasCapiAcci" sheetId="6" r:id="rId7"/>
    <sheet name="IAS1-ResePatr" sheetId="7" r:id="rId8"/>
    <sheet name="IAS1-InfoAdicDivi" sheetId="9" r:id="rId9"/>
    <sheet name="IAS1-CompInveCapi" sheetId="11" r:id="rId10"/>
    <sheet name="IAS1-NumePromEmpl" sheetId="13" r:id="rId11"/>
    <sheet name="Codigo_Actividad" sheetId="8" state="hidden" r:id="rId12"/>
  </sheets>
  <definedNames>
    <definedName name="_xlnm._FilterDatabase" localSheetId="0" hidden="1">'IAS1-Cuadros'!$B$513:$K$656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6" i="1" l="1"/>
  <c r="H148" i="1"/>
  <c r="I147" i="1"/>
  <c r="H147" i="1"/>
  <c r="K39" i="6" l="1"/>
  <c r="I39" i="6"/>
  <c r="L39" i="6" s="1"/>
  <c r="K38" i="6"/>
  <c r="I38" i="6"/>
  <c r="L38" i="6" s="1"/>
  <c r="K16" i="6"/>
  <c r="I16" i="6"/>
  <c r="L16" i="6" s="1"/>
  <c r="K15" i="6"/>
  <c r="I15" i="6"/>
  <c r="L15" i="6" s="1"/>
  <c r="K717" i="1" l="1"/>
  <c r="J717" i="1"/>
  <c r="I717" i="1"/>
  <c r="H717" i="1"/>
  <c r="K712" i="1"/>
  <c r="J712" i="1"/>
  <c r="I712" i="1"/>
  <c r="H712" i="1"/>
  <c r="K707" i="1"/>
  <c r="J707" i="1"/>
  <c r="I707" i="1"/>
  <c r="H707" i="1"/>
  <c r="K673" i="1"/>
  <c r="J673" i="1"/>
  <c r="I673" i="1"/>
  <c r="H673" i="1"/>
  <c r="K668" i="1"/>
  <c r="J668" i="1"/>
  <c r="I668" i="1"/>
  <c r="H668" i="1"/>
  <c r="K663" i="1"/>
  <c r="J663" i="1"/>
  <c r="I663" i="1"/>
  <c r="H663" i="1"/>
  <c r="K19" i="14"/>
  <c r="J19" i="14"/>
  <c r="H19" i="14"/>
  <c r="G19" i="14"/>
  <c r="L18" i="14"/>
  <c r="I18" i="14"/>
  <c r="M18" i="14" s="1"/>
  <c r="L17" i="14"/>
  <c r="L19" i="14" s="1"/>
  <c r="I17" i="14"/>
  <c r="K12" i="14"/>
  <c r="J12" i="14"/>
  <c r="H12" i="14"/>
  <c r="G12" i="14"/>
  <c r="J15" i="14"/>
  <c r="J8" i="14"/>
  <c r="M15" i="14"/>
  <c r="L15" i="14"/>
  <c r="K15" i="14"/>
  <c r="I15" i="14"/>
  <c r="H15" i="14"/>
  <c r="G15" i="14"/>
  <c r="L11" i="14"/>
  <c r="I11" i="14"/>
  <c r="L10" i="14"/>
  <c r="L12" i="14" s="1"/>
  <c r="I10" i="14"/>
  <c r="K8" i="14"/>
  <c r="H8" i="14"/>
  <c r="G8" i="14"/>
  <c r="K632" i="1"/>
  <c r="J632" i="1"/>
  <c r="I632" i="1"/>
  <c r="H632" i="1"/>
  <c r="I12" i="14" l="1"/>
  <c r="M17" i="14"/>
  <c r="M19" i="14" s="1"/>
  <c r="I19" i="14"/>
  <c r="M11" i="14"/>
  <c r="M10" i="14"/>
  <c r="M12" i="14" s="1"/>
  <c r="T13" i="7"/>
  <c r="U13" i="7"/>
  <c r="J330" i="1" l="1"/>
  <c r="I330" i="1"/>
  <c r="H330" i="1"/>
  <c r="J324" i="1"/>
  <c r="I324" i="1"/>
  <c r="H324" i="1"/>
  <c r="J148" i="1" l="1"/>
  <c r="I148" i="1"/>
  <c r="J147" i="1"/>
  <c r="I18" i="13" l="1"/>
  <c r="I17" i="13"/>
  <c r="H8" i="13"/>
  <c r="G8" i="13"/>
  <c r="I12" i="13"/>
  <c r="I11" i="13"/>
  <c r="H8" i="11"/>
  <c r="G8" i="11"/>
  <c r="H20" i="11"/>
  <c r="G20" i="11"/>
  <c r="I19" i="11"/>
  <c r="I18" i="11"/>
  <c r="I12" i="11"/>
  <c r="I11" i="11"/>
  <c r="H13" i="11"/>
  <c r="G13" i="11"/>
  <c r="I13" i="11" l="1"/>
  <c r="I20" i="11"/>
  <c r="J133" i="1"/>
  <c r="I133" i="1"/>
  <c r="H133" i="1"/>
  <c r="J115" i="1"/>
  <c r="I115" i="1"/>
  <c r="H115" i="1"/>
  <c r="K642" i="1" l="1"/>
  <c r="H642" i="1" l="1"/>
  <c r="I642" i="1"/>
  <c r="H317" i="1" l="1"/>
  <c r="H104" i="1" l="1"/>
  <c r="H260" i="1" l="1"/>
  <c r="K50" i="6" l="1"/>
  <c r="I50" i="6"/>
  <c r="K49" i="6"/>
  <c r="I49" i="6"/>
  <c r="J46" i="6"/>
  <c r="H46" i="6"/>
  <c r="G46" i="6"/>
  <c r="K45" i="6"/>
  <c r="I45" i="6"/>
  <c r="K43" i="6"/>
  <c r="I43" i="6"/>
  <c r="K40" i="6"/>
  <c r="I40" i="6"/>
  <c r="J36" i="6"/>
  <c r="H36" i="6"/>
  <c r="G36" i="6"/>
  <c r="K35" i="6"/>
  <c r="I35" i="6"/>
  <c r="K34" i="6"/>
  <c r="I34" i="6"/>
  <c r="K33" i="6"/>
  <c r="I33" i="6"/>
  <c r="J13" i="6"/>
  <c r="G13" i="6"/>
  <c r="H13" i="6"/>
  <c r="L40" i="6" l="1"/>
  <c r="K46" i="6"/>
  <c r="L45" i="6"/>
  <c r="L49" i="6"/>
  <c r="L34" i="6"/>
  <c r="L50" i="6"/>
  <c r="K36" i="6"/>
  <c r="L33" i="6"/>
  <c r="L35" i="6"/>
  <c r="L43" i="6"/>
  <c r="I46" i="6"/>
  <c r="I36" i="6"/>
  <c r="K556" i="1"/>
  <c r="J556" i="1"/>
  <c r="I556" i="1"/>
  <c r="H556" i="1"/>
  <c r="K486" i="1"/>
  <c r="J486" i="1"/>
  <c r="I486" i="1"/>
  <c r="H486" i="1"/>
  <c r="K468" i="1"/>
  <c r="J468" i="1"/>
  <c r="I468" i="1"/>
  <c r="H468" i="1"/>
  <c r="H176" i="1"/>
  <c r="J315" i="1"/>
  <c r="I315" i="1"/>
  <c r="H315" i="1"/>
  <c r="L36" i="6" l="1"/>
  <c r="L46" i="6"/>
  <c r="I260" i="1"/>
  <c r="I846" i="1" l="1"/>
  <c r="H846" i="1"/>
  <c r="K27" i="6" l="1"/>
  <c r="K26" i="6"/>
  <c r="I27" i="6"/>
  <c r="I26" i="6"/>
  <c r="K17" i="6"/>
  <c r="I17" i="6"/>
  <c r="L17" i="6" l="1"/>
  <c r="L26" i="6"/>
  <c r="L27" i="6"/>
  <c r="J404" i="1" l="1"/>
  <c r="I404" i="1"/>
  <c r="H404" i="1"/>
  <c r="J403" i="1"/>
  <c r="I403" i="1"/>
  <c r="H403" i="1"/>
  <c r="J181" i="1" l="1"/>
  <c r="K687" i="1" l="1"/>
  <c r="J687" i="1"/>
  <c r="I687" i="1"/>
  <c r="H687" i="1"/>
  <c r="J285" i="1"/>
  <c r="J307" i="1"/>
  <c r="I307" i="1"/>
  <c r="H307" i="1"/>
  <c r="J306" i="1"/>
  <c r="I306" i="1"/>
  <c r="H306" i="1"/>
  <c r="J405" i="1" l="1"/>
  <c r="I405" i="1"/>
  <c r="H405" i="1"/>
  <c r="K8" i="9" l="1"/>
  <c r="J8" i="9"/>
  <c r="H8" i="9"/>
  <c r="G8" i="9"/>
  <c r="I181" i="1" l="1"/>
  <c r="H181" i="1"/>
  <c r="I474" i="1" l="1"/>
  <c r="L31" i="6" l="1"/>
  <c r="K31" i="6"/>
  <c r="J31" i="6"/>
  <c r="I31" i="6"/>
  <c r="H31" i="6"/>
  <c r="G31" i="6"/>
  <c r="H105" i="1" l="1"/>
  <c r="J85" i="1" l="1"/>
  <c r="I85" i="1"/>
  <c r="H85" i="1"/>
  <c r="J159" i="1" l="1"/>
  <c r="I159" i="1"/>
  <c r="H159" i="1"/>
  <c r="J157" i="1"/>
  <c r="I157" i="1"/>
  <c r="H157" i="1"/>
  <c r="J156" i="1"/>
  <c r="I156" i="1"/>
  <c r="J140" i="1"/>
  <c r="I140" i="1"/>
  <c r="H140" i="1"/>
  <c r="J122" i="1"/>
  <c r="I122" i="1"/>
  <c r="H122" i="1"/>
  <c r="I158" i="1" l="1"/>
  <c r="J158" i="1"/>
  <c r="I124" i="1"/>
  <c r="H158" i="1"/>
  <c r="J124" i="1"/>
  <c r="H124" i="1"/>
  <c r="W13" i="7"/>
  <c r="V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K433" i="1" l="1"/>
  <c r="J433" i="1"/>
  <c r="I433" i="1"/>
  <c r="H433" i="1"/>
  <c r="K427" i="1"/>
  <c r="J427" i="1"/>
  <c r="I427" i="1"/>
  <c r="H427" i="1"/>
  <c r="K436" i="1" l="1"/>
  <c r="J436" i="1"/>
  <c r="H436" i="1"/>
  <c r="I436" i="1"/>
  <c r="J642" i="1" l="1"/>
  <c r="H207" i="1" l="1"/>
  <c r="H43" i="1" l="1"/>
  <c r="I50" i="1" l="1"/>
  <c r="I43" i="1" l="1"/>
  <c r="I207" i="1" l="1"/>
  <c r="K567" i="1" l="1"/>
  <c r="J567" i="1"/>
  <c r="I567" i="1"/>
  <c r="H567" i="1"/>
  <c r="K504" i="1"/>
  <c r="J504" i="1"/>
  <c r="I504" i="1"/>
  <c r="H504" i="1"/>
  <c r="K482" i="1"/>
  <c r="J482" i="1"/>
  <c r="I482" i="1"/>
  <c r="H482" i="1"/>
  <c r="J104" i="1" l="1"/>
  <c r="I104" i="1"/>
  <c r="J103" i="1"/>
  <c r="I103" i="1"/>
  <c r="H103" i="1"/>
  <c r="J50" i="1"/>
  <c r="H50" i="1"/>
  <c r="J317" i="1" l="1"/>
  <c r="J316" i="1"/>
  <c r="J314" i="1"/>
  <c r="J313" i="1"/>
  <c r="J311" i="1"/>
  <c r="J310" i="1"/>
  <c r="J309" i="1"/>
  <c r="I317" i="1"/>
  <c r="I316" i="1"/>
  <c r="I314" i="1"/>
  <c r="I313" i="1"/>
  <c r="I311" i="1"/>
  <c r="I310" i="1"/>
  <c r="I309" i="1"/>
  <c r="H316" i="1"/>
  <c r="H314" i="1"/>
  <c r="H310" i="1"/>
  <c r="J296" i="1"/>
  <c r="J302" i="1" s="1"/>
  <c r="I296" i="1"/>
  <c r="I302" i="1" s="1"/>
  <c r="H296" i="1"/>
  <c r="H302" i="1" s="1"/>
  <c r="I279" i="1"/>
  <c r="I285" i="1" s="1"/>
  <c r="H279" i="1"/>
  <c r="H285" i="1" s="1"/>
  <c r="I312" i="1" l="1"/>
  <c r="J312" i="1"/>
  <c r="K22" i="6"/>
  <c r="I22" i="6"/>
  <c r="K20" i="6"/>
  <c r="K12" i="6"/>
  <c r="K11" i="6"/>
  <c r="K10" i="6"/>
  <c r="I20" i="6"/>
  <c r="I12" i="6"/>
  <c r="I11" i="6"/>
  <c r="H23" i="6"/>
  <c r="H8" i="6"/>
  <c r="I10" i="6"/>
  <c r="J23" i="6"/>
  <c r="J8" i="6"/>
  <c r="K13" i="6" l="1"/>
  <c r="I13" i="6"/>
  <c r="L20" i="6"/>
  <c r="L11" i="6"/>
  <c r="L22" i="6"/>
  <c r="L12" i="6"/>
  <c r="L10" i="6"/>
  <c r="J359" i="1"/>
  <c r="I359" i="1"/>
  <c r="J357" i="1"/>
  <c r="I357" i="1"/>
  <c r="J356" i="1"/>
  <c r="I356" i="1"/>
  <c r="H359" i="1"/>
  <c r="H357" i="1"/>
  <c r="H356" i="1"/>
  <c r="J335" i="1"/>
  <c r="I335" i="1"/>
  <c r="J334" i="1"/>
  <c r="I334" i="1"/>
  <c r="J333" i="1"/>
  <c r="I333" i="1"/>
  <c r="H335" i="1"/>
  <c r="H334" i="1"/>
  <c r="H333" i="1"/>
  <c r="J305" i="1"/>
  <c r="J318" i="1" s="1"/>
  <c r="I305" i="1"/>
  <c r="I318" i="1" s="1"/>
  <c r="H313" i="1"/>
  <c r="H311" i="1"/>
  <c r="H309" i="1"/>
  <c r="H305" i="1"/>
  <c r="J154" i="1"/>
  <c r="J153" i="1"/>
  <c r="J152" i="1"/>
  <c r="J150" i="1"/>
  <c r="J149" i="1"/>
  <c r="J146" i="1"/>
  <c r="I154" i="1"/>
  <c r="I153" i="1"/>
  <c r="I152" i="1"/>
  <c r="I150" i="1"/>
  <c r="I149" i="1"/>
  <c r="I146" i="1"/>
  <c r="H154" i="1"/>
  <c r="H153" i="1"/>
  <c r="H152" i="1"/>
  <c r="H150" i="1"/>
  <c r="H149" i="1"/>
  <c r="H151" i="1" s="1"/>
  <c r="H160" i="1" s="1"/>
  <c r="H146" i="1"/>
  <c r="J105" i="1"/>
  <c r="I105" i="1"/>
  <c r="J101" i="1"/>
  <c r="I101" i="1"/>
  <c r="H101" i="1"/>
  <c r="J151" i="1" l="1"/>
  <c r="I336" i="1"/>
  <c r="J336" i="1"/>
  <c r="H336" i="1"/>
  <c r="I151" i="1"/>
  <c r="I160" i="1" s="1"/>
  <c r="L13" i="6"/>
  <c r="H312" i="1"/>
  <c r="H318" i="1" s="1"/>
  <c r="I358" i="1"/>
  <c r="I360" i="1" s="1"/>
  <c r="J358" i="1"/>
  <c r="J360" i="1" s="1"/>
  <c r="J160" i="1"/>
  <c r="J99" i="1"/>
  <c r="I99" i="1"/>
  <c r="H99" i="1"/>
  <c r="I23" i="6" l="1"/>
  <c r="G23" i="6"/>
  <c r="K23" i="6"/>
  <c r="K656" i="1"/>
  <c r="J656" i="1"/>
  <c r="I656" i="1"/>
  <c r="H656" i="1"/>
  <c r="K584" i="1"/>
  <c r="J584" i="1"/>
  <c r="I584" i="1"/>
  <c r="H584" i="1"/>
  <c r="K516" i="1"/>
  <c r="J516" i="1"/>
  <c r="I516" i="1"/>
  <c r="H516" i="1"/>
  <c r="K494" i="1"/>
  <c r="J494" i="1"/>
  <c r="I494" i="1"/>
  <c r="H494" i="1"/>
  <c r="K509" i="1"/>
  <c r="J509" i="1"/>
  <c r="I509" i="1"/>
  <c r="H509" i="1"/>
  <c r="K499" i="1"/>
  <c r="J499" i="1"/>
  <c r="I499" i="1"/>
  <c r="H499" i="1"/>
  <c r="K644" i="1"/>
  <c r="I644" i="1"/>
  <c r="K628" i="1"/>
  <c r="K637" i="1" s="1"/>
  <c r="J628" i="1"/>
  <c r="J637" i="1" s="1"/>
  <c r="I628" i="1"/>
  <c r="I637" i="1" s="1"/>
  <c r="H628" i="1"/>
  <c r="H637" i="1" s="1"/>
  <c r="K702" i="1"/>
  <c r="J702" i="1"/>
  <c r="I702" i="1"/>
  <c r="H702" i="1"/>
  <c r="K606" i="1"/>
  <c r="J606" i="1"/>
  <c r="I606" i="1"/>
  <c r="H606" i="1"/>
  <c r="K592" i="1"/>
  <c r="J592" i="1"/>
  <c r="I592" i="1"/>
  <c r="H592" i="1"/>
  <c r="K597" i="1"/>
  <c r="J597" i="1"/>
  <c r="I597" i="1"/>
  <c r="H597" i="1"/>
  <c r="K697" i="1"/>
  <c r="J697" i="1"/>
  <c r="I697" i="1"/>
  <c r="H697" i="1"/>
  <c r="K692" i="1"/>
  <c r="J692" i="1"/>
  <c r="I692" i="1"/>
  <c r="H692" i="1"/>
  <c r="K474" i="1"/>
  <c r="J474" i="1"/>
  <c r="H474" i="1"/>
  <c r="K479" i="1"/>
  <c r="J479" i="1"/>
  <c r="I479" i="1"/>
  <c r="H479" i="1"/>
  <c r="I648" i="1" l="1"/>
  <c r="J644" i="1"/>
  <c r="H644" i="1"/>
  <c r="H648" i="1" s="1"/>
  <c r="L23" i="6"/>
  <c r="J598" i="1"/>
  <c r="K598" i="1"/>
  <c r="H598" i="1"/>
  <c r="I598" i="1"/>
  <c r="J395" i="1"/>
  <c r="I395" i="1"/>
  <c r="H395" i="1"/>
  <c r="J142" i="1"/>
  <c r="I142" i="1"/>
  <c r="H142" i="1"/>
  <c r="J43" i="1"/>
  <c r="J45" i="1" s="1"/>
  <c r="J207" i="1"/>
  <c r="J68" i="1"/>
  <c r="J74" i="1" s="1"/>
  <c r="I68" i="1"/>
  <c r="I74" i="1" s="1"/>
  <c r="H68" i="1"/>
  <c r="H74" i="1" s="1"/>
  <c r="J200" i="1"/>
  <c r="I200" i="1"/>
  <c r="H200" i="1"/>
  <c r="J194" i="1"/>
  <c r="I194" i="1"/>
  <c r="H194" i="1"/>
  <c r="J176" i="1"/>
  <c r="I176" i="1"/>
  <c r="J56" i="1"/>
  <c r="I56" i="1"/>
  <c r="H56" i="1"/>
  <c r="J260" i="1"/>
  <c r="J255" i="1"/>
  <c r="I255" i="1"/>
  <c r="H255" i="1"/>
  <c r="H358" i="1"/>
  <c r="H360" i="1" s="1"/>
  <c r="J350" i="1"/>
  <c r="J352" i="1" s="1"/>
  <c r="I350" i="1"/>
  <c r="I352" i="1" s="1"/>
  <c r="H350" i="1"/>
  <c r="H352" i="1" s="1"/>
  <c r="J342" i="1"/>
  <c r="J344" i="1" s="1"/>
  <c r="I342" i="1"/>
  <c r="I344" i="1" s="1"/>
  <c r="H342" i="1"/>
  <c r="H344" i="1" s="1"/>
  <c r="J15" i="1"/>
  <c r="I15" i="1"/>
  <c r="H15" i="1"/>
  <c r="J8" i="1"/>
  <c r="I8" i="1"/>
  <c r="H8" i="1"/>
  <c r="J225" i="1"/>
  <c r="I225" i="1"/>
  <c r="H225" i="1"/>
  <c r="J245" i="1"/>
  <c r="I245" i="1"/>
  <c r="H245" i="1"/>
  <c r="J250" i="1"/>
  <c r="I250" i="1"/>
  <c r="H250" i="1"/>
  <c r="J235" i="1"/>
  <c r="I235" i="1"/>
  <c r="H235" i="1"/>
  <c r="J230" i="1"/>
  <c r="I230" i="1"/>
  <c r="H230" i="1"/>
  <c r="J240" i="1"/>
  <c r="I240" i="1"/>
  <c r="H240" i="1"/>
  <c r="J268" i="1"/>
  <c r="J269" i="1" s="1"/>
  <c r="I268" i="1"/>
  <c r="I269" i="1" s="1"/>
  <c r="H268" i="1"/>
  <c r="H269" i="1" s="1"/>
  <c r="J30" i="1" l="1"/>
  <c r="I30" i="1"/>
  <c r="H30" i="1"/>
  <c r="H202" i="1"/>
  <c r="J648" i="1"/>
  <c r="K648" i="1"/>
  <c r="I202" i="1"/>
  <c r="I45" i="1"/>
  <c r="H45" i="1"/>
  <c r="J100" i="1"/>
  <c r="J106" i="1" s="1"/>
  <c r="H100" i="1"/>
  <c r="H106" i="1" s="1"/>
  <c r="I100" i="1"/>
  <c r="I106" i="1" s="1"/>
  <c r="J202" i="1"/>
  <c r="I23" i="4" l="1"/>
  <c r="I22" i="4"/>
  <c r="I20" i="3"/>
  <c r="G18" i="5" l="1"/>
  <c r="G8" i="5"/>
  <c r="G8" i="6" l="1"/>
  <c r="H18" i="5"/>
  <c r="H8" i="5"/>
  <c r="H17" i="4"/>
  <c r="G17" i="4"/>
  <c r="I13" i="4"/>
  <c r="I12" i="4"/>
  <c r="H8" i="4"/>
  <c r="G8" i="4"/>
  <c r="H16" i="3"/>
  <c r="G16" i="3"/>
  <c r="I11" i="3"/>
  <c r="H8" i="3"/>
  <c r="G8" i="3"/>
  <c r="H400" i="1" l="1"/>
  <c r="I400" i="1"/>
  <c r="J40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San Martin (DBNeTCorp)</author>
    <author>Mauricio Ahumada (DBNeTCorp)</author>
  </authors>
  <commentList>
    <comment ref="F7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Daniel San Martin (DBNeTCorp):</t>
        </r>
        <r>
          <rPr>
            <sz val="9"/>
            <color indexed="81"/>
            <rFont val="Tahoma"/>
            <family val="2"/>
          </rPr>
          <t xml:space="preserve">
no pertenece a ninguna fórmula</t>
        </r>
      </text>
    </comment>
    <comment ref="F45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Daniel San Martin (DBNeTCorp):</t>
        </r>
        <r>
          <rPr>
            <sz val="9"/>
            <color indexed="81"/>
            <rFont val="Tahoma"/>
            <family val="2"/>
          </rPr>
          <t xml:space="preserve">
Eliminaron validación
</t>
        </r>
      </text>
    </comment>
    <comment ref="F607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Mauricio Ahumada (DBNeTCorp):</t>
        </r>
        <r>
          <rPr>
            <sz val="9"/>
            <color indexed="81"/>
            <rFont val="Tahoma"/>
            <family val="2"/>
          </rPr>
          <t xml:space="preserve">
En taxo 2024 se elimina Primas percibidas netas</t>
        </r>
      </text>
    </comment>
    <comment ref="F797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Mauricio Ahumada (DBNeTCorp):</t>
        </r>
        <r>
          <rPr>
            <sz val="9"/>
            <color indexed="81"/>
            <rFont val="Tahoma"/>
            <family val="2"/>
          </rPr>
          <t xml:space="preserve">
Se eliminaron a 4 conceptos en la taxonomia 2024</t>
        </r>
      </text>
    </comment>
  </commentList>
</comments>
</file>

<file path=xl/sharedStrings.xml><?xml version="1.0" encoding="utf-8"?>
<sst xmlns="http://schemas.openxmlformats.org/spreadsheetml/2006/main" count="6940" uniqueCount="2363">
  <si>
    <t xml:space="preserve"> </t>
  </si>
  <si>
    <t xml:space="preserve">        Terrenos y construcciones [sinopsis]  </t>
  </si>
  <si>
    <t>Cierre Anual Anterior</t>
  </si>
  <si>
    <t>Cierre Anual Previo al Anterior</t>
  </si>
  <si>
    <t>+</t>
  </si>
  <si>
    <t xml:space="preserve">        Vehículos [sinopsis]  </t>
  </si>
  <si>
    <t xml:space="preserve">      Activos intangibles y plusvalía [resumen]  </t>
  </si>
  <si>
    <t xml:space="preserve">        Activos intangibles distintos de la plusvalía [sinopsis]  </t>
  </si>
  <si>
    <t xml:space="preserve">      Inversiones en subsidiarias, negocios conjuntos y asociadas [sinopsis]  </t>
  </si>
  <si>
    <t xml:space="preserve">      Cuentas comerciales por cobrar y otras cuentas por cobrar corrientes [resumen]  </t>
  </si>
  <si>
    <t xml:space="preserve">      Cuentas comerciales por cobrar y otras cuentas por cobrar [resumen]  </t>
  </si>
  <si>
    <t xml:space="preserve">      Categorías de activos financieros no corrientes [resumen]  </t>
  </si>
  <si>
    <t xml:space="preserve">        Activos financieros no corrientes al valor razonable con cambios en resultados [resumen]  </t>
  </si>
  <si>
    <t xml:space="preserve">      Categorías de activos financieros corrientes [resumen]  </t>
  </si>
  <si>
    <t xml:space="preserve">        Activos financieros corrientes al valor razonable con cambios en resultados [resumen]  </t>
  </si>
  <si>
    <t xml:space="preserve">      Categorías de activos financieros [sinopsis]  </t>
  </si>
  <si>
    <t xml:space="preserve">        Activos financieros al valor razonable con cambios en resultados [sinopsis]  </t>
  </si>
  <si>
    <t xml:space="preserve">      Clases de inventarios corrientes [resumen]  </t>
  </si>
  <si>
    <t xml:space="preserve">      Efectivo y equivalentes al efectivo [sinopsis]  </t>
  </si>
  <si>
    <t xml:space="preserve">        Efectivo [sinopsis]  </t>
  </si>
  <si>
    <t xml:space="preserve">        Equivalentes al efectivo [sinopsis]  </t>
  </si>
  <si>
    <t xml:space="preserve">      Activos no corrientes o grupo de activos para su disposición clasificados como mantenidos para la venta o como mantenidos para distribuir a los propietarios [resumen]  </t>
  </si>
  <si>
    <t xml:space="preserve">      Clases de otras provisiones [sinopsis]  </t>
  </si>
  <si>
    <t xml:space="preserve">        Provisiones de garantías [sinopsis]  </t>
  </si>
  <si>
    <t xml:space="preserve">        Provisiones por reestructuración [sinopsis]  </t>
  </si>
  <si>
    <t xml:space="preserve">        Provisiones por procesos legales [sinopsis]  </t>
  </si>
  <si>
    <t xml:space="preserve">        Provisión por reembolsos [resumen]  </t>
  </si>
  <si>
    <t xml:space="preserve">        Provisiones por contratos onerosos [sinopsis]  </t>
  </si>
  <si>
    <t xml:space="preserve">        Provisiones por costos de dejar fuera de servicio, restauración y rehabilitación [sinopsis]  </t>
  </si>
  <si>
    <t xml:space="preserve">        Otras provisiones diversas [sinopsis]  </t>
  </si>
  <si>
    <t xml:space="preserve">        Otras provisiones [sinopsis]  </t>
  </si>
  <si>
    <t xml:space="preserve">      Préstamos tomados [sinopsis]  </t>
  </si>
  <si>
    <t xml:space="preserve">        Préstamos corrientes y parte corriente de préstamos no corrientes [resumen]  </t>
  </si>
  <si>
    <t xml:space="preserve">      Cuentas comerciales por pagar y otras cuentas por pagar no corrientes [resumen]  </t>
  </si>
  <si>
    <t xml:space="preserve">      Cuentas por pagar comerciales y otras cuentas por pagar corrientes [sinopsis]  </t>
  </si>
  <si>
    <t xml:space="preserve">      Cuentas comerciales por pagar y otras cuentas por pagar [resumen]  </t>
  </si>
  <si>
    <t xml:space="preserve">      Otros pasivos financieros no corrientes [sinopsis]  </t>
  </si>
  <si>
    <t xml:space="preserve">      Otros pasivos financieros corrientes [sinopsis]  </t>
  </si>
  <si>
    <t xml:space="preserve">      Otros pasivos financieros [sinopsis]  </t>
  </si>
  <si>
    <t xml:space="preserve">      Categorías de pasivos financieros no corrientes [resumen]  </t>
  </si>
  <si>
    <t xml:space="preserve">        Pasivos financieros no corrientes al valor razonable con cambios en resultados [resumen]  </t>
  </si>
  <si>
    <t xml:space="preserve">      Categorías de pasivos financieros corrientes [resumen]  </t>
  </si>
  <si>
    <t xml:space="preserve">        Pasivos financieros corrientes al valor razonable con cambios en resultados [resumen]  </t>
  </si>
  <si>
    <t xml:space="preserve">      Categorías de pasivos financieros [sinopsis]  </t>
  </si>
  <si>
    <t xml:space="preserve">        Pasivos financieros al valor razonable con cambios en resultados [sinopsis]  </t>
  </si>
  <si>
    <t xml:space="preserve">      Activos (pasivos) netos [resumen]  </t>
  </si>
  <si>
    <t>-</t>
  </si>
  <si>
    <t xml:space="preserve">      Ingresos de actividades ordinarias [sinopsis]  </t>
  </si>
  <si>
    <t xml:space="preserve">      Ingresos y gastos significativos [sinopsis]  </t>
  </si>
  <si>
    <t xml:space="preserve">        Rebajas (reversiones de rebajas) de inventarios [resumen]  </t>
  </si>
  <si>
    <t xml:space="preserve">        Rebajas (reversiones de rebajas) de propiedades, planta y equipo [resumen]  </t>
  </si>
  <si>
    <t xml:space="preserve">        Ganancias (pérdidas) por disposiciones de activos no corrientes [resumen]  </t>
  </si>
  <si>
    <t xml:space="preserve">        Ganancias (pérdidas) en la disposición de propiedades, planta y equipo [resumen]  </t>
  </si>
  <si>
    <t xml:space="preserve">        Ganancias (pérdidas) en la disposición de inversiones [resumen]  </t>
  </si>
  <si>
    <t xml:space="preserve">        Ganancias (pérdidas) en la liquidación de litigios [resumen]  </t>
  </si>
  <si>
    <t xml:space="preserve">        Ingresos (gastos) por primas y comisiones [resumen]  </t>
  </si>
  <si>
    <t xml:space="preserve">          Ingresos por primas y comisiones [resumen]  </t>
  </si>
  <si>
    <t xml:space="preserve">          Gastos por primas y comisiones [resumen]  </t>
  </si>
  <si>
    <t xml:space="preserve">        Ingresos (gastos) comerciales [resumen]  </t>
  </si>
  <si>
    <t xml:space="preserve">      Gastos por naturaleza [sinopsis]  </t>
  </si>
  <si>
    <t xml:space="preserve">          Gastos por beneficios a los empleados a corto plazo [resumen]  </t>
  </si>
  <si>
    <t xml:space="preserve">        Gastos por depreciación y amortización [resumen]  </t>
  </si>
  <si>
    <t xml:space="preserve">      Ganancias por acción [sinopsis]  </t>
  </si>
  <si>
    <t xml:space="preserve">        Ganancias por acción básica y diluida [resumen]  </t>
  </si>
  <si>
    <t xml:space="preserve">      Otros resultados integrales diversos [resumen]  </t>
  </si>
  <si>
    <t xml:space="preserve">    Información a revelar sobre notas y otra información explicativa [bloque de texto]  </t>
  </si>
  <si>
    <t xml:space="preserve">      Nombre de la entidad que informa u otras formas de identificación  [Texto]</t>
  </si>
  <si>
    <t xml:space="preserve">      Sede de la entidad  [Texto]</t>
  </si>
  <si>
    <t xml:space="preserve">      Forma legal de la entidad  [Texto]</t>
  </si>
  <si>
    <t xml:space="preserve">      Dirección de la sede social de la entidad  [Texto]</t>
  </si>
  <si>
    <t xml:space="preserve">      Domicilio principal donde desarrolla sus actividades  [Texto]</t>
  </si>
  <si>
    <t xml:space="preserve">      Descripción de la naturaleza de las operaciones de la entidad y actividades principales  [Texto]</t>
  </si>
  <si>
    <t xml:space="preserve">      Total activo individual de la entidad  [Número]</t>
  </si>
  <si>
    <t xml:space="preserve">      Persona o grupo de personas con acuerdo de actuación conjunta, que posea la mayor participación accionaria  [Texto]</t>
  </si>
  <si>
    <t xml:space="preserve">      Nombre de la entidad controladora  [Texto]</t>
  </si>
  <si>
    <t xml:space="preserve">      Nombre de la controladora última del grupo  [Texto]</t>
  </si>
  <si>
    <t xml:space="preserve">      Duración de la vida de entidades de vida limitada  [Texto]</t>
  </si>
  <si>
    <t xml:space="preserve">      Declaración de cumplimiento con las NIIF [bloque de texto]  </t>
  </si>
  <si>
    <t xml:space="preserve">      Información a revelar sobre incertidumbres sobre la capacidad de la entidad para continuar como negocio en marcha [bloque de texto]</t>
  </si>
  <si>
    <t xml:space="preserve">      Explicación del hecho y bases para la elaboración de los estados financieros cuando no es aplicable la hipótesis de negocio en marcha  [Texto]</t>
  </si>
  <si>
    <t xml:space="preserve">      Explicación de la razón por la que no se considera a la entidad como negocio en marcha  [Texto]</t>
  </si>
  <si>
    <t xml:space="preserve">      Descripción de la razón para utilizar un periodo sobre el que se informa de duración inferior o superior  [Texto]</t>
  </si>
  <si>
    <t xml:space="preserve">      Descripción del hecho de que los importes presentados en los estados financieros no son totalmente comparables  [Texto]</t>
  </si>
  <si>
    <t xml:space="preserve">      Información a revelar sobre reclasificaciones o cambios en la presentación [bloque de texto]  </t>
  </si>
  <si>
    <t xml:space="preserve">      Descripción de la razón por la que es impracticable la reclasificación de importes comparativos  [Texto]</t>
  </si>
  <si>
    <t xml:space="preserve">      Descripción de la naturaleza de los ajustes necesarios para proporcionar información comparativa  [Texto]</t>
  </si>
  <si>
    <t xml:space="preserve">        Explicación de juicios de la gerencia al aplicar las políticas contables de la entidad con efectos significativos en los importes reconocidos  [Texto]</t>
  </si>
  <si>
    <t xml:space="preserve">      Explicación del origen de incertidumbre de la estimación con riesgo significativo de causar ajustes importantes  [Texto]</t>
  </si>
  <si>
    <t xml:space="preserve">      Información a revelar sobre activos y pasivos con riesgo significativo de ajustes importantes [bloque de texto]  </t>
  </si>
  <si>
    <t xml:space="preserve">      Dividendos reconocidos como distribuciones a los propietarios por acción  [Decimal]</t>
  </si>
  <si>
    <t xml:space="preserve">      Dividendos propuestos o declarados antes de la autorización de los estados financieros para su emisión pero no reconocidos como distribuciones a los propietarios  [Número]</t>
  </si>
  <si>
    <t xml:space="preserve">      Dividendos propuestos o declarados antes de la autorización de los estados financieros para su emisión pero no reconocidos como distribuciones a los propietarios por acción  [Decimal]</t>
  </si>
  <si>
    <t xml:space="preserve">      Descripción de la naturaleza de los activos distintos al efectivo mantenidos para distribuir a los propietarios declarados antes de la autorización de los estados financieros para su publicación  [Texto]</t>
  </si>
  <si>
    <t xml:space="preserve">      Activos distintos al efectivo declarados para distribuir a los propietarios antes de la autorización de los estados financieros para su publicación  [Número]</t>
  </si>
  <si>
    <t xml:space="preserve">      Activos distintos al efectivo declarados para distribuir a los propietarios antes de la autorización de los estados financieros para su publicación, al valor razonable  [Número]</t>
  </si>
  <si>
    <t xml:space="preserve">      Descripción de los métodos utilizados para medir el valor razonable de activos distintos al efectivo declarados para distribuir a los propietarios antes de autorizar los estados financieros para su emisión  [Texto]</t>
  </si>
  <si>
    <t xml:space="preserve">      Dividendos pagaderos, distribuciones de activos distintos al efectivo  [Número]</t>
  </si>
  <si>
    <t xml:space="preserve">      Incremento (disminución) de dividendos por pagar con cambios en el valor razonable de activos distintos al efectivo mantenidos para distribuir a los propietarios  [Número]</t>
  </si>
  <si>
    <t xml:space="preserve">      Patrimonio reclasificado como pasivos financieros  [Número]</t>
  </si>
  <si>
    <t xml:space="preserve">      Pasivos financieros reclasificados en patrimonio  [Número]</t>
  </si>
  <si>
    <t xml:space="preserve">      Descripción del calendario y razones para la reclasificación entre pasivos financieros y patrimonio  [Texto]</t>
  </si>
  <si>
    <t xml:space="preserve">    Información a revelar sobre capital en acciones, reservas y otras participaciones en el patrimonio [bloque de texto]  </t>
  </si>
  <si>
    <t xml:space="preserve">      Información a revelar sobre clases de capital en acciones [bloque de texto]  </t>
  </si>
  <si>
    <t xml:space="preserve">      Información a revelar sobre reservas dentro de patrimonio [bloque de texto]  </t>
  </si>
  <si>
    <t xml:space="preserve">      Descripción de otras participaciones en el patrimonio  [Texto]</t>
  </si>
  <si>
    <t xml:space="preserve">      Resumen de datos cuantitativos acerca de instrumentos financieros con opción de venta clasificados como instrumentos de patrimonio  [Texto]</t>
  </si>
  <si>
    <t xml:space="preserve">      Información sobre objetivos, políticas y procesos para gestionar la obligación de la entidad de recomprar o reembolsar instrumentos financieros con opción de venta  [Texto]</t>
  </si>
  <si>
    <t xml:space="preserve">      Salida de efectivo esperada en el rescate o recompra de instrumentos con opción de venta  [Número]</t>
  </si>
  <si>
    <t xml:space="preserve">      Información sobre cómo se determinaron las salidas de efectivo esperadas por reembolso o recompra  [Texto]</t>
  </si>
  <si>
    <t>AAN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</si>
  <si>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columnas marcadas con línea punteada roja y con fondo verde indican las posiciones donde es posible agregar elementos.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sz val="10"/>
        <color indexed="10"/>
        <rFont val="Calibri"/>
        <family val="2"/>
      </rPr>
      <t xml:space="preserve">-Si se presiona el botón </t>
    </r>
    <r>
      <rPr>
        <b/>
        <sz val="10"/>
        <color indexed="10"/>
        <rFont val="Calibri"/>
        <family val="2"/>
      </rPr>
      <t>'Copiar Columna'</t>
    </r>
    <r>
      <rPr>
        <sz val="10"/>
        <color indexed="10"/>
        <rFont val="Calibri"/>
        <family val="2"/>
      </rPr>
      <t xml:space="preserve"> se copiará una columna  a la derecha de la columna actualmente seleccionada. </t>
    </r>
    <r>
      <rPr>
        <sz val="10"/>
        <rFont val="Calibri"/>
        <family val="2"/>
      </rPr>
      <t xml:space="preserve">
-Edite las columnas</t>
    </r>
    <r>
      <rPr>
        <b/>
        <sz val="10"/>
        <rFont val="Calibri"/>
        <family val="2"/>
      </rPr>
      <t xml:space="preserve"> coloreadas verde </t>
    </r>
    <r>
      <rPr>
        <sz val="10"/>
        <rFont val="Calibri"/>
        <family val="2"/>
      </rPr>
      <t xml:space="preserve">de acuerdo a sus necesidades.
-Las columnas verdes pueden ser editadas, eliminadas o duplicadas, así puede agregar mas detalle donde corresponda. Asegúrese de copiar la columna completa si desea duplicar un elemento (Se recomienda utilizar el botón 'Copiar Columna').
-Las columnas marcadas en plomo </t>
    </r>
    <r>
      <rPr>
        <b/>
        <sz val="10"/>
        <rFont val="Calibri"/>
        <family val="2"/>
      </rPr>
      <t>no deben ser editadas, eliminadas ni movidas.</t>
    </r>
  </si>
  <si>
    <t>Elimine la(s) columnas en verde que no apliquen para usted</t>
  </si>
  <si>
    <t>ACT</t>
  </si>
  <si>
    <t>Información a revelar sobre reclasificación o cambios en presentación [810000]</t>
  </si>
  <si>
    <t>Item reclasificado1</t>
  </si>
  <si>
    <t>Item reclasificado2</t>
  </si>
  <si>
    <t>Items reclasificados</t>
  </si>
  <si>
    <t xml:space="preserve">            Descripción de la naturaleza de reclasificaciones o cambios en la presentación  [Texto]</t>
  </si>
  <si>
    <t xml:space="preserve">            Importe de reclasificaciones o cambios en la presentación  [Número]</t>
  </si>
  <si>
    <t xml:space="preserve">            Descripción de la razón para reclasificaciones o cambios en la presentación  [Texto]</t>
  </si>
  <si>
    <t>ANT</t>
  </si>
  <si>
    <r>
      <t>Información a revelar sobre activos y pasivos con riesgo significativo de ocasionar ajustes materiales [sinopsis]</t>
    </r>
    <r>
      <rPr>
        <b/>
        <sz val="9"/>
        <color indexed="9"/>
        <rFont val="Verdana"/>
        <family val="2"/>
      </rPr>
      <t xml:space="preserve"> [810000]</t>
    </r>
  </si>
  <si>
    <t>Inf. Activo y pasivo con riesgo1</t>
  </si>
  <si>
    <t>Inf. Activo y pasivo con riesgo2</t>
  </si>
  <si>
    <t xml:space="preserve">              Activos y pasivos [miembro]</t>
  </si>
  <si>
    <t xml:space="preserve">            Descripción de la naturaleza de activos con riesgo significativo de ajustes materiales dentro del ejercicio contable siguiente  [Texto]</t>
  </si>
  <si>
    <t xml:space="preserve">            Descripción de la naturaleza de pasivos con riesgo significativo de ajustes materiales dentro del ejercicio contable siguiente  [Texto]</t>
  </si>
  <si>
    <t xml:space="preserve">            Activos con riesgo significativo de ajustes materiales dentro del ejercicio contable siguiente  [Número]</t>
  </si>
  <si>
    <t xml:space="preserve">           Pasivos con riesgo significativos de ocasionar ajustes materiales dentro del siguiente periodo   [Número]</t>
  </si>
  <si>
    <r>
      <t xml:space="preserve">Información a revelar sobre activos y pasivos con riesgo significativo de ocasionar ajustes materiales [sinopsis] </t>
    </r>
    <r>
      <rPr>
        <b/>
        <sz val="9"/>
        <color indexed="9"/>
        <rFont val="Verdana"/>
        <family val="2"/>
      </rPr>
      <t>[810000]</t>
    </r>
  </si>
  <si>
    <t>Información a revelar sobre objetivos, políticas y procesos para la gestión del capital  [810000]</t>
  </si>
  <si>
    <t>Req. Capital1</t>
  </si>
  <si>
    <t>Requerimientos de capital</t>
  </si>
  <si>
    <t xml:space="preserve">            Información cualitativa sobre los objetivos, políticas y procesos para gestionar el capital de la entidad  [Texto]</t>
  </si>
  <si>
    <t xml:space="preserve">            Resumen de datos cuantitativos acerca de lo que gestiona la entidad como capital  [Texto]</t>
  </si>
  <si>
    <t xml:space="preserve">            Descripción de los cambios en los objetivos, políticas y procesos de la entidad para gestionar el capital y lo que la entidad gestiona como capital  [Texto]</t>
  </si>
  <si>
    <t xml:space="preserve">            Información sobre si la entidad cumplió con los requerimientos de capital impuestos externamente  [Texto]</t>
  </si>
  <si>
    <t xml:space="preserve">            Información sobre las consecuencias de no cumplir con los requerimientos de capital impuestos externamente  [Texto]</t>
  </si>
  <si>
    <t>Información a revelar sobre objetivos, políticas y procesos para la gestión del capital [810000]</t>
  </si>
  <si>
    <t>Información a revelar sobre clases de capital en acciones [861200]</t>
  </si>
  <si>
    <t>Cap. En acciones1</t>
  </si>
  <si>
    <t>Cap. En acciones2</t>
  </si>
  <si>
    <t>INI</t>
  </si>
  <si>
    <t>Información a revelar sobre clases de capital en acciones  [861200]</t>
  </si>
  <si>
    <t>Información a revelar sobre reservas dentro de patrimonio  [861200]</t>
  </si>
  <si>
    <t xml:space="preserve"> Importes reconocidos en otro resultado integral y acumulados en el patrimonio relativos a activos no corrientes o grupos de activos para su disposición mantenidos para la venta [miembro]  </t>
  </si>
  <si>
    <t xml:space="preserve">Reserva para cambios en el valor razonable de pasivos financieros atribuibles a cambios en el riesgo de crédito del pasivo [miembro]  </t>
  </si>
  <si>
    <t xml:space="preserve">Otras reservas varias [miembro]  </t>
  </si>
  <si>
    <t xml:space="preserve">            Descripción de la naturaleza y propósito de las reservas dentro del patrimonio  [Texto]</t>
  </si>
  <si>
    <t>Información a revelar sobre reclasificación o cambios en presentación</t>
  </si>
  <si>
    <t>Información a revelar sobre activos y pasivos con riesgo significativo de ocasionar ajustes materiales</t>
  </si>
  <si>
    <t>Información a revelar sobre objetivos, políticas y procesos para la gestión del capital</t>
  </si>
  <si>
    <t>Información a revelar sobre clases de capital en acciones</t>
  </si>
  <si>
    <t>Información a revelar sobre reservas dentro de patrimonio</t>
  </si>
  <si>
    <t xml:space="preserve">    Información a revelar sobre un resumen de las políticas contables significativas [bloque de texto]  </t>
  </si>
  <si>
    <t xml:space="preserve">      Descripción de la política contable para activos biológicos [bloque de texto]  </t>
  </si>
  <si>
    <t xml:space="preserve">      Descripción de la política contable para costos de préstamos [bloque de texto]  </t>
  </si>
  <si>
    <t xml:space="preserve">      Descripción de la política contable para préstamos [bloque de texto]  </t>
  </si>
  <si>
    <t xml:space="preserve">      Descripción de la política contable para combinaciones de negocios [bloque de texto]  </t>
  </si>
  <si>
    <t xml:space="preserve">      Descripción de la política contable para combinaciones de negocios y plusvalía [bloque de texto]  </t>
  </si>
  <si>
    <t xml:space="preserve">      Descripción de la política contable para flujos de efectivo [bloque de texto]  </t>
  </si>
  <si>
    <t xml:space="preserve">      Descripción de la política contable para garantías colaterales [bloque de texto]  </t>
  </si>
  <si>
    <t xml:space="preserve">      Descripción de la política contable para construcciones en proceso [bloque de texto]  </t>
  </si>
  <si>
    <t xml:space="preserve">      Descripción de la política contable para costos de adquisición diferidos que surgen de contratos de seguro [bloque de texto]  </t>
  </si>
  <si>
    <t xml:space="preserve">      Descripción de la política contable para gastos por depreciación [bloque de texto]  </t>
  </si>
  <si>
    <t xml:space="preserve">      Descripción de la política contable para baja en cuentas de instrumentos financieros [bloque de texto]  </t>
  </si>
  <si>
    <t xml:space="preserve">      Descripción de la política contable para instrumentos financieros derivados [bloque de texto]  </t>
  </si>
  <si>
    <t xml:space="preserve">      Descripción de la política contable para instrumentos financieros derivados y coberturas [bloque de texto]  </t>
  </si>
  <si>
    <t xml:space="preserve">      Descripción de la política contable para la determinación de los componentes del efectivo y equivalentes al efectivo [bloque de texto]  </t>
  </si>
  <si>
    <t xml:space="preserve">      Descripción de la política contable para operaciones discontinuadas [bloque de texto]  </t>
  </si>
  <si>
    <t xml:space="preserve">      Descripción de la política contable para dividendos [bloque de texto]  </t>
  </si>
  <si>
    <t xml:space="preserve">      Descripción de la política contable para las ganancias por acción [bloque de texto]  </t>
  </si>
  <si>
    <t xml:space="preserve">      Descripción de la política contable para beneficios a los empleados [bloque de texto]  </t>
  </si>
  <si>
    <t xml:space="preserve">      Descripción de la política contable para gastos relacionados con el medioambiente [bloque de texto]  </t>
  </si>
  <si>
    <t xml:space="preserve">      Descripción de la política contable para gastos [bloque de texto]  </t>
  </si>
  <si>
    <t xml:space="preserve">      Descripción de las políticas contables para desembolsos de exploración y evaluación [bloque de texto]  </t>
  </si>
  <si>
    <t xml:space="preserve">      Descripción de la política contable para mediciones al valor razonable [bloque de texto]  </t>
  </si>
  <si>
    <t xml:space="preserve">      Descripción de la política contable para primas e ingresos y gastos por comisiones [bloque de texto]  </t>
  </si>
  <si>
    <t xml:space="preserve">      Descripción de la política contable para costos financieros [bloque de texto]  </t>
  </si>
  <si>
    <t xml:space="preserve">      Descripción de la política contable para ingresos y costos financieros [bloque de texto]  </t>
  </si>
  <si>
    <t xml:space="preserve">      Descripción de la política contable para activos financieros [bloque de texto]  </t>
  </si>
  <si>
    <t xml:space="preserve">      Descripción de la política contable para garantías financieras [bloque de texto]  </t>
  </si>
  <si>
    <t xml:space="preserve">      Descripción de la política contable para instrumentos financieros [bloque de texto]  </t>
  </si>
  <si>
    <t xml:space="preserve">      Descripción de la política contable para instrumentos financieros a valor razonable con cambios en resultados [bloque de texto]  </t>
  </si>
  <si>
    <t xml:space="preserve">      Descripción de la política contable para pasivos financieros [bloque de texto]  </t>
  </si>
  <si>
    <t xml:space="preserve">      Descripción de la política contable para conversión de moneda extranjera [bloque de texto]  </t>
  </si>
  <si>
    <t xml:space="preserve">      Descripción de la política contable para la moneda funcional [bloque de texto]  </t>
  </si>
  <si>
    <t xml:space="preserve">      Descripción de la política contable para la plusvalía [bloque de texto]  </t>
  </si>
  <si>
    <t xml:space="preserve">      Descripción de las políticas contables para subvenciones gubernamentales [bloque de texto]  </t>
  </si>
  <si>
    <t xml:space="preserve">      Descripción de la política contable para coberturas [bloque de texto]  </t>
  </si>
  <si>
    <t xml:space="preserve">      Descripción de la política contable para deterioro del valor de activos [bloque de texto]  </t>
  </si>
  <si>
    <t xml:space="preserve">      Descripción de la política contable para deterioro del valor de activos financieros [bloque de texto]  </t>
  </si>
  <si>
    <t xml:space="preserve">      Descripción de la política contable para deterioro del valor de activos no financieros [bloque de texto]  </t>
  </si>
  <si>
    <t xml:space="preserve">      Descripción de la política contable para impuestos a las ganancias [bloque de texto]  </t>
  </si>
  <si>
    <t xml:space="preserve">      Descripción de las políticas contables de contratos de seguro y de los activos, pasivos, ingresos y gastos relacionados [bloque de texto]  </t>
  </si>
  <si>
    <t xml:space="preserve">      Descripción de la política contable para activos intangibles y plusvalía [bloque de texto]  </t>
  </si>
  <si>
    <t xml:space="preserve">      Descripción de la política contable para activos intangibles distintos a la plusvalía [bloque de texto]  </t>
  </si>
  <si>
    <t xml:space="preserve">      Descripción de la política contable para ingresos y gastos por intereses [bloque de texto]  </t>
  </si>
  <si>
    <t xml:space="preserve">      Descripción de las políticas contables para inversiones en asociadas [bloque de texto]  </t>
  </si>
  <si>
    <t xml:space="preserve">      Descripción de la política contable para inversiones en asociadas y negocios conjuntos [bloque de texto]  </t>
  </si>
  <si>
    <t xml:space="preserve">      Descripción de las políticas contables para inversiones en negocios conjuntos [bloque de texto]  </t>
  </si>
  <si>
    <t xml:space="preserve">      Descripción de la política contable para propiedades de inversión [bloque de texto]  </t>
  </si>
  <si>
    <t xml:space="preserve">      Descripción de la política contable para inversiones distintas de las inversiones contabilizadas utilizando el método de la participación [bloque de texto]  </t>
  </si>
  <si>
    <t xml:space="preserve">      Descripción de la política contable para el capital emitido [bloque de texto]  </t>
  </si>
  <si>
    <t xml:space="preserve">      Descripción de la política contable para arrendamientos [bloque de texto]  </t>
  </si>
  <si>
    <t xml:space="preserve">      Descripción de las políticas contables para la medición de inventarios [bloque de texto]  </t>
  </si>
  <si>
    <t xml:space="preserve">      Descripción de la política contable para activos no corrientes o grupos de activos para su disposición clasificados como mantenidos para la venta [bloque de texto]  </t>
  </si>
  <si>
    <t xml:space="preserve">      Descripción de la política contable para activos no corrientes o grupos de activos para su disposición clasificados como mantenidos para la venta y operaciones discontinuadas [bloque de texto]  </t>
  </si>
  <si>
    <t xml:space="preserve">      Descripción de la política contable para la compensación de instrumentos financieros [bloque de texto]  </t>
  </si>
  <si>
    <t xml:space="preserve">      Descripción de la política contable para propiedades, planta y equipo [bloque de texto]  </t>
  </si>
  <si>
    <t xml:space="preserve">      Descripción de la política contable para provisiones [bloque de texto]  </t>
  </si>
  <si>
    <t xml:space="preserve">      Descripción de la política contable para la reclasificación de instrumentos financieros [bloque de texto]  </t>
  </si>
  <si>
    <t xml:space="preserve">      Descripción de la política contable para el reconocimiento en el resultado del periodo de la diferencia entre el valor razonable en el reconocimiento inicial y el precio de transacción [bloque de texto]  </t>
  </si>
  <si>
    <t xml:space="preserve">      Descripción de las políticas contables para el reconocimiento de ingresos de actividades ordinarias [bloque de texto]  </t>
  </si>
  <si>
    <t xml:space="preserve">      Descripción de la política contable para acuerdos de recompra y de recompra inversa [bloque de texto]  </t>
  </si>
  <si>
    <t xml:space="preserve">      Descripción de la política contable para gastos de investigación y desarrollo [bloque de texto]  </t>
  </si>
  <si>
    <t xml:space="preserve">      Descripción de la política contable para el efectivo y equivalentes al efectivo restringido [bloque de texto]  </t>
  </si>
  <si>
    <t xml:space="preserve">      Descripción de la política contable para la información financiera por segmentos [bloque de texto]  </t>
  </si>
  <si>
    <t xml:space="preserve">      Descripción de la política contable para las transacciones con pagos basados en acciones [bloque de texto]  </t>
  </si>
  <si>
    <t xml:space="preserve">      Descripción de la política contable para subsidiarias [bloque de texto]  </t>
  </si>
  <si>
    <t xml:space="preserve">      Descripción de las políticas contables para los beneficios por terminación [bloque de texto]  </t>
  </si>
  <si>
    <t xml:space="preserve">      Descripción de la política contable para acreedores comerciales y otras cuentas por pagar [bloque de texto]  </t>
  </si>
  <si>
    <t xml:space="preserve">      Descripción de la política contable para deudores comerciales y otras cuentas por cobrar [bloque de texto]  </t>
  </si>
  <si>
    <t xml:space="preserve">      Descripción de la política contable para ingresos y gastos comerciales [bloque de texto]  </t>
  </si>
  <si>
    <t xml:space="preserve">      Descripción de la política contable para transacciones con participaciones no controladoras [bloque de texto]  </t>
  </si>
  <si>
    <t xml:space="preserve">      Descripción de la política contable para transacciones con partes relacionadas [bloque de texto]  </t>
  </si>
  <si>
    <t xml:space="preserve">      Descripción de la política contable para acciones propias [bloque de texto]  </t>
  </si>
  <si>
    <t xml:space="preserve">Otras reservas [miembro]  </t>
  </si>
  <si>
    <t>Número de acciones emitidas y completamente pagadas  [Decimal]</t>
  </si>
  <si>
    <t>Número de acciones autorizadas  [Decimal]</t>
  </si>
  <si>
    <t>Número de acciones emitidas pero no completamente pagadas  [Decimal]</t>
  </si>
  <si>
    <t>Valor nominal de las acciones  [Decimal]</t>
  </si>
  <si>
    <t xml:space="preserve">Conciliación del número de acciones en circulación [resumen]  </t>
  </si>
  <si>
    <t>Número de acciones en circulación  [Decimal]</t>
  </si>
  <si>
    <t xml:space="preserve">Cambios en el número de acciones en circulación [resumen]  </t>
  </si>
  <si>
    <t>Incremento (disminución) en el número de acciones en circulación  [Decimal]</t>
  </si>
  <si>
    <t>Derechos, preferencias y restricciones asociadas a las clases de capital en acciones  [Texto]</t>
  </si>
  <si>
    <t>Número de acciones de la entidad que estén en su poder o bien en el de sus subsidiarias o asociadas  [Decimal]</t>
  </si>
  <si>
    <t>Número de acciones cuya emisión está reservada como consecuencia de la existencia de opciones o contratos para la venta de acciones  [Decimal]</t>
  </si>
  <si>
    <t>Descripción de los plazos de acciones cuya emisión está reservada como consecuencia de la existencia de opciones o contratos para la venta de acciones  [Texto]</t>
  </si>
  <si>
    <t>Análisis de ingresos y gastos [sinopsis] [800200]</t>
  </si>
  <si>
    <t>Información Corporativa y Declaracion de cumplimiento con las NIIF [810000]</t>
  </si>
  <si>
    <t>Capital en acciones, reservas y otras participaciones en el patrimonio [861200]</t>
  </si>
  <si>
    <t>Notes - List of accounting policies [800600]</t>
  </si>
  <si>
    <t>0010 Administradora de FICE</t>
  </si>
  <si>
    <t>0011 Administradora de Fondos de Inversión</t>
  </si>
  <si>
    <t>0012 Administradora de Fondos para la Bonificación por Retiro</t>
  </si>
  <si>
    <t>0013 Administradora de Fondos para la Vivienda</t>
  </si>
  <si>
    <t>0014 Administradora Generales de Fondos</t>
  </si>
  <si>
    <t>0015 Otras Administradora de Fondos de Terceros Fiscalizadas</t>
  </si>
  <si>
    <t>0020 Administradora de Fondos de Pensiones</t>
  </si>
  <si>
    <t>0030 Agropecuaria y Forestal</t>
  </si>
  <si>
    <t>0040 Aguas (Sanitaria)</t>
  </si>
  <si>
    <t>0050 Alimenticia y Bebida</t>
  </si>
  <si>
    <t>0060 Caja de Compensación de Asignación Familiar</t>
  </si>
  <si>
    <t>0070 Casino de juegos</t>
  </si>
  <si>
    <t>0080 Comercial y Distribuidora</t>
  </si>
  <si>
    <t>0090 Concesionaria de Aeropuerto</t>
  </si>
  <si>
    <t>0091 Concesionaria de Autopista</t>
  </si>
  <si>
    <t>0092 Concesionaria de Estacionamiento</t>
  </si>
  <si>
    <t>0093 Concesionaria de Puerto</t>
  </si>
  <si>
    <t>0094 Concesionaria de Recinto Penitenciario</t>
  </si>
  <si>
    <t>0095 Concesionaria de Túnel</t>
  </si>
  <si>
    <t>0096 Otras concesionarias</t>
  </si>
  <si>
    <t>0100 Construcción</t>
  </si>
  <si>
    <t>0200 Editorial</t>
  </si>
  <si>
    <t>0300 Eléctrica</t>
  </si>
  <si>
    <t>0400 Empresa Portuaria</t>
  </si>
  <si>
    <t>0500 Energía</t>
  </si>
  <si>
    <t>0600 Establecimiento Educacional</t>
  </si>
  <si>
    <t>0700 Factoring</t>
  </si>
  <si>
    <t>0800 Farmacia</t>
  </si>
  <si>
    <t>0900 Gas</t>
  </si>
  <si>
    <t>1000 Hipódromo</t>
  </si>
  <si>
    <t>1100 Industrial</t>
  </si>
  <si>
    <t>1200 Inmobiliaria</t>
  </si>
  <si>
    <t>1300 Inversión</t>
  </si>
  <si>
    <t>1400 Leasing</t>
  </si>
  <si>
    <t>1500 Maritima y/o Naviera</t>
  </si>
  <si>
    <t>1600 Metalmecánica</t>
  </si>
  <si>
    <t>1700 Minera</t>
  </si>
  <si>
    <t>1800 Organización Deportiva Profesional</t>
  </si>
  <si>
    <t>1900 Pesquera y/o Salmonera</t>
  </si>
  <si>
    <t>2000 Plataforma de Inversiones</t>
  </si>
  <si>
    <t>2100 Productos Diversos</t>
  </si>
  <si>
    <t>2200 Productos Químicos</t>
  </si>
  <si>
    <t>2300 Retail</t>
  </si>
  <si>
    <t>2400 Salud</t>
  </si>
  <si>
    <t>2500 Securitizadora</t>
  </si>
  <si>
    <t>2600 Servicios Financieros</t>
  </si>
  <si>
    <t>2700 Servicio Público</t>
  </si>
  <si>
    <t>2800 Servicios Varios</t>
  </si>
  <si>
    <t>2900 Supermercado</t>
  </si>
  <si>
    <t>3000 Telecomunicaciones</t>
  </si>
  <si>
    <t>3100 Textil y Vestuario</t>
  </si>
  <si>
    <t>3200 Transporte</t>
  </si>
  <si>
    <t>3300 Viña</t>
  </si>
  <si>
    <t xml:space="preserve">    Información a revelar sobre información adicional [bloque de texto]  </t>
  </si>
  <si>
    <t xml:space="preserve">      Número de accionistas  [Decimal]</t>
  </si>
  <si>
    <t xml:space="preserve">          Terrenos [Número]</t>
  </si>
  <si>
    <t xml:space="preserve">          Edificios [Número]</t>
  </si>
  <si>
    <t xml:space="preserve">          Terrenos y construcciones [Número]</t>
  </si>
  <si>
    <t xml:space="preserve">        Maquinaria [Número]</t>
  </si>
  <si>
    <t xml:space="preserve">          Buques [Número]</t>
  </si>
  <si>
    <t xml:space="preserve">          Aeronave [Número]</t>
  </si>
  <si>
    <t xml:space="preserve">          Equipos de Transporte [Número]</t>
  </si>
  <si>
    <t xml:space="preserve">          Vehículos [Número]</t>
  </si>
  <si>
    <t xml:space="preserve">        Enseres y accesorios [Número]</t>
  </si>
  <si>
    <t xml:space="preserve">        Equipo de oficina [Número]</t>
  </si>
  <si>
    <t xml:space="preserve">        Activos tangibles para exploración y evaluación [Número]</t>
  </si>
  <si>
    <t xml:space="preserve">        Activos de minería [Número]</t>
  </si>
  <si>
    <t xml:space="preserve">        Activos de petróleo y gas [Número]</t>
  </si>
  <si>
    <t xml:space="preserve">        Construcciones en proceso [Número]</t>
  </si>
  <si>
    <t xml:space="preserve">        Otras propiedades, planta y equipo [Número]</t>
  </si>
  <si>
    <t xml:space="preserve">        Propiedades, planta y equipo [Número]</t>
  </si>
  <si>
    <t xml:space="preserve">          Marcas comerciales [Número]</t>
  </si>
  <si>
    <t xml:space="preserve">          activos intangibles para exploración y evaluación [Número]</t>
  </si>
  <si>
    <t xml:space="preserve">          Cabeceras de periódicos o revistas y títulos de publicaciones [Número]</t>
  </si>
  <si>
    <t xml:space="preserve">          Programas de computador [Número]</t>
  </si>
  <si>
    <t xml:space="preserve">          Licencias y franquicias [Número]</t>
  </si>
  <si>
    <t xml:space="preserve">          Derechos de propiedad intelectual, patentes y otros derechos de propiedad industrial, servicio y derechos de explotación [Número]</t>
  </si>
  <si>
    <t xml:space="preserve">          Recetas, fórmulas, modelos, diseños y prototipos [Número]</t>
  </si>
  <si>
    <t xml:space="preserve">          Activos intangibles en desarrollo [Número]</t>
  </si>
  <si>
    <t xml:space="preserve">          Otros activos intangibles [Número]</t>
  </si>
  <si>
    <t xml:space="preserve">          Activos intangibles distintos de la plusvalía [Número]</t>
  </si>
  <si>
    <t xml:space="preserve">        Plusvalía [Número]</t>
  </si>
  <si>
    <t xml:space="preserve">        Activos intangibles y plusvalía [Número]</t>
  </si>
  <si>
    <t xml:space="preserve">        Inversiones en subsidiarias [Número]</t>
  </si>
  <si>
    <t xml:space="preserve">        Inversiones en negocios conjuntos [Número]</t>
  </si>
  <si>
    <t xml:space="preserve">        Inversiones en asociadas [Número]</t>
  </si>
  <si>
    <t xml:space="preserve">        Inversiones en subsidiarias, negocios conjuntos y asociadas [Número]</t>
  </si>
  <si>
    <t xml:space="preserve">        Cuentas por cobrar corrientes procedentes de impuestos distintos a los impuestos a las ganancias [Número]</t>
  </si>
  <si>
    <t xml:space="preserve">          Impuesto al valor agregado por cobrar corriente [Número]</t>
  </si>
  <si>
    <t xml:space="preserve">        Otras cuentas por cobrar corrientes [Número]</t>
  </si>
  <si>
    <t xml:space="preserve">        Cuentas comerciales por cobrar y otras cuentas por cobrar corrientes [Número]</t>
  </si>
  <si>
    <t xml:space="preserve">        Cuentas comerciales por cobrar no corrientes [Número]</t>
  </si>
  <si>
    <t xml:space="preserve">        Anticipos de pagos no corrientes [Número]</t>
  </si>
  <si>
    <t xml:space="preserve">          Anticipos de arrendamientos no corrientes [Número]</t>
  </si>
  <si>
    <t xml:space="preserve">        Cuentas por cobrar no corrientes procedentes de impuestos distintos a los impuestos a las ganancias [Número]</t>
  </si>
  <si>
    <t xml:space="preserve">          Impuesto al valor agregado por cobrar no corriente [Número]</t>
  </si>
  <si>
    <t xml:space="preserve">        Otras cuentas por cobrar no corrientes [Número]</t>
  </si>
  <si>
    <t xml:space="preserve">        Cuentas comerciales por cobrar y otras cuentas por cobrar no corrientes [Número]</t>
  </si>
  <si>
    <t xml:space="preserve">    Subclasificaciones de activos, pasivos y patrimonios [sinopsis]  </t>
  </si>
  <si>
    <t xml:space="preserve">      Propiedades, planta y equipo [sinopsis]  </t>
  </si>
  <si>
    <t xml:space="preserve">        Cuentas comerciales por cobrar corrientes [Número]</t>
  </si>
  <si>
    <t xml:space="preserve">      Cuentas comerciales por cobrar y otras cuentas por cobrar no corrientes [resumen]  </t>
  </si>
  <si>
    <t xml:space="preserve">      Activos no corrientes diversos [resumen]  </t>
  </si>
  <si>
    <t xml:space="preserve">        Activos no corrientes reconocidos, plan de beneficios definidos [Número]</t>
  </si>
  <si>
    <t xml:space="preserve">        Efectivo y equivalentes al efectivo restringido no corriente [Número]</t>
  </si>
  <si>
    <t xml:space="preserve">        Activos financieros derivados no corrientes [Número]</t>
  </si>
  <si>
    <t xml:space="preserve">        Intereses por cobrar no corrientes [Número]</t>
  </si>
  <si>
    <t xml:space="preserve">        Inversiones no corrientes distintas de las contabilizadas utilizando el método de la participación [Número]</t>
  </si>
  <si>
    <t xml:space="preserve">          Depósitos a largo plazo [Número]</t>
  </si>
  <si>
    <t xml:space="preserve">        Otros activos no corrientes [Número]</t>
  </si>
  <si>
    <t xml:space="preserve">        Cuentas comerciales por cobrar [Número]</t>
  </si>
  <si>
    <t xml:space="preserve">        Pagos anticipados [Número]</t>
  </si>
  <si>
    <t xml:space="preserve">        Cuentas por cobrar por impuestos distintos a los impuestos a las ganancias [Número]</t>
  </si>
  <si>
    <t xml:space="preserve">          Cuentas por cobrar por impuesto al valor agregado [Número]</t>
  </si>
  <si>
    <t xml:space="preserve">        Otras cuentas por cobrar [Número]</t>
  </si>
  <si>
    <t xml:space="preserve">        Cuentas comerciales por cobrar y otras cuentas por cobrar [Número]</t>
  </si>
  <si>
    <t xml:space="preserve">          Activos financieros no corrientes a valor razonable con cambios en resultados, designados en el momento del reconocimiento inicial [Número]</t>
  </si>
  <si>
    <t xml:space="preserve">          Activos financieros no corrientes al valor razonable con cambios en resultados, clasificados como mantenidos para negociar [Número]</t>
  </si>
  <si>
    <t xml:space="preserve">          Activos financieros no corrientes a valor razonable con cambios en resultados, medidos obligatoriamente a valor razonable [Número]</t>
  </si>
  <si>
    <t xml:space="preserve">          Activos financieros no corrientes al valor razonable con cambios en resultados [Número]</t>
  </si>
  <si>
    <t xml:space="preserve">        Activos financieros no corrientes disponibles para la venta [Número]</t>
  </si>
  <si>
    <t xml:space="preserve">        Inversiones no corrientes mantenidas hasta el vencimiento [Número]</t>
  </si>
  <si>
    <t xml:space="preserve">        Préstamos y cuentas por cobrar no corrientes [Número]</t>
  </si>
  <si>
    <t xml:space="preserve">        Activos financieros no corrientes al costo amortizado [Número]</t>
  </si>
  <si>
    <t xml:space="preserve">        Activos financieros no corrientes [Número]</t>
  </si>
  <si>
    <t xml:space="preserve">          Activos financieros a valor razonable con cambios en resultados, designados en el momento del reconocimiento inicial [Número]</t>
  </si>
  <si>
    <t xml:space="preserve">          Activos financieros al valor razonable con cambios en resultados, clasificados como mantenidos para negociar [Número]</t>
  </si>
  <si>
    <t xml:space="preserve">          Activos financieros al valor razonable con cambios en resultados, obligatoriamente medidos al valor razonable [Número]</t>
  </si>
  <si>
    <t xml:space="preserve">          Activos financieros al valor razonable con cambios en resultados [Número]</t>
  </si>
  <si>
    <t xml:space="preserve">        Activos financieros disponibles para la venta [Número]</t>
  </si>
  <si>
    <t xml:space="preserve">        Inversiones mantenidas hasta el vencimiento [Número]</t>
  </si>
  <si>
    <t xml:space="preserve">        Préstamos concedidos y cuentas por cobrar [Número]</t>
  </si>
  <si>
    <t xml:space="preserve">        Activos financieros al valor razonable con cambios en otro resultado integral [Número]</t>
  </si>
  <si>
    <t xml:space="preserve">        Activos financieros al costo amortizado [Número]</t>
  </si>
  <si>
    <t xml:space="preserve">        Activos financieros [Número]</t>
  </si>
  <si>
    <t xml:space="preserve">        Materias primas corrientes [Número]</t>
  </si>
  <si>
    <t xml:space="preserve">        Mercaderías corrientes [Número]</t>
  </si>
  <si>
    <t xml:space="preserve">        Suministros de producción corrientes [Número]</t>
  </si>
  <si>
    <t xml:space="preserve">        Trabajo en curso corriente [Número]</t>
  </si>
  <si>
    <t xml:space="preserve">        Productos terminados corrientes [Número]</t>
  </si>
  <si>
    <t xml:space="preserve">        Piezas de repuesto corrientes [Número]</t>
  </si>
  <si>
    <t xml:space="preserve">        Otros inventarios corrientes [Número]</t>
  </si>
  <si>
    <t xml:space="preserve">        Inventarios corrientes [Número]</t>
  </si>
  <si>
    <t xml:space="preserve">      Inventarios no corrientes que surgen de actividades de extracción [resumen]  </t>
  </si>
  <si>
    <t xml:space="preserve">        Reservas de mineral no corrientes [Número]</t>
  </si>
  <si>
    <t xml:space="preserve">      Inventarios corrientes que surgen de actividades de extracción [resumen]  </t>
  </si>
  <si>
    <t xml:space="preserve">        Reservas de mineral corrientes [Número]</t>
  </si>
  <si>
    <t xml:space="preserve">        Petróleo crudo corriente [Número]</t>
  </si>
  <si>
    <t xml:space="preserve">        Petróleo y productos petroquímicos corrientes [Número]</t>
  </si>
  <si>
    <t xml:space="preserve">        Gas natural corriente [Número]</t>
  </si>
  <si>
    <t xml:space="preserve">          Efectivo en caja [Número]</t>
  </si>
  <si>
    <t xml:space="preserve">          Saldos en bancos [Número]</t>
  </si>
  <si>
    <t xml:space="preserve">          Efectivo [Número]</t>
  </si>
  <si>
    <t xml:space="preserve">          Depósitos a corto plazo, clasificados como equivalentes al efectivo [Número]</t>
  </si>
  <si>
    <t xml:space="preserve">          Inversiones a corto plazo, clasificados como equivalentes al efectivo [Número]</t>
  </si>
  <si>
    <t xml:space="preserve">          Otros acuerdos bancarios, clasificados como equivalentes al efectivo [Número]</t>
  </si>
  <si>
    <t xml:space="preserve">          Equivalentes al efectivo [Número]</t>
  </si>
  <si>
    <t xml:space="preserve">        Otro efectivo y equivalentes al efectivo [Número]</t>
  </si>
  <si>
    <t xml:space="preserve">        Efectivo y equivalentes al efectivo [Número]</t>
  </si>
  <si>
    <t xml:space="preserve">        Activos no corrientes o grupos de activos para su disposición clasificados como mantenidos para la venta [Número]</t>
  </si>
  <si>
    <t xml:space="preserve">        Activos no corrientes o grupos de activos para su disposición clasificados como mantenidos para distribuir a los propietarios [Número]</t>
  </si>
  <si>
    <t xml:space="preserve">        Activos no corrientes o grupos de activos para su disposición clasificados como mantenidos para la venta o como mantenidos para distribuir a los propietarios [Número]</t>
  </si>
  <si>
    <t xml:space="preserve">      Activos corrientes diversos [resumen]  </t>
  </si>
  <si>
    <t xml:space="preserve">        Activos reconocidos corrientes, plan de beneficios definidos [Número]</t>
  </si>
  <si>
    <t xml:space="preserve">        Efectivo y equivalentes al efectivo restringido corriente [Número]</t>
  </si>
  <si>
    <t xml:space="preserve">        Activos financieros derivados corrientes [Número]</t>
  </si>
  <si>
    <t xml:space="preserve">        Intereses por cobrar corrientes [Número]</t>
  </si>
  <si>
    <t xml:space="preserve">        Inversiones corrientes [Número]</t>
  </si>
  <si>
    <t xml:space="preserve">          Depósitos a corto plazo, no clasificados como equivalentes al efectivo [Número]</t>
  </si>
  <si>
    <t xml:space="preserve">        Anticipos corrientes y otros activos corrientes [Número]</t>
  </si>
  <si>
    <t xml:space="preserve">        Otros activos corrientes [Número]</t>
  </si>
  <si>
    <t xml:space="preserve">          Provisión por garantías no corriente [Número]</t>
  </si>
  <si>
    <t xml:space="preserve">          Provisión de garantía corriente [Número]</t>
  </si>
  <si>
    <t xml:space="preserve">          Provisiones de garantías [Número]</t>
  </si>
  <si>
    <t xml:space="preserve">          Provisión de reestructuración no corriente [Número]</t>
  </si>
  <si>
    <t xml:space="preserve">          Provisión por restructuración corriente [Número]</t>
  </si>
  <si>
    <t xml:space="preserve">          Provisiones por reestructuración [Número]</t>
  </si>
  <si>
    <t xml:space="preserve">          Provisión por procesos legales no corriente [Número]</t>
  </si>
  <si>
    <t xml:space="preserve">          Provisión corriente por procesos legales [Número]</t>
  </si>
  <si>
    <t xml:space="preserve">          Provisiones por procesos legales [Número]</t>
  </si>
  <si>
    <t xml:space="preserve">          Provisión por reembolsos no corriente [Número]</t>
  </si>
  <si>
    <t xml:space="preserve">          Provisión por reembolsos corrientes [Número]</t>
  </si>
  <si>
    <t xml:space="preserve">          Provisión por reembolsos [Número]</t>
  </si>
  <si>
    <t xml:space="preserve">          Provisión por contratos onerosos no corriente [Número]</t>
  </si>
  <si>
    <t xml:space="preserve">          Provisión corriente por contratos onerosos [Número]</t>
  </si>
  <si>
    <t xml:space="preserve">          Provisiones por contratos onerosos [Número]</t>
  </si>
  <si>
    <t xml:space="preserve">          Provisión no corriente para costos de desmantelamiento, restauración y rehabilitación [Número]</t>
  </si>
  <si>
    <t xml:space="preserve">          Provisión corriente para costos de desmantelamiento, restauración y rehabilitación [Número]</t>
  </si>
  <si>
    <t xml:space="preserve">          Provisiones por costos de dejar fuera de servicio, restauración y rehabilitación [Número]</t>
  </si>
  <si>
    <t xml:space="preserve">          Otras provisiones variadas no corrientes [Número]</t>
  </si>
  <si>
    <t xml:space="preserve">          Otras provisiones variadas corrientes [Número]</t>
  </si>
  <si>
    <t xml:space="preserve">          Otras provisiones diversas [Número]</t>
  </si>
  <si>
    <t xml:space="preserve">          Otras provisiones no corrientes [Número]</t>
  </si>
  <si>
    <t xml:space="preserve">          Otras provisiones corrientes [Número]</t>
  </si>
  <si>
    <t xml:space="preserve">          Otras provisiones [Número]</t>
  </si>
  <si>
    <t xml:space="preserve">        Parte no corriente de préstamos no corrientes [Número]</t>
  </si>
  <si>
    <t xml:space="preserve">          Préstamos corrientes [Número]</t>
  </si>
  <si>
    <t xml:space="preserve">          Parte corriente de préstamos no corrientes [Número]</t>
  </si>
  <si>
    <t xml:space="preserve">          Préstamos corrientes y parte corriente de préstamos no corrientes [Número]</t>
  </si>
  <si>
    <t xml:space="preserve">        Préstamos tomados [Número]</t>
  </si>
  <si>
    <t xml:space="preserve">        Cuentas comerciales por pagar no corrientes [Número]</t>
  </si>
  <si>
    <t xml:space="preserve">        Cuentas por pagar no corrientes a la seguridad social e impuestos distintos de los impuestos a las ganancias [Número]</t>
  </si>
  <si>
    <t xml:space="preserve">        Otras cuentas por pagar no corrientes [Número]</t>
  </si>
  <si>
    <t xml:space="preserve">        Cuentas comerciales por pagar y otras cuentas por pagar no corrientes [Número]</t>
  </si>
  <si>
    <t xml:space="preserve">        Cuentas comerciales por pagar corrientes [Número]</t>
  </si>
  <si>
    <t xml:space="preserve">        Ingresos diferidos clasificados como corrientes [Número]</t>
  </si>
  <si>
    <t xml:space="preserve">          Beneficios a los empleados a corto plazo acumulados (o devengados) [Número]</t>
  </si>
  <si>
    <t xml:space="preserve">        Cuentas por pagar corrientes de la seguridad social e impuestos distintos de los impuestos a las ganancias [Número]</t>
  </si>
  <si>
    <t xml:space="preserve">        Otras cuentas por pagar corrientes [Número]</t>
  </si>
  <si>
    <t xml:space="preserve">        Cuentas comerciales por pagar [Número]</t>
  </si>
  <si>
    <t xml:space="preserve">        Ingresos diferidos [Número]</t>
  </si>
  <si>
    <t xml:space="preserve">        Cuentas por pagar por la seguridad social e impuestos distintos de los impuestos a las ganancias [Número]</t>
  </si>
  <si>
    <t xml:space="preserve">        Otras cuentas por pagar [Número]</t>
  </si>
  <si>
    <t xml:space="preserve">        Préstamos bancarios no corrientes [Número]</t>
  </si>
  <si>
    <t xml:space="preserve">        Obligaciones con el público no corrientes [Número]</t>
  </si>
  <si>
    <t xml:space="preserve">        Otros pasivos financieros no clasificados no corrientes [Número]</t>
  </si>
  <si>
    <t xml:space="preserve">        Otros pasivos financieros no corrientes [Número]</t>
  </si>
  <si>
    <t xml:space="preserve">        Préstamos bancarios corrientes [Número]</t>
  </si>
  <si>
    <t xml:space="preserve">        Obligaciones con el público corrientes [Número]</t>
  </si>
  <si>
    <t xml:space="preserve">        Otros pasivos financieros no clasificados corrientes [Número]</t>
  </si>
  <si>
    <t xml:space="preserve">        Otros pasivos financieros corrientes [Número]</t>
  </si>
  <si>
    <t xml:space="preserve">        Préstamos bancarios [Número]</t>
  </si>
  <si>
    <t xml:space="preserve">        Obligaciones con el público [Número]</t>
  </si>
  <si>
    <t xml:space="preserve">        Otros pasivos financieros no clasificados [Número]</t>
  </si>
  <si>
    <t xml:space="preserve">        Otros pasivos financieros [Número]</t>
  </si>
  <si>
    <t xml:space="preserve">          Pasivos financieros no corrientes al valor razonable con cambios en resultados, clasificados como mantenidos para negociar [Número]</t>
  </si>
  <si>
    <t xml:space="preserve">          Pasivos financieros no corrientes a valor razonable con cambios en resultados, designados en el momento del reconocimiento inicial [Número]</t>
  </si>
  <si>
    <t xml:space="preserve">          Pasivos financieros no corrientes al valor razonable con cambios en resultados [Número]</t>
  </si>
  <si>
    <t xml:space="preserve">        Pasivos financieros no corrientes al costo amortizado [Número]</t>
  </si>
  <si>
    <t xml:space="preserve">        Pasivos financieros no corrientes [Número]</t>
  </si>
  <si>
    <t xml:space="preserve">          Pasivos financieros corrientes al valor razonable con cambios en resultados, clasificados como mantenidos para negociar [Número]</t>
  </si>
  <si>
    <t xml:space="preserve">          Pasivos financieros corrientes a valor razonable con cambios en resultados, designados en el momento del reconocimiento inicial [Número]</t>
  </si>
  <si>
    <t xml:space="preserve">          Pasivos financieros corrientes al valor razonable con cambios en resultados [Número]</t>
  </si>
  <si>
    <t xml:space="preserve">        Pasivos financieros corrientes al costo amortizado [Número]</t>
  </si>
  <si>
    <t xml:space="preserve">        Pasivos financieros corrientes [Número]</t>
  </si>
  <si>
    <t xml:space="preserve">          Pasivos financieros a valor razonable con cambios en resultados que cumplen la definición de mantenidos para negociar. [Número]</t>
  </si>
  <si>
    <t xml:space="preserve">          Pasivos financieros a valor razonable con cambios en resultados, designados en el momento del reconocimiento inicial [Número]</t>
  </si>
  <si>
    <t xml:space="preserve">          Pasivos financieros al valor razonable con cambios en resultados [Número]</t>
  </si>
  <si>
    <t xml:space="preserve">        Pasivos financieros al costo amortizado [Número]</t>
  </si>
  <si>
    <t xml:space="preserve">        Pasivos financieros [Número]</t>
  </si>
  <si>
    <t xml:space="preserve">      Pasivos no corrientes diversos [resumen]  </t>
  </si>
  <si>
    <t xml:space="preserve">        Pasivos no corrientes reconocidos, plan de beneficios definidos [Número]</t>
  </si>
  <si>
    <t xml:space="preserve">        Pasivos financieros derivados no corrientes [Número]</t>
  </si>
  <si>
    <t xml:space="preserve">        Subvenciones del gobierno no corrientes [Número]</t>
  </si>
  <si>
    <t xml:space="preserve">        Anticipos no corrientes recibidos [Número]</t>
  </si>
  <si>
    <t xml:space="preserve">        Dividendos por pagar no corrientes [Número]</t>
  </si>
  <si>
    <t xml:space="preserve">        Intereses por pagar no corrientes [Número]</t>
  </si>
  <si>
    <t xml:space="preserve">        Otros pasivos no corrientes [Número]</t>
  </si>
  <si>
    <t xml:space="preserve">      Pasivos corrientes diversos [resumen]  </t>
  </si>
  <si>
    <t xml:space="preserve">        Pasivos reconocidos corrientes, plan de beneficios definidos [Número]</t>
  </si>
  <si>
    <t xml:space="preserve">        Pasivos financieros derivados corrientes [Número]</t>
  </si>
  <si>
    <t xml:space="preserve">        Subvenciones del gobierno corrientes [Número]</t>
  </si>
  <si>
    <t xml:space="preserve">        Anticipos recibidos corrientes [Número]</t>
  </si>
  <si>
    <t xml:space="preserve">        Dividendos por pagar corrientes [Número]</t>
  </si>
  <si>
    <t xml:space="preserve">        Intereses por pagar corrientes [Número]</t>
  </si>
  <si>
    <t xml:space="preserve">        Gastos acumulados (o devengados) corrientes y otros pasivos corrientes [Número]</t>
  </si>
  <si>
    <t xml:space="preserve">        Otros pasivos corrientes [Número]</t>
  </si>
  <si>
    <t xml:space="preserve">      Patrimonios diversos [resumen]  </t>
  </si>
  <si>
    <t xml:space="preserve">        Reserva de capital [Número]</t>
  </si>
  <si>
    <t xml:space="preserve">        Capital adicional pagado [Número]</t>
  </si>
  <si>
    <t xml:space="preserve">        Otro resultado integral acumulado [Número]</t>
  </si>
  <si>
    <t xml:space="preserve">        Activos [Número]</t>
  </si>
  <si>
    <t xml:space="preserve">        Pasivos [Número]</t>
  </si>
  <si>
    <t xml:space="preserve">        Activos (pasivos) [Número]</t>
  </si>
  <si>
    <t xml:space="preserve">      Activos (pasivos) corrientes netos [resumen]  </t>
  </si>
  <si>
    <t xml:space="preserve">        Activos corrientes [Número]</t>
  </si>
  <si>
    <t xml:space="preserve">        Pasivos corrientes [Número]</t>
  </si>
  <si>
    <t xml:space="preserve">        Activos (pasivos) corrientes [Número]</t>
  </si>
  <si>
    <t xml:space="preserve">        Ingresos de actividades ordinarias procedentes de la venta de bienes [Número]</t>
  </si>
  <si>
    <t xml:space="preserve">          Ingresos de actividades ordinarias por venta de cobre [Número]</t>
  </si>
  <si>
    <t xml:space="preserve">          Ingresos de actividades ordinarias por venta de oro [Número]</t>
  </si>
  <si>
    <t xml:space="preserve">          Ingresos de actividades ordinarias por venta de plata [Número]</t>
  </si>
  <si>
    <t xml:space="preserve">          Ingresos de actividades ordinarias por venta de productos de petróleo y gas [Número]</t>
  </si>
  <si>
    <t xml:space="preserve">          Ingresos de actividades ordinarias por venta de petróleo crudo [Número]</t>
  </si>
  <si>
    <t xml:space="preserve">          Ingresos de actividades ordinarias por venta de gas natural [Número]</t>
  </si>
  <si>
    <t xml:space="preserve">          Ingresos de actividades ordinarias por venta de petróleo y productos petroquímicos [Número]</t>
  </si>
  <si>
    <t xml:space="preserve">        Ingresos de actividades ordinarias procedentes de contratos de construcción [Número]</t>
  </si>
  <si>
    <t xml:space="preserve">        Ingresos por regalías [Número]</t>
  </si>
  <si>
    <t xml:space="preserve">          Ingresos por intereses por activos financieros disponibles para la venta [Número]</t>
  </si>
  <si>
    <t xml:space="preserve">          Ingresos por intereses por saldos bancarios y de efectivo en bancos centrales [Número]</t>
  </si>
  <si>
    <t xml:space="preserve">          Ingresos por intereses por efectivo y equivalentes al efectivo [Número]</t>
  </si>
  <si>
    <t xml:space="preserve">          Ingresos por intereses por instrumentos de deuda mantenidos [Número]</t>
  </si>
  <si>
    <t xml:space="preserve">          Ingresos por intereses por activos financieros designados al valor razonable con cambios en resultados [Número]</t>
  </si>
  <si>
    <t xml:space="preserve">          Ingresos por intereses por activos financieros mantenidos para negociar [Número]</t>
  </si>
  <si>
    <t xml:space="preserve">          Ingresos por intereses por inversiones mantenidas hasta el vencimiento [Número]</t>
  </si>
  <si>
    <t xml:space="preserve">          Ingresos por intereses por préstamos y anticipos a bancos [Número]</t>
  </si>
  <si>
    <t xml:space="preserve">          Ingresos por intereses por préstamos y anticipos a clientes [Número]</t>
  </si>
  <si>
    <t xml:space="preserve">          Ingresos por intereses por préstamos y cuentas por cobrar [Número]</t>
  </si>
  <si>
    <t xml:space="preserve">          Ingresos por intereses por otros activos financieros [Número]</t>
  </si>
  <si>
    <t xml:space="preserve">          Ingresos por intereses por acuerdos de recompra inversa y de garantía colateral de efectivo en valores en préstamo [Número]</t>
  </si>
  <si>
    <t xml:space="preserve">        Ingreso por dividendo [Número]</t>
  </si>
  <si>
    <t xml:space="preserve">        Otros ingresos de actividades ordinarias [Número]</t>
  </si>
  <si>
    <t xml:space="preserve">          Rebaja del valor del inventario [Número]</t>
  </si>
  <si>
    <t xml:space="preserve">          Reversión de la rebaja del inventario [Número]</t>
  </si>
  <si>
    <t xml:space="preserve">          Rebajas (reversiones de rebajas) de inventarios [Número]</t>
  </si>
  <si>
    <t xml:space="preserve">          Pérdidas por deterioro de valor reconocidas en el resultado del periodo, propiedades, planta y equipo [Número]</t>
  </si>
  <si>
    <t xml:space="preserve">          Reversión de pérdidas por deterioro de valor reconocidas en el resultado del periodo, propiedades, planta y equipo [Número]</t>
  </si>
  <si>
    <t xml:space="preserve">        Gastos de actividades de reestructuración [Número]</t>
  </si>
  <si>
    <t xml:space="preserve">        Reversión de provisiones para costos de reestructuración [Número]</t>
  </si>
  <si>
    <t xml:space="preserve">          Ganancias por disposiciones de activos no corrientes [Número]</t>
  </si>
  <si>
    <t xml:space="preserve">          Pérdidas por disposiciones de activos no corrientes [Número]</t>
  </si>
  <si>
    <t xml:space="preserve">          Ganancias en la disposición de propiedades, planta y equipo [Número]</t>
  </si>
  <si>
    <t xml:space="preserve">          Pérdidas por la disposición de propiedades, planta y equipo [Número]</t>
  </si>
  <si>
    <t xml:space="preserve">          Ganancias en la disposición de inversiones [Número]</t>
  </si>
  <si>
    <t xml:space="preserve">          Pérdidas por la disposición de inversiones [Número]</t>
  </si>
  <si>
    <t xml:space="preserve">        Ganancias (pérdidas) por disposiciones de otros activos no corrientes [Número]</t>
  </si>
  <si>
    <t xml:space="preserve">        Ganancias (pérdidas) que surgen de diferencias entre el importe en libros de pasivos financieros cancelados y la contraprestación pagada [Número]</t>
  </si>
  <si>
    <t xml:space="preserve">          Ganancias en las liquidaciones de litigios [Número]</t>
  </si>
  <si>
    <t xml:space="preserve">          Pérdidas por la liquidación de litigios [Número]</t>
  </si>
  <si>
    <t xml:space="preserve">        Otras reversiones de provisiones [Número]</t>
  </si>
  <si>
    <t xml:space="preserve">        Ingresos de operaciones continuadas atribuibles a los propietarios de la controladora [Número]</t>
  </si>
  <si>
    <t xml:space="preserve">        Ingresos de operaciones discontinuadas atribuibles a los propietarios de la controladora [Número]</t>
  </si>
  <si>
    <t xml:space="preserve">        Ganancia (pérdida) por operaciones continuadas atribuible a participaciones no controladoras [Número]</t>
  </si>
  <si>
    <t xml:space="preserve">        Ganancia (pérdida) por operaciones discontinuadas atribuible a participaciones no controladoras [Número]</t>
  </si>
  <si>
    <t xml:space="preserve">        Ganancias (pérdidas) por subvenciones del gobierno [Número]</t>
  </si>
  <si>
    <t xml:space="preserve">        Dividendos clasificados como gasto [Número]</t>
  </si>
  <si>
    <t xml:space="preserve">        Gasto por regalías [Número]</t>
  </si>
  <si>
    <t xml:space="preserve">        Gasto por investigación y desarrollo [Número]</t>
  </si>
  <si>
    <t xml:space="preserve">        Ingresos de inversión [Número]</t>
  </si>
  <si>
    <t xml:space="preserve">        Ingresos financieros (costo) [Número]</t>
  </si>
  <si>
    <t xml:space="preserve">          Otros ingresos financieros (costos) [Número]</t>
  </si>
  <si>
    <t xml:space="preserve">        Otros ingresos financieros [Número]</t>
  </si>
  <si>
    <t xml:space="preserve">        Otros costos financieros [Número]</t>
  </si>
  <si>
    <t xml:space="preserve">          Gastos por intereses de préstamos y sobregiros bancarios [Número]</t>
  </si>
  <si>
    <t xml:space="preserve">          Gastos por intereses de bonos [Número]</t>
  </si>
  <si>
    <t xml:space="preserve">          Gastos por intereses de préstamos [Número]</t>
  </si>
  <si>
    <t xml:space="preserve">          Gastos por intereses de instrumentos de deuda emitidos [Número]</t>
  </si>
  <si>
    <t xml:space="preserve">          Gastos por intereses de depósitos de bancos [Número]</t>
  </si>
  <si>
    <t xml:space="preserve">          Gastos por intereses de depósitos de clientes [Número]</t>
  </si>
  <si>
    <t xml:space="preserve">          Gasto por intereses por pasivos originados en bancos centrales [Número]</t>
  </si>
  <si>
    <t xml:space="preserve">          Gastos por intereses por pasivos financieros designados como al valor razonable con cambios en resultados [Número]</t>
  </si>
  <si>
    <t xml:space="preserve">          Gastos por intereses por pasivos financieros mantenidos para negociar [Número]</t>
  </si>
  <si>
    <t xml:space="preserve">          Gastos por intereses por otros pasivos financieros [Número]</t>
  </si>
  <si>
    <t xml:space="preserve">          Gastos por intereses por acuerdos de recompra y garantía colateral de efectivo sobre valores prestados [Número]</t>
  </si>
  <si>
    <t xml:space="preserve">        Gasto debido a la reversión del descuento sobre provisiones [Número]</t>
  </si>
  <si>
    <t xml:space="preserve">        Gastos de reparación y mantenimiento [Número]</t>
  </si>
  <si>
    <t xml:space="preserve">        Gasto en combustible y energía [Número]</t>
  </si>
  <si>
    <t xml:space="preserve">        Otros ingresos (gastos) de operación [Número]</t>
  </si>
  <si>
    <t xml:space="preserve">        Otros ingresos de operación diversos [Número]</t>
  </si>
  <si>
    <t xml:space="preserve">        Otros gastos de operación diversos [Número]</t>
  </si>
  <si>
    <t xml:space="preserve">        Distribución de gastos de administración [Número]</t>
  </si>
  <si>
    <t xml:space="preserve">        Gasto por remuneración de los directores [Número]</t>
  </si>
  <si>
    <t xml:space="preserve">        Ingresos de actividades ordinarias y ganancia de operación [Número]</t>
  </si>
  <si>
    <t xml:space="preserve">        Ingresos por alquileres [Número]</t>
  </si>
  <si>
    <t xml:space="preserve">        Gasto por alquiler [Número]</t>
  </si>
  <si>
    <t xml:space="preserve">        Ingresos procedentes de reembolsos de conformidad con pólizas de seguro [Número]</t>
  </si>
  <si>
    <t xml:space="preserve">        Gastos de operación excluyendo el costo de ventas [Número]</t>
  </si>
  <si>
    <t xml:space="preserve">        Ventas y gastos de comercialización [Número]</t>
  </si>
  <si>
    <t xml:space="preserve">        Ganancia (pérdida) por cambios en el valor razonable de derivados [resumen]  </t>
  </si>
  <si>
    <t xml:space="preserve">          Ganancias por cambios en el valor razonable de derivados [Número]</t>
  </si>
  <si>
    <t xml:space="preserve">          Pérdidas por cambio en el valor razonable de derivados [Número]</t>
  </si>
  <si>
    <t xml:space="preserve">            Ingresos por honorarios de intermediación [Número]</t>
  </si>
  <si>
    <t xml:space="preserve">            Ingresos por comisiones de gestión de cartera y por otras comisiones de gestión [Número]</t>
  </si>
  <si>
    <t xml:space="preserve">            Primas relacionadas con créditos e ingresos por comisiones [Número]</t>
  </si>
  <si>
    <t xml:space="preserve">            Otros Ingresos por primas y comisiones [Número]</t>
  </si>
  <si>
    <t xml:space="preserve">            Gastos por honorarios de intermediación [Número]</t>
  </si>
  <si>
    <t xml:space="preserve">            Otros gastos por primas y comisiones [Número]</t>
  </si>
  <si>
    <t xml:space="preserve">          Ingresos (gastos) comerciales por instrumentos de deuda [Número]</t>
  </si>
  <si>
    <t xml:space="preserve">          Ingresos (gastos) comerciales por instrumentos de patrimonio [Número]</t>
  </si>
  <si>
    <t xml:space="preserve">          Ingresos (gastos) comerciales por instrumentos financieros derivados [Número]</t>
  </si>
  <si>
    <t xml:space="preserve">            Ingresos (gastos) comerciales por contratos en moneda extranjera [Número]</t>
  </si>
  <si>
    <t xml:space="preserve">          Otros ingresos comerciales (gasto) [Número]</t>
  </si>
  <si>
    <t xml:space="preserve">          Ingresos (gastos) comerciales [Número]</t>
  </si>
  <si>
    <t xml:space="preserve">        Materias primas y consumibles utilizados [Número]</t>
  </si>
  <si>
    <t xml:space="preserve">        Gasto de servicios [Número]</t>
  </si>
  <si>
    <t xml:space="preserve">          Gastos de seguro [Número]</t>
  </si>
  <si>
    <t xml:space="preserve">          Gasto por honorarios profesionales [Número]</t>
  </si>
  <si>
    <t xml:space="preserve">          Gastos de transporte [Número]</t>
  </si>
  <si>
    <t xml:space="preserve">            Sueldos y salarios [Número]</t>
  </si>
  <si>
    <t xml:space="preserve">            Aportaciones a la seguridad social [Número]</t>
  </si>
  <si>
    <t xml:space="preserve">            Otros beneficios a los empleados a corto plazo [Número]</t>
  </si>
  <si>
    <t xml:space="preserve">          Gastos por beneficios de terminación [Número]</t>
  </si>
  <si>
    <t xml:space="preserve">          Otros beneficios a los empleados a largo plazo [Número]</t>
  </si>
  <si>
    <t xml:space="preserve">          Otros gastos de personal [Número]</t>
  </si>
  <si>
    <t xml:space="preserve">          Gastos por depreciación [Número]</t>
  </si>
  <si>
    <t xml:space="preserve">          Gastos por amortización [Número]</t>
  </si>
  <si>
    <t xml:space="preserve">          Gasto por depreciación y amortización [Número]</t>
  </si>
  <si>
    <t xml:space="preserve">        Pérdidas por deterioro de valor (reversiones de pérdidas por deterioro de valor) reconocidas en el resultado del periodo [Número]</t>
  </si>
  <si>
    <t xml:space="preserve">        Gastos por impuestos distintos de gastos por impuestos a las ganancias [Número]</t>
  </si>
  <si>
    <t xml:space="preserve">        Otros gastos, por naturaleza [Número]</t>
  </si>
  <si>
    <t xml:space="preserve">        Gastos, por naturaleza [Número]</t>
  </si>
  <si>
    <t xml:space="preserve">          Ganancia (pérdida) por acción básica y diluida procedente de operaciones continuadas  </t>
  </si>
  <si>
    <t xml:space="preserve">          Ganancia (pérdida) por acción básica y diluida procedente de operaciones discontinuadas  </t>
  </si>
  <si>
    <t xml:space="preserve">        Incrementos (disminuciones) de impuestos diferidos acumulados reconocidos en otro resultado integral debido a cambios en la tasa impositiva [Número]</t>
  </si>
  <si>
    <t xml:space="preserve">        Otro resultado integral, atribuible a los propietarios de la controladora [Número]</t>
  </si>
  <si>
    <t xml:space="preserve">        Otro resultado integral, atribuible a participaciones no controladoras [Número]</t>
  </si>
  <si>
    <t xml:space="preserve">      Participación de otro resultado integral de asociadas y negocios conjuntos contabilizados utilizando el método de la participación, antes de impuestos [resumen]  </t>
  </si>
  <si>
    <t xml:space="preserve">        Participación de otro resultado integral de asociadas y negocios conjuntos contabilizados utilizando el método de la participación que no se reclasificará al resultado del periodo, antes de impuestos [Número]</t>
  </si>
  <si>
    <t xml:space="preserve">        Participación de otro resultado integral de asociadas y negocios conjuntos contabilizados utilizando el método de la participación que se reclasificará al resultado del periodo, antes de impuestos [Número]</t>
  </si>
  <si>
    <t xml:space="preserve">        Participación en otro resultado integral de asociadas y negocios conjuntos que se contabilicen utilizando el método de la participación, antes de impuestos [Número]</t>
  </si>
  <si>
    <t xml:space="preserve">      Impuestos a las ganancias relativos a la participación de otro resultado integral de asociadas y negocios conjuntos contabilizados utilizando el método de la participación [resumen]  </t>
  </si>
  <si>
    <t xml:space="preserve">        Impuestos a las ganancias relativos a la participación de otro resultado integral de asociadas y negocios conjuntos contabilizados utilizando el método de la participación que no se reclasificará al resultado del periodo [Número]</t>
  </si>
  <si>
    <t xml:space="preserve">        Impuestos a las ganancias relativos a la participación de otro resultado integral de asociadas y negocios conjuntos contabilizados utilizando el método de la participación que se reclasificará al resultado del periodo [Número]</t>
  </si>
  <si>
    <t xml:space="preserve">        Impuesto a las ganancias relacionado con la participación en el otro resultado integral de asociadas y negocios conjuntos que se contabilicen mediante el método de la participación [Número]</t>
  </si>
  <si>
    <t xml:space="preserve">     Rebajas (reversiones de rebajas) de propiedades, planta y equipo [Número]</t>
  </si>
  <si>
    <t xml:space="preserve">     Ingresos de actividades ordinarias procedentes de intereses [Número]</t>
  </si>
  <si>
    <t xml:space="preserve">     Ingresos de actividades ordinarias [Número]</t>
  </si>
  <si>
    <t xml:space="preserve">       Gastos por primas y comisiones [Número]</t>
  </si>
  <si>
    <t xml:space="preserve">        Ingresos (gastos) por primas y comisiones [Número]</t>
  </si>
  <si>
    <t xml:space="preserve">        Ingresos por primas y comisiones [Número]</t>
  </si>
  <si>
    <t xml:space="preserve">       Gastos por beneficios a los empleados a corto plazo [Número]</t>
  </si>
  <si>
    <t xml:space="preserve">      Gastos por beneficios a los empleados [Número]</t>
  </si>
  <si>
    <t xml:space="preserve">      Gastos por intereses [Número]</t>
  </si>
  <si>
    <t xml:space="preserve">      Ganancias (pérdidas) por disposiciones de propiedades, planta y equipo [Número]</t>
  </si>
  <si>
    <t xml:space="preserve">      Ganancias (pérdidas) por disposiciones de inversiones [Número]</t>
  </si>
  <si>
    <t xml:space="preserve">      Ganancias (pérdidas) por disposiciones de activos no corrientes [Número]</t>
  </si>
  <si>
    <t xml:space="preserve">      Ganancias (pérdidas) por cancelaciones de litigios [Número]</t>
  </si>
  <si>
    <t xml:space="preserve">       Ganancias (pérdidas) por cambios en el valor razonable de derivados [Número]</t>
  </si>
  <si>
    <t xml:space="preserve">      Ganancias (pérdidas) por acción básica y diluida  </t>
  </si>
  <si>
    <t xml:space="preserve">      Descripción de la política contable de activos financieros disponibles para la venta [bloque de texto]  </t>
  </si>
  <si>
    <t xml:space="preserve">      Descripción de la política contable para provisiones para retiro del servicio, restauración y rehabilitación [bloque de texto]  </t>
  </si>
  <si>
    <t xml:space="preserve">      Descripción de la política contable para inversiones mantenidas hasta el vencimiento [bloque de texto]  </t>
  </si>
  <si>
    <t xml:space="preserve">      Descripción de la política contable para préstamos y cuentas por cobrar [bloque de texto]  </t>
  </si>
  <si>
    <t xml:space="preserve">      Descripción de la política contable para activos de minería [bloque de texto]  </t>
  </si>
  <si>
    <t xml:space="preserve">      Descripción de la política contable para derechos de minería [bloque de texto]  </t>
  </si>
  <si>
    <t xml:space="preserve">      Descripción de la política contable para activos de petróleo y gas [bloque de texto]  </t>
  </si>
  <si>
    <t xml:space="preserve">      Descripción de la política contable para costos de desmonte [bloque de texto]  </t>
  </si>
  <si>
    <t xml:space="preserve">      Descripción de otras políticas contables relevantes para comprender los estados financieros [bloque de texto]  </t>
  </si>
  <si>
    <t xml:space="preserve">      Capital social autorizado [Número]</t>
  </si>
  <si>
    <t xml:space="preserve">      Capital social autorizado, suscrito [Número]</t>
  </si>
  <si>
    <t xml:space="preserve">      Capital emitido [Número]</t>
  </si>
  <si>
    <t xml:space="preserve"> Acciones preferentes [miembro]  </t>
  </si>
  <si>
    <t xml:space="preserve"> Acciones ordinarias [miembro]  </t>
  </si>
  <si>
    <t xml:space="preserve">    Lista de notas [sinopsis]  </t>
  </si>
  <si>
    <t xml:space="preserve">    Análisis de otro resultado integral por partida [sinopsis]  </t>
  </si>
  <si>
    <t xml:space="preserve">      Información a revelar sobre el análisis de otro resultado integral por partida [bloque de texto]  </t>
  </si>
  <si>
    <t>Nota - Información adicional [880000]</t>
  </si>
  <si>
    <t>Nota - Lista de notas [800500]</t>
  </si>
  <si>
    <t>Nota - Análisis de otro resultado integral por partida [861000]</t>
  </si>
  <si>
    <t>Reserva de ganancias y pérdidas sobre instrumentos de cobertura que cubren inversiones en instrumentos de patrimonio [miembro]</t>
  </si>
  <si>
    <t>Reserva por cambios en el valor temporal del dinero de opciones [miembro]</t>
  </si>
  <si>
    <t>Reserva por cambios en el valor de los elementos a término de contratos a término [miembro]</t>
  </si>
  <si>
    <t>Reserva por cambios en el valor de los diferenciales de la tasa de cambio de la moneda extranjera [miembro]</t>
  </si>
  <si>
    <t xml:space="preserve">        Pasivos acumulados (devengados) e ingresos diferidos clasificados como no corriente</t>
  </si>
  <si>
    <t xml:space="preserve">                Ingresos diferidos clasificados como no corrientes [Número]</t>
  </si>
  <si>
    <t xml:space="preserve">                Pasivos acumulados (devengados) clasificados como no corrientes/Acumuladas (o devengadas) clasificadas como no corrientes [Número]</t>
  </si>
  <si>
    <t>Pasivos acumulados (devengados) e ingresos diferidos clasificados como no corriente [resumen]</t>
  </si>
  <si>
    <t>Pasivos acumulados (devengados) e ingresos diferidos clasificados como corriente [resumen]</t>
  </si>
  <si>
    <t>Ingreso diferido por alquileres clasificado como corriente</t>
  </si>
  <si>
    <t>Pasivos acumulados (devengados) clasificados como corrientes / Acumuladas (o devengadas) clasificadas como corrientes [Número]</t>
  </si>
  <si>
    <t>Total de pasivos acumulados (devengados) e ingresos diferidos clasificados como corrientes</t>
  </si>
  <si>
    <t>Pasivos acumulados (devengados) e ingresos diferidos [resumen]</t>
  </si>
  <si>
    <t xml:space="preserve">        Ingreso diferido por alquileres [Número]</t>
  </si>
  <si>
    <t xml:space="preserve">        Acumulaciones (devengos) / Acumuladas (o devengadas) [Número]</t>
  </si>
  <si>
    <t xml:space="preserve">        Total de pasivos acumulados (devengados) e ingresos diferidos [Número]</t>
  </si>
  <si>
    <t xml:space="preserve">          Cuentas por pagar por retenciones [Número]</t>
  </si>
  <si>
    <t xml:space="preserve">        Total cuentas comerciales por pagar y otras cuentas por pagar [Número]</t>
  </si>
  <si>
    <t xml:space="preserve">        Propiedades de inversión completadas [Número]</t>
  </si>
  <si>
    <t xml:space="preserve">        Propiedades de inversión en construcción o desarrollo [Número]</t>
  </si>
  <si>
    <t xml:space="preserve">          Cuentas por cobrar corrientes por venta de propiedades [Número]</t>
  </si>
  <si>
    <t xml:space="preserve">          Cuentas por cobrar corrientes por alquiler de propiedades [Número]</t>
  </si>
  <si>
    <t xml:space="preserve">        Cuentas por cobrar no corrientes por venta de propiedades [Número]</t>
  </si>
  <si>
    <t xml:space="preserve">        Cuentas por cobrar no corrientes por alquiler de propiedades [Número]</t>
  </si>
  <si>
    <t xml:space="preserve">        Cuentas por cobrar no corrientes de arrendamientos financieros [Número]</t>
  </si>
  <si>
    <t xml:space="preserve">                      Ingreso diferido por alquileres clasificado como no corriente [Número]</t>
  </si>
  <si>
    <t xml:space="preserve">        Depósitos no corrientes de clientes [Número]</t>
  </si>
  <si>
    <t xml:space="preserve">        Depósitos corrientes de clientes [Número]</t>
  </si>
  <si>
    <t xml:space="preserve">        Pérdida por deterioro de valor reconocida en el resultado del periodo, cuentas comerciales por cobrar} [Número]</t>
  </si>
  <si>
    <t xml:space="preserve">        Reversión de pérdidas por deterioro de valor reconocidas en el resultado del periodo, cuentas comerciales por cobrar [Número]</t>
  </si>
  <si>
    <t xml:space="preserve">        Pérdida por deterioro de valor (reversión de pérdidas por deterioro de valor) reconocida en el resultado del periodo, cuentas comerciales por cobrar [Número]</t>
  </si>
  <si>
    <t xml:space="preserve">        Ganancia (pérdida) por la disposición de propiedades de inversión [resumen]</t>
  </si>
  <si>
    <t xml:space="preserve">          Ganancias por la disposición de propiedades de inversión [Número]</t>
  </si>
  <si>
    <t xml:space="preserve">          Pérdidas por la disposición de propiedades de inversión [Número]</t>
  </si>
  <si>
    <t xml:space="preserve">          Ganancia (pérdida) por la disposición de propiedades de inversión [Número]</t>
  </si>
  <si>
    <t>Ingreso (gasto) por cargos por administración de propiedades [resumen]</t>
  </si>
  <si>
    <t>Ingresos por cargos por administración de propiedades</t>
  </si>
  <si>
    <t>Gasto por cargos por administración de propiedades</t>
  </si>
  <si>
    <t>Ingreso (gasto) por cargos por administración de propiedades</t>
  </si>
  <si>
    <t>Ingresos por desarrollo de propiedades y por gestión de proyectos</t>
  </si>
  <si>
    <t>Gastos de desarrollo de propiedades y de gestión de proyectos</t>
  </si>
  <si>
    <t>Gasto de gestión de propiedades</t>
  </si>
  <si>
    <t xml:space="preserve">          Cargos bancarios y similares [Número]</t>
  </si>
  <si>
    <t xml:space="preserve">        Total depreciación, amortización y pérdidas por deterioro de valor (reversión de la pérdida por deterioro de valor) reconocidas en el resultado del periodo [Número]</t>
  </si>
  <si>
    <t>Ingresos por sanciones y multas</t>
  </si>
  <si>
    <t>AND: Andorra</t>
  </si>
  <si>
    <t>ARE: United Arab Emirates (the)</t>
  </si>
  <si>
    <t>AFG: Afghanistan</t>
  </si>
  <si>
    <t>ATG: Antigua and Barbuda</t>
  </si>
  <si>
    <t>AIA: Anguilla</t>
  </si>
  <si>
    <t>ALB: Albania</t>
  </si>
  <si>
    <t>ARM: Armenia</t>
  </si>
  <si>
    <t>AGO: Angola</t>
  </si>
  <si>
    <t>ATA: Antarctica</t>
  </si>
  <si>
    <t>ARG: Argentina</t>
  </si>
  <si>
    <t>ASM: American Samoa</t>
  </si>
  <si>
    <t>AUT: Austria</t>
  </si>
  <si>
    <t>AUS: Australia</t>
  </si>
  <si>
    <t>ABW: Aruba</t>
  </si>
  <si>
    <t>AZE: Azerbaijan</t>
  </si>
  <si>
    <t>BIH: Bosnia and Herzegovina</t>
  </si>
  <si>
    <t>BRB: Barbados</t>
  </si>
  <si>
    <t>BGD: Bangladesh</t>
  </si>
  <si>
    <t>BEL: Belgium</t>
  </si>
  <si>
    <t>BFA: Burkina Faso</t>
  </si>
  <si>
    <t>BGR: Bulgaria</t>
  </si>
  <si>
    <t>BHR: Bahrain</t>
  </si>
  <si>
    <t>BDI: Burundi</t>
  </si>
  <si>
    <t>BEN: Benin</t>
  </si>
  <si>
    <t>BMU: Bermuda</t>
  </si>
  <si>
    <t>BRN: Brunei Darussalam</t>
  </si>
  <si>
    <t>BOL: Bolivia, Plurinational State of</t>
  </si>
  <si>
    <t>BES: Bonaire, Sint Eustatius and Saba</t>
  </si>
  <si>
    <t>BRA: Brazil</t>
  </si>
  <si>
    <t>BHS: Bahamas (the)</t>
  </si>
  <si>
    <t>BTN: Bhutan</t>
  </si>
  <si>
    <t>BVT: Bouvet Island</t>
  </si>
  <si>
    <t>BWA: Botswana</t>
  </si>
  <si>
    <t>BLR: Belarus</t>
  </si>
  <si>
    <t>BLZ: Belize</t>
  </si>
  <si>
    <t>CAN: Canada</t>
  </si>
  <si>
    <t>CCK: Cocos (Keeling) Islands (the)</t>
  </si>
  <si>
    <t>COD: Congo (the Democratic Republic of the)</t>
  </si>
  <si>
    <t>CAF: Central African Republic (the)</t>
  </si>
  <si>
    <t>COG: Congo</t>
  </si>
  <si>
    <t>CHE: Switzerland</t>
  </si>
  <si>
    <t>COK: Cook Islands (the)</t>
  </si>
  <si>
    <t>CHL: Chile</t>
  </si>
  <si>
    <t>CMR: Cameroon</t>
  </si>
  <si>
    <t>CHN: China</t>
  </si>
  <si>
    <t>COL: Colombia</t>
  </si>
  <si>
    <t>CRI: Costa Rica</t>
  </si>
  <si>
    <t>CUB: Cuba</t>
  </si>
  <si>
    <t>CPV: Cabo Verde</t>
  </si>
  <si>
    <t>CXR: Christmas Island</t>
  </si>
  <si>
    <t>CYP: Cyprus</t>
  </si>
  <si>
    <t>CZE: Czech Republic (the)</t>
  </si>
  <si>
    <t>DEU: Germany</t>
  </si>
  <si>
    <t>DJI: Djibouti</t>
  </si>
  <si>
    <t>DNK: Denmark</t>
  </si>
  <si>
    <t>DMA: Dominica</t>
  </si>
  <si>
    <t>DOM: Dominican Republic (the)</t>
  </si>
  <si>
    <t>DZA: Algeria</t>
  </si>
  <si>
    <t>ECU: Ecuador</t>
  </si>
  <si>
    <t>EST: Estonia</t>
  </si>
  <si>
    <t>EGY: Egypt</t>
  </si>
  <si>
    <t>ESH: Western Sahara*</t>
  </si>
  <si>
    <t>ERI: Eritrea</t>
  </si>
  <si>
    <t>ESP: Spain</t>
  </si>
  <si>
    <t>ETH: Ethiopia</t>
  </si>
  <si>
    <t>FIN: Finland</t>
  </si>
  <si>
    <t>FJI: Fiji</t>
  </si>
  <si>
    <t>FLK: Falkland Islands (the) [Malvinas]</t>
  </si>
  <si>
    <t>FSM: Micronesia (the Federated States of)</t>
  </si>
  <si>
    <t>FRO: Faroe Islands (the)</t>
  </si>
  <si>
    <t>FRA: France</t>
  </si>
  <si>
    <t>GAB: Gabon</t>
  </si>
  <si>
    <t>GBR: United Kingdom (the)</t>
  </si>
  <si>
    <t>GRD: Grenada</t>
  </si>
  <si>
    <t>GEO: Georgia</t>
  </si>
  <si>
    <t>GUF: French Guiana</t>
  </si>
  <si>
    <t>GGY: Guernsey</t>
  </si>
  <si>
    <t>GHA: Ghana</t>
  </si>
  <si>
    <t>GIB: Gibraltar</t>
  </si>
  <si>
    <t>GRL: Greenland</t>
  </si>
  <si>
    <t>GMB: Gambia (The)</t>
  </si>
  <si>
    <t>GIN: Guinea</t>
  </si>
  <si>
    <t>GLP: Guadeloupe</t>
  </si>
  <si>
    <t>GNQ: Equatorial Guinea</t>
  </si>
  <si>
    <t>GRC: Greece</t>
  </si>
  <si>
    <t>SGS: South Georgia and the South Sandwich Islands</t>
  </si>
  <si>
    <t>GTM: Guatemala</t>
  </si>
  <si>
    <t>GUM: Guam</t>
  </si>
  <si>
    <t>GNB: Guinea-Bissau</t>
  </si>
  <si>
    <t>GUY: Guyana</t>
  </si>
  <si>
    <t>HKG: Hong Kong</t>
  </si>
  <si>
    <t>HMD: Heard Island and McDonald Islands</t>
  </si>
  <si>
    <t>HND: Honduras</t>
  </si>
  <si>
    <t>HRV: Croatia</t>
  </si>
  <si>
    <t>HTI: Haiti</t>
  </si>
  <si>
    <t>HUN: Hungary</t>
  </si>
  <si>
    <t>IDN: Indonesia</t>
  </si>
  <si>
    <t>IRL: Ireland</t>
  </si>
  <si>
    <t>ISR: Israel</t>
  </si>
  <si>
    <t>IMN: Isle of Man</t>
  </si>
  <si>
    <t>IND: India</t>
  </si>
  <si>
    <t>IOT: British Indian Ocean Territory (the)</t>
  </si>
  <si>
    <t>IRQ: Iraq</t>
  </si>
  <si>
    <t>IRN: Iran (the Islamic Republic of)</t>
  </si>
  <si>
    <t>ISL: Iceland</t>
  </si>
  <si>
    <t>ITA: Italy</t>
  </si>
  <si>
    <t>JEY: Jersey</t>
  </si>
  <si>
    <t>JAM: Jamaica</t>
  </si>
  <si>
    <t>JOR: Jordan</t>
  </si>
  <si>
    <t>JPN: Japan</t>
  </si>
  <si>
    <t>KEN: Kenya</t>
  </si>
  <si>
    <t>KGZ: Kyrgyzstan</t>
  </si>
  <si>
    <t>KHM: Cambodia</t>
  </si>
  <si>
    <t>KIR: Kiribati</t>
  </si>
  <si>
    <t>COM: Comoros</t>
  </si>
  <si>
    <t>KNA: Saint Kitts and Nevis</t>
  </si>
  <si>
    <t>PRK: Korea (the Democratic People's Republic of)</t>
  </si>
  <si>
    <t>KOR: Korea (the Republic of)</t>
  </si>
  <si>
    <t>KWT: Kuwait</t>
  </si>
  <si>
    <t>CYM: Cayman Islands (the)</t>
  </si>
  <si>
    <t>KAZ: Kazakhstan</t>
  </si>
  <si>
    <t>LAO: Lao People's Democratic Republic (the)</t>
  </si>
  <si>
    <t>LBN: Lebanon</t>
  </si>
  <si>
    <t>LCA: Saint Lucia</t>
  </si>
  <si>
    <t>LIE: Liechtenstein</t>
  </si>
  <si>
    <t>LKA: Sri Lanka</t>
  </si>
  <si>
    <t>LBR: Liberia</t>
  </si>
  <si>
    <t>LSO: Lesotho</t>
  </si>
  <si>
    <t>LTU: Lithuania</t>
  </si>
  <si>
    <t>LUX: Luxembourg</t>
  </si>
  <si>
    <t>LVA: Latvia</t>
  </si>
  <si>
    <t>LBY: Libya</t>
  </si>
  <si>
    <t>MAR: Morocco</t>
  </si>
  <si>
    <t>MCO: Monaco</t>
  </si>
  <si>
    <t>MDA: Moldova (the Republic of)</t>
  </si>
  <si>
    <t>MNE: Montenegro</t>
  </si>
  <si>
    <t>MAF: Saint Martin (French part)</t>
  </si>
  <si>
    <t>MDG: Madagascar</t>
  </si>
  <si>
    <t>MHL: Marshall Islands (the)</t>
  </si>
  <si>
    <t>MKD: Macedonia (the former Yugoslav Republic of)</t>
  </si>
  <si>
    <t>MLI: Mali</t>
  </si>
  <si>
    <t>MMR: Myanmar</t>
  </si>
  <si>
    <t>MNG: Mongolia</t>
  </si>
  <si>
    <t>MAC: Macao</t>
  </si>
  <si>
    <t>MNP: Northern Mariana Islands (the)</t>
  </si>
  <si>
    <t>MTQ: Martinique</t>
  </si>
  <si>
    <t>MRT: Mauritania</t>
  </si>
  <si>
    <t>MSR: Montserrat</t>
  </si>
  <si>
    <t>MLT: Malta</t>
  </si>
  <si>
    <t>MUS: Mauritius</t>
  </si>
  <si>
    <t>MDV: Maldives</t>
  </si>
  <si>
    <t>MWI: Malawi</t>
  </si>
  <si>
    <t>MEX: Mexico</t>
  </si>
  <si>
    <t>MYS: Malaysia</t>
  </si>
  <si>
    <t>MOZ: Mozambique</t>
  </si>
  <si>
    <t>NAM: Namibia</t>
  </si>
  <si>
    <t>NCL: New Caledonia</t>
  </si>
  <si>
    <t>NER: Niger (the)</t>
  </si>
  <si>
    <t>NFK: Norfolk Island</t>
  </si>
  <si>
    <t>NGA: Nigeria</t>
  </si>
  <si>
    <t>NIC: Nicaragua</t>
  </si>
  <si>
    <t>NLD: Netherlands (the)</t>
  </si>
  <si>
    <t>NOR: Norway</t>
  </si>
  <si>
    <t>NPL: Nepal</t>
  </si>
  <si>
    <t>NRU: Nauru</t>
  </si>
  <si>
    <t>NIU: Niue</t>
  </si>
  <si>
    <t>NZL: New Zealand</t>
  </si>
  <si>
    <t>OMN: Oman</t>
  </si>
  <si>
    <t>PAN: Panama</t>
  </si>
  <si>
    <t>PER: Peru</t>
  </si>
  <si>
    <t>PYF: French Polynesia</t>
  </si>
  <si>
    <t>PNG: Papua New Guinea</t>
  </si>
  <si>
    <t>PHL: Philippines (the)</t>
  </si>
  <si>
    <t>PAK: Pakistan</t>
  </si>
  <si>
    <t>POL: Poland</t>
  </si>
  <si>
    <t>SPM: Saint Pierre and Miquelon</t>
  </si>
  <si>
    <t>PCN: Pitcairn</t>
  </si>
  <si>
    <t>PRI: Puerto Rico</t>
  </si>
  <si>
    <t>PSE: Palestine, State of</t>
  </si>
  <si>
    <t>PRT: Portugal</t>
  </si>
  <si>
    <t>PLW: Palau</t>
  </si>
  <si>
    <t>PRY: Paraguay</t>
  </si>
  <si>
    <t>QAT: Qatar</t>
  </si>
  <si>
    <t>ROU: Romania</t>
  </si>
  <si>
    <t>SRB: Serbia</t>
  </si>
  <si>
    <t>RUS: Russian Federation (the)</t>
  </si>
  <si>
    <t>RWA: Rwanda</t>
  </si>
  <si>
    <t>SAU: Saudi Arabia</t>
  </si>
  <si>
    <t>SLB: Solomon Islands (the)</t>
  </si>
  <si>
    <t>SYC: Seychelles</t>
  </si>
  <si>
    <t>SDN: Sudan (the)</t>
  </si>
  <si>
    <t>SWE: Sweden</t>
  </si>
  <si>
    <t>SGP: Singapore</t>
  </si>
  <si>
    <t>SHN: Saint Helena, Ascension and Tristan da Cunha</t>
  </si>
  <si>
    <t>SVN: Slovenia</t>
  </si>
  <si>
    <t>SJM: Svalbard and Jan Mayen</t>
  </si>
  <si>
    <t>SVK: Slovakia</t>
  </si>
  <si>
    <t>SLE: Sierra Leone</t>
  </si>
  <si>
    <t>SMR: San Marino</t>
  </si>
  <si>
    <t>SEN: Senegal</t>
  </si>
  <si>
    <t>SOM: Somalia</t>
  </si>
  <si>
    <t>SUR: Suriname</t>
  </si>
  <si>
    <t>SSD: South Sudan</t>
  </si>
  <si>
    <t>STP: Sao Tome and Principe</t>
  </si>
  <si>
    <t>SLV: El Salvador</t>
  </si>
  <si>
    <t>SXM: Sint Maarten (Dutch part)</t>
  </si>
  <si>
    <t>SYR: Syrian Arab Republic (the)</t>
  </si>
  <si>
    <t>SWZ: Swaziland</t>
  </si>
  <si>
    <t>TCA: Turks and Caicos Islands (the)</t>
  </si>
  <si>
    <t>TCD: Chad</t>
  </si>
  <si>
    <t>ATF: French Southern Territories (the)</t>
  </si>
  <si>
    <t>TGO: Togo</t>
  </si>
  <si>
    <t>THA: Thailand</t>
  </si>
  <si>
    <t>TJK: Tajikistan</t>
  </si>
  <si>
    <t>TKL: Tokelau</t>
  </si>
  <si>
    <t>TLS: Timor-Leste</t>
  </si>
  <si>
    <t>TKM: Turkmenistan</t>
  </si>
  <si>
    <t>TUN: Tunisia</t>
  </si>
  <si>
    <t>TON: Tonga</t>
  </si>
  <si>
    <t>TUR: Turkey</t>
  </si>
  <si>
    <t>TTO: Trinidad and Tobago</t>
  </si>
  <si>
    <t>TUV: Tuvalu</t>
  </si>
  <si>
    <t>TWN: Taiwan (Province of China)</t>
  </si>
  <si>
    <t>TZA: Tanzania, United Republic of</t>
  </si>
  <si>
    <t>UKR: Ukraine</t>
  </si>
  <si>
    <t>UGA: Uganda</t>
  </si>
  <si>
    <t>UMI: United States Minor Outlying Islands (the)</t>
  </si>
  <si>
    <t>URY: Uruguay</t>
  </si>
  <si>
    <t>UZB: Uzbekistan</t>
  </si>
  <si>
    <t>VAT: Holy See (the) [Vatican City State]</t>
  </si>
  <si>
    <t>VCT: Saint Vincent and the Grenadines</t>
  </si>
  <si>
    <t>VGB: Virgin Islands (British)</t>
  </si>
  <si>
    <t>VIR: Virgin Islands (U.S.)</t>
  </si>
  <si>
    <t>VNM: Viet Nam</t>
  </si>
  <si>
    <t>VUT: Vanuatu</t>
  </si>
  <si>
    <t>WLF: Wallis and Futuna</t>
  </si>
  <si>
    <t>WSM: Samoa</t>
  </si>
  <si>
    <t>YEM: Yemen</t>
  </si>
  <si>
    <t>MYT: Mayotte</t>
  </si>
  <si>
    <t>ZAF: South Africa</t>
  </si>
  <si>
    <t>ZMB: Zambia</t>
  </si>
  <si>
    <t>ZWE: Zimbabwe</t>
  </si>
  <si>
    <t xml:space="preserve">            Información a revelar sobre objetivos, políticas y procesos para la gestión del capital [bloque de texto]</t>
  </si>
  <si>
    <t>Descripción de la política contable para costos de adquisición de clientes [bloque de texto]</t>
  </si>
  <si>
    <t>AED: UAE Dirham</t>
  </si>
  <si>
    <t>AFN: Afghani</t>
  </si>
  <si>
    <t>ALL: Lek</t>
  </si>
  <si>
    <t>AMD: Armenian Dram</t>
  </si>
  <si>
    <t>ANG: Netherlands Antillean Guilder</t>
  </si>
  <si>
    <t>AOA: Kwanza</t>
  </si>
  <si>
    <t>ARS: Argentine Peso</t>
  </si>
  <si>
    <t>AUD: Australian Dollar</t>
  </si>
  <si>
    <t>AWG: Aruban Florin</t>
  </si>
  <si>
    <t>AZN: Azerbaijanian Manat</t>
  </si>
  <si>
    <t>BAM: Convertible Mark</t>
  </si>
  <si>
    <t>BBD: Barbados Dollar</t>
  </si>
  <si>
    <t>BDT: Taka</t>
  </si>
  <si>
    <t>BGN: Bulgarian Lev</t>
  </si>
  <si>
    <t>BHD: Bahraini Dinar</t>
  </si>
  <si>
    <t>BIF: Burundi Franc</t>
  </si>
  <si>
    <t>BMD: Bermudian Dollar</t>
  </si>
  <si>
    <t>BND: Brunei Dollar</t>
  </si>
  <si>
    <t>BOB: Boliviano</t>
  </si>
  <si>
    <t>BOV: Mvdol</t>
  </si>
  <si>
    <t>BRL: Brazilian Real</t>
  </si>
  <si>
    <t>BSD: Bahamian Dollar</t>
  </si>
  <si>
    <t>BTN: Ngultrum</t>
  </si>
  <si>
    <t>BWP: Pula</t>
  </si>
  <si>
    <t>BYR: Belarussian Ruble</t>
  </si>
  <si>
    <t>BZD: Belize Dollar</t>
  </si>
  <si>
    <t>CAD: Canadian Dollar</t>
  </si>
  <si>
    <t>CDF: Congolese Franc</t>
  </si>
  <si>
    <t>CHE: WIR Euro</t>
  </si>
  <si>
    <t>CHF: Swiss Franc</t>
  </si>
  <si>
    <t>CHW: WIR Franc</t>
  </si>
  <si>
    <t>CLF: Unidad de Fomento</t>
  </si>
  <si>
    <t>CLP: Chilean Peso</t>
  </si>
  <si>
    <t>CNY: Yuan Renminbi</t>
  </si>
  <si>
    <t>COP: Colombian Peso</t>
  </si>
  <si>
    <t>COU: Unidad de Valor Real</t>
  </si>
  <si>
    <t>CRC: Costa Rican Colon</t>
  </si>
  <si>
    <t>CUC: Peso Convertible</t>
  </si>
  <si>
    <t>CUP: Cuban Peso</t>
  </si>
  <si>
    <t>CVE: Cabo Verde Escudo</t>
  </si>
  <si>
    <t>CZK: Czech Koruna</t>
  </si>
  <si>
    <t>DJF: Djibouti Franc</t>
  </si>
  <si>
    <t>DKK: Danish Krone</t>
  </si>
  <si>
    <t>DOP: Dominican Peso</t>
  </si>
  <si>
    <t>DZD: Algerian Dinar</t>
  </si>
  <si>
    <t>EGP: Egyptian Pound</t>
  </si>
  <si>
    <t>ERN: Nakfa</t>
  </si>
  <si>
    <t>ETB: Ethiopian Birr</t>
  </si>
  <si>
    <t>EUR: Euro</t>
  </si>
  <si>
    <t>FJD: Fiji Dollar</t>
  </si>
  <si>
    <t>FKP: Falkland Islands Pound</t>
  </si>
  <si>
    <t>GBP: Pound Sterling</t>
  </si>
  <si>
    <t>GEL: Lari</t>
  </si>
  <si>
    <t>GHS: Ghana Cedi</t>
  </si>
  <si>
    <t>GIP: Gibraltar Pound</t>
  </si>
  <si>
    <t>GMD: Dalasi</t>
  </si>
  <si>
    <t>GNF: Guinea Franc</t>
  </si>
  <si>
    <t>GTQ: Quetzal</t>
  </si>
  <si>
    <t>HKD: Hong Kong Dollar</t>
  </si>
  <si>
    <t>HNL: Lempira</t>
  </si>
  <si>
    <t>HTG: Gourde</t>
  </si>
  <si>
    <t>HUF: Forint</t>
  </si>
  <si>
    <t>IDR: Rupiah</t>
  </si>
  <si>
    <t>ILS: New Israeli Sheqel</t>
  </si>
  <si>
    <t>INR: Indian Rupee</t>
  </si>
  <si>
    <t>IQD: Iraqi Dinar</t>
  </si>
  <si>
    <t>IRR: Iranian Rial</t>
  </si>
  <si>
    <t>ISK: Iceland Krona</t>
  </si>
  <si>
    <t>JMD: Jamaican Dollar</t>
  </si>
  <si>
    <t>JOD: Jordanian Dinar</t>
  </si>
  <si>
    <t>JPY: Yen</t>
  </si>
  <si>
    <t>KES: Kenyan Shilling</t>
  </si>
  <si>
    <t>KGS: Som</t>
  </si>
  <si>
    <t>KHR: Riel</t>
  </si>
  <si>
    <t>KMF: Comoro Franc</t>
  </si>
  <si>
    <t>KPW: North Korean Won</t>
  </si>
  <si>
    <t>KRW: Won</t>
  </si>
  <si>
    <t>KWD: Kuwaiti Dinar</t>
  </si>
  <si>
    <t>KYD: Cayman Islands Dollar</t>
  </si>
  <si>
    <t>KZT: Tenge</t>
  </si>
  <si>
    <t>LAK: Kip</t>
  </si>
  <si>
    <t>LBP: Lebanese Pound</t>
  </si>
  <si>
    <t>LKR: Sri Lanka Rupee</t>
  </si>
  <si>
    <t>LRD: Liberian Dollar</t>
  </si>
  <si>
    <t>LSL: Loti</t>
  </si>
  <si>
    <t>LYD: Libyan Dinar</t>
  </si>
  <si>
    <t>MAD: Moroccan Dirham</t>
  </si>
  <si>
    <t>MDL: Moldovan Leu</t>
  </si>
  <si>
    <t>MKD: Denar</t>
  </si>
  <si>
    <t>MMK: Kyat</t>
  </si>
  <si>
    <t>MNT: Tugrik</t>
  </si>
  <si>
    <t>MOP: Pataca</t>
  </si>
  <si>
    <t>MRO: Ouguiya</t>
  </si>
  <si>
    <t>MUR: Mauritius Rupee</t>
  </si>
  <si>
    <t>MVR: Rufiyaa</t>
  </si>
  <si>
    <t>MWK: Kwacha</t>
  </si>
  <si>
    <t>MXN: Mexican Peso</t>
  </si>
  <si>
    <t>MXV: Mexican Unidad de Inversion (UDI)</t>
  </si>
  <si>
    <t>MYR: Malaysian Ringgit</t>
  </si>
  <si>
    <t>MZN: Mozambique Metical</t>
  </si>
  <si>
    <t>NAD: Namibia Dollar</t>
  </si>
  <si>
    <t>NGN: Naira</t>
  </si>
  <si>
    <t>NIO: Cordoba Oro</t>
  </si>
  <si>
    <t>NOK: Norwegian Krone</t>
  </si>
  <si>
    <t>NPR: Nepalese Rupee</t>
  </si>
  <si>
    <t>NZD: New Zealand Dollar</t>
  </si>
  <si>
    <t>OMR: Rial Omani</t>
  </si>
  <si>
    <t>PAB: Balboa</t>
  </si>
  <si>
    <t>PGK: Kina</t>
  </si>
  <si>
    <t>PHP: Philippine Peso</t>
  </si>
  <si>
    <t>PKR: Pakistan Rupee</t>
  </si>
  <si>
    <t>PLN: Zloty</t>
  </si>
  <si>
    <t>PYG: Guarani</t>
  </si>
  <si>
    <t>QAR: Qatari Rial</t>
  </si>
  <si>
    <t>RON: New Romanian Leu</t>
  </si>
  <si>
    <t>RSD: Serbian Dinar</t>
  </si>
  <si>
    <t>RUB: Russian Ruble</t>
  </si>
  <si>
    <t>RWF: Rwanda Franc</t>
  </si>
  <si>
    <t>SAR: Saudi Riyal</t>
  </si>
  <si>
    <t>SBD: Solomon Islands Dollar</t>
  </si>
  <si>
    <t>SCR: Seychelles Rupee</t>
  </si>
  <si>
    <t>SDG: Sudanese Pound</t>
  </si>
  <si>
    <t>SEK: Swedish Krona</t>
  </si>
  <si>
    <t>SGD: Singapore Dollar</t>
  </si>
  <si>
    <t>SHP: Saint Helena Pound</t>
  </si>
  <si>
    <t>SLL: Leone</t>
  </si>
  <si>
    <t>SOS: Somali Shilling</t>
  </si>
  <si>
    <t>SRD: Surinam Dollar</t>
  </si>
  <si>
    <t>SSP: South Sudanese Pound</t>
  </si>
  <si>
    <t>STD: Dobra</t>
  </si>
  <si>
    <t>SVC: El Salvador Colon</t>
  </si>
  <si>
    <t>SYP: Syrian Pound</t>
  </si>
  <si>
    <t>SZL: Lilangeni</t>
  </si>
  <si>
    <t>THB: Baht</t>
  </si>
  <si>
    <t>TJS: Somoni</t>
  </si>
  <si>
    <t>TMT: Turkmenistan New Manat</t>
  </si>
  <si>
    <t>TND: Tunisian Dinar</t>
  </si>
  <si>
    <t>TRY: Turkish Lira</t>
  </si>
  <si>
    <t>TTD: Trinidad and Tobago Dollar</t>
  </si>
  <si>
    <t>TWD: New Taiwan Dollar</t>
  </si>
  <si>
    <t>TZS: Tanzanian Shilling</t>
  </si>
  <si>
    <t>UAH: Hryvnia</t>
  </si>
  <si>
    <t>UGX: Uganda Shilling</t>
  </si>
  <si>
    <t>USD: US Dollar</t>
  </si>
  <si>
    <t>USN: US Dollar (Next day)</t>
  </si>
  <si>
    <t>UYI: Uruguay Peso en Unidades Indexadas (URUIURUI)</t>
  </si>
  <si>
    <t>UYU: Peso Uruguayo</t>
  </si>
  <si>
    <t>UZS: Uzbekistan Sum</t>
  </si>
  <si>
    <t>VND: Dong</t>
  </si>
  <si>
    <t>VUV: Vatu</t>
  </si>
  <si>
    <t>WST: Tala</t>
  </si>
  <si>
    <t>XAF: CFA Franc BEAC</t>
  </si>
  <si>
    <t>XAG: Silver</t>
  </si>
  <si>
    <t>XAU: Gold</t>
  </si>
  <si>
    <t>XBA: Bond Markets Unit European Composite Unit (EURCO)</t>
  </si>
  <si>
    <t>XBB: Bond Markets Unit European Monetary Unit (E.M.U.-6)</t>
  </si>
  <si>
    <t>XBC: Bond Markets Unit European Unit of Account 9 (E.U.A.-9)</t>
  </si>
  <si>
    <t>XBD: Bond Markets Unit European Unit of Account 17 (E.U.A.-17)</t>
  </si>
  <si>
    <t>XCD: East Caribbean Dollar</t>
  </si>
  <si>
    <t>XDR: SDR (Special Drawing Right)</t>
  </si>
  <si>
    <t>XOF: CFA Franc BCEAO</t>
  </si>
  <si>
    <t>XPD: Palladium</t>
  </si>
  <si>
    <t>XPF: CFP Franc</t>
  </si>
  <si>
    <t>XPT: Platinum</t>
  </si>
  <si>
    <t>XSU: Sucre</t>
  </si>
  <si>
    <t>XTS: Codes specifically reserved for testing purposes</t>
  </si>
  <si>
    <t>XUA: ADB Unit of Account</t>
  </si>
  <si>
    <t>XXX: The codes assigned for transactions where no currency is involved</t>
  </si>
  <si>
    <t>YER: Yemeni Rial</t>
  </si>
  <si>
    <t>ZAR: Rand</t>
  </si>
  <si>
    <t>ZMW: Zambian Kwacha</t>
  </si>
  <si>
    <t>ZWL: Zimbabwe Dollar</t>
  </si>
  <si>
    <t>Número de acciones emitidas [Decimal]</t>
  </si>
  <si>
    <t>Cierre periodo año actual</t>
  </si>
  <si>
    <t>Cierre periodo año anterior</t>
  </si>
  <si>
    <t>Trimestre acumulado año actual</t>
  </si>
  <si>
    <t>Trimestre acumulado año anterior</t>
  </si>
  <si>
    <t>Último trimestre año actual</t>
  </si>
  <si>
    <t>Último trimestre año anterior</t>
  </si>
  <si>
    <t xml:space="preserve">        Total Propiedades de inversión [Número]</t>
  </si>
  <si>
    <t xml:space="preserve">        Cuentas por cobrar por venta de propiedades [Número]</t>
  </si>
  <si>
    <t xml:space="preserve">        Cuentas por cobrar por alquiler de propiedades [Número]</t>
  </si>
  <si>
    <t xml:space="preserve">        Propiedades previstas para la venta en el curso ordinario del negocio [Número]</t>
  </si>
  <si>
    <t xml:space="preserve">        Cuentas por cobrar corrientes de arrendamientos financieros  [Número]</t>
  </si>
  <si>
    <t xml:space="preserve">        Cuentas por pagar no corrientes por retenciones [Número]</t>
  </si>
  <si>
    <t xml:space="preserve">Cuentas por pagar corrientes por retenciones </t>
  </si>
  <si>
    <t xml:space="preserve">     Gasto por impuestos a la propiedad [Número]</t>
  </si>
  <si>
    <t xml:space="preserve">      Propiedades de Inversión [sinopsis]  </t>
  </si>
  <si>
    <t>Cargar hoja:</t>
  </si>
  <si>
    <t>SI</t>
  </si>
  <si>
    <t>NO</t>
  </si>
  <si>
    <t>full_ifrs-cor_2015-03-11.xsd#ifrs-full_BearerPlants</t>
  </si>
  <si>
    <t xml:space="preserve">        Plantas productoras [Número]</t>
  </si>
  <si>
    <t>Activos financieros no corrientes al valor razonable con cambios en otro resultado integral [resumen]</t>
  </si>
  <si>
    <t>full_ifrs-cor_2015-03-11.xsd#ifrs-full_NoncurrentFinancialAssetsMeasuredAtFairValueThroughOtherComprehensiveIncome</t>
  </si>
  <si>
    <t>full_ifrs-cor_2015-03-11.xsd#ifrs-full_NoncurrentInvestmentsInEquityInstrumentsDesignatedAtFairValueThroughOtherComprehensiveIncome</t>
  </si>
  <si>
    <t>full_ifrs-cor_2015-03-11.xsd#ifrs-full_NoncurrentFinancialAssetsAtFairValueThroughOtherComprehensiveIncome</t>
  </si>
  <si>
    <t>Activos financieros no corrientes al valor razonable con cambios en otro resultado integral [Número]</t>
  </si>
  <si>
    <t>Activos financieros corrientes al valor razonable con cambios en otro resultado integral [Número]</t>
  </si>
  <si>
    <t>Activos financieros corrientes al valor razonable con cambios en otro resultado integral [resumen]</t>
  </si>
  <si>
    <t>Activos financieros corrientes a valor razonable con cambios en resultados, designados en el momento del reconocimiento inicial [Número]</t>
  </si>
  <si>
    <t>Activos financieros corrientes al valor razonable con cambios en resultados, clasificados como mantenidos para negociar [Número]</t>
  </si>
  <si>
    <t>Activos financieros corrientes a valor razonable con cambios en resultados, medidos obligatoriamente a valor razonable [Número]</t>
  </si>
  <si>
    <t>Activos financieros corrientes al valor razonable con cambios en resultados [Número]</t>
  </si>
  <si>
    <t>Activos financieros corrientes disponibles para la venta [Número]</t>
  </si>
  <si>
    <t>Inversiones corrientes mantenidas hasta el vencimiento [Número]</t>
  </si>
  <si>
    <t>Préstamos y cuentas por cobrar corrientes [Número]</t>
  </si>
  <si>
    <t>Activos financieros corrientes al costo amortizado [Número]</t>
  </si>
  <si>
    <t>Activos financieros corrientes [Número]</t>
  </si>
  <si>
    <t>Activos financieros al valor razonable con cambios en otro resultado integral [resumen]</t>
  </si>
  <si>
    <t>full_ifrs-cor_2015-03-11.xsd#ifrs-full_FairValueOfInvestmentsInEquityInstrumentsDesignatedAsMeasuredAtFairValueThroughOtherComprehensiveIncome</t>
  </si>
  <si>
    <t>full_ifrs-cor_2015-03-11.xsd#ifrs-full_FinancialAssetsAtFairValueThroughOtherComprehensiveIncome</t>
  </si>
  <si>
    <t>Clases de inventarios corrientes, alternativa [resumen]</t>
  </si>
  <si>
    <t>Ingresos de actividades ordinarias por prestación de servicios de telecomunicación [resumen]</t>
  </si>
  <si>
    <t>full_ifrs-cor_2015-03-11.xsd#ifrs-full_RevenueFromRenderingOfTelephoneServices</t>
  </si>
  <si>
    <t>full_ifrs-cor_2015-03-11.xsd#ifrs-full_RevenueFromRenderingOfLandLineTelephoneServices</t>
  </si>
  <si>
    <t>full_ifrs-cor_2015-03-11.xsd#ifrs-full_RevenueFromRenderingOfMobileTelephoneServices</t>
  </si>
  <si>
    <t>Ingresos de actividades ordinarias por prestación de servicios de suministro de datos e internet [resumen]</t>
  </si>
  <si>
    <t>full_ifrs-cor_2015-03-11.xsd#ifrs-full_RevenueFromRenderingOfInternetServices</t>
  </si>
  <si>
    <t>full_ifrs-cor_2015-03-11.xsd#ifrs-full_RevenueFromRenderingOfDataServices</t>
  </si>
  <si>
    <t>full_ifrs-cor_2015-03-11.xsd#ifrs-full_RevenueFromRenderingOfInternetAndDataServices</t>
  </si>
  <si>
    <t>full_ifrs-cor_2015-03-11.xsd#ifrs-full_RevenueFromRenderingOfInterconnectionServices</t>
  </si>
  <si>
    <t>full_ifrs-cor_2015-03-11.xsd#ifrs-full_RevenueFromRenderingOfOtherTelecommunicationServices</t>
  </si>
  <si>
    <t>full_ifrs-cor_2015-03-11.xsd#ifrs-full_RevenueFromRenderingOfTelecommunicationServices</t>
  </si>
  <si>
    <t>full_ifrs-cor_2015-03-11.xsd#ifrs-full_RevenueFromRenderingOfTransportServices</t>
  </si>
  <si>
    <t>full_ifrs-cor_2015-03-11.xsd#ifrs-full_RevenueFromRenderingOfPassengerTransportServices</t>
  </si>
  <si>
    <t>full_ifrs-cor_2015-03-11.xsd#ifrs-full_RevenueFromRenderingOfCargoAndMailTransportServices</t>
  </si>
  <si>
    <t>full_ifrs-cor_2015-03-11.xsd#ifrs-full_LicenceFeeIncome</t>
  </si>
  <si>
    <t>Descripción de la política contable para programas de fidelización de clientes [bloque de texto]</t>
  </si>
  <si>
    <t>full_ifrs-cor_2015-03-11.xsd#ifrs-full_DescriptionOfAccountingPolicyForCustomerLoyaltyProgrammesExplanatory</t>
  </si>
  <si>
    <t>Descripción de la política contable para impuesto a las ganancias diferido [bloque de texto]</t>
  </si>
  <si>
    <t>full_ifrs-cor_2015-03-11.xsd#ifrs-full_DescriptionOfAccountingPolicyForDeferredIncomeTaxExplanatory</t>
  </si>
  <si>
    <t>Descripción de la política contable para reparaciones y mantenimiento [bloque de texto]</t>
  </si>
  <si>
    <t>full_ifrs-cor_2015-03-11.xsd#ifrs-full_DescriptionOfAccountingPolicyForRepairsAndMaintenanceExplanatory</t>
  </si>
  <si>
    <t>Descripción de la política contable para impuestos distintos del impuesto a las ganancias [bloque de texto]</t>
  </si>
  <si>
    <t>full_ifrs-cor_2015-03-11.xsd#ifrs-full_DescriptionOfAccountingPolicyForTaxesOtherThanIncomeTaxExplanatory</t>
  </si>
  <si>
    <t>Descripción de la política contable para garantías [bloque de texto]</t>
  </si>
  <si>
    <t>full_ifrs-cor_2015-03-11.xsd#ifrs-full_DescriptionOfAccountingPolicyForWarrantsExplanatory</t>
  </si>
  <si>
    <t>Reserva de diferencias de cambio en conversiones [miembro]</t>
  </si>
  <si>
    <t>Reserva de coberturas de flujo de efectivo [miembro]</t>
  </si>
  <si>
    <t>Reversión de ganancias y pérdidas sobre activos financieros medidos al valor razonable con cambios en otro resultado integral [miembro]</t>
  </si>
  <si>
    <t>full_ifrs-cor_2015-03-11.xsd#ifrs-full_RevaluationSurplusMember</t>
  </si>
  <si>
    <t>full_ifrs-cor_2015-03-11.xsd#ifrs-full_ReserveOfExchangeDifferencesOnTranslationMember</t>
  </si>
  <si>
    <t>full_ifrs-cor_2015-03-11.xsd#ifrs-full_ReserveOfCashFlowHedgesMember</t>
  </si>
  <si>
    <t>full_ifrs-cor_2015-03-11.xsd#ifrs-full_ReserveOfGainsAndLossesOnHedgingInstrumentsThatHedgeInvestmentsInEquityInstrumentsMember</t>
  </si>
  <si>
    <t>full_ifrs-cor_2015-03-11.xsd#ifrs-full_ReserveOfChangeInValueOfTimeValueOfOptionsMember</t>
  </si>
  <si>
    <t>full_ifrs-cor_2015-03-11.xsd#ifrs-full_ReserveOfChangeInValueOfForwardElementsOfForwardContractsMember</t>
  </si>
  <si>
    <t>full_ifrs-cor_2015-03-11.xsd#ifrs-full_ReserveOfChangeInValueOfForeignCurrencyBasisSpreadsMember</t>
  </si>
  <si>
    <t>full_ifrs-cor_2015-03-11.xsd#ifrs-full_ReserveOfGainsAndLossesOnFinancialAssetsMeasuredAtFairValueThroughOtherComprehensiveIncomeMember</t>
  </si>
  <si>
    <t>full_ifrs-cor_2015-03-11.xsd#ifrs-full_ReserveOfGainsAndLossesOnRemeasuringAvailableforsaleFinancialAssetsMember</t>
  </si>
  <si>
    <t>full_ifrs-cor_2015-03-11.xsd#ifrs-full_ReserveOfSharebasedPaymentsMember</t>
  </si>
  <si>
    <t>full_ifrs-cor_2015-03-11.xsd#ifrs-full_AmountRecognisedInOtherComprehensiveIncomeAndAccumulatedInEquityRelatingToNoncurrentAssetsOrDisposalGroupsHeldForSaleMember</t>
  </si>
  <si>
    <t>full_ifrs-cor_2015-03-11.xsd#ifrs-full_ReserveOfGainsAndLossesFromInvestmentsInEquityInstrumentsMember</t>
  </si>
  <si>
    <t>full_ifrs-cor_2015-03-11.xsd#ifrs-full_ReserveOfChangeInFairValueOfFinancialLiabilityAttributableToChangeInCreditRiskOfLiabilityMember</t>
  </si>
  <si>
    <t>full_ifrs-cor_2015-03-11.xsd#ifrs-full_OtherReservesMember</t>
  </si>
  <si>
    <t>full_ifrs-cor_2015-03-11.xsd#ifrs-full_DescriptionOfNatureAndPurposeOfReservesWithinEquity</t>
  </si>
  <si>
    <t xml:space="preserve">Superávit de revaluación [miembro]  </t>
  </si>
  <si>
    <t xml:space="preserve">Reserva de ganancias o pérdidas actuariales en planes de beneficios definidos [miembro]  </t>
  </si>
  <si>
    <t xml:space="preserve">Reserva de ganancias y pérdidas en nuevas mediciones de activos financieros disponibles para la venta [miembro]  </t>
  </si>
  <si>
    <t xml:space="preserve">Reserva de ganancias y pérdidas por inversiones en instrumentos de patrimonio [miembro]  </t>
  </si>
  <si>
    <t>full_ifrs-cor_2015-03-11.xsd#ifrs-full_InterestIncomeOnDeposits</t>
  </si>
  <si>
    <t xml:space="preserve">Anticipos corrientes [resumen]  </t>
  </si>
  <si>
    <t>Anticipos corrientes a proveedores [Número]</t>
  </si>
  <si>
    <t>Gastos anticipados corrientes [Número]</t>
  </si>
  <si>
    <t>Pagos anticipados corrientes [Número]</t>
  </si>
  <si>
    <t>full_ifrs-cor_2015-03-11.xsd#ifrs-full_Land</t>
  </si>
  <si>
    <t>full_ifrs-cor_2015-03-11.xsd#ifrs-full_Buildings</t>
  </si>
  <si>
    <t>full_ifrs-cor_2015-03-11.xsd#ifrs-full_LandAndBuildings</t>
  </si>
  <si>
    <t>full_ifrs-cor_2015-03-11.xsd#ifrs-full_Machinery</t>
  </si>
  <si>
    <t>full_ifrs-cor_2015-03-11.xsd#ifrs-full_Ships</t>
  </si>
  <si>
    <t>full_ifrs-cor_2015-03-11.xsd#ifrs-full_Aircraft</t>
  </si>
  <si>
    <t>full_ifrs-cor_2015-03-11.xsd#ifrs-full_MotorVehicles</t>
  </si>
  <si>
    <t>full_ifrs-cor_2015-03-11.xsd#ifrs-full_Vehicles</t>
  </si>
  <si>
    <t>full_ifrs-cor_2015-03-11.xsd#ifrs-full_FixturesAndFittings</t>
  </si>
  <si>
    <t>full_ifrs-cor_2015-03-11.xsd#ifrs-full_OfficeEquipment</t>
  </si>
  <si>
    <t>full_ifrs-cor_2015-03-11.xsd#ifrs-full_TangibleExplorationAndEvaluationAssets</t>
  </si>
  <si>
    <t>full_ifrs-cor_2015-03-11.xsd#ifrs-full_MiningAssets</t>
  </si>
  <si>
    <t>full_ifrs-cor_2015-03-11.xsd#ifrs-full_OilAndGasAssets</t>
  </si>
  <si>
    <t>full_ifrs-cor_2015-03-11.xsd#ifrs-full_ConstructionInProgress</t>
  </si>
  <si>
    <t>full_ifrs-cor_2015-03-11.xsd#ifrs-full_OtherPropertyPlantAndEquipment</t>
  </si>
  <si>
    <t>full_ifrs-cor_2015-03-11.xsd#ifrs-full_PropertyPlantAndEquipment</t>
  </si>
  <si>
    <t>full_ifrs-cor_2015-03-11.xsd#ifrs-full_BrandNames</t>
  </si>
  <si>
    <t>full_ifrs-cor_2015-03-11.xsd#ifrs-full_IntangibleExplorationAndEvaluationAssets</t>
  </si>
  <si>
    <t>full_ifrs-cor_2015-03-11.xsd#ifrs-full_MastheadsAndPublishingTitles</t>
  </si>
  <si>
    <t>full_ifrs-cor_2015-03-11.xsd#ifrs-full_ComputerSoftware</t>
  </si>
  <si>
    <t>full_ifrs-cor_2015-03-11.xsd#ifrs-full_LicencesAndFranchises</t>
  </si>
  <si>
    <t>full_ifrs-cor_2015-03-11.xsd#ifrs-full_CopyrightsPatentsAndOtherIndustrialPropertyRightsServiceAndOperatingRights</t>
  </si>
  <si>
    <t>full_ifrs-cor_2015-03-11.xsd#ifrs-full_RecipesFormulaeModelsDesignsAndPrototypes</t>
  </si>
  <si>
    <t>full_ifrs-cor_2015-03-11.xsd#ifrs-full_IntangibleAssetsUnderDevelopment</t>
  </si>
  <si>
    <t>full_ifrs-cor_2015-03-11.xsd#ifrs-full_OtherIntangibleAssets</t>
  </si>
  <si>
    <t>full_ifrs-cor_2015-03-11.xsd#ifrs-full_IntangibleAssetsOtherThanGoodwill</t>
  </si>
  <si>
    <t>full_ifrs-cor_2015-03-11.xsd#ifrs-full_Goodwill</t>
  </si>
  <si>
    <t>full_ifrs-cor_2015-03-11.xsd#ifrs-full_IntangibleAssetsAndGoodwill</t>
  </si>
  <si>
    <t>full_ifrs-cor_2015-03-11.xsd#ifrs-full_InvestmentPropertyCompleted</t>
  </si>
  <si>
    <t>full_ifrs-cor_2015-03-11.xsd#ifrs-full_InvestmentPropertyUnderConstructionOrDevelopment</t>
  </si>
  <si>
    <t>full_ifrs-cor_2015-03-11.xsd#ifrs-full_InvestmentProperty</t>
  </si>
  <si>
    <t>full_ifrs-cor_2015-03-11.xsd#ifrs-full_InvestmentsInSubsidiaries</t>
  </si>
  <si>
    <t>full_ifrs-cor_2015-03-11.xsd#ifrs-full_InvestmentsInJointVentures</t>
  </si>
  <si>
    <t>full_ifrs-cor_2015-03-11.xsd#ifrs-full_InvestmentsInAssociates</t>
  </si>
  <si>
    <t>full_ifrs-cor_2015-03-11.xsd#ifrs-full_InvestmentsInSubsidiariesJointVenturesAndAssociates</t>
  </si>
  <si>
    <t>full_ifrs-cor_2015-03-11.xsd#ifrs-full_CurrentTradeReceivables</t>
  </si>
  <si>
    <t>full_ifrs-cor_2015-03-11.xsd#ifrs-full_CurrentAdvancesToSuppliers</t>
  </si>
  <si>
    <t>full_ifrs-cor_2015-03-11.xsd#ifrs-full_CurrentPrepaidExpenses</t>
  </si>
  <si>
    <t>full_ifrs-cor_2015-03-11.xsd#ifrs-full_CurrentPrepayments</t>
  </si>
  <si>
    <t>full_ifrs-cor_2015-03-11.xsd#ifrs-full_CurrentReceivablesFromTaxesOtherThanIncomeTax</t>
  </si>
  <si>
    <t>full_ifrs-cor_2015-03-11.xsd#ifrs-full_CurrentValueAddedTaxReceivables</t>
  </si>
  <si>
    <t>full_ifrs-cor_2015-03-11.xsd#ifrs-full_OtherCurrentReceivables</t>
  </si>
  <si>
    <t>full_ifrs-cor_2015-03-11.xsd#ifrs-full_TradeAndOtherCurrentReceivables</t>
  </si>
  <si>
    <t>full_ifrs-cor_2015-03-11.xsd#ifrs-full_NoncurrentTradeReceivables</t>
  </si>
  <si>
    <t>full_ifrs-cor_2015-03-11.xsd#ifrs-full_NoncurrentPrepayments</t>
  </si>
  <si>
    <t>full_ifrs-cor_2015-03-11.xsd#ifrs-full_NoncurrentLeasePrepayments</t>
  </si>
  <si>
    <t>full_ifrs-cor_2015-03-11.xsd#ifrs-full_NoncurrentReceivablesFromTaxesOtherThanIncomeTax</t>
  </si>
  <si>
    <t>full_ifrs-cor_2015-03-11.xsd#ifrs-full_NoncurrentValueAddedTaxReceivables</t>
  </si>
  <si>
    <t>full_ifrs-cor_2015-03-11.xsd#ifrs-full_NoncurrentReceivablesFromSaleOfProperties</t>
  </si>
  <si>
    <t>full_ifrs-cor_2015-03-11.xsd#ifrs-full_NoncurrentReceivablesFromRentalOfProperties</t>
  </si>
  <si>
    <t>full_ifrs-cor_2015-03-11.xsd#ifrs-full_OtherNoncurrentReceivables</t>
  </si>
  <si>
    <t>full_ifrs-cor_2015-03-11.xsd#ifrs-full_NoncurrentReceivables</t>
  </si>
  <si>
    <t>full_ifrs-cor_2015-03-11.xsd#ifrs-full_MiscellaneousNoncurrentAssetsAbstract</t>
  </si>
  <si>
    <t>full_ifrs-cor_2015-03-11.xsd#ifrs-full_NoncurrentRecognisedAssetsDefinedBenefitPlan</t>
  </si>
  <si>
    <t>full_ifrs-cor_2015-03-11.xsd#ifrs-full_NoncurrentRestrictedCashAndCashEquivalents</t>
  </si>
  <si>
    <t>full_ifrs-cor_2015-03-11.xsd#ifrs-full_NoncurrentDerivativeFinancialAssets</t>
  </si>
  <si>
    <t>full_ifrs-cor_2015-03-11.xsd#ifrs-full_NoncurrentFinanceLeaseReceivables</t>
  </si>
  <si>
    <t>full_ifrs-cor_2015-03-11.xsd#ifrs-full_NoncurrentInterestReceivable</t>
  </si>
  <si>
    <t>full_ifrs-cor_2015-03-11.xsd#ifrs-full_NoncurrentInvestmentsOtherThanInvestmentsAccountedForUsingEquityMethod</t>
  </si>
  <si>
    <t>full_ifrs-cor_2015-03-11.xsd#ifrs-full_LongtermDeposits</t>
  </si>
  <si>
    <t>full_ifrs-cor_2015-03-11.xsd#ifrs-full_InvestmentsInJointVenturesAccountedForUsingEquityMethod</t>
  </si>
  <si>
    <t>full_ifrs-cor_2015-03-11.xsd#ifrs-full_InvestmentsInAssociatesAccountedForUsingEquityMethod</t>
  </si>
  <si>
    <t>full_ifrs-cor_2015-03-11.xsd#ifrs-full_OtherNoncurrentAssets</t>
  </si>
  <si>
    <t>full_ifrs-cor_2015-03-11.xsd#ifrs-full_TradeReceivables</t>
  </si>
  <si>
    <t>full_ifrs-cor_2015-03-11.xsd#ifrs-full_Prepayments</t>
  </si>
  <si>
    <t>full_ifrs-cor_2015-03-11.xsd#ifrs-full_ReceivablesFromTaxesOtherThanIncomeTax</t>
  </si>
  <si>
    <t>full_ifrs-cor_2015-03-11.xsd#ifrs-full_ValueAddedTaxReceivables</t>
  </si>
  <si>
    <t>full_ifrs-cor_2015-03-11.xsd#ifrs-full_ReceivablesFromSaleOfProperties</t>
  </si>
  <si>
    <t>full_ifrs-cor_2015-03-11.xsd#ifrs-full_ReceivablesFromRentalOfProperties</t>
  </si>
  <si>
    <t>full_ifrs-cor_2015-03-11.xsd#ifrs-full_OtherReceivables</t>
  </si>
  <si>
    <t>full_ifrs-cor_2015-03-11.xsd#ifrs-full_TradeAndOtherReceivables</t>
  </si>
  <si>
    <t>full_ifrs-cor_2015-03-11.xsd#ifrs-full_NoncurrentFinancialAssetsAtFairValueThroughProfitOrLossDesignatedUponInitialRecognition</t>
  </si>
  <si>
    <t>full_ifrs-cor_2015-03-11.xsd#ifrs-full_NoncurrentFinancialAssetsAtFairValueThroughProfitOrLossClassifiedAsHeldForTrading</t>
  </si>
  <si>
    <t>full_ifrs-cor_2015-03-11.xsd#ifrs-full_NoncurrentFinancialAssetsAtFairValueThroughProfitOrLossMandatorilyMeasuredAtFairValue</t>
  </si>
  <si>
    <t>full_ifrs-cor_2015-03-11.xsd#ifrs-full_NoncurrentFinancialAssetsAtFairValueThroughProfitOrLoss</t>
  </si>
  <si>
    <t>full_ifrs-cor_2015-03-11.xsd#ifrs-full_NoncurrentFinancialAssetsAvailableforsale</t>
  </si>
  <si>
    <t>full_ifrs-cor_2015-03-11.xsd#ifrs-full_NoncurrentHeldtomaturityInvestments</t>
  </si>
  <si>
    <t>full_ifrs-cor_2015-03-11.xsd#ifrs-full_NoncurrentLoansAndReceivables</t>
  </si>
  <si>
    <t>full_ifrs-cor_2015-03-11.xsd#ifrs-full_NoncurrentFinancialAssetsAtAmortisedCost</t>
  </si>
  <si>
    <t>full_ifrs-cor_2015-03-11.xsd#ifrs-full_NoncurrentFinancialAssets</t>
  </si>
  <si>
    <t>full_ifrs-cor_2015-03-11.xsd#ifrs-full_CurrentFinancialAssetsAtFairValueThroughProfitOrLossDesignatedUponInitialRecognition</t>
  </si>
  <si>
    <t>full_ifrs-cor_2015-03-11.xsd#ifrs-full_CurrentFinancialAssetsAtFairValueThroughProfitOrLossClassifiedAsHeldForTrading</t>
  </si>
  <si>
    <t>full_ifrs-cor_2015-03-11.xsd#ifrs-full_CurrentFinancialAssetsAtFairValueThroughProfitOrLossMandatorilyMeasuredAtFairValue</t>
  </si>
  <si>
    <t>full_ifrs-cor_2015-03-11.xsd#ifrs-full_CurrentFinancialAssetsAtFairValueThroughProfitOrLoss</t>
  </si>
  <si>
    <t>full_ifrs-cor_2015-03-11.xsd#ifrs-full_CurrentFinancialAssetsAvailableforsale</t>
  </si>
  <si>
    <t>full_ifrs-cor_2015-03-11.xsd#ifrs-full_CurrentHeldtomaturityInvestments</t>
  </si>
  <si>
    <t>full_ifrs-cor_2015-03-11.xsd#ifrs-full_CurrentLoansAndReceivables</t>
  </si>
  <si>
    <t>full_ifrs-cor_2015-03-11.xsd#ifrs-full_CurrentFinancialAssetsMeasuredAtFairValueThroughOtherComprehensiveIncome</t>
  </si>
  <si>
    <t>full_ifrs-cor_2015-03-11.xsd#ifrs-full_CurrentInvestmentsInEquityInstrumentsDesignatedAtFairValueThroughOtherComprehensiveIncome</t>
  </si>
  <si>
    <t>full_ifrs-cor_2015-03-11.xsd#ifrs-full_CurrentFinancialAssetsAtFairValueThroughOtherComprehensiveIncome</t>
  </si>
  <si>
    <t>full_ifrs-cor_2015-03-11.xsd#ifrs-full_CurrentFinancialAssetsAtAmortisedCost</t>
  </si>
  <si>
    <t>full_ifrs-cor_2015-03-11.xsd#ifrs-full_CurrentFinancialAssets</t>
  </si>
  <si>
    <t>full_ifrs-cor_2015-03-11.xsd#ifrs-full_FinancialAssetsAtFairValueThroughProfitOrLossDesignatedAsUponInitialRecognition</t>
  </si>
  <si>
    <t>full_ifrs-cor_2015-03-11.xsd#ifrs-full_FinancialAssetsAtFairValueThroughProfitOrLossClassifiedAsHeldForTrading</t>
  </si>
  <si>
    <t>full_ifrs-cor_2015-03-11.xsd#ifrs-full_FinancialAssetsAtFairValueThroughProfitOrLossMandatorilyMeasuredAtFairValue</t>
  </si>
  <si>
    <t>full_ifrs-cor_2015-03-11.xsd#ifrs-full_FinancialAssetsAtFairValueThroughProfitOrLoss</t>
  </si>
  <si>
    <t>full_ifrs-cor_2015-03-11.xsd#ifrs-full_FinancialAssetsAvailableforsale</t>
  </si>
  <si>
    <t>full_ifrs-cor_2015-03-11.xsd#ifrs-full_HeldtomaturityInvestments</t>
  </si>
  <si>
    <t>full_ifrs-cor_2015-03-11.xsd#ifrs-full_LoansAndReceivables</t>
  </si>
  <si>
    <t>full_ifrs-cor_2015-03-11.xsd#ifrs-full_FinancialAssetsAtAmortisedCost</t>
  </si>
  <si>
    <t>full_ifrs-cor_2015-03-11.xsd#ifrs-full_FinancialAssets</t>
  </si>
  <si>
    <t>full_ifrs-cor_2015-03-11.xsd#ifrs-full_RawMaterials</t>
  </si>
  <si>
    <t>full_ifrs-cor_2015-03-11.xsd#ifrs-full_Merchandise</t>
  </si>
  <si>
    <t>full_ifrs-cor_2015-03-11.xsd#ifrs-full_ProductionSupplies</t>
  </si>
  <si>
    <t>full_ifrs-cor_2015-03-11.xsd#ifrs-full_WorkInProgress</t>
  </si>
  <si>
    <t>full_ifrs-cor_2015-03-11.xsd#ifrs-full_FinishedGoods</t>
  </si>
  <si>
    <t>full_ifrs-cor_2015-03-11.xsd#ifrs-full_SpareParts</t>
  </si>
  <si>
    <t>full_ifrs-cor_2015-03-11.xsd#ifrs-full_PropertyIntendedForSaleInOrdinaryCourseOfBusiness</t>
  </si>
  <si>
    <t>full_ifrs-cor_2015-03-11.xsd#ifrs-full_OtherInventories</t>
  </si>
  <si>
    <t>full_ifrs-cor_2015-03-11.xsd#ifrs-full_Inventories</t>
  </si>
  <si>
    <t>full_ifrs-cor_2015-03-11.xsd#ifrs-full_CurrentInventoriesHeldForSale</t>
  </si>
  <si>
    <t>full_ifrs-cor_2015-03-11.xsd#ifrs-full_CurrentMaterialsAndSuppliesToBeConsumedInProductionProcessOrRenderingServices</t>
  </si>
  <si>
    <t>full_ifrs-cor_2015-03-11.xsd#ifrs-full_NoncurrentOreStockpiles</t>
  </si>
  <si>
    <t>full_ifrs-cor_2015-03-11.xsd#ifrs-full_CurrentOreStockpiles</t>
  </si>
  <si>
    <t>full_ifrs-cor_2015-03-11.xsd#ifrs-full_CurrentCrudeOil</t>
  </si>
  <si>
    <t>full_ifrs-cor_2015-03-11.xsd#ifrs-full_CurrentPetroleumAndPetrochemicalProducts</t>
  </si>
  <si>
    <t>full_ifrs-cor_2015-03-11.xsd#ifrs-full_CurrentNaturalGas</t>
  </si>
  <si>
    <t>full_ifrs-cor_2015-03-11.xsd#ifrs-full_CashOnHand</t>
  </si>
  <si>
    <t>full_ifrs-cor_2015-03-11.xsd#ifrs-full_BalancesWithBanks</t>
  </si>
  <si>
    <t>full_ifrs-cor_2015-03-11.xsd#ifrs-full_Cash</t>
  </si>
  <si>
    <t>full_ifrs-cor_2015-03-11.xsd#ifrs-full_ShorttermDepositsClassifiedAsCashEquivalents</t>
  </si>
  <si>
    <t>full_ifrs-cor_2015-03-11.xsd#ifrs-full_ShorttermInvestmentsClassifiedAsCashEquivalents</t>
  </si>
  <si>
    <t>full_ifrs-cor_2015-03-11.xsd#ifrs-full_BankingArrangementsClassifiedAsCashEquivalents</t>
  </si>
  <si>
    <t>full_ifrs-cor_2015-03-11.xsd#ifrs-full_CashEquivalents</t>
  </si>
  <si>
    <t>full_ifrs-cor_2015-03-11.xsd#ifrs-full_OtherCashAndCashEquivalents</t>
  </si>
  <si>
    <t>full_ifrs-cor_2015-03-11.xsd#ifrs-full_CashAndCashEquivalents</t>
  </si>
  <si>
    <t>full_ifrs-cor_2015-03-11.xsd#ifrs-full_NoncurrentAssetsOrDisposalGroupsClassifiedAsHeldForSale</t>
  </si>
  <si>
    <t>full_ifrs-cor_2015-03-11.xsd#ifrs-full_NoncurrentAssetsOrDisposalGroupsClassifiedAsHeldForDistributionToOwners</t>
  </si>
  <si>
    <t>full_ifrs-cor_2015-03-11.xsd#ifrs-full_NoncurrentAssetsOrDisposalGroupsClassifiedAsHeldForSaleOrAsHeldForDistributionToOwners</t>
  </si>
  <si>
    <t>full_ifrs-cor_2015-03-11.xsd#ifrs-full_CurrentRecognisedAssetsDefinedBenefitPlan</t>
  </si>
  <si>
    <t>full_ifrs-cor_2015-03-11.xsd#ifrs-full_CurrentRestrictedCashAndCashEquivalents</t>
  </si>
  <si>
    <t>full_ifrs-cor_2015-03-11.xsd#ifrs-full_CurrentDerivativeFinancialAssets</t>
  </si>
  <si>
    <t>full_ifrs-cor_2015-03-11.xsd#ifrs-full_CurrentFinanceLeaseReceivables</t>
  </si>
  <si>
    <t>full_ifrs-cor_2015-03-11.xsd#ifrs-full_CurrentInterestReceivable</t>
  </si>
  <si>
    <t>full_ifrs-cor_2015-03-11.xsd#ifrs-full_CurrentInvestments</t>
  </si>
  <si>
    <t>full_ifrs-cor_2015-03-11.xsd#ifrs-full_ShorttermDepositsNotClassifiedAsCashEquivalents</t>
  </si>
  <si>
    <t>full_ifrs-cor_2015-03-11.xsd#ifrs-full_CurrentPrepaymentsAndOtherCurrentAssets</t>
  </si>
  <si>
    <t>full_ifrs-cor_2015-03-11.xsd#ifrs-full_OtherCurrentAssets</t>
  </si>
  <si>
    <t>full_ifrs-cor_2015-03-11.xsd#ifrs-full_LongtermWarrantyProvision</t>
  </si>
  <si>
    <t>full_ifrs-cor_2015-03-11.xsd#ifrs-full_ShorttermWarrantyProvision</t>
  </si>
  <si>
    <t>full_ifrs-cor_2015-03-11.xsd#ifrs-full_WarrantyProvision</t>
  </si>
  <si>
    <t>full_ifrs-cor_2015-03-11.xsd#ifrs-full_LongtermRestructuringProvision</t>
  </si>
  <si>
    <t>full_ifrs-cor_2015-03-11.xsd#ifrs-full_ShorttermRestructuringProvision</t>
  </si>
  <si>
    <t>full_ifrs-cor_2015-03-11.xsd#ifrs-full_RestructuringProvision</t>
  </si>
  <si>
    <t>full_ifrs-cor_2015-03-11.xsd#ifrs-full_LongtermLegalProceedingsProvision</t>
  </si>
  <si>
    <t>full_ifrs-cor_2015-03-11.xsd#ifrs-full_ShorttermLegalProceedingsProvision</t>
  </si>
  <si>
    <t>full_ifrs-cor_2015-03-11.xsd#ifrs-full_LegalProceedingsProvision</t>
  </si>
  <si>
    <t>full_ifrs-cor_2015-03-11.xsd#ifrs-full_RefundsProvisionAbstract</t>
  </si>
  <si>
    <t>full_ifrs-cor_2015-03-11.xsd#ifrs-full_NoncurrentRefundsProvision</t>
  </si>
  <si>
    <t>full_ifrs-cor_2015-03-11.xsd#ifrs-full_CurrentRefundsProvision</t>
  </si>
  <si>
    <t>full_ifrs-cor_2015-03-11.xsd#ifrs-full_RefundsProvision</t>
  </si>
  <si>
    <t>full_ifrs-cor_2015-03-11.xsd#ifrs-full_LongtermOnerousContractsProvision</t>
  </si>
  <si>
    <t>full_ifrs-cor_2015-03-11.xsd#ifrs-full_ShorttermOnerousContractsProvision</t>
  </si>
  <si>
    <t>full_ifrs-cor_2015-03-11.xsd#ifrs-full_OnerousContractsProvision</t>
  </si>
  <si>
    <t>full_ifrs-cor_2015-03-11.xsd#ifrs-full_LongtermProvisionForDecommissioningRestorationAndRehabilitationCosts</t>
  </si>
  <si>
    <t>full_ifrs-cor_2015-03-11.xsd#ifrs-full_ShorttermProvisionForDecommissioningRestorationAndRehabilitationCosts</t>
  </si>
  <si>
    <t>full_ifrs-cor_2015-03-11.xsd#ifrs-full_ProvisionForDecommissioningRestorationAndRehabilitationCosts</t>
  </si>
  <si>
    <t>full_ifrs-cor_2015-03-11.xsd#ifrs-full_LongtermMiscellaneousOtherProvisions</t>
  </si>
  <si>
    <t>full_ifrs-cor_2015-03-11.xsd#ifrs-full_ShorttermMiscellaneousOtherProvisions</t>
  </si>
  <si>
    <t>full_ifrs-cor_2015-03-11.xsd#ifrs-full_MiscellaneousOtherProvisions</t>
  </si>
  <si>
    <t>full_ifrs-cor_2015-03-11.xsd#ifrs-full_OtherLongtermProvisions</t>
  </si>
  <si>
    <t>full_ifrs-cor_2015-03-11.xsd#ifrs-full_OtherShorttermProvisions</t>
  </si>
  <si>
    <t>full_ifrs-cor_2015-03-11.xsd#ifrs-full_OtherProvisions</t>
  </si>
  <si>
    <t>full_ifrs-cor_2015-03-11.xsd#ifrs-full_LongtermBorrowings</t>
  </si>
  <si>
    <t>full_ifrs-cor_2015-03-11.xsd#ifrs-full_ShorttermBorrowings</t>
  </si>
  <si>
    <t>full_ifrs-cor_2015-03-11.xsd#ifrs-full_CurrentPortionOfLongtermBorrowings</t>
  </si>
  <si>
    <t>full_ifrs-cor_2015-03-11.xsd#ifrs-full_CurrentBorrowingsAndCurrentPortionOfNoncurrentBorrowings</t>
  </si>
  <si>
    <t>full_ifrs-cor_2015-03-11.xsd#ifrs-full_Borrowings</t>
  </si>
  <si>
    <t>full_ifrs-cor_2015-03-11.xsd#ifrs-full_NoncurrentPayablesToTradeSuppliers</t>
  </si>
  <si>
    <t>full_ifrs-cor_2015-03-11.xsd#ifrs-full_RentDeferredIncomeClassifiedAsNoncurrent</t>
  </si>
  <si>
    <t>full_ifrs-cor_2015-03-11.xsd#ifrs-full_AccrualsClassifiedAsNoncurrent</t>
  </si>
  <si>
    <t>full_ifrs-cor_2015-03-11.xsd#ifrs-full_NoncurrentPayablesOnSocialSecurityAndTaxesOtherThanIncomeTax</t>
  </si>
  <si>
    <t>full_ifrs-cor_2015-03-11.xsd#ifrs-full_NoncurrentValueAddedTaxPayables</t>
  </si>
  <si>
    <t>full_ifrs-cor_2015-03-11.xsd#ifrs-full_NoncurrentRetentionPayables</t>
  </si>
  <si>
    <t>full_ifrs-cor_2015-03-11.xsd#ifrs-full_OtherNoncurrentPayables</t>
  </si>
  <si>
    <t>full_ifrs-cor_2015-03-11.xsd#ifrs-full_NoncurrentPayables</t>
  </si>
  <si>
    <t>full_ifrs-cor_2015-03-11.xsd#ifrs-full_TradeAndOtherCurrentPayablesToTradeSuppliers</t>
  </si>
  <si>
    <t>full_ifrs-cor_2015-03-11.xsd#ifrs-full_RentDeferredIncomeClassifiedAsCurrent</t>
  </si>
  <si>
    <t>full_ifrs-cor_2015-03-11.xsd#ifrs-full_AccrualsClassifiedAsCurrent</t>
  </si>
  <si>
    <t>full_ifrs-cor_2015-03-11.xsd#ifrs-full_ShorttermEmployeeBenefitsAccruals</t>
  </si>
  <si>
    <t>full_ifrs-cor_2015-03-11.xsd#ifrs-full_CurrentPayablesOnSocialSecurityAndTaxesOtherThanIncomeTax</t>
  </si>
  <si>
    <t>full_ifrs-cor_2015-03-11.xsd#ifrs-full_CurrentValueAddedTaxPayables</t>
  </si>
  <si>
    <t>full_ifrs-cor_2015-03-11.xsd#ifrs-full_CurrentRetentionPayables</t>
  </si>
  <si>
    <t>full_ifrs-cor_2015-03-11.xsd#ifrs-full_OtherCurrentPayables</t>
  </si>
  <si>
    <t>full_ifrs-cor_2015-03-11.xsd#ifrs-full_TradeAndOtherCurrentPayables</t>
  </si>
  <si>
    <t>full_ifrs-cor_2015-03-11.xsd#ifrs-full_TradeAndOtherPayablesToTradeSuppliers</t>
  </si>
  <si>
    <t>full_ifrs-cor_2015-03-11.xsd#ifrs-full_RentDeferredIncome</t>
  </si>
  <si>
    <t>full_ifrs-cor_2015-03-11.xsd#ifrs-full_Accruals</t>
  </si>
  <si>
    <t>full_ifrs-cor_2015-03-11.xsd#ifrs-full_PayablesOnSocialSecurityAndTaxesOtherThanIncomeTax</t>
  </si>
  <si>
    <t>full_ifrs-cor_2015-03-11.xsd#ifrs-full_ValueAddedTaxPayables</t>
  </si>
  <si>
    <t>full_ifrs-cor_2015-03-11.xsd#ifrs-full_RetentionPayables</t>
  </si>
  <si>
    <t>full_ifrs-cor_2015-03-11.xsd#ifrs-full_OtherPayables</t>
  </si>
  <si>
    <t>full_ifrs-cor_2015-03-11.xsd#ifrs-full_TradeAndOtherPayables</t>
  </si>
  <si>
    <t>full_ifrs-cor_2015-03-11.xsd#ifrs-full_OtherNoncurrentFinancialLiabilities</t>
  </si>
  <si>
    <t>full_ifrs-cor_2015-03-11.xsd#ifrs-full_OtherCurrentFinancialLiabilities</t>
  </si>
  <si>
    <t>full_ifrs-cor_2015-03-11.xsd#ifrs-full_OtherFinancialLiabilities</t>
  </si>
  <si>
    <t>full_ifrs-cor_2015-03-11.xsd#ifrs-full_NoncurrentFinancialLiabilitiesAtFairValueThroughProfitOrLossClassifiedAsHeldForTrading</t>
  </si>
  <si>
    <t>full_ifrs-cor_2015-03-11.xsd#ifrs-full_NoncurrentFinancialLiabilitiesAtFairValueThroughProfitOrLossDesignatedUponInitialRecognition</t>
  </si>
  <si>
    <t>full_ifrs-cor_2015-03-11.xsd#ifrs-full_NoncurrentFinancialLiabilitiesAtFairValueThroughProfitOrLoss</t>
  </si>
  <si>
    <t>full_ifrs-cor_2015-03-11.xsd#ifrs-full_NoncurrentFinancialLiabilitiesAtAmortisedCost</t>
  </si>
  <si>
    <t>full_ifrs-cor_2015-03-11.xsd#ifrs-full_NoncurrentFinancialLiabilities</t>
  </si>
  <si>
    <t>full_ifrs-cor_2015-03-11.xsd#ifrs-full_CurrentFinancialLiabilitiesAtFairValueThroughProfitOrLossClassifiedAsHeldForTrading</t>
  </si>
  <si>
    <t>full_ifrs-cor_2015-03-11.xsd#ifrs-full_CurrentFinancialLiabilitiesAtFairValueThroughProfitOrLossDesignatedUponInitialRecognition</t>
  </si>
  <si>
    <t>full_ifrs-cor_2015-03-11.xsd#ifrs-full_CurrentFinancialLiabilitiesAtFairValueThroughProfitOrLoss</t>
  </si>
  <si>
    <t>full_ifrs-cor_2015-03-11.xsd#ifrs-full_CurrentFinancialLiabilitiesAtAmortisedCost</t>
  </si>
  <si>
    <t>full_ifrs-cor_2015-03-11.xsd#ifrs-full_CurrentFinancialLiabilities</t>
  </si>
  <si>
    <t>full_ifrs-cor_2015-03-11.xsd#ifrs-full_FinancialLiabilitiesAtFairValueThroughProfitOrLossClassifiedAsHeldForTrading</t>
  </si>
  <si>
    <t>full_ifrs-cor_2015-03-11.xsd#ifrs-full_FinancialLiabilitiesAtFairValueThroughProfitOrLossDesignatedAsUponInitialRecognition</t>
  </si>
  <si>
    <t>full_ifrs-cor_2015-03-11.xsd#ifrs-full_FinancialLiabilitiesAtFairValueThroughProfitOrLoss</t>
  </si>
  <si>
    <t>full_ifrs-cor_2015-03-11.xsd#ifrs-full_FinancialLiabilitiesAtAmortisedCost</t>
  </si>
  <si>
    <t>full_ifrs-cor_2015-03-11.xsd#ifrs-full_FinancialLiabilities</t>
  </si>
  <si>
    <t>full_ifrs-cor_2015-03-11.xsd#ifrs-full_NoncurrentRecognisedLiabilitiesDefinedBenefitPlan</t>
  </si>
  <si>
    <t>full_ifrs-cor_2015-03-11.xsd#ifrs-full_NoncurrentDerivativeFinancialLiabilities</t>
  </si>
  <si>
    <t>full_ifrs-cor_2015-03-11.xsd#ifrs-full_NoncurrentGovernmentGrants</t>
  </si>
  <si>
    <t>full_ifrs-cor_2015-03-11.xsd#ifrs-full_NoncurrentAdvances</t>
  </si>
  <si>
    <t>full_ifrs-cor_2015-03-11.xsd#ifrs-full_NoncurrentDividendPayables</t>
  </si>
  <si>
    <t>full_ifrs-cor_2015-03-11.xsd#ifrs-full_NoncurrentInterestPayable</t>
  </si>
  <si>
    <t>full_ifrs-cor_2015-03-11.xsd#ifrs-full_NoncurrentDepositsFromCustomers</t>
  </si>
  <si>
    <t>full_ifrs-cor_2015-03-11.xsd#ifrs-full_OtherNoncurrentLiabilities</t>
  </si>
  <si>
    <t>full_ifrs-cor_2015-03-11.xsd#ifrs-full_CurrentRecognisedLiabilitiesDefinedBenefitPlan</t>
  </si>
  <si>
    <t>full_ifrs-cor_2015-03-11.xsd#ifrs-full_CurrentDerivativeFinancialLiabilities</t>
  </si>
  <si>
    <t>full_ifrs-cor_2015-03-11.xsd#ifrs-full_CurrentGovernmentGrants</t>
  </si>
  <si>
    <t>full_ifrs-cor_2015-03-11.xsd#ifrs-full_CurrentAdvances</t>
  </si>
  <si>
    <t>full_ifrs-cor_2015-03-11.xsd#ifrs-full_CurrentDividendPayables</t>
  </si>
  <si>
    <t>full_ifrs-cor_2015-03-11.xsd#ifrs-full_CurrentInterestPayable</t>
  </si>
  <si>
    <t>full_ifrs-cor_2015-03-11.xsd#ifrs-full_CurrentDepositsFromCustomers</t>
  </si>
  <si>
    <t>full_ifrs-cor_2015-03-11.xsd#ifrs-full_CurrentAccruedExpensesAndOtherCurrentLiabilities</t>
  </si>
  <si>
    <t>full_ifrs-cor_2015-03-11.xsd#ifrs-full_OtherCurrentLiabilities</t>
  </si>
  <si>
    <t>full_ifrs-cor_2015-03-11.xsd#ifrs-full_CapitalReserve</t>
  </si>
  <si>
    <t>full_ifrs-cor_2015-03-11.xsd#ifrs-full_AdditionalPaidinCapital</t>
  </si>
  <si>
    <t>full_ifrs-cor_2015-03-11.xsd#ifrs-full_AccumulatedOtherComprehensiveIncome</t>
  </si>
  <si>
    <t>full_ifrs-cor_2015-03-11.xsd#ifrs-full_Assets</t>
  </si>
  <si>
    <t>full_ifrs-cor_2015-03-11.xsd#ifrs-full_Liabilities</t>
  </si>
  <si>
    <t>full_ifrs-cor_2015-03-11.xsd#ifrs-full_NetAssetsLiabilities</t>
  </si>
  <si>
    <t>full_ifrs-cor_2015-03-11.xsd#ifrs-full_CurrentAssets</t>
  </si>
  <si>
    <t>full_ifrs-cor_2015-03-11.xsd#ifrs-full_CurrentLiabilities</t>
  </si>
  <si>
    <t>full_ifrs-cor_2015-03-11.xsd#ifrs-full_CurrentAssetsLiabilities</t>
  </si>
  <si>
    <t>full_ifrs-cor_2015-03-11.xsd#ifrs-full_RevenueFromSaleOfGoods</t>
  </si>
  <si>
    <t>full_ifrs-cor_2015-03-11.xsd#ifrs-full_RevenueFromSaleOfCopper</t>
  </si>
  <si>
    <t>full_ifrs-cor_2015-03-11.xsd#ifrs-full_RevenueFromSaleOfGold</t>
  </si>
  <si>
    <t>full_ifrs-cor_2015-03-11.xsd#ifrs-full_RevenueFromSaleOfSilver</t>
  </si>
  <si>
    <t>full_ifrs-cor_2015-03-11.xsd#ifrs-full_RevenueFromSaleOfOilAndGasProducts</t>
  </si>
  <si>
    <t>full_ifrs-cor_2015-03-11.xsd#ifrs-full_RevenueFromSaleOfCrudeOil</t>
  </si>
  <si>
    <t>full_ifrs-cor_2015-03-11.xsd#ifrs-full_RevenueFromSaleOfNaturalGas</t>
  </si>
  <si>
    <t>full_ifrs-cor_2015-03-11.xsd#ifrs-full_RevenueFromSaleOfPetroleumAndPetrochemicalProducts</t>
  </si>
  <si>
    <t>full_ifrs-cor_2015-03-11.xsd#ifrs-full_RevenueFromRenderingOfServices</t>
  </si>
  <si>
    <t>full_ifrs-cor_2015-03-11.xsd#ifrs-full_RevenueFromConstructionContracts</t>
  </si>
  <si>
    <t>full_ifrs-cor_2015-03-11.xsd#ifrs-full_RevenueFromRoyalties</t>
  </si>
  <si>
    <t>full_ifrs-cor_2015-03-11.xsd#ifrs-full_InterestIncomeOnAvailableforsaleFinancialAssets</t>
  </si>
  <si>
    <t>full_ifrs-cor_2015-03-11.xsd#ifrs-full_InterestIncomeOnCashAndBankBalancesAtCentralBanks</t>
  </si>
  <si>
    <t>full_ifrs-cor_2015-03-11.xsd#ifrs-full_InterestIncomeOnCashAndCashEquivalents</t>
  </si>
  <si>
    <t>full_ifrs-cor_2015-03-11.xsd#ifrs-full_InterestIncomeOnDebtInstrumentsHeld</t>
  </si>
  <si>
    <t>full_ifrs-cor_2015-03-11.xsd#ifrs-full_InterestIncomeOnFinancialAssetsDesignatedAtFairValueThroughProfitOrLoss</t>
  </si>
  <si>
    <t>full_ifrs-cor_2015-03-11.xsd#ifrs-full_InterestIncomeOnFinancialAssetsHeldForTrading</t>
  </si>
  <si>
    <t>full_ifrs-cor_2015-03-11.xsd#ifrs-full_InterestIncomeOnHeldtomaturityInvestments</t>
  </si>
  <si>
    <t>full_ifrs-cor_2015-03-11.xsd#ifrs-full_InterestIncomeOnLoansAndAdvancesToBanks</t>
  </si>
  <si>
    <t>full_ifrs-cor_2015-03-11.xsd#ifrs-full_InterestIncomeOnLoansAndAdvancesToCustomers</t>
  </si>
  <si>
    <t>full_ifrs-cor_2015-03-11.xsd#ifrs-full_InterestIncomeOnLoansAndReceivables</t>
  </si>
  <si>
    <t>full_ifrs-cor_2015-03-11.xsd#ifrs-full_InterestIncomeOnOtherFinancialAssets</t>
  </si>
  <si>
    <t>full_ifrs-cor_2015-03-11.xsd#ifrs-full_InterestIncomeOnReverseRepurchaseAgreementsAndCashCollateralOnSecuritiesBorrowed</t>
  </si>
  <si>
    <t>full_ifrs-cor_2015-03-11.xsd#ifrs-full_RevenueFromDividends</t>
  </si>
  <si>
    <t>full_ifrs-cor_2015-03-11.xsd#ifrs-full_OtherRevenue</t>
  </si>
  <si>
    <t>full_ifrs-cor_2015-03-11.xsd#ifrs-full_Revenue</t>
  </si>
  <si>
    <t>full_ifrs-cor_2015-03-11.xsd#ifrs-full_InventoryWritedown2011</t>
  </si>
  <si>
    <t>full_ifrs-cor_2015-03-11.xsd#ifrs-full_ReversalOfInventoryWritedown</t>
  </si>
  <si>
    <t>full_ifrs-cor_2015-03-11.xsd#ifrs-full_WritedownsReversalsOfInventories</t>
  </si>
  <si>
    <t>full_ifrs-cor_2015-03-11.xsd#ifrs-full_ImpairmentLossRecognisedInProfitOrLossPropertyPlantAndEquipment</t>
  </si>
  <si>
    <t>full_ifrs-cor_2015-03-11.xsd#ifrs-full_ReversalOfImpairmentLossRecognisedInProfitOrLossPropertyPlantAndEquipment</t>
  </si>
  <si>
    <t>full_ifrs-cor_2015-03-11.xsd#ifrs-full_WritedownsReversalsOfPropertyPlantAndEquipment</t>
  </si>
  <si>
    <t>full_ifrs-cor_2015-03-11.xsd#ifrs-full_ImpairmentLossRecognisedInProfitOrLossTradeReceivables</t>
  </si>
  <si>
    <t>full_ifrs-cor_2015-03-11.xsd#ifrs-full_ReversalOfImpairmentLossRecognisedInProfitOrLossTradeReceivables</t>
  </si>
  <si>
    <t>full_ifrs-cor_2015-03-11.xsd#ifrs-full_ImpairmentLossReversalOfImpairmentLossRecognisedInProfitOrLossTradeReceivables</t>
  </si>
  <si>
    <t>full_ifrs-cor_2015-03-11.xsd#ifrs-full_ExpenseOfRestructuringActivities</t>
  </si>
  <si>
    <t>full_ifrs-cor_2015-03-11.xsd#ifrs-full_ReversalOfProvisionsForCostOfRestructuring</t>
  </si>
  <si>
    <t>full_ifrs-cor_2015-03-11.xsd#ifrs-full_GainsOnDisposalsOfNoncurrentAssets</t>
  </si>
  <si>
    <t>full_ifrs-cor_2015-03-11.xsd#ifrs-full_LossesOnDisposalsOfNoncurrentAssets</t>
  </si>
  <si>
    <t>full_ifrs-cor_2015-03-11.xsd#ifrs-full_GainsLossesOnDisposalsOfNoncurrentAssets</t>
  </si>
  <si>
    <t>full_ifrs-cor_2015-03-11.xsd#ifrs-full_GainsOnDisposalsOfPropertyPlantAndEquipment</t>
  </si>
  <si>
    <t>full_ifrs-cor_2015-03-11.xsd#ifrs-full_LossesOnDisposalsOfPropertyPlantAndEquipment</t>
  </si>
  <si>
    <t>full_ifrs-cor_2015-03-11.xsd#ifrs-full_GainsLossesOnDisposalsOfPropertyPlantAndEquipment</t>
  </si>
  <si>
    <t>full_ifrs-cor_2015-03-11.xsd#ifrs-full_GainsOnDisposalsOfInvestmentProperties</t>
  </si>
  <si>
    <t>full_ifrs-cor_2015-03-11.xsd#ifrs-full_LossesOnDisposalsOfInvestmentProperties</t>
  </si>
  <si>
    <t>full_ifrs-cor_2015-03-11.xsd#ifrs-full_GainsLossesOnDisposalsOfInvestmentProperties</t>
  </si>
  <si>
    <t>full_ifrs-cor_2015-03-11.xsd#ifrs-full_GainsOnDisposalsOfInvestments</t>
  </si>
  <si>
    <t>full_ifrs-cor_2015-03-11.xsd#ifrs-full_LossesOnDisposalsOfInvestments</t>
  </si>
  <si>
    <t>full_ifrs-cor_2015-03-11.xsd#ifrs-full_GainsLossesOnDisposalsOfInvestments</t>
  </si>
  <si>
    <t>full_ifrs-cor_2015-03-11.xsd#ifrs-full_GainsLossesOnDisposalsOfOtherNoncurrentAssets</t>
  </si>
  <si>
    <t>full_ifrs-cor_2015-03-11.xsd#ifrs-full_GainLossArisingFromDifferenceBetweenCarryingAmountOfFinancialLiabilityExtinguishedAndConsiderationPaid</t>
  </si>
  <si>
    <t>full_ifrs-cor_2015-03-11.xsd#ifrs-full_GainsOnLitigationSettlements</t>
  </si>
  <si>
    <t>full_ifrs-cor_2015-03-11.xsd#ifrs-full_LossesOnLitigationSettlements</t>
  </si>
  <si>
    <t>full_ifrs-cor_2015-03-11.xsd#ifrs-full_GainsLossesOnLitigationSettlements</t>
  </si>
  <si>
    <t>full_ifrs-cor_2015-03-11.xsd#ifrs-full_OtherReversalsOfProvisions</t>
  </si>
  <si>
    <t>full_ifrs-cor_2015-03-11.xsd#ifrs-full_IncomeFromContinuingOperationsAttributableToOwnersOfParent</t>
  </si>
  <si>
    <t>full_ifrs-cor_2015-03-11.xsd#ifrs-full_IncomeFromDiscontinuedOperationsAttributableToOwnersOfParent</t>
  </si>
  <si>
    <t>full_ifrs-cor_2015-03-11.xsd#ifrs-full_ProfitLossFromContinuingOperationsAttributableToNoncontrollingInterests</t>
  </si>
  <si>
    <t>full_ifrs-cor_2015-03-11.xsd#ifrs-full_ProfitLossFromDiscontinuedOperationsAttributableToNoncontrollingInterests</t>
  </si>
  <si>
    <t>full_ifrs-cor_2015-03-11.xsd#ifrs-full_DividendsClassifiedAsExpense</t>
  </si>
  <si>
    <t>full_ifrs-cor_2015-03-11.xsd#ifrs-full_RoyaltyExpense</t>
  </si>
  <si>
    <t>full_ifrs-cor_2015-03-11.xsd#ifrs-full_ResearchAndDevelopmentExpense</t>
  </si>
  <si>
    <t>full_ifrs-cor_2015-03-11.xsd#ifrs-full_InvestmentIncome</t>
  </si>
  <si>
    <t>full_ifrs-cor_2015-03-11.xsd#ifrs-full_FinanceIncomeCost</t>
  </si>
  <si>
    <t>full_ifrs-cor_2015-03-11.xsd#ifrs-full_OtherFinanceIncomeCost</t>
  </si>
  <si>
    <t>full_ifrs-cor_2015-03-11.xsd#ifrs-full_OtherFinanceIncome</t>
  </si>
  <si>
    <t>full_ifrs-cor_2015-03-11.xsd#ifrs-full_OtherFinanceCost</t>
  </si>
  <si>
    <t>full_ifrs-cor_2015-03-11.xsd#ifrs-full_InterestExpense</t>
  </si>
  <si>
    <t>full_ifrs-cor_2015-03-11.xsd#ifrs-full_InterestExpenseOnBankLoansAndOverdrafts</t>
  </si>
  <si>
    <t>full_ifrs-cor_2015-03-11.xsd#ifrs-full_InterestExpenseOnBonds</t>
  </si>
  <si>
    <t>full_ifrs-cor_2015-03-11.xsd#ifrs-full_InterestExpenseOnBorrowings</t>
  </si>
  <si>
    <t>full_ifrs-cor_2015-03-11.xsd#ifrs-full_InterestExpenseOnDebtInstrumentsIssued</t>
  </si>
  <si>
    <t>full_ifrs-cor_2015-03-11.xsd#ifrs-full_InterestExpenseOnDepositsFromBanks</t>
  </si>
  <si>
    <t>full_ifrs-cor_2015-03-11.xsd#ifrs-full_InterestExpenseOnDepositsFromCustomers</t>
  </si>
  <si>
    <t>full_ifrs-cor_2015-03-11.xsd#ifrs-full_InterestExpenseOnLiabilitiesDueToCentralBanks</t>
  </si>
  <si>
    <t>full_ifrs-cor_2015-03-11.xsd#ifrs-full_InterestExpenseOnFinancialLiabilitiesDesignatedAtFairValueThroughProfitOrLoss</t>
  </si>
  <si>
    <t>full_ifrs-cor_2015-03-11.xsd#ifrs-full_InterestExpenseOnFinancialLiabilitiesHeldForTrading</t>
  </si>
  <si>
    <t>full_ifrs-cor_2015-03-11.xsd#ifrs-full_InterestExpenseOnOtherFinancialLiabilities</t>
  </si>
  <si>
    <t>full_ifrs-cor_2015-03-11.xsd#ifrs-full_InterestExpenseOnRepurchaseAgreementsAndCashCollateralOnSecuritiesLent</t>
  </si>
  <si>
    <t>full_ifrs-cor_2015-03-11.xsd#ifrs-full_ExpenseDueToUnwindingOfDiscountOnProvisions</t>
  </si>
  <si>
    <t>full_ifrs-cor_2015-03-11.xsd#ifrs-full_RepairsAndMaintenanceExpense</t>
  </si>
  <si>
    <t>full_ifrs-cor_2015-03-11.xsd#ifrs-full_FuelAndEnergyExpense</t>
  </si>
  <si>
    <t>full_ifrs-cor_2015-03-11.xsd#ifrs-full_OtherOperatingIncomeExpense</t>
  </si>
  <si>
    <t>full_ifrs-cor_2015-03-11.xsd#ifrs-full_MiscellaneousOtherOperatingIncome</t>
  </si>
  <si>
    <t>full_ifrs-cor_2015-03-11.xsd#ifrs-full_MiscellaneousOtherOperatingExpense</t>
  </si>
  <si>
    <t>full_ifrs-cor_2015-03-11.xsd#ifrs-full_DistributionAndAdministrativeExpense</t>
  </si>
  <si>
    <t>full_ifrs-cor_2015-03-11.xsd#ifrs-full_DirectorsRemunerationExpense</t>
  </si>
  <si>
    <t>full_ifrs-cor_2015-03-11.xsd#ifrs-full_RevenueAndOperatingIncome</t>
  </si>
  <si>
    <t>full_ifrs-cor_2015-03-11.xsd#ifrs-full_RentalIncome</t>
  </si>
  <si>
    <t>full_ifrs-cor_2015-03-11.xsd#ifrs-full_RentalExpense</t>
  </si>
  <si>
    <t>full_ifrs-cor_2015-03-11.xsd#ifrs-full_PropertyServiceChargeIncome</t>
  </si>
  <si>
    <t>full_ifrs-cor_2015-03-11.xsd#ifrs-full_PropertyServiceChargeExpense</t>
  </si>
  <si>
    <t>full_ifrs-cor_2015-03-11.xsd#ifrs-full_PropertyServiceChargeIncomeExpense</t>
  </si>
  <si>
    <t>full_ifrs-cor_2015-03-11.xsd#ifrs-full_PropertyDevelopmentAndProjectManagementIncome</t>
  </si>
  <si>
    <t>full_ifrs-cor_2015-03-11.xsd#ifrs-full_PropertyDevelopmentAndProjectManagementExpense</t>
  </si>
  <si>
    <t>full_ifrs-cor_2015-03-11.xsd#ifrs-full_PropertyManagementExpense</t>
  </si>
  <si>
    <t>full_ifrs-cor_2015-03-11.xsd#ifrs-full_IncomeFromReimbursementsUnderInsurancePolicies</t>
  </si>
  <si>
    <t>full_ifrs-cor_2015-03-11.xsd#ifrs-full_IncomeFromFinesAndPenalties</t>
  </si>
  <si>
    <t>full_ifrs-cor_2015-03-11.xsd#ifrs-full_OperatingExpenseExcludingCostOfSales</t>
  </si>
  <si>
    <t>full_ifrs-cor_2015-03-11.xsd#ifrs-full_SalesAndMarketingExpense</t>
  </si>
  <si>
    <t>full_ifrs-cor_2015-03-11.xsd#ifrs-full_GainsOnChangeInFairValueOfDerivatives</t>
  </si>
  <si>
    <t>full_ifrs-cor_2015-03-11.xsd#ifrs-full_LossesOnChangeInFairValueOfDerivatives</t>
  </si>
  <si>
    <t>full_ifrs-cor_2015-03-11.xsd#ifrs-full_GainsLossesOnChangeInFairValueOfDerivatives</t>
  </si>
  <si>
    <t>full_ifrs-cor_2015-03-11.xsd#ifrs-full_BrokerageFeeIncome</t>
  </si>
  <si>
    <t>full_ifrs-cor_2015-03-11.xsd#ifrs-full_PortfolioAndOtherManagementFeeIncome</t>
  </si>
  <si>
    <t>full_ifrs-cor_2015-03-11.xsd#ifrs-full_CreditrelatedFeeAndCommissionIncome</t>
  </si>
  <si>
    <t>full_ifrs-cor_2015-03-11.xsd#ifrs-full_OtherFeeAndCommissionIncome</t>
  </si>
  <si>
    <t>full_ifrs-cor_2015-03-11.xsd#ifrs-full_FeeAndCommissionIncome</t>
  </si>
  <si>
    <t>full_ifrs-cor_2015-03-11.xsd#ifrs-full_BrokerageFeeExpense</t>
  </si>
  <si>
    <t>full_ifrs-cor_2015-03-11.xsd#ifrs-full_OtherFeeAndCommissionExpense</t>
  </si>
  <si>
    <t>full_ifrs-cor_2015-03-11.xsd#ifrs-full_FeeAndCommissionExpense</t>
  </si>
  <si>
    <t>full_ifrs-cor_2015-03-11.xsd#ifrs-full_FeeAndCommissionIncomeExpense</t>
  </si>
  <si>
    <t>full_ifrs-cor_2015-03-11.xsd#ifrs-full_TradingIncomeExpenseAbstract</t>
  </si>
  <si>
    <t>full_ifrs-cor_2015-03-11.xsd#ifrs-full_TradingIncomeExpenseOnDebtInstruments</t>
  </si>
  <si>
    <t>full_ifrs-cor_2015-03-11.xsd#ifrs-full_TradingIncomeExpenseOnEquityInstruments</t>
  </si>
  <si>
    <t>full_ifrs-cor_2015-03-11.xsd#ifrs-full_TradingIncomeExpenseOnDerivativeFinancialInstruments</t>
  </si>
  <si>
    <t>full_ifrs-cor_2015-03-11.xsd#ifrs-full_TradingIncomeExpenseOnForeignExchangeContracts</t>
  </si>
  <si>
    <t>full_ifrs-cor_2015-03-11.xsd#ifrs-full_OtherTradingIncomeExpense</t>
  </si>
  <si>
    <t>full_ifrs-cor_2015-03-11.xsd#ifrs-full_TradingIncomeExpense</t>
  </si>
  <si>
    <t>full_ifrs-cor_2015-03-11.xsd#ifrs-full_RawMaterialsAndConsumablesUsed</t>
  </si>
  <si>
    <t>full_ifrs-cor_2015-03-11.xsd#ifrs-full_ServicesExpense</t>
  </si>
  <si>
    <t>full_ifrs-cor_2015-03-11.xsd#ifrs-full_InsuranceExpense</t>
  </si>
  <si>
    <t>full_ifrs-cor_2015-03-11.xsd#ifrs-full_ProfessionalFeesExpense</t>
  </si>
  <si>
    <t>full_ifrs-cor_2015-03-11.xsd#ifrs-full_TransportationExpense</t>
  </si>
  <si>
    <t>full_ifrs-cor_2015-03-11.xsd#ifrs-full_BankAndSimilarCharges</t>
  </si>
  <si>
    <t>full_ifrs-cor_2015-03-11.xsd#ifrs-full_WagesAndSalaries</t>
  </si>
  <si>
    <t>full_ifrs-cor_2015-03-11.xsd#ifrs-full_SocialSecurityContributions</t>
  </si>
  <si>
    <t>full_ifrs-cor_2015-03-11.xsd#ifrs-full_OtherShorttermEmployeeBenefits</t>
  </si>
  <si>
    <t>full_ifrs-cor_2015-03-11.xsd#ifrs-full_ShorttermEmployeeBenefitsExpense</t>
  </si>
  <si>
    <t>full_ifrs-cor_2015-03-11.xsd#ifrs-full_PostemploymentBenefitExpenseDefinedContributionPlans</t>
  </si>
  <si>
    <t>full_ifrs-cor_2015-03-11.xsd#ifrs-full_PostemploymentBenefitExpenseDefinedBenefitPlans</t>
  </si>
  <si>
    <t>full_ifrs-cor_2015-03-11.xsd#ifrs-full_TerminationBenefitsExpense</t>
  </si>
  <si>
    <t>full_ifrs-cor_2015-03-11.xsd#ifrs-full_OtherLongtermBenefits</t>
  </si>
  <si>
    <t>full_ifrs-cor_2015-03-11.xsd#ifrs-full_OtherEmployeeExpense</t>
  </si>
  <si>
    <t>full_ifrs-cor_2015-03-11.xsd#ifrs-full_EmployeeBenefitsExpense</t>
  </si>
  <si>
    <t>full_ifrs-cor_2015-03-11.xsd#ifrs-full_DepreciationExpense</t>
  </si>
  <si>
    <t>full_ifrs-cor_2015-03-11.xsd#ifrs-full_AmortisationExpense</t>
  </si>
  <si>
    <t>full_ifrs-cor_2015-03-11.xsd#ifrs-full_DepreciationAndAmortisationExpense</t>
  </si>
  <si>
    <t>full_ifrs-cor_2015-03-11.xsd#ifrs-full_ImpairmentLossReversalOfImpairmentLossRecognisedInProfitOrLoss</t>
  </si>
  <si>
    <t>full_ifrs-cor_2015-03-11.xsd#ifrs-full_DepreciationAmortisationAndImpairmentLossReversalOfImpairmentLossRecognisedInProfitOrLoss</t>
  </si>
  <si>
    <t>full_ifrs-cor_2015-03-11.xsd#ifrs-full_TaxExpenseOtherThanIncomeTaxExpense</t>
  </si>
  <si>
    <t>full_ifrs-cor_2015-03-11.xsd#ifrs-full_PropertyTaxExpense</t>
  </si>
  <si>
    <t>full_ifrs-cor_2015-03-11.xsd#ifrs-full_OtherExpenseByNature</t>
  </si>
  <si>
    <t>full_ifrs-cor_2015-03-11.xsd#ifrs-full_ExpenseByNature</t>
  </si>
  <si>
    <t>full_ifrs-cor_2015-03-11.xsd#ifrs-full_BasicAndDilutedEarningsLossPerShareFromContinuingOperations</t>
  </si>
  <si>
    <t>full_ifrs-cor_2015-03-11.xsd#ifrs-full_BasicAndDilutedEarningsLossPerShareFromDiscontinuedOperations</t>
  </si>
  <si>
    <t>full_ifrs-cor_2015-03-11.xsd#ifrs-full_BasicAndDilutedEarningsLossPerShare</t>
  </si>
  <si>
    <t>full_ifrs-cor_2015-03-11.xsd#ifrs-full_IncreaseDecreaseInAccumulatedDeferredTaxRecognisedInOtherComprehensiveIncomeDueToChangeInTaxRate</t>
  </si>
  <si>
    <t>full_ifrs-cor_2015-03-11.xsd#ifrs-full_OtherComprehensiveIncomeAttributableToOwnersOfParent</t>
  </si>
  <si>
    <t>full_ifrs-cor_2015-03-11.xsd#ifrs-full_OtherComprehensiveIncomeAttributableToNoncontrollingInterests</t>
  </si>
  <si>
    <t>full_ifrs-cor_2015-03-11.xsd#ifrs-full_ShareOfOtherComprehensiveIncomeOfAssociatesAndJointVenturesAccountedForUsingEquityMethodThatWillNotBeReclassifiedToProfitOrLossBeforeTax</t>
  </si>
  <si>
    <t>full_ifrs-cor_2015-03-11.xsd#ifrs-full_ShareOfOtherComprehensiveIncomeOfAssociatesAndJointVenturesAccountedForUsingEquityMethodThatWillBeReclassifiedToProfitOrLossBeforeTax</t>
  </si>
  <si>
    <t>full_ifrs-cor_2015-03-11.xsd#ifrs-full_ShareOfOtherComprehensiveIncomeOfAssociatesAndJointVenturesAccountedForUsingEquityMethodBeforeTax</t>
  </si>
  <si>
    <t>full_ifrs-cor_2015-03-11.xsd#ifrs-full_IncomeTaxRelatingToShareOfOtherComprehensiveIncomeOfAssociatesAndJointVenturesAccountedForUsingEquityMethodAbstract</t>
  </si>
  <si>
    <t>full_ifrs-cor_2015-03-11.xsd#ifrs-full_IncomeTaxRelatingToShareOfOtherComprehensiveIncomeOfAssociatesAndJointVenturesAccountedForUsingEquityMethodThatWillNotBeReclassifiedToProfitOrLoss</t>
  </si>
  <si>
    <t>full_ifrs-cor_2015-03-11.xsd#ifrs-full_IncomeTaxRelatingToShareOfOtherComprehensiveIncomeOfAssociatesAndJointVenturesAccountedForUsingEquityMethodThatWillBeReclassifiedToProfitOrLoss</t>
  </si>
  <si>
    <t>full_ifrs-cor_2015-03-11.xsd#ifrs-full_IncomeTaxRelatingToShareOfOtherComprehensiveIncomeOfAssociatesAndJointVenturesAccountedForUsingEquityMethod</t>
  </si>
  <si>
    <t>full_ifrs-cor_2015-03-11.xsd#ifrs-full_IncomeTaxRelatingToComponentsOfOtherComprehensiveIncomeThatWillNotBeReclassifiedToProfitOrLoss</t>
  </si>
  <si>
    <t>full_ifrs-cor_2015-03-11.xsd#ifrs-full_IncomeTaxRelatingToComponentsOfOtherComprehensiveIncomeThatWillBeReclassifiedToProfitOrLoss</t>
  </si>
  <si>
    <t>full_ifrs-cor_2015-03-11.xsd#ifrs-full_IncomeTaxRelatingToComponentsOfOtherComprehensiveIncome</t>
  </si>
  <si>
    <t>full_ifrs-cor_2015-03-11.xsd#ifrs-full_DisclosureOfNotesAndOtherExplanatoryInformationExplanatory</t>
  </si>
  <si>
    <t>full_ifrs-cor_2015-03-11.xsd#ifrs-full_NameOfReportingEntityOrOtherMeansOfIdentification</t>
  </si>
  <si>
    <t>full_ifrs-cor_2015-03-11.xsd#ifrs-full_DomicileOfEntity</t>
  </si>
  <si>
    <t>full_ifrs-cor_2015-03-11.xsd#ifrs-full_LegalFormOfEntity</t>
  </si>
  <si>
    <t>full_ifrs-cor_2015-03-11.xsd#ifrs-full_AddressOfRegisteredOfficeOfEntity</t>
  </si>
  <si>
    <t>full_ifrs-cor_2015-03-11.xsd#ifrs-full_PrincipalPlaceOfBusiness</t>
  </si>
  <si>
    <t>full_ifrs-cor_2015-03-11.xsd#ifrs-full_DescriptionOfNatureOfEntitysOperationsAndPrincipalActivities</t>
  </si>
  <si>
    <t>full_ifrs-cor_2015-03-11.xsd#ifrs-full_NameOfParentEntity</t>
  </si>
  <si>
    <t>full_ifrs-cor_2015-03-11.xsd#ifrs-full_NameOfUltimateParentOfGroup</t>
  </si>
  <si>
    <t>full_ifrs-cor_2015-03-11.xsd#ifrs-full_LengthOfLifeOfLimitedLifeEntity</t>
  </si>
  <si>
    <t>full_ifrs-cor_2015-03-11.xsd#ifrs-full_StatementOfIFRSCompliance</t>
  </si>
  <si>
    <t>full_ifrs-cor_2015-03-11.xsd#ifrs-full_DescriptionOfUncertaintiesOfEntitysAbilityToContinueAsGoingConcern</t>
  </si>
  <si>
    <t>full_ifrs-cor_2015-03-11.xsd#ifrs-full_ExplanationOfFactAndBasisForPreparationOfFinancialStatementsWhenNotGoingConcernBasis</t>
  </si>
  <si>
    <t>full_ifrs-cor_2015-03-11.xsd#ifrs-full_ExplanationWhyFinancialStatementsNotPreparedOnGoingConcernBasis</t>
  </si>
  <si>
    <t>full_ifrs-cor_2015-03-11.xsd#ifrs-full_DescriptionOfReasonForUsingLongerOrShorterReportingPeriod</t>
  </si>
  <si>
    <t>full_ifrs-cor_2015-03-11.xsd#ifrs-full_DescriptionOfReasonWhyFinancialStatementsAreNotEntirelyComparable</t>
  </si>
  <si>
    <t>full_ifrs-cor_2015-03-11.xsd#ifrs-full_DisclosureOfReclassificationsOrChangesInPresentationExplanatory</t>
  </si>
  <si>
    <t>full_ifrs-cor_2015-03-11.xsd#ifrs-full_DescriptionOfReasonWhyReclassificationOfComparativeAmountsIsImpracticable</t>
  </si>
  <si>
    <t>full_ifrs-cor_2015-03-11.xsd#ifrs-full_DescriptionOfNatureOfNecessaryAdjustmentToProvideComparativeInformation</t>
  </si>
  <si>
    <t>full_ifrs-cor_2015-03-11.xsd#ifrs-full_DisclosureOfSummaryOfSignificantAccountingPoliciesExplanatory</t>
  </si>
  <si>
    <t>full_ifrs-cor_2015-03-11.xsd#ifrs-full_DescriptionOfOtherAccountingPoliciesRelevantToUnderstandingOfFinancialStatements</t>
  </si>
  <si>
    <t>full_ifrs-cor_2015-03-11.xsd#ifrs-full_ExplanationOfManagementJudgementsInApplyingEntitysAccountingPoliciesWithSignificantEffectOnRecognisedAmounts</t>
  </si>
  <si>
    <t>full_ifrs-cor_2015-03-11.xsd#ifrs-full_ExplanationOfAssumptionAboutFutureWithSignificantRiskOfResultingInMaterialAdjustments</t>
  </si>
  <si>
    <t>full_ifrs-cor_2015-03-11.xsd#ifrs-full_DisclosureOfAssetsAndLiabilitiesWithSignificantRiskOfMaterialAdjustmentExplanatory</t>
  </si>
  <si>
    <t>full_ifrs-cor_2015-03-11.xsd#ifrs-full_DisclosureOfObjectivesPoliciesAndProcessesForManagingCapitalExplanatory</t>
  </si>
  <si>
    <t>full_ifrs-cor_2015-03-11.xsd#ifrs-full_DividendsRecognisedAsDistributionsToOwnersPerShare</t>
  </si>
  <si>
    <t>full_ifrs-cor_2015-03-11.xsd#ifrs-full_DividendsProposedOrDeclaredBeforeFinancialStatementsAuthorisedForIssueButNotRecognisedAsDistributionToOwners</t>
  </si>
  <si>
    <t>full_ifrs-cor_2015-03-11.xsd#ifrs-full_DividendsProposedOrDeclaredBeforeFinancialStatementsAuthorisedForIssueButNotRecognisedAsDistributionToOwnersPerShare</t>
  </si>
  <si>
    <t>full_ifrs-cor_2015-03-11.xsd#ifrs-full_DescriptionOfNatureOfNoncashAssetsHeldForDistributionToOwnersDeclaredBeforeFinancialStatementsAuthorisedForIssue</t>
  </si>
  <si>
    <t>full_ifrs-cor_2015-03-11.xsd#ifrs-full_NoncashAssetsDeclaredForDistributionToOwnersBeforeFinancialStatementsAuthorisedForIssue</t>
  </si>
  <si>
    <t>full_ifrs-cor_2015-03-11.xsd#ifrs-full_NoncashAssetsDeclaredForDistributionToOwnersBeforeFinancialStatementsAuthorisedForIssueAtFairValue</t>
  </si>
  <si>
    <t>full_ifrs-cor_2015-03-11.xsd#ifrs-full_DescriptionOfMethodsUsedToMeasureFairValueOfNoncashAssetsDeclaredForDistributionToOwnersBeforeFinancialStatementsAuthorisedForIssue</t>
  </si>
  <si>
    <t>full_ifrs-cor_2015-03-11.xsd#ifrs-full_DividendsPayable</t>
  </si>
  <si>
    <t>full_ifrs-cor_2015-03-11.xsd#ifrs-full_IncreaseDecreaseInDividendsPayableThroughChangeInFairValueOfNoncashAssetsHeldForDistributionToOwners</t>
  </si>
  <si>
    <t>full_ifrs-cor_2015-03-11.xsd#ifrs-full_EquityReclassifiedIntoFinancialLiabilities</t>
  </si>
  <si>
    <t>full_ifrs-cor_2015-03-11.xsd#ifrs-full_FinancialLiabilitiesReclassifiedIntoEquity</t>
  </si>
  <si>
    <t>full_ifrs-cor_2015-03-11.xsd#ifrs-full_DescriptionOfTimingAndReasonOfReclassificationBetweenFinancialLiabilitiesAndEquity</t>
  </si>
  <si>
    <t>full_ifrs-cor_2015-03-11.xsd#ifrs-full_DisclosureOfShareCapitalReservesAndOtherEquityInterestExplanatory</t>
  </si>
  <si>
    <t>full_ifrs-cor_2015-03-11.xsd#ifrs-full_IssuedCapital</t>
  </si>
  <si>
    <t>full_ifrs-cor_2015-03-11.xsd#ifrs-full_DisclosureOfClassesOfShareCapitalExplanatory</t>
  </si>
  <si>
    <t>full_ifrs-cor_2015-03-11.xsd#ifrs-full_DisclosureOfReservesAndOtherEquityInterestExplanatory</t>
  </si>
  <si>
    <t>full_ifrs-cor_2015-03-11.xsd#ifrs-full_DescriptionOfOtherEquityInterest</t>
  </si>
  <si>
    <t>full_ifrs-cor_2015-03-11.xsd#ifrs-full_SummaryQuantitativeDataAboutPuttableFinancialInstrumentsClassifiedAsEquityInstruments</t>
  </si>
  <si>
    <t>full_ifrs-cor_2015-03-11.xsd#ifrs-full_InformationAboutObjectivesPoliciesAndProcessesForManagingEntitysObligationToRepurchaseOrRedeemPuttableFinancialInstruments</t>
  </si>
  <si>
    <t>full_ifrs-cor_2015-03-11.xsd#ifrs-full_ExpectedCashOutflowOnRedemptionOrRepurchaseOfPuttableFinancialInstruments</t>
  </si>
  <si>
    <t>full_ifrs-cor_2015-03-11.xsd#ifrs-full_InformationAboutHowExpectedCashOutflowOnRedemptionOrRepurchaseWasDetermined</t>
  </si>
  <si>
    <t>full_ifrs-cor_2015-03-11.xsd#ifrs-full_DescriptionOfAccountingPolicyForAvailableforsaleFinancialAssetsExplanatory</t>
  </si>
  <si>
    <t>full_ifrs-cor_2015-03-11.xsd#ifrs-full_DescriptionOfAccountingPolicyForBiologicalAssetsExplanatory</t>
  </si>
  <si>
    <t>full_ifrs-cor_2015-03-11.xsd#ifrs-full_DescriptionOfAccountingPolicyForBorrowingCostsExplanatory</t>
  </si>
  <si>
    <t>full_ifrs-cor_2015-03-11.xsd#ifrs-full_DescriptionOfAccountingPolicyForBorrowingsExplanatory</t>
  </si>
  <si>
    <t>full_ifrs-cor_2015-03-11.xsd#ifrs-full_DescriptionOfAccountingPolicyForBusinessCombinationsExplanatory</t>
  </si>
  <si>
    <t>full_ifrs-cor_2015-03-11.xsd#ifrs-full_DescriptionOfAccountingPolicyForBusinessCombinationsAndGoodwillExplanatory</t>
  </si>
  <si>
    <t>full_ifrs-cor_2015-03-11.xsd#ifrs-full_DescriptionOfAccountingPolicyForCashFlowsExplanatory</t>
  </si>
  <si>
    <t>full_ifrs-cor_2015-03-11.xsd#ifrs-full_DescriptionOfAccountingPolicyForCollateralExplanatory</t>
  </si>
  <si>
    <t>full_ifrs-cor_2015-03-11.xsd#ifrs-full_DescriptionOfAccountingPolicyForConstructionInProgressExplanatory</t>
  </si>
  <si>
    <t>full_ifrs-cor_2015-03-11.xsd#ifrs-full_DescriptionOfAccountingPolicyForCustomerAcquisitionCostsExplanatory</t>
  </si>
  <si>
    <t>full_ifrs-cor_2015-03-11.xsd#ifrs-full_DescriptionOfAccountingPolicyForDecommissioningRestorationAndRehabilitationProvisionsExplanatory</t>
  </si>
  <si>
    <t>full_ifrs-cor_2015-03-11.xsd#ifrs-full_DescriptionOfAccountingPolicyForDeferredAcquisitionCostsArisingFromInsuranceContractsExplanatory</t>
  </si>
  <si>
    <t>full_ifrs-cor_2015-03-11.xsd#ifrs-full_DescriptionOfAccountingPolicyForDepreciationExpenseExplanatory</t>
  </si>
  <si>
    <t>full_ifrs-cor_2015-03-11.xsd#ifrs-full_DescriptionOfAccountingPolicyForDerecognitionOfFinancialInstrumentsExplanatory</t>
  </si>
  <si>
    <t>full_ifrs-cor_2015-03-11.xsd#ifrs-full_DescriptionOfAccountingPolicyForDerivativeFinancialInstrumentsExplanatory</t>
  </si>
  <si>
    <t>full_ifrs-cor_2015-03-11.xsd#ifrs-full_DescriptionOfAccountingPolicyForDerivativeFinancialInstrumentsAndHedgingExplanatory</t>
  </si>
  <si>
    <t>full_ifrs-cor_2015-03-11.xsd#ifrs-full_DescriptionOfAccountingPolicyToDetermineComponentsOfCashAndCashEquivalents</t>
  </si>
  <si>
    <t>full_ifrs-cor_2015-03-11.xsd#ifrs-full_DescriptionOfAccountingPolicyForDiscontinuedOperationsExplanatory</t>
  </si>
  <si>
    <t>full_ifrs-cor_2015-03-11.xsd#ifrs-full_DescriptionOfAccountingPolicyForDividendsExplanatory</t>
  </si>
  <si>
    <t>full_ifrs-cor_2015-03-11.xsd#ifrs-full_DescriptionOfAccountingPolicyForEarningsPerShareExplanatory</t>
  </si>
  <si>
    <t>full_ifrs-cor_2015-03-11.xsd#ifrs-full_DescriptionOfAccountingPolicyForEmployeeBenefitsExplanatory</t>
  </si>
  <si>
    <t>full_ifrs-cor_2015-03-11.xsd#ifrs-full_DescriptionOfAccountingPolicyForEnvironmentRelatedExpenseExplanatory</t>
  </si>
  <si>
    <t>full_ifrs-cor_2015-03-11.xsd#ifrs-full_DescriptionOfAccountingPolicyForExpensesExplanatory</t>
  </si>
  <si>
    <t>full_ifrs-cor_2015-03-11.xsd#ifrs-full_DescriptionOfAccountingPolicyForExplorationAndEvaluationExpenditures</t>
  </si>
  <si>
    <t>full_ifrs-cor_2015-03-11.xsd#ifrs-full_DescriptionOfAccountingPolicyForFairValueMeasurementExplanatory</t>
  </si>
  <si>
    <t>full_ifrs-cor_2015-03-11.xsd#ifrs-full_DescriptionOfAccountingPolicyForFeeAndCommissionIncomeAndExpenseExplanatory</t>
  </si>
  <si>
    <t>full_ifrs-cor_2015-03-11.xsd#ifrs-full_DescriptionOfAccountingPolicyForFinanceCostsExplanatory</t>
  </si>
  <si>
    <t>full_ifrs-cor_2015-03-11.xsd#ifrs-full_DescriptionOfAccountingPolicyForFinanceIncomeAndCostsExplanatory</t>
  </si>
  <si>
    <t>full_ifrs-cor_2015-03-11.xsd#ifrs-full_DescriptionOfAccountingPolicyForFinancialAssetsExplanatory</t>
  </si>
  <si>
    <t>full_ifrs-cor_2015-03-11.xsd#ifrs-full_DescriptionOfAccountingPolicyForFinancialGuaranteesExplanatory</t>
  </si>
  <si>
    <t>full_ifrs-cor_2015-03-11.xsd#ifrs-full_DescriptionOfAccountingPolicyForFinancialInstrumentsExplanatory</t>
  </si>
  <si>
    <t>full_ifrs-cor_2015-03-11.xsd#ifrs-full_DescriptionOfAccountingPolicyForFinancialInstrumentsAtFairValueThroughProfitOrLossExplanatory</t>
  </si>
  <si>
    <t>full_ifrs-cor_2015-03-11.xsd#ifrs-full_DescriptionOfAccountingPolicyForFinancialLiabilitiesExplanatory</t>
  </si>
  <si>
    <t>full_ifrs-cor_2015-03-11.xsd#ifrs-full_DescriptionOfAccountingPolicyForForeignCurrencyTranslationExplanatory</t>
  </si>
  <si>
    <t>full_ifrs-cor_2015-03-11.xsd#ifrs-full_DescriptionOfAccountingPolicyForFunctionalCurrencyExplanatory</t>
  </si>
  <si>
    <t>full_ifrs-cor_2015-03-11.xsd#ifrs-full_DescriptionOfAccountingPolicyForGoodwillExplanatory</t>
  </si>
  <si>
    <t>full_ifrs-cor_2015-03-11.xsd#ifrs-full_DescriptionOfAccountingPolicyForGovernmentGrants</t>
  </si>
  <si>
    <t>full_ifrs-cor_2015-03-11.xsd#ifrs-full_DescriptionOfAccountingPolicyForHedgingExplanatory</t>
  </si>
  <si>
    <t>full_ifrs-cor_2015-03-11.xsd#ifrs-full_DescriptionOfAccountingPolicyForHeldtomaturityInvestmentsExplanatory</t>
  </si>
  <si>
    <t>full_ifrs-cor_2015-03-11.xsd#ifrs-full_DescriptionOfAccountingPolicyForImpairmentOfAssetsExplanatory</t>
  </si>
  <si>
    <t>full_ifrs-cor_2015-03-11.xsd#ifrs-full_DescriptionOfAccountingPolicyForImpairmentOfFinancialAssetsExplanatory</t>
  </si>
  <si>
    <t>full_ifrs-cor_2015-03-11.xsd#ifrs-full_DescriptionOfAccountingPolicyForImpairmentOfNonfinancialAssetsExplanatory</t>
  </si>
  <si>
    <t>full_ifrs-cor_2015-03-11.xsd#ifrs-full_DescriptionOfAccountingPolicyForIncomeTaxExplanatory</t>
  </si>
  <si>
    <t>full_ifrs-cor_2015-03-11.xsd#ifrs-full_DescriptionOfAccountingPolicyForInsuranceContracts</t>
  </si>
  <si>
    <t>full_ifrs-cor_2015-03-11.xsd#ifrs-full_DescriptionOfAccountingPolicyForIntangibleAssetsAndGoodwillExplanatory</t>
  </si>
  <si>
    <t>full_ifrs-cor_2015-03-11.xsd#ifrs-full_DescriptionOfAccountingPolicyForIntangibleAssetsOtherThanGoodwillExplanatory</t>
  </si>
  <si>
    <t>full_ifrs-cor_2015-03-11.xsd#ifrs-full_DescriptionOfAccountingPolicyForInterestIncomeAndExpenseExplanatory</t>
  </si>
  <si>
    <t>full_ifrs-cor_2015-03-11.xsd#ifrs-full_DescriptionOfAccountingPolicyForInvestmentInAssociates</t>
  </si>
  <si>
    <t>full_ifrs-cor_2015-03-11.xsd#ifrs-full_DescriptionOfAccountingPolicyForInvestmentInAssociatesAndJointVenturesExplanatory</t>
  </si>
  <si>
    <t>full_ifrs-cor_2015-03-11.xsd#ifrs-full_DescriptionOfAccountingPolicyForInvestmentsInJointVentures</t>
  </si>
  <si>
    <t>full_ifrs-cor_2015-03-11.xsd#ifrs-full_DescriptionOfAccountingPolicyForInvestmentPropertyExplanatory</t>
  </si>
  <si>
    <t>full_ifrs-cor_2015-03-11.xsd#ifrs-full_DescriptionOfAccountingPolicyForInvestmentsOtherThanInvestmentsAccountedForUsingEquityMethodExplanatory</t>
  </si>
  <si>
    <t>full_ifrs-cor_2015-03-11.xsd#ifrs-full_DescriptionOfAccountingPolicyForIssuedCapitalExplanatory</t>
  </si>
  <si>
    <t>full_ifrs-cor_2015-03-11.xsd#ifrs-full_DescriptionOfAccountingPolicyForLeasesExplanatory</t>
  </si>
  <si>
    <t>full_ifrs-cor_2015-03-11.xsd#ifrs-full_DescriptionOfAccountingPolicyForLoansAndReceivablesExplanatory</t>
  </si>
  <si>
    <t>full_ifrs-cor_2015-03-11.xsd#ifrs-full_DescriptionOfAccountingPolicyForMeasuringInventories</t>
  </si>
  <si>
    <t>full_ifrs-cor_2015-03-11.xsd#ifrs-full_DescriptionOfAccountingPolicyForMiningAssetsExplanatory</t>
  </si>
  <si>
    <t>full_ifrs-cor_2015-03-11.xsd#ifrs-full_DescriptionOfAccountingPolicyForMiningRightsExplanatory</t>
  </si>
  <si>
    <t>full_ifrs-cor_2015-03-11.xsd#ifrs-full_DescriptionOfAccountingPolicyForNoncurrentAssetsOrDisposalGroupsClassifiedAsHeldForSaleExplanatory</t>
  </si>
  <si>
    <t>full_ifrs-cor_2015-03-11.xsd#ifrs-full_DescriptionOfAccountingPolicyForNoncurrentAssetsOrDisposalGroupsClassifiedAsHeldForSaleAndDiscontinuedOperationsExplanatory</t>
  </si>
  <si>
    <t>full_ifrs-cor_2015-03-11.xsd#ifrs-full_DescriptionOfAccountingPolicyForOffsettingOfFinancialInstrumentsExplanatory</t>
  </si>
  <si>
    <t>full_ifrs-cor_2015-03-11.xsd#ifrs-full_DescriptionOfAccountingPolicyForOilAndGasAssetsExplanatory</t>
  </si>
  <si>
    <t>full_ifrs-cor_2015-03-11.xsd#ifrs-full_DescriptionOfAccountingPolicyForPropertyPlantAndEquipmentExplanatory</t>
  </si>
  <si>
    <t>full_ifrs-cor_2015-03-11.xsd#ifrs-full_DescriptionOfAccountingPolicyForProvisionsExplanatory</t>
  </si>
  <si>
    <t>full_ifrs-cor_2015-03-11.xsd#ifrs-full_DescriptionOfAccountingPolicyForReclassificationOfFinancialInstrumentsExplanatory</t>
  </si>
  <si>
    <t>full_ifrs-cor_2015-03-11.xsd#ifrs-full_DescriptionOfAccountingPolicyForRecognisingDifferenceBetweenFairValueAtInitialRecognitionAndAmountDeterminedUsingValuationTechniqueExplanatory</t>
  </si>
  <si>
    <t>full_ifrs-cor_2015-03-11.xsd#ifrs-full_DescriptionOfAccountingPolicyForRecognitionOfRevenue</t>
  </si>
  <si>
    <t>full_ifrs-cor_2015-03-11.xsd#ifrs-full_DescriptionOfAccountingPolicyForReinsuranceExplanatory</t>
  </si>
  <si>
    <t>full_ifrs-cor_2015-03-11.xsd#ifrs-full_DescriptionOfAccountingPolicyForRepurchaseAndReverseRepurchaseAgreementsExplanatory</t>
  </si>
  <si>
    <t>full_ifrs-cor_2015-03-11.xsd#ifrs-full_DescriptionOfAccountingPolicyForResearchAndDevelopmentExpenseExplanatory</t>
  </si>
  <si>
    <t>full_ifrs-cor_2015-03-11.xsd#ifrs-full_DescriptionOfAccountingPolicyForRestrictedCashAndCashEquivalentsExplanatory</t>
  </si>
  <si>
    <t>full_ifrs-cor_2015-03-11.xsd#ifrs-full_DescriptionOfAccountingPolicyForSegmentReportingExplanatory</t>
  </si>
  <si>
    <t>full_ifrs-cor_2015-03-11.xsd#ifrs-full_DescriptionOfAccountingPolicyForSharebasedPaymentTransactionsExplanatory</t>
  </si>
  <si>
    <t>full_ifrs-cor_2015-03-11.xsd#ifrs-full_DescriptionOfAccountingPolicyForStrippingCostsExplanatory</t>
  </si>
  <si>
    <t>full_ifrs-cor_2015-03-11.xsd#ifrs-full_DescriptionOfAccountingPolicyForSubsidiariesExplanatory</t>
  </si>
  <si>
    <t>full_ifrs-cor_2015-03-11.xsd#ifrs-full_DescriptionOfAccountingPolicyForTerminationBenefits</t>
  </si>
  <si>
    <t>full_ifrs-cor_2015-03-11.xsd#ifrs-full_DescriptionOfAccountingPolicyForTradeAndOtherPayablesExplanatory</t>
  </si>
  <si>
    <t>full_ifrs-cor_2015-03-11.xsd#ifrs-full_DescriptionOfAccountingPolicyForTradeAndOtherReceivablesExplanatory</t>
  </si>
  <si>
    <t>full_ifrs-cor_2015-03-11.xsd#ifrs-full_DescriptionOfAccountingPolicyForTradingIncomeAndExpenseExplanatory</t>
  </si>
  <si>
    <t>full_ifrs-cor_2015-03-11.xsd#ifrs-full_DescriptionOfAccountingPolicyForTransactionsWithNoncontrollingInterestsExplanatory</t>
  </si>
  <si>
    <t>full_ifrs-cor_2015-03-11.xsd#ifrs-full_DescriptionOfAccountingPolicyForTransactionsWithRelatedPartiesExplanatory</t>
  </si>
  <si>
    <t>full_ifrs-cor_2015-03-11.xsd#ifrs-full_DescriptionOfAccountingPolicyForTreasurySharesExplanatory</t>
  </si>
  <si>
    <t>full_ifrs-cor_2015-03-11.xsd#ifrs-full_DisclosureOfAdditionalInformationExplanatory</t>
  </si>
  <si>
    <t>full_ifrs-cor_2015-03-11.xsd#ifrs-full_ContractualCapitalCommitments</t>
  </si>
  <si>
    <t>full_ifrs-cor_2015-03-11.xsd#ifrs-full_AuthorisedCapitalCommitmentsButNotContractedFor</t>
  </si>
  <si>
    <t>full_ifrs-cor_2015-03-11.xsd#ifrs-full_CapitalCommitments</t>
  </si>
  <si>
    <t>full_ifrs-cor_2015-03-11.xsd#ifrs-full_NumberOfEmployees</t>
  </si>
  <si>
    <t>full_ifrs-cor_2015-03-11.xsd#ifrs-full_AverageNumberOfEmployees</t>
  </si>
  <si>
    <t>pre_cl-ci_ias-1_2015-03-11_role-861000</t>
  </si>
  <si>
    <t>full_ifrs-cor_2015-03-11.xsd#ifrs-full_DisclosureOfAnalysisOfOtherComprehensiveIncomeByItemExplanatory</t>
  </si>
  <si>
    <t>full_ifrs-cor_2015-03-11.xsd#ifrs-full_ReclassifiedItemsMember</t>
  </si>
  <si>
    <t>full_ifrs-cor_2015-03-11.xsd#ifrs-full_DescriptionOfNatureOfReclassificationOrChangesInPresentation</t>
  </si>
  <si>
    <t>full_ifrs-cor_2015-03-11.xsd#ifrs-full_AmountOfReclassificationsOrChangesInPresentation</t>
  </si>
  <si>
    <t>full_ifrs-cor_2015-03-11.xsd#ifrs-full_DescriptionOfReasonForReclassificationOrChangesInPresentation</t>
  </si>
  <si>
    <t>full_ifrs-cor_2015-03-11.xsd#ifrs-full_AssetsAndLiabilitiesMember</t>
  </si>
  <si>
    <t>full_ifrs-cor_2015-03-11.xsd#ifrs-full_DescriptionOfNatureOfAssetsWithSignificantRiskOfMaterialAdjustmentsWithinNextFinancialYear</t>
  </si>
  <si>
    <t>full_ifrs-cor_2015-03-11.xsd#ifrs-full_DescriptionOfNatureOfLiabilitiesWithSignificantRiskOfMaterialAdjustmentsWithinNextFinancialYear</t>
  </si>
  <si>
    <t>full_ifrs-cor_2015-03-11.xsd#ifrs-full_AssetsWithSignificantRiskOfMaterialAdjustmentsWithinNextFinancialYear</t>
  </si>
  <si>
    <t>full_ifrs-cor_2015-03-11.xsd#ifrs-full_LiabilitiesWithSignificantRiskOfMaterialAdjustmentsWithinNextFinancialYear</t>
  </si>
  <si>
    <t>full_ifrs-cor_2015-03-11.xsd#ifrs-full_CapitalRequirementsMember</t>
  </si>
  <si>
    <t>full_ifrs-cor_2015-03-11.xsd#ifrs-full_QualitativeInformationAboutEntitysObjectivesPoliciesAndProcessesForManagingCapital</t>
  </si>
  <si>
    <t>full_ifrs-cor_2015-03-11.xsd#ifrs-full_SummaryOfQuantitativeDataAboutWhatEntityManagesAsCapital</t>
  </si>
  <si>
    <t>full_ifrs-cor_2015-03-11.xsd#ifrs-full_DescriptionOfChangesInEntitysObjectivesPoliciesAndProcessesForManagingCapitalAndWhatEntityManagesAsCapital</t>
  </si>
  <si>
    <t>full_ifrs-cor_2015-03-11.xsd#ifrs-full_InformationWhetherEntityCompliedWithAnyExternallyImposedCapitalRequirements</t>
  </si>
  <si>
    <t>full_ifrs-cor_2015-03-11.xsd#ifrs-full_InformationAboutConsequencesOfNoncomplianceWithExternallyImposedCapitalRequirements</t>
  </si>
  <si>
    <t>full_ifrs-cor_2015-03-11.xsd#ifrs-full_OrdinarySharesMember</t>
  </si>
  <si>
    <t>full_ifrs-cor_2015-03-11.xsd#ifrs-full_PreferenceSharesMember</t>
  </si>
  <si>
    <t>full_ifrs-cor_2015-03-11.xsd#ifrs-full_ClassesOfShareCapitalMember</t>
  </si>
  <si>
    <t>full_ifrs-cor_2015-03-11.xsd#ifrs-full_NumberOfSharesAuthorised</t>
  </si>
  <si>
    <t>full_ifrs-cor_2015-03-11.xsd#ifrs-full_NumberOfSharesIssuedAndFullyPaid</t>
  </si>
  <si>
    <t>full_ifrs-cor_2015-03-11.xsd#ifrs-full_NumberOfSharesIssuedButNotFullyPaid</t>
  </si>
  <si>
    <t>full_ifrs-cor_2015-03-11.xsd#ifrs-full_NumberOfSharesIssued</t>
  </si>
  <si>
    <t>full_ifrs-cor_2015-03-11.xsd#ifrs-full_ParValuePerShare</t>
  </si>
  <si>
    <t>full_ifrs-cor_2015-03-11.xsd#ifrs-full_ExplanationOfFactThatSharesHaveNoParValue</t>
  </si>
  <si>
    <t>full_ifrs-cor_2015-03-11.xsd#ifrs-full_NumberOfSharesOutstanding</t>
  </si>
  <si>
    <t>full_ifrs-cor_2015-03-11.xsd#ifrs-full_IncreaseDecreaseInNumberOfSharesOutstanding</t>
  </si>
  <si>
    <t>full_ifrs-cor_2015-03-11.xsd#ifrs-full_RightsPreferencesAndRestrictionsAttachingToClassOfShareCapital</t>
  </si>
  <si>
    <t>full_ifrs-cor_2015-03-11.xsd#ifrs-full_SharesInEntityHeldByEntityOrByItsSubsidiariesOrAssociates</t>
  </si>
  <si>
    <t>full_ifrs-cor_2015-03-11.xsd#ifrs-full_SharesReservedForIssueUnderOptionsAndContractsForSaleOfShares</t>
  </si>
  <si>
    <t>full_ifrs-cor_2015-03-11.xsd#ifrs-full_DescriptionOfTermsOfSharesReservedForIssueUnderOptionsAndContractsForSaleOfShares</t>
  </si>
  <si>
    <t>cl-ci_cor_2016-01-11.xsd#cl-ci_PrestamosBancariosNoCorrientes</t>
  </si>
  <si>
    <t>cl-ci_cor_2016-01-11.xsd#cl-ci_ObligacionesConPublicoNoCorrientes</t>
  </si>
  <si>
    <t>cl-ci_cor_2016-01-11.xsd#cl-ci_OtrosPasivosFinancierosNoClasificadosNoCorrientes</t>
  </si>
  <si>
    <t>cl-ci_cor_2016-01-11.xsd#cl-ci_PrestamosBancariosCorrientes</t>
  </si>
  <si>
    <t>cl-ci_cor_2016-01-11.xsd#cl-ci_ObligacionesConPublicoCorrientes</t>
  </si>
  <si>
    <t>cl-ci_cor_2016-01-11.xsd#cl-ci_OtrosPasivosFinancierosNoClasificadosCorrientes</t>
  </si>
  <si>
    <t>cl-ci_cor_2016-01-11.xsd#cl-ci_PrestamosBancarios</t>
  </si>
  <si>
    <t>cl-ci_cor_2016-01-11.xsd#cl-ci_ObligacionesConPublico</t>
  </si>
  <si>
    <t>cl-ci_cor_2016-01-11.xsd#cl-ci_OtrosPasivosFinancierosNoClasificados</t>
  </si>
  <si>
    <t>cl-ci_cor_2016-01-11.xsd#cl-ci_IngresosActividadesInteresesNota</t>
  </si>
  <si>
    <t>cl-ci_cor_2016-01-11.xsd#cl-ci_GainsLossesFromGovernmentGrants</t>
  </si>
  <si>
    <t>cl-ci_cor_2016-01-11.xsd#cl-ci_NumeroAccionistas</t>
  </si>
  <si>
    <t>cl-ci_cor_2016-01-11.xsd#cl-ci_ActivoIndividualEntidad</t>
  </si>
  <si>
    <t>cl-ci_cor_2016-01-11.xsd#cl-ci_PersonaOGrupoPersonasConAcuerdoActuacionConjuntaQuePoseaLaMayorParticipacionAccionaria</t>
  </si>
  <si>
    <t>cl-ci_cor_2016-01-11.xsd#cl-ci_CapitalSocialAutorizado</t>
  </si>
  <si>
    <t>cl-ci_cor_2016-01-11.xsd#cl-ci_CapitalSocialAutorizadoSuscrito</t>
  </si>
  <si>
    <t>cl-ci_cor_2016-01-11.xsd#cl-ci_ReserveOfActuarialGainsOrLossesOnDefinedBenefitPlansMember</t>
  </si>
  <si>
    <t>cl-ci_cor_2016-01-11.xsd#cl-ci_OtrasReservasVariasMember</t>
  </si>
  <si>
    <t>DIMENUE</t>
  </si>
  <si>
    <t>DIMEAVA</t>
  </si>
  <si>
    <t>full_ifrs-cor_2015-03-11.xsd#ifrs-full_ReclassifiedItemsAxis</t>
  </si>
  <si>
    <t>full_ifrs-cor_2015-03-11.xsd#ifrs-full_DisclosureOfReclassificationsOrChangesInPresentationTable</t>
  </si>
  <si>
    <t>full_ifrs-cor_2015-03-11.xsd#ifrs-full_AssetsAndLiabilitiesAxis</t>
  </si>
  <si>
    <t>full_ifrs-cor_2015-03-11.xsd#ifrs-full_DisclosureOfAssetsAndLiabilitiesWithSignificantRiskOfMaterialAdjustmentTable</t>
  </si>
  <si>
    <t>full_ifrs-cor_2015-03-11.xsd#ifrs-full_CapitalRequirementsAxis</t>
  </si>
  <si>
    <t>full_ifrs-cor_2015-03-11.xsd#ifrs-full_DisclosureOfObjectivesPoliciesAndProcessesForManagingCapitalTable</t>
  </si>
  <si>
    <t>full_ifrs-cor_2015-03-11.xsd#ifrs-full_ClassesOfShareCapitalAxis</t>
  </si>
  <si>
    <t>full_ifrs-cor_2015-03-11.xsd#ifrs-full_DisclosureOfClassesOfShareCapitalTable</t>
  </si>
  <si>
    <t>full_ifrs-cor_2015-03-11.xsd#ifrs-full_ReservesWithinEquityAxis</t>
  </si>
  <si>
    <t>full_ifrs-cor_2015-03-11.xsd#ifrs-full_DisclosureOfReservesWithinEquityTable</t>
  </si>
  <si>
    <t>Gasto en combustible y energía [resumen]</t>
  </si>
  <si>
    <t>full_ifrs-cor_2015-03-11.xsd#ifrs-full_FuelExpense</t>
  </si>
  <si>
    <t>full_ifrs-cor_2015-03-11.xsd#ifrs-full_EnergyExpense</t>
  </si>
  <si>
    <t>full_ifrs-cor_2015-03-11.xsd#ifrs-full_OperatingExpense</t>
  </si>
  <si>
    <t>Información adicional sobre dividendos [tabla]  [861200]</t>
  </si>
  <si>
    <t>Dividendos periodo actual [miembro]</t>
  </si>
  <si>
    <t>Dividendos periodo anterior [miembro]</t>
  </si>
  <si>
    <t>Periodo Actual</t>
  </si>
  <si>
    <t>Periodo Anterior</t>
  </si>
  <si>
    <t>Provisorio</t>
  </si>
  <si>
    <t>Mínimo obligatorio</t>
  </si>
  <si>
    <t>Adicional</t>
  </si>
  <si>
    <t>Eventual</t>
  </si>
  <si>
    <t>Capital en acciones [miembro]</t>
  </si>
  <si>
    <t>full_ifrs-cor_2015-03-11.xsd#ifrs-full_FinancialAssetsMeasuredAtFairValueThroughOtherComprehensiveIncome</t>
  </si>
  <si>
    <t>full_ifrs-cor_2015-03-11.xsd#ifrs-full_CurrentReceivablesFromSaleOfProperties</t>
  </si>
  <si>
    <t>full_ifrs-cor_2015-03-11.xsd#ifrs-full_CurrentReceivablesFromRentalOfProperties</t>
  </si>
  <si>
    <t xml:space="preserve">          Ingresos de actividades ordinarias procedentes de la prestación de servicios [Número]</t>
  </si>
  <si>
    <t xml:space="preserve">Descripción de la política contable para reaseguros [bloque de texto]  </t>
  </si>
  <si>
    <t>cl-ci_cor_2016-01-11.xsd#cl-ci_InformacionAdicionalSobreDividendosTabla</t>
  </si>
  <si>
    <t>cl-ci_cor_2016-01-11.xsd#cl-ci_DetalleDividendosEje</t>
  </si>
  <si>
    <t>cl-ci_cor_2016-01-11.xsd#cl-ci_DividendosPeriodoActualMiembro</t>
  </si>
  <si>
    <t>cl-ci_cor_2016-01-11.xsd#cl-ci_DividendosPeriodoAnteriorMiembro</t>
  </si>
  <si>
    <t>cl-ci_cor_2016-01-11.xsd#cl-ci_TipoDividendo</t>
  </si>
  <si>
    <t>cl-ci_cor_2016-01-11.xsd#cl-ci_MontoDividendoTotal</t>
  </si>
  <si>
    <t>cl-ci_cor_2016-01-11.xsd#cl-ci_FechaAcuerdoDividendo</t>
  </si>
  <si>
    <t>cl-ci_cor_2016-01-11.xsd#cl-ci_FechaPagoDividendo</t>
  </si>
  <si>
    <t>cl-ci_cor_2016-01-11.xsd#cl-ci_OtraInformacionAcercaDividendos</t>
  </si>
  <si>
    <t xml:space="preserve">        Clases de gasto de beneficios a los empleados  [resumen]</t>
  </si>
  <si>
    <t>Explicación del hecho de que las acciones no tienen valor nominal  [Texto]</t>
  </si>
  <si>
    <t>Activos financieros no corrientes medidos al valor razonable con cambios en otro resultado integral [Numérico]</t>
  </si>
  <si>
    <t>Inversiones no corrientes en instrumentos de patrimonio designadas a valor razonable con cambios en otro resultado integral  [Numérico]</t>
  </si>
  <si>
    <t>Activos financieros corrientes medidos al valor razonable con cambios en otro resultado integral  [Numérico]</t>
  </si>
  <si>
    <t>Inversiones corrientes en instrumentos de patrimonio designadas a valor razonable con cambios en otro resultado integral  [Numérico]</t>
  </si>
  <si>
    <t>Valor razonable de inversiones en instrumentos de patrimonio designados como medidos a valor razonable con cambios en otro resultado integral [Número]</t>
  </si>
  <si>
    <t>Activos financieros medidos al valor razonable con cambios en otro resultado integral [Número]</t>
  </si>
  <si>
    <t>Inventarios corrientes mantenidos para la venta [Número]</t>
  </si>
  <si>
    <t>Trabajo en curso corriente [Número]</t>
  </si>
  <si>
    <t>Materiales y suministros corrientes a consumir en el proceso de producción o prestación de servicios [Número]</t>
  </si>
  <si>
    <t>Ingresos de actividades ordinarias por prestación de servicios de telefonía [Numérico]</t>
  </si>
  <si>
    <t>Ingresos de actividades ordinarias por prestación de servicios de telefonía fija [Numérico]</t>
  </si>
  <si>
    <t>Ingresos de actividades ordinarias por prestación de servicios de telefonía celular [Numérico]</t>
  </si>
  <si>
    <t>Ingresos de actividades ordinarias por prestación de servicios de internet [Numérico]</t>
  </si>
  <si>
    <t>Ingresos de actividades ordinarias por prestación de servicios de suministro de datos [Numérico]</t>
  </si>
  <si>
    <t>Ingresos de actividades ordinarias por prestación de servicios de suministro de datos e internet [Numérico]</t>
  </si>
  <si>
    <t>Ingresos de actividades ordinarias por prestación de servicios de interconexión [Numérico]</t>
  </si>
  <si>
    <t>Ingresos de actividades ordinarias por prestación de otros servicios de telecomunicación [Numérico]</t>
  </si>
  <si>
    <t>Ingresos de actividades ordinarias por prestación de servicios de telecomunicación [Numérico]</t>
  </si>
  <si>
    <t>Ingresos de actividades ordinarias por prestación de servicios de transporte [Numérico]</t>
  </si>
  <si>
    <t>Ingresos de actividades ordinarias por prestación de servicios de transporte de pasajeros [Numérico]</t>
  </si>
  <si>
    <t>Ingresos de actividades ordinarias por prestación de servicios de transporte de carga y de correo [Numérico]</t>
  </si>
  <si>
    <t>Ingresos por cuotas por licencias [Numérico]</t>
  </si>
  <si>
    <t>Ingresos por intereses sobre depósitos [Numérico]</t>
  </si>
  <si>
    <t>Gasto en combustible [Numérico]</t>
  </si>
  <si>
    <t>Gasto por energía [Numérico]</t>
  </si>
  <si>
    <t>Gastos operativos [Numérico]</t>
  </si>
  <si>
    <t>Tipo dividendo [Lista]</t>
  </si>
  <si>
    <t>Monto total [Numérico]</t>
  </si>
  <si>
    <t>Fecha acuerdo dividendo [yyyy-mm-dd]</t>
  </si>
  <si>
    <t>Fecha pago dividendo [yyyy-mm-dd]</t>
  </si>
  <si>
    <t>Dividendo personalizado 1</t>
  </si>
  <si>
    <t>Dividendo personalizado 2</t>
  </si>
  <si>
    <t>Dividendo personalizado 3</t>
  </si>
  <si>
    <t>Dividendo personalizado 4</t>
  </si>
  <si>
    <t xml:space="preserve">       Activos de programación no corrientes</t>
  </si>
  <si>
    <t xml:space="preserve">       Combustibles corrientes</t>
  </si>
  <si>
    <t>full_ifrs-cor_2016-03-31.xsd#ifrs-full_CurrentProgrammingAssets</t>
  </si>
  <si>
    <t xml:space="preserve">        Activos de programación corrientes</t>
  </si>
  <si>
    <t xml:space="preserve">             Cuentas por pagar no corrientes por compra de energía</t>
  </si>
  <si>
    <t xml:space="preserve">        Cuentas por pagar no corrientes por compra de activos no corrientes</t>
  </si>
  <si>
    <t xml:space="preserve">        Cuentas por pagar corrientes por compra de activos no corrientes</t>
  </si>
  <si>
    <t xml:space="preserve">              Cuentas por pagar corrientes por compra de energía</t>
  </si>
  <si>
    <t xml:space="preserve">              Cuentas por pagar por compra de energía</t>
  </si>
  <si>
    <t xml:space="preserve">        Cuentas por pagar por compra de activos no corrientes</t>
  </si>
  <si>
    <t xml:space="preserve">      Activos menos pasivos corrientes (sinopsis) </t>
  </si>
  <si>
    <t xml:space="preserve">        Activos menos pasivos corrientes</t>
  </si>
  <si>
    <t xml:space="preserve">              Activos</t>
  </si>
  <si>
    <t xml:space="preserve">             Pasivos corrientes</t>
  </si>
  <si>
    <t>full_ifrs-cor_2016-03-31.xsd#ifrs-full_RevenueFromRenderingOfAdvertisingServices</t>
  </si>
  <si>
    <t>Ingresos de actividades ordinarias por prestación de servicios de asesoría</t>
  </si>
  <si>
    <t>full_ifrs-cor_2016-03-31.xsd#ifrs-full_RevenueFromRenderingOfPrintingServices</t>
  </si>
  <si>
    <t>Ingresos de actividades ordinarias por prestación de servicios de impresión</t>
  </si>
  <si>
    <t>full_ifrs-cor_2016-03-31.xsd#ifrs-full_RevenueFromRenderingOfInformationTechnologyServices</t>
  </si>
  <si>
    <t>Ingresos de actividades ordinarias por prestación de servicios de tecnología de la información</t>
  </si>
  <si>
    <t>full_ifrs-cor_2016-03-31.xsd#ifrs-full_RevenueFromRenderingOfInformationTechnologyMaintenanceAndSupportServices</t>
  </si>
  <si>
    <t>Ingresos de actividades ordinarias por prestación de servicios de mantenimiento y soporte de tecnología de la información</t>
  </si>
  <si>
    <t>Ingresos de actividades ordinarias por prestación de servicios de consultoría de tecnología de la información</t>
  </si>
  <si>
    <t>full_ifrs-cor_2016-03-31.xsd#ifrs-full_RevenueFromRenderingOfInformationTechnologyConsultingServices</t>
  </si>
  <si>
    <t>full_ifrs-cor_2016-03-31.xsd#ifrs-full_DonationsAndSubsidiesExpense</t>
  </si>
  <si>
    <t xml:space="preserve">        Gastos de subvenciones y donaciones</t>
  </si>
  <si>
    <t>full_ifrs-cor_2016-03-31.xsd#ifrs-full_MediaProductionExpense</t>
  </si>
  <si>
    <t xml:space="preserve">        Gastos de producción de medios</t>
  </si>
  <si>
    <t xml:space="preserve">        Costo de mercaderías vendidas</t>
  </si>
  <si>
    <t>full_ifrs-cor_2016-03-31.xsd#ifrs-full_CostOfMerchandiseSold</t>
  </si>
  <si>
    <t xml:space="preserve">             Costo de energía comprada y vendida</t>
  </si>
  <si>
    <t>full_ifrs-cor_2016-03-31.xsd#ifrs-full_CostOfPurchasedEnergySold</t>
  </si>
  <si>
    <t xml:space="preserve">          Cargos de transmisión de energía</t>
  </si>
  <si>
    <t xml:space="preserve">          Gastos de viaje</t>
  </si>
  <si>
    <t xml:space="preserve">          Gastos de comunicaciones</t>
  </si>
  <si>
    <t>Participación en ganancias (pérdidas) de asociadas y negocios conjuntos contabilizadas utilizando el método de la participación [sinopsis]</t>
  </si>
  <si>
    <t>full_ifrs-cor_2016-03-31.xsd#ifrs-full_ShareOfProfitLossOfAssociatesAccountedForUsingEquityMethod</t>
  </si>
  <si>
    <t>full_ifrs-cor_2016-03-31.xsd#ifrs-full_ShareOfProfitLossOfJointVenturesAccountedForUsingEquityMethod</t>
  </si>
  <si>
    <t>full_ifrs-cor_2016-03-31.xsd#ifrs-full_AssetsLessCurrentLiabilities</t>
  </si>
  <si>
    <t>full_ifrs-cor_2016-03-31.xsd#ifrs-full_NoncurrentPayablesForPurchaseOfEnergy</t>
  </si>
  <si>
    <t>full_ifrs-cor_2016-03-31.xsd#ifrs-full_NoncurrentPayablesForPurchaseOfNoncurrentAssets</t>
  </si>
  <si>
    <t>full_ifrs-cor_2016-03-31.xsd#ifrs-full_CurrentFuel</t>
  </si>
  <si>
    <t>full_ifrs-cor_2016-03-31.xsd#ifrs-full_NoncurrentProgrammingAssets</t>
  </si>
  <si>
    <t>full_ifrs-cor_2016-03-31.xsd#ifrs-full_CurrentPayablesForPurchaseOfEnergy</t>
  </si>
  <si>
    <t>full_ifrs-cor_2016-03-31.xsd#ifrs-full_CurrentPayablesForPurchaseOfNoncurrentAssets</t>
  </si>
  <si>
    <t>full_ifrs-cor_2016-03-31.xsd#ifrs-full_PayablesForPurchaseOfEnergy</t>
  </si>
  <si>
    <t>full_ifrs-cor_2016-03-31.xsd#ifrs-full_PayablesForPurchaseOfNoncurrentAssets</t>
  </si>
  <si>
    <t xml:space="preserve">      Descripción de la política contable para activos y pasivos contingentes [bloque de texto]</t>
  </si>
  <si>
    <t>pre_cl-ci_ias-1_2016-03-31_role-800600</t>
  </si>
  <si>
    <t xml:space="preserve">     Descripción de la política contable para derechos de emisión [bloque de texto]</t>
  </si>
  <si>
    <t xml:space="preserve">      Descripción de la política contable para activos de programación [bloque de texto]</t>
  </si>
  <si>
    <t xml:space="preserve">      Descripción de la política contable para diferimientos de actividades reguladas [bloque de texto]</t>
  </si>
  <si>
    <t xml:space="preserve">      Descripción de la política contable para acuerdos de concesión de servicios públicos [bloque de texto]</t>
  </si>
  <si>
    <t>full_ifrs-cor_2016-03-31.xsd#ifrs-full_RevenueFromSaleOfTelecommunicationEquipment</t>
  </si>
  <si>
    <t xml:space="preserve">          Ingresos de actividades ordinarias por venta de equipos de telecomunicaciones [Número]</t>
  </si>
  <si>
    <t>full_ifrs-cor_2016-03-31.xsd#ifrs-full_RevenueFromSaleOfElectricity</t>
  </si>
  <si>
    <t xml:space="preserve">          Ingresos de actividades ordinarias por venta de electricidad [Número]</t>
  </si>
  <si>
    <t>full_ifrs-cor_2016-03-31.xsd#ifrs-full_EnergyTransmissionCharges</t>
  </si>
  <si>
    <t>full_ifrs-cor_2016-03-31.xsd#ifrs-full_TravelExpense</t>
  </si>
  <si>
    <t>full_ifrs-cor_2016-03-31.xsd#ifrs-full_CommunicationExpense</t>
  </si>
  <si>
    <t>full_ifrs-cor_2016-03-31.xsd#ifrs-full_DescriptionOfAccountingPolicyForContingentLiabilitiesAndContingentAssetsExplanatory</t>
  </si>
  <si>
    <t>full_ifrs-cor_2016-03-31.xsd#ifrs-full_DescriptionOfAccountingPolicyForEmissionRightsExplanatory</t>
  </si>
  <si>
    <t>full_ifrs-cor_2016-03-31.xsd#ifrs-full_DescriptionOfAccountingPolicyForProgrammingAssetsExplanatory</t>
  </si>
  <si>
    <t>full_ifrs-cor_2016-03-31.xsd#ifrs-full_DescriptionOfAccountingPolicyForRegulatoryDeferralAccountsExplanatory</t>
  </si>
  <si>
    <t>full_ifrs-cor_2016-03-31.xsd#ifrs-full_DescriptionOfAccountingPolicyForServiceConcessionArrangementsExplanatory</t>
  </si>
  <si>
    <t>cl-ci_cor_2017-01-03.xsd#cl-ci_AccionesInscritas</t>
  </si>
  <si>
    <t>cl-ci_cor_2017-01-03.xsd#cl-ci_BolsaComercioSantiago</t>
  </si>
  <si>
    <t>cl-ci_cor_2017-01-03.xsd#cl-ci_BolsaElectronicaChile</t>
  </si>
  <si>
    <t>cl-ci_cor_2017-01-03.xsd#cl-ci_TitulosDeDeuda</t>
  </si>
  <si>
    <t>cl-ci_cor_2017-01-03.xsd#cl-ci_Bono</t>
  </si>
  <si>
    <t>cl-ci_cor_2017-01-03.xsd#cl-ci_EfectoComercio</t>
  </si>
  <si>
    <t>Si</t>
  </si>
  <si>
    <t>No</t>
  </si>
  <si>
    <t xml:space="preserve">        Alimentos y bebidas corrientes</t>
  </si>
  <si>
    <t xml:space="preserve">        Producto agrícola corrientes</t>
  </si>
  <si>
    <t xml:space="preserve">        Materiales de embalaje y almacenamiento corrientes</t>
  </si>
  <si>
    <t xml:space="preserve">        Inventarios en tránsito corrientes</t>
  </si>
  <si>
    <t>full_ifrs-cor_2017-03-09.xsd#ifrs-full_CurrentFoodAndBeverage</t>
  </si>
  <si>
    <t>full_ifrs-cor_2017-03-09.xsd#ifrs-full_CurrentAgriculturalProduce</t>
  </si>
  <si>
    <t>full_ifrs-cor_2017-03-09.xsd#ifrs-full_CurrentPackagingAndStorageMaterials</t>
  </si>
  <si>
    <t>full_ifrs-cor_2017-03-09.xsd#ifrs-full_CurrentInventoriesInTransit</t>
  </si>
  <si>
    <t>full_ifrs-cor_2017-03-09.xsd#ifrs-full_CurrentExciseTaxPayables</t>
  </si>
  <si>
    <t xml:space="preserve">              Impuesto al valor agregado por pagar corriente [Número]</t>
  </si>
  <si>
    <t xml:space="preserve">             Cuentas por pagar por impuestos al consumo corrientes</t>
  </si>
  <si>
    <t xml:space="preserve">              Impuesto al valor agregado por pagar no corriente [Número]</t>
  </si>
  <si>
    <t xml:space="preserve">              Cuentas por pagar por impuestos al consumo no corrientes</t>
  </si>
  <si>
    <t xml:space="preserve">             Cuentas por pagar por impuesto al valor agregado [Número]</t>
  </si>
  <si>
    <t>full_ifrs-cor_2017-03-09.xsd#ifrs-full_NoncurrentDebtInstrumentsIssued</t>
  </si>
  <si>
    <t>full_ifrs-cor_2017-03-09.xsd#ifrs-full_CurrentDebtInstrumentsIssued</t>
  </si>
  <si>
    <t xml:space="preserve">        Instrumentos de deuda corrientes emitidos [Número]</t>
  </si>
  <si>
    <t xml:space="preserve">        Instrumentos de deuda no corrientes emitidos [Número]</t>
  </si>
  <si>
    <t>full_ifrs-cor_2017-03-09.xsd#ifrs-full_NetDebt</t>
  </si>
  <si>
    <t xml:space="preserve">       Deuda neta [Número]</t>
  </si>
  <si>
    <t>full_ifrs-cor_2017-03-09.xsd#ifrs-full_RevenueFromSaleOfAgriculturalProduce</t>
  </si>
  <si>
    <t>full_ifrs-cor_2017-03-09.xsd#ifrs-full_RevenueFromSaleOfSugar</t>
  </si>
  <si>
    <t>full_ifrs-cor_2017-03-09.xsd#ifrs-full_RevenueFromSaleOfAlcoholAndAlcoholicDrinks</t>
  </si>
  <si>
    <t>full_ifrs-cor_2017-03-09.xsd#ifrs-full_RevenueFromSaleOfFoodAndBeverage</t>
  </si>
  <si>
    <t>full_ifrs-cor_2017-03-09.xsd#ifrs-full_RevenueFromHotelOperations</t>
  </si>
  <si>
    <t>full_ifrs-cor_2017-03-09.xsd#ifrs-full_RevenueFromRoomOccupancyServices</t>
  </si>
  <si>
    <t>full_ifrs-cor_2017-03-09.xsd#ifrs-full_RevenueFromRenderingOfGamingServices</t>
  </si>
  <si>
    <t>full_ifrs-cor_2017-03-09.xsd#ifrs-full_FranchiseFeeIncome</t>
  </si>
  <si>
    <t xml:space="preserve">        Ingresos por honorarios o comisiones por franquicias [Número]</t>
  </si>
  <si>
    <t xml:space="preserve">             Ingresos de actividades ordinarias por operaciones hoteleras [Número]</t>
  </si>
  <si>
    <t xml:space="preserve">                        Ingresos de actividades ordinarias por servicios de ocupación de habitaciones [Número]</t>
  </si>
  <si>
    <t xml:space="preserve">                   Ingresos de actividades ordinarias por prestación de servicios de juego [Número]</t>
  </si>
  <si>
    <t xml:space="preserve">          Ingresos de actividades ordinarias por venta de productos agrícolas [Número]</t>
  </si>
  <si>
    <t xml:space="preserve">          Ingresos de actividades ordinarias por venta de productos azúcar [Número]</t>
  </si>
  <si>
    <t xml:space="preserve">          Ingresos de actividades ordinarias por venta de alcohol y bebidas alcohólicas [Número]</t>
  </si>
  <si>
    <t xml:space="preserve">          Ingresos de actividades ordinarias por venta de alimentos y bebidas [Número]</t>
  </si>
  <si>
    <t>Pérdidas por deterioro de valor (reversiones de pérdidas por deterioro de valor) reconocidas en el resultado del periodo, préstamos y anticipos [resumen]</t>
  </si>
  <si>
    <t>full_ifrs-cor_2017-03-09.xsd#ifrs-full_ImpairmentLossRecognisedInProfitOrLossLoansAndAdvances</t>
  </si>
  <si>
    <t>full_ifrs-cor_2017-03-09.xsd#ifrs-full_ReversalOfImpairmentLossRecognisedInProfitOrLossLoansAndAdvances</t>
  </si>
  <si>
    <t>full_ifrs-cor_2017-03-09.xsd#ifrs-full_ImpairmentLossReversalOfImpairmentLossRecognisedInProfitOrLossLoansAndAdvances</t>
  </si>
  <si>
    <t>full_ifrs-cor_2017-03-09.xsd#ifrs-full_GainOnRecoveryOfLoansAndAdvancesPreviouslyWrittenOff</t>
  </si>
  <si>
    <t xml:space="preserve">    Pérdidas por deterioro de valor (reversiones de pérdidas por deterioro de valor) reconocidas en el resultado del periodo, préstamos y anticipos  [Número]</t>
  </si>
  <si>
    <t>Ganancia sobre la recuperación de préstamos y anticipos con anterioridad a su cancelación  [Número]</t>
  </si>
  <si>
    <t xml:space="preserve">            Reversiones de pérdidas por deterioro de valor reconocidas en el resultado del periodo, préstamos y anticipos   [Número]</t>
  </si>
  <si>
    <t xml:space="preserve">            Pérdida por deterioro de valor reconocida en el resultado del periodo, préstamos y anticipos [Número]</t>
  </si>
  <si>
    <t>Ventas, gastos generales y administrativos [resumen]</t>
  </si>
  <si>
    <t>full_ifrs-cor_2017-03-09.xsd#ifrs-full_SellingExpense</t>
  </si>
  <si>
    <t>full_ifrs-cor_2017-03-09.xsd#ifrs-full_GeneralAndAdministrativeExpense</t>
  </si>
  <si>
    <t>Gastos de venta [Número]</t>
  </si>
  <si>
    <t>Gastos generales y administrativos [Número]</t>
  </si>
  <si>
    <t>Gastos generales de ventas y administrativos [Número]</t>
  </si>
  <si>
    <t>full_ifrs-cor_2017-03-09.xsd#ifrs-full_OccupancyExpense</t>
  </si>
  <si>
    <t>full_ifrs-cor_2017-03-09.xsd#ifrs-full_CostOfSalesHotelOperations</t>
  </si>
  <si>
    <t>full_ifrs-cor_2017-03-09.xsd#ifrs-full_CostOfSalesRoomOccupancyServices</t>
  </si>
  <si>
    <t>full_ifrs-cor_2017-03-09.xsd#ifrs-full_CostOfSalesFoodAndBeverage</t>
  </si>
  <si>
    <t xml:space="preserve">        Gasto de ocupación de habitaciones [Número]</t>
  </si>
  <si>
    <t xml:space="preserve">       Costo de ventas, operaciones hoteleras [Número]</t>
  </si>
  <si>
    <t xml:space="preserve">          Costo de ventas, servicios de ocupación de habitaciones [Número]</t>
  </si>
  <si>
    <t xml:space="preserve">          Costo de ventas, alimentos y bebidas [Número]</t>
  </si>
  <si>
    <t>full_ifrs-cor_2017-03-09.xsd#ifrs-full_UtilitiesExpense</t>
  </si>
  <si>
    <t xml:space="preserve">          Gasto de agua, luz, calefacción y demás servicios públicos [Número]</t>
  </si>
  <si>
    <t xml:space="preserve">          Gasto de publicidad [Número]</t>
  </si>
  <si>
    <t>full_ifrs-cor_2017-03-09.xsd#ifrs-full_AdvertisingExpense</t>
  </si>
  <si>
    <t>Valores inscritos [miembro]</t>
  </si>
  <si>
    <t>Valores inscritos [810000]</t>
  </si>
  <si>
    <t>cl-ci_cor_2018-01-02.xsd#cl-ci_ValoresInscritosTabla</t>
  </si>
  <si>
    <t>cl-ci_cor_2018-01-02.xsd#cl-ci_ValoresInscritosEje</t>
  </si>
  <si>
    <t>cl-ci_cor_2018-01-02.xsd#cl-ci_ValoresInscritosMiembro</t>
  </si>
  <si>
    <t>full_ifrs-cor_2017-03-09.xsd#ifrs-full_NoncurrentExciseTaxPayables</t>
  </si>
  <si>
    <t xml:space="preserve">        Participación en ganancias (pérdidas) de asociadas contabilizadas utilizando el método de la participación [Número]</t>
  </si>
  <si>
    <t xml:space="preserve">        Participación en ganancias (pérdidas) de negocios conjuntos contabilizadas utilizando el método de la participación [Número]</t>
  </si>
  <si>
    <t xml:space="preserve">        Participación en ganancias (pérdidas) de asociadas y negocios conjuntos contabilizadas utilizando el método de la participación [Número]</t>
  </si>
  <si>
    <t xml:space="preserve">             Cuentas por pagar por impuestos al consumo [Número]</t>
  </si>
  <si>
    <t>full_ifrs-cor_2017-03-09.xsd#ifrs-full_ExciseTaxPayables</t>
  </si>
  <si>
    <t>Número de acciones autorizadas debe ser mayor o igual a número de acciones emitidas</t>
  </si>
  <si>
    <t>Número de acciones emitidas debe ser mayor o igual a número de acciones en circulación</t>
  </si>
  <si>
    <t>TOP: Pa anga</t>
  </si>
  <si>
    <t>ALA: Aland Islands</t>
  </si>
  <si>
    <t>BLM: Saint Barthelemy</t>
  </si>
  <si>
    <t>CIV: Cote d'Ivoire</t>
  </si>
  <si>
    <t>CUW: Curazao</t>
  </si>
  <si>
    <t>REU: Reunion</t>
  </si>
  <si>
    <t>VEN: Venezuela, Bolivarian Republic of</t>
  </si>
  <si>
    <t>Req. Capital2</t>
  </si>
  <si>
    <t>cl-ci_cor_2019-01-02.xsd#cl-ci_EquiposInformaticos</t>
  </si>
  <si>
    <t>cl-ci_cor_2019-01-02.xsd#cl-ci_EquiposDeRedesYComunicacion</t>
  </si>
  <si>
    <t>cl-ci_cor_2019-01-02.xsd#cl-ci_InfraestructuraDeRed</t>
  </si>
  <si>
    <t>cl-ci_cor_2019-01-02.xsd#cl-ci_ActivosGeneradoresEnergia</t>
  </si>
  <si>
    <t>cl-ci_cor_2019-01-02.xsd#cl-ci_MejorasDerechosArrendamiento</t>
  </si>
  <si>
    <t>full_ifrs-cor_2018-03-16.xsd#ifrs-full_OwneroccupiedPropertyMeasuredUsingInvestmentPropertyFairValueModel</t>
  </si>
  <si>
    <t>Inversiones contabilizadas usando el método de la participación [sinopsis]</t>
  </si>
  <si>
    <t>full_ifrs-cor_2015-03-11.xsd#ifrs-full_InvestmentAccountedForUsingEquityMethod</t>
  </si>
  <si>
    <t>full_ifrs-cor_2018-03-16.xsd#ifrs-full_NoncurrentFinancialAssetsAtFairValueThroughProfitOrLossMeasuredAsSuchInAccordanceWithExemptionForRepurchaseOfOwnFinancialLiabilities</t>
  </si>
  <si>
    <t>full_ifrs-cor_2018-03-16.xsd#ifrs-full_NoncurrentFinancialAssetsAtFairValueThroughProfitOrLossMeasuredAsSuchInAccordanceWithExemptionForReacquisitionOfOwnEquityInstruments</t>
  </si>
  <si>
    <t>full_ifrs-cor_2018-03-16.xsd#ifrs-full_CurrentFinancialAssetsAtFairValueThroughProfitOrLossMeasuredAsSuchInAccordanceWithExemptionForRepurchaseOfOwnFinancialLiabilities</t>
  </si>
  <si>
    <t>full_ifrs-cor_2018-03-16.xsd#ifrs-full_CurrentFinancialAssetsAtFairValueThroughProfitOrLossMeasuredAsSuchInAccordanceWithExemptionForReacquisitionOfOwnEquityInstruments</t>
  </si>
  <si>
    <t>full_ifrs-cor_2015-03-11.xsd#ifrs-full_InterestRevenueExpense</t>
  </si>
  <si>
    <t>Compromisos de inversión en capital [partidas]</t>
  </si>
  <si>
    <t>cl-ci_cor_2019-01-02.xsd#cl-ci_CompromisosInversionCapitalTabla</t>
  </si>
  <si>
    <t>cl-ci_cor_2019-01-02.xsd#cl-ci_CompromisosInversionCapitalEje</t>
  </si>
  <si>
    <t>cl-ci_cor_2019-01-02.xsd#cl-ci_CompromisosInversionCapitalMiembro</t>
  </si>
  <si>
    <t>Compromisos de inversión en capital [miembro]</t>
  </si>
  <si>
    <t>Compromisos de inversión en capital [tabla]</t>
  </si>
  <si>
    <t>Periodo actual</t>
  </si>
  <si>
    <t>Periodo anterior</t>
  </si>
  <si>
    <t>Compromiso 1</t>
  </si>
  <si>
    <t>Compromiso 2</t>
  </si>
  <si>
    <t>Remuneración del auditor [tabla]</t>
  </si>
  <si>
    <t>cl-ci_cor_2019-01-02.xsd#cl-ci_NumeroYNumeroPromedioEmpleadosTabla</t>
  </si>
  <si>
    <t>cl-ci_cor_2019-01-02.xsd#cl-ci_NumeroYNumeroPromedioEmpleadosEje</t>
  </si>
  <si>
    <t>cl-ci_cor_2019-01-02.xsd#cl-ci_NumeroYNumeroPromedioEmpleadosMiembro</t>
  </si>
  <si>
    <t>Número y número promedio de empleados [miembro]</t>
  </si>
  <si>
    <t>Número y número promedio de empleados [tabla]</t>
  </si>
  <si>
    <t>Numero empleados 1</t>
  </si>
  <si>
    <t>Numero empleados 2</t>
  </si>
  <si>
    <t>Número y número promedio de empleados [partidas]</t>
  </si>
  <si>
    <t>full_ifrs-cor_2018-03-16.xsd#ifrs-full_FinancialAssetsAtFairValueThroughProfitOrLossMeasuredAsSuchInAccordanceWithExemptionForRepurchaseOfOwnFinancialLiabilities</t>
  </si>
  <si>
    <t>full_ifrs-cor_2018-03-16.xsd#ifrs-full_FinancialAssetsAtFairValueThroughProfitOrLossMeasuredAsSuchInAccordanceWithExemptionForReacquisitionOfOwnEquityInstruments</t>
  </si>
  <si>
    <t>pre_cl-ci_ias-1_2018-03-16_role-800100</t>
  </si>
  <si>
    <t>pre_cl-ci_ias-1_2018-03-16_role-880000</t>
  </si>
  <si>
    <t>Valores inscritos [tabla]</t>
  </si>
  <si>
    <t>cl-ci_cor_2019-01-02.xsd#cl-ci_CountryOfIncorporation</t>
  </si>
  <si>
    <t>Acciones [Lista]</t>
  </si>
  <si>
    <t>Bolsa de comercio de santiago [Lista]</t>
  </si>
  <si>
    <t>Bolsa electrónica de chile [Lista]</t>
  </si>
  <si>
    <t>Títulos de deuda [Lista]</t>
  </si>
  <si>
    <t>Bono [Lista]</t>
  </si>
  <si>
    <t>Efecto de comercio [Lista]</t>
  </si>
  <si>
    <t>Equipos informáticos [Número]</t>
  </si>
  <si>
    <t>Equipos de redes y comunicación [Número]</t>
  </si>
  <si>
    <t>Infraestructura de red [Número]</t>
  </si>
  <si>
    <t>Activos generadores de energía [Número]</t>
  </si>
  <si>
    <t>Mejoras de derechos de arrendamiento [Número]</t>
  </si>
  <si>
    <t>Propiedades ocupadas por el propietario medidas usando el modelo del valor razonable de las propiedades de inversión [Número]</t>
  </si>
  <si>
    <t>Inversiones en asociadas contabilizadas utilizando el método de la participación [Número]</t>
  </si>
  <si>
    <t>Inversiones en negocios conjuntos contabilizadas utilizando el método de la participación [Número]</t>
  </si>
  <si>
    <t>Inversiones contabilizadas utilizando el método de la participación [Número]</t>
  </si>
  <si>
    <t>Activos financieros al valor razonable con cambios en resultados, medidos como tales de acuerdo con la exención para la recompra de pasivos financieros propios, no corrientes  [Número]</t>
  </si>
  <si>
    <t>Activos financieros al valor razonable con cambios en resultados, medidos como tales de acuerdo con la exención para la readquisición de instrumentos de patrimonio propio, no corrientes [Número]</t>
  </si>
  <si>
    <t>Activos financieros al valor razonable con cambios en resultados, medidos como tales de acuerdo con la exención para la recompra de pasivos financieros propios, corrientes [Número]</t>
  </si>
  <si>
    <t>Activos financieros al valor razonable con cambios en resultados, medidos como tales de acuerdo con la exención para la readquisición de instrumentos de patrimonio propio, corrientes [Número]</t>
  </si>
  <si>
    <t>Activos financieros al valor razonable con cambios en resultados, medidos como tales de acuerdo con la exención para la recompra de pasivos financieros propios [Número]</t>
  </si>
  <si>
    <t>Activos financieros al valor razonable con cambios en resultados, medidos como tales de acuerdo con la exención para la readquisición de instrumentos de patrimonio propio [Número]</t>
  </si>
  <si>
    <t xml:space="preserve"> Ingresos (gastos) por intereses [Número]</t>
  </si>
  <si>
    <t xml:space="preserve">      País de constitución  [Lista]</t>
  </si>
  <si>
    <t>Compromisos de inversión en capital contractuales  [Número]</t>
  </si>
  <si>
    <t>Compromisos de inversión de capital autorizados pero no contratados [Número]</t>
  </si>
  <si>
    <t>Total compromisos de capital [Número]</t>
  </si>
  <si>
    <t>Número de empleados [Número]</t>
  </si>
  <si>
    <t>Número promedio de empleados [Número]</t>
  </si>
  <si>
    <t>GYD: Dólar guyanés</t>
  </si>
  <si>
    <t>HRK: Kuna</t>
  </si>
  <si>
    <t>MGA: Ariary malgache</t>
  </si>
  <si>
    <t>PEN: Sol</t>
  </si>
  <si>
    <t>VES: Bolívar soberano</t>
  </si>
  <si>
    <t>OTRAS: Otras Monedas</t>
  </si>
  <si>
    <t>full_ifrs-cor_2016-03-31.xsd#ifrs-full_ShareOfProfitLossOfAssociatesAndJointVenturesAccountedForUsingEquityMethod</t>
  </si>
  <si>
    <t>cl-ci_cor_2020-01-02.xsd#cl-ci_InformacionARevelarSobreNotasBloqueDeTexto</t>
  </si>
  <si>
    <t>pre_cl-ci_ias-1_2019-03-27_role-800500</t>
  </si>
  <si>
    <t>Información a revelar sobre notas [bloque de texto]</t>
  </si>
  <si>
    <t>full_ifrs-cor_2015-03-11.xsd#ifrs-full_SellingGeneralAndAdministrativeExpense</t>
  </si>
  <si>
    <r>
      <t xml:space="preserve">        Cuentas por pagar comerciales y otras cuentas por pagar, </t>
    </r>
    <r>
      <rPr>
        <b/>
        <sz val="9"/>
        <color theme="1"/>
        <rFont val="Verdana"/>
        <family val="2"/>
      </rPr>
      <t xml:space="preserve">corrientes </t>
    </r>
    <r>
      <rPr>
        <b/>
        <sz val="9"/>
        <color indexed="8"/>
        <rFont val="Verdana"/>
        <family val="2"/>
      </rPr>
      <t>[Número]</t>
    </r>
  </si>
  <si>
    <t>USA: United States of America (the)</t>
  </si>
  <si>
    <t>cl-ci_cor_2022-01-03.xsd#cl-ci_DeferredIncomeClassifiedAsNoncurrent</t>
  </si>
  <si>
    <t>cl-ci_cor_2022-01-03.xsd#cl-ci_AccrualsAndDeferredIncomeClassifiedAsNoncurrent</t>
  </si>
  <si>
    <t>cl-ci_cor_2022-01-03.xsd#cl-ci_DeferredIncomeClassifiedAsCurrent</t>
  </si>
  <si>
    <t>cl-ci_cor_2022-01-03.xsd#cl-ci_AccrualsAndDeferredIncomeClassifiedAsCurrent</t>
  </si>
  <si>
    <t>cl-ci_cor_2022-01-03.xsd#cl-ci_DeferredIncome</t>
  </si>
  <si>
    <t>cl-ci_cor_2022-01-03.xsd#cl-ci_AccrualsAndDeferredIncome</t>
  </si>
  <si>
    <t xml:space="preserve">      Utilidad líquida distribuible [Número]</t>
  </si>
  <si>
    <t xml:space="preserve">      Otra información acerca de dividendos  [Texto]</t>
  </si>
  <si>
    <t>cl-ci_cor_2011-04-26.xsd#cl-ci_UtilidadLiquidaDistribuible</t>
  </si>
  <si>
    <t>Otro resultado integral acumulado [miembro]</t>
  </si>
  <si>
    <t>full_ifrs-cor_2014-03-05.xsd#ifrs-full_AccumulatedOtherComprehensiveIncomeMember</t>
  </si>
  <si>
    <t xml:space="preserve">Reserva de pagos basados en acciones [miembro] </t>
  </si>
  <si>
    <t>pre_cl-ci_ias-1_2021-03-24_role-861200</t>
  </si>
  <si>
    <t xml:space="preserve">       Gastos por beneficios post-empleo en resultado del periodo [resumen]</t>
  </si>
  <si>
    <t>full_ifrs-cor_2021-03-24.xsd#ifrs-full_PostemploymentBenefitExpenseInProfitOrLoss</t>
  </si>
  <si>
    <t xml:space="preserve">          Gastos por beneficios post-empleo en resultado del periodo  [Número]</t>
  </si>
  <si>
    <t xml:space="preserve">                   Gastos por beneficios post-empleo, planes de aportaciones definidas [Número]</t>
  </si>
  <si>
    <t xml:space="preserve">                   Gastos por beneficios post-empleo, planes de beneficios definidos [Número]</t>
  </si>
  <si>
    <t>full_ifrs-cor_2015-03-11.xsd#ifrs-full_ExpenseFromSharebasedPaymentTransactionsWithEmployees</t>
  </si>
  <si>
    <t xml:space="preserve">          Gasto procedente de transacciones con pagos basados en acciones con empleados [Número]</t>
  </si>
  <si>
    <t>Información a revelar sobre la asignación de gastos por naturaleza a su función [tabla]</t>
  </si>
  <si>
    <t>Información a revelar sobre la asignación de gastos por naturaleza a su función [800200]</t>
  </si>
  <si>
    <t>full_ifrs-cor_2021-03-24.xsd#ifrs-full_DisclosureOfAttributionOfExpensesByNatureToTheirFunctionTable</t>
  </si>
  <si>
    <t>full_ifrs-cor_2021-03-24.xsd#ifrs-full_AttributionOfExpensesByNatureToTheirFunctionAxis</t>
  </si>
  <si>
    <t>full_ifrs-cor_2021-03-24.xsd#ifrs-full_CostOfSalesMember</t>
  </si>
  <si>
    <t>full_ifrs-cor_2021-03-24.xsd#ifrs-full_SellingGeneralAndAdministrativeExpenseMember</t>
  </si>
  <si>
    <t>full_ifrs-cor_2021-03-24.xsd#ifrs-full_LineItemsByFunctionMember</t>
  </si>
  <si>
    <t>Costo de ventas [miembro]</t>
  </si>
  <si>
    <t>Gastos generales de ventas y administrativos [miembro]</t>
  </si>
  <si>
    <t>Partidas por función [miembro]</t>
  </si>
  <si>
    <t>CostoVentas1</t>
  </si>
  <si>
    <t>CostoVentas2</t>
  </si>
  <si>
    <t>GastoVentaAdmin1</t>
  </si>
  <si>
    <t>GastoVentaAdmin2</t>
  </si>
  <si>
    <t>Gastos por depreciación [Número]</t>
  </si>
  <si>
    <t>Gastos por amortización [Número]</t>
  </si>
  <si>
    <t>Gasto por depreciación y amortización [Numero]</t>
  </si>
  <si>
    <t>Otro resultado integral, neto de impuestos, diferencias de cambio por conversión y coberturas de inversiones netas en negocios en el extranjero [resumen]</t>
  </si>
  <si>
    <t>full_ifrs-cor_2014-03-05.xsd#ifrs-full_OtherComprehensiveIncomeNetOfTaxExchangeDifferencesOnTranslation</t>
  </si>
  <si>
    <t>full_ifrs-cor_2014-03-05.xsd#ifrs-full_OtherComprehensiveIncomeNetOfTaxHedgesOfNetInvestmentsInForeignOperations</t>
  </si>
  <si>
    <t>full_ifrs-cor_2021-03-24.xsd#ifrs-full_OtherComprehensiveIncomeNetOfTaxExchangeDifferencesOnTranslationOfForeignOperationsAndHedgesOfNetInvestmentsInForeignOperations</t>
  </si>
  <si>
    <t>Otro resultado integral, antes de impuestos, diferencia de cambio por conversión y coberturas de inversiones netas en negocios en el extranjero [resumen]</t>
  </si>
  <si>
    <t>full_ifrs-cor_2015-03-11.xsd#ifrs-full_OtherComprehensiveIncomeBeforeTaxExchangeDifferencesOnTranslation</t>
  </si>
  <si>
    <t>full_ifrs-cor_2015-03-11.xsd#ifrs-full_OtherComprehensiveIncomeBeforeTaxHedgesOfNetInvestmentsInForeignOperations</t>
  </si>
  <si>
    <t>full_ifrs-cor_2021-03-24.xsd#ifrs-full_OtherComprehensiveIncomeBeforeTaxExchangeDifferencesOnTranslationOfForeignOperationsAndHedgesOfNetInvestmentsInForeignOperations</t>
  </si>
  <si>
    <t>Impuesto a las ganancias relativos a diferencias de cambio de conversión y a coberturas de inversiones netas en negocios en el extranjero de otro resultado integral [resumen]</t>
  </si>
  <si>
    <t>full_ifrs-cor_2015-03-11.xsd#ifrs-full_IncomeTaxRelatingToExchangeDifferencesOnTranslationOfOtherComprehensiveIncome</t>
  </si>
  <si>
    <t>full_ifrs-cor_2015-03-11.xsd#ifrs-full_IncomeTaxRelatingToHedgesOfNetInvestmentsInForeignOperationsOfOtherComprehensiveIncome</t>
  </si>
  <si>
    <t>full_ifrs-cor_2021-03-24.xsd#ifrs-full_IncomeTaxRelatingToExchangeDifferencesOnTranslationOfForeignOperationsAndHedgesOfNetInvestmentsInForeignOperationsIncludedInOtherComprehensiveIncome</t>
  </si>
  <si>
    <t xml:space="preserve">    Otro resultado integral, neto de impuestos, diferencias de cambio por conversión [Número]</t>
  </si>
  <si>
    <t xml:space="preserve">    Otro resultado integral, neto de impuestos, coberturas de inversiones netas en negocios en el extranjero [Número]</t>
  </si>
  <si>
    <t xml:space="preserve">    Otro resultado integral, neto de impuestos, diferencias de cambio por conversión y coberturas de inversiones netas en negocios en el extranjero [Número]</t>
  </si>
  <si>
    <t xml:space="preserve">    Otro resultado integral, antes de impuestos, diferencias de cambio por conversión [Número]</t>
  </si>
  <si>
    <t xml:space="preserve">    Otro resultado integral, antes de impuestos, coberturas de inversiones netas en negocios en el extranjero [Número]</t>
  </si>
  <si>
    <t xml:space="preserve">    Otro resultado integral, antes de impuestos, diferencia de cambio por conversión y coberturas de inversiones netas en negocios en el extranjero [Número]</t>
  </si>
  <si>
    <r>
      <rPr>
        <b/>
        <sz val="9"/>
        <rFont val="Verdana"/>
        <family val="2"/>
      </rPr>
      <t xml:space="preserve">    </t>
    </r>
    <r>
      <rPr>
        <sz val="9"/>
        <rFont val="Verdana"/>
        <family val="2"/>
      </rPr>
      <t>Impuesto a las ganancias relacionado con diferencias de cambio de conversión de otro resultado integral [Número]</t>
    </r>
  </si>
  <si>
    <t xml:space="preserve">    Impuesto a las ganancias relativos a coberturas de inversiones netas en negocios en el extranjero de otro resultado integral [Número]</t>
  </si>
  <si>
    <t xml:space="preserve">    Impuesto a las ganancias relativos a diferencias de cambio de conversión y a coberturas de inversiones netas en negocios en el extranjero de otro resultado integral [Número]</t>
  </si>
  <si>
    <t>Resultado integral procedente de operaciones continuadas y discontinuadas [resumen]</t>
  </si>
  <si>
    <t>full_ifrs-cor_2021-03-24.xsd#ifrs-full_ComprehensiveIncomeFromContinuingOperations</t>
  </si>
  <si>
    <t>full_ifrs-cor_2021-03-24.xsd#ifrs-full_ComprehensiveIncomeFromDiscontinuedOperations</t>
  </si>
  <si>
    <t>full_ifrs-cor_2015-03-11.xsd#ifrs-full_ComprehensiveIncome</t>
  </si>
  <si>
    <t>Resultado integral atribuible a los propietarios de la controladora, procedente de operaciones continuadas y discontinuadas [resumen]</t>
  </si>
  <si>
    <t>full_ifrs-cor_2021-03-24.xsd#ifrs-full_ComprehensiveIncomeFromContinuingOperationsAttributableToOwnersOfParent</t>
  </si>
  <si>
    <t>full_ifrs-cor_2021-03-24.xsd#ifrs-full_ComprehensiveIncomeFromDiscontinuedOperationsAttributableToOwnersOfParent</t>
  </si>
  <si>
    <t>full_ifrs-cor_2015-03-11.xsd#ifrs-full_ComprehensiveIncomeAttributableToOwnersOfParent</t>
  </si>
  <si>
    <t>Resultado integral atribuible a participaciones no controladoras, procedente de operaciones continuadas y discontinuadas [resumen]</t>
  </si>
  <si>
    <t>full_ifrs-cor_2021-03-24.xsd#ifrs-full_ComprehensiveIncomeFromContinuingOperationsAttributableToNoncontrollingInterests</t>
  </si>
  <si>
    <t>full_ifrs-cor_2021-03-24.xsd#ifrs-full_ComprehensiveIncomeFromDiscontinuedOperationsAttributableToNoncontrollingInterests</t>
  </si>
  <si>
    <t>full_ifrs-cor_2015-03-11.xsd#ifrs-full_ComprehensiveIncomeAttributableToNoncontrollingInterests</t>
  </si>
  <si>
    <t>Resultado integral atribuible a participaciones no controladoras [Número]</t>
  </si>
  <si>
    <t>Resultado integral atribuible a los propietarios de la controladora [Número]</t>
  </si>
  <si>
    <t>Resultado integral [Número]</t>
  </si>
  <si>
    <t xml:space="preserve">          Impuestos a las ganancias relativos a componentes de otro resultado integral que no se reclasificará al resultado del periodo [Número]</t>
  </si>
  <si>
    <t xml:space="preserve">          Impuestos a las ganancias relativos a componentes de otro resultado integral que se reclasificará al resultado del periodo [Número]</t>
  </si>
  <si>
    <t xml:space="preserve">Impuesto a las ganancias relacionado con otro resultado integral [sinopsis]  </t>
  </si>
  <si>
    <t>Impuesto a las ganancias relacionado con componentes de otro resultado integral [Número]</t>
  </si>
  <si>
    <t xml:space="preserve">          Resultado integral procedente de operaciones continuadas [Número]</t>
  </si>
  <si>
    <t xml:space="preserve">          Resultado integral procedente de operaciones discontinuadas [Número]</t>
  </si>
  <si>
    <t xml:space="preserve">          Resultado integral procedente de operaciones continuadas, atribuible a los propietarios de la controladora [Número]</t>
  </si>
  <si>
    <t xml:space="preserve">          Resultado integral procedente de operaciones discontinuadas, atribuible a los propietarios de la controladora [Número]</t>
  </si>
  <si>
    <t xml:space="preserve">          Resultado integral procedente de operaciones continuadas, atribuible a participaciones no controladoras [Número]</t>
  </si>
  <si>
    <t xml:space="preserve">          Resultado integral procedente de operaciones discontinuadas, atribuible a participaciones no controladoras [Número]</t>
  </si>
  <si>
    <t xml:space="preserve">        Pasivo de garantía corriente</t>
  </si>
  <si>
    <t>full_ifrs-cor_2021-03-24.xsd#ifrs-full_CurrentWarrantLiability</t>
  </si>
  <si>
    <t>full_ifrs-cor_2021-03-24.xsd#ifrs-full_NoncurrentWarrantLiability</t>
  </si>
  <si>
    <t xml:space="preserve">        Pasivo de garantía no corriente</t>
  </si>
  <si>
    <t>full_ifrs-cor_2015-03-11.xsd#ifrs-full_Equity</t>
  </si>
  <si>
    <t>Patrimonio</t>
  </si>
  <si>
    <t>Capital Emitido y Pagado</t>
  </si>
  <si>
    <t>Información a revelar sobre políticas contables importantes o relevantes [bloque de texto]</t>
  </si>
  <si>
    <t>full_ifrs-cor_2022-03-24.xsd#ifrs-full_DisclosureOfMaterialAccountingPolicyInformationExplanatory</t>
  </si>
  <si>
    <t>14.0</t>
  </si>
  <si>
    <t>pre_cl-ci_ias-1_2023-03-23_role-800200</t>
  </si>
  <si>
    <t>full_ifrs-cor_2023-03-23.xsd#ifrs-full_OtherComponentsOfOtherComprehensiveIncomeThatWillBeReclassifiedToProfitOrLossNetOfTax</t>
  </si>
  <si>
    <t>full_ifrs-cor_2023-03-23.xsd#ifrs-full_OtherComponentsOfOtherComprehensiveIncomeThatWillNotBeReclassifiedToProfitOrLossNetOfTax</t>
  </si>
  <si>
    <t>full_ifrs-cor_2023-03-23.xsd#ifrs-full_OtherComponentsOfOtherComprehensiveIncomeThatWillBeReclassifiedToProfitOrLossBeforeTax</t>
  </si>
  <si>
    <t>full_ifrs-cor_2023-03-23.xsd#ifrs-full_OtherComponentsOfOtherComprehensiveIncomeThatWillNotBeReclassifiedToProfitOrLossBeforeTax</t>
  </si>
  <si>
    <t>full_ifrs-cor_2023-03-23.xsd#ifrs-full_IncomeTaxRelatingToOtherComponentsOfOtherComprehensiveIncomeThatWillBeReclassifiedToProfitOrLoss</t>
  </si>
  <si>
    <t>full_ifrs-cor_2023-03-23.xsd#ifrs-full_IncomeTaxRelatingToOtherComponentsOfOtherComprehensiveIncomeThatWillNotBeReclassifiedToProfitOrLoss</t>
  </si>
  <si>
    <t xml:space="preserve">        Otros componentes de otro resultado integral que se reclasificarán al resultado del periodo, neto de impuestos [Número]</t>
  </si>
  <si>
    <t xml:space="preserve">        Otros componentes de otro resultado integral que no se reclasificarán al resultado del periodo, neto de impuestos [Número]</t>
  </si>
  <si>
    <t xml:space="preserve">        Otros componentes de otro resultado integral que se reclasificarán al resultado del periodo, antes de impuestos [Número]</t>
  </si>
  <si>
    <t xml:space="preserve">        Otros componentes de otro resultado integral que no se reclasificarán al resultado del periodo, antes de impuestos [Número]</t>
  </si>
  <si>
    <t xml:space="preserve">        Impuesto sobre la renta relacionado con otros componentes de otro resultado integral que se reclasificarán al resultado del periodo [Número]</t>
  </si>
  <si>
    <t xml:space="preserve">        Impuesto sobre la renta relacionado con otros componentes de otro resultado integral que no se reclasificarán al resultado del periodo [Número]</t>
  </si>
  <si>
    <t>pre_cl-ci_ias-1_2023-03-23_role-810000</t>
  </si>
  <si>
    <t>full_ifrs-cor_2023-03-23.xsd#ifrs-full_DisclosureOfInformationAboutNoncurrentLiabilitiesWithCovenantsExplanatory</t>
  </si>
  <si>
    <t xml:space="preserve">      Divulgación de información sobre pasivos no corrientes con covenants [bloque de texto] </t>
  </si>
  <si>
    <t>La informacion contenida en estos Estados Financieros Consolidados es responsabilidad del Directorio de la Sociedad, que manifiesta expresamente que se han aplicado en su totalidad los principios y criterios incluidos en las NIIF.</t>
  </si>
  <si>
    <t>PRUEBA</t>
  </si>
  <si>
    <t>Avenida Kennedy 5413, Las Condes, Santiago, Chile</t>
  </si>
  <si>
    <t>Sociedad Anonima Abierta</t>
  </si>
  <si>
    <t>Su principal actividad es el desarrollo de proyectos inmobiliarios y administracion de dichos inmuebles por medio de contratos de arrendamientos de locales  espacios en general con distintos operadores comerciales</t>
  </si>
  <si>
    <t>A</t>
  </si>
  <si>
    <t>O</t>
  </si>
  <si>
    <t>L</t>
  </si>
  <si>
    <t>test1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</si>
  <si>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</si>
  <si>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</si>
  <si>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</si>
  <si>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</si>
  <si>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</si>
  <si>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</si>
  <si>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</si>
  <si>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</si>
  <si>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</si>
  <si>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nuevo concepto 2024</t>
  </si>
  <si>
    <t>FF</t>
  </si>
  <si>
    <t>VVVVV</t>
  </si>
  <si>
    <t>T</t>
  </si>
  <si>
    <t>W</t>
  </si>
  <si>
    <t>X</t>
  </si>
  <si>
    <t>Z</t>
  </si>
  <si>
    <t>AA</t>
  </si>
  <si>
    <t>BB</t>
  </si>
  <si>
    <t>CC</t>
  </si>
  <si>
    <t>DD</t>
  </si>
  <si>
    <t>EE</t>
  </si>
  <si>
    <t>AAA</t>
  </si>
  <si>
    <t>BBB</t>
  </si>
  <si>
    <t>CCC</t>
  </si>
  <si>
    <t>EEE</t>
  </si>
  <si>
    <t>DDD</t>
  </si>
  <si>
    <t>DDDD</t>
  </si>
  <si>
    <t>FFFF</t>
  </si>
  <si>
    <t>GGGG</t>
  </si>
  <si>
    <t>HHHH</t>
  </si>
  <si>
    <t>JJJJ</t>
  </si>
  <si>
    <t>qqqqq</t>
  </si>
  <si>
    <t>wwww</t>
  </si>
  <si>
    <t>eeeee</t>
  </si>
  <si>
    <t>rrrr</t>
  </si>
  <si>
    <t>RRRR</t>
  </si>
  <si>
    <t>TTT</t>
  </si>
  <si>
    <t>YYYY</t>
  </si>
  <si>
    <t>UUUU</t>
  </si>
  <si>
    <t>IIII</t>
  </si>
  <si>
    <t>OOOO</t>
  </si>
  <si>
    <t>PPPPP</t>
  </si>
  <si>
    <t>AAAAAA</t>
  </si>
  <si>
    <t>SSSSS</t>
  </si>
  <si>
    <t>DDDDDD</t>
  </si>
  <si>
    <t>FFFFFF</t>
  </si>
  <si>
    <t>ZZZZ</t>
  </si>
  <si>
    <t>XXXX</t>
  </si>
  <si>
    <t>CCCCC</t>
  </si>
  <si>
    <t>BBBB</t>
  </si>
  <si>
    <t>NNNNNN</t>
  </si>
  <si>
    <t>MMMMMMM</t>
  </si>
  <si>
    <t>LLLL</t>
  </si>
  <si>
    <t>KKKKK</t>
  </si>
  <si>
    <t>JKJK</t>
  </si>
  <si>
    <t>HJHJ</t>
  </si>
  <si>
    <t>GHGHGH</t>
  </si>
  <si>
    <t>GFGF</t>
  </si>
  <si>
    <t>DFD</t>
  </si>
  <si>
    <t>SDSD</t>
  </si>
  <si>
    <t>ASAS</t>
  </si>
  <si>
    <t>aAAAAA</t>
  </si>
  <si>
    <t>qwwqw</t>
  </si>
  <si>
    <t>WEWEW</t>
  </si>
  <si>
    <t>RER</t>
  </si>
  <si>
    <t>RTRT</t>
  </si>
  <si>
    <t>TYTY</t>
  </si>
  <si>
    <t>YUYU</t>
  </si>
  <si>
    <t>UIUI</t>
  </si>
  <si>
    <t>IOIOI</t>
  </si>
  <si>
    <t>WQE</t>
  </si>
  <si>
    <t>WER</t>
  </si>
  <si>
    <t>ERT</t>
  </si>
  <si>
    <t>RTY</t>
  </si>
  <si>
    <t>TYU</t>
  </si>
  <si>
    <t>YUI</t>
  </si>
  <si>
    <t>UIO</t>
  </si>
  <si>
    <t>IOP</t>
  </si>
  <si>
    <t>ASD</t>
  </si>
  <si>
    <t>SDF</t>
  </si>
  <si>
    <t>DFG</t>
  </si>
  <si>
    <t>FGH</t>
  </si>
  <si>
    <t>GHJ</t>
  </si>
  <si>
    <t>HJK</t>
  </si>
  <si>
    <t>JKL</t>
  </si>
  <si>
    <t>ZAQ</t>
  </si>
  <si>
    <t>WSX</t>
  </si>
  <si>
    <t>EDC</t>
  </si>
  <si>
    <t>RFV</t>
  </si>
  <si>
    <t>TGB</t>
  </si>
  <si>
    <t>YHN</t>
  </si>
  <si>
    <t>KL</t>
  </si>
  <si>
    <t>GF</t>
  </si>
  <si>
    <t>TYTT</t>
  </si>
  <si>
    <t>RRRRE</t>
  </si>
  <si>
    <t>WWWWWW</t>
  </si>
  <si>
    <t>FFFFRE</t>
  </si>
  <si>
    <t>AAAWW</t>
  </si>
  <si>
    <t>SSSEE</t>
  </si>
  <si>
    <t>FFFCCC</t>
  </si>
  <si>
    <t>FFGG</t>
  </si>
  <si>
    <t>TTTFF</t>
  </si>
  <si>
    <t>YYYHH</t>
  </si>
  <si>
    <t>KKKUU</t>
  </si>
  <si>
    <t>HHHUU</t>
  </si>
  <si>
    <t>JJJVGG</t>
  </si>
  <si>
    <t>BBBMM</t>
  </si>
  <si>
    <t>JJJJGGG</t>
  </si>
  <si>
    <t>FRRR</t>
  </si>
  <si>
    <t>FBC</t>
  </si>
  <si>
    <t>FRFR</t>
  </si>
  <si>
    <t>AAAAAAAA</t>
  </si>
  <si>
    <t>BBBBBB</t>
  </si>
  <si>
    <t>a</t>
  </si>
  <si>
    <t>b</t>
  </si>
  <si>
    <t>c</t>
  </si>
  <si>
    <t>d</t>
  </si>
  <si>
    <t>e</t>
  </si>
  <si>
    <t>B</t>
  </si>
  <si>
    <t>C</t>
  </si>
  <si>
    <t>N</t>
  </si>
  <si>
    <t>P</t>
  </si>
  <si>
    <t>Q</t>
  </si>
  <si>
    <t xml:space="preserve"> 2024-09-30</t>
  </si>
  <si>
    <t>947838880000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</si>
</sst>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,##0.0000"/>
    <numFmt numFmtId="166" formatCode="yyyy\-mm\-dd;@"/>
  </numFmts>
  <fonts count="46">
    <font>
      <sz val="11"/>
      <color theme="1"/>
      <name val="Calibri"/>
      <family val="2"/>
      <scheme val="minor"/>
    </font>
    <font>
      <sz val="11"/>
      <color indexed="9"/>
      <name val="Czcionka tekstu podstawowego"/>
      <family val="2"/>
      <charset val="238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Verdana"/>
      <family val="2"/>
    </font>
    <font>
      <b/>
      <sz val="9"/>
      <color indexed="8"/>
      <name val="Verdana"/>
      <family val="2"/>
    </font>
    <font>
      <sz val="9"/>
      <color indexed="8"/>
      <name val="Verdana"/>
      <family val="2"/>
    </font>
    <font>
      <sz val="9"/>
      <name val="Verdana"/>
      <family val="2"/>
    </font>
    <font>
      <sz val="8"/>
      <name val="ＭＳ Ｐゴシック"/>
      <family val="3"/>
      <charset val="128"/>
    </font>
    <font>
      <sz val="8"/>
      <name val="Verdana"/>
      <family val="2"/>
    </font>
    <font>
      <b/>
      <sz val="9"/>
      <name val="Verdana"/>
      <family val="2"/>
    </font>
    <font>
      <sz val="9"/>
      <name val="Calibri"/>
      <family val="2"/>
    </font>
    <font>
      <sz val="11"/>
      <name val="Verdana"/>
      <family val="2"/>
    </font>
    <font>
      <sz val="11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Verdana"/>
      <family val="2"/>
    </font>
    <font>
      <sz val="9"/>
      <color indexed="9"/>
      <name val="Verdana"/>
      <family val="2"/>
    </font>
    <font>
      <b/>
      <sz val="9"/>
      <color indexed="9"/>
      <name val="Verdana"/>
      <family val="2"/>
    </font>
    <font>
      <b/>
      <sz val="9"/>
      <color rgb="FFFF0000"/>
      <name val="Verdana"/>
      <family val="2"/>
    </font>
    <font>
      <sz val="9"/>
      <color theme="1"/>
      <name val="Verdana"/>
      <family val="2"/>
    </font>
    <font>
      <b/>
      <sz val="18"/>
      <name val="Calibri"/>
      <family val="2"/>
      <scheme val="minor"/>
    </font>
    <font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b/>
      <sz val="10"/>
      <name val="Calibri"/>
      <family val="2"/>
    </font>
    <font>
      <b/>
      <sz val="12"/>
      <name val="Calibri"/>
      <family val="2"/>
      <scheme val="minor"/>
    </font>
    <font>
      <b/>
      <sz val="8"/>
      <name val="Verdana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1"/>
      <name val="Verdana"/>
      <family val="2"/>
    </font>
    <font>
      <b/>
      <sz val="11"/>
      <color indexed="8"/>
      <name val="Verdana"/>
      <family val="2"/>
    </font>
    <font>
      <b/>
      <sz val="9"/>
      <name val="Calibri"/>
      <family val="2"/>
    </font>
    <font>
      <b/>
      <sz val="11"/>
      <name val="Calibri"/>
      <family val="2"/>
      <scheme val="minor"/>
    </font>
    <font>
      <i/>
      <sz val="9"/>
      <name val="Verdana"/>
      <family val="2"/>
    </font>
    <font>
      <b/>
      <sz val="9"/>
      <color theme="1"/>
      <name val="Verdana"/>
      <family val="2"/>
    </font>
    <font>
      <sz val="9"/>
      <color theme="0"/>
      <name val="Verdana"/>
      <family val="2"/>
    </font>
    <font>
      <sz val="8"/>
      <color rgb="FF151A30"/>
      <name val="Instrument Sans"/>
    </font>
    <font>
      <sz val="8"/>
      <color rgb="FF151A30"/>
      <name val="Instrument Sans"/>
    </font>
    <font>
      <sz val="8"/>
      <color rgb="FF151A30"/>
      <name val="Instrument Sans"/>
    </font>
  </fonts>
  <fills count="27">
    <fill>
      <patternFill patternType="none"/>
    </fill>
    <fill>
      <patternFill patternType="gray125"/>
    </fill>
    <fill>
      <patternFill patternType="solid">
        <fgColor indexed="30"/>
      </patternFill>
    </fill>
    <fill>
      <patternFill patternType="solid">
        <fgColor indexed="9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/>
      <diagonal/>
    </border>
    <border>
      <left style="mediumDashed">
        <color rgb="FFFF0000"/>
      </left>
      <right style="mediumDashed">
        <color rgb="FFFF0000"/>
      </right>
      <top/>
      <bottom style="mediumDashed">
        <color rgb="FFFF0000"/>
      </bottom>
      <diagonal/>
    </border>
    <border>
      <left/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/>
      <right style="mediumDashed">
        <color rgb="FFFF0000"/>
      </right>
      <top/>
      <bottom style="thin">
        <color indexed="64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 style="mediumDashed">
        <color rgb="FFFF0000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Dashed">
        <color rgb="FFFF0000"/>
      </left>
      <right/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thin">
        <color indexed="64"/>
      </right>
      <top/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8" fillId="0" borderId="0" applyNumberFormat="0" applyFill="0" applyBorder="0">
      <alignment vertical="center"/>
    </xf>
    <xf numFmtId="0" fontId="8" fillId="0" borderId="0" applyNumberFormat="0" applyFill="0" applyBorder="0">
      <alignment vertic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355">
    <xf numFmtId="0" fontId="0" fillId="0" borderId="0" xfId="0"/>
    <xf numFmtId="0" fontId="4" fillId="0" borderId="0" xfId="0" applyFont="1"/>
    <xf numFmtId="0" fontId="0" fillId="3" borderId="0" xfId="0" applyFill="1"/>
    <xf numFmtId="0" fontId="2" fillId="3" borderId="0" xfId="0" applyFont="1" applyFill="1"/>
    <xf numFmtId="0" fontId="4" fillId="4" borderId="2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3" fillId="4" borderId="5" xfId="0" applyFont="1" applyFill="1" applyBorder="1"/>
    <xf numFmtId="0" fontId="5" fillId="4" borderId="5" xfId="0" applyFont="1" applyFill="1" applyBorder="1"/>
    <xf numFmtId="0" fontId="4" fillId="4" borderId="5" xfId="0" applyFont="1" applyFill="1" applyBorder="1" applyAlignment="1">
      <alignment horizontal="center"/>
    </xf>
    <xf numFmtId="0" fontId="0" fillId="4" borderId="3" xfId="0" applyFill="1" applyBorder="1"/>
    <xf numFmtId="0" fontId="0" fillId="4" borderId="8" xfId="0" applyFill="1" applyBorder="1"/>
    <xf numFmtId="0" fontId="0" fillId="4" borderId="6" xfId="0" applyFill="1" applyBorder="1"/>
    <xf numFmtId="0" fontId="14" fillId="7" borderId="11" xfId="1" applyFont="1" applyFill="1" applyBorder="1" applyAlignment="1">
      <alignment horizontal="center" vertical="center" wrapText="1"/>
    </xf>
    <xf numFmtId="3" fontId="2" fillId="0" borderId="7" xfId="0" applyNumberFormat="1" applyFont="1" applyBorder="1" applyProtection="1">
      <protection locked="0"/>
    </xf>
    <xf numFmtId="0" fontId="4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0" xfId="0" applyFont="1" applyFill="1" applyAlignment="1">
      <alignment horizontal="left" vertical="center" wrapText="1"/>
    </xf>
    <xf numFmtId="3" fontId="4" fillId="4" borderId="5" xfId="0" applyNumberFormat="1" applyFont="1" applyFill="1" applyBorder="1" applyAlignment="1">
      <alignment horizontal="center"/>
    </xf>
    <xf numFmtId="0" fontId="4" fillId="4" borderId="2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 wrapText="1"/>
    </xf>
    <xf numFmtId="0" fontId="12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11" fillId="4" borderId="2" xfId="0" applyFont="1" applyFill="1" applyBorder="1" applyAlignment="1">
      <alignment horizontal="left" vertical="center"/>
    </xf>
    <xf numFmtId="0" fontId="13" fillId="4" borderId="2" xfId="0" applyFont="1" applyFill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0" fontId="12" fillId="4" borderId="2" xfId="0" applyFont="1" applyFill="1" applyBorder="1" applyAlignment="1">
      <alignment horizontal="left" vertical="center"/>
    </xf>
    <xf numFmtId="0" fontId="11" fillId="4" borderId="12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11" fillId="4" borderId="5" xfId="0" applyFont="1" applyFill="1" applyBorder="1" applyAlignment="1">
      <alignment horizontal="left" vertical="center"/>
    </xf>
    <xf numFmtId="0" fontId="13" fillId="4" borderId="5" xfId="0" applyFont="1" applyFill="1" applyBorder="1" applyAlignment="1">
      <alignment horizontal="left" vertical="center"/>
    </xf>
    <xf numFmtId="0" fontId="12" fillId="4" borderId="5" xfId="0" applyFont="1" applyFill="1" applyBorder="1" applyAlignment="1">
      <alignment horizontal="left" vertical="center"/>
    </xf>
    <xf numFmtId="0" fontId="10" fillId="4" borderId="0" xfId="0" applyFont="1" applyFill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4" borderId="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6" borderId="7" xfId="0" applyFont="1" applyFill="1" applyBorder="1" applyAlignment="1">
      <alignment horizontal="left" vertical="center"/>
    </xf>
    <xf numFmtId="0" fontId="12" fillId="6" borderId="7" xfId="0" applyFont="1" applyFill="1" applyBorder="1" applyAlignment="1">
      <alignment horizontal="left" vertical="center"/>
    </xf>
    <xf numFmtId="0" fontId="7" fillId="4" borderId="3" xfId="0" applyFont="1" applyFill="1" applyBorder="1" applyAlignment="1">
      <alignment horizontal="left" vertical="center"/>
    </xf>
    <xf numFmtId="3" fontId="10" fillId="5" borderId="7" xfId="3" applyNumberFormat="1" applyFont="1" applyFill="1" applyBorder="1">
      <alignment vertical="center"/>
    </xf>
    <xf numFmtId="3" fontId="4" fillId="4" borderId="0" xfId="0" applyNumberFormat="1" applyFont="1" applyFill="1" applyAlignment="1">
      <alignment horizontal="center"/>
    </xf>
    <xf numFmtId="0" fontId="5" fillId="4" borderId="0" xfId="0" applyFont="1" applyFill="1" applyAlignment="1">
      <alignment horizontal="left" vertical="center" wrapText="1"/>
    </xf>
    <xf numFmtId="0" fontId="17" fillId="0" borderId="0" xfId="0" applyFont="1" applyAlignment="1">
      <alignment horizontal="center" vertical="center"/>
    </xf>
    <xf numFmtId="0" fontId="17" fillId="7" borderId="10" xfId="1" applyNumberFormat="1" applyFont="1" applyFill="1" applyBorder="1" applyAlignment="1">
      <alignment horizontal="center" vertical="center" wrapText="1"/>
    </xf>
    <xf numFmtId="0" fontId="17" fillId="7" borderId="13" xfId="1" applyNumberFormat="1" applyFont="1" applyFill="1" applyBorder="1" applyAlignment="1">
      <alignment horizontal="center" vertical="center" wrapText="1"/>
    </xf>
    <xf numFmtId="0" fontId="18" fillId="7" borderId="13" xfId="1" applyNumberFormat="1" applyFont="1" applyFill="1" applyBorder="1" applyAlignment="1">
      <alignment horizontal="center" vertical="center" wrapText="1"/>
    </xf>
    <xf numFmtId="0" fontId="19" fillId="7" borderId="13" xfId="1" applyNumberFormat="1" applyFont="1" applyFill="1" applyBorder="1" applyAlignment="1">
      <alignment horizontal="center" vertical="center" wrapText="1"/>
    </xf>
    <xf numFmtId="0" fontId="20" fillId="8" borderId="14" xfId="1" applyNumberFormat="1" applyFont="1" applyFill="1" applyBorder="1" applyAlignment="1">
      <alignment horizontal="center" vertical="center" wrapText="1"/>
    </xf>
    <xf numFmtId="0" fontId="18" fillId="7" borderId="9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4" borderId="1" xfId="3" applyFont="1" applyFill="1" applyBorder="1">
      <alignment vertical="center"/>
    </xf>
    <xf numFmtId="0" fontId="10" fillId="4" borderId="0" xfId="3" applyFont="1" applyFill="1" applyBorder="1">
      <alignment vertical="center"/>
    </xf>
    <xf numFmtId="0" fontId="7" fillId="4" borderId="0" xfId="3" applyFont="1" applyFill="1" applyBorder="1">
      <alignment vertical="center"/>
    </xf>
    <xf numFmtId="0" fontId="7" fillId="4" borderId="2" xfId="3" applyFont="1" applyFill="1" applyBorder="1" applyAlignment="1">
      <alignment horizontal="center" vertical="center" wrapText="1"/>
    </xf>
    <xf numFmtId="0" fontId="0" fillId="9" borderId="0" xfId="0" applyFill="1"/>
    <xf numFmtId="0" fontId="13" fillId="8" borderId="15" xfId="3" applyFont="1" applyFill="1" applyBorder="1" applyAlignment="1">
      <alignment horizontal="center" vertical="center" wrapText="1"/>
    </xf>
    <xf numFmtId="0" fontId="7" fillId="4" borderId="3" xfId="3" applyFont="1" applyFill="1" applyBorder="1" applyAlignment="1">
      <alignment vertical="center" wrapText="1"/>
    </xf>
    <xf numFmtId="0" fontId="7" fillId="0" borderId="0" xfId="0" applyFont="1"/>
    <xf numFmtId="0" fontId="7" fillId="9" borderId="1" xfId="0" applyFont="1" applyFill="1" applyBorder="1"/>
    <xf numFmtId="0" fontId="7" fillId="9" borderId="0" xfId="0" applyFont="1" applyFill="1"/>
    <xf numFmtId="0" fontId="21" fillId="9" borderId="0" xfId="0" applyFont="1" applyFill="1"/>
    <xf numFmtId="0" fontId="10" fillId="4" borderId="0" xfId="3" applyFont="1" applyFill="1" applyBorder="1" applyAlignment="1">
      <alignment vertical="center" wrapText="1"/>
    </xf>
    <xf numFmtId="0" fontId="7" fillId="9" borderId="16" xfId="3" applyFont="1" applyFill="1" applyBorder="1">
      <alignment vertical="center"/>
    </xf>
    <xf numFmtId="0" fontId="7" fillId="9" borderId="6" xfId="3" applyFont="1" applyFill="1" applyBorder="1">
      <alignment vertical="center"/>
    </xf>
    <xf numFmtId="0" fontId="7" fillId="9" borderId="1" xfId="0" applyFont="1" applyFill="1" applyBorder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1" applyNumberFormat="1" applyFont="1" applyFill="1" applyBorder="1" applyAlignment="1">
      <alignment horizontal="left" vertical="center"/>
    </xf>
    <xf numFmtId="0" fontId="21" fillId="9" borderId="0" xfId="0" applyFont="1" applyFill="1" applyAlignment="1">
      <alignment horizontal="left" vertical="center"/>
    </xf>
    <xf numFmtId="0" fontId="7" fillId="9" borderId="4" xfId="0" applyFont="1" applyFill="1" applyBorder="1"/>
    <xf numFmtId="0" fontId="7" fillId="9" borderId="5" xfId="0" applyFont="1" applyFill="1" applyBorder="1"/>
    <xf numFmtId="0" fontId="7" fillId="9" borderId="16" xfId="0" applyFont="1" applyFill="1" applyBorder="1"/>
    <xf numFmtId="0" fontId="7" fillId="9" borderId="6" xfId="0" applyFont="1" applyFill="1" applyBorder="1"/>
    <xf numFmtId="0" fontId="0" fillId="0" borderId="17" xfId="0" applyBorder="1"/>
    <xf numFmtId="0" fontId="7" fillId="4" borderId="2" xfId="3" applyFont="1" applyFill="1" applyBorder="1">
      <alignment vertical="center"/>
    </xf>
    <xf numFmtId="0" fontId="7" fillId="4" borderId="3" xfId="3" applyFont="1" applyFill="1" applyBorder="1">
      <alignment vertical="center"/>
    </xf>
    <xf numFmtId="0" fontId="10" fillId="4" borderId="18" xfId="3" applyFont="1" applyFill="1" applyBorder="1" applyAlignment="1">
      <alignment vertical="center" wrapText="1"/>
    </xf>
    <xf numFmtId="0" fontId="7" fillId="9" borderId="0" xfId="1" applyNumberFormat="1" applyFont="1" applyFill="1" applyBorder="1" applyAlignment="1">
      <alignment horizontal="center" vertical="top" wrapText="1"/>
    </xf>
    <xf numFmtId="0" fontId="22" fillId="10" borderId="19" xfId="0" applyFont="1" applyFill="1" applyBorder="1" applyAlignment="1">
      <alignment horizontal="center" vertical="center" wrapText="1"/>
    </xf>
    <xf numFmtId="0" fontId="27" fillId="10" borderId="19" xfId="0" applyFont="1" applyFill="1" applyBorder="1" applyAlignment="1">
      <alignment horizontal="center" vertical="center" wrapText="1"/>
    </xf>
    <xf numFmtId="0" fontId="7" fillId="9" borderId="1" xfId="0" applyFont="1" applyFill="1" applyBorder="1" applyAlignment="1">
      <alignment vertical="top"/>
    </xf>
    <xf numFmtId="0" fontId="7" fillId="9" borderId="0" xfId="0" applyFont="1" applyFill="1" applyAlignment="1">
      <alignment vertical="top"/>
    </xf>
    <xf numFmtId="0" fontId="7" fillId="9" borderId="0" xfId="0" applyFont="1" applyFill="1" applyAlignment="1">
      <alignment vertical="top" wrapText="1"/>
    </xf>
    <xf numFmtId="1" fontId="7" fillId="6" borderId="15" xfId="0" applyNumberFormat="1" applyFont="1" applyFill="1" applyBorder="1" applyProtection="1">
      <protection locked="0"/>
    </xf>
    <xf numFmtId="3" fontId="10" fillId="11" borderId="9" xfId="3" applyNumberFormat="1" applyFont="1" applyFill="1" applyBorder="1" applyAlignment="1" applyProtection="1">
      <alignment vertical="center" wrapText="1"/>
      <protection locked="0"/>
    </xf>
    <xf numFmtId="0" fontId="7" fillId="0" borderId="17" xfId="0" applyFont="1" applyBorder="1"/>
    <xf numFmtId="0" fontId="17" fillId="0" borderId="0" xfId="0" applyFont="1"/>
    <xf numFmtId="0" fontId="17" fillId="0" borderId="16" xfId="0" applyFont="1" applyBorder="1" applyAlignment="1">
      <alignment horizontal="center"/>
    </xf>
    <xf numFmtId="0" fontId="7" fillId="9" borderId="20" xfId="3" applyFont="1" applyFill="1" applyBorder="1">
      <alignment vertical="center"/>
    </xf>
    <xf numFmtId="0" fontId="7" fillId="9" borderId="21" xfId="0" applyFont="1" applyFill="1" applyBorder="1"/>
    <xf numFmtId="0" fontId="18" fillId="7" borderId="22" xfId="1" applyNumberFormat="1" applyFont="1" applyFill="1" applyBorder="1" applyAlignment="1">
      <alignment horizontal="center" vertical="center" wrapText="1"/>
    </xf>
    <xf numFmtId="0" fontId="0" fillId="9" borderId="18" xfId="0" applyFill="1" applyBorder="1"/>
    <xf numFmtId="0" fontId="13" fillId="8" borderId="23" xfId="3" applyFont="1" applyFill="1" applyBorder="1" applyAlignment="1">
      <alignment vertical="center" wrapText="1"/>
    </xf>
    <xf numFmtId="0" fontId="7" fillId="9" borderId="24" xfId="3" applyFont="1" applyFill="1" applyBorder="1">
      <alignment vertical="center"/>
    </xf>
    <xf numFmtId="0" fontId="7" fillId="9" borderId="0" xfId="1" applyNumberFormat="1" applyFont="1" applyFill="1" applyBorder="1" applyAlignment="1">
      <alignment horizontal="center" vertical="center" wrapText="1"/>
    </xf>
    <xf numFmtId="0" fontId="7" fillId="9" borderId="18" xfId="0" applyFont="1" applyFill="1" applyBorder="1" applyAlignment="1">
      <alignment wrapText="1"/>
    </xf>
    <xf numFmtId="3" fontId="7" fillId="6" borderId="23" xfId="3" applyNumberFormat="1" applyFont="1" applyFill="1" applyBorder="1" applyProtection="1">
      <alignment vertical="center"/>
      <protection locked="0"/>
    </xf>
    <xf numFmtId="3" fontId="10" fillId="11" borderId="9" xfId="3" applyNumberFormat="1" applyFont="1" applyFill="1" applyBorder="1" applyProtection="1">
      <alignment vertical="center"/>
      <protection locked="0"/>
    </xf>
    <xf numFmtId="0" fontId="7" fillId="9" borderId="24" xfId="0" applyFont="1" applyFill="1" applyBorder="1"/>
    <xf numFmtId="0" fontId="7" fillId="0" borderId="18" xfId="0" applyFont="1" applyBorder="1"/>
    <xf numFmtId="0" fontId="17" fillId="0" borderId="18" xfId="0" applyFont="1" applyBorder="1" applyAlignment="1">
      <alignment horizontal="center"/>
    </xf>
    <xf numFmtId="0" fontId="7" fillId="9" borderId="25" xfId="0" applyFont="1" applyFill="1" applyBorder="1"/>
    <xf numFmtId="0" fontId="7" fillId="9" borderId="1" xfId="0" applyFont="1" applyFill="1" applyBorder="1" applyAlignment="1">
      <alignment vertical="center"/>
    </xf>
    <xf numFmtId="0" fontId="7" fillId="9" borderId="0" xfId="0" applyFont="1" applyFill="1" applyAlignment="1">
      <alignment vertical="center"/>
    </xf>
    <xf numFmtId="0" fontId="16" fillId="0" borderId="0" xfId="0" applyFont="1" applyAlignment="1">
      <alignment horizontal="center" vertical="center"/>
    </xf>
    <xf numFmtId="0" fontId="9" fillId="4" borderId="1" xfId="3" applyFont="1" applyFill="1" applyBorder="1">
      <alignment vertical="center"/>
    </xf>
    <xf numFmtId="0" fontId="28" fillId="4" borderId="0" xfId="3" applyFont="1" applyFill="1" applyBorder="1">
      <alignment vertical="center"/>
    </xf>
    <xf numFmtId="0" fontId="9" fillId="4" borderId="0" xfId="3" applyFont="1" applyFill="1" applyBorder="1">
      <alignment vertical="center"/>
    </xf>
    <xf numFmtId="0" fontId="13" fillId="8" borderId="15" xfId="3" applyFont="1" applyFill="1" applyBorder="1" applyAlignment="1">
      <alignment vertical="center" wrapText="1"/>
    </xf>
    <xf numFmtId="0" fontId="9" fillId="4" borderId="3" xfId="3" applyFont="1" applyFill="1" applyBorder="1" applyAlignment="1">
      <alignment vertical="center" wrapText="1"/>
    </xf>
    <xf numFmtId="0" fontId="9" fillId="4" borderId="17" xfId="3" applyFont="1" applyFill="1" applyBorder="1">
      <alignment vertical="center"/>
    </xf>
    <xf numFmtId="0" fontId="9" fillId="4" borderId="6" xfId="3" applyFont="1" applyFill="1" applyBorder="1">
      <alignment vertical="center"/>
    </xf>
    <xf numFmtId="0" fontId="7" fillId="4" borderId="0" xfId="3" applyFont="1" applyFill="1" applyBorder="1" applyAlignment="1">
      <alignment vertical="center" wrapText="1"/>
    </xf>
    <xf numFmtId="0" fontId="9" fillId="4" borderId="4" xfId="3" applyFont="1" applyFill="1" applyBorder="1">
      <alignment vertical="center"/>
    </xf>
    <xf numFmtId="0" fontId="9" fillId="4" borderId="5" xfId="3" applyFont="1" applyFill="1" applyBorder="1">
      <alignment vertical="center"/>
    </xf>
    <xf numFmtId="0" fontId="9" fillId="4" borderId="16" xfId="3" applyFont="1" applyFill="1" applyBorder="1">
      <alignment vertical="center"/>
    </xf>
    <xf numFmtId="0" fontId="16" fillId="0" borderId="0" xfId="0" applyFont="1"/>
    <xf numFmtId="0" fontId="16" fillId="0" borderId="17" xfId="0" applyFont="1" applyBorder="1" applyAlignment="1">
      <alignment horizontal="center"/>
    </xf>
    <xf numFmtId="0" fontId="9" fillId="4" borderId="2" xfId="3" applyFont="1" applyFill="1" applyBorder="1">
      <alignment vertical="center"/>
    </xf>
    <xf numFmtId="0" fontId="9" fillId="4" borderId="3" xfId="3" applyFont="1" applyFill="1" applyBorder="1">
      <alignment vertical="center"/>
    </xf>
    <xf numFmtId="0" fontId="9" fillId="4" borderId="21" xfId="3" applyFont="1" applyFill="1" applyBorder="1">
      <alignment vertical="center"/>
    </xf>
    <xf numFmtId="0" fontId="9" fillId="4" borderId="0" xfId="3" applyFont="1" applyFill="1" applyBorder="1" applyAlignment="1">
      <alignment vertical="center" wrapText="1"/>
    </xf>
    <xf numFmtId="0" fontId="9" fillId="4" borderId="26" xfId="3" applyFont="1" applyFill="1" applyBorder="1">
      <alignment vertical="center"/>
    </xf>
    <xf numFmtId="0" fontId="7" fillId="4" borderId="1" xfId="3" applyFont="1" applyFill="1" applyBorder="1" applyAlignment="1">
      <alignment horizontal="left" vertical="center"/>
    </xf>
    <xf numFmtId="0" fontId="7" fillId="4" borderId="0" xfId="3" applyFont="1" applyFill="1" applyBorder="1" applyAlignment="1">
      <alignment horizontal="left" vertical="center"/>
    </xf>
    <xf numFmtId="0" fontId="10" fillId="4" borderId="0" xfId="3" applyFont="1" applyFill="1" applyBorder="1" applyAlignment="1">
      <alignment horizontal="left" vertical="center"/>
    </xf>
    <xf numFmtId="3" fontId="7" fillId="4" borderId="17" xfId="3" applyNumberFormat="1" applyFont="1" applyFill="1" applyBorder="1">
      <alignment vertical="center"/>
    </xf>
    <xf numFmtId="0" fontId="7" fillId="4" borderId="0" xfId="3" applyFont="1" applyFill="1" applyBorder="1" applyAlignment="1">
      <alignment horizontal="left" vertical="center" wrapText="1"/>
    </xf>
    <xf numFmtId="0" fontId="18" fillId="7" borderId="7" xfId="1" applyNumberFormat="1" applyFont="1" applyFill="1" applyBorder="1" applyAlignment="1">
      <alignment horizontal="center" vertical="center" wrapText="1"/>
    </xf>
    <xf numFmtId="0" fontId="13" fillId="4" borderId="0" xfId="3" applyFont="1" applyFill="1" applyBorder="1" applyAlignment="1">
      <alignment vertical="center" wrapText="1"/>
    </xf>
    <xf numFmtId="0" fontId="7" fillId="9" borderId="0" xfId="3" applyFont="1" applyFill="1" applyBorder="1">
      <alignment vertical="center"/>
    </xf>
    <xf numFmtId="49" fontId="7" fillId="6" borderId="7" xfId="0" applyNumberFormat="1" applyFont="1" applyFill="1" applyBorder="1" applyProtection="1">
      <protection locked="0"/>
    </xf>
    <xf numFmtId="0" fontId="7" fillId="9" borderId="4" xfId="0" applyFont="1" applyFill="1" applyBorder="1" applyAlignment="1">
      <alignment vertical="top"/>
    </xf>
    <xf numFmtId="0" fontId="7" fillId="9" borderId="5" xfId="0" applyFont="1" applyFill="1" applyBorder="1" applyAlignment="1">
      <alignment vertical="top"/>
    </xf>
    <xf numFmtId="0" fontId="13" fillId="4" borderId="0" xfId="3" applyFont="1" applyFill="1" applyBorder="1">
      <alignment vertical="center"/>
    </xf>
    <xf numFmtId="0" fontId="29" fillId="14" borderId="0" xfId="4" applyNumberFormat="1" applyFill="1" applyBorder="1" applyAlignment="1">
      <alignment horizontal="left" vertical="center"/>
    </xf>
    <xf numFmtId="0" fontId="29" fillId="17" borderId="0" xfId="4" applyNumberFormat="1" applyFill="1" applyBorder="1" applyAlignment="1">
      <alignment horizontal="left" vertical="center"/>
    </xf>
    <xf numFmtId="0" fontId="29" fillId="18" borderId="0" xfId="4" applyNumberFormat="1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 wrapText="1"/>
    </xf>
    <xf numFmtId="0" fontId="7" fillId="6" borderId="7" xfId="0" applyFont="1" applyFill="1" applyBorder="1" applyAlignment="1">
      <alignment horizontal="left" vertical="center" wrapText="1"/>
    </xf>
    <xf numFmtId="0" fontId="7" fillId="9" borderId="8" xfId="3" applyFont="1" applyFill="1" applyBorder="1">
      <alignment vertical="center"/>
    </xf>
    <xf numFmtId="0" fontId="7" fillId="9" borderId="6" xfId="0" applyFont="1" applyFill="1" applyBorder="1" applyAlignment="1">
      <alignment vertical="top"/>
    </xf>
    <xf numFmtId="0" fontId="13" fillId="4" borderId="3" xfId="3" applyFont="1" applyFill="1" applyBorder="1">
      <alignment vertical="center"/>
    </xf>
    <xf numFmtId="0" fontId="7" fillId="9" borderId="9" xfId="0" applyFont="1" applyFill="1" applyBorder="1" applyAlignment="1">
      <alignment vertical="top"/>
    </xf>
    <xf numFmtId="0" fontId="7" fillId="6" borderId="15" xfId="0" applyFont="1" applyFill="1" applyBorder="1" applyProtection="1">
      <protection locked="0"/>
    </xf>
    <xf numFmtId="0" fontId="7" fillId="4" borderId="0" xfId="3" applyFont="1" applyFill="1" applyBorder="1" applyAlignment="1">
      <alignment horizontal="left" vertical="center" indent="2"/>
    </xf>
    <xf numFmtId="0" fontId="9" fillId="6" borderId="15" xfId="3" applyNumberFormat="1" applyFont="1" applyFill="1" applyBorder="1" applyProtection="1">
      <alignment vertical="center"/>
      <protection locked="0"/>
    </xf>
    <xf numFmtId="0" fontId="7" fillId="6" borderId="15" xfId="3" applyNumberFormat="1" applyFont="1" applyFill="1" applyBorder="1" applyAlignment="1" applyProtection="1">
      <alignment vertical="center" wrapText="1"/>
      <protection locked="0"/>
    </xf>
    <xf numFmtId="0" fontId="7" fillId="6" borderId="9" xfId="3" applyNumberFormat="1" applyFont="1" applyFill="1" applyBorder="1" applyAlignment="1" applyProtection="1">
      <alignment vertical="center" wrapText="1"/>
      <protection locked="0"/>
    </xf>
    <xf numFmtId="0" fontId="7" fillId="6" borderId="23" xfId="3" applyNumberFormat="1" applyFont="1" applyFill="1" applyBorder="1" applyProtection="1">
      <alignment vertical="center"/>
      <protection locked="0"/>
    </xf>
    <xf numFmtId="0" fontId="7" fillId="6" borderId="9" xfId="3" applyNumberFormat="1" applyFont="1" applyFill="1" applyBorder="1" applyProtection="1">
      <alignment vertical="center"/>
      <protection locked="0"/>
    </xf>
    <xf numFmtId="0" fontId="9" fillId="6" borderId="9" xfId="3" applyNumberFormat="1" applyFont="1" applyFill="1" applyBorder="1" applyProtection="1">
      <alignment vertical="center"/>
      <protection locked="0"/>
    </xf>
    <xf numFmtId="0" fontId="5" fillId="4" borderId="0" xfId="0" applyFont="1" applyFill="1" applyAlignment="1">
      <alignment horizontal="left" wrapText="1" indent="1"/>
    </xf>
    <xf numFmtId="0" fontId="5" fillId="4" borderId="2" xfId="0" applyFont="1" applyFill="1" applyBorder="1" applyAlignment="1">
      <alignment wrapText="1"/>
    </xf>
    <xf numFmtId="0" fontId="10" fillId="4" borderId="2" xfId="0" applyFont="1" applyFill="1" applyBorder="1" applyAlignment="1">
      <alignment horizontal="left" vertical="center" wrapText="1"/>
    </xf>
    <xf numFmtId="165" fontId="7" fillId="6" borderId="7" xfId="0" applyNumberFormat="1" applyFont="1" applyFill="1" applyBorder="1" applyAlignment="1">
      <alignment horizontal="left" vertical="center"/>
    </xf>
    <xf numFmtId="0" fontId="9" fillId="6" borderId="7" xfId="3" applyNumberFormat="1" applyFont="1" applyFill="1" applyBorder="1" applyProtection="1">
      <alignment vertical="center"/>
      <protection locked="0"/>
    </xf>
    <xf numFmtId="0" fontId="30" fillId="4" borderId="0" xfId="0" applyFont="1" applyFill="1" applyAlignment="1">
      <alignment horizontal="left" vertical="center"/>
    </xf>
    <xf numFmtId="3" fontId="10" fillId="5" borderId="7" xfId="3" applyNumberFormat="1" applyFont="1" applyFill="1" applyBorder="1" applyAlignment="1">
      <alignment horizontal="right" vertical="center"/>
    </xf>
    <xf numFmtId="3" fontId="4" fillId="0" borderId="7" xfId="0" applyNumberFormat="1" applyFont="1" applyBorder="1"/>
    <xf numFmtId="3" fontId="4" fillId="4" borderId="0" xfId="0" applyNumberFormat="1" applyFont="1" applyFill="1"/>
    <xf numFmtId="0" fontId="7" fillId="4" borderId="0" xfId="0" applyFont="1" applyFill="1" applyAlignment="1">
      <alignment vertical="center"/>
    </xf>
    <xf numFmtId="0" fontId="33" fillId="4" borderId="2" xfId="0" applyFont="1" applyFill="1" applyBorder="1" applyAlignment="1">
      <alignment wrapText="1"/>
    </xf>
    <xf numFmtId="3" fontId="10" fillId="11" borderId="7" xfId="3" applyNumberFormat="1" applyFont="1" applyFill="1" applyBorder="1">
      <alignment vertical="center"/>
    </xf>
    <xf numFmtId="0" fontId="27" fillId="0" borderId="0" xfId="0" applyFont="1" applyAlignment="1">
      <alignment horizontal="center" vertical="center" wrapText="1"/>
    </xf>
    <xf numFmtId="0" fontId="27" fillId="19" borderId="19" xfId="0" applyFont="1" applyFill="1" applyBorder="1" applyAlignment="1">
      <alignment horizontal="right" vertical="center" wrapText="1"/>
    </xf>
    <xf numFmtId="0" fontId="0" fillId="19" borderId="27" xfId="0" applyFill="1" applyBorder="1" applyAlignment="1">
      <alignment vertical="center"/>
    </xf>
    <xf numFmtId="3" fontId="10" fillId="6" borderId="7" xfId="3" applyNumberFormat="1" applyFont="1" applyFill="1" applyBorder="1">
      <alignment vertical="center"/>
    </xf>
    <xf numFmtId="3" fontId="35" fillId="0" borderId="7" xfId="0" applyNumberFormat="1" applyFont="1" applyBorder="1" applyAlignment="1" applyProtection="1">
      <alignment vertical="center"/>
      <protection locked="0"/>
    </xf>
    <xf numFmtId="3" fontId="35" fillId="6" borderId="9" xfId="0" applyNumberFormat="1" applyFont="1" applyFill="1" applyBorder="1" applyAlignment="1" applyProtection="1">
      <alignment vertical="center"/>
      <protection locked="0"/>
    </xf>
    <xf numFmtId="0" fontId="6" fillId="9" borderId="0" xfId="0" applyFont="1" applyFill="1" applyAlignment="1">
      <alignment horizontal="left" vertical="center" wrapText="1"/>
    </xf>
    <xf numFmtId="0" fontId="6" fillId="9" borderId="0" xfId="0" applyFont="1" applyFill="1" applyAlignment="1">
      <alignment horizontal="left" vertical="center"/>
    </xf>
    <xf numFmtId="0" fontId="5" fillId="9" borderId="0" xfId="0" applyFont="1" applyFill="1" applyAlignment="1">
      <alignment horizontal="left" vertical="center"/>
    </xf>
    <xf numFmtId="0" fontId="5" fillId="9" borderId="0" xfId="0" applyFont="1" applyFill="1" applyAlignment="1">
      <alignment horizontal="left" vertical="center" wrapText="1" indent="2"/>
    </xf>
    <xf numFmtId="0" fontId="6" fillId="9" borderId="0" xfId="0" applyFont="1" applyFill="1" applyAlignment="1">
      <alignment horizontal="left" vertical="center" indent="1"/>
    </xf>
    <xf numFmtId="0" fontId="6" fillId="9" borderId="0" xfId="0" applyFont="1" applyFill="1" applyAlignment="1">
      <alignment horizontal="left" vertical="center" indent="4"/>
    </xf>
    <xf numFmtId="0" fontId="5" fillId="9" borderId="0" xfId="0" applyFont="1" applyFill="1" applyAlignment="1">
      <alignment horizontal="left" vertical="center" indent="2"/>
    </xf>
    <xf numFmtId="0" fontId="5" fillId="9" borderId="0" xfId="0" applyFont="1" applyFill="1" applyAlignment="1">
      <alignment horizontal="left" vertical="center" wrapText="1"/>
    </xf>
    <xf numFmtId="0" fontId="10" fillId="9" borderId="0" xfId="0" applyFont="1" applyFill="1" applyAlignment="1">
      <alignment horizontal="left" vertical="center" indent="2"/>
    </xf>
    <xf numFmtId="0" fontId="7" fillId="9" borderId="0" xfId="0" applyFont="1" applyFill="1" applyAlignment="1">
      <alignment horizontal="left" vertical="center" indent="3"/>
    </xf>
    <xf numFmtId="0" fontId="10" fillId="9" borderId="0" xfId="0" applyFont="1" applyFill="1" applyAlignment="1">
      <alignment horizontal="left" vertical="center" indent="3"/>
    </xf>
    <xf numFmtId="0" fontId="7" fillId="9" borderId="0" xfId="0" applyFont="1" applyFill="1" applyAlignment="1">
      <alignment horizontal="left" vertical="center" indent="2"/>
    </xf>
    <xf numFmtId="0" fontId="10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 wrapText="1"/>
    </xf>
    <xf numFmtId="0" fontId="10" fillId="9" borderId="0" xfId="0" applyFont="1" applyFill="1" applyAlignment="1">
      <alignment horizontal="left" vertical="center" wrapText="1"/>
    </xf>
    <xf numFmtId="0" fontId="7" fillId="9" borderId="0" xfId="0" applyFont="1" applyFill="1" applyAlignment="1">
      <alignment horizontal="left" vertical="center" indent="1"/>
    </xf>
    <xf numFmtId="0" fontId="6" fillId="9" borderId="0" xfId="0" applyFont="1" applyFill="1" applyAlignment="1">
      <alignment horizontal="left" vertical="center" indent="3"/>
    </xf>
    <xf numFmtId="0" fontId="5" fillId="9" borderId="0" xfId="0" applyFont="1" applyFill="1" applyAlignment="1">
      <alignment horizontal="left" vertical="center" indent="3"/>
    </xf>
    <xf numFmtId="0" fontId="18" fillId="9" borderId="11" xfId="1" applyNumberFormat="1" applyFont="1" applyFill="1" applyBorder="1" applyAlignment="1">
      <alignment horizontal="center" vertical="center" wrapText="1"/>
    </xf>
    <xf numFmtId="0" fontId="13" fillId="4" borderId="8" xfId="3" applyFont="1" applyFill="1" applyBorder="1" applyAlignment="1">
      <alignment vertical="center" wrapText="1"/>
    </xf>
    <xf numFmtId="0" fontId="36" fillId="9" borderId="5" xfId="3" applyFont="1" applyFill="1" applyBorder="1" applyAlignment="1" applyProtection="1">
      <alignment horizontal="left" vertical="center" wrapText="1"/>
      <protection locked="0"/>
    </xf>
    <xf numFmtId="0" fontId="36" fillId="9" borderId="0" xfId="3" applyFont="1" applyFill="1" applyBorder="1" applyAlignment="1" applyProtection="1">
      <alignment horizontal="left" vertical="center" wrapText="1"/>
      <protection locked="0"/>
    </xf>
    <xf numFmtId="49" fontId="7" fillId="9" borderId="8" xfId="0" applyNumberFormat="1" applyFont="1" applyFill="1" applyBorder="1" applyProtection="1">
      <protection locked="0"/>
    </xf>
    <xf numFmtId="0" fontId="7" fillId="9" borderId="8" xfId="0" applyFont="1" applyFill="1" applyBorder="1" applyAlignment="1">
      <alignment vertical="top"/>
    </xf>
    <xf numFmtId="0" fontId="10" fillId="9" borderId="0" xfId="3" applyFont="1" applyFill="1" applyBorder="1" applyAlignment="1" applyProtection="1">
      <alignment horizontal="left" vertical="center" wrapText="1"/>
      <protection locked="0"/>
    </xf>
    <xf numFmtId="0" fontId="13" fillId="4" borderId="8" xfId="3" applyFont="1" applyFill="1" applyBorder="1">
      <alignment vertical="center"/>
    </xf>
    <xf numFmtId="0" fontId="0" fillId="0" borderId="1" xfId="0" applyBorder="1"/>
    <xf numFmtId="3" fontId="4" fillId="9" borderId="13" xfId="0" applyNumberFormat="1" applyFont="1" applyFill="1" applyBorder="1"/>
    <xf numFmtId="3" fontId="9" fillId="6" borderId="15" xfId="3" applyNumberFormat="1" applyFont="1" applyFill="1" applyBorder="1" applyProtection="1">
      <alignment vertical="center"/>
      <protection locked="0"/>
    </xf>
    <xf numFmtId="3" fontId="9" fillId="6" borderId="6" xfId="3" applyNumberFormat="1" applyFont="1" applyFill="1" applyBorder="1" applyProtection="1">
      <alignment vertical="center"/>
      <protection locked="0"/>
    </xf>
    <xf numFmtId="3" fontId="9" fillId="6" borderId="13" xfId="3" applyNumberFormat="1" applyFont="1" applyFill="1" applyBorder="1" applyProtection="1">
      <alignment vertical="center"/>
      <protection locked="0"/>
    </xf>
    <xf numFmtId="3" fontId="9" fillId="6" borderId="9" xfId="3" applyNumberFormat="1" applyFont="1" applyFill="1" applyBorder="1" applyProtection="1">
      <alignment vertical="center"/>
      <protection locked="0"/>
    </xf>
    <xf numFmtId="3" fontId="9" fillId="4" borderId="0" xfId="3" applyNumberFormat="1" applyFont="1" applyFill="1" applyBorder="1">
      <alignment vertical="center"/>
    </xf>
    <xf numFmtId="1" fontId="7" fillId="6" borderId="9" xfId="0" applyNumberFormat="1" applyFont="1" applyFill="1" applyBorder="1" applyProtection="1">
      <protection locked="0"/>
    </xf>
    <xf numFmtId="0" fontId="10" fillId="4" borderId="17" xfId="3" applyFont="1" applyFill="1" applyBorder="1" applyAlignment="1">
      <alignment vertical="center" wrapText="1"/>
    </xf>
    <xf numFmtId="0" fontId="36" fillId="9" borderId="17" xfId="3" applyFont="1" applyFill="1" applyBorder="1" applyAlignment="1" applyProtection="1">
      <alignment horizontal="left" vertical="center" wrapText="1"/>
      <protection locked="0"/>
    </xf>
    <xf numFmtId="0" fontId="7" fillId="9" borderId="17" xfId="0" applyFont="1" applyFill="1" applyBorder="1" applyAlignment="1">
      <alignment vertical="top" wrapText="1"/>
    </xf>
    <xf numFmtId="0" fontId="7" fillId="9" borderId="17" xfId="0" applyFont="1" applyFill="1" applyBorder="1" applyAlignment="1">
      <alignment vertical="top"/>
    </xf>
    <xf numFmtId="0" fontId="13" fillId="4" borderId="17" xfId="3" applyFont="1" applyFill="1" applyBorder="1">
      <alignment vertical="center"/>
    </xf>
    <xf numFmtId="1" fontId="7" fillId="6" borderId="13" xfId="0" applyNumberFormat="1" applyFont="1" applyFill="1" applyBorder="1" applyProtection="1">
      <protection locked="0"/>
    </xf>
    <xf numFmtId="0" fontId="7" fillId="9" borderId="17" xfId="3" applyFont="1" applyFill="1" applyBorder="1">
      <alignment vertical="center"/>
    </xf>
    <xf numFmtId="0" fontId="27" fillId="0" borderId="28" xfId="0" applyFont="1" applyBorder="1" applyAlignment="1">
      <alignment horizontal="center" vertical="center" wrapText="1"/>
    </xf>
    <xf numFmtId="0" fontId="13" fillId="8" borderId="16" xfId="3" applyFont="1" applyFill="1" applyBorder="1" applyAlignment="1">
      <alignment horizontal="center" vertical="center" wrapText="1"/>
    </xf>
    <xf numFmtId="0" fontId="7" fillId="20" borderId="7" xfId="0" applyFont="1" applyFill="1" applyBorder="1" applyAlignment="1">
      <alignment horizontal="left" vertical="center"/>
    </xf>
    <xf numFmtId="0" fontId="7" fillId="20" borderId="0" xfId="0" applyFont="1" applyFill="1" applyAlignment="1">
      <alignment vertical="top" wrapText="1"/>
    </xf>
    <xf numFmtId="49" fontId="7" fillId="20" borderId="15" xfId="0" applyNumberFormat="1" applyFont="1" applyFill="1" applyBorder="1" applyProtection="1">
      <protection locked="0"/>
    </xf>
    <xf numFmtId="49" fontId="7" fillId="20" borderId="13" xfId="0" applyNumberFormat="1" applyFont="1" applyFill="1" applyBorder="1" applyProtection="1">
      <protection locked="0"/>
    </xf>
    <xf numFmtId="49" fontId="7" fillId="20" borderId="9" xfId="0" applyNumberFormat="1" applyFont="1" applyFill="1" applyBorder="1" applyProtection="1">
      <protection locked="0"/>
    </xf>
    <xf numFmtId="0" fontId="10" fillId="9" borderId="0" xfId="0" applyFont="1" applyFill="1" applyAlignment="1">
      <alignment horizontal="left" vertical="center" wrapText="1" indent="5"/>
    </xf>
    <xf numFmtId="0" fontId="10" fillId="9" borderId="0" xfId="0" applyFont="1" applyFill="1" applyAlignment="1">
      <alignment horizontal="left" vertical="center" wrapText="1" indent="6"/>
    </xf>
    <xf numFmtId="0" fontId="7" fillId="9" borderId="0" xfId="0" applyFont="1" applyFill="1" applyAlignment="1">
      <alignment horizontal="left" vertical="center" wrapText="1" indent="7"/>
    </xf>
    <xf numFmtId="0" fontId="10" fillId="9" borderId="0" xfId="0" applyFont="1" applyFill="1" applyAlignment="1">
      <alignment horizontal="left" vertical="center" wrapText="1" indent="7"/>
    </xf>
    <xf numFmtId="0" fontId="7" fillId="9" borderId="0" xfId="0" applyFont="1" applyFill="1" applyAlignment="1">
      <alignment horizontal="left" vertical="center" wrapText="1" indent="6"/>
    </xf>
    <xf numFmtId="0" fontId="7" fillId="9" borderId="0" xfId="0" applyFont="1" applyFill="1" applyAlignment="1">
      <alignment horizontal="left" vertical="center" wrapText="1" indent="5"/>
    </xf>
    <xf numFmtId="0" fontId="10" fillId="9" borderId="0" xfId="0" applyFont="1" applyFill="1" applyAlignment="1">
      <alignment horizontal="left" vertical="center" wrapText="1" indent="4"/>
    </xf>
    <xf numFmtId="0" fontId="10" fillId="9" borderId="0" xfId="0" applyFont="1" applyFill="1" applyAlignment="1">
      <alignment horizontal="left" vertical="center" wrapText="1" indent="3"/>
    </xf>
    <xf numFmtId="0" fontId="7" fillId="9" borderId="0" xfId="0" applyFont="1" applyFill="1" applyAlignment="1">
      <alignment horizontal="left" vertical="center" wrapText="1" indent="4"/>
    </xf>
    <xf numFmtId="0" fontId="10" fillId="9" borderId="0" xfId="0" applyFont="1" applyFill="1" applyAlignment="1">
      <alignment horizontal="left" vertical="center" wrapText="1" indent="1"/>
    </xf>
    <xf numFmtId="0" fontId="7" fillId="9" borderId="0" xfId="0" applyFont="1" applyFill="1" applyAlignment="1">
      <alignment horizontal="left" vertical="center" indent="5"/>
    </xf>
    <xf numFmtId="165" fontId="9" fillId="6" borderId="15" xfId="3" applyNumberFormat="1" applyFont="1" applyFill="1" applyBorder="1" applyProtection="1">
      <alignment vertical="center"/>
      <protection locked="0"/>
    </xf>
    <xf numFmtId="165" fontId="9" fillId="0" borderId="15" xfId="3" applyNumberFormat="1" applyFont="1" applyFill="1" applyBorder="1" applyProtection="1">
      <alignment vertical="center"/>
      <protection locked="0"/>
    </xf>
    <xf numFmtId="3" fontId="7" fillId="4" borderId="6" xfId="3" applyNumberFormat="1" applyFont="1" applyFill="1" applyBorder="1">
      <alignment vertical="center"/>
    </xf>
    <xf numFmtId="3" fontId="9" fillId="4" borderId="29" xfId="3" applyNumberFormat="1" applyFont="1" applyFill="1" applyBorder="1">
      <alignment vertical="center"/>
    </xf>
    <xf numFmtId="3" fontId="7" fillId="4" borderId="9" xfId="3" applyNumberFormat="1" applyFont="1" applyFill="1" applyBorder="1">
      <alignment vertical="center"/>
    </xf>
    <xf numFmtId="0" fontId="9" fillId="4" borderId="9" xfId="3" applyFont="1" applyFill="1" applyBorder="1">
      <alignment vertical="center"/>
    </xf>
    <xf numFmtId="0" fontId="9" fillId="4" borderId="29" xfId="3" applyFont="1" applyFill="1" applyBorder="1">
      <alignment vertical="center"/>
    </xf>
    <xf numFmtId="0" fontId="2" fillId="13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center"/>
    </xf>
    <xf numFmtId="0" fontId="0" fillId="9" borderId="8" xfId="0" applyFill="1" applyBorder="1"/>
    <xf numFmtId="0" fontId="11" fillId="9" borderId="1" xfId="0" applyFont="1" applyFill="1" applyBorder="1" applyAlignment="1">
      <alignment horizontal="left" vertical="center"/>
    </xf>
    <xf numFmtId="0" fontId="11" fillId="9" borderId="0" xfId="0" applyFont="1" applyFill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 wrapText="1" indent="2"/>
    </xf>
    <xf numFmtId="0" fontId="10" fillId="9" borderId="0" xfId="3" applyFont="1" applyFill="1" applyBorder="1" applyAlignment="1">
      <alignment vertical="center" wrapText="1"/>
    </xf>
    <xf numFmtId="0" fontId="7" fillId="9" borderId="0" xfId="0" applyFont="1" applyFill="1" applyAlignment="1">
      <alignment horizontal="left" vertical="center" indent="4"/>
    </xf>
    <xf numFmtId="0" fontId="7" fillId="9" borderId="0" xfId="0" applyFont="1" applyFill="1" applyAlignment="1">
      <alignment horizontal="left" vertical="center" indent="6"/>
    </xf>
    <xf numFmtId="3" fontId="7" fillId="20" borderId="7" xfId="0" applyNumberFormat="1" applyFont="1" applyFill="1" applyBorder="1" applyAlignment="1">
      <alignment horizontal="left" vertical="center"/>
    </xf>
    <xf numFmtId="0" fontId="7" fillId="9" borderId="0" xfId="3" applyFont="1" applyFill="1" applyBorder="1" applyAlignment="1">
      <alignment horizontal="left" vertical="center"/>
    </xf>
    <xf numFmtId="0" fontId="10" fillId="9" borderId="0" xfId="3" applyFont="1" applyFill="1" applyBorder="1" applyAlignment="1">
      <alignment horizontal="left" vertical="center"/>
    </xf>
    <xf numFmtId="0" fontId="7" fillId="9" borderId="0" xfId="3" applyFont="1" applyFill="1" applyBorder="1" applyAlignment="1">
      <alignment horizontal="left" vertical="center" indent="1"/>
    </xf>
    <xf numFmtId="0" fontId="10" fillId="9" borderId="0" xfId="3" applyFont="1" applyFill="1" applyBorder="1" applyAlignment="1">
      <alignment horizontal="left" vertical="center" indent="1"/>
    </xf>
    <xf numFmtId="0" fontId="7" fillId="9" borderId="0" xfId="3" applyFont="1" applyFill="1" applyBorder="1" applyAlignment="1">
      <alignment horizontal="left" vertical="center" indent="2"/>
    </xf>
    <xf numFmtId="0" fontId="7" fillId="9" borderId="0" xfId="3" applyFont="1" applyFill="1" applyBorder="1" applyAlignment="1">
      <alignment horizontal="left" vertical="center" wrapText="1"/>
    </xf>
    <xf numFmtId="165" fontId="28" fillId="11" borderId="15" xfId="3" applyNumberFormat="1" applyFont="1" applyFill="1" applyBorder="1" applyProtection="1">
      <alignment vertical="center"/>
      <protection locked="0"/>
    </xf>
    <xf numFmtId="165" fontId="28" fillId="11" borderId="7" xfId="3" applyNumberFormat="1" applyFont="1" applyFill="1" applyBorder="1" applyProtection="1">
      <alignment vertical="center"/>
      <protection locked="0"/>
    </xf>
    <xf numFmtId="165" fontId="28" fillId="11" borderId="6" xfId="3" applyNumberFormat="1" applyFont="1" applyFill="1" applyBorder="1" applyProtection="1">
      <alignment vertical="center"/>
      <protection locked="0"/>
    </xf>
    <xf numFmtId="165" fontId="28" fillId="12" borderId="15" xfId="3" applyNumberFormat="1" applyFont="1" applyFill="1" applyBorder="1" applyProtection="1">
      <alignment vertical="center"/>
      <protection locked="0"/>
    </xf>
    <xf numFmtId="165" fontId="28" fillId="12" borderId="7" xfId="3" applyNumberFormat="1" applyFont="1" applyFill="1" applyBorder="1" applyProtection="1">
      <alignment vertical="center"/>
      <protection locked="0"/>
    </xf>
    <xf numFmtId="3" fontId="37" fillId="5" borderId="7" xfId="0" applyNumberFormat="1" applyFont="1" applyFill="1" applyBorder="1"/>
    <xf numFmtId="3" fontId="7" fillId="6" borderId="7" xfId="0" applyNumberFormat="1" applyFont="1" applyFill="1" applyBorder="1" applyAlignment="1">
      <alignment horizontal="left" vertical="center"/>
    </xf>
    <xf numFmtId="3" fontId="6" fillId="6" borderId="7" xfId="0" applyNumberFormat="1" applyFont="1" applyFill="1" applyBorder="1" applyAlignment="1">
      <alignment horizontal="right" vertical="center"/>
    </xf>
    <xf numFmtId="166" fontId="7" fillId="6" borderId="15" xfId="0" applyNumberFormat="1" applyFont="1" applyFill="1" applyBorder="1" applyProtection="1">
      <protection locked="0"/>
    </xf>
    <xf numFmtId="166" fontId="7" fillId="6" borderId="13" xfId="0" applyNumberFormat="1" applyFont="1" applyFill="1" applyBorder="1" applyProtection="1">
      <protection locked="0"/>
    </xf>
    <xf numFmtId="166" fontId="7" fillId="6" borderId="9" xfId="0" applyNumberFormat="1" applyFont="1" applyFill="1" applyBorder="1" applyProtection="1">
      <protection locked="0"/>
    </xf>
    <xf numFmtId="0" fontId="40" fillId="9" borderId="0" xfId="3" applyFont="1" applyFill="1" applyBorder="1" applyAlignment="1">
      <alignment horizontal="left" vertical="center"/>
    </xf>
    <xf numFmtId="165" fontId="9" fillId="7" borderId="15" xfId="3" applyNumberFormat="1" applyFont="1" applyFill="1" applyBorder="1" applyProtection="1">
      <alignment vertical="center"/>
      <protection locked="0"/>
    </xf>
    <xf numFmtId="165" fontId="9" fillId="7" borderId="29" xfId="3" applyNumberFormat="1" applyFont="1" applyFill="1" applyBorder="1" applyProtection="1">
      <alignment vertical="center"/>
      <protection locked="0"/>
    </xf>
    <xf numFmtId="165" fontId="9" fillId="7" borderId="7" xfId="3" applyNumberFormat="1" applyFont="1" applyFill="1" applyBorder="1" applyProtection="1">
      <alignment vertical="center"/>
      <protection locked="0"/>
    </xf>
    <xf numFmtId="3" fontId="34" fillId="5" borderId="7" xfId="0" applyNumberFormat="1" applyFont="1" applyFill="1" applyBorder="1" applyAlignment="1">
      <alignment vertical="center"/>
    </xf>
    <xf numFmtId="3" fontId="34" fillId="5" borderId="9" xfId="0" applyNumberFormat="1" applyFont="1" applyFill="1" applyBorder="1" applyAlignment="1">
      <alignment vertical="center"/>
    </xf>
    <xf numFmtId="3" fontId="10" fillId="11" borderId="7" xfId="0" applyNumberFormat="1" applyFont="1" applyFill="1" applyBorder="1" applyAlignment="1">
      <alignment vertical="center"/>
    </xf>
    <xf numFmtId="3" fontId="3" fillId="5" borderId="7" xfId="0" applyNumberFormat="1" applyFont="1" applyFill="1" applyBorder="1"/>
    <xf numFmtId="3" fontId="35" fillId="0" borderId="7" xfId="0" applyNumberFormat="1" applyFont="1" applyBorder="1" applyAlignment="1">
      <alignment vertical="center"/>
    </xf>
    <xf numFmtId="3" fontId="10" fillId="9" borderId="0" xfId="3" applyNumberFormat="1" applyFont="1" applyFill="1" applyBorder="1">
      <alignment vertical="center"/>
    </xf>
    <xf numFmtId="0" fontId="11" fillId="9" borderId="12" xfId="0" applyFont="1" applyFill="1" applyBorder="1" applyAlignment="1">
      <alignment horizontal="left" vertical="center"/>
    </xf>
    <xf numFmtId="0" fontId="11" fillId="9" borderId="2" xfId="0" applyFont="1" applyFill="1" applyBorder="1" applyAlignment="1">
      <alignment horizontal="left" vertical="center"/>
    </xf>
    <xf numFmtId="0" fontId="13" fillId="9" borderId="2" xfId="0" applyFont="1" applyFill="1" applyBorder="1" applyAlignment="1">
      <alignment horizontal="left" vertical="center"/>
    </xf>
    <xf numFmtId="0" fontId="5" fillId="9" borderId="2" xfId="0" applyFont="1" applyFill="1" applyBorder="1" applyAlignment="1">
      <alignment wrapText="1"/>
    </xf>
    <xf numFmtId="0" fontId="7" fillId="9" borderId="2" xfId="0" applyFont="1" applyFill="1" applyBorder="1" applyAlignment="1">
      <alignment horizontal="left" vertical="center"/>
    </xf>
    <xf numFmtId="0" fontId="9" fillId="9" borderId="0" xfId="2" applyFont="1" applyFill="1" applyBorder="1" applyAlignment="1">
      <alignment horizontal="left" vertical="center"/>
    </xf>
    <xf numFmtId="0" fontId="38" fillId="9" borderId="1" xfId="0" applyFont="1" applyFill="1" applyBorder="1" applyAlignment="1">
      <alignment horizontal="left" vertical="center"/>
    </xf>
    <xf numFmtId="0" fontId="38" fillId="9" borderId="0" xfId="0" applyFont="1" applyFill="1" applyAlignment="1">
      <alignment horizontal="left" vertical="center"/>
    </xf>
    <xf numFmtId="0" fontId="39" fillId="9" borderId="0" xfId="0" applyFont="1" applyFill="1" applyAlignment="1">
      <alignment horizontal="left" vertical="center"/>
    </xf>
    <xf numFmtId="0" fontId="36" fillId="9" borderId="0" xfId="0" applyFont="1" applyFill="1" applyAlignment="1">
      <alignment horizontal="left" vertical="center"/>
    </xf>
    <xf numFmtId="0" fontId="11" fillId="9" borderId="0" xfId="0" quotePrefix="1" applyFont="1" applyFill="1" applyAlignment="1">
      <alignment horizontal="left" vertical="center"/>
    </xf>
    <xf numFmtId="0" fontId="11" fillId="9" borderId="4" xfId="0" applyFont="1" applyFill="1" applyBorder="1" applyAlignment="1">
      <alignment horizontal="left" vertical="center"/>
    </xf>
    <xf numFmtId="0" fontId="11" fillId="9" borderId="5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7" fillId="9" borderId="5" xfId="0" applyFont="1" applyFill="1" applyBorder="1" applyAlignment="1">
      <alignment horizontal="left" vertical="center"/>
    </xf>
    <xf numFmtId="0" fontId="12" fillId="9" borderId="5" xfId="0" applyFont="1" applyFill="1" applyBorder="1" applyAlignment="1">
      <alignment horizontal="left" vertical="center"/>
    </xf>
    <xf numFmtId="0" fontId="28" fillId="11" borderId="15" xfId="3" applyNumberFormat="1" applyFont="1" applyFill="1" applyBorder="1" applyProtection="1">
      <alignment vertical="center"/>
      <protection locked="0"/>
    </xf>
    <xf numFmtId="0" fontId="28" fillId="11" borderId="9" xfId="3" applyNumberFormat="1" applyFont="1" applyFill="1" applyBorder="1" applyProtection="1">
      <alignment vertical="center"/>
      <protection locked="0"/>
    </xf>
    <xf numFmtId="0" fontId="9" fillId="4" borderId="30" xfId="3" applyFont="1" applyFill="1" applyBorder="1">
      <alignment vertical="center"/>
    </xf>
    <xf numFmtId="0" fontId="10" fillId="4" borderId="0" xfId="3" applyFont="1" applyFill="1" applyBorder="1" applyAlignment="1">
      <alignment horizontal="left" vertical="center" wrapText="1" indent="1"/>
    </xf>
    <xf numFmtId="0" fontId="7" fillId="4" borderId="0" xfId="3" applyFont="1" applyFill="1" applyBorder="1" applyAlignment="1">
      <alignment horizontal="left" vertical="center" wrapText="1" indent="2"/>
    </xf>
    <xf numFmtId="0" fontId="10" fillId="4" borderId="0" xfId="3" applyFont="1" applyFill="1" applyBorder="1" applyAlignment="1">
      <alignment horizontal="left" vertical="center" wrapText="1" indent="2"/>
    </xf>
    <xf numFmtId="0" fontId="28" fillId="4" borderId="24" xfId="3" applyFont="1" applyFill="1" applyBorder="1">
      <alignment vertical="center"/>
    </xf>
    <xf numFmtId="0" fontId="9" fillId="4" borderId="8" xfId="3" applyFont="1" applyFill="1" applyBorder="1">
      <alignment vertical="center"/>
    </xf>
    <xf numFmtId="0" fontId="29" fillId="21" borderId="0" xfId="4" applyFill="1" applyBorder="1" applyAlignment="1">
      <alignment horizontal="left" vertical="center"/>
    </xf>
    <xf numFmtId="0" fontId="29" fillId="16" borderId="0" xfId="4" applyFill="1" applyBorder="1" applyAlignment="1">
      <alignment horizontal="left" vertical="center"/>
    </xf>
    <xf numFmtId="0" fontId="29" fillId="13" borderId="0" xfId="4" applyFill="1" applyBorder="1" applyAlignment="1">
      <alignment horizontal="left" vertical="center"/>
    </xf>
    <xf numFmtId="164" fontId="4" fillId="0" borderId="7" xfId="0" applyNumberFormat="1" applyFont="1" applyBorder="1"/>
    <xf numFmtId="164" fontId="10" fillId="5" borderId="7" xfId="3" applyNumberFormat="1" applyFont="1" applyFill="1" applyBorder="1">
      <alignment vertical="center"/>
    </xf>
    <xf numFmtId="0" fontId="7" fillId="20" borderId="16" xfId="3" applyFont="1" applyFill="1" applyBorder="1">
      <alignment vertical="center"/>
    </xf>
    <xf numFmtId="0" fontId="29" fillId="15" borderId="0" xfId="4" applyNumberFormat="1" applyFill="1" applyBorder="1" applyAlignment="1">
      <alignment horizontal="left" vertical="center" wrapText="1"/>
    </xf>
    <xf numFmtId="0" fontId="29" fillId="16" borderId="0" xfId="4" applyNumberFormat="1" applyFill="1" applyBorder="1" applyAlignment="1">
      <alignment horizontal="left" vertical="center" wrapText="1"/>
    </xf>
    <xf numFmtId="0" fontId="29" fillId="22" borderId="0" xfId="4" applyNumberFormat="1" applyFill="1" applyBorder="1" applyAlignment="1">
      <alignment horizontal="left" vertical="center"/>
    </xf>
    <xf numFmtId="0" fontId="7" fillId="9" borderId="0" xfId="0" applyFont="1" applyFill="1" applyAlignment="1">
      <alignment horizontal="left" vertical="center" wrapText="1" indent="3"/>
    </xf>
    <xf numFmtId="0" fontId="6" fillId="9" borderId="0" xfId="0" applyFont="1" applyFill="1" applyAlignment="1">
      <alignment horizontal="left" vertical="center" wrapText="1" indent="5"/>
    </xf>
    <xf numFmtId="0" fontId="5" fillId="9" borderId="0" xfId="0" applyFont="1" applyFill="1" applyAlignment="1">
      <alignment horizontal="left" vertical="center" wrapText="1" indent="5"/>
    </xf>
    <xf numFmtId="0" fontId="13" fillId="0" borderId="0" xfId="0" applyFont="1"/>
    <xf numFmtId="0" fontId="11" fillId="4" borderId="4" xfId="0" applyFont="1" applyFill="1" applyBorder="1"/>
    <xf numFmtId="0" fontId="11" fillId="4" borderId="5" xfId="0" applyFont="1" applyFill="1" applyBorder="1"/>
    <xf numFmtId="0" fontId="11" fillId="0" borderId="0" xfId="0" applyFont="1"/>
    <xf numFmtId="0" fontId="38" fillId="4" borderId="1" xfId="0" applyFont="1" applyFill="1" applyBorder="1" applyAlignment="1">
      <alignment horizontal="left" vertical="center"/>
    </xf>
    <xf numFmtId="0" fontId="38" fillId="4" borderId="0" xfId="0" applyFont="1" applyFill="1" applyAlignment="1">
      <alignment horizontal="left" vertical="center"/>
    </xf>
    <xf numFmtId="0" fontId="7" fillId="23" borderId="0" xfId="3" applyFont="1" applyFill="1" applyBorder="1">
      <alignment vertical="center"/>
    </xf>
    <xf numFmtId="3" fontId="28" fillId="11" borderId="7" xfId="3" applyNumberFormat="1" applyFont="1" applyFill="1" applyBorder="1" applyProtection="1">
      <alignment vertical="center"/>
      <protection locked="0"/>
    </xf>
    <xf numFmtId="3" fontId="28" fillId="11" borderId="6" xfId="3" applyNumberFormat="1" applyFont="1" applyFill="1" applyBorder="1" applyProtection="1">
      <alignment vertical="center"/>
      <protection locked="0"/>
    </xf>
    <xf numFmtId="3" fontId="28" fillId="11" borderId="15" xfId="3" applyNumberFormat="1" applyFont="1" applyFill="1" applyBorder="1" applyProtection="1">
      <alignment vertical="center"/>
      <protection locked="0"/>
    </xf>
    <xf numFmtId="0" fontId="40" fillId="9" borderId="0" xfId="3" applyFont="1" applyFill="1" applyBorder="1" applyAlignment="1">
      <alignment horizontal="left" vertical="center" indent="1"/>
    </xf>
    <xf numFmtId="0" fontId="29" fillId="17" borderId="0" xfId="4" applyNumberFormat="1" applyFill="1" applyBorder="1" applyAlignment="1">
      <alignment horizontal="left" vertical="center" indent="4"/>
    </xf>
    <xf numFmtId="0" fontId="21" fillId="24" borderId="13" xfId="1" applyNumberFormat="1" applyFont="1" applyFill="1" applyBorder="1" applyAlignment="1">
      <alignment horizontal="center" vertical="center" wrapText="1"/>
    </xf>
    <xf numFmtId="0" fontId="42" fillId="24" borderId="9" xfId="1" applyNumberFormat="1" applyFont="1" applyFill="1" applyBorder="1" applyAlignment="1">
      <alignment horizontal="center" vertical="center" wrapText="1"/>
    </xf>
    <xf numFmtId="0" fontId="7" fillId="9" borderId="1" xfId="3" applyFont="1" applyFill="1" applyBorder="1" applyAlignment="1">
      <alignment horizontal="left" vertical="center"/>
    </xf>
    <xf numFmtId="0" fontId="42" fillId="24" borderId="7" xfId="1" applyNumberFormat="1" applyFont="1" applyFill="1" applyBorder="1" applyAlignment="1">
      <alignment horizontal="center" vertical="center" wrapText="1"/>
    </xf>
    <xf numFmtId="0" fontId="7" fillId="25" borderId="0" xfId="0" applyFont="1" applyFill="1" applyAlignment="1">
      <alignment horizontal="left" vertical="center"/>
    </xf>
    <xf numFmtId="0" fontId="7" fillId="25" borderId="0" xfId="0" applyFont="1" applyFill="1" applyAlignment="1">
      <alignment horizontal="left" vertical="center" wrapText="1"/>
    </xf>
    <xf numFmtId="0" fontId="11" fillId="25" borderId="0" xfId="0" applyFont="1" applyFill="1" applyAlignment="1">
      <alignment horizontal="left" vertical="center"/>
    </xf>
    <xf numFmtId="0" fontId="0" fillId="25" borderId="10" xfId="0" applyFill="1" applyBorder="1"/>
    <xf numFmtId="0" fontId="15" fillId="25" borderId="9" xfId="0" applyFont="1" applyFill="1" applyBorder="1"/>
    <xf numFmtId="3" fontId="2" fillId="26" borderId="7" xfId="0" applyNumberFormat="1" applyFont="1" applyFill="1" applyBorder="1" applyProtection="1">
      <protection locked="0"/>
    </xf>
    <xf numFmtId="3" fontId="10" fillId="0" borderId="7" xfId="3" applyNumberFormat="1" applyFont="1" applyFill="1" applyBorder="1">
      <alignment vertical="center"/>
    </xf>
    <xf numFmtId="3" fontId="6" fillId="0" borderId="7" xfId="0" applyNumberFormat="1" applyFont="1" applyBorder="1" applyProtection="1">
      <protection locked="0"/>
    </xf>
    <xf numFmtId="3" fontId="4" fillId="26" borderId="7" xfId="0" applyNumberFormat="1" applyFont="1" applyFill="1" applyBorder="1"/>
    <xf numFmtId="3" fontId="35" fillId="5" borderId="7" xfId="0" applyNumberFormat="1" applyFont="1" applyFill="1" applyBorder="1" applyAlignment="1" applyProtection="1">
      <alignment vertical="center"/>
      <protection locked="0"/>
    </xf>
    <xf numFmtId="3" fontId="7" fillId="6" borderId="7" xfId="3" applyNumberFormat="1" applyFont="1" applyFill="1" applyBorder="1">
      <alignment vertical="center"/>
    </xf>
    <xf numFmtId="0" fontId="43" fillId="0" borderId="0" xfId="0" applyFont="1"/>
    <xf numFmtId="0" fontId="44" fillId="0" borderId="0" xfId="0" applyFont="1"/>
    <xf numFmtId="0" fontId="45" fillId="0" borderId="0" xfId="0" applyFont="1"/>
  </cellXfs>
  <cellStyles count="6">
    <cellStyle name="60% - akcent 1" xfId="1" xr:uid="{00000000-0005-0000-0000-000000000000}"/>
    <cellStyle name="Hipervínculo" xfId="4" builtinId="8"/>
    <cellStyle name="Hipervínculo 3" xfId="5" xr:uid="{00000000-0005-0000-0000-000002000000}"/>
    <cellStyle name="Normal" xfId="0" builtinId="0"/>
    <cellStyle name="Normal 10" xfId="2" xr:uid="{00000000-0005-0000-0000-000004000000}"/>
    <cellStyle name="Normal 12" xfId="3" xr:uid="{00000000-0005-0000-0000-000005000000}"/>
  </cellStyles>
  <dxfs count="10"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1971675</xdr:colOff>
      <xdr:row>0</xdr:row>
      <xdr:rowOff>809625</xdr:rowOff>
    </xdr:to>
    <xdr:pic>
      <xdr:nvPicPr>
        <xdr:cNvPr id="2" name="4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6550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2333625</xdr:colOff>
      <xdr:row>0</xdr:row>
      <xdr:rowOff>83608</xdr:rowOff>
    </xdr:from>
    <xdr:to>
      <xdr:col>5</xdr:col>
      <xdr:colOff>5942029</xdr:colOff>
      <xdr:row>1</xdr:row>
      <xdr:rowOff>10108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238500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123825</xdr:colOff>
      <xdr:row>0</xdr:row>
      <xdr:rowOff>1000124</xdr:rowOff>
    </xdr:from>
    <xdr:to>
      <xdr:col>5</xdr:col>
      <xdr:colOff>479925</xdr:colOff>
      <xdr:row>1</xdr:row>
      <xdr:rowOff>98624</xdr:rowOff>
    </xdr:to>
    <xdr:sp macro="[0]!Guarda_Hojas_CSV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4800" y="1000124"/>
          <a:ext cx="1080000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647700</xdr:colOff>
      <xdr:row>0</xdr:row>
      <xdr:rowOff>1000124</xdr:rowOff>
    </xdr:from>
    <xdr:to>
      <xdr:col>5</xdr:col>
      <xdr:colOff>1727700</xdr:colOff>
      <xdr:row>1</xdr:row>
      <xdr:rowOff>98624</xdr:rowOff>
    </xdr:to>
    <xdr:sp macro="[0]!Guarda_Hojas_ZIP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52575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137580</xdr:rowOff>
    </xdr:from>
    <xdr:to>
      <xdr:col>5</xdr:col>
      <xdr:colOff>658018</xdr:colOff>
      <xdr:row>0</xdr:row>
      <xdr:rowOff>518580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1950" y="137580"/>
          <a:ext cx="1353343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4754563</xdr:colOff>
      <xdr:row>0</xdr:row>
      <xdr:rowOff>149486</xdr:rowOff>
    </xdr:from>
    <xdr:to>
      <xdr:col>6</xdr:col>
      <xdr:colOff>355865</xdr:colOff>
      <xdr:row>0</xdr:row>
      <xdr:rowOff>542392</xdr:rowOff>
    </xdr:to>
    <xdr:sp macro="[0]!Copiar_columna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/>
        </xdr:cNvSpPr>
      </xdr:nvSpPr>
      <xdr:spPr>
        <a:xfrm>
          <a:off x="5811838" y="149486"/>
          <a:ext cx="1649677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823119</xdr:colOff>
      <xdr:row>0</xdr:row>
      <xdr:rowOff>137579</xdr:rowOff>
    </xdr:from>
    <xdr:to>
      <xdr:col>5</xdr:col>
      <xdr:colOff>1843352</xdr:colOff>
      <xdr:row>0</xdr:row>
      <xdr:rowOff>530485</xdr:rowOff>
    </xdr:to>
    <xdr:sp macro="[0]!Guarda_Hojas_ZIP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80394" y="137579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6</xdr:col>
      <xdr:colOff>1227666</xdr:colOff>
      <xdr:row>1</xdr:row>
      <xdr:rowOff>572554</xdr:rowOff>
    </xdr:from>
    <xdr:to>
      <xdr:col>9</xdr:col>
      <xdr:colOff>1164167</xdr:colOff>
      <xdr:row>1</xdr:row>
      <xdr:rowOff>1244907</xdr:rowOff>
    </xdr:to>
    <xdr:sp macro="" textlink="">
      <xdr:nvSpPr>
        <xdr:cNvPr id="5" name="5 Rectángulo redondead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339666" y="1271054"/>
          <a:ext cx="4095751" cy="67235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7</xdr:col>
      <xdr:colOff>181473</xdr:colOff>
      <xdr:row>1</xdr:row>
      <xdr:rowOff>1323349</xdr:rowOff>
    </xdr:from>
    <xdr:to>
      <xdr:col>7</xdr:col>
      <xdr:colOff>528856</xdr:colOff>
      <xdr:row>1</xdr:row>
      <xdr:rowOff>2242231</xdr:rowOff>
    </xdr:to>
    <xdr:sp macro="" textlink="">
      <xdr:nvSpPr>
        <xdr:cNvPr id="7" name="8 Flecha abaj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049123" y="2018674"/>
          <a:ext cx="347383" cy="918882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9</xdr:col>
      <xdr:colOff>587873</xdr:colOff>
      <xdr:row>1</xdr:row>
      <xdr:rowOff>1436591</xdr:rowOff>
    </xdr:from>
    <xdr:to>
      <xdr:col>9</xdr:col>
      <xdr:colOff>935256</xdr:colOff>
      <xdr:row>2</xdr:row>
      <xdr:rowOff>111806</xdr:rowOff>
    </xdr:to>
    <xdr:sp macro="" textlink="">
      <xdr:nvSpPr>
        <xdr:cNvPr id="9" name="8 Flecha abajo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859123" y="2135091"/>
          <a:ext cx="347383" cy="918882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114301</xdr:rowOff>
    </xdr:from>
    <xdr:to>
      <xdr:col>5</xdr:col>
      <xdr:colOff>661193</xdr:colOff>
      <xdr:row>0</xdr:row>
      <xdr:rowOff>495301</xdr:rowOff>
    </xdr:to>
    <xdr:sp macro="[0]!Guarda_Hojas_CSV" textlink="">
      <xdr:nvSpPr>
        <xdr:cNvPr id="2" name="4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61950" y="114301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4757738</xdr:colOff>
      <xdr:row>0</xdr:row>
      <xdr:rowOff>126207</xdr:rowOff>
    </xdr:from>
    <xdr:to>
      <xdr:col>6</xdr:col>
      <xdr:colOff>364332</xdr:colOff>
      <xdr:row>0</xdr:row>
      <xdr:rowOff>519113</xdr:rowOff>
    </xdr:to>
    <xdr:sp macro="[0]!Copiar_columna" textlink="">
      <xdr:nvSpPr>
        <xdr:cNvPr id="3" name="5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/>
        </xdr:cNvSpPr>
      </xdr:nvSpPr>
      <xdr:spPr>
        <a:xfrm>
          <a:off x="5815013" y="126207"/>
          <a:ext cx="1654969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826294</xdr:colOff>
      <xdr:row>0</xdr:row>
      <xdr:rowOff>114300</xdr:rowOff>
    </xdr:from>
    <xdr:to>
      <xdr:col>5</xdr:col>
      <xdr:colOff>1846527</xdr:colOff>
      <xdr:row>0</xdr:row>
      <xdr:rowOff>507206</xdr:rowOff>
    </xdr:to>
    <xdr:sp macro="[0]!Guarda_Hojas_ZIP" textlink="">
      <xdr:nvSpPr>
        <xdr:cNvPr id="4" name="6 Rectángulo redondead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883569" y="114300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133351</xdr:rowOff>
    </xdr:from>
    <xdr:to>
      <xdr:col>5</xdr:col>
      <xdr:colOff>670718</xdr:colOff>
      <xdr:row>0</xdr:row>
      <xdr:rowOff>514351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1475" y="133351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4767263</xdr:colOff>
      <xdr:row>0</xdr:row>
      <xdr:rowOff>145257</xdr:rowOff>
    </xdr:from>
    <xdr:to>
      <xdr:col>6</xdr:col>
      <xdr:colOff>373857</xdr:colOff>
      <xdr:row>0</xdr:row>
      <xdr:rowOff>538163</xdr:rowOff>
    </xdr:to>
    <xdr:sp macro="[0]!Copiar_columna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/>
        </xdr:cNvSpPr>
      </xdr:nvSpPr>
      <xdr:spPr>
        <a:xfrm>
          <a:off x="5824538" y="145257"/>
          <a:ext cx="1654969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835819</xdr:colOff>
      <xdr:row>0</xdr:row>
      <xdr:rowOff>133350</xdr:rowOff>
    </xdr:from>
    <xdr:to>
      <xdr:col>5</xdr:col>
      <xdr:colOff>1856052</xdr:colOff>
      <xdr:row>0</xdr:row>
      <xdr:rowOff>526256</xdr:rowOff>
    </xdr:to>
    <xdr:sp macro="[0]!Guarda_Hojas_ZIP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93094" y="133350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199465</xdr:colOff>
      <xdr:row>1</xdr:row>
      <xdr:rowOff>1322295</xdr:rowOff>
    </xdr:from>
    <xdr:to>
      <xdr:col>7</xdr:col>
      <xdr:colOff>546848</xdr:colOff>
      <xdr:row>1</xdr:row>
      <xdr:rowOff>2241177</xdr:rowOff>
    </xdr:to>
    <xdr:sp macro="" textlink="">
      <xdr:nvSpPr>
        <xdr:cNvPr id="5" name="4 Flecha abaj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067115" y="2017620"/>
          <a:ext cx="347383" cy="918882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457200</xdr:colOff>
      <xdr:row>1</xdr:row>
      <xdr:rowOff>571500</xdr:rowOff>
    </xdr:from>
    <xdr:to>
      <xdr:col>8</xdr:col>
      <xdr:colOff>401171</xdr:colOff>
      <xdr:row>1</xdr:row>
      <xdr:rowOff>1243853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562850" y="1266825"/>
          <a:ext cx="1467971" cy="67235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4757738</xdr:colOff>
      <xdr:row>0</xdr:row>
      <xdr:rowOff>154782</xdr:rowOff>
    </xdr:from>
    <xdr:to>
      <xdr:col>6</xdr:col>
      <xdr:colOff>364332</xdr:colOff>
      <xdr:row>0</xdr:row>
      <xdr:rowOff>547688</xdr:rowOff>
    </xdr:to>
    <xdr:sp macro="[0]!Copiar_columna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/>
        </xdr:cNvSpPr>
      </xdr:nvSpPr>
      <xdr:spPr>
        <a:xfrm>
          <a:off x="5815013" y="154782"/>
          <a:ext cx="1654969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189940</xdr:colOff>
      <xdr:row>1</xdr:row>
      <xdr:rowOff>1331820</xdr:rowOff>
    </xdr:from>
    <xdr:to>
      <xdr:col>7</xdr:col>
      <xdr:colOff>537323</xdr:colOff>
      <xdr:row>2</xdr:row>
      <xdr:rowOff>2802</xdr:rowOff>
    </xdr:to>
    <xdr:sp macro="" textlink="">
      <xdr:nvSpPr>
        <xdr:cNvPr id="10" name="9 Flecha abaj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8057590" y="2027145"/>
          <a:ext cx="347383" cy="918882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447675</xdr:colOff>
      <xdr:row>1</xdr:row>
      <xdr:rowOff>581025</xdr:rowOff>
    </xdr:from>
    <xdr:to>
      <xdr:col>8</xdr:col>
      <xdr:colOff>391646</xdr:colOff>
      <xdr:row>1</xdr:row>
      <xdr:rowOff>1253378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7553325" y="1276350"/>
          <a:ext cx="1467971" cy="67235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4757738</xdr:colOff>
      <xdr:row>0</xdr:row>
      <xdr:rowOff>154782</xdr:rowOff>
    </xdr:from>
    <xdr:to>
      <xdr:col>6</xdr:col>
      <xdr:colOff>364332</xdr:colOff>
      <xdr:row>0</xdr:row>
      <xdr:rowOff>547688</xdr:rowOff>
    </xdr:to>
    <xdr:sp macro="[0]!Copiar_columna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/>
        </xdr:cNvSpPr>
      </xdr:nvSpPr>
      <xdr:spPr>
        <a:xfrm>
          <a:off x="5815013" y="154782"/>
          <a:ext cx="1654969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207931</xdr:colOff>
      <xdr:row>1</xdr:row>
      <xdr:rowOff>1258794</xdr:rowOff>
    </xdr:from>
    <xdr:to>
      <xdr:col>7</xdr:col>
      <xdr:colOff>555314</xdr:colOff>
      <xdr:row>1</xdr:row>
      <xdr:rowOff>2177676</xdr:rowOff>
    </xdr:to>
    <xdr:sp macro="" textlink="">
      <xdr:nvSpPr>
        <xdr:cNvPr id="5" name="4 Flecha abajo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8081931" y="1957294"/>
          <a:ext cx="347383" cy="918882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465666</xdr:colOff>
      <xdr:row>1</xdr:row>
      <xdr:rowOff>507999</xdr:rowOff>
    </xdr:from>
    <xdr:to>
      <xdr:col>8</xdr:col>
      <xdr:colOff>409637</xdr:colOff>
      <xdr:row>1</xdr:row>
      <xdr:rowOff>1180352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577666" y="1206499"/>
          <a:ext cx="1467971" cy="67235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137580</xdr:rowOff>
    </xdr:from>
    <xdr:to>
      <xdr:col>5</xdr:col>
      <xdr:colOff>658018</xdr:colOff>
      <xdr:row>0</xdr:row>
      <xdr:rowOff>518580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59833" y="137580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4754563</xdr:colOff>
      <xdr:row>0</xdr:row>
      <xdr:rowOff>149486</xdr:rowOff>
    </xdr:from>
    <xdr:to>
      <xdr:col>6</xdr:col>
      <xdr:colOff>355865</xdr:colOff>
      <xdr:row>0</xdr:row>
      <xdr:rowOff>542392</xdr:rowOff>
    </xdr:to>
    <xdr:sp macro="[0]!Copiar_columna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/>
        </xdr:cNvSpPr>
      </xdr:nvSpPr>
      <xdr:spPr>
        <a:xfrm>
          <a:off x="5812896" y="149486"/>
          <a:ext cx="1654969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823119</xdr:colOff>
      <xdr:row>0</xdr:row>
      <xdr:rowOff>137579</xdr:rowOff>
    </xdr:from>
    <xdr:to>
      <xdr:col>5</xdr:col>
      <xdr:colOff>1843352</xdr:colOff>
      <xdr:row>0</xdr:row>
      <xdr:rowOff>530485</xdr:rowOff>
    </xdr:to>
    <xdr:sp macro="[0]!Guarda_Hojas_ZIP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881452" y="137579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6</xdr:col>
      <xdr:colOff>439208</xdr:colOff>
      <xdr:row>1</xdr:row>
      <xdr:rowOff>572554</xdr:rowOff>
    </xdr:from>
    <xdr:to>
      <xdr:col>8</xdr:col>
      <xdr:colOff>383179</xdr:colOff>
      <xdr:row>1</xdr:row>
      <xdr:rowOff>1244907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7551208" y="1271054"/>
          <a:ext cx="1467971" cy="67235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9</xdr:col>
      <xdr:colOff>439208</xdr:colOff>
      <xdr:row>1</xdr:row>
      <xdr:rowOff>572554</xdr:rowOff>
    </xdr:from>
    <xdr:to>
      <xdr:col>10</xdr:col>
      <xdr:colOff>383179</xdr:colOff>
      <xdr:row>1</xdr:row>
      <xdr:rowOff>1244907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7551208" y="1271054"/>
          <a:ext cx="1467971" cy="67235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7</xdr:col>
      <xdr:colOff>181473</xdr:colOff>
      <xdr:row>1</xdr:row>
      <xdr:rowOff>1323349</xdr:rowOff>
    </xdr:from>
    <xdr:to>
      <xdr:col>7</xdr:col>
      <xdr:colOff>528856</xdr:colOff>
      <xdr:row>1</xdr:row>
      <xdr:rowOff>2242231</xdr:rowOff>
    </xdr:to>
    <xdr:sp macro="" textlink="">
      <xdr:nvSpPr>
        <xdr:cNvPr id="9" name="8 Flecha abaj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8817473" y="2021849"/>
          <a:ext cx="347383" cy="918882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5 Rectángulo redondeado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 editAs="absolute">
    <xdr:from>
      <xdr:col>5</xdr:col>
      <xdr:colOff>5098677</xdr:colOff>
      <xdr:row>0</xdr:row>
      <xdr:rowOff>112059</xdr:rowOff>
    </xdr:from>
    <xdr:to>
      <xdr:col>6</xdr:col>
      <xdr:colOff>707762</xdr:colOff>
      <xdr:row>0</xdr:row>
      <xdr:rowOff>504965</xdr:rowOff>
    </xdr:to>
    <xdr:sp macro="[0]!Copiar_columna" textlink="">
      <xdr:nvSpPr>
        <xdr:cNvPr id="4" name="7 Rectángulo redondeado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/>
        </xdr:cNvSpPr>
      </xdr:nvSpPr>
      <xdr:spPr>
        <a:xfrm>
          <a:off x="6152030" y="112059"/>
          <a:ext cx="1660261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7</xdr:col>
      <xdr:colOff>157287</xdr:colOff>
      <xdr:row>1</xdr:row>
      <xdr:rowOff>1219806</xdr:rowOff>
    </xdr:from>
    <xdr:to>
      <xdr:col>7</xdr:col>
      <xdr:colOff>504670</xdr:colOff>
      <xdr:row>1</xdr:row>
      <xdr:rowOff>2138688</xdr:rowOff>
    </xdr:to>
    <xdr:sp macro="" textlink="">
      <xdr:nvSpPr>
        <xdr:cNvPr id="5" name="4 Flecha abaj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8640140" y="1914571"/>
          <a:ext cx="347383" cy="918882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809096</xdr:colOff>
      <xdr:row>1</xdr:row>
      <xdr:rowOff>469011</xdr:rowOff>
    </xdr:from>
    <xdr:to>
      <xdr:col>7</xdr:col>
      <xdr:colOff>1343243</xdr:colOff>
      <xdr:row>1</xdr:row>
      <xdr:rowOff>1141364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7913625" y="1163776"/>
          <a:ext cx="1912471" cy="67235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10</xdr:col>
      <xdr:colOff>491192</xdr:colOff>
      <xdr:row>1</xdr:row>
      <xdr:rowOff>1277472</xdr:rowOff>
    </xdr:from>
    <xdr:to>
      <xdr:col>10</xdr:col>
      <xdr:colOff>838575</xdr:colOff>
      <xdr:row>1</xdr:row>
      <xdr:rowOff>2196354</xdr:rowOff>
    </xdr:to>
    <xdr:sp macro="" textlink="">
      <xdr:nvSpPr>
        <xdr:cNvPr id="7" name="4 Flecha abajo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109016" y="1972237"/>
          <a:ext cx="347383" cy="918882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9</xdr:col>
      <xdr:colOff>1143001</xdr:colOff>
      <xdr:row>1</xdr:row>
      <xdr:rowOff>526677</xdr:rowOff>
    </xdr:from>
    <xdr:to>
      <xdr:col>11</xdr:col>
      <xdr:colOff>298825</xdr:colOff>
      <xdr:row>1</xdr:row>
      <xdr:rowOff>1199030</xdr:rowOff>
    </xdr:to>
    <xdr:sp macro="" textlink="">
      <xdr:nvSpPr>
        <xdr:cNvPr id="8" name="5 Rectángulo redondeado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12382501" y="1221442"/>
          <a:ext cx="1912471" cy="67235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6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4757738</xdr:colOff>
      <xdr:row>0</xdr:row>
      <xdr:rowOff>154782</xdr:rowOff>
    </xdr:from>
    <xdr:to>
      <xdr:col>6</xdr:col>
      <xdr:colOff>364332</xdr:colOff>
      <xdr:row>0</xdr:row>
      <xdr:rowOff>547688</xdr:rowOff>
    </xdr:to>
    <xdr:sp macro="[0]!Copiar_columna" textlink="">
      <xdr:nvSpPr>
        <xdr:cNvPr id="3" name="7 Rectángulo redondead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/>
        </xdr:cNvSpPr>
      </xdr:nvSpPr>
      <xdr:spPr>
        <a:xfrm>
          <a:off x="5815013" y="154782"/>
          <a:ext cx="1654969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4" name="8 Rectángulo redondead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207931</xdr:colOff>
      <xdr:row>1</xdr:row>
      <xdr:rowOff>1258794</xdr:rowOff>
    </xdr:from>
    <xdr:to>
      <xdr:col>7</xdr:col>
      <xdr:colOff>555314</xdr:colOff>
      <xdr:row>1</xdr:row>
      <xdr:rowOff>2177676</xdr:rowOff>
    </xdr:to>
    <xdr:sp macro="" textlink="">
      <xdr:nvSpPr>
        <xdr:cNvPr id="5" name="4 Flecha abajo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075581" y="1954119"/>
          <a:ext cx="347383" cy="918882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465666</xdr:colOff>
      <xdr:row>1</xdr:row>
      <xdr:rowOff>507999</xdr:rowOff>
    </xdr:from>
    <xdr:to>
      <xdr:col>8</xdr:col>
      <xdr:colOff>409637</xdr:colOff>
      <xdr:row>1</xdr:row>
      <xdr:rowOff>1180352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7571316" y="1203324"/>
          <a:ext cx="1467971" cy="67235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6 Rectángulo redondea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4757738</xdr:colOff>
      <xdr:row>0</xdr:row>
      <xdr:rowOff>154782</xdr:rowOff>
    </xdr:from>
    <xdr:to>
      <xdr:col>6</xdr:col>
      <xdr:colOff>364332</xdr:colOff>
      <xdr:row>0</xdr:row>
      <xdr:rowOff>547688</xdr:rowOff>
    </xdr:to>
    <xdr:sp macro="[0]!Copiar_columna" textlink="">
      <xdr:nvSpPr>
        <xdr:cNvPr id="3" name="7 Rectángulo redondead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/>
        </xdr:cNvSpPr>
      </xdr:nvSpPr>
      <xdr:spPr>
        <a:xfrm>
          <a:off x="5815013" y="154782"/>
          <a:ext cx="1654969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4" name="8 Rectángulo redondead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207931</xdr:colOff>
      <xdr:row>1</xdr:row>
      <xdr:rowOff>1258794</xdr:rowOff>
    </xdr:from>
    <xdr:to>
      <xdr:col>7</xdr:col>
      <xdr:colOff>555314</xdr:colOff>
      <xdr:row>1</xdr:row>
      <xdr:rowOff>2177676</xdr:rowOff>
    </xdr:to>
    <xdr:sp macro="" textlink="">
      <xdr:nvSpPr>
        <xdr:cNvPr id="5" name="4 Flecha abaj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8294656" y="1954119"/>
          <a:ext cx="347383" cy="918882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465666</xdr:colOff>
      <xdr:row>1</xdr:row>
      <xdr:rowOff>507999</xdr:rowOff>
    </xdr:from>
    <xdr:to>
      <xdr:col>8</xdr:col>
      <xdr:colOff>409637</xdr:colOff>
      <xdr:row>1</xdr:row>
      <xdr:rowOff>1180352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7571316" y="1203324"/>
          <a:ext cx="1906121" cy="67235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100"/>
        </a:defPPr>
      </a:lstStyle>
      <a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1196"/>
  <sheetViews>
    <sheetView tabSelected="1" topLeftCell="A847" zoomScaleNormal="100" zoomScaleSheetLayoutView="50" workbookViewId="0">
      <selection activeCell="I873" sqref="I873"/>
    </sheetView>
  </sheetViews>
  <sheetFormatPr baseColWidth="10" defaultColWidth="11.42578125" defaultRowHeight="15"/>
  <cols>
    <col min="1" max="1" width="2.7109375" customWidth="1"/>
    <col min="2" max="3" width="2.7109375" style="325" customWidth="1"/>
    <col min="4" max="5" width="2.7109375" customWidth="1"/>
    <col min="6" max="6" width="90.7109375" customWidth="1"/>
    <col min="7" max="7" width="2.7109375" customWidth="1"/>
    <col min="8" max="9" width="22.28515625" bestFit="1" customWidth="1"/>
    <col min="10" max="11" width="20.140625" bestFit="1" customWidth="1"/>
    <col min="12" max="12" width="11.5703125"/>
    <col min="13" max="13" width="19.85546875" bestFit="1" customWidth="1"/>
    <col min="14" max="14" width="13.42578125" bestFit="1" customWidth="1"/>
  </cols>
  <sheetData>
    <row r="1" spans="1:12" ht="105" customHeight="1">
      <c r="A1" t="s">
        <v>0</v>
      </c>
    </row>
    <row r="2" spans="1:12">
      <c r="G2" s="344" t="s">
        <v>0</v>
      </c>
      <c r="H2" s="345" t="s">
        <v>2212</v>
      </c>
    </row>
    <row r="3" spans="1:12" ht="15.75">
      <c r="A3" s="2" t="s">
        <v>0</v>
      </c>
      <c r="B3" s="35"/>
      <c r="C3" s="31"/>
      <c r="D3" s="17" t="s">
        <v>0</v>
      </c>
      <c r="E3" s="17" t="s">
        <v>0</v>
      </c>
      <c r="F3" s="174" t="s">
        <v>342</v>
      </c>
      <c r="G3" s="14" t="s">
        <v>0</v>
      </c>
      <c r="H3" s="5"/>
      <c r="I3" s="4" t="s">
        <v>0</v>
      </c>
      <c r="J3" s="4" t="s">
        <v>0</v>
      </c>
      <c r="K3" s="4" t="s">
        <v>0</v>
      </c>
      <c r="L3" s="9"/>
    </row>
    <row r="4" spans="1:12">
      <c r="A4" s="2" t="s">
        <v>0</v>
      </c>
      <c r="B4" s="36"/>
      <c r="C4" s="26"/>
      <c r="D4" s="18" t="s">
        <v>0</v>
      </c>
      <c r="E4" s="18" t="s">
        <v>0</v>
      </c>
      <c r="F4" s="164" t="s">
        <v>343</v>
      </c>
      <c r="G4" s="14" t="s">
        <v>0</v>
      </c>
      <c r="H4" s="5"/>
      <c r="I4" s="5" t="s">
        <v>0</v>
      </c>
      <c r="J4" s="5" t="s">
        <v>0</v>
      </c>
      <c r="K4" s="5" t="s">
        <v>0</v>
      </c>
      <c r="L4" s="10"/>
    </row>
    <row r="5" spans="1:12" ht="24">
      <c r="A5" s="2" t="s">
        <v>0</v>
      </c>
      <c r="B5" s="36"/>
      <c r="C5" s="26"/>
      <c r="D5" s="18" t="s">
        <v>0</v>
      </c>
      <c r="E5" s="18" t="s">
        <v>0</v>
      </c>
      <c r="F5" s="16" t="s">
        <v>1</v>
      </c>
      <c r="G5" s="14" t="s">
        <v>0</v>
      </c>
      <c r="H5" s="12" t="s">
        <v>1135</v>
      </c>
      <c r="I5" s="12" t="s">
        <v>2</v>
      </c>
      <c r="J5" s="12" t="s">
        <v>3</v>
      </c>
      <c r="K5" s="5" t="s">
        <v>0</v>
      </c>
      <c r="L5" s="10"/>
    </row>
    <row r="6" spans="1:12">
      <c r="A6" s="2" t="s">
        <v>0</v>
      </c>
      <c r="B6" s="36" t="s">
        <v>2075</v>
      </c>
      <c r="C6" s="26" t="s">
        <v>1227</v>
      </c>
      <c r="D6" s="18" t="s">
        <v>0</v>
      </c>
      <c r="E6" s="18" t="s">
        <v>0</v>
      </c>
      <c r="F6" s="19" t="s">
        <v>299</v>
      </c>
      <c r="G6" s="14" t="s">
        <v>4</v>
      </c>
      <c r="H6" s="13"/>
      <c r="I6" s="13"/>
      <c r="J6" s="13"/>
      <c r="K6" s="5" t="s">
        <v>0</v>
      </c>
      <c r="L6" s="10"/>
    </row>
    <row r="7" spans="1:12">
      <c r="A7" s="2" t="s">
        <v>0</v>
      </c>
      <c r="B7" s="36" t="s">
        <v>2075</v>
      </c>
      <c r="C7" s="26" t="s">
        <v>1228</v>
      </c>
      <c r="D7" s="18" t="s">
        <v>0</v>
      </c>
      <c r="E7" s="18" t="s">
        <v>0</v>
      </c>
      <c r="F7" s="19" t="s">
        <v>300</v>
      </c>
      <c r="G7" s="14" t="s">
        <v>4</v>
      </c>
      <c r="H7" s="13">
        <v>367758000</v>
      </c>
      <c r="I7" s="13">
        <v>222369000</v>
      </c>
      <c r="J7" s="13">
        <v>222369000</v>
      </c>
      <c r="K7" s="5" t="s">
        <v>0</v>
      </c>
      <c r="L7" s="10"/>
    </row>
    <row r="8" spans="1:12">
      <c r="A8" s="2" t="s">
        <v>0</v>
      </c>
      <c r="B8" s="36" t="s">
        <v>2075</v>
      </c>
      <c r="C8" s="26" t="s">
        <v>1229</v>
      </c>
      <c r="D8" s="18" t="s">
        <v>0</v>
      </c>
      <c r="E8" s="18" t="s">
        <v>0</v>
      </c>
      <c r="F8" s="16" t="s">
        <v>301</v>
      </c>
      <c r="G8" s="14" t="s">
        <v>4</v>
      </c>
      <c r="H8" s="51">
        <f>H6+H7</f>
        <v>367758000</v>
      </c>
      <c r="I8" s="51">
        <f t="shared" ref="I8:J8" si="0">I6+I7</f>
        <v>222369000</v>
      </c>
      <c r="J8" s="51">
        <f t="shared" si="0"/>
        <v>222369000</v>
      </c>
      <c r="K8" s="5" t="s">
        <v>0</v>
      </c>
      <c r="L8" s="10"/>
    </row>
    <row r="9" spans="1:12">
      <c r="A9" s="2" t="s">
        <v>0</v>
      </c>
      <c r="B9" s="36" t="s">
        <v>2075</v>
      </c>
      <c r="C9" s="26" t="s">
        <v>1230</v>
      </c>
      <c r="D9" s="18" t="s">
        <v>0</v>
      </c>
      <c r="E9" s="18" t="s">
        <v>0</v>
      </c>
      <c r="F9" s="19" t="s">
        <v>302</v>
      </c>
      <c r="G9" s="14" t="s">
        <v>4</v>
      </c>
      <c r="H9" s="13">
        <v>175163000</v>
      </c>
      <c r="I9" s="13">
        <v>199042000</v>
      </c>
      <c r="J9" s="13">
        <v>199042000</v>
      </c>
      <c r="K9" s="5" t="s">
        <v>0</v>
      </c>
      <c r="L9" s="10"/>
    </row>
    <row r="10" spans="1:12">
      <c r="A10" s="2"/>
      <c r="B10" s="36"/>
      <c r="C10" s="26"/>
      <c r="D10" s="18"/>
      <c r="E10" s="18"/>
      <c r="F10" s="19"/>
      <c r="G10" s="14"/>
      <c r="H10" s="19"/>
      <c r="I10" s="19"/>
      <c r="J10" s="19"/>
      <c r="K10" s="5"/>
      <c r="L10" s="10"/>
    </row>
    <row r="11" spans="1:12">
      <c r="A11" s="2" t="s">
        <v>0</v>
      </c>
      <c r="B11" s="36"/>
      <c r="C11" s="26"/>
      <c r="D11" s="18" t="s">
        <v>0</v>
      </c>
      <c r="E11" s="18" t="s">
        <v>0</v>
      </c>
      <c r="F11" s="16" t="s">
        <v>5</v>
      </c>
      <c r="G11" s="14" t="s">
        <v>0</v>
      </c>
      <c r="H11" s="19"/>
      <c r="I11" s="19"/>
      <c r="J11" s="19"/>
      <c r="K11" s="5" t="s">
        <v>0</v>
      </c>
      <c r="L11" s="10"/>
    </row>
    <row r="12" spans="1:12">
      <c r="A12" s="2" t="s">
        <v>0</v>
      </c>
      <c r="B12" s="36" t="s">
        <v>2075</v>
      </c>
      <c r="C12" s="26" t="s">
        <v>1231</v>
      </c>
      <c r="D12" s="18" t="s">
        <v>0</v>
      </c>
      <c r="E12" s="18" t="s">
        <v>0</v>
      </c>
      <c r="F12" s="19" t="s">
        <v>303</v>
      </c>
      <c r="G12" s="14" t="s">
        <v>4</v>
      </c>
      <c r="H12" s="13"/>
      <c r="I12" s="13"/>
      <c r="J12" s="13"/>
      <c r="K12" s="5" t="s">
        <v>0</v>
      </c>
      <c r="L12" s="10"/>
    </row>
    <row r="13" spans="1:12">
      <c r="A13" s="2" t="s">
        <v>0</v>
      </c>
      <c r="B13" s="36" t="s">
        <v>2075</v>
      </c>
      <c r="C13" s="26" t="s">
        <v>1232</v>
      </c>
      <c r="D13" s="18" t="s">
        <v>0</v>
      </c>
      <c r="E13" s="18" t="s">
        <v>0</v>
      </c>
      <c r="F13" s="19" t="s">
        <v>304</v>
      </c>
      <c r="G13" s="14" t="s">
        <v>4</v>
      </c>
      <c r="H13" s="13"/>
      <c r="I13" s="13"/>
      <c r="J13" s="13"/>
      <c r="K13" s="5" t="s">
        <v>0</v>
      </c>
      <c r="L13" s="10"/>
    </row>
    <row r="14" spans="1:12">
      <c r="A14" s="2" t="s">
        <v>0</v>
      </c>
      <c r="B14" s="36" t="s">
        <v>2075</v>
      </c>
      <c r="C14" s="26" t="s">
        <v>1233</v>
      </c>
      <c r="D14" s="18" t="s">
        <v>0</v>
      </c>
      <c r="E14" s="18" t="s">
        <v>0</v>
      </c>
      <c r="F14" s="19" t="s">
        <v>305</v>
      </c>
      <c r="G14" s="14" t="s">
        <v>4</v>
      </c>
      <c r="H14" s="13">
        <v>10515000</v>
      </c>
      <c r="I14" s="13">
        <v>11092000</v>
      </c>
      <c r="J14" s="13">
        <v>11092000</v>
      </c>
      <c r="K14" s="5" t="s">
        <v>0</v>
      </c>
      <c r="L14" s="10"/>
    </row>
    <row r="15" spans="1:12">
      <c r="A15" s="2" t="s">
        <v>0</v>
      </c>
      <c r="B15" s="36" t="s">
        <v>2075</v>
      </c>
      <c r="C15" s="26" t="s">
        <v>1234</v>
      </c>
      <c r="D15" s="18" t="s">
        <v>0</v>
      </c>
      <c r="E15" s="18" t="s">
        <v>0</v>
      </c>
      <c r="F15" s="16" t="s">
        <v>306</v>
      </c>
      <c r="G15" s="14" t="s">
        <v>4</v>
      </c>
      <c r="H15" s="51">
        <f>H12+H13+H14</f>
        <v>10515000</v>
      </c>
      <c r="I15" s="51">
        <f t="shared" ref="I15:J15" si="1">I12+I13+I14</f>
        <v>11092000</v>
      </c>
      <c r="J15" s="51">
        <f t="shared" si="1"/>
        <v>11092000</v>
      </c>
      <c r="K15" s="5" t="s">
        <v>0</v>
      </c>
      <c r="L15" s="10"/>
    </row>
    <row r="16" spans="1:12">
      <c r="A16" s="2"/>
      <c r="B16" s="36" t="s">
        <v>2075</v>
      </c>
      <c r="C16" s="26" t="s">
        <v>1235</v>
      </c>
      <c r="D16" s="18" t="s">
        <v>0</v>
      </c>
      <c r="E16" s="18" t="s">
        <v>0</v>
      </c>
      <c r="F16" s="77" t="s">
        <v>307</v>
      </c>
      <c r="G16" s="14" t="s">
        <v>4</v>
      </c>
      <c r="H16" s="13">
        <v>1166959000</v>
      </c>
      <c r="I16" s="13">
        <v>965992000</v>
      </c>
      <c r="J16" s="13">
        <v>965992000</v>
      </c>
      <c r="K16" s="5"/>
      <c r="L16" s="10"/>
    </row>
    <row r="17" spans="1:12">
      <c r="A17" s="2"/>
      <c r="B17" s="36" t="s">
        <v>2075</v>
      </c>
      <c r="C17" s="26" t="s">
        <v>1236</v>
      </c>
      <c r="D17" s="18" t="s">
        <v>0</v>
      </c>
      <c r="E17" s="18" t="s">
        <v>0</v>
      </c>
      <c r="F17" s="77" t="s">
        <v>308</v>
      </c>
      <c r="G17" s="14" t="s">
        <v>4</v>
      </c>
      <c r="H17" s="13">
        <v>538250000</v>
      </c>
      <c r="I17" s="13">
        <v>557352000</v>
      </c>
      <c r="J17" s="13">
        <v>557352000</v>
      </c>
      <c r="K17" s="5"/>
      <c r="L17" s="10"/>
    </row>
    <row r="18" spans="1:12">
      <c r="A18" s="2"/>
      <c r="B18" s="253" t="s">
        <v>2075</v>
      </c>
      <c r="C18" s="254" t="s">
        <v>2041</v>
      </c>
      <c r="D18" s="249" t="s">
        <v>0</v>
      </c>
      <c r="E18" s="249"/>
      <c r="F18" s="193" t="s">
        <v>2085</v>
      </c>
      <c r="G18" s="250" t="s">
        <v>4</v>
      </c>
      <c r="H18" s="13">
        <v>1000</v>
      </c>
      <c r="I18" s="13">
        <v>1000</v>
      </c>
      <c r="J18" s="13">
        <v>1000</v>
      </c>
      <c r="K18" s="5"/>
      <c r="L18" s="10"/>
    </row>
    <row r="19" spans="1:12">
      <c r="A19" s="2"/>
      <c r="B19" s="253" t="s">
        <v>2075</v>
      </c>
      <c r="C19" s="254" t="s">
        <v>2042</v>
      </c>
      <c r="D19" s="249" t="s">
        <v>0</v>
      </c>
      <c r="E19" s="249"/>
      <c r="F19" s="193" t="s">
        <v>2086</v>
      </c>
      <c r="G19" s="250" t="s">
        <v>4</v>
      </c>
      <c r="H19" s="13">
        <v>1000</v>
      </c>
      <c r="I19" s="13">
        <v>1000</v>
      </c>
      <c r="J19" s="13">
        <v>1000</v>
      </c>
      <c r="K19" s="5"/>
      <c r="L19" s="10"/>
    </row>
    <row r="20" spans="1:12">
      <c r="A20" s="2"/>
      <c r="B20" s="253" t="s">
        <v>2075</v>
      </c>
      <c r="C20" s="254" t="s">
        <v>2043</v>
      </c>
      <c r="D20" s="249" t="s">
        <v>0</v>
      </c>
      <c r="E20" s="249"/>
      <c r="F20" s="193" t="s">
        <v>2087</v>
      </c>
      <c r="G20" s="250" t="s">
        <v>4</v>
      </c>
      <c r="H20" s="13">
        <v>1000</v>
      </c>
      <c r="I20" s="13">
        <v>1000</v>
      </c>
      <c r="J20" s="13">
        <v>1000</v>
      </c>
      <c r="K20" s="5"/>
      <c r="L20" s="10"/>
    </row>
    <row r="21" spans="1:12">
      <c r="A21" s="2"/>
      <c r="B21" s="253" t="s">
        <v>2075</v>
      </c>
      <c r="C21" s="254" t="s">
        <v>1153</v>
      </c>
      <c r="D21" s="249" t="s">
        <v>0</v>
      </c>
      <c r="E21" s="249" t="s">
        <v>0</v>
      </c>
      <c r="F21" s="77" t="s">
        <v>1154</v>
      </c>
      <c r="G21" s="250" t="s">
        <v>4</v>
      </c>
      <c r="H21" s="13">
        <v>-240419000</v>
      </c>
      <c r="I21" s="13">
        <v>-841000</v>
      </c>
      <c r="J21" s="13">
        <v>-841000</v>
      </c>
      <c r="K21" s="5"/>
      <c r="L21" s="10"/>
    </row>
    <row r="22" spans="1:12">
      <c r="A22" s="2"/>
      <c r="B22" s="253" t="s">
        <v>2075</v>
      </c>
      <c r="C22" s="254" t="s">
        <v>1237</v>
      </c>
      <c r="D22" s="249" t="s">
        <v>0</v>
      </c>
      <c r="E22" s="249" t="s">
        <v>0</v>
      </c>
      <c r="F22" s="77" t="s">
        <v>309</v>
      </c>
      <c r="G22" s="250" t="s">
        <v>4</v>
      </c>
      <c r="H22" s="13"/>
      <c r="I22" s="13"/>
      <c r="J22" s="13"/>
      <c r="K22" s="5"/>
      <c r="L22" s="10"/>
    </row>
    <row r="23" spans="1:12">
      <c r="A23" s="2"/>
      <c r="B23" s="253" t="s">
        <v>2075</v>
      </c>
      <c r="C23" s="254" t="s">
        <v>1238</v>
      </c>
      <c r="D23" s="249" t="s">
        <v>0</v>
      </c>
      <c r="E23" s="249" t="s">
        <v>0</v>
      </c>
      <c r="F23" s="77" t="s">
        <v>310</v>
      </c>
      <c r="G23" s="250" t="s">
        <v>4</v>
      </c>
      <c r="H23" s="13"/>
      <c r="I23" s="13"/>
      <c r="J23" s="13"/>
      <c r="K23" s="5"/>
      <c r="L23" s="10"/>
    </row>
    <row r="24" spans="1:12">
      <c r="A24" s="2"/>
      <c r="B24" s="253" t="s">
        <v>2075</v>
      </c>
      <c r="C24" s="254" t="s">
        <v>1239</v>
      </c>
      <c r="D24" s="249" t="s">
        <v>0</v>
      </c>
      <c r="E24" s="249" t="s">
        <v>0</v>
      </c>
      <c r="F24" s="183" t="s">
        <v>311</v>
      </c>
      <c r="G24" s="250" t="s">
        <v>4</v>
      </c>
      <c r="H24" s="13"/>
      <c r="I24" s="13"/>
      <c r="J24" s="13"/>
      <c r="K24" s="5"/>
      <c r="L24" s="10"/>
    </row>
    <row r="25" spans="1:12">
      <c r="A25" s="2"/>
      <c r="B25" s="253" t="s">
        <v>2075</v>
      </c>
      <c r="C25" s="254" t="s">
        <v>2044</v>
      </c>
      <c r="D25" s="249" t="s">
        <v>0</v>
      </c>
      <c r="E25" s="249"/>
      <c r="F25" s="193" t="s">
        <v>2088</v>
      </c>
      <c r="G25" s="250" t="s">
        <v>4</v>
      </c>
      <c r="H25" s="13">
        <v>1000</v>
      </c>
      <c r="I25" s="13">
        <v>1000</v>
      </c>
      <c r="J25" s="13">
        <v>1000</v>
      </c>
      <c r="K25" s="5"/>
      <c r="L25" s="10"/>
    </row>
    <row r="26" spans="1:12">
      <c r="A26" s="2"/>
      <c r="B26" s="253" t="s">
        <v>2075</v>
      </c>
      <c r="C26" s="254" t="s">
        <v>2045</v>
      </c>
      <c r="D26" s="249" t="s">
        <v>0</v>
      </c>
      <c r="E26" s="249"/>
      <c r="F26" s="193" t="s">
        <v>2089</v>
      </c>
      <c r="G26" s="250" t="s">
        <v>4</v>
      </c>
      <c r="H26" s="13">
        <v>1000</v>
      </c>
      <c r="I26" s="13">
        <v>1000</v>
      </c>
      <c r="J26" s="13">
        <v>1000</v>
      </c>
      <c r="K26" s="5"/>
      <c r="L26" s="10"/>
    </row>
    <row r="27" spans="1:12">
      <c r="A27" s="2" t="s">
        <v>0</v>
      </c>
      <c r="B27" s="253" t="s">
        <v>2075</v>
      </c>
      <c r="C27" s="254" t="s">
        <v>1240</v>
      </c>
      <c r="D27" s="249" t="s">
        <v>0</v>
      </c>
      <c r="E27" s="249" t="s">
        <v>0</v>
      </c>
      <c r="F27" s="183" t="s">
        <v>312</v>
      </c>
      <c r="G27" s="250" t="s">
        <v>4</v>
      </c>
      <c r="H27" s="13"/>
      <c r="I27" s="13"/>
      <c r="J27" s="13"/>
      <c r="K27" s="5" t="s">
        <v>0</v>
      </c>
      <c r="L27" s="10"/>
    </row>
    <row r="28" spans="1:12">
      <c r="A28" s="2"/>
      <c r="B28" s="253" t="s">
        <v>2075</v>
      </c>
      <c r="C28" s="254" t="s">
        <v>2046</v>
      </c>
      <c r="D28" s="249" t="s">
        <v>0</v>
      </c>
      <c r="E28" s="249"/>
      <c r="F28" s="193" t="s">
        <v>2090</v>
      </c>
      <c r="G28" s="250" t="s">
        <v>4</v>
      </c>
      <c r="H28" s="13">
        <v>1000</v>
      </c>
      <c r="I28" s="13">
        <v>1000</v>
      </c>
      <c r="J28" s="13">
        <v>1000</v>
      </c>
      <c r="K28" s="5"/>
      <c r="L28" s="10"/>
    </row>
    <row r="29" spans="1:12">
      <c r="A29" s="2" t="s">
        <v>0</v>
      </c>
      <c r="B29" s="36" t="s">
        <v>2075</v>
      </c>
      <c r="C29" s="26" t="s">
        <v>1241</v>
      </c>
      <c r="D29" s="18" t="s">
        <v>0</v>
      </c>
      <c r="E29" s="18" t="s">
        <v>0</v>
      </c>
      <c r="F29" s="19" t="s">
        <v>313</v>
      </c>
      <c r="G29" s="14" t="s">
        <v>4</v>
      </c>
      <c r="H29" s="13">
        <v>817446000</v>
      </c>
      <c r="I29" s="13">
        <v>880666000</v>
      </c>
      <c r="J29" s="13">
        <v>880666000</v>
      </c>
      <c r="K29" s="5" t="s">
        <v>0</v>
      </c>
      <c r="L29" s="10"/>
    </row>
    <row r="30" spans="1:12">
      <c r="A30" s="2" t="s">
        <v>0</v>
      </c>
      <c r="B30" s="36" t="s">
        <v>2075</v>
      </c>
      <c r="C30" s="26" t="s">
        <v>1242</v>
      </c>
      <c r="D30" s="18" t="s">
        <v>0</v>
      </c>
      <c r="E30" s="18" t="s">
        <v>0</v>
      </c>
      <c r="F30" s="16" t="s">
        <v>314</v>
      </c>
      <c r="G30" s="14" t="s">
        <v>0</v>
      </c>
      <c r="H30" s="51">
        <f>H8+H9+H15+H16+H17+H18+H19+H20+H21+H22+H23+H24+H25+H26+H27+H28+H29</f>
        <v>2835678000</v>
      </c>
      <c r="I30" s="51">
        <f t="shared" ref="I30:J30" si="2">I8+I9+I15+I16+I17+I18+I19+I20+I21+I22+I23+I24+I25+I26+I27+I28+I29</f>
        <v>2835678000</v>
      </c>
      <c r="J30" s="51">
        <f t="shared" si="2"/>
        <v>2835678000</v>
      </c>
      <c r="K30" s="5" t="s">
        <v>0</v>
      </c>
      <c r="L30" s="10"/>
    </row>
    <row r="31" spans="1:12">
      <c r="A31" s="2"/>
      <c r="B31" s="36"/>
      <c r="C31" s="26"/>
      <c r="D31" s="18"/>
      <c r="E31" s="18"/>
      <c r="F31" s="19"/>
      <c r="G31" s="14"/>
      <c r="H31" s="19"/>
      <c r="I31" s="19"/>
      <c r="J31" s="19"/>
      <c r="K31" s="5"/>
      <c r="L31" s="10"/>
    </row>
    <row r="32" spans="1:12">
      <c r="B32" s="36"/>
      <c r="C32" s="26"/>
      <c r="D32" s="18" t="s">
        <v>0</v>
      </c>
      <c r="E32" s="18" t="s">
        <v>0</v>
      </c>
      <c r="F32" s="16" t="s">
        <v>6</v>
      </c>
      <c r="G32" s="14" t="s">
        <v>0</v>
      </c>
      <c r="H32" s="19"/>
      <c r="I32" s="19"/>
      <c r="J32" s="19"/>
      <c r="K32" s="5" t="s">
        <v>0</v>
      </c>
      <c r="L32" s="10"/>
    </row>
    <row r="33" spans="1:12">
      <c r="A33" s="2" t="s">
        <v>0</v>
      </c>
      <c r="B33" s="36"/>
      <c r="C33" s="26"/>
      <c r="D33" s="18" t="s">
        <v>0</v>
      </c>
      <c r="E33" s="18" t="s">
        <v>0</v>
      </c>
      <c r="F33" s="16" t="s">
        <v>7</v>
      </c>
      <c r="G33" s="14" t="s">
        <v>0</v>
      </c>
      <c r="H33" s="5" t="s">
        <v>0</v>
      </c>
      <c r="I33" s="5" t="s">
        <v>0</v>
      </c>
      <c r="J33" s="5" t="s">
        <v>0</v>
      </c>
      <c r="K33" s="5" t="s">
        <v>0</v>
      </c>
      <c r="L33" s="10"/>
    </row>
    <row r="34" spans="1:12">
      <c r="A34" s="2" t="s">
        <v>0</v>
      </c>
      <c r="B34" s="36" t="s">
        <v>2075</v>
      </c>
      <c r="C34" s="26" t="s">
        <v>1243</v>
      </c>
      <c r="D34" s="18" t="s">
        <v>0</v>
      </c>
      <c r="E34" s="18" t="s">
        <v>0</v>
      </c>
      <c r="F34" s="19" t="s">
        <v>315</v>
      </c>
      <c r="G34" s="14" t="s">
        <v>4</v>
      </c>
      <c r="H34" s="13">
        <v>7296526000</v>
      </c>
      <c r="I34" s="13">
        <v>5651226000</v>
      </c>
      <c r="J34" s="13"/>
      <c r="K34" s="5" t="s">
        <v>0</v>
      </c>
      <c r="L34" s="10"/>
    </row>
    <row r="35" spans="1:12">
      <c r="A35" s="2" t="s">
        <v>0</v>
      </c>
      <c r="B35" s="36" t="s">
        <v>2075</v>
      </c>
      <c r="C35" s="26" t="s">
        <v>1244</v>
      </c>
      <c r="D35" s="18" t="s">
        <v>0</v>
      </c>
      <c r="E35" s="18" t="s">
        <v>0</v>
      </c>
      <c r="F35" s="19" t="s">
        <v>316</v>
      </c>
      <c r="G35" s="14" t="s">
        <v>4</v>
      </c>
      <c r="H35" s="13"/>
      <c r="I35" s="13"/>
      <c r="J35" s="13"/>
      <c r="K35" s="5" t="s">
        <v>0</v>
      </c>
      <c r="L35" s="10"/>
    </row>
    <row r="36" spans="1:12">
      <c r="A36" s="2" t="s">
        <v>0</v>
      </c>
      <c r="B36" s="36" t="s">
        <v>2075</v>
      </c>
      <c r="C36" s="26" t="s">
        <v>1245</v>
      </c>
      <c r="D36" s="18" t="s">
        <v>0</v>
      </c>
      <c r="E36" s="18" t="s">
        <v>0</v>
      </c>
      <c r="F36" s="19" t="s">
        <v>317</v>
      </c>
      <c r="G36" s="14" t="s">
        <v>4</v>
      </c>
      <c r="H36" s="13"/>
      <c r="I36" s="13"/>
      <c r="J36" s="13"/>
      <c r="K36" s="5" t="s">
        <v>0</v>
      </c>
      <c r="L36" s="10"/>
    </row>
    <row r="37" spans="1:12">
      <c r="A37" s="2" t="s">
        <v>0</v>
      </c>
      <c r="B37" s="36" t="s">
        <v>2075</v>
      </c>
      <c r="C37" s="26" t="s">
        <v>1246</v>
      </c>
      <c r="D37" s="18" t="s">
        <v>0</v>
      </c>
      <c r="E37" s="18" t="s">
        <v>0</v>
      </c>
      <c r="F37" s="19" t="s">
        <v>318</v>
      </c>
      <c r="G37" s="14" t="s">
        <v>4</v>
      </c>
      <c r="H37" s="13">
        <v>1736717000</v>
      </c>
      <c r="I37" s="13">
        <v>1664135000</v>
      </c>
      <c r="J37" s="13"/>
      <c r="K37" s="5" t="s">
        <v>0</v>
      </c>
      <c r="L37" s="10"/>
    </row>
    <row r="38" spans="1:12">
      <c r="A38" s="2" t="s">
        <v>0</v>
      </c>
      <c r="B38" s="36" t="s">
        <v>2075</v>
      </c>
      <c r="C38" s="26" t="s">
        <v>1247</v>
      </c>
      <c r="D38" s="18" t="s">
        <v>0</v>
      </c>
      <c r="E38" s="18" t="s">
        <v>0</v>
      </c>
      <c r="F38" s="19" t="s">
        <v>319</v>
      </c>
      <c r="G38" s="14" t="s">
        <v>4</v>
      </c>
      <c r="H38" s="13"/>
      <c r="I38" s="13"/>
      <c r="J38" s="13"/>
      <c r="K38" s="5" t="s">
        <v>0</v>
      </c>
      <c r="L38" s="10"/>
    </row>
    <row r="39" spans="1:12" ht="22.5">
      <c r="A39" s="2" t="s">
        <v>0</v>
      </c>
      <c r="B39" s="36" t="s">
        <v>2075</v>
      </c>
      <c r="C39" s="26" t="s">
        <v>1248</v>
      </c>
      <c r="D39" s="18" t="s">
        <v>0</v>
      </c>
      <c r="E39" s="18" t="s">
        <v>0</v>
      </c>
      <c r="F39" s="20" t="s">
        <v>320</v>
      </c>
      <c r="G39" s="14" t="s">
        <v>4</v>
      </c>
      <c r="H39" s="13">
        <v>18260910000</v>
      </c>
      <c r="I39" s="13">
        <v>14750880000</v>
      </c>
      <c r="J39" s="13"/>
      <c r="K39" s="5" t="s">
        <v>0</v>
      </c>
      <c r="L39" s="10"/>
    </row>
    <row r="40" spans="1:12">
      <c r="A40" s="2" t="s">
        <v>0</v>
      </c>
      <c r="B40" s="36" t="s">
        <v>2075</v>
      </c>
      <c r="C40" s="26" t="s">
        <v>1249</v>
      </c>
      <c r="D40" s="18" t="s">
        <v>0</v>
      </c>
      <c r="E40" s="18" t="s">
        <v>0</v>
      </c>
      <c r="F40" s="20" t="s">
        <v>321</v>
      </c>
      <c r="G40" s="14" t="s">
        <v>4</v>
      </c>
      <c r="H40" s="13"/>
      <c r="I40" s="13"/>
      <c r="J40" s="13"/>
      <c r="K40" s="5" t="s">
        <v>0</v>
      </c>
      <c r="L40" s="10"/>
    </row>
    <row r="41" spans="1:12">
      <c r="A41" s="2" t="s">
        <v>0</v>
      </c>
      <c r="B41" s="36" t="s">
        <v>2075</v>
      </c>
      <c r="C41" s="26" t="s">
        <v>1250</v>
      </c>
      <c r="D41" s="18" t="s">
        <v>0</v>
      </c>
      <c r="E41" s="18" t="s">
        <v>0</v>
      </c>
      <c r="F41" s="19" t="s">
        <v>322</v>
      </c>
      <c r="G41" s="14" t="s">
        <v>4</v>
      </c>
      <c r="H41" s="13"/>
      <c r="I41" s="13"/>
      <c r="J41" s="13"/>
      <c r="K41" s="5" t="s">
        <v>0</v>
      </c>
      <c r="L41" s="10"/>
    </row>
    <row r="42" spans="1:12">
      <c r="A42" s="2" t="s">
        <v>0</v>
      </c>
      <c r="B42" s="36" t="s">
        <v>2075</v>
      </c>
      <c r="C42" s="26" t="s">
        <v>1251</v>
      </c>
      <c r="D42" s="18" t="s">
        <v>0</v>
      </c>
      <c r="E42" s="18" t="s">
        <v>0</v>
      </c>
      <c r="F42" s="19" t="s">
        <v>323</v>
      </c>
      <c r="G42" s="14" t="s">
        <v>4</v>
      </c>
      <c r="H42" s="13">
        <v>9227667000</v>
      </c>
      <c r="I42" s="13">
        <v>7435519000</v>
      </c>
      <c r="J42" s="352">
        <v>23807449000</v>
      </c>
      <c r="K42" s="5" t="s">
        <v>0</v>
      </c>
      <c r="L42" s="10"/>
    </row>
    <row r="43" spans="1:12">
      <c r="A43" s="2" t="s">
        <v>0</v>
      </c>
      <c r="B43" s="36" t="s">
        <v>2075</v>
      </c>
      <c r="C43" s="26" t="s">
        <v>1252</v>
      </c>
      <c r="D43" s="18" t="s">
        <v>0</v>
      </c>
      <c r="E43" s="18" t="s">
        <v>0</v>
      </c>
      <c r="F43" s="16" t="s">
        <v>324</v>
      </c>
      <c r="G43" s="14" t="s">
        <v>4</v>
      </c>
      <c r="H43" s="51">
        <f>SUM(H34:H42)</f>
        <v>36521820000</v>
      </c>
      <c r="I43" s="51">
        <f>SUM(I34:I42)</f>
        <v>29501760000</v>
      </c>
      <c r="J43" s="51">
        <f t="shared" ref="J43" si="3">SUM(J34:J42)</f>
        <v>23807449000</v>
      </c>
      <c r="K43" s="5" t="s">
        <v>0</v>
      </c>
      <c r="L43" s="10"/>
    </row>
    <row r="44" spans="1:12">
      <c r="A44" s="2" t="s">
        <v>0</v>
      </c>
      <c r="B44" s="36" t="s">
        <v>2075</v>
      </c>
      <c r="C44" s="26" t="s">
        <v>1253</v>
      </c>
      <c r="D44" s="18" t="s">
        <v>0</v>
      </c>
      <c r="E44" s="18" t="s">
        <v>0</v>
      </c>
      <c r="F44" s="19" t="s">
        <v>325</v>
      </c>
      <c r="G44" s="14" t="s">
        <v>4</v>
      </c>
      <c r="H44" s="179">
        <v>13089116000</v>
      </c>
      <c r="I44" s="179">
        <v>16383094000</v>
      </c>
      <c r="J44" s="352">
        <v>16383094000</v>
      </c>
      <c r="K44" s="5" t="s">
        <v>0</v>
      </c>
      <c r="L44" s="10"/>
    </row>
    <row r="45" spans="1:12">
      <c r="A45" s="2" t="s">
        <v>0</v>
      </c>
      <c r="B45" s="36" t="s">
        <v>2075</v>
      </c>
      <c r="C45" s="26" t="s">
        <v>1254</v>
      </c>
      <c r="D45" s="18" t="s">
        <v>0</v>
      </c>
      <c r="E45" s="18" t="s">
        <v>0</v>
      </c>
      <c r="F45" s="16" t="s">
        <v>326</v>
      </c>
      <c r="G45" s="14" t="s">
        <v>0</v>
      </c>
      <c r="H45" s="51">
        <f>H43+H44</f>
        <v>49610936000</v>
      </c>
      <c r="I45" s="51">
        <f>I43+I44</f>
        <v>45884854000</v>
      </c>
      <c r="J45" s="51">
        <f>J43+J44</f>
        <v>40190543000</v>
      </c>
      <c r="K45" s="5" t="s">
        <v>0</v>
      </c>
      <c r="L45" s="10"/>
    </row>
    <row r="46" spans="1:12">
      <c r="A46" s="2"/>
      <c r="B46" s="36"/>
      <c r="C46" s="26"/>
      <c r="D46" s="18"/>
      <c r="E46" s="18"/>
      <c r="F46" s="184"/>
      <c r="G46" s="14"/>
      <c r="H46" s="19"/>
      <c r="I46" s="19"/>
      <c r="J46" s="19"/>
      <c r="K46" s="5"/>
      <c r="L46" s="10"/>
    </row>
    <row r="47" spans="1:12">
      <c r="A47" s="2"/>
      <c r="B47" s="36"/>
      <c r="C47" s="26"/>
      <c r="D47" s="18"/>
      <c r="E47" s="18"/>
      <c r="F47" s="184" t="s">
        <v>1149</v>
      </c>
      <c r="G47" s="14"/>
      <c r="H47" s="5" t="s">
        <v>0</v>
      </c>
      <c r="I47" s="5" t="s">
        <v>0</v>
      </c>
      <c r="J47" s="5" t="s">
        <v>0</v>
      </c>
      <c r="K47" s="5"/>
      <c r="L47" s="10"/>
    </row>
    <row r="48" spans="1:12">
      <c r="A48" s="2"/>
      <c r="B48" s="36" t="s">
        <v>2075</v>
      </c>
      <c r="C48" s="26" t="s">
        <v>1255</v>
      </c>
      <c r="D48" s="18" t="s">
        <v>0</v>
      </c>
      <c r="E48" s="18" t="s">
        <v>0</v>
      </c>
      <c r="F48" s="183" t="s">
        <v>691</v>
      </c>
      <c r="G48" s="14" t="s">
        <v>4</v>
      </c>
      <c r="H48" s="13">
        <v>1161647220000</v>
      </c>
      <c r="I48" s="13">
        <v>998279510000</v>
      </c>
      <c r="J48" s="354" t="s">
        <v>2362</v>
      </c>
      <c r="K48" s="5"/>
      <c r="L48" s="10"/>
    </row>
    <row r="49" spans="1:12">
      <c r="A49" s="2"/>
      <c r="B49" s="36" t="s">
        <v>2075</v>
      </c>
      <c r="C49" s="26" t="s">
        <v>1256</v>
      </c>
      <c r="D49" s="18" t="s">
        <v>0</v>
      </c>
      <c r="E49" s="18" t="s">
        <v>0</v>
      </c>
      <c r="F49" s="183" t="s">
        <v>692</v>
      </c>
      <c r="G49" s="14" t="s">
        <v>4</v>
      </c>
      <c r="H49" s="13">
        <v>147507564000</v>
      </c>
      <c r="I49" s="13">
        <v>92351912000</v>
      </c>
      <c r="J49" s="13"/>
      <c r="K49" s="5"/>
      <c r="L49" s="10"/>
    </row>
    <row r="50" spans="1:12">
      <c r="A50" s="2"/>
      <c r="B50" s="36" t="s">
        <v>2075</v>
      </c>
      <c r="C50" s="26" t="s">
        <v>1257</v>
      </c>
      <c r="D50" s="18" t="s">
        <v>0</v>
      </c>
      <c r="E50" s="18" t="s">
        <v>0</v>
      </c>
      <c r="F50" s="183" t="s">
        <v>1141</v>
      </c>
      <c r="G50" s="14"/>
      <c r="H50" s="51">
        <f>H48+H49</f>
        <v>1309154784000</v>
      </c>
      <c r="I50" s="51">
        <f>I48+I49</f>
        <v>1090631422000</v>
      </c>
      <c r="J50" s="51">
        <f>J48+J49</f>
        <v>947838880000</v>
      </c>
      <c r="K50" s="5"/>
      <c r="L50" s="10"/>
    </row>
    <row r="51" spans="1:12">
      <c r="A51" s="2"/>
      <c r="B51" s="36"/>
      <c r="C51" s="26"/>
      <c r="D51" s="18"/>
      <c r="E51" s="18"/>
      <c r="F51" s="183"/>
      <c r="G51" s="14"/>
      <c r="H51" s="19"/>
      <c r="I51" s="19"/>
      <c r="J51" s="19"/>
      <c r="K51" s="5"/>
      <c r="L51" s="10"/>
    </row>
    <row r="52" spans="1:12">
      <c r="A52" s="2" t="s">
        <v>0</v>
      </c>
      <c r="B52" s="253"/>
      <c r="C52" s="254"/>
      <c r="D52" s="249" t="s">
        <v>0</v>
      </c>
      <c r="E52" s="249" t="s">
        <v>0</v>
      </c>
      <c r="F52" s="184" t="s">
        <v>8</v>
      </c>
      <c r="G52" s="250" t="s">
        <v>0</v>
      </c>
      <c r="H52" s="5" t="s">
        <v>0</v>
      </c>
      <c r="I52" s="5" t="s">
        <v>0</v>
      </c>
      <c r="J52" s="5" t="s">
        <v>0</v>
      </c>
      <c r="K52" s="5" t="s">
        <v>0</v>
      </c>
      <c r="L52" s="10"/>
    </row>
    <row r="53" spans="1:12">
      <c r="B53" s="253" t="s">
        <v>2075</v>
      </c>
      <c r="C53" s="254" t="s">
        <v>1258</v>
      </c>
      <c r="D53" s="249" t="s">
        <v>0</v>
      </c>
      <c r="E53" s="249" t="s">
        <v>0</v>
      </c>
      <c r="F53" s="183" t="s">
        <v>327</v>
      </c>
      <c r="G53" s="250" t="s">
        <v>4</v>
      </c>
      <c r="H53" s="13"/>
      <c r="I53" s="13"/>
      <c r="J53" s="13"/>
      <c r="K53" s="5" t="s">
        <v>0</v>
      </c>
      <c r="L53" s="10"/>
    </row>
    <row r="54" spans="1:12">
      <c r="B54" s="253" t="s">
        <v>2075</v>
      </c>
      <c r="C54" s="254" t="s">
        <v>1259</v>
      </c>
      <c r="D54" s="249" t="s">
        <v>0</v>
      </c>
      <c r="E54" s="249" t="s">
        <v>0</v>
      </c>
      <c r="F54" s="183" t="s">
        <v>328</v>
      </c>
      <c r="G54" s="250" t="s">
        <v>4</v>
      </c>
      <c r="H54" s="13"/>
      <c r="I54" s="13"/>
      <c r="J54" s="13"/>
      <c r="K54" s="5" t="s">
        <v>0</v>
      </c>
      <c r="L54" s="10"/>
    </row>
    <row r="55" spans="1:12">
      <c r="A55" s="2" t="s">
        <v>0</v>
      </c>
      <c r="B55" s="253" t="s">
        <v>2075</v>
      </c>
      <c r="C55" s="254" t="s">
        <v>1260</v>
      </c>
      <c r="D55" s="249" t="s">
        <v>0</v>
      </c>
      <c r="E55" s="249" t="s">
        <v>0</v>
      </c>
      <c r="F55" s="183" t="s">
        <v>329</v>
      </c>
      <c r="G55" s="250" t="s">
        <v>4</v>
      </c>
      <c r="H55" s="13">
        <v>57618362000</v>
      </c>
      <c r="I55" s="13">
        <v>53585634000</v>
      </c>
      <c r="J55" s="13"/>
      <c r="K55" s="5" t="s">
        <v>0</v>
      </c>
      <c r="L55" s="10"/>
    </row>
    <row r="56" spans="1:12">
      <c r="A56" s="2" t="s">
        <v>0</v>
      </c>
      <c r="B56" s="253" t="s">
        <v>2075</v>
      </c>
      <c r="C56" s="254" t="s">
        <v>1261</v>
      </c>
      <c r="D56" s="249" t="s">
        <v>0</v>
      </c>
      <c r="E56" s="249" t="s">
        <v>0</v>
      </c>
      <c r="F56" s="184" t="s">
        <v>330</v>
      </c>
      <c r="G56" s="250" t="s">
        <v>0</v>
      </c>
      <c r="H56" s="51">
        <f>H53+H54+H55</f>
        <v>57618362000</v>
      </c>
      <c r="I56" s="51">
        <f t="shared" ref="I56:J56" si="4">I53+I54+I55</f>
        <v>53585634000</v>
      </c>
      <c r="J56" s="51">
        <f t="shared" si="4"/>
        <v>0</v>
      </c>
      <c r="K56" s="5" t="s">
        <v>0</v>
      </c>
      <c r="L56" s="10"/>
    </row>
    <row r="57" spans="1:12">
      <c r="A57" s="2"/>
      <c r="B57" s="253"/>
      <c r="C57" s="254"/>
      <c r="D57" s="249"/>
      <c r="E57" s="249"/>
      <c r="F57" s="184"/>
      <c r="G57" s="250"/>
      <c r="H57" s="288"/>
      <c r="I57" s="288"/>
      <c r="J57" s="288"/>
      <c r="K57" s="5"/>
      <c r="L57" s="10"/>
    </row>
    <row r="58" spans="1:12">
      <c r="A58" s="2"/>
      <c r="B58" s="253"/>
      <c r="C58" s="254"/>
      <c r="D58" s="249" t="s">
        <v>0</v>
      </c>
      <c r="E58" s="249"/>
      <c r="F58" s="192" t="s">
        <v>2047</v>
      </c>
      <c r="G58" s="250"/>
      <c r="H58" s="288"/>
      <c r="I58" s="288"/>
      <c r="J58" s="288"/>
      <c r="K58" s="5"/>
      <c r="L58" s="10"/>
    </row>
    <row r="59" spans="1:12">
      <c r="A59" s="2"/>
      <c r="B59" s="253" t="s">
        <v>2075</v>
      </c>
      <c r="C59" s="254" t="s">
        <v>1288</v>
      </c>
      <c r="D59" s="249" t="s">
        <v>0</v>
      </c>
      <c r="E59" s="249"/>
      <c r="F59" s="259" t="s">
        <v>2091</v>
      </c>
      <c r="G59" s="250"/>
      <c r="H59" s="13">
        <v>1000</v>
      </c>
      <c r="I59" s="13">
        <v>4000</v>
      </c>
      <c r="J59" s="13"/>
      <c r="K59" s="5"/>
      <c r="L59" s="10"/>
    </row>
    <row r="60" spans="1:12">
      <c r="A60" s="2"/>
      <c r="B60" s="253" t="s">
        <v>2075</v>
      </c>
      <c r="C60" s="254" t="s">
        <v>1287</v>
      </c>
      <c r="D60" s="249" t="s">
        <v>0</v>
      </c>
      <c r="E60" s="249"/>
      <c r="F60" s="259" t="s">
        <v>2092</v>
      </c>
      <c r="G60" s="250"/>
      <c r="H60" s="13">
        <v>2000</v>
      </c>
      <c r="I60" s="13">
        <v>5000</v>
      </c>
      <c r="J60" s="13"/>
      <c r="K60" s="5"/>
      <c r="L60" s="10"/>
    </row>
    <row r="61" spans="1:12">
      <c r="A61" s="2"/>
      <c r="B61" s="253" t="s">
        <v>2075</v>
      </c>
      <c r="C61" s="254" t="s">
        <v>2048</v>
      </c>
      <c r="D61" s="249" t="s">
        <v>0</v>
      </c>
      <c r="E61" s="249"/>
      <c r="F61" s="259" t="s">
        <v>2093</v>
      </c>
      <c r="G61" s="250"/>
      <c r="H61" s="13">
        <v>57618362000</v>
      </c>
      <c r="I61" s="13">
        <v>53585634000</v>
      </c>
      <c r="J61" s="13"/>
      <c r="K61" s="5"/>
      <c r="L61" s="10"/>
    </row>
    <row r="62" spans="1:12">
      <c r="A62" s="2"/>
      <c r="B62" s="253"/>
      <c r="C62" s="254"/>
      <c r="D62" s="249"/>
      <c r="E62" s="249"/>
      <c r="F62" s="184"/>
      <c r="G62" s="250"/>
      <c r="H62" s="288"/>
      <c r="I62" s="288"/>
      <c r="J62" s="288"/>
      <c r="K62" s="5"/>
      <c r="L62" s="10"/>
    </row>
    <row r="63" spans="1:12">
      <c r="A63" s="2" t="s">
        <v>0</v>
      </c>
      <c r="B63" s="253"/>
      <c r="C63" s="254"/>
      <c r="D63" s="249" t="s">
        <v>0</v>
      </c>
      <c r="E63" s="249" t="s">
        <v>0</v>
      </c>
      <c r="F63" s="184" t="s">
        <v>9</v>
      </c>
      <c r="G63" s="250" t="s">
        <v>0</v>
      </c>
      <c r="H63" s="19"/>
      <c r="I63" s="19"/>
      <c r="J63" s="19"/>
      <c r="K63" s="5" t="s">
        <v>0</v>
      </c>
      <c r="L63" s="10"/>
    </row>
    <row r="64" spans="1:12">
      <c r="A64" s="2" t="s">
        <v>0</v>
      </c>
      <c r="B64" s="253" t="s">
        <v>2075</v>
      </c>
      <c r="C64" s="254" t="s">
        <v>1262</v>
      </c>
      <c r="D64" s="249" t="s">
        <v>0</v>
      </c>
      <c r="E64" s="249" t="s">
        <v>0</v>
      </c>
      <c r="F64" s="183" t="s">
        <v>344</v>
      </c>
      <c r="G64" s="250" t="s">
        <v>4</v>
      </c>
      <c r="H64" s="13"/>
      <c r="I64" s="13"/>
      <c r="J64" s="13"/>
      <c r="K64" s="5" t="s">
        <v>0</v>
      </c>
      <c r="L64" s="10"/>
    </row>
    <row r="65" spans="1:12">
      <c r="B65" s="253"/>
      <c r="C65" s="254"/>
      <c r="D65" s="249" t="s">
        <v>0</v>
      </c>
      <c r="E65" s="249" t="s">
        <v>0</v>
      </c>
      <c r="F65" s="188" t="s">
        <v>1223</v>
      </c>
      <c r="G65" s="250" t="s">
        <v>0</v>
      </c>
      <c r="H65" s="19"/>
      <c r="I65" s="19"/>
      <c r="J65" s="19"/>
      <c r="K65" s="5"/>
      <c r="L65" s="10"/>
    </row>
    <row r="66" spans="1:12">
      <c r="B66" s="253" t="s">
        <v>2075</v>
      </c>
      <c r="C66" s="254" t="s">
        <v>1263</v>
      </c>
      <c r="D66" s="249" t="s">
        <v>0</v>
      </c>
      <c r="E66" s="249" t="s">
        <v>0</v>
      </c>
      <c r="F66" s="198" t="s">
        <v>1224</v>
      </c>
      <c r="G66" s="250" t="s">
        <v>4</v>
      </c>
      <c r="H66" s="13"/>
      <c r="I66" s="13"/>
      <c r="J66" s="13"/>
      <c r="K66" s="5"/>
      <c r="L66" s="10"/>
    </row>
    <row r="67" spans="1:12">
      <c r="B67" s="36" t="s">
        <v>2075</v>
      </c>
      <c r="C67" s="26" t="s">
        <v>1264</v>
      </c>
      <c r="D67" s="18" t="s">
        <v>0</v>
      </c>
      <c r="E67" s="18" t="s">
        <v>0</v>
      </c>
      <c r="F67" s="198" t="s">
        <v>1225</v>
      </c>
      <c r="G67" s="14" t="s">
        <v>4</v>
      </c>
      <c r="H67" s="13"/>
      <c r="I67" s="13"/>
      <c r="J67" s="13"/>
      <c r="K67" s="5"/>
      <c r="L67" s="10"/>
    </row>
    <row r="68" spans="1:12">
      <c r="B68" s="36" t="s">
        <v>2075</v>
      </c>
      <c r="C68" s="26" t="s">
        <v>1265</v>
      </c>
      <c r="D68" s="18" t="s">
        <v>0</v>
      </c>
      <c r="E68" s="18" t="s">
        <v>0</v>
      </c>
      <c r="F68" s="199" t="s">
        <v>1226</v>
      </c>
      <c r="G68" s="14" t="s">
        <v>4</v>
      </c>
      <c r="H68" s="51">
        <f>H66+H67</f>
        <v>0</v>
      </c>
      <c r="I68" s="51">
        <f t="shared" ref="I68:J68" si="5">I66+I67</f>
        <v>0</v>
      </c>
      <c r="J68" s="51">
        <f t="shared" si="5"/>
        <v>0</v>
      </c>
      <c r="K68" s="5" t="s">
        <v>0</v>
      </c>
      <c r="L68" s="10"/>
    </row>
    <row r="69" spans="1:12" ht="22.5">
      <c r="A69" s="2" t="s">
        <v>0</v>
      </c>
      <c r="B69" s="36" t="s">
        <v>2075</v>
      </c>
      <c r="C69" s="26" t="s">
        <v>1266</v>
      </c>
      <c r="D69" s="18" t="s">
        <v>0</v>
      </c>
      <c r="E69" s="18" t="s">
        <v>0</v>
      </c>
      <c r="F69" s="182" t="s">
        <v>331</v>
      </c>
      <c r="G69" s="14" t="s">
        <v>4</v>
      </c>
      <c r="H69" s="13"/>
      <c r="I69" s="13"/>
      <c r="J69" s="13"/>
      <c r="K69" s="5" t="s">
        <v>0</v>
      </c>
      <c r="L69" s="10"/>
    </row>
    <row r="70" spans="1:12">
      <c r="A70" s="2"/>
      <c r="B70" s="36" t="s">
        <v>2075</v>
      </c>
      <c r="C70" s="26" t="s">
        <v>1267</v>
      </c>
      <c r="D70" s="18" t="s">
        <v>0</v>
      </c>
      <c r="E70" s="18" t="s">
        <v>0</v>
      </c>
      <c r="F70" s="182" t="s">
        <v>332</v>
      </c>
      <c r="G70" s="14" t="s">
        <v>0</v>
      </c>
      <c r="H70" s="13"/>
      <c r="I70" s="13"/>
      <c r="J70" s="13"/>
      <c r="K70" s="5"/>
      <c r="L70" s="10"/>
    </row>
    <row r="71" spans="1:12">
      <c r="A71" s="2"/>
      <c r="B71" s="36" t="s">
        <v>2075</v>
      </c>
      <c r="C71" s="26" t="s">
        <v>1835</v>
      </c>
      <c r="D71" s="18" t="s">
        <v>0</v>
      </c>
      <c r="E71" s="18" t="s">
        <v>0</v>
      </c>
      <c r="F71" s="182" t="s">
        <v>693</v>
      </c>
      <c r="G71" s="14" t="s">
        <v>4</v>
      </c>
      <c r="H71" s="13"/>
      <c r="I71" s="13"/>
      <c r="J71" s="13"/>
      <c r="K71" s="5"/>
      <c r="L71" s="10"/>
    </row>
    <row r="72" spans="1:12">
      <c r="A72" s="2"/>
      <c r="B72" s="36" t="s">
        <v>2075</v>
      </c>
      <c r="C72" s="26" t="s">
        <v>1836</v>
      </c>
      <c r="D72" s="18" t="s">
        <v>0</v>
      </c>
      <c r="E72" s="18" t="s">
        <v>0</v>
      </c>
      <c r="F72" s="182" t="s">
        <v>694</v>
      </c>
      <c r="G72" s="14" t="s">
        <v>4</v>
      </c>
      <c r="H72" s="13"/>
      <c r="I72" s="13"/>
      <c r="J72" s="13"/>
      <c r="K72" s="5"/>
      <c r="L72" s="10"/>
    </row>
    <row r="73" spans="1:12">
      <c r="A73" s="2"/>
      <c r="B73" s="36" t="s">
        <v>2075</v>
      </c>
      <c r="C73" s="26" t="s">
        <v>1268</v>
      </c>
      <c r="D73" s="18" t="s">
        <v>0</v>
      </c>
      <c r="E73" s="18" t="s">
        <v>0</v>
      </c>
      <c r="F73" s="183" t="s">
        <v>333</v>
      </c>
      <c r="G73" s="14" t="s">
        <v>4</v>
      </c>
      <c r="H73" s="13">
        <v>26155137000</v>
      </c>
      <c r="I73" s="13">
        <v>19959586000</v>
      </c>
      <c r="J73" s="13"/>
      <c r="K73" s="5"/>
      <c r="L73" s="10"/>
    </row>
    <row r="74" spans="1:12">
      <c r="A74" s="2" t="s">
        <v>0</v>
      </c>
      <c r="B74" s="36" t="s">
        <v>2075</v>
      </c>
      <c r="C74" s="26" t="s">
        <v>1269</v>
      </c>
      <c r="D74" s="18" t="s">
        <v>0</v>
      </c>
      <c r="E74" s="18" t="s">
        <v>0</v>
      </c>
      <c r="F74" s="184" t="s">
        <v>334</v>
      </c>
      <c r="G74" s="14" t="s">
        <v>0</v>
      </c>
      <c r="H74" s="51">
        <f>H64+H68+H69+H71+H72+H73</f>
        <v>26155137000</v>
      </c>
      <c r="I74" s="51">
        <f t="shared" ref="I74:J74" si="6">I64+I68+I69+I71+I72+I73</f>
        <v>19959586000</v>
      </c>
      <c r="J74" s="51">
        <f t="shared" si="6"/>
        <v>0</v>
      </c>
      <c r="K74" s="5" t="s">
        <v>0</v>
      </c>
      <c r="L74" s="10"/>
    </row>
    <row r="75" spans="1:12">
      <c r="A75" s="2"/>
      <c r="B75" s="36"/>
      <c r="C75" s="26"/>
      <c r="D75" s="18"/>
      <c r="E75" s="18"/>
      <c r="F75" s="19"/>
      <c r="G75" s="14"/>
      <c r="H75" s="19"/>
      <c r="I75" s="19"/>
      <c r="J75" s="19"/>
      <c r="K75" s="5"/>
      <c r="L75" s="10"/>
    </row>
    <row r="76" spans="1:12" ht="28.5" customHeight="1">
      <c r="A76" s="2" t="s">
        <v>0</v>
      </c>
      <c r="B76" s="36"/>
      <c r="C76" s="26"/>
      <c r="D76" s="18" t="s">
        <v>0</v>
      </c>
      <c r="E76" s="18" t="s">
        <v>0</v>
      </c>
      <c r="F76" s="53" t="s">
        <v>345</v>
      </c>
      <c r="G76" s="14" t="s">
        <v>0</v>
      </c>
      <c r="H76" s="19"/>
      <c r="I76" s="19"/>
      <c r="J76" s="19"/>
      <c r="K76" s="5" t="s">
        <v>0</v>
      </c>
      <c r="L76" s="10"/>
    </row>
    <row r="77" spans="1:12">
      <c r="A77" s="2" t="s">
        <v>0</v>
      </c>
      <c r="B77" s="36" t="s">
        <v>2075</v>
      </c>
      <c r="C77" s="26" t="s">
        <v>1270</v>
      </c>
      <c r="D77" s="18" t="s">
        <v>0</v>
      </c>
      <c r="E77" s="18" t="s">
        <v>0</v>
      </c>
      <c r="F77" s="19" t="s">
        <v>335</v>
      </c>
      <c r="G77" s="14" t="s">
        <v>4</v>
      </c>
      <c r="H77" s="13"/>
      <c r="I77" s="13"/>
      <c r="J77" s="13"/>
      <c r="K77" s="5" t="s">
        <v>0</v>
      </c>
      <c r="L77" s="10"/>
    </row>
    <row r="78" spans="1:12">
      <c r="A78" s="2" t="s">
        <v>0</v>
      </c>
      <c r="B78" s="36" t="s">
        <v>2075</v>
      </c>
      <c r="C78" s="26" t="s">
        <v>1271</v>
      </c>
      <c r="D78" s="18" t="s">
        <v>0</v>
      </c>
      <c r="E78" s="18" t="s">
        <v>0</v>
      </c>
      <c r="F78" s="183" t="s">
        <v>336</v>
      </c>
      <c r="G78" s="14" t="s">
        <v>4</v>
      </c>
      <c r="H78" s="13"/>
      <c r="I78" s="13"/>
      <c r="J78" s="13"/>
      <c r="K78" s="5" t="s">
        <v>0</v>
      </c>
      <c r="L78" s="10"/>
    </row>
    <row r="79" spans="1:12">
      <c r="B79" s="36" t="s">
        <v>2075</v>
      </c>
      <c r="C79" s="26" t="s">
        <v>1272</v>
      </c>
      <c r="D79" s="18" t="s">
        <v>0</v>
      </c>
      <c r="E79" s="18" t="s">
        <v>0</v>
      </c>
      <c r="F79" s="186" t="s">
        <v>337</v>
      </c>
      <c r="G79" s="14" t="s">
        <v>0</v>
      </c>
      <c r="H79" s="13"/>
      <c r="I79" s="13"/>
      <c r="J79" s="13"/>
      <c r="K79" s="5" t="s">
        <v>0</v>
      </c>
      <c r="L79" s="10"/>
    </row>
    <row r="80" spans="1:12">
      <c r="A80" s="2" t="s">
        <v>0</v>
      </c>
      <c r="B80" s="36" t="s">
        <v>2075</v>
      </c>
      <c r="C80" s="26" t="s">
        <v>1273</v>
      </c>
      <c r="D80" s="18" t="s">
        <v>0</v>
      </c>
      <c r="E80" s="18" t="s">
        <v>0</v>
      </c>
      <c r="F80" s="183" t="s">
        <v>338</v>
      </c>
      <c r="G80" s="14" t="s">
        <v>4</v>
      </c>
      <c r="H80" s="13">
        <v>284841000</v>
      </c>
      <c r="I80" s="13">
        <v>326999000</v>
      </c>
      <c r="J80" s="13"/>
      <c r="K80" s="5" t="s">
        <v>0</v>
      </c>
      <c r="L80" s="10"/>
    </row>
    <row r="81" spans="1:12">
      <c r="A81" s="2" t="s">
        <v>0</v>
      </c>
      <c r="B81" s="36" t="s">
        <v>2075</v>
      </c>
      <c r="C81" s="26" t="s">
        <v>1274</v>
      </c>
      <c r="D81" s="18" t="s">
        <v>0</v>
      </c>
      <c r="E81" s="18" t="s">
        <v>0</v>
      </c>
      <c r="F81" s="183" t="s">
        <v>339</v>
      </c>
      <c r="G81" s="14" t="s">
        <v>0</v>
      </c>
      <c r="H81" s="13"/>
      <c r="I81" s="13"/>
      <c r="J81" s="13"/>
      <c r="K81" s="5" t="s">
        <v>0</v>
      </c>
      <c r="L81" s="10"/>
    </row>
    <row r="82" spans="1:12">
      <c r="A82" s="2" t="s">
        <v>0</v>
      </c>
      <c r="B82" s="36" t="s">
        <v>2075</v>
      </c>
      <c r="C82" s="26" t="s">
        <v>1275</v>
      </c>
      <c r="D82" s="18" t="s">
        <v>0</v>
      </c>
      <c r="E82" s="18" t="s">
        <v>0</v>
      </c>
      <c r="F82" s="183" t="s">
        <v>695</v>
      </c>
      <c r="G82" s="14" t="s">
        <v>4</v>
      </c>
      <c r="H82" s="13"/>
      <c r="I82" s="13"/>
      <c r="J82" s="13"/>
      <c r="K82" s="5" t="s">
        <v>0</v>
      </c>
      <c r="L82" s="10"/>
    </row>
    <row r="83" spans="1:12">
      <c r="A83" s="2" t="s">
        <v>0</v>
      </c>
      <c r="B83" s="36" t="s">
        <v>2075</v>
      </c>
      <c r="C83" s="26" t="s">
        <v>1276</v>
      </c>
      <c r="D83" s="18" t="s">
        <v>0</v>
      </c>
      <c r="E83" s="18" t="s">
        <v>0</v>
      </c>
      <c r="F83" s="183" t="s">
        <v>696</v>
      </c>
      <c r="G83" s="14" t="s">
        <v>4</v>
      </c>
      <c r="H83" s="13"/>
      <c r="I83" s="13"/>
      <c r="J83" s="13"/>
      <c r="K83" s="5" t="s">
        <v>0</v>
      </c>
      <c r="L83" s="10"/>
    </row>
    <row r="84" spans="1:12">
      <c r="A84" s="2" t="s">
        <v>0</v>
      </c>
      <c r="B84" s="36" t="s">
        <v>2075</v>
      </c>
      <c r="C84" s="26" t="s">
        <v>1277</v>
      </c>
      <c r="D84" s="18" t="s">
        <v>0</v>
      </c>
      <c r="E84" s="18" t="s">
        <v>0</v>
      </c>
      <c r="F84" s="183" t="s">
        <v>340</v>
      </c>
      <c r="G84" s="14" t="s">
        <v>4</v>
      </c>
      <c r="H84" s="13"/>
      <c r="I84" s="13"/>
      <c r="J84" s="13"/>
      <c r="K84" s="5" t="s">
        <v>0</v>
      </c>
      <c r="L84" s="10"/>
    </row>
    <row r="85" spans="1:12">
      <c r="A85" s="2" t="s">
        <v>0</v>
      </c>
      <c r="B85" s="36" t="s">
        <v>2075</v>
      </c>
      <c r="C85" s="26" t="s">
        <v>1278</v>
      </c>
      <c r="D85" s="18" t="s">
        <v>0</v>
      </c>
      <c r="E85" s="18" t="s">
        <v>0</v>
      </c>
      <c r="F85" s="184" t="s">
        <v>341</v>
      </c>
      <c r="G85" s="14" t="s">
        <v>0</v>
      </c>
      <c r="H85" s="51">
        <f>+H77+H78+H80+H82+H83+H84</f>
        <v>284841000</v>
      </c>
      <c r="I85" s="51">
        <f t="shared" ref="I85:J85" si="7">+I77+I78+I80+I82+I83+I84</f>
        <v>326999000</v>
      </c>
      <c r="J85" s="51">
        <f t="shared" si="7"/>
        <v>0</v>
      </c>
      <c r="K85" s="5" t="s">
        <v>0</v>
      </c>
      <c r="L85" s="10"/>
    </row>
    <row r="86" spans="1:12">
      <c r="A86" s="2"/>
      <c r="B86" s="36"/>
      <c r="C86" s="26"/>
      <c r="D86" s="18"/>
      <c r="E86" s="18"/>
      <c r="F86" s="183"/>
      <c r="G86" s="14"/>
      <c r="H86" s="19"/>
      <c r="I86" s="19"/>
      <c r="J86" s="19"/>
      <c r="K86" s="5"/>
      <c r="L86" s="10"/>
    </row>
    <row r="87" spans="1:12">
      <c r="A87" s="2" t="s">
        <v>0</v>
      </c>
      <c r="B87" s="36" t="s">
        <v>2075</v>
      </c>
      <c r="C87" s="26" t="s">
        <v>1279</v>
      </c>
      <c r="D87" s="18" t="s">
        <v>0</v>
      </c>
      <c r="E87" s="18" t="s">
        <v>0</v>
      </c>
      <c r="F87" s="184" t="s">
        <v>346</v>
      </c>
      <c r="G87" s="14" t="s">
        <v>0</v>
      </c>
      <c r="H87" s="5" t="s">
        <v>0</v>
      </c>
      <c r="I87" s="5" t="s">
        <v>0</v>
      </c>
      <c r="J87" s="5" t="s">
        <v>0</v>
      </c>
      <c r="K87" s="5" t="s">
        <v>0</v>
      </c>
      <c r="L87" s="10"/>
    </row>
    <row r="88" spans="1:12">
      <c r="A88" s="2"/>
      <c r="B88" s="36" t="s">
        <v>2075</v>
      </c>
      <c r="C88" s="26" t="s">
        <v>1280</v>
      </c>
      <c r="D88" s="18" t="s">
        <v>0</v>
      </c>
      <c r="E88" s="18" t="s">
        <v>0</v>
      </c>
      <c r="F88" s="182" t="s">
        <v>347</v>
      </c>
      <c r="G88" s="14" t="s">
        <v>0</v>
      </c>
      <c r="H88" s="13"/>
      <c r="I88" s="13"/>
      <c r="J88" s="13"/>
      <c r="K88" s="5"/>
      <c r="L88" s="10"/>
    </row>
    <row r="89" spans="1:12">
      <c r="A89" s="2"/>
      <c r="B89" s="36" t="s">
        <v>2075</v>
      </c>
      <c r="C89" s="26" t="s">
        <v>1281</v>
      </c>
      <c r="D89" s="18" t="s">
        <v>0</v>
      </c>
      <c r="E89" s="18" t="s">
        <v>0</v>
      </c>
      <c r="F89" s="183" t="s">
        <v>348</v>
      </c>
      <c r="G89" s="14" t="s">
        <v>0</v>
      </c>
      <c r="H89" s="13"/>
      <c r="I89" s="13"/>
      <c r="J89" s="13"/>
      <c r="K89" s="5"/>
      <c r="L89" s="10"/>
    </row>
    <row r="90" spans="1:12">
      <c r="A90" s="2"/>
      <c r="B90" s="36" t="s">
        <v>2075</v>
      </c>
      <c r="C90" s="26" t="s">
        <v>1282</v>
      </c>
      <c r="D90" s="18" t="s">
        <v>0</v>
      </c>
      <c r="E90" s="18" t="s">
        <v>0</v>
      </c>
      <c r="F90" s="183" t="s">
        <v>349</v>
      </c>
      <c r="G90" s="14" t="s">
        <v>0</v>
      </c>
      <c r="H90" s="13"/>
      <c r="I90" s="13"/>
      <c r="J90" s="13"/>
      <c r="K90" s="5"/>
      <c r="L90" s="10"/>
    </row>
    <row r="91" spans="1:12">
      <c r="A91" s="2"/>
      <c r="B91" s="36" t="s">
        <v>2075</v>
      </c>
      <c r="C91" s="26" t="s">
        <v>1283</v>
      </c>
      <c r="D91" s="18" t="s">
        <v>0</v>
      </c>
      <c r="E91" s="18" t="s">
        <v>0</v>
      </c>
      <c r="F91" s="183" t="s">
        <v>697</v>
      </c>
      <c r="G91" s="14"/>
      <c r="H91" s="13"/>
      <c r="I91" s="13"/>
      <c r="J91" s="13"/>
      <c r="K91" s="251"/>
      <c r="L91" s="252"/>
    </row>
    <row r="92" spans="1:12">
      <c r="B92" s="36" t="s">
        <v>2075</v>
      </c>
      <c r="C92" s="26" t="s">
        <v>1284</v>
      </c>
      <c r="D92" s="18" t="s">
        <v>0</v>
      </c>
      <c r="E92" s="18" t="s">
        <v>0</v>
      </c>
      <c r="F92" s="183" t="s">
        <v>350</v>
      </c>
      <c r="G92" s="14" t="s">
        <v>0</v>
      </c>
      <c r="H92" s="13"/>
      <c r="I92" s="13">
        <v>100000000</v>
      </c>
      <c r="J92" s="13"/>
      <c r="K92" s="251" t="s">
        <v>0</v>
      </c>
      <c r="L92" s="252"/>
    </row>
    <row r="93" spans="1:12">
      <c r="B93" s="253" t="s">
        <v>2075</v>
      </c>
      <c r="C93" s="254" t="s">
        <v>1926</v>
      </c>
      <c r="D93" s="249" t="s">
        <v>0</v>
      </c>
      <c r="E93" s="249"/>
      <c r="F93" s="183" t="s">
        <v>1884</v>
      </c>
      <c r="G93" s="250"/>
      <c r="H93" s="13"/>
      <c r="I93" s="13"/>
      <c r="J93" s="13"/>
      <c r="K93" s="251"/>
      <c r="L93" s="252"/>
    </row>
    <row r="94" spans="1:12">
      <c r="A94" s="2" t="s">
        <v>0</v>
      </c>
      <c r="B94" s="36" t="s">
        <v>2075</v>
      </c>
      <c r="C94" s="26" t="s">
        <v>1285</v>
      </c>
      <c r="D94" s="18" t="s">
        <v>0</v>
      </c>
      <c r="E94" s="18" t="s">
        <v>0</v>
      </c>
      <c r="F94" s="183" t="s">
        <v>351</v>
      </c>
      <c r="G94" s="14" t="s">
        <v>0</v>
      </c>
      <c r="H94" s="13"/>
      <c r="I94" s="13"/>
      <c r="J94" s="13"/>
      <c r="K94" s="251" t="s">
        <v>0</v>
      </c>
      <c r="L94" s="252"/>
    </row>
    <row r="95" spans="1:12">
      <c r="A95" s="2" t="s">
        <v>0</v>
      </c>
      <c r="B95" s="36" t="s">
        <v>2075</v>
      </c>
      <c r="C95" s="26" t="s">
        <v>1286</v>
      </c>
      <c r="D95" s="18" t="s">
        <v>0</v>
      </c>
      <c r="E95" s="18" t="s">
        <v>0</v>
      </c>
      <c r="F95" s="183" t="s">
        <v>352</v>
      </c>
      <c r="G95" s="14" t="s">
        <v>0</v>
      </c>
      <c r="H95" s="13"/>
      <c r="I95" s="13"/>
      <c r="J95" s="13"/>
      <c r="K95" s="5" t="s">
        <v>0</v>
      </c>
      <c r="L95" s="10"/>
    </row>
    <row r="96" spans="1:12">
      <c r="A96" s="2" t="s">
        <v>0</v>
      </c>
      <c r="B96" s="36" t="s">
        <v>2075</v>
      </c>
      <c r="C96" s="26" t="s">
        <v>1289</v>
      </c>
      <c r="D96" s="18" t="s">
        <v>0</v>
      </c>
      <c r="E96" s="18" t="s">
        <v>0</v>
      </c>
      <c r="F96" s="183" t="s">
        <v>353</v>
      </c>
      <c r="G96" s="14" t="s">
        <v>0</v>
      </c>
      <c r="H96" s="13"/>
      <c r="I96" s="13"/>
      <c r="J96" s="13"/>
      <c r="K96" s="5" t="s">
        <v>0</v>
      </c>
      <c r="L96" s="10"/>
    </row>
    <row r="97" spans="1:12">
      <c r="A97" s="2"/>
      <c r="B97" s="36"/>
      <c r="C97" s="26"/>
      <c r="D97" s="18"/>
      <c r="E97" s="18"/>
      <c r="F97" s="183"/>
      <c r="G97" s="14"/>
      <c r="H97" s="19"/>
      <c r="I97" s="19"/>
      <c r="J97" s="19"/>
      <c r="K97" s="5"/>
      <c r="L97" s="10"/>
    </row>
    <row r="98" spans="1:12">
      <c r="B98" s="36"/>
      <c r="C98" s="26"/>
      <c r="D98" s="18" t="s">
        <v>0</v>
      </c>
      <c r="E98" s="18" t="s">
        <v>0</v>
      </c>
      <c r="F98" s="184" t="s">
        <v>10</v>
      </c>
      <c r="G98" s="14" t="s">
        <v>0</v>
      </c>
      <c r="H98" s="5" t="s">
        <v>0</v>
      </c>
      <c r="I98" s="5" t="s">
        <v>0</v>
      </c>
      <c r="J98" s="5" t="s">
        <v>0</v>
      </c>
      <c r="K98" s="5" t="s">
        <v>0</v>
      </c>
      <c r="L98" s="10"/>
    </row>
    <row r="99" spans="1:12">
      <c r="A99" s="2" t="s">
        <v>0</v>
      </c>
      <c r="B99" s="36" t="s">
        <v>2075</v>
      </c>
      <c r="C99" s="26" t="s">
        <v>1290</v>
      </c>
      <c r="D99" s="18" t="s">
        <v>0</v>
      </c>
      <c r="E99" s="18" t="s">
        <v>0</v>
      </c>
      <c r="F99" s="183" t="s">
        <v>354</v>
      </c>
      <c r="G99" s="14" t="s">
        <v>4</v>
      </c>
      <c r="H99" s="51">
        <f>H64+H77</f>
        <v>0</v>
      </c>
      <c r="I99" s="51">
        <f>I64+I77</f>
        <v>0</v>
      </c>
      <c r="J99" s="51">
        <f>J64+J77</f>
        <v>0</v>
      </c>
      <c r="K99" s="5" t="s">
        <v>0</v>
      </c>
      <c r="L99" s="10"/>
    </row>
    <row r="100" spans="1:12">
      <c r="A100" s="2" t="s">
        <v>0</v>
      </c>
      <c r="B100" s="36" t="s">
        <v>2075</v>
      </c>
      <c r="C100" s="26" t="s">
        <v>1291</v>
      </c>
      <c r="D100" s="18" t="s">
        <v>0</v>
      </c>
      <c r="E100" s="18" t="s">
        <v>0</v>
      </c>
      <c r="F100" s="183" t="s">
        <v>355</v>
      </c>
      <c r="G100" s="14" t="s">
        <v>4</v>
      </c>
      <c r="H100" s="51">
        <f>H68+H78</f>
        <v>0</v>
      </c>
      <c r="I100" s="51">
        <f>I68+I78</f>
        <v>0</v>
      </c>
      <c r="J100" s="51">
        <f>J68+J78</f>
        <v>0</v>
      </c>
      <c r="K100" s="5" t="s">
        <v>0</v>
      </c>
      <c r="L100" s="10"/>
    </row>
    <row r="101" spans="1:12">
      <c r="A101" s="2" t="s">
        <v>0</v>
      </c>
      <c r="B101" s="36" t="s">
        <v>2075</v>
      </c>
      <c r="C101" s="26" t="s">
        <v>1292</v>
      </c>
      <c r="D101" s="18" t="s">
        <v>0</v>
      </c>
      <c r="E101" s="18" t="s">
        <v>0</v>
      </c>
      <c r="F101" s="183" t="s">
        <v>356</v>
      </c>
      <c r="G101" s="14" t="s">
        <v>4</v>
      </c>
      <c r="H101" s="51">
        <f>H69+H80</f>
        <v>284841000</v>
      </c>
      <c r="I101" s="51">
        <f>I69+I80</f>
        <v>326999000</v>
      </c>
      <c r="J101" s="51">
        <f>J69+J80</f>
        <v>0</v>
      </c>
      <c r="K101" s="5" t="s">
        <v>0</v>
      </c>
      <c r="L101" s="10"/>
    </row>
    <row r="102" spans="1:12">
      <c r="A102" s="2" t="s">
        <v>0</v>
      </c>
      <c r="B102" s="36" t="s">
        <v>2075</v>
      </c>
      <c r="C102" s="26" t="s">
        <v>1293</v>
      </c>
      <c r="D102" s="18" t="s">
        <v>0</v>
      </c>
      <c r="E102" s="18" t="s">
        <v>0</v>
      </c>
      <c r="F102" s="183" t="s">
        <v>357</v>
      </c>
      <c r="G102" s="14" t="s">
        <v>0</v>
      </c>
      <c r="H102" s="13"/>
      <c r="I102" s="13"/>
      <c r="J102" s="13"/>
      <c r="K102" s="5" t="s">
        <v>0</v>
      </c>
      <c r="L102" s="10"/>
    </row>
    <row r="103" spans="1:12">
      <c r="A103" s="2"/>
      <c r="B103" s="36" t="s">
        <v>2075</v>
      </c>
      <c r="C103" s="26" t="s">
        <v>1294</v>
      </c>
      <c r="D103" s="18" t="s">
        <v>0</v>
      </c>
      <c r="E103" s="18"/>
      <c r="F103" s="183" t="s">
        <v>1142</v>
      </c>
      <c r="G103" s="14"/>
      <c r="H103" s="51">
        <f t="shared" ref="H103:J105" si="8">H71+H82</f>
        <v>0</v>
      </c>
      <c r="I103" s="51">
        <f t="shared" si="8"/>
        <v>0</v>
      </c>
      <c r="J103" s="51">
        <f t="shared" si="8"/>
        <v>0</v>
      </c>
      <c r="K103" s="5"/>
      <c r="L103" s="10"/>
    </row>
    <row r="104" spans="1:12">
      <c r="A104" s="2"/>
      <c r="B104" s="36" t="s">
        <v>2075</v>
      </c>
      <c r="C104" s="26" t="s">
        <v>1295</v>
      </c>
      <c r="D104" s="18" t="s">
        <v>0</v>
      </c>
      <c r="E104" s="18"/>
      <c r="F104" s="183" t="s">
        <v>1143</v>
      </c>
      <c r="G104" s="14"/>
      <c r="H104" s="51">
        <f t="shared" si="8"/>
        <v>0</v>
      </c>
      <c r="I104" s="51">
        <f t="shared" si="8"/>
        <v>0</v>
      </c>
      <c r="J104" s="51">
        <f t="shared" si="8"/>
        <v>0</v>
      </c>
      <c r="K104" s="5"/>
      <c r="L104" s="10"/>
    </row>
    <row r="105" spans="1:12">
      <c r="A105" s="2" t="s">
        <v>0</v>
      </c>
      <c r="B105" s="36" t="s">
        <v>2075</v>
      </c>
      <c r="C105" s="26" t="s">
        <v>1296</v>
      </c>
      <c r="D105" s="18" t="s">
        <v>0</v>
      </c>
      <c r="E105" s="18" t="s">
        <v>0</v>
      </c>
      <c r="F105" s="182" t="s">
        <v>358</v>
      </c>
      <c r="G105" s="14" t="s">
        <v>4</v>
      </c>
      <c r="H105" s="51">
        <f t="shared" si="8"/>
        <v>26155137000</v>
      </c>
      <c r="I105" s="51">
        <f t="shared" si="8"/>
        <v>19959586000</v>
      </c>
      <c r="J105" s="51">
        <f t="shared" si="8"/>
        <v>0</v>
      </c>
      <c r="K105" s="5" t="s">
        <v>0</v>
      </c>
      <c r="L105" s="10"/>
    </row>
    <row r="106" spans="1:12">
      <c r="A106" s="2" t="s">
        <v>0</v>
      </c>
      <c r="B106" s="36" t="s">
        <v>2075</v>
      </c>
      <c r="C106" s="26" t="s">
        <v>1297</v>
      </c>
      <c r="D106" s="18" t="s">
        <v>0</v>
      </c>
      <c r="E106" s="18" t="s">
        <v>0</v>
      </c>
      <c r="F106" s="189" t="s">
        <v>359</v>
      </c>
      <c r="G106" s="14" t="s">
        <v>0</v>
      </c>
      <c r="H106" s="51">
        <f>H99+H100+H101+H103+H104+H105</f>
        <v>26439978000</v>
      </c>
      <c r="I106" s="51">
        <f t="shared" ref="I106:J106" si="9">I99+I100+I101+I103+I104+I105</f>
        <v>20286585000</v>
      </c>
      <c r="J106" s="51">
        <f t="shared" si="9"/>
        <v>0</v>
      </c>
      <c r="K106" s="5" t="s">
        <v>0</v>
      </c>
      <c r="L106" s="10"/>
    </row>
    <row r="107" spans="1:12">
      <c r="A107" s="2"/>
      <c r="B107" s="36"/>
      <c r="C107" s="26"/>
      <c r="D107" s="18"/>
      <c r="E107" s="18"/>
      <c r="F107" s="189"/>
      <c r="G107" s="14"/>
      <c r="H107" s="53"/>
      <c r="I107" s="53"/>
      <c r="J107" s="53"/>
      <c r="K107" s="5"/>
      <c r="L107" s="10"/>
    </row>
    <row r="108" spans="1:12">
      <c r="A108" s="2" t="s">
        <v>0</v>
      </c>
      <c r="B108" s="36"/>
      <c r="C108" s="26"/>
      <c r="D108" s="18" t="s">
        <v>0</v>
      </c>
      <c r="E108" s="18" t="s">
        <v>0</v>
      </c>
      <c r="F108" s="53" t="s">
        <v>11</v>
      </c>
      <c r="G108" s="14" t="s">
        <v>0</v>
      </c>
      <c r="H108" s="53"/>
      <c r="I108" s="53"/>
      <c r="J108" s="53"/>
      <c r="K108" s="5" t="s">
        <v>0</v>
      </c>
      <c r="L108" s="10"/>
    </row>
    <row r="109" spans="1:12" ht="22.5">
      <c r="A109" s="2" t="s">
        <v>0</v>
      </c>
      <c r="B109" s="253"/>
      <c r="C109" s="254"/>
      <c r="D109" s="249" t="s">
        <v>0</v>
      </c>
      <c r="E109" s="249" t="s">
        <v>0</v>
      </c>
      <c r="F109" s="189" t="s">
        <v>12</v>
      </c>
      <c r="G109" s="250" t="s">
        <v>0</v>
      </c>
      <c r="H109" s="5" t="s">
        <v>0</v>
      </c>
      <c r="I109" s="5" t="s">
        <v>0</v>
      </c>
      <c r="J109" s="5" t="s">
        <v>0</v>
      </c>
      <c r="K109" s="5" t="s">
        <v>0</v>
      </c>
      <c r="L109" s="10"/>
    </row>
    <row r="110" spans="1:12" ht="22.5">
      <c r="A110" s="2" t="s">
        <v>0</v>
      </c>
      <c r="B110" s="253" t="s">
        <v>2075</v>
      </c>
      <c r="C110" s="254" t="s">
        <v>1298</v>
      </c>
      <c r="D110" s="249" t="s">
        <v>0</v>
      </c>
      <c r="E110" s="249" t="s">
        <v>0</v>
      </c>
      <c r="F110" s="182" t="s">
        <v>360</v>
      </c>
      <c r="G110" s="250" t="s">
        <v>4</v>
      </c>
      <c r="H110" s="13"/>
      <c r="I110" s="13"/>
      <c r="J110" s="13"/>
      <c r="K110" s="5" t="s">
        <v>0</v>
      </c>
      <c r="L110" s="10"/>
    </row>
    <row r="111" spans="1:12" ht="33.75">
      <c r="A111" s="2"/>
      <c r="B111" s="253" t="s">
        <v>2075</v>
      </c>
      <c r="C111" s="254" t="s">
        <v>2049</v>
      </c>
      <c r="D111" s="249" t="s">
        <v>0</v>
      </c>
      <c r="E111" s="249" t="s">
        <v>0</v>
      </c>
      <c r="F111" s="322" t="s">
        <v>2094</v>
      </c>
      <c r="G111" s="250" t="s">
        <v>4</v>
      </c>
      <c r="H111" s="13"/>
      <c r="I111" s="13"/>
      <c r="J111" s="13"/>
      <c r="K111" s="5"/>
      <c r="L111" s="10"/>
    </row>
    <row r="112" spans="1:12" ht="33.75">
      <c r="A112" s="2"/>
      <c r="B112" s="253" t="s">
        <v>2075</v>
      </c>
      <c r="C112" s="254" t="s">
        <v>2050</v>
      </c>
      <c r="D112" s="249" t="s">
        <v>0</v>
      </c>
      <c r="E112" s="249" t="s">
        <v>0</v>
      </c>
      <c r="F112" s="322" t="s">
        <v>2095</v>
      </c>
      <c r="G112" s="250" t="s">
        <v>4</v>
      </c>
      <c r="H112" s="13"/>
      <c r="I112" s="13"/>
      <c r="J112" s="13"/>
      <c r="K112" s="5"/>
      <c r="L112" s="10"/>
    </row>
    <row r="113" spans="1:12" ht="22.5">
      <c r="A113" s="2" t="s">
        <v>0</v>
      </c>
      <c r="B113" s="253" t="s">
        <v>2075</v>
      </c>
      <c r="C113" s="254" t="s">
        <v>1299</v>
      </c>
      <c r="D113" s="249" t="s">
        <v>0</v>
      </c>
      <c r="E113" s="249" t="s">
        <v>0</v>
      </c>
      <c r="F113" s="182" t="s">
        <v>361</v>
      </c>
      <c r="G113" s="250" t="s">
        <v>4</v>
      </c>
      <c r="H113" s="13"/>
      <c r="I113" s="13"/>
      <c r="J113" s="13"/>
      <c r="K113" s="5" t="s">
        <v>0</v>
      </c>
      <c r="L113" s="10"/>
    </row>
    <row r="114" spans="1:12" ht="22.5">
      <c r="A114" s="2" t="s">
        <v>0</v>
      </c>
      <c r="B114" s="253" t="s">
        <v>2075</v>
      </c>
      <c r="C114" s="254" t="s">
        <v>1300</v>
      </c>
      <c r="D114" s="249" t="s">
        <v>0</v>
      </c>
      <c r="E114" s="249" t="s">
        <v>0</v>
      </c>
      <c r="F114" s="182" t="s">
        <v>362</v>
      </c>
      <c r="G114" s="250" t="s">
        <v>4</v>
      </c>
      <c r="H114" s="13"/>
      <c r="I114" s="13"/>
      <c r="J114" s="13"/>
      <c r="K114" s="5" t="s">
        <v>0</v>
      </c>
      <c r="L114" s="10"/>
    </row>
    <row r="115" spans="1:12" ht="22.5">
      <c r="A115" s="2" t="s">
        <v>0</v>
      </c>
      <c r="B115" s="253" t="s">
        <v>2075</v>
      </c>
      <c r="C115" s="254" t="s">
        <v>1301</v>
      </c>
      <c r="D115" s="249" t="s">
        <v>0</v>
      </c>
      <c r="E115" s="249" t="s">
        <v>0</v>
      </c>
      <c r="F115" s="189" t="s">
        <v>363</v>
      </c>
      <c r="G115" s="250" t="s">
        <v>4</v>
      </c>
      <c r="H115" s="51">
        <f>H110+H111+H112+H113+H114</f>
        <v>0</v>
      </c>
      <c r="I115" s="51">
        <f t="shared" ref="I115:J115" si="10">I110+I111+I112+I113+I114</f>
        <v>0</v>
      </c>
      <c r="J115" s="51">
        <f t="shared" si="10"/>
        <v>0</v>
      </c>
      <c r="K115" s="5" t="s">
        <v>0</v>
      </c>
      <c r="L115" s="10"/>
    </row>
    <row r="116" spans="1:12">
      <c r="B116" s="253" t="s">
        <v>2075</v>
      </c>
      <c r="C116" s="254" t="s">
        <v>1302</v>
      </c>
      <c r="D116" s="249" t="s">
        <v>0</v>
      </c>
      <c r="E116" s="249" t="s">
        <v>0</v>
      </c>
      <c r="F116" s="183" t="s">
        <v>364</v>
      </c>
      <c r="G116" s="250" t="s">
        <v>4</v>
      </c>
      <c r="H116" s="13"/>
      <c r="I116" s="13"/>
      <c r="J116" s="13"/>
      <c r="K116" s="5" t="s">
        <v>0</v>
      </c>
      <c r="L116" s="10"/>
    </row>
    <row r="117" spans="1:12">
      <c r="A117" s="2" t="s">
        <v>0</v>
      </c>
      <c r="B117" s="253" t="s">
        <v>2075</v>
      </c>
      <c r="C117" s="254" t="s">
        <v>1303</v>
      </c>
      <c r="D117" s="249" t="s">
        <v>0</v>
      </c>
      <c r="E117" s="249" t="s">
        <v>0</v>
      </c>
      <c r="F117" s="183" t="s">
        <v>365</v>
      </c>
      <c r="G117" s="250" t="s">
        <v>4</v>
      </c>
      <c r="H117" s="13"/>
      <c r="I117" s="13"/>
      <c r="J117" s="13"/>
      <c r="K117" s="5" t="s">
        <v>0</v>
      </c>
      <c r="L117" s="10"/>
    </row>
    <row r="118" spans="1:12">
      <c r="A118" s="2" t="s">
        <v>0</v>
      </c>
      <c r="B118" s="253" t="s">
        <v>2075</v>
      </c>
      <c r="C118" s="254" t="s">
        <v>1304</v>
      </c>
      <c r="D118" s="249" t="s">
        <v>0</v>
      </c>
      <c r="E118" s="249" t="s">
        <v>0</v>
      </c>
      <c r="F118" s="77" t="s">
        <v>366</v>
      </c>
      <c r="G118" s="250" t="s">
        <v>4</v>
      </c>
      <c r="H118" s="13"/>
      <c r="I118" s="13"/>
      <c r="J118" s="13"/>
      <c r="K118" s="5" t="s">
        <v>0</v>
      </c>
      <c r="L118" s="10"/>
    </row>
    <row r="119" spans="1:12" ht="22.5">
      <c r="A119" s="2"/>
      <c r="B119" s="253"/>
      <c r="C119" s="254"/>
      <c r="D119" s="249"/>
      <c r="E119" s="249"/>
      <c r="F119" s="236" t="s">
        <v>1155</v>
      </c>
      <c r="G119" s="250"/>
      <c r="H119" s="14"/>
      <c r="I119" s="14"/>
      <c r="J119" s="14"/>
      <c r="K119" s="5"/>
      <c r="L119" s="10"/>
    </row>
    <row r="120" spans="1:12" ht="22.5">
      <c r="A120" s="2"/>
      <c r="B120" s="253" t="s">
        <v>2075</v>
      </c>
      <c r="C120" s="254" t="s">
        <v>1156</v>
      </c>
      <c r="D120" s="249" t="s">
        <v>0</v>
      </c>
      <c r="E120" s="249"/>
      <c r="F120" s="235" t="s">
        <v>1850</v>
      </c>
      <c r="G120" s="250" t="s">
        <v>4</v>
      </c>
      <c r="H120" s="13"/>
      <c r="I120" s="13"/>
      <c r="J120" s="13"/>
      <c r="K120" s="5"/>
      <c r="L120" s="10"/>
    </row>
    <row r="121" spans="1:12" ht="22.5">
      <c r="A121" s="2"/>
      <c r="B121" s="253" t="s">
        <v>2075</v>
      </c>
      <c r="C121" s="254" t="s">
        <v>1157</v>
      </c>
      <c r="D121" s="249" t="s">
        <v>0</v>
      </c>
      <c r="E121" s="249"/>
      <c r="F121" s="235" t="s">
        <v>1851</v>
      </c>
      <c r="G121" s="250" t="s">
        <v>4</v>
      </c>
      <c r="H121" s="13"/>
      <c r="I121" s="13"/>
      <c r="J121" s="13"/>
      <c r="K121" s="5"/>
      <c r="L121" s="10"/>
    </row>
    <row r="122" spans="1:12" ht="22.5">
      <c r="A122" s="2" t="s">
        <v>0</v>
      </c>
      <c r="B122" s="253" t="s">
        <v>2075</v>
      </c>
      <c r="C122" s="254" t="s">
        <v>1158</v>
      </c>
      <c r="D122" s="249" t="s">
        <v>0</v>
      </c>
      <c r="E122" s="249" t="s">
        <v>0</v>
      </c>
      <c r="F122" s="230" t="s">
        <v>1159</v>
      </c>
      <c r="G122" s="250" t="s">
        <v>4</v>
      </c>
      <c r="H122" s="51">
        <f>H120+H121</f>
        <v>0</v>
      </c>
      <c r="I122" s="51">
        <f t="shared" ref="I122:J122" si="11">I120+I121</f>
        <v>0</v>
      </c>
      <c r="J122" s="51">
        <f t="shared" si="11"/>
        <v>0</v>
      </c>
      <c r="K122" s="5" t="s">
        <v>0</v>
      </c>
      <c r="L122" s="10"/>
    </row>
    <row r="123" spans="1:12">
      <c r="A123" s="2" t="s">
        <v>0</v>
      </c>
      <c r="B123" s="253" t="s">
        <v>2075</v>
      </c>
      <c r="C123" s="254" t="s">
        <v>1305</v>
      </c>
      <c r="D123" s="249" t="s">
        <v>0</v>
      </c>
      <c r="E123" s="249" t="s">
        <v>0</v>
      </c>
      <c r="F123" s="182" t="s">
        <v>367</v>
      </c>
      <c r="G123" s="250" t="s">
        <v>4</v>
      </c>
      <c r="H123" s="13"/>
      <c r="I123" s="13"/>
      <c r="J123" s="13"/>
      <c r="K123" s="5" t="s">
        <v>0</v>
      </c>
      <c r="L123" s="10"/>
    </row>
    <row r="124" spans="1:12">
      <c r="A124" s="2" t="s">
        <v>0</v>
      </c>
      <c r="B124" s="253" t="s">
        <v>2075</v>
      </c>
      <c r="C124" s="254" t="s">
        <v>1306</v>
      </c>
      <c r="D124" s="249" t="s">
        <v>0</v>
      </c>
      <c r="E124" s="249" t="s">
        <v>0</v>
      </c>
      <c r="F124" s="189" t="s">
        <v>368</v>
      </c>
      <c r="G124" s="250" t="s">
        <v>0</v>
      </c>
      <c r="H124" s="51">
        <f>+H115+H116+H117+H118+H122+H123</f>
        <v>0</v>
      </c>
      <c r="I124" s="51">
        <f t="shared" ref="I124:J124" si="12">+I115+I116+I117+I118+I122+I123</f>
        <v>0</v>
      </c>
      <c r="J124" s="51">
        <f t="shared" si="12"/>
        <v>0</v>
      </c>
      <c r="K124" s="5" t="s">
        <v>0</v>
      </c>
      <c r="L124" s="10"/>
    </row>
    <row r="125" spans="1:12">
      <c r="A125" s="2"/>
      <c r="B125" s="253"/>
      <c r="C125" s="254"/>
      <c r="D125" s="249"/>
      <c r="E125" s="249"/>
      <c r="F125" s="182"/>
      <c r="G125" s="250"/>
      <c r="H125" s="53"/>
      <c r="I125" s="53"/>
      <c r="J125" s="53"/>
      <c r="K125" s="5"/>
      <c r="L125" s="10"/>
    </row>
    <row r="126" spans="1:12">
      <c r="A126" s="2" t="s">
        <v>0</v>
      </c>
      <c r="B126" s="253"/>
      <c r="C126" s="254"/>
      <c r="D126" s="249" t="s">
        <v>0</v>
      </c>
      <c r="E126" s="249" t="s">
        <v>0</v>
      </c>
      <c r="F126" s="189" t="s">
        <v>13</v>
      </c>
      <c r="G126" s="250" t="s">
        <v>0</v>
      </c>
      <c r="H126" s="53"/>
      <c r="I126" s="53"/>
      <c r="J126" s="53"/>
      <c r="K126" s="5" t="s">
        <v>0</v>
      </c>
      <c r="L126" s="10"/>
    </row>
    <row r="127" spans="1:12" ht="21.75" customHeight="1">
      <c r="A127" s="2" t="s">
        <v>0</v>
      </c>
      <c r="B127" s="253"/>
      <c r="C127" s="254"/>
      <c r="D127" s="249" t="s">
        <v>0</v>
      </c>
      <c r="E127" s="249" t="s">
        <v>0</v>
      </c>
      <c r="F127" s="189" t="s">
        <v>14</v>
      </c>
      <c r="G127" s="250" t="s">
        <v>0</v>
      </c>
      <c r="H127" s="5" t="s">
        <v>0</v>
      </c>
      <c r="I127" s="5" t="s">
        <v>0</v>
      </c>
      <c r="J127" s="5" t="s">
        <v>0</v>
      </c>
      <c r="K127" s="5" t="s">
        <v>0</v>
      </c>
      <c r="L127" s="10"/>
    </row>
    <row r="128" spans="1:12" ht="22.5">
      <c r="A128" s="2" t="s">
        <v>0</v>
      </c>
      <c r="B128" s="253" t="s">
        <v>2075</v>
      </c>
      <c r="C128" s="254" t="s">
        <v>1307</v>
      </c>
      <c r="D128" s="249" t="s">
        <v>0</v>
      </c>
      <c r="E128" s="249" t="s">
        <v>0</v>
      </c>
      <c r="F128" s="323" t="s">
        <v>1162</v>
      </c>
      <c r="G128" s="250" t="s">
        <v>4</v>
      </c>
      <c r="H128" s="13"/>
      <c r="I128" s="13"/>
      <c r="J128" s="13"/>
      <c r="K128" s="5" t="s">
        <v>0</v>
      </c>
      <c r="L128" s="10"/>
    </row>
    <row r="129" spans="1:12" ht="33.75">
      <c r="A129" s="2"/>
      <c r="B129" s="253" t="s">
        <v>2075</v>
      </c>
      <c r="C129" s="254" t="s">
        <v>2051</v>
      </c>
      <c r="D129" s="249" t="s">
        <v>0</v>
      </c>
      <c r="E129" s="249"/>
      <c r="F129" s="235" t="s">
        <v>2096</v>
      </c>
      <c r="G129" s="250" t="s">
        <v>4</v>
      </c>
      <c r="H129" s="13"/>
      <c r="I129" s="13"/>
      <c r="J129" s="13"/>
      <c r="K129" s="5"/>
      <c r="L129" s="10"/>
    </row>
    <row r="130" spans="1:12" ht="33.75">
      <c r="A130" s="2"/>
      <c r="B130" s="253" t="s">
        <v>2075</v>
      </c>
      <c r="C130" s="254" t="s">
        <v>2052</v>
      </c>
      <c r="D130" s="249" t="s">
        <v>0</v>
      </c>
      <c r="E130" s="249"/>
      <c r="F130" s="235" t="s">
        <v>2097</v>
      </c>
      <c r="G130" s="250" t="s">
        <v>4</v>
      </c>
      <c r="H130" s="13"/>
      <c r="I130" s="13"/>
      <c r="J130" s="13"/>
      <c r="K130" s="5"/>
      <c r="L130" s="10"/>
    </row>
    <row r="131" spans="1:12" ht="22.5">
      <c r="A131" s="2" t="s">
        <v>0</v>
      </c>
      <c r="B131" s="253" t="s">
        <v>2075</v>
      </c>
      <c r="C131" s="254" t="s">
        <v>1308</v>
      </c>
      <c r="D131" s="249" t="s">
        <v>0</v>
      </c>
      <c r="E131" s="249" t="s">
        <v>0</v>
      </c>
      <c r="F131" s="323" t="s">
        <v>1163</v>
      </c>
      <c r="G131" s="250" t="s">
        <v>4</v>
      </c>
      <c r="H131" s="13"/>
      <c r="I131" s="13"/>
      <c r="J131" s="13"/>
      <c r="K131" s="5" t="s">
        <v>0</v>
      </c>
      <c r="L131" s="10"/>
    </row>
    <row r="132" spans="1:12" ht="22.5">
      <c r="A132" s="2" t="s">
        <v>0</v>
      </c>
      <c r="B132" s="253" t="s">
        <v>2075</v>
      </c>
      <c r="C132" s="254" t="s">
        <v>1309</v>
      </c>
      <c r="D132" s="249" t="s">
        <v>0</v>
      </c>
      <c r="E132" s="249" t="s">
        <v>0</v>
      </c>
      <c r="F132" s="323" t="s">
        <v>1164</v>
      </c>
      <c r="G132" s="250" t="s">
        <v>4</v>
      </c>
      <c r="H132" s="13"/>
      <c r="I132" s="13"/>
      <c r="J132" s="13"/>
      <c r="K132" s="5" t="s">
        <v>0</v>
      </c>
      <c r="L132" s="10"/>
    </row>
    <row r="133" spans="1:12" ht="29.25" customHeight="1">
      <c r="A133" s="2" t="s">
        <v>0</v>
      </c>
      <c r="B133" s="253" t="s">
        <v>2075</v>
      </c>
      <c r="C133" s="254" t="s">
        <v>1310</v>
      </c>
      <c r="D133" s="249" t="s">
        <v>0</v>
      </c>
      <c r="E133" s="249" t="s">
        <v>0</v>
      </c>
      <c r="F133" s="324" t="s">
        <v>1165</v>
      </c>
      <c r="G133" s="250" t="s">
        <v>4</v>
      </c>
      <c r="H133" s="51">
        <f>H128+H129+H130+H131+H132</f>
        <v>0</v>
      </c>
      <c r="I133" s="51">
        <f t="shared" ref="I133:J133" si="13">I128+I129+I130+I131+I132</f>
        <v>0</v>
      </c>
      <c r="J133" s="51">
        <f t="shared" si="13"/>
        <v>0</v>
      </c>
      <c r="K133" s="5" t="s">
        <v>0</v>
      </c>
      <c r="L133" s="10"/>
    </row>
    <row r="134" spans="1:12">
      <c r="A134" s="2" t="s">
        <v>0</v>
      </c>
      <c r="B134" s="253" t="s">
        <v>2075</v>
      </c>
      <c r="C134" s="254" t="s">
        <v>1311</v>
      </c>
      <c r="D134" s="249" t="s">
        <v>0</v>
      </c>
      <c r="E134" s="249" t="s">
        <v>0</v>
      </c>
      <c r="F134" s="191" t="s">
        <v>1166</v>
      </c>
      <c r="G134" s="250" t="s">
        <v>4</v>
      </c>
      <c r="H134" s="13"/>
      <c r="I134" s="13"/>
      <c r="J134" s="13"/>
      <c r="K134" s="5" t="s">
        <v>0</v>
      </c>
      <c r="L134" s="10"/>
    </row>
    <row r="135" spans="1:12">
      <c r="B135" s="253" t="s">
        <v>2075</v>
      </c>
      <c r="C135" s="254" t="s">
        <v>1312</v>
      </c>
      <c r="D135" s="249" t="s">
        <v>0</v>
      </c>
      <c r="E135" s="249" t="s">
        <v>0</v>
      </c>
      <c r="F135" s="191" t="s">
        <v>1167</v>
      </c>
      <c r="G135" s="250" t="s">
        <v>4</v>
      </c>
      <c r="H135" s="13"/>
      <c r="I135" s="13"/>
      <c r="J135" s="13"/>
      <c r="K135" s="5" t="s">
        <v>0</v>
      </c>
      <c r="L135" s="10"/>
    </row>
    <row r="136" spans="1:12">
      <c r="A136" s="2" t="s">
        <v>0</v>
      </c>
      <c r="B136" s="253" t="s">
        <v>2075</v>
      </c>
      <c r="C136" s="254" t="s">
        <v>1313</v>
      </c>
      <c r="D136" s="249" t="s">
        <v>0</v>
      </c>
      <c r="E136" s="249" t="s">
        <v>0</v>
      </c>
      <c r="F136" s="191" t="s">
        <v>1168</v>
      </c>
      <c r="G136" s="250" t="s">
        <v>4</v>
      </c>
      <c r="H136" s="13"/>
      <c r="I136" s="13"/>
      <c r="J136" s="13"/>
      <c r="K136" s="5" t="s">
        <v>0</v>
      </c>
      <c r="L136" s="10"/>
    </row>
    <row r="137" spans="1:12" ht="22.5">
      <c r="A137" s="2"/>
      <c r="B137" s="253"/>
      <c r="C137" s="254"/>
      <c r="D137" s="249"/>
      <c r="E137" s="249"/>
      <c r="F137" s="237" t="s">
        <v>1161</v>
      </c>
      <c r="G137" s="250"/>
      <c r="H137" s="14"/>
      <c r="I137" s="14"/>
      <c r="J137" s="14"/>
      <c r="K137" s="5"/>
      <c r="L137" s="10"/>
    </row>
    <row r="138" spans="1:12" ht="22.5">
      <c r="A138" s="2"/>
      <c r="B138" s="253" t="s">
        <v>2075</v>
      </c>
      <c r="C138" s="254" t="s">
        <v>1314</v>
      </c>
      <c r="D138" s="249" t="s">
        <v>0</v>
      </c>
      <c r="E138" s="249"/>
      <c r="F138" s="238" t="s">
        <v>1852</v>
      </c>
      <c r="G138" s="250" t="s">
        <v>4</v>
      </c>
      <c r="H138" s="13"/>
      <c r="I138" s="13"/>
      <c r="J138" s="13"/>
      <c r="K138" s="5"/>
      <c r="L138" s="10"/>
    </row>
    <row r="139" spans="1:12" ht="22.5">
      <c r="A139" s="2"/>
      <c r="B139" s="253" t="s">
        <v>2075</v>
      </c>
      <c r="C139" s="254" t="s">
        <v>1315</v>
      </c>
      <c r="D139" s="249" t="s">
        <v>0</v>
      </c>
      <c r="E139" s="249"/>
      <c r="F139" s="238" t="s">
        <v>1853</v>
      </c>
      <c r="G139" s="250" t="s">
        <v>4</v>
      </c>
      <c r="H139" s="13"/>
      <c r="I139" s="13"/>
      <c r="J139" s="13"/>
      <c r="K139" s="5"/>
      <c r="L139" s="10"/>
    </row>
    <row r="140" spans="1:12" ht="22.5">
      <c r="A140" s="2" t="s">
        <v>0</v>
      </c>
      <c r="B140" s="253" t="s">
        <v>2075</v>
      </c>
      <c r="C140" s="254" t="s">
        <v>1316</v>
      </c>
      <c r="D140" s="249" t="s">
        <v>0</v>
      </c>
      <c r="E140" s="249" t="s">
        <v>0</v>
      </c>
      <c r="F140" s="236" t="s">
        <v>1160</v>
      </c>
      <c r="G140" s="250" t="s">
        <v>4</v>
      </c>
      <c r="H140" s="51">
        <f>H138+H139</f>
        <v>0</v>
      </c>
      <c r="I140" s="51">
        <f t="shared" ref="I140:J140" si="14">I138+I139</f>
        <v>0</v>
      </c>
      <c r="J140" s="51">
        <f t="shared" si="14"/>
        <v>0</v>
      </c>
      <c r="K140" s="5" t="s">
        <v>0</v>
      </c>
      <c r="L140" s="10"/>
    </row>
    <row r="141" spans="1:12">
      <c r="A141" s="2" t="s">
        <v>0</v>
      </c>
      <c r="B141" s="253" t="s">
        <v>2075</v>
      </c>
      <c r="C141" s="254" t="s">
        <v>1317</v>
      </c>
      <c r="D141" s="249" t="s">
        <v>0</v>
      </c>
      <c r="E141" s="249" t="s">
        <v>0</v>
      </c>
      <c r="F141" s="191" t="s">
        <v>1169</v>
      </c>
      <c r="G141" s="250" t="s">
        <v>4</v>
      </c>
      <c r="H141" s="13"/>
      <c r="I141" s="13"/>
      <c r="J141" s="13"/>
      <c r="K141" s="5" t="s">
        <v>0</v>
      </c>
      <c r="L141" s="10"/>
    </row>
    <row r="142" spans="1:12">
      <c r="A142" s="2" t="s">
        <v>0</v>
      </c>
      <c r="B142" s="253" t="s">
        <v>2075</v>
      </c>
      <c r="C142" s="254" t="s">
        <v>1318</v>
      </c>
      <c r="D142" s="249" t="s">
        <v>0</v>
      </c>
      <c r="E142" s="249" t="s">
        <v>0</v>
      </c>
      <c r="F142" s="237" t="s">
        <v>1170</v>
      </c>
      <c r="G142" s="250" t="s">
        <v>0</v>
      </c>
      <c r="H142" s="51">
        <f>H133+H134+H135+H136+H140+H141</f>
        <v>0</v>
      </c>
      <c r="I142" s="51">
        <f t="shared" ref="I142:J142" si="15">I133+I134+I135+I136+I140+I141</f>
        <v>0</v>
      </c>
      <c r="J142" s="51">
        <f t="shared" si="15"/>
        <v>0</v>
      </c>
      <c r="K142" s="5" t="s">
        <v>0</v>
      </c>
      <c r="L142" s="10"/>
    </row>
    <row r="143" spans="1:12">
      <c r="A143" s="2"/>
      <c r="B143" s="253"/>
      <c r="C143" s="254"/>
      <c r="D143" s="249"/>
      <c r="E143" s="249"/>
      <c r="F143" s="195"/>
      <c r="G143" s="250"/>
      <c r="H143" s="53"/>
      <c r="I143" s="53"/>
      <c r="J143" s="53"/>
      <c r="K143" s="5"/>
      <c r="L143" s="10"/>
    </row>
    <row r="144" spans="1:12">
      <c r="A144" s="2" t="s">
        <v>0</v>
      </c>
      <c r="B144" s="253"/>
      <c r="C144" s="254"/>
      <c r="D144" s="249" t="s">
        <v>0</v>
      </c>
      <c r="E144" s="249" t="s">
        <v>0</v>
      </c>
      <c r="F144" s="196" t="s">
        <v>15</v>
      </c>
      <c r="G144" s="250" t="s">
        <v>0</v>
      </c>
      <c r="H144" s="53"/>
      <c r="I144" s="53"/>
      <c r="J144" s="53"/>
      <c r="K144" s="5" t="s">
        <v>0</v>
      </c>
      <c r="L144" s="10"/>
    </row>
    <row r="145" spans="1:12">
      <c r="A145" s="2" t="s">
        <v>0</v>
      </c>
      <c r="B145" s="253"/>
      <c r="C145" s="254"/>
      <c r="D145" s="249" t="s">
        <v>0</v>
      </c>
      <c r="E145" s="249" t="s">
        <v>0</v>
      </c>
      <c r="F145" s="196" t="s">
        <v>16</v>
      </c>
      <c r="G145" s="250" t="s">
        <v>0</v>
      </c>
      <c r="H145" s="5" t="s">
        <v>0</v>
      </c>
      <c r="I145" s="5" t="s">
        <v>0</v>
      </c>
      <c r="J145" s="5" t="s">
        <v>0</v>
      </c>
      <c r="K145" s="5" t="s">
        <v>0</v>
      </c>
      <c r="L145" s="10"/>
    </row>
    <row r="146" spans="1:12" ht="22.5">
      <c r="A146" s="2" t="s">
        <v>0</v>
      </c>
      <c r="B146" s="253" t="s">
        <v>2075</v>
      </c>
      <c r="C146" s="254" t="s">
        <v>1319</v>
      </c>
      <c r="D146" s="249" t="s">
        <v>0</v>
      </c>
      <c r="E146" s="249" t="s">
        <v>0</v>
      </c>
      <c r="F146" s="195" t="s">
        <v>369</v>
      </c>
      <c r="G146" s="250" t="s">
        <v>4</v>
      </c>
      <c r="H146" s="51">
        <f>H110+H128</f>
        <v>0</v>
      </c>
      <c r="I146" s="51">
        <f>I110+I128</f>
        <v>0</v>
      </c>
      <c r="J146" s="51">
        <f>J110+J128</f>
        <v>0</v>
      </c>
      <c r="K146" s="5" t="s">
        <v>0</v>
      </c>
      <c r="L146" s="10"/>
    </row>
    <row r="147" spans="1:12" ht="22.5">
      <c r="A147" s="2"/>
      <c r="B147" s="253" t="s">
        <v>2075</v>
      </c>
      <c r="C147" s="254" t="s">
        <v>2073</v>
      </c>
      <c r="D147" s="249" t="s">
        <v>0</v>
      </c>
      <c r="E147" s="249"/>
      <c r="F147" s="322" t="s">
        <v>2098</v>
      </c>
      <c r="G147" s="250"/>
      <c r="H147" s="51">
        <f>H111+H129</f>
        <v>0</v>
      </c>
      <c r="I147" s="51">
        <f>I111+I129</f>
        <v>0</v>
      </c>
      <c r="J147" s="51">
        <f t="shared" ref="J147" si="16">J111+J129</f>
        <v>0</v>
      </c>
      <c r="K147" s="5"/>
      <c r="L147" s="10"/>
    </row>
    <row r="148" spans="1:12" ht="33.75">
      <c r="A148" s="2"/>
      <c r="B148" s="253" t="s">
        <v>2075</v>
      </c>
      <c r="C148" s="254" t="s">
        <v>2074</v>
      </c>
      <c r="D148" s="249" t="s">
        <v>0</v>
      </c>
      <c r="E148" s="249"/>
      <c r="F148" s="322" t="s">
        <v>2099</v>
      </c>
      <c r="G148" s="250"/>
      <c r="H148" s="51">
        <f>H112+H130</f>
        <v>0</v>
      </c>
      <c r="I148" s="51">
        <f t="shared" ref="I148:J148" si="17">I112+I130</f>
        <v>0</v>
      </c>
      <c r="J148" s="51">
        <f t="shared" si="17"/>
        <v>0</v>
      </c>
      <c r="K148" s="5"/>
      <c r="L148" s="10"/>
    </row>
    <row r="149" spans="1:12" ht="22.5">
      <c r="A149" s="2" t="s">
        <v>0</v>
      </c>
      <c r="B149" s="253" t="s">
        <v>2075</v>
      </c>
      <c r="C149" s="254" t="s">
        <v>1320</v>
      </c>
      <c r="D149" s="249" t="s">
        <v>0</v>
      </c>
      <c r="E149" s="249" t="s">
        <v>0</v>
      </c>
      <c r="F149" s="195" t="s">
        <v>370</v>
      </c>
      <c r="G149" s="250" t="s">
        <v>4</v>
      </c>
      <c r="H149" s="51">
        <f t="shared" ref="H149:J150" si="18">H113+H131</f>
        <v>0</v>
      </c>
      <c r="I149" s="51">
        <f t="shared" si="18"/>
        <v>0</v>
      </c>
      <c r="J149" s="51">
        <f t="shared" si="18"/>
        <v>0</v>
      </c>
      <c r="K149" s="5" t="s">
        <v>0</v>
      </c>
      <c r="L149" s="10"/>
    </row>
    <row r="150" spans="1:12" ht="22.5">
      <c r="A150" s="2" t="s">
        <v>0</v>
      </c>
      <c r="B150" s="253" t="s">
        <v>2075</v>
      </c>
      <c r="C150" s="254" t="s">
        <v>1321</v>
      </c>
      <c r="D150" s="249" t="s">
        <v>0</v>
      </c>
      <c r="E150" s="249" t="s">
        <v>0</v>
      </c>
      <c r="F150" s="195" t="s">
        <v>371</v>
      </c>
      <c r="G150" s="250" t="s">
        <v>4</v>
      </c>
      <c r="H150" s="51">
        <f t="shared" si="18"/>
        <v>0</v>
      </c>
      <c r="I150" s="51">
        <f t="shared" si="18"/>
        <v>0</v>
      </c>
      <c r="J150" s="51">
        <f t="shared" si="18"/>
        <v>0</v>
      </c>
      <c r="K150" s="5" t="s">
        <v>0</v>
      </c>
      <c r="L150" s="10"/>
    </row>
    <row r="151" spans="1:12">
      <c r="A151" s="2" t="s">
        <v>0</v>
      </c>
      <c r="B151" s="253" t="s">
        <v>2075</v>
      </c>
      <c r="C151" s="254" t="s">
        <v>1322</v>
      </c>
      <c r="D151" s="249" t="s">
        <v>0</v>
      </c>
      <c r="E151" s="249" t="s">
        <v>0</v>
      </c>
      <c r="F151" s="194" t="s">
        <v>372</v>
      </c>
      <c r="G151" s="250" t="s">
        <v>4</v>
      </c>
      <c r="H151" s="51">
        <f>H146+H147+H148+H149+H150</f>
        <v>0</v>
      </c>
      <c r="I151" s="51">
        <f t="shared" ref="I151:J151" si="19">I146+I147+I148+I149+I150</f>
        <v>0</v>
      </c>
      <c r="J151" s="51">
        <f t="shared" si="19"/>
        <v>0</v>
      </c>
      <c r="K151" s="5" t="s">
        <v>0</v>
      </c>
      <c r="L151" s="10"/>
    </row>
    <row r="152" spans="1:12">
      <c r="A152" s="2" t="s">
        <v>0</v>
      </c>
      <c r="B152" s="253" t="s">
        <v>2075</v>
      </c>
      <c r="C152" s="254" t="s">
        <v>1323</v>
      </c>
      <c r="D152" s="249" t="s">
        <v>0</v>
      </c>
      <c r="E152" s="249" t="s">
        <v>0</v>
      </c>
      <c r="F152" s="77" t="s">
        <v>373</v>
      </c>
      <c r="G152" s="250" t="s">
        <v>4</v>
      </c>
      <c r="H152" s="51">
        <f t="shared" ref="H152:J154" si="20">H116+H134</f>
        <v>0</v>
      </c>
      <c r="I152" s="51">
        <f t="shared" si="20"/>
        <v>0</v>
      </c>
      <c r="J152" s="51">
        <f t="shared" si="20"/>
        <v>0</v>
      </c>
      <c r="K152" s="5" t="s">
        <v>0</v>
      </c>
      <c r="L152" s="10"/>
    </row>
    <row r="153" spans="1:12">
      <c r="A153" s="2" t="s">
        <v>0</v>
      </c>
      <c r="B153" s="253" t="s">
        <v>2075</v>
      </c>
      <c r="C153" s="254" t="s">
        <v>1324</v>
      </c>
      <c r="D153" s="249" t="s">
        <v>0</v>
      </c>
      <c r="E153" s="249" t="s">
        <v>0</v>
      </c>
      <c r="F153" s="77" t="s">
        <v>374</v>
      </c>
      <c r="G153" s="250" t="s">
        <v>4</v>
      </c>
      <c r="H153" s="51">
        <f t="shared" si="20"/>
        <v>0</v>
      </c>
      <c r="I153" s="51">
        <f t="shared" si="20"/>
        <v>0</v>
      </c>
      <c r="J153" s="51">
        <f t="shared" si="20"/>
        <v>0</v>
      </c>
      <c r="K153" s="5" t="s">
        <v>0</v>
      </c>
      <c r="L153" s="10"/>
    </row>
    <row r="154" spans="1:12">
      <c r="A154" s="2" t="s">
        <v>0</v>
      </c>
      <c r="B154" s="253" t="s">
        <v>2075</v>
      </c>
      <c r="C154" s="254" t="s">
        <v>1325</v>
      </c>
      <c r="D154" s="249" t="s">
        <v>0</v>
      </c>
      <c r="E154" s="249" t="s">
        <v>0</v>
      </c>
      <c r="F154" s="77" t="s">
        <v>375</v>
      </c>
      <c r="G154" s="250" t="s">
        <v>4</v>
      </c>
      <c r="H154" s="51">
        <f t="shared" si="20"/>
        <v>0</v>
      </c>
      <c r="I154" s="51">
        <f t="shared" si="20"/>
        <v>0</v>
      </c>
      <c r="J154" s="51">
        <f t="shared" si="20"/>
        <v>0</v>
      </c>
      <c r="K154" s="5" t="s">
        <v>0</v>
      </c>
      <c r="L154" s="10"/>
    </row>
    <row r="155" spans="1:12" ht="22.5">
      <c r="A155" s="2"/>
      <c r="B155" s="253"/>
      <c r="C155" s="254"/>
      <c r="D155" s="249"/>
      <c r="E155" s="249"/>
      <c r="F155" s="236" t="s">
        <v>1171</v>
      </c>
      <c r="G155" s="250"/>
      <c r="H155" s="5"/>
      <c r="I155" s="5"/>
      <c r="J155" s="5"/>
      <c r="K155" s="5"/>
      <c r="L155" s="10"/>
    </row>
    <row r="156" spans="1:12" ht="22.5">
      <c r="A156" s="2"/>
      <c r="B156" s="253" t="s">
        <v>2075</v>
      </c>
      <c r="C156" s="254" t="s">
        <v>1834</v>
      </c>
      <c r="D156" s="249" t="s">
        <v>0</v>
      </c>
      <c r="E156" s="249"/>
      <c r="F156" s="235" t="s">
        <v>1855</v>
      </c>
      <c r="G156" s="250"/>
      <c r="H156" s="51">
        <f>+H120+H138</f>
        <v>0</v>
      </c>
      <c r="I156" s="51">
        <f t="shared" ref="I156:J156" si="21">+I120+I138</f>
        <v>0</v>
      </c>
      <c r="J156" s="51">
        <f t="shared" si="21"/>
        <v>0</v>
      </c>
      <c r="K156" s="5"/>
      <c r="L156" s="10"/>
    </row>
    <row r="157" spans="1:12" ht="22.5">
      <c r="A157" s="2"/>
      <c r="B157" s="253" t="s">
        <v>2075</v>
      </c>
      <c r="C157" s="254" t="s">
        <v>1172</v>
      </c>
      <c r="D157" s="249" t="s">
        <v>0</v>
      </c>
      <c r="E157" s="249"/>
      <c r="F157" s="235" t="s">
        <v>1854</v>
      </c>
      <c r="G157" s="250"/>
      <c r="H157" s="51">
        <f t="shared" ref="H157:J157" si="22">+H121+H139</f>
        <v>0</v>
      </c>
      <c r="I157" s="51">
        <f t="shared" si="22"/>
        <v>0</v>
      </c>
      <c r="J157" s="51">
        <f t="shared" si="22"/>
        <v>0</v>
      </c>
      <c r="K157" s="5"/>
      <c r="L157" s="10"/>
    </row>
    <row r="158" spans="1:12" ht="22.5">
      <c r="A158" s="2" t="s">
        <v>0</v>
      </c>
      <c r="B158" s="253" t="s">
        <v>2075</v>
      </c>
      <c r="C158" s="254" t="s">
        <v>1173</v>
      </c>
      <c r="D158" s="249" t="s">
        <v>0</v>
      </c>
      <c r="E158" s="249" t="s">
        <v>0</v>
      </c>
      <c r="F158" s="239" t="s">
        <v>376</v>
      </c>
      <c r="G158" s="250" t="s">
        <v>4</v>
      </c>
      <c r="H158" s="51">
        <f>H156+H157</f>
        <v>0</v>
      </c>
      <c r="I158" s="51">
        <f t="shared" ref="I158:J158" si="23">I156+I157</f>
        <v>0</v>
      </c>
      <c r="J158" s="51">
        <f t="shared" si="23"/>
        <v>0</v>
      </c>
      <c r="K158" s="5" t="s">
        <v>0</v>
      </c>
      <c r="L158" s="10"/>
    </row>
    <row r="159" spans="1:12">
      <c r="A159" s="2" t="s">
        <v>0</v>
      </c>
      <c r="B159" s="253" t="s">
        <v>2075</v>
      </c>
      <c r="C159" s="254" t="s">
        <v>1326</v>
      </c>
      <c r="D159" s="249" t="s">
        <v>0</v>
      </c>
      <c r="E159" s="249" t="s">
        <v>0</v>
      </c>
      <c r="F159" s="77" t="s">
        <v>377</v>
      </c>
      <c r="G159" s="250" t="s">
        <v>4</v>
      </c>
      <c r="H159" s="51">
        <f t="shared" ref="H159:J159" si="24">H123+H141</f>
        <v>0</v>
      </c>
      <c r="I159" s="51">
        <f t="shared" si="24"/>
        <v>0</v>
      </c>
      <c r="J159" s="51">
        <f t="shared" si="24"/>
        <v>0</v>
      </c>
      <c r="K159" s="5" t="s">
        <v>0</v>
      </c>
      <c r="L159" s="10"/>
    </row>
    <row r="160" spans="1:12">
      <c r="A160" s="2" t="s">
        <v>0</v>
      </c>
      <c r="B160" s="253" t="s">
        <v>2075</v>
      </c>
      <c r="C160" s="254" t="s">
        <v>1327</v>
      </c>
      <c r="D160" s="249" t="s">
        <v>0</v>
      </c>
      <c r="E160" s="249" t="s">
        <v>0</v>
      </c>
      <c r="F160" s="184" t="s">
        <v>378</v>
      </c>
      <c r="G160" s="250" t="s">
        <v>0</v>
      </c>
      <c r="H160" s="51">
        <f>+H151+H152+H153+H154+H158+H159</f>
        <v>0</v>
      </c>
      <c r="I160" s="51">
        <f t="shared" ref="I160:J160" si="25">+I151+I152+I153+I154+I158+I159</f>
        <v>0</v>
      </c>
      <c r="J160" s="51">
        <f t="shared" si="25"/>
        <v>0</v>
      </c>
      <c r="K160" s="5" t="s">
        <v>0</v>
      </c>
      <c r="L160" s="10"/>
    </row>
    <row r="161" spans="1:12">
      <c r="A161" s="2"/>
      <c r="B161" s="253"/>
      <c r="C161" s="254"/>
      <c r="D161" s="249"/>
      <c r="E161" s="249"/>
      <c r="F161" s="183"/>
      <c r="G161" s="250"/>
      <c r="H161" s="53"/>
      <c r="I161" s="53"/>
      <c r="J161" s="53"/>
      <c r="K161" s="5"/>
      <c r="L161" s="10"/>
    </row>
    <row r="162" spans="1:12">
      <c r="A162" s="2" t="s">
        <v>0</v>
      </c>
      <c r="B162" s="253"/>
      <c r="C162" s="254"/>
      <c r="D162" s="249" t="s">
        <v>0</v>
      </c>
      <c r="E162" s="249" t="s">
        <v>0</v>
      </c>
      <c r="F162" s="184" t="s">
        <v>17</v>
      </c>
      <c r="G162" s="250" t="s">
        <v>0</v>
      </c>
      <c r="H162" s="5" t="s">
        <v>0</v>
      </c>
      <c r="I162" s="5" t="s">
        <v>0</v>
      </c>
      <c r="J162" s="5" t="s">
        <v>0</v>
      </c>
      <c r="K162" s="5" t="s">
        <v>0</v>
      </c>
      <c r="L162" s="10"/>
    </row>
    <row r="163" spans="1:12">
      <c r="A163" s="2" t="s">
        <v>0</v>
      </c>
      <c r="B163" s="253" t="s">
        <v>2075</v>
      </c>
      <c r="C163" s="254" t="s">
        <v>1328</v>
      </c>
      <c r="D163" s="249" t="s">
        <v>0</v>
      </c>
      <c r="E163" s="249" t="s">
        <v>0</v>
      </c>
      <c r="F163" s="183" t="s">
        <v>379</v>
      </c>
      <c r="G163" s="250" t="s">
        <v>4</v>
      </c>
      <c r="H163" s="13"/>
      <c r="I163" s="13"/>
      <c r="J163" s="13"/>
      <c r="K163" s="5" t="s">
        <v>0</v>
      </c>
      <c r="L163" s="10"/>
    </row>
    <row r="164" spans="1:12">
      <c r="A164" s="2" t="s">
        <v>0</v>
      </c>
      <c r="B164" s="253" t="s">
        <v>2075</v>
      </c>
      <c r="C164" s="254" t="s">
        <v>1329</v>
      </c>
      <c r="D164" s="249" t="s">
        <v>0</v>
      </c>
      <c r="E164" s="249" t="s">
        <v>0</v>
      </c>
      <c r="F164" s="183" t="s">
        <v>380</v>
      </c>
      <c r="G164" s="250" t="s">
        <v>4</v>
      </c>
      <c r="H164" s="13"/>
      <c r="I164" s="13"/>
      <c r="J164" s="13"/>
      <c r="K164" s="5" t="s">
        <v>0</v>
      </c>
      <c r="L164" s="10"/>
    </row>
    <row r="165" spans="1:12">
      <c r="A165" s="2"/>
      <c r="B165" s="253" t="s">
        <v>2075</v>
      </c>
      <c r="C165" s="254" t="s">
        <v>1961</v>
      </c>
      <c r="D165" s="249" t="s">
        <v>0</v>
      </c>
      <c r="E165" s="249"/>
      <c r="F165" s="183" t="s">
        <v>1957</v>
      </c>
      <c r="G165" s="250"/>
      <c r="H165" s="13"/>
      <c r="I165" s="13"/>
      <c r="J165" s="13"/>
      <c r="K165" s="5"/>
      <c r="L165" s="10"/>
    </row>
    <row r="166" spans="1:12">
      <c r="A166" s="2"/>
      <c r="B166" s="253" t="s">
        <v>2075</v>
      </c>
      <c r="C166" s="254" t="s">
        <v>1962</v>
      </c>
      <c r="D166" s="249" t="s">
        <v>0</v>
      </c>
      <c r="E166" s="249"/>
      <c r="F166" s="183" t="s">
        <v>1958</v>
      </c>
      <c r="G166" s="250"/>
      <c r="H166" s="13"/>
      <c r="I166" s="13"/>
      <c r="J166" s="13"/>
      <c r="K166" s="5"/>
      <c r="L166" s="10"/>
    </row>
    <row r="167" spans="1:12">
      <c r="A167" s="2" t="s">
        <v>0</v>
      </c>
      <c r="B167" s="253" t="s">
        <v>2075</v>
      </c>
      <c r="C167" s="254" t="s">
        <v>1330</v>
      </c>
      <c r="D167" s="249" t="s">
        <v>0</v>
      </c>
      <c r="E167" s="249" t="s">
        <v>0</v>
      </c>
      <c r="F167" s="183" t="s">
        <v>381</v>
      </c>
      <c r="G167" s="250" t="s">
        <v>4</v>
      </c>
      <c r="H167" s="13"/>
      <c r="I167" s="13"/>
      <c r="J167" s="13"/>
      <c r="K167" s="5" t="s">
        <v>0</v>
      </c>
      <c r="L167" s="10"/>
    </row>
    <row r="168" spans="1:12">
      <c r="B168" s="253" t="s">
        <v>2075</v>
      </c>
      <c r="C168" s="254" t="s">
        <v>1331</v>
      </c>
      <c r="D168" s="249" t="s">
        <v>0</v>
      </c>
      <c r="E168" s="249" t="s">
        <v>0</v>
      </c>
      <c r="F168" s="183" t="s">
        <v>382</v>
      </c>
      <c r="G168" s="250" t="s">
        <v>4</v>
      </c>
      <c r="H168" s="13"/>
      <c r="I168" s="13"/>
      <c r="J168" s="13"/>
      <c r="K168" s="5" t="s">
        <v>0</v>
      </c>
      <c r="L168" s="10"/>
    </row>
    <row r="169" spans="1:12">
      <c r="A169" s="2" t="s">
        <v>0</v>
      </c>
      <c r="B169" s="253" t="s">
        <v>2075</v>
      </c>
      <c r="C169" s="254" t="s">
        <v>1332</v>
      </c>
      <c r="D169" s="249" t="s">
        <v>0</v>
      </c>
      <c r="E169" s="249" t="s">
        <v>0</v>
      </c>
      <c r="F169" s="183" t="s">
        <v>383</v>
      </c>
      <c r="G169" s="250" t="s">
        <v>4</v>
      </c>
      <c r="H169" s="13"/>
      <c r="I169" s="13"/>
      <c r="J169" s="13"/>
      <c r="K169" s="5" t="s">
        <v>0</v>
      </c>
      <c r="L169" s="10"/>
    </row>
    <row r="170" spans="1:12">
      <c r="A170" s="2"/>
      <c r="B170" s="253" t="s">
        <v>2075</v>
      </c>
      <c r="C170" s="254" t="s">
        <v>1963</v>
      </c>
      <c r="D170" s="249" t="s">
        <v>0</v>
      </c>
      <c r="E170" s="249"/>
      <c r="F170" s="183" t="s">
        <v>1959</v>
      </c>
      <c r="G170" s="250"/>
      <c r="H170" s="13"/>
      <c r="I170" s="13"/>
      <c r="J170" s="13"/>
      <c r="K170" s="5"/>
      <c r="L170" s="10"/>
    </row>
    <row r="171" spans="1:12">
      <c r="A171" s="2" t="s">
        <v>0</v>
      </c>
      <c r="B171" s="253" t="s">
        <v>2075</v>
      </c>
      <c r="C171" s="254" t="s">
        <v>1333</v>
      </c>
      <c r="D171" s="249" t="s">
        <v>0</v>
      </c>
      <c r="E171" s="249" t="s">
        <v>0</v>
      </c>
      <c r="F171" s="183" t="s">
        <v>384</v>
      </c>
      <c r="G171" s="250" t="s">
        <v>4</v>
      </c>
      <c r="H171" s="13"/>
      <c r="I171" s="13"/>
      <c r="J171" s="13"/>
      <c r="K171" s="5" t="s">
        <v>0</v>
      </c>
      <c r="L171" s="10"/>
    </row>
    <row r="172" spans="1:12">
      <c r="A172" s="2"/>
      <c r="B172" s="253" t="s">
        <v>2075</v>
      </c>
      <c r="C172" s="254" t="s">
        <v>1925</v>
      </c>
      <c r="D172" s="249" t="s">
        <v>0</v>
      </c>
      <c r="E172" s="249"/>
      <c r="F172" s="183" t="s">
        <v>1885</v>
      </c>
      <c r="G172" s="250" t="s">
        <v>4</v>
      </c>
      <c r="H172" s="13"/>
      <c r="I172" s="13"/>
      <c r="J172" s="13"/>
      <c r="K172" s="5"/>
      <c r="L172" s="10"/>
    </row>
    <row r="173" spans="1:12">
      <c r="A173" s="2"/>
      <c r="B173" s="253" t="s">
        <v>2075</v>
      </c>
      <c r="C173" s="254" t="s">
        <v>1334</v>
      </c>
      <c r="D173" s="249" t="s">
        <v>0</v>
      </c>
      <c r="E173" s="249"/>
      <c r="F173" s="183" t="s">
        <v>1144</v>
      </c>
      <c r="G173" s="250" t="s">
        <v>4</v>
      </c>
      <c r="H173" s="13"/>
      <c r="I173" s="13"/>
      <c r="J173" s="13"/>
      <c r="K173" s="5"/>
      <c r="L173" s="10"/>
    </row>
    <row r="174" spans="1:12">
      <c r="A174" s="2"/>
      <c r="B174" s="253" t="s">
        <v>2075</v>
      </c>
      <c r="C174" s="254" t="s">
        <v>1964</v>
      </c>
      <c r="D174" s="249" t="s">
        <v>0</v>
      </c>
      <c r="E174" s="249"/>
      <c r="F174" s="183" t="s">
        <v>1960</v>
      </c>
      <c r="G174" s="250"/>
      <c r="H174" s="13"/>
      <c r="I174" s="13"/>
      <c r="J174" s="13"/>
      <c r="K174" s="5"/>
      <c r="L174" s="10"/>
    </row>
    <row r="175" spans="1:12">
      <c r="A175" s="2" t="s">
        <v>0</v>
      </c>
      <c r="B175" s="253" t="s">
        <v>2075</v>
      </c>
      <c r="C175" s="254" t="s">
        <v>1335</v>
      </c>
      <c r="D175" s="249" t="s">
        <v>0</v>
      </c>
      <c r="E175" s="249" t="s">
        <v>0</v>
      </c>
      <c r="F175" s="183" t="s">
        <v>385</v>
      </c>
      <c r="G175" s="250" t="s">
        <v>4</v>
      </c>
      <c r="H175" s="13"/>
      <c r="I175" s="13"/>
      <c r="J175" s="13"/>
      <c r="K175" s="5" t="s">
        <v>0</v>
      </c>
      <c r="L175" s="10"/>
    </row>
    <row r="176" spans="1:12">
      <c r="A176" s="2" t="s">
        <v>0</v>
      </c>
      <c r="B176" s="253" t="s">
        <v>2075</v>
      </c>
      <c r="C176" s="254" t="s">
        <v>1336</v>
      </c>
      <c r="D176" s="249" t="s">
        <v>0</v>
      </c>
      <c r="E176" s="249" t="s">
        <v>0</v>
      </c>
      <c r="F176" s="194" t="s">
        <v>386</v>
      </c>
      <c r="G176" s="250" t="s">
        <v>0</v>
      </c>
      <c r="H176" s="51">
        <f>SUM(H163:H175)</f>
        <v>0</v>
      </c>
      <c r="I176" s="51">
        <f>SUM(I163:I175)</f>
        <v>0</v>
      </c>
      <c r="J176" s="51">
        <f>SUM(J163:J175)</f>
        <v>0</v>
      </c>
      <c r="K176" s="5" t="s">
        <v>0</v>
      </c>
      <c r="L176" s="10"/>
    </row>
    <row r="177" spans="1:12">
      <c r="A177" s="2"/>
      <c r="B177" s="253"/>
      <c r="C177" s="254"/>
      <c r="D177" s="249"/>
      <c r="E177" s="249"/>
      <c r="F177" s="192" t="s">
        <v>1174</v>
      </c>
      <c r="G177" s="250"/>
      <c r="H177" s="14"/>
      <c r="I177" s="14"/>
      <c r="J177" s="14"/>
      <c r="K177" s="5"/>
      <c r="L177" s="10"/>
    </row>
    <row r="178" spans="1:12">
      <c r="A178" s="2"/>
      <c r="B178" s="253" t="s">
        <v>2075</v>
      </c>
      <c r="C178" s="254" t="s">
        <v>1337</v>
      </c>
      <c r="D178" s="249" t="s">
        <v>0</v>
      </c>
      <c r="E178" s="249"/>
      <c r="F178" s="240" t="s">
        <v>1856</v>
      </c>
      <c r="G178" s="250" t="s">
        <v>4</v>
      </c>
      <c r="H178" s="13"/>
      <c r="I178" s="13"/>
      <c r="J178" s="13"/>
      <c r="K178" s="5"/>
      <c r="L178" s="10"/>
    </row>
    <row r="179" spans="1:12">
      <c r="A179" s="2"/>
      <c r="B179" s="253" t="s">
        <v>2075</v>
      </c>
      <c r="C179" s="254" t="s">
        <v>1331</v>
      </c>
      <c r="D179" s="249" t="s">
        <v>0</v>
      </c>
      <c r="E179" s="249"/>
      <c r="F179" s="240" t="s">
        <v>1857</v>
      </c>
      <c r="G179" s="250" t="s">
        <v>4</v>
      </c>
      <c r="H179" s="13"/>
      <c r="I179" s="13"/>
      <c r="J179" s="13"/>
      <c r="K179" s="5"/>
      <c r="L179" s="10"/>
    </row>
    <row r="180" spans="1:12">
      <c r="A180" s="2"/>
      <c r="B180" s="253" t="s">
        <v>2075</v>
      </c>
      <c r="C180" s="254" t="s">
        <v>1338</v>
      </c>
      <c r="D180" s="249" t="s">
        <v>0</v>
      </c>
      <c r="E180" s="249"/>
      <c r="F180" s="240" t="s">
        <v>1858</v>
      </c>
      <c r="G180" s="250" t="s">
        <v>4</v>
      </c>
      <c r="H180" s="13"/>
      <c r="I180" s="13"/>
      <c r="J180" s="13"/>
      <c r="K180" s="5"/>
      <c r="L180" s="10"/>
    </row>
    <row r="181" spans="1:12">
      <c r="A181" s="2"/>
      <c r="B181" s="253" t="s">
        <v>2075</v>
      </c>
      <c r="C181" s="254" t="s">
        <v>1336</v>
      </c>
      <c r="D181" s="249" t="s">
        <v>0</v>
      </c>
      <c r="E181" s="249" t="s">
        <v>0</v>
      </c>
      <c r="F181" s="194" t="s">
        <v>386</v>
      </c>
      <c r="G181" s="250" t="s">
        <v>0</v>
      </c>
      <c r="H181" s="51">
        <f>SUM(H178:H180)</f>
        <v>0</v>
      </c>
      <c r="I181" s="51">
        <f>SUM(I178:I180)</f>
        <v>0</v>
      </c>
      <c r="J181" s="51">
        <f>SUM(J178:J180)</f>
        <v>0</v>
      </c>
      <c r="K181" s="5"/>
      <c r="L181" s="10"/>
    </row>
    <row r="182" spans="1:12">
      <c r="A182" s="2" t="s">
        <v>0</v>
      </c>
      <c r="B182" s="253"/>
      <c r="C182" s="254"/>
      <c r="D182" s="249" t="s">
        <v>0</v>
      </c>
      <c r="E182" s="249" t="s">
        <v>0</v>
      </c>
      <c r="F182" s="194" t="s">
        <v>387</v>
      </c>
      <c r="G182" s="250" t="s">
        <v>0</v>
      </c>
      <c r="H182" s="53"/>
      <c r="I182" s="53"/>
      <c r="J182" s="53"/>
      <c r="K182" s="5" t="s">
        <v>0</v>
      </c>
      <c r="L182" s="10"/>
    </row>
    <row r="183" spans="1:12">
      <c r="A183" s="2" t="s">
        <v>0</v>
      </c>
      <c r="B183" s="253" t="s">
        <v>2075</v>
      </c>
      <c r="C183" s="254" t="s">
        <v>1339</v>
      </c>
      <c r="D183" s="249" t="s">
        <v>0</v>
      </c>
      <c r="E183" s="249" t="s">
        <v>0</v>
      </c>
      <c r="F183" s="183" t="s">
        <v>388</v>
      </c>
      <c r="G183" s="250" t="s">
        <v>0</v>
      </c>
      <c r="H183" s="13"/>
      <c r="I183" s="13"/>
      <c r="J183" s="13"/>
      <c r="K183" s="5" t="s">
        <v>0</v>
      </c>
      <c r="L183" s="10"/>
    </row>
    <row r="184" spans="1:12">
      <c r="A184" s="2" t="s">
        <v>0</v>
      </c>
      <c r="B184" s="253"/>
      <c r="C184" s="254"/>
      <c r="D184" s="249" t="s">
        <v>0</v>
      </c>
      <c r="E184" s="249" t="s">
        <v>0</v>
      </c>
      <c r="F184" s="184" t="s">
        <v>389</v>
      </c>
      <c r="G184" s="250" t="s">
        <v>0</v>
      </c>
      <c r="H184" s="53"/>
      <c r="I184" s="53"/>
      <c r="J184" s="53"/>
      <c r="K184" s="5" t="s">
        <v>0</v>
      </c>
      <c r="L184" s="10"/>
    </row>
    <row r="185" spans="1:12">
      <c r="A185" s="2" t="s">
        <v>0</v>
      </c>
      <c r="B185" s="253" t="s">
        <v>2075</v>
      </c>
      <c r="C185" s="254" t="s">
        <v>1340</v>
      </c>
      <c r="D185" s="249" t="s">
        <v>0</v>
      </c>
      <c r="E185" s="249" t="s">
        <v>0</v>
      </c>
      <c r="F185" s="183" t="s">
        <v>390</v>
      </c>
      <c r="G185" s="250" t="s">
        <v>0</v>
      </c>
      <c r="H185" s="13"/>
      <c r="I185" s="13"/>
      <c r="J185" s="13"/>
      <c r="K185" s="5" t="s">
        <v>0</v>
      </c>
      <c r="L185" s="10"/>
    </row>
    <row r="186" spans="1:12">
      <c r="A186" s="2" t="s">
        <v>0</v>
      </c>
      <c r="B186" s="253" t="s">
        <v>2075</v>
      </c>
      <c r="C186" s="254" t="s">
        <v>1341</v>
      </c>
      <c r="D186" s="249" t="s">
        <v>0</v>
      </c>
      <c r="E186" s="249" t="s">
        <v>0</v>
      </c>
      <c r="F186" s="183" t="s">
        <v>391</v>
      </c>
      <c r="G186" s="250" t="s">
        <v>0</v>
      </c>
      <c r="H186" s="13"/>
      <c r="I186" s="13"/>
      <c r="J186" s="13"/>
      <c r="K186" s="5" t="s">
        <v>0</v>
      </c>
      <c r="L186" s="10"/>
    </row>
    <row r="187" spans="1:12">
      <c r="A187" s="2" t="s">
        <v>0</v>
      </c>
      <c r="B187" s="253" t="s">
        <v>2075</v>
      </c>
      <c r="C187" s="254" t="s">
        <v>1342</v>
      </c>
      <c r="D187" s="249" t="s">
        <v>0</v>
      </c>
      <c r="E187" s="249" t="s">
        <v>0</v>
      </c>
      <c r="F187" s="183" t="s">
        <v>392</v>
      </c>
      <c r="G187" s="250" t="s">
        <v>0</v>
      </c>
      <c r="H187" s="13"/>
      <c r="I187" s="13"/>
      <c r="J187" s="13"/>
      <c r="K187" s="5" t="s">
        <v>0</v>
      </c>
      <c r="L187" s="10"/>
    </row>
    <row r="188" spans="1:12">
      <c r="A188" s="2" t="s">
        <v>0</v>
      </c>
      <c r="B188" s="253" t="s">
        <v>2075</v>
      </c>
      <c r="C188" s="254" t="s">
        <v>1343</v>
      </c>
      <c r="D188" s="249" t="s">
        <v>0</v>
      </c>
      <c r="E188" s="249" t="s">
        <v>0</v>
      </c>
      <c r="F188" s="183" t="s">
        <v>393</v>
      </c>
      <c r="G188" s="250" t="s">
        <v>0</v>
      </c>
      <c r="H188" s="13"/>
      <c r="I188" s="13"/>
      <c r="J188" s="13"/>
      <c r="K188" s="5" t="s">
        <v>0</v>
      </c>
      <c r="L188" s="10"/>
    </row>
    <row r="189" spans="1:12">
      <c r="A189" s="2"/>
      <c r="B189" s="253"/>
      <c r="C189" s="254"/>
      <c r="D189" s="249"/>
      <c r="E189" s="249"/>
      <c r="F189" s="183"/>
      <c r="G189" s="250"/>
      <c r="H189" s="19"/>
      <c r="I189" s="19"/>
      <c r="J189" s="19"/>
      <c r="K189" s="5"/>
      <c r="L189" s="10"/>
    </row>
    <row r="190" spans="1:12">
      <c r="A190" s="2" t="s">
        <v>0</v>
      </c>
      <c r="B190" s="253"/>
      <c r="C190" s="254"/>
      <c r="D190" s="249" t="s">
        <v>0</v>
      </c>
      <c r="E190" s="249" t="s">
        <v>0</v>
      </c>
      <c r="F190" s="184" t="s">
        <v>18</v>
      </c>
      <c r="G190" s="250" t="s">
        <v>0</v>
      </c>
      <c r="H190" s="19"/>
      <c r="I190" s="19"/>
      <c r="J190" s="19"/>
      <c r="K190" s="5" t="s">
        <v>0</v>
      </c>
      <c r="L190" s="10"/>
    </row>
    <row r="191" spans="1:12">
      <c r="A191" s="2" t="s">
        <v>0</v>
      </c>
      <c r="B191" s="253"/>
      <c r="C191" s="254"/>
      <c r="D191" s="249" t="s">
        <v>0</v>
      </c>
      <c r="E191" s="249" t="s">
        <v>0</v>
      </c>
      <c r="F191" s="184" t="s">
        <v>19</v>
      </c>
      <c r="G191" s="250" t="s">
        <v>0</v>
      </c>
      <c r="H191" s="5"/>
      <c r="I191" s="5"/>
      <c r="J191" s="5" t="s">
        <v>0</v>
      </c>
      <c r="K191" s="5" t="s">
        <v>0</v>
      </c>
      <c r="L191" s="10"/>
    </row>
    <row r="192" spans="1:12">
      <c r="B192" s="253" t="s">
        <v>2075</v>
      </c>
      <c r="C192" s="254" t="s">
        <v>1344</v>
      </c>
      <c r="D192" s="249" t="s">
        <v>0</v>
      </c>
      <c r="E192" s="249" t="s">
        <v>0</v>
      </c>
      <c r="F192" s="183" t="s">
        <v>394</v>
      </c>
      <c r="G192" s="250" t="s">
        <v>4</v>
      </c>
      <c r="H192" s="13">
        <v>93719000</v>
      </c>
      <c r="I192" s="13">
        <v>50773000</v>
      </c>
      <c r="J192" s="13"/>
      <c r="K192" s="5" t="s">
        <v>0</v>
      </c>
      <c r="L192" s="10"/>
    </row>
    <row r="193" spans="1:12">
      <c r="A193" s="2" t="s">
        <v>0</v>
      </c>
      <c r="B193" s="253" t="s">
        <v>2075</v>
      </c>
      <c r="C193" s="254" t="s">
        <v>1345</v>
      </c>
      <c r="D193" s="249" t="s">
        <v>0</v>
      </c>
      <c r="E193" s="249" t="s">
        <v>0</v>
      </c>
      <c r="F193" s="183" t="s">
        <v>395</v>
      </c>
      <c r="G193" s="250" t="s">
        <v>4</v>
      </c>
      <c r="H193" s="13">
        <v>8003397000</v>
      </c>
      <c r="I193" s="13">
        <v>13864509000</v>
      </c>
      <c r="J193" s="13"/>
      <c r="K193" s="5" t="s">
        <v>0</v>
      </c>
      <c r="L193" s="10"/>
    </row>
    <row r="194" spans="1:12">
      <c r="A194" s="2" t="s">
        <v>0</v>
      </c>
      <c r="B194" s="253" t="s">
        <v>2075</v>
      </c>
      <c r="C194" s="254" t="s">
        <v>1346</v>
      </c>
      <c r="D194" s="249" t="s">
        <v>0</v>
      </c>
      <c r="E194" s="249" t="s">
        <v>0</v>
      </c>
      <c r="F194" s="189" t="s">
        <v>396</v>
      </c>
      <c r="G194" s="250" t="s">
        <v>4</v>
      </c>
      <c r="H194" s="51">
        <f>H192+H193</f>
        <v>8097116000</v>
      </c>
      <c r="I194" s="51">
        <f>I192+I193</f>
        <v>13915282000</v>
      </c>
      <c r="J194" s="51">
        <f>J192+J193</f>
        <v>0</v>
      </c>
      <c r="K194" s="5" t="s">
        <v>0</v>
      </c>
      <c r="L194" s="10"/>
    </row>
    <row r="195" spans="1:12">
      <c r="A195" s="2"/>
      <c r="B195" s="253"/>
      <c r="C195" s="254"/>
      <c r="D195" s="249"/>
      <c r="E195" s="249"/>
      <c r="F195" s="182"/>
      <c r="G195" s="250"/>
      <c r="H195" s="19"/>
      <c r="I195" s="19"/>
      <c r="J195" s="19"/>
      <c r="K195" s="5"/>
      <c r="L195" s="10"/>
    </row>
    <row r="196" spans="1:12">
      <c r="A196" s="2" t="s">
        <v>0</v>
      </c>
      <c r="B196" s="253"/>
      <c r="C196" s="254"/>
      <c r="D196" s="249" t="s">
        <v>0</v>
      </c>
      <c r="E196" s="249" t="s">
        <v>0</v>
      </c>
      <c r="F196" s="189" t="s">
        <v>20</v>
      </c>
      <c r="G196" s="250" t="s">
        <v>0</v>
      </c>
      <c r="H196" s="19"/>
      <c r="I196" s="19"/>
      <c r="J196" s="19"/>
      <c r="K196" s="5" t="s">
        <v>0</v>
      </c>
      <c r="L196" s="10"/>
    </row>
    <row r="197" spans="1:12">
      <c r="A197" s="2" t="s">
        <v>0</v>
      </c>
      <c r="B197" s="253" t="s">
        <v>2075</v>
      </c>
      <c r="C197" s="254" t="s">
        <v>1347</v>
      </c>
      <c r="D197" s="249" t="s">
        <v>0</v>
      </c>
      <c r="E197" s="249" t="s">
        <v>0</v>
      </c>
      <c r="F197" s="182" t="s">
        <v>397</v>
      </c>
      <c r="G197" s="250" t="s">
        <v>4</v>
      </c>
      <c r="H197" s="13">
        <v>41784314000</v>
      </c>
      <c r="I197" s="13">
        <v>33613770000</v>
      </c>
      <c r="J197" s="13"/>
      <c r="K197" s="5" t="s">
        <v>0</v>
      </c>
      <c r="L197" s="10"/>
    </row>
    <row r="198" spans="1:12">
      <c r="B198" s="253" t="s">
        <v>2075</v>
      </c>
      <c r="C198" s="254" t="s">
        <v>1348</v>
      </c>
      <c r="D198" s="249" t="s">
        <v>0</v>
      </c>
      <c r="E198" s="249" t="s">
        <v>0</v>
      </c>
      <c r="F198" s="182" t="s">
        <v>398</v>
      </c>
      <c r="G198" s="250" t="s">
        <v>4</v>
      </c>
      <c r="H198" s="13">
        <v>64343281000</v>
      </c>
      <c r="I198" s="13">
        <v>62532034000</v>
      </c>
      <c r="J198" s="13"/>
      <c r="K198" s="5" t="s">
        <v>0</v>
      </c>
      <c r="L198" s="10"/>
    </row>
    <row r="199" spans="1:12">
      <c r="A199" s="2" t="s">
        <v>0</v>
      </c>
      <c r="B199" s="253" t="s">
        <v>2075</v>
      </c>
      <c r="C199" s="254" t="s">
        <v>1349</v>
      </c>
      <c r="D199" s="249" t="s">
        <v>0</v>
      </c>
      <c r="E199" s="249" t="s">
        <v>0</v>
      </c>
      <c r="F199" s="182" t="s">
        <v>399</v>
      </c>
      <c r="G199" s="250" t="s">
        <v>4</v>
      </c>
      <c r="H199" s="13"/>
      <c r="I199" s="13"/>
      <c r="J199" s="13"/>
      <c r="K199" s="5" t="s">
        <v>0</v>
      </c>
      <c r="L199" s="10"/>
    </row>
    <row r="200" spans="1:12">
      <c r="A200" s="2" t="s">
        <v>0</v>
      </c>
      <c r="B200" s="253" t="s">
        <v>2075</v>
      </c>
      <c r="C200" s="254" t="s">
        <v>1350</v>
      </c>
      <c r="D200" s="249" t="s">
        <v>0</v>
      </c>
      <c r="E200" s="249" t="s">
        <v>0</v>
      </c>
      <c r="F200" s="184" t="s">
        <v>400</v>
      </c>
      <c r="G200" s="250" t="s">
        <v>4</v>
      </c>
      <c r="H200" s="51">
        <f>H197+H198+H199</f>
        <v>106127595000</v>
      </c>
      <c r="I200" s="51">
        <f t="shared" ref="I200:J200" si="26">I197+I198+I199</f>
        <v>96145804000</v>
      </c>
      <c r="J200" s="51">
        <f t="shared" si="26"/>
        <v>0</v>
      </c>
      <c r="K200" s="5" t="s">
        <v>0</v>
      </c>
      <c r="L200" s="10"/>
    </row>
    <row r="201" spans="1:12">
      <c r="A201" s="2" t="s">
        <v>0</v>
      </c>
      <c r="B201" s="253" t="s">
        <v>2075</v>
      </c>
      <c r="C201" s="254" t="s">
        <v>1351</v>
      </c>
      <c r="D201" s="249" t="s">
        <v>0</v>
      </c>
      <c r="E201" s="249" t="s">
        <v>0</v>
      </c>
      <c r="F201" s="183" t="s">
        <v>401</v>
      </c>
      <c r="G201" s="250" t="s">
        <v>4</v>
      </c>
      <c r="H201" s="13"/>
      <c r="I201" s="13"/>
      <c r="J201" s="353">
        <v>68945792000</v>
      </c>
      <c r="K201" s="5" t="s">
        <v>0</v>
      </c>
      <c r="L201" s="10"/>
    </row>
    <row r="202" spans="1:12">
      <c r="A202" s="2" t="s">
        <v>0</v>
      </c>
      <c r="B202" s="253" t="s">
        <v>2075</v>
      </c>
      <c r="C202" s="254" t="s">
        <v>1352</v>
      </c>
      <c r="D202" s="249" t="s">
        <v>0</v>
      </c>
      <c r="E202" s="249" t="s">
        <v>0</v>
      </c>
      <c r="F202" s="184" t="s">
        <v>402</v>
      </c>
      <c r="G202" s="250" t="s">
        <v>0</v>
      </c>
      <c r="H202" s="51">
        <f>H194+H200+H201</f>
        <v>114224711000</v>
      </c>
      <c r="I202" s="51">
        <f>I194+I200+I201</f>
        <v>110061086000</v>
      </c>
      <c r="J202" s="51">
        <f t="shared" ref="J202" si="27">J194+J200+J201</f>
        <v>68945792000</v>
      </c>
      <c r="K202" s="5" t="s">
        <v>0</v>
      </c>
      <c r="L202" s="10"/>
    </row>
    <row r="203" spans="1:12">
      <c r="A203" s="2"/>
      <c r="B203" s="253"/>
      <c r="C203" s="254"/>
      <c r="D203" s="249"/>
      <c r="E203" s="249"/>
      <c r="F203" s="183"/>
      <c r="G203" s="250"/>
      <c r="H203" s="19"/>
      <c r="I203" s="19"/>
      <c r="J203" s="19"/>
      <c r="K203" s="5"/>
      <c r="L203" s="10"/>
    </row>
    <row r="204" spans="1:12" ht="22.5">
      <c r="A204" s="2" t="s">
        <v>0</v>
      </c>
      <c r="B204" s="253"/>
      <c r="C204" s="254"/>
      <c r="D204" s="249" t="s">
        <v>0</v>
      </c>
      <c r="E204" s="249" t="s">
        <v>0</v>
      </c>
      <c r="F204" s="189" t="s">
        <v>21</v>
      </c>
      <c r="G204" s="250" t="s">
        <v>0</v>
      </c>
      <c r="H204" s="19"/>
      <c r="I204" s="19"/>
      <c r="J204" s="19"/>
      <c r="K204" s="5" t="s">
        <v>0</v>
      </c>
      <c r="L204" s="10"/>
    </row>
    <row r="205" spans="1:12" ht="22.5">
      <c r="B205" s="253" t="s">
        <v>2075</v>
      </c>
      <c r="C205" s="254" t="s">
        <v>1353</v>
      </c>
      <c r="D205" s="249" t="s">
        <v>0</v>
      </c>
      <c r="E205" s="249" t="s">
        <v>0</v>
      </c>
      <c r="F205" s="182" t="s">
        <v>403</v>
      </c>
      <c r="G205" s="250" t="s">
        <v>4</v>
      </c>
      <c r="H205" s="13"/>
      <c r="I205" s="13"/>
      <c r="J205" s="13"/>
      <c r="K205" s="5" t="s">
        <v>0</v>
      </c>
      <c r="L205" s="10"/>
    </row>
    <row r="206" spans="1:12" ht="22.5">
      <c r="A206" s="2" t="s">
        <v>0</v>
      </c>
      <c r="B206" s="253" t="s">
        <v>2075</v>
      </c>
      <c r="C206" s="254" t="s">
        <v>1354</v>
      </c>
      <c r="D206" s="249" t="s">
        <v>0</v>
      </c>
      <c r="E206" s="249" t="s">
        <v>0</v>
      </c>
      <c r="F206" s="182" t="s">
        <v>404</v>
      </c>
      <c r="G206" s="250" t="s">
        <v>4</v>
      </c>
      <c r="H206" s="13"/>
      <c r="I206" s="13"/>
      <c r="J206" s="13"/>
      <c r="K206" s="5" t="s">
        <v>0</v>
      </c>
      <c r="L206" s="10"/>
    </row>
    <row r="207" spans="1:12" ht="22.5">
      <c r="A207" s="2" t="s">
        <v>0</v>
      </c>
      <c r="B207" s="253" t="s">
        <v>2075</v>
      </c>
      <c r="C207" s="254" t="s">
        <v>1355</v>
      </c>
      <c r="D207" s="249" t="s">
        <v>0</v>
      </c>
      <c r="E207" s="249" t="s">
        <v>0</v>
      </c>
      <c r="F207" s="189" t="s">
        <v>405</v>
      </c>
      <c r="G207" s="250" t="s">
        <v>0</v>
      </c>
      <c r="H207" s="51">
        <f>H205+H206</f>
        <v>0</v>
      </c>
      <c r="I207" s="51">
        <f>I205+I206</f>
        <v>0</v>
      </c>
      <c r="J207" s="51">
        <f t="shared" ref="J207" si="28">J205+J206</f>
        <v>0</v>
      </c>
      <c r="K207" s="5" t="s">
        <v>0</v>
      </c>
      <c r="L207" s="10"/>
    </row>
    <row r="208" spans="1:12">
      <c r="A208" s="2"/>
      <c r="B208" s="253"/>
      <c r="C208" s="254"/>
      <c r="D208" s="249"/>
      <c r="E208" s="249"/>
      <c r="F208" s="182"/>
      <c r="G208" s="250"/>
      <c r="H208" s="19"/>
      <c r="I208" s="19"/>
      <c r="J208" s="19"/>
      <c r="K208" s="5"/>
      <c r="L208" s="10"/>
    </row>
    <row r="209" spans="1:12">
      <c r="A209" s="2" t="s">
        <v>0</v>
      </c>
      <c r="B209" s="253"/>
      <c r="C209" s="254"/>
      <c r="D209" s="249"/>
      <c r="E209" s="249" t="s">
        <v>0</v>
      </c>
      <c r="F209" s="184" t="s">
        <v>406</v>
      </c>
      <c r="G209" s="250" t="s">
        <v>0</v>
      </c>
      <c r="H209" s="19"/>
      <c r="I209" s="19"/>
      <c r="J209" s="19"/>
      <c r="K209" s="5" t="s">
        <v>0</v>
      </c>
      <c r="L209" s="10"/>
    </row>
    <row r="210" spans="1:12">
      <c r="A210" s="2" t="s">
        <v>0</v>
      </c>
      <c r="B210" s="253" t="s">
        <v>2075</v>
      </c>
      <c r="C210" s="254" t="s">
        <v>1356</v>
      </c>
      <c r="D210" s="249" t="s">
        <v>0</v>
      </c>
      <c r="E210" s="249" t="s">
        <v>0</v>
      </c>
      <c r="F210" s="183" t="s">
        <v>407</v>
      </c>
      <c r="G210" s="250" t="s">
        <v>0</v>
      </c>
      <c r="H210" s="13"/>
      <c r="I210" s="13"/>
      <c r="J210" s="13"/>
      <c r="K210" s="5" t="s">
        <v>0</v>
      </c>
      <c r="L210" s="10"/>
    </row>
    <row r="211" spans="1:12">
      <c r="B211" s="253" t="s">
        <v>2075</v>
      </c>
      <c r="C211" s="254" t="s">
        <v>1357</v>
      </c>
      <c r="D211" s="249" t="s">
        <v>0</v>
      </c>
      <c r="E211" s="249" t="s">
        <v>0</v>
      </c>
      <c r="F211" s="183" t="s">
        <v>408</v>
      </c>
      <c r="G211" s="250" t="s">
        <v>0</v>
      </c>
      <c r="H211" s="13"/>
      <c r="I211" s="13"/>
      <c r="J211" s="13"/>
      <c r="K211" s="5" t="s">
        <v>0</v>
      </c>
      <c r="L211" s="10"/>
    </row>
    <row r="212" spans="1:12">
      <c r="A212" s="2" t="s">
        <v>0</v>
      </c>
      <c r="B212" s="253" t="s">
        <v>2075</v>
      </c>
      <c r="C212" s="254" t="s">
        <v>1358</v>
      </c>
      <c r="D212" s="249" t="s">
        <v>0</v>
      </c>
      <c r="E212" s="249" t="s">
        <v>0</v>
      </c>
      <c r="F212" s="183" t="s">
        <v>409</v>
      </c>
      <c r="G212" s="250" t="s">
        <v>0</v>
      </c>
      <c r="H212" s="13"/>
      <c r="I212" s="13"/>
      <c r="J212" s="13"/>
      <c r="K212" s="5" t="s">
        <v>0</v>
      </c>
      <c r="L212" s="10"/>
    </row>
    <row r="213" spans="1:12">
      <c r="A213" s="2"/>
      <c r="B213" s="253" t="s">
        <v>2075</v>
      </c>
      <c r="C213" s="254" t="s">
        <v>1359</v>
      </c>
      <c r="D213" s="249" t="s">
        <v>0</v>
      </c>
      <c r="E213" s="249"/>
      <c r="F213" s="183" t="s">
        <v>1145</v>
      </c>
      <c r="G213" s="250"/>
      <c r="H213" s="13"/>
      <c r="I213" s="13"/>
      <c r="J213" s="13"/>
      <c r="K213" s="5"/>
      <c r="L213" s="10"/>
    </row>
    <row r="214" spans="1:12">
      <c r="A214" s="2" t="s">
        <v>0</v>
      </c>
      <c r="B214" s="253" t="s">
        <v>2075</v>
      </c>
      <c r="C214" s="254" t="s">
        <v>1360</v>
      </c>
      <c r="D214" s="249" t="s">
        <v>0</v>
      </c>
      <c r="E214" s="249" t="s">
        <v>0</v>
      </c>
      <c r="F214" s="183" t="s">
        <v>410</v>
      </c>
      <c r="G214" s="250" t="s">
        <v>0</v>
      </c>
      <c r="H214" s="13"/>
      <c r="I214" s="13"/>
      <c r="J214" s="13"/>
      <c r="K214" s="5" t="s">
        <v>0</v>
      </c>
      <c r="L214" s="10"/>
    </row>
    <row r="215" spans="1:12">
      <c r="A215" s="2"/>
      <c r="B215" s="253" t="s">
        <v>2075</v>
      </c>
      <c r="C215" s="254" t="s">
        <v>1886</v>
      </c>
      <c r="D215" s="249" t="s">
        <v>0</v>
      </c>
      <c r="E215" s="249" t="s">
        <v>0</v>
      </c>
      <c r="F215" s="183" t="s">
        <v>1887</v>
      </c>
      <c r="G215" s="250"/>
      <c r="H215" s="13"/>
      <c r="I215" s="13"/>
      <c r="J215" s="13"/>
      <c r="K215" s="5"/>
      <c r="L215" s="10"/>
    </row>
    <row r="216" spans="1:12">
      <c r="A216" s="2" t="s">
        <v>0</v>
      </c>
      <c r="B216" s="253" t="s">
        <v>2075</v>
      </c>
      <c r="C216" s="254" t="s">
        <v>1361</v>
      </c>
      <c r="D216" s="249" t="s">
        <v>0</v>
      </c>
      <c r="E216" s="249" t="s">
        <v>0</v>
      </c>
      <c r="F216" s="183" t="s">
        <v>411</v>
      </c>
      <c r="G216" s="250" t="s">
        <v>0</v>
      </c>
      <c r="H216" s="13"/>
      <c r="I216" s="13"/>
      <c r="J216" s="13"/>
      <c r="K216" s="5" t="s">
        <v>0</v>
      </c>
      <c r="L216" s="10"/>
    </row>
    <row r="217" spans="1:12">
      <c r="A217" s="2" t="s">
        <v>0</v>
      </c>
      <c r="B217" s="253" t="s">
        <v>2075</v>
      </c>
      <c r="C217" s="254" t="s">
        <v>1362</v>
      </c>
      <c r="D217" s="249" t="s">
        <v>0</v>
      </c>
      <c r="E217" s="249" t="s">
        <v>0</v>
      </c>
      <c r="F217" s="183" t="s">
        <v>412</v>
      </c>
      <c r="G217" s="250" t="s">
        <v>0</v>
      </c>
      <c r="H217" s="13"/>
      <c r="I217" s="13"/>
      <c r="J217" s="13"/>
      <c r="K217" s="5" t="s">
        <v>0</v>
      </c>
      <c r="L217" s="10"/>
    </row>
    <row r="218" spans="1:12">
      <c r="B218" s="253" t="s">
        <v>2075</v>
      </c>
      <c r="C218" s="254" t="s">
        <v>1363</v>
      </c>
      <c r="D218" s="249" t="s">
        <v>0</v>
      </c>
      <c r="E218" s="249" t="s">
        <v>0</v>
      </c>
      <c r="F218" s="183" t="s">
        <v>413</v>
      </c>
      <c r="G218" s="250" t="s">
        <v>0</v>
      </c>
      <c r="H218" s="13"/>
      <c r="I218" s="13"/>
      <c r="J218" s="13"/>
      <c r="K218" s="5" t="s">
        <v>0</v>
      </c>
      <c r="L218" s="10"/>
    </row>
    <row r="219" spans="1:12">
      <c r="A219" s="2" t="s">
        <v>0</v>
      </c>
      <c r="B219" s="253" t="s">
        <v>2075</v>
      </c>
      <c r="C219" s="254" t="s">
        <v>1364</v>
      </c>
      <c r="D219" s="249" t="s">
        <v>0</v>
      </c>
      <c r="E219" s="249" t="s">
        <v>0</v>
      </c>
      <c r="F219" s="183" t="s">
        <v>414</v>
      </c>
      <c r="G219" s="250" t="s">
        <v>0</v>
      </c>
      <c r="H219" s="13"/>
      <c r="I219" s="13"/>
      <c r="J219" s="13"/>
      <c r="K219" s="5" t="s">
        <v>0</v>
      </c>
      <c r="L219" s="10"/>
    </row>
    <row r="220" spans="1:12">
      <c r="A220" s="2"/>
      <c r="B220" s="253"/>
      <c r="C220" s="254"/>
      <c r="D220" s="249"/>
      <c r="E220" s="249"/>
      <c r="F220" s="183"/>
      <c r="G220" s="250"/>
      <c r="H220" s="19"/>
      <c r="I220" s="19"/>
      <c r="J220" s="19"/>
      <c r="K220" s="5"/>
      <c r="L220" s="10"/>
    </row>
    <row r="221" spans="1:12">
      <c r="A221" s="2" t="s">
        <v>0</v>
      </c>
      <c r="B221" s="253"/>
      <c r="C221" s="254"/>
      <c r="D221" s="249" t="s">
        <v>0</v>
      </c>
      <c r="E221" s="249" t="s">
        <v>0</v>
      </c>
      <c r="F221" s="184" t="s">
        <v>22</v>
      </c>
      <c r="G221" s="250" t="s">
        <v>0</v>
      </c>
      <c r="H221" s="19"/>
      <c r="I221" s="19"/>
      <c r="J221" s="19"/>
      <c r="K221" s="5" t="s">
        <v>0</v>
      </c>
      <c r="L221" s="10"/>
    </row>
    <row r="222" spans="1:12">
      <c r="A222" s="2" t="s">
        <v>0</v>
      </c>
      <c r="B222" s="253"/>
      <c r="C222" s="254"/>
      <c r="D222" s="249" t="s">
        <v>0</v>
      </c>
      <c r="E222" s="249" t="s">
        <v>0</v>
      </c>
      <c r="F222" s="184" t="s">
        <v>23</v>
      </c>
      <c r="G222" s="250" t="s">
        <v>0</v>
      </c>
      <c r="H222" s="5"/>
      <c r="I222" s="5"/>
      <c r="J222" s="5" t="s">
        <v>0</v>
      </c>
      <c r="K222" s="5" t="s">
        <v>0</v>
      </c>
      <c r="L222" s="10"/>
    </row>
    <row r="223" spans="1:12">
      <c r="A223" s="2" t="s">
        <v>0</v>
      </c>
      <c r="B223" s="253" t="s">
        <v>2075</v>
      </c>
      <c r="C223" s="254" t="s">
        <v>1365</v>
      </c>
      <c r="D223" s="249" t="s">
        <v>0</v>
      </c>
      <c r="E223" s="249" t="s">
        <v>0</v>
      </c>
      <c r="F223" s="183" t="s">
        <v>415</v>
      </c>
      <c r="G223" s="250" t="s">
        <v>4</v>
      </c>
      <c r="H223" s="13"/>
      <c r="I223" s="13"/>
      <c r="J223" s="13"/>
      <c r="K223" s="5" t="s">
        <v>0</v>
      </c>
      <c r="L223" s="10"/>
    </row>
    <row r="224" spans="1:12">
      <c r="B224" s="253" t="s">
        <v>2075</v>
      </c>
      <c r="C224" s="254" t="s">
        <v>1366</v>
      </c>
      <c r="D224" s="249" t="s">
        <v>0</v>
      </c>
      <c r="E224" s="249" t="s">
        <v>0</v>
      </c>
      <c r="F224" s="183" t="s">
        <v>416</v>
      </c>
      <c r="G224" s="250" t="s">
        <v>4</v>
      </c>
      <c r="H224" s="13"/>
      <c r="I224" s="13"/>
      <c r="J224" s="13"/>
      <c r="K224" s="5" t="s">
        <v>0</v>
      </c>
      <c r="L224" s="10"/>
    </row>
    <row r="225" spans="1:12">
      <c r="A225" s="2" t="s">
        <v>0</v>
      </c>
      <c r="B225" s="253" t="s">
        <v>2075</v>
      </c>
      <c r="C225" s="254" t="s">
        <v>1367</v>
      </c>
      <c r="D225" s="249" t="s">
        <v>0</v>
      </c>
      <c r="E225" s="249" t="s">
        <v>0</v>
      </c>
      <c r="F225" s="184" t="s">
        <v>417</v>
      </c>
      <c r="G225" s="250" t="s">
        <v>0</v>
      </c>
      <c r="H225" s="51">
        <f>H223+H224</f>
        <v>0</v>
      </c>
      <c r="I225" s="51">
        <f t="shared" ref="I225:J225" si="29">I223+I224</f>
        <v>0</v>
      </c>
      <c r="J225" s="51">
        <f t="shared" si="29"/>
        <v>0</v>
      </c>
      <c r="K225" s="5" t="s">
        <v>0</v>
      </c>
      <c r="L225" s="10"/>
    </row>
    <row r="226" spans="1:12">
      <c r="A226" s="2"/>
      <c r="B226" s="253"/>
      <c r="C226" s="254"/>
      <c r="D226" s="249"/>
      <c r="E226" s="249"/>
      <c r="F226" s="183"/>
      <c r="G226" s="250"/>
      <c r="H226" s="19"/>
      <c r="I226" s="19"/>
      <c r="J226" s="19"/>
      <c r="K226" s="5"/>
      <c r="L226" s="10"/>
    </row>
    <row r="227" spans="1:12">
      <c r="A227" s="2" t="s">
        <v>0</v>
      </c>
      <c r="B227" s="253"/>
      <c r="C227" s="254"/>
      <c r="D227" s="249" t="s">
        <v>0</v>
      </c>
      <c r="E227" s="249" t="s">
        <v>0</v>
      </c>
      <c r="F227" s="184" t="s">
        <v>24</v>
      </c>
      <c r="G227" s="250" t="s">
        <v>0</v>
      </c>
      <c r="H227" s="19"/>
      <c r="I227" s="19"/>
      <c r="J227" s="19"/>
      <c r="K227" s="5" t="s">
        <v>0</v>
      </c>
      <c r="L227" s="10"/>
    </row>
    <row r="228" spans="1:12">
      <c r="A228" s="2" t="s">
        <v>0</v>
      </c>
      <c r="B228" s="253" t="s">
        <v>2075</v>
      </c>
      <c r="C228" s="254" t="s">
        <v>1368</v>
      </c>
      <c r="D228" s="249" t="s">
        <v>0</v>
      </c>
      <c r="E228" s="249" t="s">
        <v>0</v>
      </c>
      <c r="F228" s="183" t="s">
        <v>418</v>
      </c>
      <c r="G228" s="250" t="s">
        <v>4</v>
      </c>
      <c r="H228" s="13"/>
      <c r="I228" s="13"/>
      <c r="J228" s="13"/>
      <c r="K228" s="5" t="s">
        <v>0</v>
      </c>
      <c r="L228" s="10"/>
    </row>
    <row r="229" spans="1:12">
      <c r="A229" s="2" t="s">
        <v>0</v>
      </c>
      <c r="B229" s="253" t="s">
        <v>2075</v>
      </c>
      <c r="C229" s="254" t="s">
        <v>1369</v>
      </c>
      <c r="D229" s="249" t="s">
        <v>0</v>
      </c>
      <c r="E229" s="249" t="s">
        <v>0</v>
      </c>
      <c r="F229" s="183" t="s">
        <v>419</v>
      </c>
      <c r="G229" s="250" t="s">
        <v>4</v>
      </c>
      <c r="H229" s="13">
        <v>125077000</v>
      </c>
      <c r="I229" s="13">
        <v>1253461000</v>
      </c>
      <c r="J229" s="13"/>
      <c r="K229" s="5" t="s">
        <v>0</v>
      </c>
      <c r="L229" s="10"/>
    </row>
    <row r="230" spans="1:12">
      <c r="B230" s="253" t="s">
        <v>2075</v>
      </c>
      <c r="C230" s="254" t="s">
        <v>1370</v>
      </c>
      <c r="D230" s="249" t="s">
        <v>0</v>
      </c>
      <c r="E230" s="249" t="s">
        <v>0</v>
      </c>
      <c r="F230" s="184" t="s">
        <v>420</v>
      </c>
      <c r="G230" s="250" t="s">
        <v>0</v>
      </c>
      <c r="H230" s="51">
        <f>H228+H229</f>
        <v>125077000</v>
      </c>
      <c r="I230" s="51">
        <f t="shared" ref="I230:J230" si="30">I228+I229</f>
        <v>1253461000</v>
      </c>
      <c r="J230" s="51">
        <f t="shared" si="30"/>
        <v>0</v>
      </c>
      <c r="K230" s="5" t="s">
        <v>0</v>
      </c>
      <c r="L230" s="10"/>
    </row>
    <row r="231" spans="1:12">
      <c r="B231" s="253"/>
      <c r="C231" s="254"/>
      <c r="D231" s="249"/>
      <c r="E231" s="249"/>
      <c r="F231" s="183"/>
      <c r="G231" s="250"/>
      <c r="H231" s="19"/>
      <c r="I231" s="19"/>
      <c r="J231" s="19"/>
      <c r="K231" s="5"/>
      <c r="L231" s="10"/>
    </row>
    <row r="232" spans="1:12">
      <c r="A232" s="2" t="s">
        <v>0</v>
      </c>
      <c r="B232" s="253"/>
      <c r="C232" s="254"/>
      <c r="D232" s="249" t="s">
        <v>0</v>
      </c>
      <c r="E232" s="249" t="s">
        <v>0</v>
      </c>
      <c r="F232" s="184" t="s">
        <v>25</v>
      </c>
      <c r="G232" s="250" t="s">
        <v>0</v>
      </c>
      <c r="H232" s="19"/>
      <c r="I232" s="19"/>
      <c r="J232" s="19"/>
      <c r="K232" s="5" t="s">
        <v>0</v>
      </c>
      <c r="L232" s="10"/>
    </row>
    <row r="233" spans="1:12">
      <c r="A233" s="2" t="s">
        <v>0</v>
      </c>
      <c r="B233" s="253" t="s">
        <v>2075</v>
      </c>
      <c r="C233" s="254" t="s">
        <v>1371</v>
      </c>
      <c r="D233" s="249" t="s">
        <v>0</v>
      </c>
      <c r="E233" s="249" t="s">
        <v>0</v>
      </c>
      <c r="F233" s="183" t="s">
        <v>421</v>
      </c>
      <c r="G233" s="250" t="s">
        <v>4</v>
      </c>
      <c r="H233" s="13"/>
      <c r="I233" s="13"/>
      <c r="J233" s="13"/>
      <c r="K233" s="5" t="s">
        <v>0</v>
      </c>
      <c r="L233" s="10"/>
    </row>
    <row r="234" spans="1:12">
      <c r="A234" s="2" t="s">
        <v>0</v>
      </c>
      <c r="B234" s="253" t="s">
        <v>2075</v>
      </c>
      <c r="C234" s="254" t="s">
        <v>1372</v>
      </c>
      <c r="D234" s="249" t="s">
        <v>0</v>
      </c>
      <c r="E234" s="249" t="s">
        <v>0</v>
      </c>
      <c r="F234" s="182" t="s">
        <v>422</v>
      </c>
      <c r="G234" s="250" t="s">
        <v>4</v>
      </c>
      <c r="H234" s="13"/>
      <c r="I234" s="13"/>
      <c r="J234" s="13"/>
      <c r="K234" s="5" t="s">
        <v>0</v>
      </c>
      <c r="L234" s="10"/>
    </row>
    <row r="235" spans="1:12">
      <c r="A235" s="2" t="s">
        <v>0</v>
      </c>
      <c r="B235" s="253" t="s">
        <v>2075</v>
      </c>
      <c r="C235" s="254" t="s">
        <v>1373</v>
      </c>
      <c r="D235" s="249" t="s">
        <v>0</v>
      </c>
      <c r="E235" s="249" t="s">
        <v>0</v>
      </c>
      <c r="F235" s="189" t="s">
        <v>423</v>
      </c>
      <c r="G235" s="250" t="s">
        <v>0</v>
      </c>
      <c r="H235" s="51">
        <f>H233+H234</f>
        <v>0</v>
      </c>
      <c r="I235" s="51">
        <f t="shared" ref="I235:J235" si="31">I233+I234</f>
        <v>0</v>
      </c>
      <c r="J235" s="51">
        <f t="shared" si="31"/>
        <v>0</v>
      </c>
      <c r="K235" s="5" t="s">
        <v>0</v>
      </c>
      <c r="L235" s="10"/>
    </row>
    <row r="236" spans="1:12">
      <c r="A236" s="2"/>
      <c r="B236" s="253"/>
      <c r="C236" s="254"/>
      <c r="D236" s="249"/>
      <c r="E236" s="249"/>
      <c r="F236" s="182"/>
      <c r="G236" s="250"/>
      <c r="H236" s="19"/>
      <c r="I236" s="19"/>
      <c r="J236" s="19"/>
      <c r="K236" s="5"/>
      <c r="L236" s="10"/>
    </row>
    <row r="237" spans="1:12">
      <c r="B237" s="253" t="s">
        <v>2075</v>
      </c>
      <c r="C237" s="254" t="s">
        <v>1374</v>
      </c>
      <c r="D237" s="249" t="s">
        <v>0</v>
      </c>
      <c r="E237" s="249" t="s">
        <v>0</v>
      </c>
      <c r="F237" s="189" t="s">
        <v>26</v>
      </c>
      <c r="G237" s="250" t="s">
        <v>0</v>
      </c>
      <c r="H237" s="19"/>
      <c r="I237" s="19"/>
      <c r="J237" s="19"/>
      <c r="K237" s="5" t="s">
        <v>0</v>
      </c>
      <c r="L237" s="10"/>
    </row>
    <row r="238" spans="1:12">
      <c r="A238" s="2" t="s">
        <v>0</v>
      </c>
      <c r="B238" s="253" t="s">
        <v>2075</v>
      </c>
      <c r="C238" s="254" t="s">
        <v>1375</v>
      </c>
      <c r="D238" s="249" t="s">
        <v>0</v>
      </c>
      <c r="E238" s="249" t="s">
        <v>0</v>
      </c>
      <c r="F238" s="183" t="s">
        <v>424</v>
      </c>
      <c r="G238" s="250" t="s">
        <v>4</v>
      </c>
      <c r="H238" s="13"/>
      <c r="I238" s="13"/>
      <c r="J238" s="13"/>
      <c r="K238" s="5" t="s">
        <v>0</v>
      </c>
      <c r="L238" s="10"/>
    </row>
    <row r="239" spans="1:12">
      <c r="A239" s="2" t="s">
        <v>0</v>
      </c>
      <c r="B239" s="253" t="s">
        <v>2075</v>
      </c>
      <c r="C239" s="254" t="s">
        <v>1376</v>
      </c>
      <c r="D239" s="249" t="s">
        <v>0</v>
      </c>
      <c r="E239" s="249" t="s">
        <v>0</v>
      </c>
      <c r="F239" s="183" t="s">
        <v>425</v>
      </c>
      <c r="G239" s="250" t="s">
        <v>4</v>
      </c>
      <c r="H239" s="13"/>
      <c r="I239" s="13"/>
      <c r="J239" s="13"/>
      <c r="K239" s="5" t="s">
        <v>0</v>
      </c>
      <c r="L239" s="10"/>
    </row>
    <row r="240" spans="1:12">
      <c r="A240" s="2" t="s">
        <v>0</v>
      </c>
      <c r="B240" s="253" t="s">
        <v>2075</v>
      </c>
      <c r="C240" s="254" t="s">
        <v>1377</v>
      </c>
      <c r="D240" s="249" t="s">
        <v>0</v>
      </c>
      <c r="E240" s="249" t="s">
        <v>0</v>
      </c>
      <c r="F240" s="184" t="s">
        <v>426</v>
      </c>
      <c r="G240" s="250" t="s">
        <v>0</v>
      </c>
      <c r="H240" s="51">
        <f>H238+H239</f>
        <v>0</v>
      </c>
      <c r="I240" s="51">
        <f>I238+I239</f>
        <v>0</v>
      </c>
      <c r="J240" s="51">
        <f>J238+J239</f>
        <v>0</v>
      </c>
      <c r="K240" s="5" t="s">
        <v>0</v>
      </c>
      <c r="L240" s="10"/>
    </row>
    <row r="241" spans="1:12">
      <c r="A241" s="2"/>
      <c r="B241" s="253"/>
      <c r="C241" s="254"/>
      <c r="D241" s="249"/>
      <c r="E241" s="249"/>
      <c r="F241" s="183"/>
      <c r="G241" s="250"/>
      <c r="H241" s="19"/>
      <c r="I241" s="19"/>
      <c r="J241" s="19"/>
      <c r="K241" s="5"/>
      <c r="L241" s="10"/>
    </row>
    <row r="242" spans="1:12">
      <c r="A242" s="2" t="s">
        <v>0</v>
      </c>
      <c r="B242" s="253"/>
      <c r="C242" s="254"/>
      <c r="D242" s="249" t="s">
        <v>0</v>
      </c>
      <c r="E242" s="249" t="s">
        <v>0</v>
      </c>
      <c r="F242" s="184" t="s">
        <v>27</v>
      </c>
      <c r="G242" s="250" t="s">
        <v>0</v>
      </c>
      <c r="H242" s="19"/>
      <c r="I242" s="19"/>
      <c r="J242" s="19"/>
      <c r="K242" s="5" t="s">
        <v>0</v>
      </c>
      <c r="L242" s="10"/>
    </row>
    <row r="243" spans="1:12">
      <c r="B243" s="253" t="s">
        <v>2075</v>
      </c>
      <c r="C243" s="254" t="s">
        <v>1378</v>
      </c>
      <c r="D243" s="249" t="s">
        <v>0</v>
      </c>
      <c r="E243" s="249" t="s">
        <v>0</v>
      </c>
      <c r="F243" s="183" t="s">
        <v>427</v>
      </c>
      <c r="G243" s="250" t="s">
        <v>4</v>
      </c>
      <c r="H243" s="13"/>
      <c r="I243" s="13"/>
      <c r="J243" s="13"/>
      <c r="K243" s="5" t="s">
        <v>0</v>
      </c>
      <c r="L243" s="10"/>
    </row>
    <row r="244" spans="1:12">
      <c r="A244" s="2" t="s">
        <v>0</v>
      </c>
      <c r="B244" s="253" t="s">
        <v>2075</v>
      </c>
      <c r="C244" s="254" t="s">
        <v>1379</v>
      </c>
      <c r="D244" s="249" t="s">
        <v>0</v>
      </c>
      <c r="E244" s="249" t="s">
        <v>0</v>
      </c>
      <c r="F244" s="183" t="s">
        <v>428</v>
      </c>
      <c r="G244" s="250" t="s">
        <v>4</v>
      </c>
      <c r="H244" s="13"/>
      <c r="I244" s="13"/>
      <c r="J244" s="13"/>
      <c r="K244" s="5" t="s">
        <v>0</v>
      </c>
      <c r="L244" s="10"/>
    </row>
    <row r="245" spans="1:12">
      <c r="A245" s="2" t="s">
        <v>0</v>
      </c>
      <c r="B245" s="253" t="s">
        <v>2075</v>
      </c>
      <c r="C245" s="254" t="s">
        <v>1380</v>
      </c>
      <c r="D245" s="249" t="s">
        <v>0</v>
      </c>
      <c r="E245" s="249" t="s">
        <v>0</v>
      </c>
      <c r="F245" s="184" t="s">
        <v>429</v>
      </c>
      <c r="G245" s="250" t="s">
        <v>0</v>
      </c>
      <c r="H245" s="51">
        <f>H243+H244</f>
        <v>0</v>
      </c>
      <c r="I245" s="51">
        <f>I243+I244</f>
        <v>0</v>
      </c>
      <c r="J245" s="51">
        <f>J243+J244</f>
        <v>0</v>
      </c>
      <c r="K245" s="5" t="s">
        <v>0</v>
      </c>
      <c r="L245" s="10"/>
    </row>
    <row r="246" spans="1:12">
      <c r="A246" s="2"/>
      <c r="B246" s="253"/>
      <c r="C246" s="254"/>
      <c r="D246" s="249"/>
      <c r="E246" s="249"/>
      <c r="F246" s="183"/>
      <c r="G246" s="250"/>
      <c r="H246" s="19"/>
      <c r="I246" s="19"/>
      <c r="J246" s="19"/>
      <c r="K246" s="5"/>
      <c r="L246" s="10"/>
    </row>
    <row r="247" spans="1:12" ht="22.5">
      <c r="A247" s="2" t="s">
        <v>0</v>
      </c>
      <c r="B247" s="253"/>
      <c r="C247" s="254"/>
      <c r="D247" s="249" t="s">
        <v>0</v>
      </c>
      <c r="E247" s="249" t="s">
        <v>0</v>
      </c>
      <c r="F247" s="189" t="s">
        <v>28</v>
      </c>
      <c r="G247" s="250" t="s">
        <v>0</v>
      </c>
      <c r="H247" s="5" t="s">
        <v>0</v>
      </c>
      <c r="I247" s="5" t="s">
        <v>0</v>
      </c>
      <c r="J247" s="5" t="s">
        <v>0</v>
      </c>
      <c r="K247" s="5" t="s">
        <v>0</v>
      </c>
      <c r="L247" s="10"/>
    </row>
    <row r="248" spans="1:12">
      <c r="A248" s="2" t="s">
        <v>0</v>
      </c>
      <c r="B248" s="253" t="s">
        <v>2075</v>
      </c>
      <c r="C248" s="254" t="s">
        <v>1381</v>
      </c>
      <c r="D248" s="249" t="s">
        <v>0</v>
      </c>
      <c r="E248" s="249" t="s">
        <v>0</v>
      </c>
      <c r="F248" s="183" t="s">
        <v>430</v>
      </c>
      <c r="G248" s="250" t="s">
        <v>4</v>
      </c>
      <c r="H248" s="13"/>
      <c r="I248" s="13"/>
      <c r="J248" s="13"/>
      <c r="K248" s="5" t="s">
        <v>0</v>
      </c>
      <c r="L248" s="10"/>
    </row>
    <row r="249" spans="1:12">
      <c r="B249" s="253" t="s">
        <v>2075</v>
      </c>
      <c r="C249" s="254" t="s">
        <v>1382</v>
      </c>
      <c r="D249" s="249" t="s">
        <v>0</v>
      </c>
      <c r="E249" s="249" t="s">
        <v>0</v>
      </c>
      <c r="F249" s="183" t="s">
        <v>431</v>
      </c>
      <c r="G249" s="250" t="s">
        <v>4</v>
      </c>
      <c r="H249" s="13"/>
      <c r="I249" s="13"/>
      <c r="J249" s="13"/>
      <c r="K249" s="5" t="s">
        <v>0</v>
      </c>
      <c r="L249" s="10"/>
    </row>
    <row r="250" spans="1:12" ht="22.5">
      <c r="A250" s="2" t="s">
        <v>0</v>
      </c>
      <c r="B250" s="253" t="s">
        <v>2075</v>
      </c>
      <c r="C250" s="254" t="s">
        <v>1383</v>
      </c>
      <c r="D250" s="249" t="s">
        <v>0</v>
      </c>
      <c r="E250" s="249" t="s">
        <v>0</v>
      </c>
      <c r="F250" s="189" t="s">
        <v>432</v>
      </c>
      <c r="G250" s="250" t="s">
        <v>0</v>
      </c>
      <c r="H250" s="51">
        <f>H248+H249</f>
        <v>0</v>
      </c>
      <c r="I250" s="51">
        <f>I248+I249</f>
        <v>0</v>
      </c>
      <c r="J250" s="51">
        <f>J248+J249</f>
        <v>0</v>
      </c>
      <c r="K250" s="5" t="s">
        <v>0</v>
      </c>
      <c r="L250" s="10"/>
    </row>
    <row r="251" spans="1:12">
      <c r="A251" s="2"/>
      <c r="B251" s="253"/>
      <c r="C251" s="254"/>
      <c r="D251" s="249"/>
      <c r="E251" s="249"/>
      <c r="F251" s="183"/>
      <c r="G251" s="250"/>
      <c r="H251" s="19"/>
      <c r="I251" s="19"/>
      <c r="J251" s="19"/>
      <c r="K251" s="5"/>
      <c r="L251" s="10"/>
    </row>
    <row r="252" spans="1:12">
      <c r="A252" s="2" t="s">
        <v>0</v>
      </c>
      <c r="B252" s="253"/>
      <c r="C252" s="254"/>
      <c r="D252" s="249" t="s">
        <v>0</v>
      </c>
      <c r="E252" s="249" t="s">
        <v>0</v>
      </c>
      <c r="F252" s="184" t="s">
        <v>29</v>
      </c>
      <c r="G252" s="250" t="s">
        <v>0</v>
      </c>
      <c r="H252" s="19"/>
      <c r="I252" s="19"/>
      <c r="J252" s="19"/>
      <c r="K252" s="5" t="s">
        <v>0</v>
      </c>
      <c r="L252" s="10"/>
    </row>
    <row r="253" spans="1:12">
      <c r="A253" s="2" t="s">
        <v>0</v>
      </c>
      <c r="B253" s="253" t="s">
        <v>2075</v>
      </c>
      <c r="C253" s="254" t="s">
        <v>1384</v>
      </c>
      <c r="D253" s="249" t="s">
        <v>0</v>
      </c>
      <c r="E253" s="249" t="s">
        <v>0</v>
      </c>
      <c r="F253" s="183" t="s">
        <v>433</v>
      </c>
      <c r="G253" s="250" t="s">
        <v>4</v>
      </c>
      <c r="H253" s="13"/>
      <c r="I253" s="13"/>
      <c r="J253" s="13"/>
      <c r="K253" s="5" t="s">
        <v>0</v>
      </c>
      <c r="L253" s="10"/>
    </row>
    <row r="254" spans="1:12">
      <c r="A254" s="2" t="s">
        <v>0</v>
      </c>
      <c r="B254" s="253" t="s">
        <v>2075</v>
      </c>
      <c r="C254" s="254" t="s">
        <v>1385</v>
      </c>
      <c r="D254" s="249" t="s">
        <v>0</v>
      </c>
      <c r="E254" s="249" t="s">
        <v>0</v>
      </c>
      <c r="F254" s="183" t="s">
        <v>434</v>
      </c>
      <c r="G254" s="250" t="s">
        <v>4</v>
      </c>
      <c r="H254" s="13">
        <v>289139000</v>
      </c>
      <c r="I254" s="13">
        <v>350485000</v>
      </c>
      <c r="J254" s="13"/>
      <c r="K254" s="5" t="s">
        <v>0</v>
      </c>
      <c r="L254" s="10"/>
    </row>
    <row r="255" spans="1:12">
      <c r="A255" s="2" t="s">
        <v>0</v>
      </c>
      <c r="B255" s="253" t="s">
        <v>2075</v>
      </c>
      <c r="C255" s="254" t="s">
        <v>1386</v>
      </c>
      <c r="D255" s="249" t="s">
        <v>0</v>
      </c>
      <c r="E255" s="249" t="s">
        <v>0</v>
      </c>
      <c r="F255" s="184" t="s">
        <v>435</v>
      </c>
      <c r="G255" s="250" t="s">
        <v>0</v>
      </c>
      <c r="H255" s="51">
        <f>H253+H254</f>
        <v>289139000</v>
      </c>
      <c r="I255" s="51">
        <f>I253+I254</f>
        <v>350485000</v>
      </c>
      <c r="J255" s="51">
        <f>J253+J254</f>
        <v>0</v>
      </c>
      <c r="K255" s="5" t="s">
        <v>0</v>
      </c>
      <c r="L255" s="10"/>
    </row>
    <row r="256" spans="1:12">
      <c r="A256" s="2"/>
      <c r="B256" s="253"/>
      <c r="C256" s="254"/>
      <c r="D256" s="249"/>
      <c r="E256" s="249"/>
      <c r="F256" s="183"/>
      <c r="G256" s="250"/>
      <c r="H256" s="19"/>
      <c r="I256" s="19"/>
      <c r="J256" s="19"/>
      <c r="K256" s="5"/>
      <c r="L256" s="10"/>
    </row>
    <row r="257" spans="1:12">
      <c r="A257" s="2" t="s">
        <v>0</v>
      </c>
      <c r="B257" s="253"/>
      <c r="C257" s="254"/>
      <c r="D257" s="249" t="s">
        <v>0</v>
      </c>
      <c r="E257" s="249" t="s">
        <v>0</v>
      </c>
      <c r="F257" s="184" t="s">
        <v>30</v>
      </c>
      <c r="G257" s="250" t="s">
        <v>0</v>
      </c>
      <c r="H257" s="19"/>
      <c r="I257" s="19"/>
      <c r="J257" s="19"/>
      <c r="K257" s="5" t="s">
        <v>0</v>
      </c>
      <c r="L257" s="10"/>
    </row>
    <row r="258" spans="1:12">
      <c r="A258" s="2" t="s">
        <v>0</v>
      </c>
      <c r="B258" s="253" t="s">
        <v>2075</v>
      </c>
      <c r="C258" s="254" t="s">
        <v>1387</v>
      </c>
      <c r="D258" s="249" t="s">
        <v>0</v>
      </c>
      <c r="E258" s="249" t="s">
        <v>0</v>
      </c>
      <c r="F258" s="183" t="s">
        <v>436</v>
      </c>
      <c r="G258" s="250" t="s">
        <v>4</v>
      </c>
      <c r="H258" s="179"/>
      <c r="I258" s="179"/>
      <c r="J258" s="13"/>
      <c r="K258" s="5" t="s">
        <v>0</v>
      </c>
      <c r="L258" s="10"/>
    </row>
    <row r="259" spans="1:12">
      <c r="B259" s="253" t="s">
        <v>2075</v>
      </c>
      <c r="C259" s="254" t="s">
        <v>1388</v>
      </c>
      <c r="D259" s="249" t="s">
        <v>0</v>
      </c>
      <c r="E259" s="249" t="s">
        <v>0</v>
      </c>
      <c r="F259" s="183" t="s">
        <v>437</v>
      </c>
      <c r="G259" s="250" t="s">
        <v>4</v>
      </c>
      <c r="H259" s="179">
        <v>1539866000</v>
      </c>
      <c r="I259" s="179">
        <v>1603946000</v>
      </c>
      <c r="J259" s="13">
        <v>2329832000</v>
      </c>
      <c r="K259" s="5" t="s">
        <v>0</v>
      </c>
      <c r="L259" s="10"/>
    </row>
    <row r="260" spans="1:12">
      <c r="A260" s="2" t="s">
        <v>0</v>
      </c>
      <c r="B260" s="253" t="s">
        <v>2075</v>
      </c>
      <c r="C260" s="254" t="s">
        <v>1389</v>
      </c>
      <c r="D260" s="249" t="s">
        <v>0</v>
      </c>
      <c r="E260" s="249" t="s">
        <v>0</v>
      </c>
      <c r="F260" s="184" t="s">
        <v>438</v>
      </c>
      <c r="G260" s="250" t="s">
        <v>0</v>
      </c>
      <c r="H260" s="51">
        <f>H258+H259</f>
        <v>1539866000</v>
      </c>
      <c r="I260" s="51">
        <f>I258+I259</f>
        <v>1603946000</v>
      </c>
      <c r="J260" s="51">
        <f t="shared" ref="J260" si="32">J258+J259</f>
        <v>2329832000</v>
      </c>
      <c r="K260" s="5" t="s">
        <v>0</v>
      </c>
      <c r="L260" s="10"/>
    </row>
    <row r="261" spans="1:12">
      <c r="A261" s="2"/>
      <c r="B261" s="253"/>
      <c r="C261" s="254"/>
      <c r="D261" s="249"/>
      <c r="E261" s="249"/>
      <c r="F261" s="183"/>
      <c r="G261" s="250"/>
      <c r="H261" s="19"/>
      <c r="I261" s="19"/>
      <c r="J261" s="19"/>
      <c r="K261" s="5"/>
      <c r="L261" s="10"/>
    </row>
    <row r="262" spans="1:12">
      <c r="A262" s="2" t="s">
        <v>0</v>
      </c>
      <c r="B262" s="253"/>
      <c r="C262" s="254"/>
      <c r="D262" s="249" t="s">
        <v>0</v>
      </c>
      <c r="E262" s="249" t="s">
        <v>0</v>
      </c>
      <c r="F262" s="184" t="s">
        <v>31</v>
      </c>
      <c r="G262" s="250" t="s">
        <v>0</v>
      </c>
      <c r="H262" s="19"/>
      <c r="I262" s="19"/>
      <c r="J262" s="19"/>
      <c r="K262" s="5" t="s">
        <v>0</v>
      </c>
      <c r="L262" s="10"/>
    </row>
    <row r="263" spans="1:12">
      <c r="A263" s="2" t="s">
        <v>0</v>
      </c>
      <c r="B263" s="253" t="s">
        <v>2075</v>
      </c>
      <c r="C263" s="254" t="s">
        <v>1390</v>
      </c>
      <c r="D263" s="249" t="s">
        <v>0</v>
      </c>
      <c r="E263" s="249" t="s">
        <v>0</v>
      </c>
      <c r="F263" s="183" t="s">
        <v>439</v>
      </c>
      <c r="G263" s="250" t="s">
        <v>4</v>
      </c>
      <c r="H263" s="13"/>
      <c r="I263" s="13"/>
      <c r="J263" s="13"/>
      <c r="K263" s="5" t="s">
        <v>0</v>
      </c>
      <c r="L263" s="10"/>
    </row>
    <row r="264" spans="1:12">
      <c r="A264" s="2"/>
      <c r="B264" s="253"/>
      <c r="C264" s="254"/>
      <c r="D264" s="249"/>
      <c r="E264" s="249"/>
      <c r="F264" s="183"/>
      <c r="G264" s="250"/>
      <c r="H264" s="19"/>
      <c r="I264" s="19"/>
      <c r="J264" s="19"/>
      <c r="K264" s="5"/>
      <c r="L264" s="10"/>
    </row>
    <row r="265" spans="1:12">
      <c r="A265" s="2" t="s">
        <v>0</v>
      </c>
      <c r="B265" s="253"/>
      <c r="C265" s="254"/>
      <c r="D265" s="249" t="s">
        <v>0</v>
      </c>
      <c r="E265" s="249" t="s">
        <v>0</v>
      </c>
      <c r="F265" s="184" t="s">
        <v>32</v>
      </c>
      <c r="G265" s="250" t="s">
        <v>0</v>
      </c>
      <c r="H265" s="5"/>
      <c r="I265" s="5"/>
      <c r="J265" s="5" t="s">
        <v>0</v>
      </c>
      <c r="K265" s="5" t="s">
        <v>0</v>
      </c>
      <c r="L265" s="10"/>
    </row>
    <row r="266" spans="1:12">
      <c r="A266" s="2" t="s">
        <v>0</v>
      </c>
      <c r="B266" s="253" t="s">
        <v>2075</v>
      </c>
      <c r="C266" s="254" t="s">
        <v>1391</v>
      </c>
      <c r="D266" s="249" t="s">
        <v>0</v>
      </c>
      <c r="E266" s="249" t="s">
        <v>0</v>
      </c>
      <c r="F266" s="183" t="s">
        <v>440</v>
      </c>
      <c r="G266" s="250" t="s">
        <v>4</v>
      </c>
      <c r="H266" s="13"/>
      <c r="I266" s="13"/>
      <c r="J266" s="13"/>
      <c r="K266" s="5" t="s">
        <v>0</v>
      </c>
      <c r="L266" s="10"/>
    </row>
    <row r="267" spans="1:12">
      <c r="B267" s="253" t="s">
        <v>2075</v>
      </c>
      <c r="C267" s="254" t="s">
        <v>1392</v>
      </c>
      <c r="D267" s="249" t="s">
        <v>0</v>
      </c>
      <c r="E267" s="249" t="s">
        <v>0</v>
      </c>
      <c r="F267" s="183" t="s">
        <v>441</v>
      </c>
      <c r="G267" s="250" t="s">
        <v>4</v>
      </c>
      <c r="H267" s="13"/>
      <c r="I267" s="13"/>
      <c r="J267" s="13"/>
      <c r="K267" s="5" t="s">
        <v>0</v>
      </c>
      <c r="L267" s="10"/>
    </row>
    <row r="268" spans="1:12">
      <c r="A268" s="2" t="s">
        <v>0</v>
      </c>
      <c r="B268" s="253" t="s">
        <v>2075</v>
      </c>
      <c r="C268" s="254" t="s">
        <v>1393</v>
      </c>
      <c r="D268" s="249" t="s">
        <v>0</v>
      </c>
      <c r="E268" s="249" t="s">
        <v>0</v>
      </c>
      <c r="F268" s="184" t="s">
        <v>442</v>
      </c>
      <c r="G268" s="250" t="s">
        <v>4</v>
      </c>
      <c r="H268" s="51">
        <f>H266+H267</f>
        <v>0</v>
      </c>
      <c r="I268" s="51">
        <f>I266+I267</f>
        <v>0</v>
      </c>
      <c r="J268" s="51">
        <f>J266+J267</f>
        <v>0</v>
      </c>
      <c r="K268" s="5" t="s">
        <v>0</v>
      </c>
      <c r="L268" s="10"/>
    </row>
    <row r="269" spans="1:12">
      <c r="A269" s="2" t="s">
        <v>0</v>
      </c>
      <c r="B269" s="253" t="s">
        <v>2075</v>
      </c>
      <c r="C269" s="254" t="s">
        <v>1394</v>
      </c>
      <c r="D269" s="249" t="s">
        <v>0</v>
      </c>
      <c r="E269" s="249" t="s">
        <v>0</v>
      </c>
      <c r="F269" s="184" t="s">
        <v>443</v>
      </c>
      <c r="G269" s="250" t="s">
        <v>0</v>
      </c>
      <c r="H269" s="51">
        <f>H263+H268</f>
        <v>0</v>
      </c>
      <c r="I269" s="51">
        <f>I263+I268</f>
        <v>0</v>
      </c>
      <c r="J269" s="51">
        <f>J263+J268</f>
        <v>0</v>
      </c>
      <c r="K269" s="5" t="s">
        <v>0</v>
      </c>
      <c r="L269" s="10"/>
    </row>
    <row r="270" spans="1:12">
      <c r="A270" s="2"/>
      <c r="B270" s="253"/>
      <c r="C270" s="254"/>
      <c r="D270" s="249"/>
      <c r="E270" s="249"/>
      <c r="F270" s="183"/>
      <c r="G270" s="250"/>
      <c r="H270" s="19"/>
      <c r="I270" s="19"/>
      <c r="J270" s="19"/>
      <c r="K270" s="5"/>
      <c r="L270" s="10"/>
    </row>
    <row r="271" spans="1:12">
      <c r="A271" s="2" t="s">
        <v>0</v>
      </c>
      <c r="B271" s="253"/>
      <c r="C271" s="254"/>
      <c r="D271" s="249" t="s">
        <v>0</v>
      </c>
      <c r="E271" s="249" t="s">
        <v>0</v>
      </c>
      <c r="F271" s="184" t="s">
        <v>33</v>
      </c>
      <c r="G271" s="250" t="s">
        <v>0</v>
      </c>
      <c r="H271" s="19"/>
      <c r="I271" s="19"/>
      <c r="J271" s="19"/>
      <c r="K271" s="5" t="s">
        <v>0</v>
      </c>
      <c r="L271" s="10"/>
    </row>
    <row r="272" spans="1:12">
      <c r="A272" s="2" t="s">
        <v>0</v>
      </c>
      <c r="B272" s="253" t="s">
        <v>2075</v>
      </c>
      <c r="C272" s="254" t="s">
        <v>1395</v>
      </c>
      <c r="D272" s="249" t="s">
        <v>0</v>
      </c>
      <c r="E272" s="249" t="s">
        <v>0</v>
      </c>
      <c r="F272" s="183" t="s">
        <v>444</v>
      </c>
      <c r="G272" s="250" t="s">
        <v>4</v>
      </c>
      <c r="H272" s="13"/>
      <c r="I272" s="13"/>
      <c r="J272" s="13"/>
      <c r="K272" s="251" t="s">
        <v>0</v>
      </c>
      <c r="L272" s="252"/>
    </row>
    <row r="273" spans="1:12">
      <c r="B273" s="253" t="s">
        <v>2075</v>
      </c>
      <c r="C273" s="254" t="s">
        <v>1923</v>
      </c>
      <c r="D273" s="249" t="s">
        <v>0</v>
      </c>
      <c r="E273" s="249" t="s">
        <v>0</v>
      </c>
      <c r="F273" s="183" t="s">
        <v>1888</v>
      </c>
      <c r="G273" s="250"/>
      <c r="H273" s="13">
        <v>100000000</v>
      </c>
      <c r="I273" s="13">
        <v>100000000</v>
      </c>
      <c r="J273" s="13"/>
      <c r="K273" s="251"/>
      <c r="L273" s="252"/>
    </row>
    <row r="274" spans="1:12">
      <c r="B274" s="253" t="s">
        <v>2075</v>
      </c>
      <c r="C274" s="254" t="s">
        <v>1924</v>
      </c>
      <c r="D274" s="249" t="s">
        <v>0</v>
      </c>
      <c r="E274" s="249" t="s">
        <v>0</v>
      </c>
      <c r="F274" s="183" t="s">
        <v>1889</v>
      </c>
      <c r="G274" s="250"/>
      <c r="H274" s="13"/>
      <c r="I274" s="13"/>
      <c r="J274" s="13"/>
      <c r="K274" s="251"/>
      <c r="L274" s="252"/>
    </row>
    <row r="275" spans="1:12">
      <c r="A275" s="2"/>
      <c r="B275" s="253"/>
      <c r="C275" s="254"/>
      <c r="D275" s="249"/>
      <c r="E275" s="249"/>
      <c r="F275" s="184" t="s">
        <v>680</v>
      </c>
      <c r="G275" s="250"/>
      <c r="H275" s="19"/>
      <c r="I275" s="19"/>
      <c r="J275" s="19"/>
      <c r="K275" s="251"/>
      <c r="L275" s="252"/>
    </row>
    <row r="276" spans="1:12">
      <c r="A276" s="2" t="s">
        <v>0</v>
      </c>
      <c r="B276" s="253" t="s">
        <v>2075</v>
      </c>
      <c r="C276" s="254" t="s">
        <v>2120</v>
      </c>
      <c r="D276" s="249" t="s">
        <v>0</v>
      </c>
      <c r="E276" s="249" t="s">
        <v>0</v>
      </c>
      <c r="F276" s="183" t="s">
        <v>678</v>
      </c>
      <c r="G276" s="250" t="s">
        <v>4</v>
      </c>
      <c r="H276" s="346">
        <v>1000</v>
      </c>
      <c r="I276" s="13"/>
      <c r="J276" s="13"/>
      <c r="K276" s="251" t="s">
        <v>0</v>
      </c>
      <c r="L276" s="252"/>
    </row>
    <row r="277" spans="1:12">
      <c r="A277" s="2"/>
      <c r="B277" s="253" t="s">
        <v>2075</v>
      </c>
      <c r="C277" s="254" t="s">
        <v>1396</v>
      </c>
      <c r="D277" s="249" t="s">
        <v>0</v>
      </c>
      <c r="E277" s="249"/>
      <c r="F277" s="183" t="s">
        <v>698</v>
      </c>
      <c r="G277" s="250"/>
      <c r="H277" s="13"/>
      <c r="I277" s="13"/>
      <c r="J277" s="13"/>
      <c r="K277" s="5"/>
      <c r="L277" s="10"/>
    </row>
    <row r="278" spans="1:12" ht="22.5">
      <c r="B278" s="253" t="s">
        <v>2075</v>
      </c>
      <c r="C278" s="254" t="s">
        <v>1397</v>
      </c>
      <c r="D278" s="249" t="s">
        <v>0</v>
      </c>
      <c r="E278" s="249" t="s">
        <v>0</v>
      </c>
      <c r="F278" s="182" t="s">
        <v>679</v>
      </c>
      <c r="G278" s="250" t="s">
        <v>4</v>
      </c>
      <c r="H278" s="13">
        <v>2000</v>
      </c>
      <c r="I278" s="13"/>
      <c r="J278" s="13"/>
      <c r="K278" s="5" t="s">
        <v>0</v>
      </c>
      <c r="L278" s="10"/>
    </row>
    <row r="279" spans="1:12">
      <c r="A279" s="2"/>
      <c r="B279" s="253" t="s">
        <v>2075</v>
      </c>
      <c r="C279" s="254" t="s">
        <v>2121</v>
      </c>
      <c r="D279" s="249" t="s">
        <v>0</v>
      </c>
      <c r="E279" s="249"/>
      <c r="F279" s="184" t="s">
        <v>677</v>
      </c>
      <c r="G279" s="250"/>
      <c r="H279" s="51">
        <f>H276+H278</f>
        <v>3000</v>
      </c>
      <c r="I279" s="51">
        <f>I276+I278</f>
        <v>0</v>
      </c>
      <c r="J279" s="51"/>
      <c r="K279" s="5"/>
      <c r="L279" s="10"/>
    </row>
    <row r="280" spans="1:12" ht="22.5">
      <c r="A280" s="2" t="s">
        <v>0</v>
      </c>
      <c r="B280" s="253" t="s">
        <v>2075</v>
      </c>
      <c r="C280" s="254" t="s">
        <v>1398</v>
      </c>
      <c r="D280" s="249" t="s">
        <v>0</v>
      </c>
      <c r="E280" s="249" t="s">
        <v>0</v>
      </c>
      <c r="F280" s="182" t="s">
        <v>445</v>
      </c>
      <c r="G280" s="250" t="s">
        <v>4</v>
      </c>
      <c r="H280" s="13"/>
      <c r="I280" s="13"/>
      <c r="J280" s="13"/>
      <c r="K280" s="5" t="s">
        <v>0</v>
      </c>
      <c r="L280" s="10"/>
    </row>
    <row r="281" spans="1:12">
      <c r="A281" s="2" t="s">
        <v>0</v>
      </c>
      <c r="B281" s="253" t="s">
        <v>2075</v>
      </c>
      <c r="C281" s="254" t="s">
        <v>1399</v>
      </c>
      <c r="D281" s="249" t="s">
        <v>0</v>
      </c>
      <c r="E281" s="249" t="s">
        <v>0</v>
      </c>
      <c r="F281" s="183" t="s">
        <v>1968</v>
      </c>
      <c r="G281" s="250" t="s">
        <v>0</v>
      </c>
      <c r="H281" s="13"/>
      <c r="I281" s="13"/>
      <c r="J281" s="13"/>
      <c r="K281" s="5" t="s">
        <v>0</v>
      </c>
      <c r="L281" s="10"/>
    </row>
    <row r="282" spans="1:12">
      <c r="A282" s="2"/>
      <c r="B282" s="253" t="s">
        <v>2075</v>
      </c>
      <c r="C282" s="254" t="s">
        <v>2025</v>
      </c>
      <c r="D282" s="249" t="s">
        <v>0</v>
      </c>
      <c r="E282" s="249"/>
      <c r="F282" s="183" t="s">
        <v>1969</v>
      </c>
      <c r="G282" s="250"/>
      <c r="H282" s="13"/>
      <c r="I282" s="13"/>
      <c r="J282" s="13"/>
      <c r="K282" s="5"/>
      <c r="L282" s="10"/>
    </row>
    <row r="283" spans="1:12">
      <c r="A283" s="2"/>
      <c r="B283" s="253" t="s">
        <v>2075</v>
      </c>
      <c r="C283" s="254" t="s">
        <v>1400</v>
      </c>
      <c r="D283" s="249" t="s">
        <v>0</v>
      </c>
      <c r="E283" s="249"/>
      <c r="F283" s="183" t="s">
        <v>1146</v>
      </c>
      <c r="G283" s="250"/>
      <c r="H283" s="13"/>
      <c r="I283" s="13"/>
      <c r="J283" s="13"/>
      <c r="K283" s="5"/>
      <c r="L283" s="10"/>
    </row>
    <row r="284" spans="1:12">
      <c r="A284" s="2" t="s">
        <v>0</v>
      </c>
      <c r="B284" s="253" t="s">
        <v>2075</v>
      </c>
      <c r="C284" s="254" t="s">
        <v>1401</v>
      </c>
      <c r="D284" s="249" t="s">
        <v>0</v>
      </c>
      <c r="E284" s="249" t="s">
        <v>0</v>
      </c>
      <c r="F284" s="183" t="s">
        <v>446</v>
      </c>
      <c r="G284" s="250" t="s">
        <v>4</v>
      </c>
      <c r="H284" s="13">
        <v>-3000</v>
      </c>
      <c r="I284" s="13"/>
      <c r="J284" s="13"/>
      <c r="K284" s="5" t="s">
        <v>0</v>
      </c>
      <c r="L284" s="10"/>
    </row>
    <row r="285" spans="1:12">
      <c r="A285" s="2" t="s">
        <v>0</v>
      </c>
      <c r="B285" s="253" t="s">
        <v>2075</v>
      </c>
      <c r="C285" s="254" t="s">
        <v>1402</v>
      </c>
      <c r="D285" s="249" t="s">
        <v>0</v>
      </c>
      <c r="E285" s="249" t="s">
        <v>0</v>
      </c>
      <c r="F285" s="184" t="s">
        <v>447</v>
      </c>
      <c r="G285" s="250" t="s">
        <v>0</v>
      </c>
      <c r="H285" s="51">
        <f>+H283+H274+H279+H272+H280+H284</f>
        <v>0</v>
      </c>
      <c r="I285" s="51">
        <f t="shared" ref="I285:J285" si="33">+I283+I274+I279+I272+I280+I284</f>
        <v>0</v>
      </c>
      <c r="J285" s="51">
        <f t="shared" si="33"/>
        <v>0</v>
      </c>
      <c r="K285" s="5" t="s">
        <v>0</v>
      </c>
      <c r="L285" s="10"/>
    </row>
    <row r="286" spans="1:12">
      <c r="A286" s="2"/>
      <c r="B286" s="253"/>
      <c r="C286" s="254"/>
      <c r="D286" s="249"/>
      <c r="E286" s="249"/>
      <c r="F286" s="183"/>
      <c r="G286" s="250"/>
      <c r="H286" s="19"/>
      <c r="I286" s="19"/>
      <c r="J286" s="19"/>
      <c r="K286" s="5"/>
      <c r="L286" s="10"/>
    </row>
    <row r="287" spans="1:12">
      <c r="A287" s="2" t="s">
        <v>0</v>
      </c>
      <c r="B287" s="253"/>
      <c r="C287" s="254"/>
      <c r="D287" s="249" t="s">
        <v>0</v>
      </c>
      <c r="E287" s="249" t="s">
        <v>0</v>
      </c>
      <c r="F287" s="184" t="s">
        <v>34</v>
      </c>
      <c r="G287" s="250" t="s">
        <v>0</v>
      </c>
      <c r="H287" s="5" t="s">
        <v>0</v>
      </c>
      <c r="I287" s="5" t="s">
        <v>0</v>
      </c>
      <c r="J287" s="5" t="s">
        <v>0</v>
      </c>
      <c r="K287" s="5" t="s">
        <v>0</v>
      </c>
      <c r="L287" s="10"/>
    </row>
    <row r="288" spans="1:12">
      <c r="B288" s="253" t="s">
        <v>2075</v>
      </c>
      <c r="C288" s="254" t="s">
        <v>1403</v>
      </c>
      <c r="D288" s="249" t="s">
        <v>0</v>
      </c>
      <c r="E288" s="249" t="s">
        <v>0</v>
      </c>
      <c r="F288" s="183" t="s">
        <v>448</v>
      </c>
      <c r="G288" s="250" t="s">
        <v>4</v>
      </c>
      <c r="H288" s="13">
        <v>27226567000</v>
      </c>
      <c r="I288" s="13">
        <v>28379202000</v>
      </c>
      <c r="J288" s="13"/>
      <c r="K288" s="251" t="s">
        <v>0</v>
      </c>
      <c r="L288" s="252"/>
    </row>
    <row r="289" spans="1:12">
      <c r="B289" s="253" t="s">
        <v>2075</v>
      </c>
      <c r="C289" s="254" t="s">
        <v>1927</v>
      </c>
      <c r="D289" s="249" t="s">
        <v>0</v>
      </c>
      <c r="E289" s="249" t="s">
        <v>0</v>
      </c>
      <c r="F289" s="183" t="s">
        <v>1891</v>
      </c>
      <c r="G289" s="250" t="s">
        <v>4</v>
      </c>
      <c r="H289" s="13">
        <v>100000000</v>
      </c>
      <c r="I289" s="13">
        <v>100000000</v>
      </c>
      <c r="J289" s="13"/>
      <c r="K289" s="251"/>
      <c r="L289" s="252"/>
    </row>
    <row r="290" spans="1:12">
      <c r="B290" s="253" t="s">
        <v>2075</v>
      </c>
      <c r="C290" s="254" t="s">
        <v>1928</v>
      </c>
      <c r="D290" s="249" t="s">
        <v>0</v>
      </c>
      <c r="E290" s="249" t="s">
        <v>0</v>
      </c>
      <c r="F290" s="183" t="s">
        <v>1890</v>
      </c>
      <c r="G290" s="250" t="s">
        <v>4</v>
      </c>
      <c r="H290" s="13"/>
      <c r="I290" s="13"/>
      <c r="J290" s="13"/>
      <c r="K290" s="251" t="s">
        <v>0</v>
      </c>
      <c r="L290" s="252"/>
    </row>
    <row r="291" spans="1:12" ht="22.5">
      <c r="B291" s="253"/>
      <c r="C291" s="254"/>
      <c r="D291" s="249"/>
      <c r="E291" s="249"/>
      <c r="F291" s="185" t="s">
        <v>681</v>
      </c>
      <c r="G291" s="250"/>
      <c r="H291" s="19"/>
      <c r="I291" s="19"/>
      <c r="J291" s="19"/>
      <c r="K291" s="251"/>
      <c r="L291" s="252"/>
    </row>
    <row r="292" spans="1:12">
      <c r="A292" s="2" t="s">
        <v>0</v>
      </c>
      <c r="B292" s="253" t="s">
        <v>2075</v>
      </c>
      <c r="C292" s="254" t="s">
        <v>2122</v>
      </c>
      <c r="D292" s="249" t="s">
        <v>0</v>
      </c>
      <c r="E292" s="249" t="s">
        <v>0</v>
      </c>
      <c r="F292" s="186" t="s">
        <v>449</v>
      </c>
      <c r="G292" s="250" t="s">
        <v>4</v>
      </c>
      <c r="H292" s="13">
        <v>1000</v>
      </c>
      <c r="I292" s="13"/>
      <c r="J292" s="13"/>
      <c r="K292" s="5" t="s">
        <v>0</v>
      </c>
      <c r="L292" s="10"/>
    </row>
    <row r="293" spans="1:12">
      <c r="A293" s="2"/>
      <c r="B293" s="253" t="s">
        <v>2075</v>
      </c>
      <c r="C293" s="254" t="s">
        <v>1404</v>
      </c>
      <c r="D293" s="249" t="s">
        <v>0</v>
      </c>
      <c r="E293" s="249"/>
      <c r="F293" s="187" t="s">
        <v>682</v>
      </c>
      <c r="G293" s="250"/>
      <c r="H293" s="13"/>
      <c r="I293" s="13"/>
      <c r="J293" s="13"/>
      <c r="K293" s="5"/>
      <c r="L293" s="10"/>
    </row>
    <row r="294" spans="1:12" ht="22.5">
      <c r="A294" s="2" t="s">
        <v>0</v>
      </c>
      <c r="B294" s="253" t="s">
        <v>2075</v>
      </c>
      <c r="C294" s="254" t="s">
        <v>1405</v>
      </c>
      <c r="D294" s="249" t="s">
        <v>0</v>
      </c>
      <c r="E294" s="249" t="s">
        <v>0</v>
      </c>
      <c r="F294" s="182" t="s">
        <v>683</v>
      </c>
      <c r="G294" s="250" t="s">
        <v>4</v>
      </c>
      <c r="H294" s="13"/>
      <c r="I294" s="13"/>
      <c r="J294" s="13"/>
      <c r="K294" s="5" t="s">
        <v>0</v>
      </c>
      <c r="L294" s="10"/>
    </row>
    <row r="295" spans="1:12">
      <c r="A295" s="2" t="s">
        <v>0</v>
      </c>
      <c r="B295" s="253" t="s">
        <v>2075</v>
      </c>
      <c r="C295" s="254" t="s">
        <v>1406</v>
      </c>
      <c r="D295" s="249" t="s">
        <v>0</v>
      </c>
      <c r="E295" s="249" t="s">
        <v>0</v>
      </c>
      <c r="F295" s="183" t="s">
        <v>450</v>
      </c>
      <c r="G295" s="250" t="s">
        <v>0</v>
      </c>
      <c r="H295" s="13"/>
      <c r="I295" s="13"/>
      <c r="J295" s="13"/>
      <c r="K295" s="5" t="s">
        <v>0</v>
      </c>
      <c r="L295" s="10"/>
    </row>
    <row r="296" spans="1:12">
      <c r="A296" s="2"/>
      <c r="B296" s="253" t="s">
        <v>2075</v>
      </c>
      <c r="C296" s="254" t="s">
        <v>2123</v>
      </c>
      <c r="D296" s="249" t="s">
        <v>0</v>
      </c>
      <c r="E296" s="249"/>
      <c r="F296" s="184" t="s">
        <v>684</v>
      </c>
      <c r="G296" s="250"/>
      <c r="H296" s="51">
        <f>+H292+H294</f>
        <v>1000</v>
      </c>
      <c r="I296" s="51">
        <f>+I292+I294</f>
        <v>0</v>
      </c>
      <c r="J296" s="51">
        <f>+J292+J294</f>
        <v>0</v>
      </c>
      <c r="K296" s="5"/>
      <c r="L296" s="10"/>
    </row>
    <row r="297" spans="1:12" ht="22.5">
      <c r="A297" s="2" t="s">
        <v>0</v>
      </c>
      <c r="B297" s="253" t="s">
        <v>2075</v>
      </c>
      <c r="C297" s="254" t="s">
        <v>1407</v>
      </c>
      <c r="D297" s="249" t="s">
        <v>0</v>
      </c>
      <c r="E297" s="249" t="s">
        <v>0</v>
      </c>
      <c r="F297" s="182" t="s">
        <v>451</v>
      </c>
      <c r="G297" s="250" t="s">
        <v>4</v>
      </c>
      <c r="H297" s="13"/>
      <c r="I297" s="13"/>
      <c r="J297" s="13"/>
      <c r="K297" s="5" t="s">
        <v>0</v>
      </c>
      <c r="L297" s="10"/>
    </row>
    <row r="298" spans="1:12">
      <c r="A298" s="2" t="s">
        <v>0</v>
      </c>
      <c r="B298" s="253" t="s">
        <v>2075</v>
      </c>
      <c r="C298" s="254" t="s">
        <v>1408</v>
      </c>
      <c r="D298" s="249" t="s">
        <v>0</v>
      </c>
      <c r="E298" s="249" t="s">
        <v>0</v>
      </c>
      <c r="F298" s="183" t="s">
        <v>1966</v>
      </c>
      <c r="G298" s="250" t="s">
        <v>0</v>
      </c>
      <c r="H298" s="13"/>
      <c r="I298" s="13"/>
      <c r="J298" s="13"/>
      <c r="K298" s="5" t="s">
        <v>0</v>
      </c>
      <c r="L298" s="10"/>
    </row>
    <row r="299" spans="1:12">
      <c r="A299" s="2"/>
      <c r="B299" s="253" t="s">
        <v>2075</v>
      </c>
      <c r="C299" s="254" t="s">
        <v>1965</v>
      </c>
      <c r="D299" s="249" t="s">
        <v>0</v>
      </c>
      <c r="E299" s="249"/>
      <c r="F299" s="183" t="s">
        <v>1967</v>
      </c>
      <c r="G299" s="250"/>
      <c r="H299" s="13"/>
      <c r="I299" s="13"/>
      <c r="J299" s="13"/>
      <c r="K299" s="5"/>
      <c r="L299" s="10"/>
    </row>
    <row r="300" spans="1:12">
      <c r="A300" s="2"/>
      <c r="B300" s="253" t="s">
        <v>2075</v>
      </c>
      <c r="C300" s="254" t="s">
        <v>1409</v>
      </c>
      <c r="D300" s="249" t="s">
        <v>0</v>
      </c>
      <c r="E300" s="249"/>
      <c r="F300" s="186" t="s">
        <v>1147</v>
      </c>
      <c r="G300" s="250"/>
      <c r="H300" s="13"/>
      <c r="I300" s="13"/>
      <c r="J300" s="13"/>
      <c r="K300" s="5"/>
      <c r="L300" s="10"/>
    </row>
    <row r="301" spans="1:12">
      <c r="A301" s="2" t="s">
        <v>0</v>
      </c>
      <c r="B301" s="253" t="s">
        <v>2075</v>
      </c>
      <c r="C301" s="254" t="s">
        <v>1410</v>
      </c>
      <c r="D301" s="249" t="s">
        <v>0</v>
      </c>
      <c r="E301" s="249" t="s">
        <v>0</v>
      </c>
      <c r="F301" s="183" t="s">
        <v>452</v>
      </c>
      <c r="G301" s="250" t="s">
        <v>4</v>
      </c>
      <c r="H301" s="13">
        <v>3000</v>
      </c>
      <c r="I301" s="13"/>
      <c r="J301" s="13"/>
      <c r="K301" s="251" t="s">
        <v>0</v>
      </c>
      <c r="L301" s="252"/>
    </row>
    <row r="302" spans="1:12">
      <c r="B302" s="253" t="s">
        <v>2075</v>
      </c>
      <c r="C302" s="254" t="s">
        <v>1411</v>
      </c>
      <c r="D302" s="249" t="s">
        <v>0</v>
      </c>
      <c r="E302" s="249" t="s">
        <v>0</v>
      </c>
      <c r="F302" s="184" t="s">
        <v>2118</v>
      </c>
      <c r="G302" s="250" t="s">
        <v>0</v>
      </c>
      <c r="H302" s="51">
        <f>H288+H290+H300+H296+H301+H297</f>
        <v>27226571000</v>
      </c>
      <c r="I302" s="51">
        <f t="shared" ref="I302:J302" si="34">I288+I290+I300+I296+I301+I297</f>
        <v>28379202000</v>
      </c>
      <c r="J302" s="51">
        <f t="shared" si="34"/>
        <v>0</v>
      </c>
      <c r="K302" s="251" t="s">
        <v>0</v>
      </c>
      <c r="L302" s="252"/>
    </row>
    <row r="303" spans="1:12">
      <c r="B303" s="253"/>
      <c r="C303" s="254"/>
      <c r="D303" s="249"/>
      <c r="E303" s="249"/>
      <c r="F303" s="183"/>
      <c r="G303" s="250"/>
      <c r="H303" s="19"/>
      <c r="I303" s="19"/>
      <c r="J303" s="19"/>
      <c r="K303" s="251"/>
      <c r="L303" s="252"/>
    </row>
    <row r="304" spans="1:12">
      <c r="A304" s="2" t="s">
        <v>0</v>
      </c>
      <c r="B304" s="253"/>
      <c r="C304" s="254"/>
      <c r="D304" s="249" t="s">
        <v>0</v>
      </c>
      <c r="E304" s="249" t="s">
        <v>0</v>
      </c>
      <c r="F304" s="184" t="s">
        <v>35</v>
      </c>
      <c r="G304" s="250" t="s">
        <v>0</v>
      </c>
      <c r="H304" s="19"/>
      <c r="I304" s="19"/>
      <c r="J304" s="19"/>
      <c r="K304" s="251" t="s">
        <v>0</v>
      </c>
      <c r="L304" s="252"/>
    </row>
    <row r="305" spans="1:12">
      <c r="A305" s="2" t="s">
        <v>0</v>
      </c>
      <c r="B305" s="253" t="s">
        <v>2075</v>
      </c>
      <c r="C305" s="254" t="s">
        <v>1412</v>
      </c>
      <c r="D305" s="249" t="s">
        <v>0</v>
      </c>
      <c r="E305" s="249" t="s">
        <v>0</v>
      </c>
      <c r="F305" s="183" t="s">
        <v>453</v>
      </c>
      <c r="G305" s="250" t="s">
        <v>4</v>
      </c>
      <c r="H305" s="51">
        <f>H272+H288</f>
        <v>27226567000</v>
      </c>
      <c r="I305" s="51">
        <f>I272+I288</f>
        <v>28379202000</v>
      </c>
      <c r="J305" s="51">
        <f>J272+J288</f>
        <v>0</v>
      </c>
      <c r="K305" s="251" t="s">
        <v>0</v>
      </c>
      <c r="L305" s="252"/>
    </row>
    <row r="306" spans="1:12">
      <c r="B306" s="253" t="s">
        <v>2075</v>
      </c>
      <c r="C306" s="254" t="s">
        <v>1929</v>
      </c>
      <c r="D306" s="249" t="s">
        <v>0</v>
      </c>
      <c r="E306" s="249" t="s">
        <v>0</v>
      </c>
      <c r="F306" s="183" t="s">
        <v>1892</v>
      </c>
      <c r="G306" s="250"/>
      <c r="H306" s="286">
        <f>H273+H289</f>
        <v>200000000</v>
      </c>
      <c r="I306" s="286">
        <f t="shared" ref="I306:J306" si="35">I273+I289</f>
        <v>200000000</v>
      </c>
      <c r="J306" s="286">
        <f t="shared" si="35"/>
        <v>0</v>
      </c>
      <c r="K306" s="251"/>
      <c r="L306" s="252"/>
    </row>
    <row r="307" spans="1:12">
      <c r="B307" s="253" t="s">
        <v>2075</v>
      </c>
      <c r="C307" s="254" t="s">
        <v>1930</v>
      </c>
      <c r="D307" s="249" t="s">
        <v>0</v>
      </c>
      <c r="E307" s="249" t="s">
        <v>0</v>
      </c>
      <c r="F307" s="183" t="s">
        <v>1893</v>
      </c>
      <c r="G307" s="250"/>
      <c r="H307" s="286">
        <f t="shared" ref="H307:J307" si="36">H274+H290</f>
        <v>0</v>
      </c>
      <c r="I307" s="286">
        <f t="shared" si="36"/>
        <v>0</v>
      </c>
      <c r="J307" s="286">
        <f t="shared" si="36"/>
        <v>0</v>
      </c>
      <c r="K307" s="251"/>
      <c r="L307" s="252"/>
    </row>
    <row r="308" spans="1:12">
      <c r="A308" s="2"/>
      <c r="B308" s="253"/>
      <c r="C308" s="254"/>
      <c r="D308" s="249"/>
      <c r="E308" s="249"/>
      <c r="F308" s="188" t="s">
        <v>685</v>
      </c>
      <c r="G308" s="250"/>
      <c r="H308" s="19"/>
      <c r="I308" s="19"/>
      <c r="J308" s="19"/>
      <c r="K308" s="251"/>
      <c r="L308" s="252"/>
    </row>
    <row r="309" spans="1:12">
      <c r="A309" s="2" t="s">
        <v>0</v>
      </c>
      <c r="B309" s="253" t="s">
        <v>2075</v>
      </c>
      <c r="C309" s="254" t="s">
        <v>2124</v>
      </c>
      <c r="D309" s="249" t="s">
        <v>0</v>
      </c>
      <c r="E309" s="249" t="s">
        <v>0</v>
      </c>
      <c r="F309" s="183" t="s">
        <v>454</v>
      </c>
      <c r="G309" s="250" t="s">
        <v>4</v>
      </c>
      <c r="H309" s="51">
        <f t="shared" ref="H309:J311" si="37">H276+H292</f>
        <v>2000</v>
      </c>
      <c r="I309" s="51">
        <f t="shared" si="37"/>
        <v>0</v>
      </c>
      <c r="J309" s="51">
        <f t="shared" si="37"/>
        <v>0</v>
      </c>
      <c r="K309" s="251" t="s">
        <v>0</v>
      </c>
      <c r="L309" s="252"/>
    </row>
    <row r="310" spans="1:12">
      <c r="A310" s="2" t="s">
        <v>0</v>
      </c>
      <c r="B310" s="253" t="s">
        <v>2075</v>
      </c>
      <c r="C310" s="254" t="s">
        <v>1413</v>
      </c>
      <c r="D310" s="249" t="s">
        <v>0</v>
      </c>
      <c r="E310" s="249" t="s">
        <v>0</v>
      </c>
      <c r="F310" s="183" t="s">
        <v>686</v>
      </c>
      <c r="G310" s="250" t="s">
        <v>4</v>
      </c>
      <c r="H310" s="51">
        <f t="shared" si="37"/>
        <v>0</v>
      </c>
      <c r="I310" s="51">
        <f t="shared" si="37"/>
        <v>0</v>
      </c>
      <c r="J310" s="51">
        <f t="shared" si="37"/>
        <v>0</v>
      </c>
      <c r="K310" s="251" t="s">
        <v>0</v>
      </c>
      <c r="L310" s="252"/>
    </row>
    <row r="311" spans="1:12">
      <c r="A311" s="2" t="s">
        <v>0</v>
      </c>
      <c r="B311" s="253" t="s">
        <v>2075</v>
      </c>
      <c r="C311" s="254" t="s">
        <v>1414</v>
      </c>
      <c r="D311" s="249" t="s">
        <v>0</v>
      </c>
      <c r="E311" s="249" t="s">
        <v>0</v>
      </c>
      <c r="F311" s="183" t="s">
        <v>687</v>
      </c>
      <c r="G311" s="250" t="s">
        <v>4</v>
      </c>
      <c r="H311" s="51">
        <f t="shared" si="37"/>
        <v>2000</v>
      </c>
      <c r="I311" s="51">
        <f t="shared" si="37"/>
        <v>0</v>
      </c>
      <c r="J311" s="51">
        <f t="shared" si="37"/>
        <v>0</v>
      </c>
      <c r="K311" s="251" t="s">
        <v>0</v>
      </c>
      <c r="L311" s="252"/>
    </row>
    <row r="312" spans="1:12">
      <c r="A312" s="2" t="s">
        <v>0</v>
      </c>
      <c r="B312" s="253" t="s">
        <v>2075</v>
      </c>
      <c r="C312" s="254" t="s">
        <v>2125</v>
      </c>
      <c r="D312" s="249" t="s">
        <v>0</v>
      </c>
      <c r="E312" s="249" t="s">
        <v>0</v>
      </c>
      <c r="F312" s="183" t="s">
        <v>688</v>
      </c>
      <c r="G312" s="250" t="s">
        <v>4</v>
      </c>
      <c r="H312" s="51">
        <f>H311+H309</f>
        <v>4000</v>
      </c>
      <c r="I312" s="51">
        <f>I311+I309</f>
        <v>0</v>
      </c>
      <c r="J312" s="51">
        <f>J311+J309</f>
        <v>0</v>
      </c>
      <c r="K312" s="5" t="s">
        <v>0</v>
      </c>
      <c r="L312" s="10"/>
    </row>
    <row r="313" spans="1:12">
      <c r="A313" s="2" t="s">
        <v>0</v>
      </c>
      <c r="B313" s="253" t="s">
        <v>2075</v>
      </c>
      <c r="C313" s="254" t="s">
        <v>1415</v>
      </c>
      <c r="D313" s="249" t="s">
        <v>0</v>
      </c>
      <c r="E313" s="249" t="s">
        <v>0</v>
      </c>
      <c r="F313" s="183" t="s">
        <v>455</v>
      </c>
      <c r="G313" s="250" t="s">
        <v>4</v>
      </c>
      <c r="H313" s="51">
        <f t="shared" ref="H313:J315" si="38">H280+H297</f>
        <v>0</v>
      </c>
      <c r="I313" s="51">
        <f t="shared" si="38"/>
        <v>0</v>
      </c>
      <c r="J313" s="51">
        <f t="shared" si="38"/>
        <v>0</v>
      </c>
      <c r="K313" s="5" t="s">
        <v>0</v>
      </c>
      <c r="L313" s="10"/>
    </row>
    <row r="314" spans="1:12">
      <c r="A314" s="2" t="s">
        <v>0</v>
      </c>
      <c r="B314" s="253" t="s">
        <v>2075</v>
      </c>
      <c r="C314" s="254" t="s">
        <v>1416</v>
      </c>
      <c r="D314" s="249" t="s">
        <v>0</v>
      </c>
      <c r="E314" s="249" t="s">
        <v>0</v>
      </c>
      <c r="F314" s="183" t="s">
        <v>1970</v>
      </c>
      <c r="G314" s="250" t="s">
        <v>0</v>
      </c>
      <c r="H314" s="51">
        <f t="shared" si="38"/>
        <v>0</v>
      </c>
      <c r="I314" s="51">
        <f t="shared" si="38"/>
        <v>0</v>
      </c>
      <c r="J314" s="51">
        <f t="shared" si="38"/>
        <v>0</v>
      </c>
      <c r="K314" s="5" t="s">
        <v>0</v>
      </c>
      <c r="L314" s="10"/>
    </row>
    <row r="315" spans="1:12">
      <c r="A315" s="2"/>
      <c r="B315" s="253" t="s">
        <v>2075</v>
      </c>
      <c r="C315" s="254" t="s">
        <v>2030</v>
      </c>
      <c r="D315" s="249" t="s">
        <v>0</v>
      </c>
      <c r="E315" s="249"/>
      <c r="F315" s="183" t="s">
        <v>2029</v>
      </c>
      <c r="G315" s="250"/>
      <c r="H315" s="51">
        <f t="shared" si="38"/>
        <v>0</v>
      </c>
      <c r="I315" s="51">
        <f t="shared" si="38"/>
        <v>0</v>
      </c>
      <c r="J315" s="51">
        <f t="shared" si="38"/>
        <v>0</v>
      </c>
      <c r="K315" s="5"/>
      <c r="L315" s="10"/>
    </row>
    <row r="316" spans="1:12">
      <c r="A316" s="2" t="s">
        <v>0</v>
      </c>
      <c r="B316" s="253" t="s">
        <v>2075</v>
      </c>
      <c r="C316" s="254" t="s">
        <v>1417</v>
      </c>
      <c r="D316" s="249" t="s">
        <v>0</v>
      </c>
      <c r="E316" s="249" t="s">
        <v>0</v>
      </c>
      <c r="F316" s="183" t="s">
        <v>689</v>
      </c>
      <c r="G316" s="250" t="s">
        <v>0</v>
      </c>
      <c r="H316" s="51">
        <f t="shared" ref="H316:J317" si="39">H283+H300</f>
        <v>0</v>
      </c>
      <c r="I316" s="51">
        <f t="shared" si="39"/>
        <v>0</v>
      </c>
      <c r="J316" s="51">
        <f t="shared" si="39"/>
        <v>0</v>
      </c>
      <c r="K316" s="5" t="s">
        <v>0</v>
      </c>
      <c r="L316" s="10"/>
    </row>
    <row r="317" spans="1:12">
      <c r="B317" s="253" t="s">
        <v>2075</v>
      </c>
      <c r="C317" s="254" t="s">
        <v>1418</v>
      </c>
      <c r="D317" s="249" t="s">
        <v>0</v>
      </c>
      <c r="E317" s="249" t="s">
        <v>0</v>
      </c>
      <c r="F317" s="183" t="s">
        <v>456</v>
      </c>
      <c r="G317" s="250" t="s">
        <v>4</v>
      </c>
      <c r="H317" s="51">
        <f t="shared" si="39"/>
        <v>0</v>
      </c>
      <c r="I317" s="51">
        <f t="shared" si="39"/>
        <v>0</v>
      </c>
      <c r="J317" s="51">
        <f t="shared" si="39"/>
        <v>0</v>
      </c>
      <c r="K317" s="5" t="s">
        <v>0</v>
      </c>
      <c r="L317" s="10"/>
    </row>
    <row r="318" spans="1:12">
      <c r="A318" s="2" t="s">
        <v>0</v>
      </c>
      <c r="B318" s="253" t="s">
        <v>2075</v>
      </c>
      <c r="C318" s="254" t="s">
        <v>1419</v>
      </c>
      <c r="D318" s="249" t="s">
        <v>0</v>
      </c>
      <c r="E318" s="249" t="s">
        <v>0</v>
      </c>
      <c r="F318" s="184" t="s">
        <v>690</v>
      </c>
      <c r="G318" s="250" t="s">
        <v>0</v>
      </c>
      <c r="H318" s="51">
        <f>+H312+H307+H305+H313+H317+H316</f>
        <v>27226571000</v>
      </c>
      <c r="I318" s="51">
        <f t="shared" ref="I318:J318" si="40">+I312+I307+I305+I313+I317+I316</f>
        <v>28379202000</v>
      </c>
      <c r="J318" s="51">
        <f t="shared" si="40"/>
        <v>0</v>
      </c>
      <c r="K318" s="5" t="s">
        <v>0</v>
      </c>
      <c r="L318" s="10"/>
    </row>
    <row r="319" spans="1:12">
      <c r="A319" s="2"/>
      <c r="B319" s="253"/>
      <c r="C319" s="254"/>
      <c r="D319" s="249"/>
      <c r="E319" s="249"/>
      <c r="F319" s="183"/>
      <c r="G319" s="250"/>
      <c r="H319" s="19"/>
      <c r="I319" s="19"/>
      <c r="J319" s="19"/>
      <c r="K319" s="5"/>
      <c r="L319" s="10"/>
    </row>
    <row r="320" spans="1:12">
      <c r="A320" s="2" t="s">
        <v>0</v>
      </c>
      <c r="B320" s="253"/>
      <c r="C320" s="254"/>
      <c r="D320" s="249" t="s">
        <v>0</v>
      </c>
      <c r="E320" s="249" t="s">
        <v>0</v>
      </c>
      <c r="F320" s="184" t="s">
        <v>36</v>
      </c>
      <c r="G320" s="250" t="s">
        <v>0</v>
      </c>
      <c r="H320" s="5" t="s">
        <v>0</v>
      </c>
      <c r="I320" s="5" t="s">
        <v>0</v>
      </c>
      <c r="J320" s="5" t="s">
        <v>0</v>
      </c>
      <c r="K320" s="5" t="s">
        <v>0</v>
      </c>
      <c r="L320" s="10"/>
    </row>
    <row r="321" spans="1:12">
      <c r="A321" s="2" t="s">
        <v>0</v>
      </c>
      <c r="B321" s="253" t="s">
        <v>2075</v>
      </c>
      <c r="C321" s="254" t="s">
        <v>1790</v>
      </c>
      <c r="D321" s="249" t="s">
        <v>0</v>
      </c>
      <c r="E321" s="249" t="s">
        <v>0</v>
      </c>
      <c r="F321" s="183" t="s">
        <v>457</v>
      </c>
      <c r="G321" s="250" t="s">
        <v>4</v>
      </c>
      <c r="H321" s="13">
        <v>250633816000</v>
      </c>
      <c r="I321" s="13">
        <v>261470599000</v>
      </c>
      <c r="J321" s="13"/>
      <c r="K321" s="5" t="s">
        <v>0</v>
      </c>
      <c r="L321" s="10"/>
    </row>
    <row r="322" spans="1:12">
      <c r="A322" s="2" t="s">
        <v>0</v>
      </c>
      <c r="B322" s="253" t="s">
        <v>2075</v>
      </c>
      <c r="C322" s="254" t="s">
        <v>1791</v>
      </c>
      <c r="D322" s="249" t="s">
        <v>0</v>
      </c>
      <c r="E322" s="249" t="s">
        <v>0</v>
      </c>
      <c r="F322" s="183" t="s">
        <v>458</v>
      </c>
      <c r="G322" s="250" t="s">
        <v>4</v>
      </c>
      <c r="H322" s="13">
        <v>324460038000</v>
      </c>
      <c r="I322" s="13">
        <v>135693333000</v>
      </c>
      <c r="J322" s="13"/>
      <c r="K322" s="5" t="s">
        <v>0</v>
      </c>
      <c r="L322" s="10"/>
    </row>
    <row r="323" spans="1:12">
      <c r="A323" s="2" t="s">
        <v>0</v>
      </c>
      <c r="B323" s="253" t="s">
        <v>2075</v>
      </c>
      <c r="C323" s="254" t="s">
        <v>1792</v>
      </c>
      <c r="D323" s="249" t="s">
        <v>0</v>
      </c>
      <c r="E323" s="249" t="s">
        <v>0</v>
      </c>
      <c r="F323" s="183" t="s">
        <v>459</v>
      </c>
      <c r="G323" s="250" t="s">
        <v>4</v>
      </c>
      <c r="H323" s="13">
        <v>50921186000</v>
      </c>
      <c r="I323" s="13">
        <v>24109260000</v>
      </c>
      <c r="J323" s="13"/>
      <c r="K323" s="5" t="s">
        <v>0</v>
      </c>
      <c r="L323" s="10"/>
    </row>
    <row r="324" spans="1:12">
      <c r="B324" s="253" t="s">
        <v>2075</v>
      </c>
      <c r="C324" s="254" t="s">
        <v>1420</v>
      </c>
      <c r="D324" s="249" t="s">
        <v>0</v>
      </c>
      <c r="E324" s="249" t="s">
        <v>0</v>
      </c>
      <c r="F324" s="184" t="s">
        <v>460</v>
      </c>
      <c r="G324" s="250" t="s">
        <v>0</v>
      </c>
      <c r="H324" s="51">
        <f>H321+H322+H323</f>
        <v>626015040000</v>
      </c>
      <c r="I324" s="51">
        <f t="shared" ref="I324:J324" si="41">I321+I322+I323</f>
        <v>421273192000</v>
      </c>
      <c r="J324" s="51">
        <f t="shared" si="41"/>
        <v>0</v>
      </c>
      <c r="K324" s="5" t="s">
        <v>0</v>
      </c>
      <c r="L324" s="10"/>
    </row>
    <row r="325" spans="1:12">
      <c r="B325" s="253"/>
      <c r="C325" s="254"/>
      <c r="D325" s="249"/>
      <c r="E325" s="249"/>
      <c r="F325" s="183"/>
      <c r="G325" s="250"/>
      <c r="H325" s="19"/>
      <c r="I325" s="19"/>
      <c r="J325" s="19"/>
      <c r="K325" s="5"/>
      <c r="L325" s="10"/>
    </row>
    <row r="326" spans="1:12">
      <c r="A326" s="2" t="s">
        <v>0</v>
      </c>
      <c r="B326" s="253"/>
      <c r="C326" s="254"/>
      <c r="D326" s="249" t="s">
        <v>0</v>
      </c>
      <c r="E326" s="249" t="s">
        <v>0</v>
      </c>
      <c r="F326" s="184" t="s">
        <v>37</v>
      </c>
      <c r="G326" s="250" t="s">
        <v>0</v>
      </c>
      <c r="H326" s="19"/>
      <c r="I326" s="19"/>
      <c r="J326" s="19"/>
      <c r="K326" s="5" t="s">
        <v>0</v>
      </c>
      <c r="L326" s="10"/>
    </row>
    <row r="327" spans="1:12">
      <c r="A327" s="2" t="s">
        <v>0</v>
      </c>
      <c r="B327" s="253" t="s">
        <v>2075</v>
      </c>
      <c r="C327" s="254" t="s">
        <v>1793</v>
      </c>
      <c r="D327" s="249" t="s">
        <v>0</v>
      </c>
      <c r="E327" s="249" t="s">
        <v>0</v>
      </c>
      <c r="F327" s="183" t="s">
        <v>461</v>
      </c>
      <c r="G327" s="250" t="s">
        <v>4</v>
      </c>
      <c r="H327" s="13">
        <v>71208935000</v>
      </c>
      <c r="I327" s="13">
        <v>48236387000</v>
      </c>
      <c r="J327" s="13"/>
      <c r="K327" s="5" t="s">
        <v>0</v>
      </c>
      <c r="L327" s="10"/>
    </row>
    <row r="328" spans="1:12">
      <c r="A328" s="2" t="s">
        <v>0</v>
      </c>
      <c r="B328" s="253" t="s">
        <v>2075</v>
      </c>
      <c r="C328" s="254" t="s">
        <v>1794</v>
      </c>
      <c r="D328" s="249" t="s">
        <v>0</v>
      </c>
      <c r="E328" s="249" t="s">
        <v>0</v>
      </c>
      <c r="F328" s="182" t="s">
        <v>462</v>
      </c>
      <c r="G328" s="250" t="s">
        <v>4</v>
      </c>
      <c r="H328" s="13">
        <v>4300768000</v>
      </c>
      <c r="I328" s="13">
        <v>2458495000</v>
      </c>
      <c r="J328" s="13"/>
      <c r="K328" s="5" t="s">
        <v>0</v>
      </c>
      <c r="L328" s="10"/>
    </row>
    <row r="329" spans="1:12">
      <c r="A329" s="2" t="s">
        <v>0</v>
      </c>
      <c r="B329" s="253" t="s">
        <v>2075</v>
      </c>
      <c r="C329" s="254" t="s">
        <v>1795</v>
      </c>
      <c r="D329" s="249" t="s">
        <v>0</v>
      </c>
      <c r="E329" s="249" t="s">
        <v>0</v>
      </c>
      <c r="F329" s="182" t="s">
        <v>463</v>
      </c>
      <c r="G329" s="250" t="s">
        <v>4</v>
      </c>
      <c r="H329" s="13">
        <v>2455054000</v>
      </c>
      <c r="I329" s="13">
        <v>1360325000</v>
      </c>
      <c r="J329" s="13"/>
      <c r="K329" s="5" t="s">
        <v>0</v>
      </c>
      <c r="L329" s="10"/>
    </row>
    <row r="330" spans="1:12">
      <c r="B330" s="253" t="s">
        <v>2075</v>
      </c>
      <c r="C330" s="254" t="s">
        <v>1421</v>
      </c>
      <c r="D330" s="249" t="s">
        <v>0</v>
      </c>
      <c r="E330" s="249" t="s">
        <v>0</v>
      </c>
      <c r="F330" s="189" t="s">
        <v>464</v>
      </c>
      <c r="G330" s="250" t="s">
        <v>0</v>
      </c>
      <c r="H330" s="51">
        <f>H327+H328+H329</f>
        <v>77964757000</v>
      </c>
      <c r="I330" s="51">
        <f>I327+I328+I329</f>
        <v>52055207000</v>
      </c>
      <c r="J330" s="51">
        <f>J327+J328+J329</f>
        <v>0</v>
      </c>
      <c r="K330" s="5" t="s">
        <v>0</v>
      </c>
      <c r="L330" s="10"/>
    </row>
    <row r="331" spans="1:12">
      <c r="B331" s="253"/>
      <c r="C331" s="254"/>
      <c r="D331" s="249"/>
      <c r="E331" s="249"/>
      <c r="F331" s="182"/>
      <c r="G331" s="250"/>
      <c r="H331" s="19"/>
      <c r="I331" s="19"/>
      <c r="J331" s="19"/>
      <c r="K331" s="5"/>
      <c r="L331" s="10"/>
    </row>
    <row r="332" spans="1:12">
      <c r="A332" s="2" t="s">
        <v>0</v>
      </c>
      <c r="B332" s="253"/>
      <c r="C332" s="254"/>
      <c r="D332" s="249" t="s">
        <v>0</v>
      </c>
      <c r="E332" s="249" t="s">
        <v>0</v>
      </c>
      <c r="F332" s="184" t="s">
        <v>38</v>
      </c>
      <c r="G332" s="250" t="s">
        <v>0</v>
      </c>
      <c r="H332" s="19"/>
      <c r="I332" s="19"/>
      <c r="J332" s="19"/>
      <c r="K332" s="5" t="s">
        <v>0</v>
      </c>
      <c r="L332" s="10"/>
    </row>
    <row r="333" spans="1:12">
      <c r="B333" s="253" t="s">
        <v>2075</v>
      </c>
      <c r="C333" s="254" t="s">
        <v>1796</v>
      </c>
      <c r="D333" s="249" t="s">
        <v>0</v>
      </c>
      <c r="E333" s="249" t="s">
        <v>0</v>
      </c>
      <c r="F333" s="183" t="s">
        <v>465</v>
      </c>
      <c r="G333" s="250" t="s">
        <v>4</v>
      </c>
      <c r="H333" s="51">
        <f t="shared" ref="H333:J335" si="42">H321+H327</f>
        <v>321842751000</v>
      </c>
      <c r="I333" s="51">
        <f t="shared" si="42"/>
        <v>309706986000</v>
      </c>
      <c r="J333" s="51">
        <f t="shared" si="42"/>
        <v>0</v>
      </c>
      <c r="K333" s="5" t="s">
        <v>0</v>
      </c>
      <c r="L333" s="10"/>
    </row>
    <row r="334" spans="1:12">
      <c r="A334" s="2" t="s">
        <v>0</v>
      </c>
      <c r="B334" s="253" t="s">
        <v>2075</v>
      </c>
      <c r="C334" s="254" t="s">
        <v>1797</v>
      </c>
      <c r="D334" s="249" t="s">
        <v>0</v>
      </c>
      <c r="E334" s="249" t="s">
        <v>0</v>
      </c>
      <c r="F334" s="183" t="s">
        <v>466</v>
      </c>
      <c r="G334" s="250" t="s">
        <v>4</v>
      </c>
      <c r="H334" s="51">
        <f t="shared" si="42"/>
        <v>328760806000</v>
      </c>
      <c r="I334" s="51">
        <f t="shared" si="42"/>
        <v>138151828000</v>
      </c>
      <c r="J334" s="51">
        <f t="shared" si="42"/>
        <v>0</v>
      </c>
      <c r="K334" s="5" t="s">
        <v>0</v>
      </c>
      <c r="L334" s="10"/>
    </row>
    <row r="335" spans="1:12">
      <c r="A335" s="2" t="s">
        <v>0</v>
      </c>
      <c r="B335" s="253" t="s">
        <v>2075</v>
      </c>
      <c r="C335" s="254" t="s">
        <v>1798</v>
      </c>
      <c r="D335" s="249" t="s">
        <v>0</v>
      </c>
      <c r="E335" s="249" t="s">
        <v>0</v>
      </c>
      <c r="F335" s="183" t="s">
        <v>467</v>
      </c>
      <c r="G335" s="250" t="s">
        <v>4</v>
      </c>
      <c r="H335" s="51">
        <f t="shared" si="42"/>
        <v>53376240000</v>
      </c>
      <c r="I335" s="51">
        <f t="shared" si="42"/>
        <v>25469585000</v>
      </c>
      <c r="J335" s="51">
        <f t="shared" si="42"/>
        <v>0</v>
      </c>
      <c r="K335" s="5" t="s">
        <v>0</v>
      </c>
      <c r="L335" s="10"/>
    </row>
    <row r="336" spans="1:12">
      <c r="B336" s="253" t="s">
        <v>2075</v>
      </c>
      <c r="C336" s="254" t="s">
        <v>1422</v>
      </c>
      <c r="D336" s="249" t="s">
        <v>0</v>
      </c>
      <c r="E336" s="249" t="s">
        <v>0</v>
      </c>
      <c r="F336" s="189" t="s">
        <v>468</v>
      </c>
      <c r="G336" s="250" t="s">
        <v>0</v>
      </c>
      <c r="H336" s="51">
        <f>H333+H334+H335</f>
        <v>703979797000</v>
      </c>
      <c r="I336" s="51">
        <f>I333+I334+I335</f>
        <v>473328399000</v>
      </c>
      <c r="J336" s="51">
        <f>J333+J334+J335</f>
        <v>0</v>
      </c>
      <c r="K336" s="5" t="s">
        <v>0</v>
      </c>
      <c r="L336" s="10"/>
    </row>
    <row r="337" spans="1:12">
      <c r="B337" s="253"/>
      <c r="C337" s="254"/>
      <c r="D337" s="249"/>
      <c r="E337" s="249"/>
      <c r="F337" s="182"/>
      <c r="G337" s="250"/>
      <c r="H337" s="19"/>
      <c r="I337" s="19"/>
      <c r="J337" s="19"/>
      <c r="K337" s="5"/>
      <c r="L337" s="10"/>
    </row>
    <row r="338" spans="1:12">
      <c r="A338" s="2" t="s">
        <v>0</v>
      </c>
      <c r="B338" s="253"/>
      <c r="C338" s="254"/>
      <c r="D338" s="249" t="s">
        <v>0</v>
      </c>
      <c r="E338" s="249" t="s">
        <v>0</v>
      </c>
      <c r="F338" s="189" t="s">
        <v>39</v>
      </c>
      <c r="G338" s="250" t="s">
        <v>0</v>
      </c>
      <c r="H338" s="19"/>
      <c r="I338" s="19"/>
      <c r="J338" s="19"/>
      <c r="K338" s="5" t="s">
        <v>0</v>
      </c>
      <c r="L338" s="10"/>
    </row>
    <row r="339" spans="1:12" ht="22.5">
      <c r="A339" s="2" t="s">
        <v>0</v>
      </c>
      <c r="B339" s="253"/>
      <c r="C339" s="254"/>
      <c r="D339" s="249" t="s">
        <v>0</v>
      </c>
      <c r="E339" s="249" t="s">
        <v>0</v>
      </c>
      <c r="F339" s="189" t="s">
        <v>40</v>
      </c>
      <c r="G339" s="250" t="s">
        <v>0</v>
      </c>
      <c r="H339" s="5" t="s">
        <v>0</v>
      </c>
      <c r="I339" s="5" t="s">
        <v>0</v>
      </c>
      <c r="J339" s="5" t="s">
        <v>0</v>
      </c>
      <c r="K339" s="5" t="s">
        <v>0</v>
      </c>
      <c r="L339" s="10"/>
    </row>
    <row r="340" spans="1:12" ht="22.5">
      <c r="A340" s="2" t="s">
        <v>0</v>
      </c>
      <c r="B340" s="253" t="s">
        <v>2075</v>
      </c>
      <c r="C340" s="254" t="s">
        <v>1423</v>
      </c>
      <c r="D340" s="249" t="s">
        <v>0</v>
      </c>
      <c r="E340" s="249" t="s">
        <v>0</v>
      </c>
      <c r="F340" s="182" t="s">
        <v>469</v>
      </c>
      <c r="G340" s="250" t="s">
        <v>4</v>
      </c>
      <c r="H340" s="13"/>
      <c r="I340" s="13"/>
      <c r="J340" s="13"/>
      <c r="K340" s="5" t="s">
        <v>0</v>
      </c>
      <c r="L340" s="10"/>
    </row>
    <row r="341" spans="1:12" ht="22.5">
      <c r="A341" s="2" t="s">
        <v>0</v>
      </c>
      <c r="B341" s="253" t="s">
        <v>2075</v>
      </c>
      <c r="C341" s="254" t="s">
        <v>1424</v>
      </c>
      <c r="D341" s="249" t="s">
        <v>0</v>
      </c>
      <c r="E341" s="249" t="s">
        <v>0</v>
      </c>
      <c r="F341" s="182" t="s">
        <v>470</v>
      </c>
      <c r="G341" s="250" t="s">
        <v>4</v>
      </c>
      <c r="H341" s="13"/>
      <c r="I341" s="13"/>
      <c r="J341" s="13"/>
      <c r="K341" s="5" t="s">
        <v>0</v>
      </c>
      <c r="L341" s="10"/>
    </row>
    <row r="342" spans="1:12" ht="22.5">
      <c r="B342" s="253" t="s">
        <v>2075</v>
      </c>
      <c r="C342" s="254" t="s">
        <v>1425</v>
      </c>
      <c r="D342" s="249" t="s">
        <v>0</v>
      </c>
      <c r="E342" s="249" t="s">
        <v>0</v>
      </c>
      <c r="F342" s="189" t="s">
        <v>471</v>
      </c>
      <c r="G342" s="250" t="s">
        <v>4</v>
      </c>
      <c r="H342" s="51">
        <f>H340+H341</f>
        <v>0</v>
      </c>
      <c r="I342" s="51">
        <f t="shared" ref="I342:J342" si="43">I340+I341</f>
        <v>0</v>
      </c>
      <c r="J342" s="51">
        <f t="shared" si="43"/>
        <v>0</v>
      </c>
      <c r="K342" s="5" t="s">
        <v>0</v>
      </c>
      <c r="L342" s="10"/>
    </row>
    <row r="343" spans="1:12">
      <c r="A343" s="2" t="s">
        <v>0</v>
      </c>
      <c r="B343" s="253" t="s">
        <v>2075</v>
      </c>
      <c r="C343" s="254" t="s">
        <v>1426</v>
      </c>
      <c r="D343" s="249" t="s">
        <v>0</v>
      </c>
      <c r="E343" s="249" t="s">
        <v>0</v>
      </c>
      <c r="F343" s="183" t="s">
        <v>472</v>
      </c>
      <c r="G343" s="250" t="s">
        <v>4</v>
      </c>
      <c r="H343" s="13"/>
      <c r="I343" s="13"/>
      <c r="J343" s="13"/>
      <c r="K343" s="5" t="s">
        <v>0</v>
      </c>
      <c r="L343" s="10"/>
    </row>
    <row r="344" spans="1:12">
      <c r="A344" s="2" t="s">
        <v>0</v>
      </c>
      <c r="B344" s="253" t="s">
        <v>2075</v>
      </c>
      <c r="C344" s="254" t="s">
        <v>1427</v>
      </c>
      <c r="D344" s="249" t="s">
        <v>0</v>
      </c>
      <c r="E344" s="249" t="s">
        <v>0</v>
      </c>
      <c r="F344" s="184" t="s">
        <v>473</v>
      </c>
      <c r="G344" s="250" t="s">
        <v>0</v>
      </c>
      <c r="H344" s="51">
        <f>H342+H343</f>
        <v>0</v>
      </c>
      <c r="I344" s="51">
        <f>I342+I343</f>
        <v>0</v>
      </c>
      <c r="J344" s="51">
        <f>J342+J343</f>
        <v>0</v>
      </c>
      <c r="K344" s="5" t="s">
        <v>0</v>
      </c>
      <c r="L344" s="10"/>
    </row>
    <row r="345" spans="1:12">
      <c r="A345" s="2"/>
      <c r="B345" s="253"/>
      <c r="C345" s="254"/>
      <c r="D345" s="249"/>
      <c r="E345" s="249"/>
      <c r="F345" s="183"/>
      <c r="G345" s="250"/>
      <c r="H345" s="19"/>
      <c r="I345" s="19"/>
      <c r="J345" s="19"/>
      <c r="K345" s="5"/>
      <c r="L345" s="10"/>
    </row>
    <row r="346" spans="1:12">
      <c r="A346" s="2"/>
      <c r="B346" s="253"/>
      <c r="C346" s="254"/>
      <c r="D346" s="249" t="s">
        <v>0</v>
      </c>
      <c r="E346" s="249" t="s">
        <v>0</v>
      </c>
      <c r="F346" s="184" t="s">
        <v>41</v>
      </c>
      <c r="G346" s="250" t="s">
        <v>0</v>
      </c>
      <c r="H346" s="19"/>
      <c r="I346" s="19"/>
      <c r="J346" s="19"/>
      <c r="K346" s="5"/>
      <c r="L346" s="10"/>
    </row>
    <row r="347" spans="1:12">
      <c r="A347" s="2"/>
      <c r="B347" s="253"/>
      <c r="C347" s="254"/>
      <c r="D347" s="249" t="s">
        <v>0</v>
      </c>
      <c r="E347" s="249" t="s">
        <v>0</v>
      </c>
      <c r="F347" s="184" t="s">
        <v>42</v>
      </c>
      <c r="G347" s="250" t="s">
        <v>0</v>
      </c>
      <c r="H347" s="5" t="s">
        <v>0</v>
      </c>
      <c r="I347" s="5" t="s">
        <v>0</v>
      </c>
      <c r="J347" s="5" t="s">
        <v>0</v>
      </c>
      <c r="K347" s="5"/>
      <c r="L347" s="10"/>
    </row>
    <row r="348" spans="1:12" ht="22.5">
      <c r="A348" s="2"/>
      <c r="B348" s="253" t="s">
        <v>2075</v>
      </c>
      <c r="C348" s="254" t="s">
        <v>1428</v>
      </c>
      <c r="D348" s="249" t="s">
        <v>0</v>
      </c>
      <c r="E348" s="249" t="s">
        <v>0</v>
      </c>
      <c r="F348" s="182" t="s">
        <v>474</v>
      </c>
      <c r="G348" s="250" t="s">
        <v>4</v>
      </c>
      <c r="H348" s="13"/>
      <c r="I348" s="13"/>
      <c r="J348" s="13"/>
      <c r="K348" s="5"/>
      <c r="L348" s="10"/>
    </row>
    <row r="349" spans="1:12" ht="22.5">
      <c r="A349" s="2"/>
      <c r="B349" s="253" t="s">
        <v>2075</v>
      </c>
      <c r="C349" s="254" t="s">
        <v>1429</v>
      </c>
      <c r="D349" s="249" t="s">
        <v>0</v>
      </c>
      <c r="E349" s="249" t="s">
        <v>0</v>
      </c>
      <c r="F349" s="182" t="s">
        <v>475</v>
      </c>
      <c r="G349" s="250" t="s">
        <v>4</v>
      </c>
      <c r="H349" s="13"/>
      <c r="I349" s="13"/>
      <c r="J349" s="13"/>
      <c r="K349" s="5"/>
      <c r="L349" s="10"/>
    </row>
    <row r="350" spans="1:12">
      <c r="A350" s="2"/>
      <c r="B350" s="253" t="s">
        <v>2075</v>
      </c>
      <c r="C350" s="254" t="s">
        <v>1430</v>
      </c>
      <c r="D350" s="249" t="s">
        <v>0</v>
      </c>
      <c r="E350" s="249" t="s">
        <v>0</v>
      </c>
      <c r="F350" s="184" t="s">
        <v>476</v>
      </c>
      <c r="G350" s="250" t="s">
        <v>4</v>
      </c>
      <c r="H350" s="51">
        <f>H348+H349</f>
        <v>0</v>
      </c>
      <c r="I350" s="51">
        <f>I348+I349</f>
        <v>0</v>
      </c>
      <c r="J350" s="51">
        <f>J348+J349</f>
        <v>0</v>
      </c>
      <c r="K350" s="5"/>
      <c r="L350" s="10"/>
    </row>
    <row r="351" spans="1:12">
      <c r="A351" s="2"/>
      <c r="B351" s="253" t="s">
        <v>2075</v>
      </c>
      <c r="C351" s="254" t="s">
        <v>1431</v>
      </c>
      <c r="D351" s="249" t="s">
        <v>0</v>
      </c>
      <c r="E351" s="249" t="s">
        <v>0</v>
      </c>
      <c r="F351" s="183" t="s">
        <v>477</v>
      </c>
      <c r="G351" s="250" t="s">
        <v>4</v>
      </c>
      <c r="H351" s="13"/>
      <c r="I351" s="13"/>
      <c r="J351" s="13"/>
      <c r="K351" s="5"/>
      <c r="L351" s="10"/>
    </row>
    <row r="352" spans="1:12">
      <c r="A352" s="2"/>
      <c r="B352" s="253" t="s">
        <v>2075</v>
      </c>
      <c r="C352" s="254" t="s">
        <v>1432</v>
      </c>
      <c r="D352" s="249" t="s">
        <v>0</v>
      </c>
      <c r="E352" s="249" t="s">
        <v>0</v>
      </c>
      <c r="F352" s="184" t="s">
        <v>478</v>
      </c>
      <c r="G352" s="250" t="s">
        <v>0</v>
      </c>
      <c r="H352" s="51">
        <f>H350+H351</f>
        <v>0</v>
      </c>
      <c r="I352" s="51">
        <f t="shared" ref="I352:J352" si="44">I350+I351</f>
        <v>0</v>
      </c>
      <c r="J352" s="51">
        <f t="shared" si="44"/>
        <v>0</v>
      </c>
      <c r="K352" s="5"/>
      <c r="L352" s="10"/>
    </row>
    <row r="353" spans="1:12">
      <c r="A353" s="2"/>
      <c r="B353" s="253"/>
      <c r="C353" s="254"/>
      <c r="D353" s="249"/>
      <c r="E353" s="249"/>
      <c r="F353" s="183"/>
      <c r="G353" s="250"/>
      <c r="H353" s="19"/>
      <c r="I353" s="19"/>
      <c r="J353" s="19"/>
      <c r="K353" s="5"/>
      <c r="L353" s="10"/>
    </row>
    <row r="354" spans="1:12">
      <c r="A354" s="2"/>
      <c r="B354" s="253"/>
      <c r="C354" s="254"/>
      <c r="D354" s="249" t="s">
        <v>0</v>
      </c>
      <c r="E354" s="249" t="s">
        <v>0</v>
      </c>
      <c r="F354" s="184" t="s">
        <v>43</v>
      </c>
      <c r="G354" s="250" t="s">
        <v>0</v>
      </c>
      <c r="H354" s="19"/>
      <c r="I354" s="19"/>
      <c r="J354" s="19"/>
      <c r="K354" s="5"/>
      <c r="L354" s="10"/>
    </row>
    <row r="355" spans="1:12">
      <c r="A355" s="2"/>
      <c r="B355" s="253"/>
      <c r="C355" s="254"/>
      <c r="D355" s="249" t="s">
        <v>0</v>
      </c>
      <c r="E355" s="249" t="s">
        <v>0</v>
      </c>
      <c r="F355" s="184" t="s">
        <v>44</v>
      </c>
      <c r="G355" s="250" t="s">
        <v>0</v>
      </c>
      <c r="H355" s="5" t="s">
        <v>0</v>
      </c>
      <c r="I355" s="5" t="s">
        <v>0</v>
      </c>
      <c r="J355" s="5" t="s">
        <v>0</v>
      </c>
      <c r="K355" s="5"/>
      <c r="L355" s="10"/>
    </row>
    <row r="356" spans="1:12" ht="22.5">
      <c r="A356" s="2"/>
      <c r="B356" s="253" t="s">
        <v>2075</v>
      </c>
      <c r="C356" s="254" t="s">
        <v>1433</v>
      </c>
      <c r="D356" s="249" t="s">
        <v>0</v>
      </c>
      <c r="E356" s="249" t="s">
        <v>0</v>
      </c>
      <c r="F356" s="182" t="s">
        <v>479</v>
      </c>
      <c r="G356" s="250" t="s">
        <v>4</v>
      </c>
      <c r="H356" s="51">
        <f>H340+H348</f>
        <v>0</v>
      </c>
      <c r="I356" s="51">
        <f t="shared" ref="I356:J356" si="45">I340+I348</f>
        <v>0</v>
      </c>
      <c r="J356" s="51">
        <f t="shared" si="45"/>
        <v>0</v>
      </c>
      <c r="K356" s="5"/>
      <c r="L356" s="10"/>
    </row>
    <row r="357" spans="1:12" ht="22.5">
      <c r="A357" s="2"/>
      <c r="B357" s="253" t="s">
        <v>2075</v>
      </c>
      <c r="C357" s="254" t="s">
        <v>1434</v>
      </c>
      <c r="D357" s="249" t="s">
        <v>0</v>
      </c>
      <c r="E357" s="249" t="s">
        <v>0</v>
      </c>
      <c r="F357" s="182" t="s">
        <v>480</v>
      </c>
      <c r="G357" s="250" t="s">
        <v>4</v>
      </c>
      <c r="H357" s="51">
        <f>H341+H349</f>
        <v>0</v>
      </c>
      <c r="I357" s="51">
        <f t="shared" ref="I357:J357" si="46">I341+I349</f>
        <v>0</v>
      </c>
      <c r="J357" s="51">
        <f t="shared" si="46"/>
        <v>0</v>
      </c>
      <c r="K357" s="5"/>
      <c r="L357" s="10"/>
    </row>
    <row r="358" spans="1:12">
      <c r="A358" s="2"/>
      <c r="B358" s="253" t="s">
        <v>2075</v>
      </c>
      <c r="C358" s="254" t="s">
        <v>1435</v>
      </c>
      <c r="D358" s="249" t="s">
        <v>0</v>
      </c>
      <c r="E358" s="249" t="s">
        <v>0</v>
      </c>
      <c r="F358" s="184" t="s">
        <v>481</v>
      </c>
      <c r="G358" s="250" t="s">
        <v>4</v>
      </c>
      <c r="H358" s="51">
        <f>H356+H357</f>
        <v>0</v>
      </c>
      <c r="I358" s="51">
        <f t="shared" ref="I358:J358" si="47">I356+I357</f>
        <v>0</v>
      </c>
      <c r="J358" s="51">
        <f t="shared" si="47"/>
        <v>0</v>
      </c>
      <c r="K358" s="5"/>
      <c r="L358" s="10"/>
    </row>
    <row r="359" spans="1:12">
      <c r="A359" s="2"/>
      <c r="B359" s="253" t="s">
        <v>2075</v>
      </c>
      <c r="C359" s="254" t="s">
        <v>1436</v>
      </c>
      <c r="D359" s="249" t="s">
        <v>0</v>
      </c>
      <c r="E359" s="249" t="s">
        <v>0</v>
      </c>
      <c r="F359" s="183" t="s">
        <v>482</v>
      </c>
      <c r="G359" s="250" t="s">
        <v>4</v>
      </c>
      <c r="H359" s="51">
        <f>H343+H351</f>
        <v>0</v>
      </c>
      <c r="I359" s="51">
        <f t="shared" ref="I359:J359" si="48">I343+I351</f>
        <v>0</v>
      </c>
      <c r="J359" s="51">
        <f t="shared" si="48"/>
        <v>0</v>
      </c>
      <c r="K359" s="5"/>
      <c r="L359" s="10"/>
    </row>
    <row r="360" spans="1:12">
      <c r="A360" s="2"/>
      <c r="B360" s="253" t="s">
        <v>2075</v>
      </c>
      <c r="C360" s="254" t="s">
        <v>1437</v>
      </c>
      <c r="D360" s="249" t="s">
        <v>0</v>
      </c>
      <c r="E360" s="249" t="s">
        <v>0</v>
      </c>
      <c r="F360" s="184" t="s">
        <v>483</v>
      </c>
      <c r="G360" s="250" t="s">
        <v>0</v>
      </c>
      <c r="H360" s="51">
        <f>H359+H358</f>
        <v>0</v>
      </c>
      <c r="I360" s="51">
        <f t="shared" ref="I360:J360" si="49">I359+I358</f>
        <v>0</v>
      </c>
      <c r="J360" s="51">
        <f t="shared" si="49"/>
        <v>0</v>
      </c>
      <c r="K360" s="5"/>
      <c r="L360" s="10"/>
    </row>
    <row r="361" spans="1:12">
      <c r="A361" s="2"/>
      <c r="B361" s="253"/>
      <c r="C361" s="254"/>
      <c r="D361" s="249"/>
      <c r="E361" s="249"/>
      <c r="F361" s="183"/>
      <c r="G361" s="250"/>
      <c r="H361" s="19"/>
      <c r="I361" s="19"/>
      <c r="J361" s="19"/>
      <c r="K361" s="5"/>
      <c r="L361" s="10"/>
    </row>
    <row r="362" spans="1:12">
      <c r="A362" s="2"/>
      <c r="B362" s="253"/>
      <c r="C362" s="254"/>
      <c r="D362" s="249" t="s">
        <v>0</v>
      </c>
      <c r="E362" s="249" t="s">
        <v>0</v>
      </c>
      <c r="F362" s="184" t="s">
        <v>484</v>
      </c>
      <c r="G362" s="250" t="s">
        <v>0</v>
      </c>
      <c r="H362" s="5" t="s">
        <v>0</v>
      </c>
      <c r="I362" s="5" t="s">
        <v>0</v>
      </c>
      <c r="J362" s="5" t="s">
        <v>0</v>
      </c>
      <c r="K362" s="5"/>
      <c r="L362" s="10"/>
    </row>
    <row r="363" spans="1:12">
      <c r="A363" s="2"/>
      <c r="B363" s="253" t="s">
        <v>2075</v>
      </c>
      <c r="C363" s="254" t="s">
        <v>1438</v>
      </c>
      <c r="D363" s="249" t="s">
        <v>0</v>
      </c>
      <c r="E363" s="249" t="s">
        <v>0</v>
      </c>
      <c r="F363" s="183" t="s">
        <v>485</v>
      </c>
      <c r="G363" s="250" t="s">
        <v>0</v>
      </c>
      <c r="H363" s="13"/>
      <c r="I363" s="13"/>
      <c r="J363" s="13"/>
      <c r="K363" s="5"/>
      <c r="L363" s="10"/>
    </row>
    <row r="364" spans="1:12">
      <c r="A364" s="2"/>
      <c r="B364" s="253" t="s">
        <v>2075</v>
      </c>
      <c r="C364" s="254" t="s">
        <v>1439</v>
      </c>
      <c r="D364" s="249" t="s">
        <v>0</v>
      </c>
      <c r="E364" s="249" t="s">
        <v>0</v>
      </c>
      <c r="F364" s="183" t="s">
        <v>486</v>
      </c>
      <c r="G364" s="250" t="s">
        <v>0</v>
      </c>
      <c r="H364" s="13"/>
      <c r="I364" s="13"/>
      <c r="J364" s="13"/>
      <c r="K364" s="5"/>
      <c r="L364" s="10"/>
    </row>
    <row r="365" spans="1:12">
      <c r="A365" s="2"/>
      <c r="B365" s="253" t="s">
        <v>2075</v>
      </c>
      <c r="C365" s="254" t="s">
        <v>1440</v>
      </c>
      <c r="D365" s="249" t="s">
        <v>0</v>
      </c>
      <c r="E365" s="249" t="s">
        <v>0</v>
      </c>
      <c r="F365" s="183" t="s">
        <v>487</v>
      </c>
      <c r="G365" s="250" t="s">
        <v>0</v>
      </c>
      <c r="H365" s="13"/>
      <c r="I365" s="13"/>
      <c r="J365" s="13"/>
      <c r="K365" s="5"/>
      <c r="L365" s="10"/>
    </row>
    <row r="366" spans="1:12">
      <c r="A366" s="2"/>
      <c r="B366" s="253" t="s">
        <v>2075</v>
      </c>
      <c r="C366" s="254" t="s">
        <v>1441</v>
      </c>
      <c r="D366" s="249" t="s">
        <v>0</v>
      </c>
      <c r="E366" s="249" t="s">
        <v>0</v>
      </c>
      <c r="F366" s="183" t="s">
        <v>488</v>
      </c>
      <c r="G366" s="250" t="s">
        <v>0</v>
      </c>
      <c r="H366" s="13"/>
      <c r="I366" s="13"/>
      <c r="J366" s="13"/>
      <c r="K366" s="5"/>
      <c r="L366" s="10"/>
    </row>
    <row r="367" spans="1:12">
      <c r="A367" s="2"/>
      <c r="B367" s="253" t="s">
        <v>2075</v>
      </c>
      <c r="C367" s="254" t="s">
        <v>1442</v>
      </c>
      <c r="D367" s="249" t="s">
        <v>0</v>
      </c>
      <c r="E367" s="249" t="s">
        <v>0</v>
      </c>
      <c r="F367" s="183" t="s">
        <v>489</v>
      </c>
      <c r="G367" s="250" t="s">
        <v>0</v>
      </c>
      <c r="H367" s="13"/>
      <c r="I367" s="13"/>
      <c r="J367" s="13"/>
      <c r="K367" s="5"/>
      <c r="L367" s="10"/>
    </row>
    <row r="368" spans="1:12">
      <c r="A368" s="2"/>
      <c r="B368" s="253" t="s">
        <v>2075</v>
      </c>
      <c r="C368" s="254" t="s">
        <v>1443</v>
      </c>
      <c r="D368" s="249" t="s">
        <v>0</v>
      </c>
      <c r="E368" s="249" t="s">
        <v>0</v>
      </c>
      <c r="F368" s="183" t="s">
        <v>490</v>
      </c>
      <c r="G368" s="250" t="s">
        <v>0</v>
      </c>
      <c r="H368" s="13"/>
      <c r="I368" s="13"/>
      <c r="J368" s="13"/>
      <c r="K368" s="5"/>
      <c r="L368" s="10"/>
    </row>
    <row r="369" spans="1:12">
      <c r="A369" s="2"/>
      <c r="B369" s="253" t="s">
        <v>2075</v>
      </c>
      <c r="C369" s="254" t="s">
        <v>1444</v>
      </c>
      <c r="D369" s="249" t="s">
        <v>0</v>
      </c>
      <c r="E369" s="249" t="s">
        <v>0</v>
      </c>
      <c r="F369" s="183" t="s">
        <v>699</v>
      </c>
      <c r="G369" s="250" t="s">
        <v>0</v>
      </c>
      <c r="H369" s="13"/>
      <c r="I369" s="13"/>
      <c r="J369" s="13"/>
      <c r="K369" s="5"/>
      <c r="L369" s="10"/>
    </row>
    <row r="370" spans="1:12">
      <c r="A370" s="2"/>
      <c r="B370" s="253" t="s">
        <v>2075</v>
      </c>
      <c r="C370" s="254" t="s">
        <v>1971</v>
      </c>
      <c r="D370" s="249" t="s">
        <v>0</v>
      </c>
      <c r="E370" s="249"/>
      <c r="F370" s="183" t="s">
        <v>1974</v>
      </c>
      <c r="G370" s="250"/>
      <c r="H370" s="13"/>
      <c r="I370" s="13"/>
      <c r="J370" s="13"/>
      <c r="K370" s="5"/>
      <c r="L370" s="10"/>
    </row>
    <row r="371" spans="1:12">
      <c r="A371" s="2"/>
      <c r="B371" s="253" t="s">
        <v>2075</v>
      </c>
      <c r="C371" s="254" t="s">
        <v>2205</v>
      </c>
      <c r="D371" s="249" t="s">
        <v>0</v>
      </c>
      <c r="E371" s="249"/>
      <c r="F371" s="183" t="s">
        <v>2206</v>
      </c>
      <c r="G371" s="250"/>
      <c r="H371" s="13">
        <v>1000</v>
      </c>
      <c r="I371" s="13"/>
      <c r="J371" s="13"/>
      <c r="K371" s="5"/>
      <c r="L371" s="10"/>
    </row>
    <row r="372" spans="1:12">
      <c r="A372" s="2"/>
      <c r="B372" s="253" t="s">
        <v>2075</v>
      </c>
      <c r="C372" s="254" t="s">
        <v>1445</v>
      </c>
      <c r="D372" s="249" t="s">
        <v>0</v>
      </c>
      <c r="E372" s="249" t="s">
        <v>0</v>
      </c>
      <c r="F372" s="183" t="s">
        <v>491</v>
      </c>
      <c r="G372" s="250" t="s">
        <v>0</v>
      </c>
      <c r="H372" s="13"/>
      <c r="I372" s="13"/>
      <c r="J372" s="13"/>
      <c r="K372" s="5"/>
      <c r="L372" s="10"/>
    </row>
    <row r="373" spans="1:12">
      <c r="A373" s="2"/>
      <c r="B373" s="253"/>
      <c r="C373" s="254"/>
      <c r="D373" s="249"/>
      <c r="E373" s="249"/>
      <c r="F373" s="183"/>
      <c r="G373" s="250"/>
      <c r="H373" s="19"/>
      <c r="I373" s="19"/>
      <c r="J373" s="19"/>
      <c r="K373" s="5"/>
      <c r="L373" s="10"/>
    </row>
    <row r="374" spans="1:12">
      <c r="A374" s="2"/>
      <c r="B374" s="253"/>
      <c r="C374" s="254"/>
      <c r="D374" s="249" t="s">
        <v>0</v>
      </c>
      <c r="E374" s="249" t="s">
        <v>0</v>
      </c>
      <c r="F374" s="184" t="s">
        <v>492</v>
      </c>
      <c r="G374" s="250" t="s">
        <v>0</v>
      </c>
      <c r="H374" s="19"/>
      <c r="I374" s="19"/>
      <c r="J374" s="19"/>
      <c r="K374" s="5"/>
      <c r="L374" s="10"/>
    </row>
    <row r="375" spans="1:12">
      <c r="A375" s="2"/>
      <c r="B375" s="253" t="s">
        <v>2075</v>
      </c>
      <c r="C375" s="254" t="s">
        <v>1446</v>
      </c>
      <c r="D375" s="249" t="s">
        <v>0</v>
      </c>
      <c r="E375" s="249" t="s">
        <v>0</v>
      </c>
      <c r="F375" s="183" t="s">
        <v>493</v>
      </c>
      <c r="G375" s="250" t="s">
        <v>0</v>
      </c>
      <c r="H375" s="13"/>
      <c r="I375" s="13"/>
      <c r="J375" s="13"/>
      <c r="K375" s="5"/>
      <c r="L375" s="10"/>
    </row>
    <row r="376" spans="1:12">
      <c r="A376" s="2"/>
      <c r="B376" s="253" t="s">
        <v>2075</v>
      </c>
      <c r="C376" s="254" t="s">
        <v>1447</v>
      </c>
      <c r="D376" s="249" t="s">
        <v>0</v>
      </c>
      <c r="E376" s="249" t="s">
        <v>0</v>
      </c>
      <c r="F376" s="183" t="s">
        <v>494</v>
      </c>
      <c r="G376" s="250" t="s">
        <v>0</v>
      </c>
      <c r="H376" s="13"/>
      <c r="I376" s="13"/>
      <c r="J376" s="13"/>
      <c r="K376" s="5"/>
      <c r="L376" s="10"/>
    </row>
    <row r="377" spans="1:12">
      <c r="A377" s="2"/>
      <c r="B377" s="253" t="s">
        <v>2075</v>
      </c>
      <c r="C377" s="254" t="s">
        <v>1448</v>
      </c>
      <c r="D377" s="249" t="s">
        <v>0</v>
      </c>
      <c r="E377" s="249" t="s">
        <v>0</v>
      </c>
      <c r="F377" s="183" t="s">
        <v>495</v>
      </c>
      <c r="G377" s="250" t="s">
        <v>0</v>
      </c>
      <c r="H377" s="13"/>
      <c r="I377" s="13"/>
      <c r="J377" s="13"/>
      <c r="K377" s="5"/>
      <c r="L377" s="10"/>
    </row>
    <row r="378" spans="1:12">
      <c r="A378" s="2"/>
      <c r="B378" s="253" t="s">
        <v>2075</v>
      </c>
      <c r="C378" s="254" t="s">
        <v>1449</v>
      </c>
      <c r="D378" s="249" t="s">
        <v>0</v>
      </c>
      <c r="E378" s="249" t="s">
        <v>0</v>
      </c>
      <c r="F378" s="183" t="s">
        <v>496</v>
      </c>
      <c r="G378" s="250" t="s">
        <v>0</v>
      </c>
      <c r="H378" s="13"/>
      <c r="I378" s="13"/>
      <c r="J378" s="13"/>
      <c r="K378" s="5"/>
      <c r="L378" s="10"/>
    </row>
    <row r="379" spans="1:12">
      <c r="A379" s="2"/>
      <c r="B379" s="253" t="s">
        <v>2075</v>
      </c>
      <c r="C379" s="254" t="s">
        <v>1450</v>
      </c>
      <c r="D379" s="249" t="s">
        <v>0</v>
      </c>
      <c r="E379" s="249" t="s">
        <v>0</v>
      </c>
      <c r="F379" s="183" t="s">
        <v>497</v>
      </c>
      <c r="G379" s="250" t="s">
        <v>0</v>
      </c>
      <c r="H379" s="13"/>
      <c r="I379" s="13"/>
      <c r="J379" s="13"/>
      <c r="K379" s="5"/>
      <c r="L379" s="10"/>
    </row>
    <row r="380" spans="1:12">
      <c r="A380" s="2"/>
      <c r="B380" s="253" t="s">
        <v>2075</v>
      </c>
      <c r="C380" s="254" t="s">
        <v>1451</v>
      </c>
      <c r="D380" s="249" t="s">
        <v>0</v>
      </c>
      <c r="E380" s="249" t="s">
        <v>0</v>
      </c>
      <c r="F380" s="183" t="s">
        <v>498</v>
      </c>
      <c r="G380" s="250" t="s">
        <v>0</v>
      </c>
      <c r="H380" s="13"/>
      <c r="I380" s="13"/>
      <c r="J380" s="13"/>
      <c r="K380" s="5"/>
      <c r="L380" s="10"/>
    </row>
    <row r="381" spans="1:12">
      <c r="A381" s="2"/>
      <c r="B381" s="253" t="s">
        <v>2075</v>
      </c>
      <c r="C381" s="254" t="s">
        <v>1452</v>
      </c>
      <c r="D381" s="249" t="s">
        <v>0</v>
      </c>
      <c r="E381" s="249" t="s">
        <v>0</v>
      </c>
      <c r="F381" s="183" t="s">
        <v>700</v>
      </c>
      <c r="G381" s="250"/>
      <c r="H381" s="13"/>
      <c r="I381" s="13"/>
      <c r="J381" s="13"/>
      <c r="K381" s="5"/>
      <c r="L381" s="10"/>
    </row>
    <row r="382" spans="1:12">
      <c r="A382" s="2"/>
      <c r="B382" s="253" t="s">
        <v>2075</v>
      </c>
      <c r="C382" s="254" t="s">
        <v>1972</v>
      </c>
      <c r="D382" s="249" t="s">
        <v>0</v>
      </c>
      <c r="E382" s="249"/>
      <c r="F382" s="183" t="s">
        <v>1973</v>
      </c>
      <c r="G382" s="250"/>
      <c r="H382" s="13"/>
      <c r="I382" s="13"/>
      <c r="J382" s="13"/>
      <c r="K382" s="5"/>
      <c r="L382" s="10"/>
    </row>
    <row r="383" spans="1:12">
      <c r="A383" s="2"/>
      <c r="B383" s="253" t="s">
        <v>2075</v>
      </c>
      <c r="C383" s="254" t="s">
        <v>1453</v>
      </c>
      <c r="D383" s="249" t="s">
        <v>0</v>
      </c>
      <c r="E383" s="249" t="s">
        <v>0</v>
      </c>
      <c r="F383" s="183" t="s">
        <v>499</v>
      </c>
      <c r="G383" s="250" t="s">
        <v>0</v>
      </c>
      <c r="H383" s="13"/>
      <c r="I383" s="13"/>
      <c r="J383" s="13"/>
      <c r="K383" s="5"/>
      <c r="L383" s="10"/>
    </row>
    <row r="384" spans="1:12">
      <c r="A384" s="2"/>
      <c r="B384" s="253" t="s">
        <v>2075</v>
      </c>
      <c r="C384" s="254" t="s">
        <v>2204</v>
      </c>
      <c r="D384" s="249" t="s">
        <v>0</v>
      </c>
      <c r="E384" s="249"/>
      <c r="F384" s="183" t="s">
        <v>2203</v>
      </c>
      <c r="G384" s="250"/>
      <c r="H384" s="13">
        <v>2000</v>
      </c>
      <c r="I384" s="13"/>
      <c r="J384" s="13"/>
      <c r="K384" s="5"/>
      <c r="L384" s="10"/>
    </row>
    <row r="385" spans="1:13">
      <c r="A385" s="2"/>
      <c r="B385" s="253" t="s">
        <v>2075</v>
      </c>
      <c r="C385" s="254" t="s">
        <v>1454</v>
      </c>
      <c r="D385" s="249" t="s">
        <v>0</v>
      </c>
      <c r="E385" s="249" t="s">
        <v>0</v>
      </c>
      <c r="F385" s="183" t="s">
        <v>500</v>
      </c>
      <c r="G385" s="250" t="s">
        <v>0</v>
      </c>
      <c r="H385" s="13"/>
      <c r="I385" s="13"/>
      <c r="J385" s="13"/>
      <c r="K385" s="5"/>
      <c r="L385" s="10"/>
    </row>
    <row r="386" spans="1:13">
      <c r="A386" s="2"/>
      <c r="B386" s="36"/>
      <c r="C386" s="26"/>
      <c r="D386" s="18"/>
      <c r="E386" s="18"/>
      <c r="F386" s="183"/>
      <c r="G386" s="14"/>
      <c r="H386" s="19"/>
      <c r="I386" s="19"/>
      <c r="J386" s="19"/>
      <c r="K386" s="5"/>
      <c r="L386" s="10"/>
    </row>
    <row r="387" spans="1:13">
      <c r="A387" s="2"/>
      <c r="B387" s="36"/>
      <c r="C387" s="26"/>
      <c r="D387" s="18" t="s">
        <v>0</v>
      </c>
      <c r="E387" s="18" t="s">
        <v>0</v>
      </c>
      <c r="F387" s="184" t="s">
        <v>501</v>
      </c>
      <c r="G387" s="14" t="s">
        <v>0</v>
      </c>
      <c r="H387" s="5"/>
      <c r="I387" s="5"/>
      <c r="J387" s="5" t="s">
        <v>0</v>
      </c>
      <c r="K387" s="5"/>
      <c r="L387" s="10"/>
    </row>
    <row r="388" spans="1:13">
      <c r="A388" s="2"/>
      <c r="B388" s="36" t="s">
        <v>2075</v>
      </c>
      <c r="C388" s="26" t="s">
        <v>1455</v>
      </c>
      <c r="D388" s="18" t="s">
        <v>0</v>
      </c>
      <c r="E388" s="18" t="s">
        <v>0</v>
      </c>
      <c r="F388" s="19" t="s">
        <v>502</v>
      </c>
      <c r="G388" s="14" t="s">
        <v>0</v>
      </c>
      <c r="H388" s="13"/>
      <c r="I388" s="13"/>
      <c r="J388" s="13"/>
      <c r="K388" s="5"/>
      <c r="L388" s="10"/>
    </row>
    <row r="389" spans="1:13">
      <c r="A389" s="2"/>
      <c r="B389" s="36" t="s">
        <v>2075</v>
      </c>
      <c r="C389" s="26" t="s">
        <v>1456</v>
      </c>
      <c r="D389" s="18" t="s">
        <v>0</v>
      </c>
      <c r="E389" s="18" t="s">
        <v>0</v>
      </c>
      <c r="F389" s="19" t="s">
        <v>503</v>
      </c>
      <c r="G389" s="14" t="s">
        <v>0</v>
      </c>
      <c r="H389" s="13"/>
      <c r="I389" s="13"/>
      <c r="J389" s="13"/>
      <c r="K389" s="5"/>
      <c r="L389" s="10"/>
    </row>
    <row r="390" spans="1:13">
      <c r="A390" s="2"/>
      <c r="B390" s="36" t="s">
        <v>2075</v>
      </c>
      <c r="C390" s="26" t="s">
        <v>1457</v>
      </c>
      <c r="D390" s="18" t="s">
        <v>0</v>
      </c>
      <c r="E390" s="18" t="s">
        <v>0</v>
      </c>
      <c r="F390" s="19" t="s">
        <v>504</v>
      </c>
      <c r="G390" s="14" t="s">
        <v>0</v>
      </c>
      <c r="H390" s="13"/>
      <c r="I390" s="13"/>
      <c r="J390" s="13"/>
      <c r="K390" s="5"/>
      <c r="L390" s="10"/>
    </row>
    <row r="391" spans="1:13">
      <c r="A391" s="2"/>
      <c r="B391" s="36"/>
      <c r="C391" s="26"/>
      <c r="D391" s="18"/>
      <c r="E391" s="18"/>
      <c r="F391" s="19"/>
      <c r="G391" s="14"/>
      <c r="H391" s="19"/>
      <c r="I391" s="19"/>
      <c r="J391" s="19"/>
      <c r="K391" s="5"/>
      <c r="L391" s="10"/>
    </row>
    <row r="392" spans="1:13">
      <c r="A392" s="2"/>
      <c r="B392" s="36"/>
      <c r="C392" s="26"/>
      <c r="D392" s="18" t="s">
        <v>0</v>
      </c>
      <c r="E392" s="18" t="s">
        <v>0</v>
      </c>
      <c r="F392" s="16" t="s">
        <v>45</v>
      </c>
      <c r="G392" s="14" t="s">
        <v>0</v>
      </c>
      <c r="H392" s="19"/>
      <c r="I392" s="19"/>
      <c r="J392" s="19"/>
      <c r="K392" s="5"/>
      <c r="L392" s="10"/>
    </row>
    <row r="393" spans="1:13">
      <c r="A393" s="2"/>
      <c r="B393" s="36" t="s">
        <v>2075</v>
      </c>
      <c r="C393" s="26" t="s">
        <v>1458</v>
      </c>
      <c r="D393" s="18" t="s">
        <v>0</v>
      </c>
      <c r="E393" s="18" t="s">
        <v>0</v>
      </c>
      <c r="F393" s="19" t="s">
        <v>505</v>
      </c>
      <c r="G393" s="14" t="s">
        <v>4</v>
      </c>
      <c r="H393" s="179">
        <v>1690100145000</v>
      </c>
      <c r="I393" s="179">
        <v>1428508485000</v>
      </c>
      <c r="J393" s="13"/>
      <c r="K393" s="5"/>
      <c r="L393" s="10"/>
      <c r="M393" s="179">
        <v>1428508485000</v>
      </c>
    </row>
    <row r="394" spans="1:13">
      <c r="A394" s="2"/>
      <c r="B394" s="36" t="s">
        <v>2075</v>
      </c>
      <c r="C394" s="26" t="s">
        <v>1459</v>
      </c>
      <c r="D394" s="18" t="s">
        <v>0</v>
      </c>
      <c r="E394" s="18" t="s">
        <v>0</v>
      </c>
      <c r="F394" s="19" t="s">
        <v>506</v>
      </c>
      <c r="G394" s="14" t="s">
        <v>46</v>
      </c>
      <c r="H394" s="179">
        <v>895535830000</v>
      </c>
      <c r="I394" s="179">
        <v>633630520000</v>
      </c>
      <c r="J394" s="13"/>
      <c r="K394" s="5"/>
      <c r="L394" s="10"/>
      <c r="M394" s="179">
        <v>1690100145000</v>
      </c>
    </row>
    <row r="395" spans="1:13">
      <c r="A395" s="2"/>
      <c r="B395" s="36" t="s">
        <v>2075</v>
      </c>
      <c r="C395" s="26" t="s">
        <v>1460</v>
      </c>
      <c r="D395" s="18" t="s">
        <v>0</v>
      </c>
      <c r="E395" s="18" t="s">
        <v>0</v>
      </c>
      <c r="F395" s="16" t="s">
        <v>507</v>
      </c>
      <c r="G395" s="14" t="s">
        <v>0</v>
      </c>
      <c r="H395" s="51">
        <f>H393-H394</f>
        <v>794564315000</v>
      </c>
      <c r="I395" s="51">
        <f t="shared" ref="I395:J395" si="50">I393-I394</f>
        <v>794877965000</v>
      </c>
      <c r="J395" s="51">
        <f t="shared" si="50"/>
        <v>0</v>
      </c>
      <c r="K395" s="5"/>
      <c r="L395" s="10"/>
    </row>
    <row r="396" spans="1:13">
      <c r="A396" s="2"/>
      <c r="B396" s="36"/>
      <c r="C396" s="26"/>
      <c r="D396" s="18"/>
      <c r="E396" s="18"/>
      <c r="F396" s="19"/>
      <c r="G396" s="14"/>
      <c r="H396" s="19"/>
      <c r="I396" s="19"/>
      <c r="J396" s="19"/>
      <c r="K396" s="5"/>
      <c r="L396" s="10"/>
    </row>
    <row r="397" spans="1:13">
      <c r="A397" s="2"/>
      <c r="B397" s="36"/>
      <c r="C397" s="26"/>
      <c r="D397" s="18" t="s">
        <v>0</v>
      </c>
      <c r="E397" s="18" t="s">
        <v>0</v>
      </c>
      <c r="F397" s="16" t="s">
        <v>508</v>
      </c>
      <c r="G397" s="14" t="s">
        <v>0</v>
      </c>
      <c r="H397" s="5" t="s">
        <v>0</v>
      </c>
      <c r="I397" s="5" t="s">
        <v>0</v>
      </c>
      <c r="J397" s="5" t="s">
        <v>0</v>
      </c>
      <c r="K397" s="5"/>
      <c r="L397" s="10"/>
    </row>
    <row r="398" spans="1:13">
      <c r="A398" s="2"/>
      <c r="B398" s="36" t="s">
        <v>2075</v>
      </c>
      <c r="C398" s="26" t="s">
        <v>1461</v>
      </c>
      <c r="D398" s="18" t="s">
        <v>0</v>
      </c>
      <c r="E398" s="18" t="s">
        <v>0</v>
      </c>
      <c r="F398" s="19" t="s">
        <v>509</v>
      </c>
      <c r="G398" s="14" t="s">
        <v>4</v>
      </c>
      <c r="H398" s="347">
        <v>198448410000</v>
      </c>
      <c r="I398" s="347">
        <v>161736457000</v>
      </c>
      <c r="J398" s="13"/>
      <c r="K398" s="5"/>
      <c r="L398" s="10"/>
    </row>
    <row r="399" spans="1:13">
      <c r="A399" s="2"/>
      <c r="B399" s="36" t="s">
        <v>2075</v>
      </c>
      <c r="C399" s="26" t="s">
        <v>1462</v>
      </c>
      <c r="D399" s="18" t="s">
        <v>0</v>
      </c>
      <c r="E399" s="18" t="s">
        <v>0</v>
      </c>
      <c r="F399" s="19" t="s">
        <v>510</v>
      </c>
      <c r="G399" s="14" t="s">
        <v>46</v>
      </c>
      <c r="H399" s="179">
        <v>125166557000</v>
      </c>
      <c r="I399" s="179">
        <v>95651379000</v>
      </c>
      <c r="J399" s="13"/>
      <c r="K399" s="5"/>
      <c r="L399" s="10"/>
    </row>
    <row r="400" spans="1:13">
      <c r="A400" s="2"/>
      <c r="B400" s="36" t="s">
        <v>2075</v>
      </c>
      <c r="C400" s="26" t="s">
        <v>1463</v>
      </c>
      <c r="D400" s="18" t="s">
        <v>0</v>
      </c>
      <c r="E400" s="18" t="s">
        <v>0</v>
      </c>
      <c r="F400" s="16" t="s">
        <v>511</v>
      </c>
      <c r="G400" s="14" t="s">
        <v>0</v>
      </c>
      <c r="H400" s="51">
        <f>H398-H399</f>
        <v>73281853000</v>
      </c>
      <c r="I400" s="51">
        <f>I398-I399</f>
        <v>66085078000</v>
      </c>
      <c r="J400" s="51">
        <f>J398-J399</f>
        <v>0</v>
      </c>
      <c r="K400" s="5"/>
      <c r="L400" s="10"/>
    </row>
    <row r="401" spans="1:14">
      <c r="A401" s="2"/>
      <c r="B401" s="36"/>
      <c r="C401" s="26"/>
      <c r="D401" s="18"/>
      <c r="E401" s="18"/>
      <c r="F401" s="16"/>
      <c r="G401" s="14"/>
      <c r="H401" s="18"/>
      <c r="I401" s="18"/>
      <c r="J401" s="18"/>
      <c r="K401" s="251"/>
      <c r="L401" s="252"/>
    </row>
    <row r="402" spans="1:14">
      <c r="B402" s="253"/>
      <c r="C402" s="254"/>
      <c r="D402" s="249" t="s">
        <v>0</v>
      </c>
      <c r="E402" s="249" t="s">
        <v>0</v>
      </c>
      <c r="F402" s="184" t="s">
        <v>1894</v>
      </c>
      <c r="G402" s="250" t="s">
        <v>0</v>
      </c>
      <c r="H402" s="251" t="s">
        <v>0</v>
      </c>
      <c r="I402" s="251" t="s">
        <v>0</v>
      </c>
      <c r="J402" s="251" t="s">
        <v>0</v>
      </c>
      <c r="K402" s="251"/>
      <c r="L402" s="252"/>
    </row>
    <row r="403" spans="1:14">
      <c r="B403" s="253" t="s">
        <v>2075</v>
      </c>
      <c r="C403" s="254" t="s">
        <v>1458</v>
      </c>
      <c r="D403" s="249" t="s">
        <v>0</v>
      </c>
      <c r="E403" s="249" t="s">
        <v>0</v>
      </c>
      <c r="F403" s="183" t="s">
        <v>1896</v>
      </c>
      <c r="G403" s="250" t="s">
        <v>4</v>
      </c>
      <c r="H403" s="51">
        <f>H393</f>
        <v>1690100145000</v>
      </c>
      <c r="I403" s="51">
        <f t="shared" ref="I403:J403" si="51">I393</f>
        <v>1428508485000</v>
      </c>
      <c r="J403" s="286">
        <f t="shared" si="51"/>
        <v>0</v>
      </c>
      <c r="K403" s="251"/>
      <c r="L403" s="252"/>
      <c r="M403" s="350">
        <v>1690100145000</v>
      </c>
      <c r="N403" s="350">
        <v>1428508485000</v>
      </c>
    </row>
    <row r="404" spans="1:14">
      <c r="B404" s="253" t="s">
        <v>2075</v>
      </c>
      <c r="C404" s="254" t="s">
        <v>1462</v>
      </c>
      <c r="D404" s="249" t="s">
        <v>0</v>
      </c>
      <c r="E404" s="249" t="s">
        <v>0</v>
      </c>
      <c r="F404" s="183" t="s">
        <v>1897</v>
      </c>
      <c r="G404" s="250" t="s">
        <v>46</v>
      </c>
      <c r="H404" s="51">
        <f>H399</f>
        <v>125166557000</v>
      </c>
      <c r="I404" s="51">
        <f t="shared" ref="I404:J404" si="52">I399</f>
        <v>95651379000</v>
      </c>
      <c r="J404" s="286">
        <f t="shared" si="52"/>
        <v>0</v>
      </c>
      <c r="K404" s="251"/>
      <c r="L404" s="252"/>
    </row>
    <row r="405" spans="1:14">
      <c r="B405" s="253" t="s">
        <v>2075</v>
      </c>
      <c r="C405" s="254" t="s">
        <v>1922</v>
      </c>
      <c r="D405" s="249" t="s">
        <v>0</v>
      </c>
      <c r="E405" s="249" t="s">
        <v>0</v>
      </c>
      <c r="F405" s="184" t="s">
        <v>1895</v>
      </c>
      <c r="G405" s="250" t="s">
        <v>0</v>
      </c>
      <c r="H405" s="51">
        <f>H403-H404</f>
        <v>1564933588000</v>
      </c>
      <c r="I405" s="51">
        <f>I403-I404</f>
        <v>1332857106000</v>
      </c>
      <c r="J405" s="51">
        <f>J403-J404</f>
        <v>0</v>
      </c>
      <c r="K405" s="251" t="s">
        <v>0</v>
      </c>
      <c r="L405" s="252"/>
    </row>
    <row r="406" spans="1:14">
      <c r="B406" s="253" t="s">
        <v>2075</v>
      </c>
      <c r="C406" s="254" t="s">
        <v>1975</v>
      </c>
      <c r="D406" s="249" t="s">
        <v>0</v>
      </c>
      <c r="E406" s="249"/>
      <c r="F406" s="183" t="s">
        <v>1976</v>
      </c>
      <c r="G406" s="250"/>
      <c r="H406" s="13"/>
      <c r="I406" s="13"/>
      <c r="J406" s="13"/>
      <c r="K406" s="251"/>
      <c r="L406" s="252"/>
    </row>
    <row r="407" spans="1:14">
      <c r="B407" s="326"/>
      <c r="C407" s="327"/>
      <c r="D407" s="6"/>
      <c r="E407" s="6"/>
      <c r="F407" s="7"/>
      <c r="G407" s="8"/>
      <c r="H407" s="21" t="s">
        <v>0</v>
      </c>
      <c r="I407" s="21" t="s">
        <v>0</v>
      </c>
      <c r="J407" s="21" t="s">
        <v>0</v>
      </c>
      <c r="K407" s="21" t="s">
        <v>0</v>
      </c>
      <c r="L407" s="11"/>
    </row>
    <row r="408" spans="1:14">
      <c r="B408" s="328"/>
      <c r="C408" s="328"/>
      <c r="F408" s="1"/>
      <c r="G408" s="1"/>
      <c r="H408" s="1"/>
      <c r="I408" s="1"/>
      <c r="J408" s="1"/>
      <c r="K408" s="1"/>
      <c r="L408" s="1"/>
    </row>
    <row r="409" spans="1:14">
      <c r="B409" s="289"/>
      <c r="C409" s="290"/>
      <c r="D409" s="291" t="s">
        <v>0</v>
      </c>
      <c r="E409" s="291" t="s">
        <v>0</v>
      </c>
      <c r="F409" s="292" t="s">
        <v>240</v>
      </c>
      <c r="G409" s="293" t="s">
        <v>0</v>
      </c>
      <c r="H409" s="33"/>
      <c r="I409" s="33"/>
      <c r="J409" s="33"/>
      <c r="K409" s="33"/>
      <c r="L409" s="50"/>
    </row>
    <row r="410" spans="1:14" ht="39" customHeight="1">
      <c r="B410" s="253"/>
      <c r="C410" s="254"/>
      <c r="D410" s="255"/>
      <c r="E410" s="255" t="s">
        <v>0</v>
      </c>
      <c r="F410" s="194" t="s">
        <v>47</v>
      </c>
      <c r="G410" s="256" t="s">
        <v>0</v>
      </c>
      <c r="H410" s="12" t="s">
        <v>1137</v>
      </c>
      <c r="I410" s="12" t="s">
        <v>1138</v>
      </c>
      <c r="J410" s="12" t="s">
        <v>1139</v>
      </c>
      <c r="K410" s="12" t="s">
        <v>1140</v>
      </c>
      <c r="L410" s="10"/>
    </row>
    <row r="411" spans="1:14">
      <c r="B411" s="253" t="s">
        <v>2213</v>
      </c>
      <c r="C411" s="254" t="s">
        <v>1464</v>
      </c>
      <c r="D411" s="255" t="s">
        <v>0</v>
      </c>
      <c r="E411" s="255" t="s">
        <v>0</v>
      </c>
      <c r="F411" s="77" t="s">
        <v>512</v>
      </c>
      <c r="G411" s="256" t="s">
        <v>4</v>
      </c>
      <c r="H411" s="171"/>
      <c r="I411" s="171"/>
      <c r="J411" s="171"/>
      <c r="K411" s="171"/>
      <c r="L411" s="10"/>
    </row>
    <row r="412" spans="1:14">
      <c r="B412" s="253" t="s">
        <v>2213</v>
      </c>
      <c r="C412" s="254" t="s">
        <v>1465</v>
      </c>
      <c r="D412" s="255" t="s">
        <v>0</v>
      </c>
      <c r="E412" s="255" t="s">
        <v>0</v>
      </c>
      <c r="F412" s="77" t="s">
        <v>513</v>
      </c>
      <c r="G412" s="256" t="s">
        <v>0</v>
      </c>
      <c r="H412" s="171"/>
      <c r="I412" s="171"/>
      <c r="J412" s="171"/>
      <c r="K412" s="171"/>
      <c r="L412" s="10"/>
    </row>
    <row r="413" spans="1:14">
      <c r="B413" s="253" t="s">
        <v>2213</v>
      </c>
      <c r="C413" s="254" t="s">
        <v>1466</v>
      </c>
      <c r="D413" s="255" t="s">
        <v>0</v>
      </c>
      <c r="E413" s="255" t="s">
        <v>0</v>
      </c>
      <c r="F413" s="77" t="s">
        <v>514</v>
      </c>
      <c r="G413" s="256" t="s">
        <v>0</v>
      </c>
      <c r="H413" s="171"/>
      <c r="I413" s="171"/>
      <c r="J413" s="171"/>
      <c r="K413" s="171"/>
      <c r="L413" s="10"/>
    </row>
    <row r="414" spans="1:14">
      <c r="B414" s="253" t="s">
        <v>2213</v>
      </c>
      <c r="C414" s="254" t="s">
        <v>1467</v>
      </c>
      <c r="D414" s="255" t="s">
        <v>0</v>
      </c>
      <c r="E414" s="255" t="s">
        <v>0</v>
      </c>
      <c r="F414" s="77" t="s">
        <v>515</v>
      </c>
      <c r="G414" s="256" t="s">
        <v>0</v>
      </c>
      <c r="H414" s="171"/>
      <c r="I414" s="171"/>
      <c r="J414" s="171"/>
      <c r="K414" s="171"/>
      <c r="L414" s="252"/>
    </row>
    <row r="415" spans="1:14">
      <c r="B415" s="253" t="s">
        <v>2213</v>
      </c>
      <c r="C415" s="254" t="s">
        <v>1468</v>
      </c>
      <c r="D415" s="255" t="s">
        <v>0</v>
      </c>
      <c r="E415" s="255" t="s">
        <v>0</v>
      </c>
      <c r="F415" s="77" t="s">
        <v>516</v>
      </c>
      <c r="G415" s="256" t="s">
        <v>0</v>
      </c>
      <c r="H415" s="171"/>
      <c r="I415" s="171"/>
      <c r="J415" s="171"/>
      <c r="K415" s="171"/>
      <c r="L415" s="252"/>
    </row>
    <row r="416" spans="1:14">
      <c r="B416" s="253" t="s">
        <v>2213</v>
      </c>
      <c r="C416" s="254" t="s">
        <v>1469</v>
      </c>
      <c r="D416" s="255" t="s">
        <v>0</v>
      </c>
      <c r="E416" s="255" t="s">
        <v>0</v>
      </c>
      <c r="F416" s="77" t="s">
        <v>517</v>
      </c>
      <c r="G416" s="256" t="s">
        <v>0</v>
      </c>
      <c r="H416" s="171"/>
      <c r="I416" s="171"/>
      <c r="J416" s="171"/>
      <c r="K416" s="171"/>
      <c r="L416" s="252"/>
    </row>
    <row r="417" spans="2:12">
      <c r="B417" s="253" t="s">
        <v>2213</v>
      </c>
      <c r="C417" s="254" t="s">
        <v>1470</v>
      </c>
      <c r="D417" s="255" t="s">
        <v>0</v>
      </c>
      <c r="E417" s="255" t="s">
        <v>0</v>
      </c>
      <c r="F417" s="77" t="s">
        <v>518</v>
      </c>
      <c r="G417" s="256" t="s">
        <v>0</v>
      </c>
      <c r="H417" s="171"/>
      <c r="I417" s="171"/>
      <c r="J417" s="171"/>
      <c r="K417" s="171"/>
      <c r="L417" s="252"/>
    </row>
    <row r="418" spans="2:12">
      <c r="B418" s="253" t="s">
        <v>2213</v>
      </c>
      <c r="C418" s="254" t="s">
        <v>1471</v>
      </c>
      <c r="D418" s="255" t="s">
        <v>0</v>
      </c>
      <c r="E418" s="255" t="s">
        <v>0</v>
      </c>
      <c r="F418" s="77" t="s">
        <v>519</v>
      </c>
      <c r="G418" s="256" t="s">
        <v>0</v>
      </c>
      <c r="H418" s="171"/>
      <c r="I418" s="171"/>
      <c r="J418" s="171"/>
      <c r="K418" s="171"/>
      <c r="L418" s="252"/>
    </row>
    <row r="419" spans="2:12">
      <c r="B419" s="253" t="s">
        <v>2213</v>
      </c>
      <c r="C419" s="254" t="s">
        <v>1937</v>
      </c>
      <c r="D419" s="255" t="s">
        <v>0</v>
      </c>
      <c r="E419" s="255" t="s">
        <v>0</v>
      </c>
      <c r="F419" s="77" t="s">
        <v>1938</v>
      </c>
      <c r="G419" s="256" t="s">
        <v>0</v>
      </c>
      <c r="H419" s="171"/>
      <c r="I419" s="171"/>
      <c r="J419" s="171"/>
      <c r="K419" s="171"/>
      <c r="L419" s="252"/>
    </row>
    <row r="420" spans="2:12">
      <c r="B420" s="253" t="s">
        <v>2213</v>
      </c>
      <c r="C420" s="254" t="s">
        <v>1939</v>
      </c>
      <c r="D420" s="255" t="s">
        <v>0</v>
      </c>
      <c r="E420" s="255" t="s">
        <v>0</v>
      </c>
      <c r="F420" s="77" t="s">
        <v>1940</v>
      </c>
      <c r="G420" s="256" t="s">
        <v>0</v>
      </c>
      <c r="H420" s="171"/>
      <c r="I420" s="171"/>
      <c r="J420" s="171"/>
      <c r="K420" s="171"/>
      <c r="L420" s="252"/>
    </row>
    <row r="421" spans="2:12">
      <c r="B421" s="253" t="s">
        <v>2213</v>
      </c>
      <c r="C421" s="254" t="s">
        <v>1977</v>
      </c>
      <c r="D421" s="249" t="s">
        <v>0</v>
      </c>
      <c r="E421" s="249"/>
      <c r="F421" s="183" t="s">
        <v>1989</v>
      </c>
      <c r="G421" s="250"/>
      <c r="H421" s="171">
        <v>555555000</v>
      </c>
      <c r="I421" s="171">
        <v>666666000</v>
      </c>
      <c r="J421" s="171">
        <v>555555000</v>
      </c>
      <c r="K421" s="171">
        <v>666666000</v>
      </c>
      <c r="L421" s="252"/>
    </row>
    <row r="422" spans="2:12">
      <c r="B422" s="253" t="s">
        <v>2213</v>
      </c>
      <c r="C422" s="254" t="s">
        <v>1978</v>
      </c>
      <c r="D422" s="249" t="s">
        <v>0</v>
      </c>
      <c r="E422" s="249"/>
      <c r="F422" s="183" t="s">
        <v>1990</v>
      </c>
      <c r="G422" s="250"/>
      <c r="H422" s="171">
        <v>-55555000</v>
      </c>
      <c r="I422" s="171">
        <v>888888000</v>
      </c>
      <c r="J422" s="171">
        <v>-55555000</v>
      </c>
      <c r="K422" s="171">
        <v>888888000</v>
      </c>
      <c r="L422" s="252"/>
    </row>
    <row r="423" spans="2:12">
      <c r="B423" s="253" t="s">
        <v>2213</v>
      </c>
      <c r="C423" s="254" t="s">
        <v>1979</v>
      </c>
      <c r="D423" s="249" t="s">
        <v>0</v>
      </c>
      <c r="E423" s="249"/>
      <c r="F423" s="183" t="s">
        <v>1991</v>
      </c>
      <c r="G423" s="250"/>
      <c r="H423" s="171">
        <v>100000000</v>
      </c>
      <c r="I423" s="171">
        <v>100000000</v>
      </c>
      <c r="J423" s="171">
        <v>100000000</v>
      </c>
      <c r="K423" s="171">
        <v>100000000</v>
      </c>
      <c r="L423" s="252"/>
    </row>
    <row r="424" spans="2:12">
      <c r="B424" s="253" t="s">
        <v>2213</v>
      </c>
      <c r="C424" s="254" t="s">
        <v>1980</v>
      </c>
      <c r="D424" s="249" t="s">
        <v>0</v>
      </c>
      <c r="E424" s="249"/>
      <c r="F424" s="183" t="s">
        <v>1992</v>
      </c>
      <c r="G424" s="250"/>
      <c r="H424" s="171">
        <v>100000000</v>
      </c>
      <c r="I424" s="171">
        <v>100000000</v>
      </c>
      <c r="J424" s="171">
        <v>100000000</v>
      </c>
      <c r="K424" s="171">
        <v>100000000</v>
      </c>
      <c r="L424" s="252"/>
    </row>
    <row r="425" spans="2:12">
      <c r="B425" s="253" t="s">
        <v>2213</v>
      </c>
      <c r="C425" s="254" t="s">
        <v>1472</v>
      </c>
      <c r="D425" s="255" t="s">
        <v>0</v>
      </c>
      <c r="E425" s="255" t="s">
        <v>0</v>
      </c>
      <c r="F425" s="77" t="s">
        <v>1837</v>
      </c>
      <c r="G425" s="256" t="s">
        <v>4</v>
      </c>
      <c r="H425" s="171">
        <v>146210509000</v>
      </c>
      <c r="I425" s="171">
        <v>125886312000</v>
      </c>
      <c r="J425" s="171">
        <v>146210509000</v>
      </c>
      <c r="K425" s="171">
        <v>125886312000</v>
      </c>
      <c r="L425" s="252"/>
    </row>
    <row r="426" spans="2:12" ht="22.5">
      <c r="B426" s="253"/>
      <c r="C426" s="254"/>
      <c r="D426" s="255" t="s">
        <v>0</v>
      </c>
      <c r="E426" s="255"/>
      <c r="F426" s="230" t="s">
        <v>1175</v>
      </c>
      <c r="G426" s="256"/>
      <c r="H426" s="29"/>
      <c r="I426" s="29"/>
      <c r="J426" s="29"/>
      <c r="K426" s="29"/>
      <c r="L426" s="252"/>
    </row>
    <row r="427" spans="2:12" ht="22.5">
      <c r="B427" s="253" t="s">
        <v>2213</v>
      </c>
      <c r="C427" s="254" t="s">
        <v>1176</v>
      </c>
      <c r="D427" s="255" t="s">
        <v>0</v>
      </c>
      <c r="E427" s="255"/>
      <c r="F427" s="231" t="s">
        <v>1859</v>
      </c>
      <c r="G427" s="256"/>
      <c r="H427" s="285">
        <f>H428+H429</f>
        <v>0</v>
      </c>
      <c r="I427" s="285">
        <f t="shared" ref="I427:K427" si="53">I428+I429</f>
        <v>0</v>
      </c>
      <c r="J427" s="285">
        <f t="shared" si="53"/>
        <v>0</v>
      </c>
      <c r="K427" s="285">
        <f t="shared" si="53"/>
        <v>0</v>
      </c>
      <c r="L427" s="252"/>
    </row>
    <row r="428" spans="2:12" ht="22.5">
      <c r="B428" s="253" t="s">
        <v>2213</v>
      </c>
      <c r="C428" s="254" t="s">
        <v>1177</v>
      </c>
      <c r="D428" s="255" t="s">
        <v>0</v>
      </c>
      <c r="E428" s="255"/>
      <c r="F428" s="232" t="s">
        <v>1860</v>
      </c>
      <c r="G428" s="256"/>
      <c r="H428" s="171"/>
      <c r="I428" s="171"/>
      <c r="J428" s="171"/>
      <c r="K428" s="171"/>
      <c r="L428" s="252"/>
    </row>
    <row r="429" spans="2:12" ht="22.5">
      <c r="B429" s="253" t="s">
        <v>2213</v>
      </c>
      <c r="C429" s="254" t="s">
        <v>1178</v>
      </c>
      <c r="D429" s="255" t="s">
        <v>0</v>
      </c>
      <c r="E429" s="255"/>
      <c r="F429" s="232" t="s">
        <v>1861</v>
      </c>
      <c r="G429" s="256"/>
      <c r="H429" s="171"/>
      <c r="I429" s="171"/>
      <c r="J429" s="171"/>
      <c r="K429" s="171"/>
      <c r="L429" s="10"/>
    </row>
    <row r="430" spans="2:12" ht="22.5">
      <c r="B430" s="253"/>
      <c r="C430" s="254"/>
      <c r="D430" s="255" t="s">
        <v>0</v>
      </c>
      <c r="E430" s="255"/>
      <c r="F430" s="231" t="s">
        <v>1179</v>
      </c>
      <c r="G430" s="256"/>
      <c r="H430" s="29"/>
      <c r="I430" s="29"/>
      <c r="J430" s="29"/>
      <c r="K430" s="29"/>
      <c r="L430" s="10"/>
    </row>
    <row r="431" spans="2:12">
      <c r="B431" s="253" t="s">
        <v>2213</v>
      </c>
      <c r="C431" s="254" t="s">
        <v>1180</v>
      </c>
      <c r="D431" s="255" t="s">
        <v>0</v>
      </c>
      <c r="E431" s="255"/>
      <c r="F431" s="232" t="s">
        <v>1862</v>
      </c>
      <c r="G431" s="256"/>
      <c r="H431" s="171"/>
      <c r="I431" s="171"/>
      <c r="J431" s="171"/>
      <c r="K431" s="171"/>
      <c r="L431" s="10"/>
    </row>
    <row r="432" spans="2:12" ht="22.5">
      <c r="B432" s="253" t="s">
        <v>2213</v>
      </c>
      <c r="C432" s="254" t="s">
        <v>1181</v>
      </c>
      <c r="D432" s="255" t="s">
        <v>0</v>
      </c>
      <c r="E432" s="255"/>
      <c r="F432" s="232" t="s">
        <v>1863</v>
      </c>
      <c r="G432" s="256"/>
      <c r="H432" s="171"/>
      <c r="I432" s="171"/>
      <c r="J432" s="171"/>
      <c r="K432" s="171"/>
      <c r="L432" s="10"/>
    </row>
    <row r="433" spans="2:12" ht="22.5">
      <c r="B433" s="253" t="s">
        <v>2213</v>
      </c>
      <c r="C433" s="254" t="s">
        <v>1182</v>
      </c>
      <c r="D433" s="255" t="s">
        <v>0</v>
      </c>
      <c r="E433" s="255"/>
      <c r="F433" s="233" t="s">
        <v>1864</v>
      </c>
      <c r="G433" s="256"/>
      <c r="H433" s="285">
        <f>H431+H432</f>
        <v>0</v>
      </c>
      <c r="I433" s="285">
        <f t="shared" ref="I433:K433" si="54">I431+I432</f>
        <v>0</v>
      </c>
      <c r="J433" s="285">
        <f t="shared" si="54"/>
        <v>0</v>
      </c>
      <c r="K433" s="285">
        <f t="shared" si="54"/>
        <v>0</v>
      </c>
      <c r="L433" s="10"/>
    </row>
    <row r="434" spans="2:12" ht="22.5">
      <c r="B434" s="253" t="s">
        <v>2213</v>
      </c>
      <c r="C434" s="254" t="s">
        <v>1183</v>
      </c>
      <c r="D434" s="255" t="s">
        <v>0</v>
      </c>
      <c r="E434" s="255"/>
      <c r="F434" s="234" t="s">
        <v>1865</v>
      </c>
      <c r="G434" s="256"/>
      <c r="H434" s="171"/>
      <c r="I434" s="171"/>
      <c r="J434" s="171"/>
      <c r="K434" s="171"/>
      <c r="L434" s="10"/>
    </row>
    <row r="435" spans="2:12" ht="22.5">
      <c r="B435" s="253" t="s">
        <v>2213</v>
      </c>
      <c r="C435" s="254" t="s">
        <v>1184</v>
      </c>
      <c r="D435" s="255" t="s">
        <v>0</v>
      </c>
      <c r="E435" s="255"/>
      <c r="F435" s="234" t="s">
        <v>1866</v>
      </c>
      <c r="G435" s="256"/>
      <c r="H435" s="171"/>
      <c r="I435" s="171"/>
      <c r="J435" s="171"/>
      <c r="K435" s="171"/>
      <c r="L435" s="10"/>
    </row>
    <row r="436" spans="2:12" ht="24" customHeight="1">
      <c r="B436" s="253" t="s">
        <v>2213</v>
      </c>
      <c r="C436" s="254" t="s">
        <v>1185</v>
      </c>
      <c r="D436" s="255" t="s">
        <v>0</v>
      </c>
      <c r="E436" s="255"/>
      <c r="F436" s="231" t="s">
        <v>1867</v>
      </c>
      <c r="G436" s="256"/>
      <c r="H436" s="285">
        <f>H427+H433+H434+H435</f>
        <v>0</v>
      </c>
      <c r="I436" s="285">
        <f t="shared" ref="I436:K436" si="55">I427+I433+I434+I435</f>
        <v>0</v>
      </c>
      <c r="J436" s="285">
        <f t="shared" si="55"/>
        <v>0</v>
      </c>
      <c r="K436" s="285">
        <f t="shared" si="55"/>
        <v>0</v>
      </c>
      <c r="L436" s="10"/>
    </row>
    <row r="437" spans="2:12">
      <c r="B437" s="253" t="s">
        <v>2213</v>
      </c>
      <c r="C437" s="254" t="s">
        <v>1186</v>
      </c>
      <c r="D437" s="255" t="s">
        <v>0</v>
      </c>
      <c r="E437" s="255"/>
      <c r="F437" s="235" t="s">
        <v>1868</v>
      </c>
      <c r="G437" s="256"/>
      <c r="H437" s="171"/>
      <c r="I437" s="171"/>
      <c r="J437" s="171"/>
      <c r="K437" s="171"/>
      <c r="L437" s="10"/>
    </row>
    <row r="438" spans="2:12" ht="22.5">
      <c r="B438" s="253" t="s">
        <v>2213</v>
      </c>
      <c r="C438" s="254" t="s">
        <v>1187</v>
      </c>
      <c r="D438" s="255" t="s">
        <v>0</v>
      </c>
      <c r="E438" s="255"/>
      <c r="F438" s="234" t="s">
        <v>1869</v>
      </c>
      <c r="G438" s="256"/>
      <c r="H438" s="171"/>
      <c r="I438" s="171"/>
      <c r="J438" s="171"/>
      <c r="K438" s="171"/>
      <c r="L438" s="10"/>
    </row>
    <row r="439" spans="2:12" ht="22.5">
      <c r="B439" s="253" t="s">
        <v>2213</v>
      </c>
      <c r="C439" s="254" t="s">
        <v>1188</v>
      </c>
      <c r="D439" s="255" t="s">
        <v>0</v>
      </c>
      <c r="E439" s="255"/>
      <c r="F439" s="234" t="s">
        <v>1870</v>
      </c>
      <c r="G439" s="256"/>
      <c r="H439" s="171"/>
      <c r="I439" s="171"/>
      <c r="J439" s="171"/>
      <c r="K439" s="171"/>
      <c r="L439" s="252"/>
    </row>
    <row r="440" spans="2:12">
      <c r="B440" s="253" t="s">
        <v>2213</v>
      </c>
      <c r="C440" s="254" t="s">
        <v>1898</v>
      </c>
      <c r="D440" s="255" t="s">
        <v>0</v>
      </c>
      <c r="E440" s="255"/>
      <c r="F440" s="235" t="s">
        <v>1899</v>
      </c>
      <c r="G440" s="256"/>
      <c r="H440" s="171">
        <v>100000000</v>
      </c>
      <c r="I440" s="171">
        <v>100000000</v>
      </c>
      <c r="J440" s="171">
        <v>100000000</v>
      </c>
      <c r="K440" s="171">
        <v>100000000</v>
      </c>
      <c r="L440" s="252"/>
    </row>
    <row r="441" spans="2:12">
      <c r="B441" s="253" t="s">
        <v>2213</v>
      </c>
      <c r="C441" s="254" t="s">
        <v>1900</v>
      </c>
      <c r="D441" s="255" t="s">
        <v>0</v>
      </c>
      <c r="E441" s="255"/>
      <c r="F441" s="235" t="s">
        <v>1901</v>
      </c>
      <c r="G441" s="256"/>
      <c r="H441" s="171">
        <v>100000000</v>
      </c>
      <c r="I441" s="171">
        <v>100000000</v>
      </c>
      <c r="J441" s="171">
        <v>100000000</v>
      </c>
      <c r="K441" s="171">
        <v>100000000</v>
      </c>
      <c r="L441" s="252"/>
    </row>
    <row r="442" spans="2:12" ht="22.5">
      <c r="B442" s="253" t="s">
        <v>2213</v>
      </c>
      <c r="C442" s="254" t="s">
        <v>1902</v>
      </c>
      <c r="D442" s="255" t="s">
        <v>0</v>
      </c>
      <c r="E442" s="255"/>
      <c r="F442" s="230" t="s">
        <v>1903</v>
      </c>
      <c r="G442" s="256"/>
      <c r="H442" s="171">
        <v>100000000</v>
      </c>
      <c r="I442" s="171">
        <v>100000000</v>
      </c>
      <c r="J442" s="171">
        <v>100000000</v>
      </c>
      <c r="K442" s="171">
        <v>100000000</v>
      </c>
      <c r="L442" s="252"/>
    </row>
    <row r="443" spans="2:12" ht="22.5">
      <c r="B443" s="253" t="s">
        <v>2213</v>
      </c>
      <c r="C443" s="254" t="s">
        <v>1904</v>
      </c>
      <c r="D443" s="255" t="s">
        <v>0</v>
      </c>
      <c r="E443" s="255"/>
      <c r="F443" s="234" t="s">
        <v>1905</v>
      </c>
      <c r="G443" s="256"/>
      <c r="H443" s="171">
        <v>100000000</v>
      </c>
      <c r="I443" s="171">
        <v>100000000</v>
      </c>
      <c r="J443" s="171">
        <v>100000000</v>
      </c>
      <c r="K443" s="171">
        <v>100000000</v>
      </c>
      <c r="L443" s="252"/>
    </row>
    <row r="444" spans="2:12" ht="22.5">
      <c r="B444" s="253" t="s">
        <v>2213</v>
      </c>
      <c r="C444" s="254" t="s">
        <v>1907</v>
      </c>
      <c r="D444" s="255" t="s">
        <v>0</v>
      </c>
      <c r="E444" s="255"/>
      <c r="F444" s="234" t="s">
        <v>1906</v>
      </c>
      <c r="G444" s="256"/>
      <c r="H444" s="171">
        <v>100000000</v>
      </c>
      <c r="I444" s="171">
        <v>100000000</v>
      </c>
      <c r="J444" s="171">
        <v>100000000</v>
      </c>
      <c r="K444" s="171">
        <v>100000000</v>
      </c>
      <c r="L444" s="252"/>
    </row>
    <row r="445" spans="2:12">
      <c r="B445" s="253" t="s">
        <v>2213</v>
      </c>
      <c r="C445" s="254" t="s">
        <v>1981</v>
      </c>
      <c r="D445" s="249" t="s">
        <v>0</v>
      </c>
      <c r="E445" s="249"/>
      <c r="F445" s="184" t="s">
        <v>1986</v>
      </c>
      <c r="G445" s="250"/>
      <c r="H445" s="171"/>
      <c r="I445" s="171"/>
      <c r="J445" s="171"/>
      <c r="K445" s="171"/>
      <c r="L445" s="252"/>
    </row>
    <row r="446" spans="2:12">
      <c r="B446" s="253" t="s">
        <v>2213</v>
      </c>
      <c r="C446" s="254" t="s">
        <v>1982</v>
      </c>
      <c r="D446" s="249" t="s">
        <v>0</v>
      </c>
      <c r="E446" s="249"/>
      <c r="F446" s="183" t="s">
        <v>1987</v>
      </c>
      <c r="G446" s="250"/>
      <c r="H446" s="171">
        <v>200000</v>
      </c>
      <c r="I446" s="171">
        <v>220000</v>
      </c>
      <c r="J446" s="171">
        <v>200000</v>
      </c>
      <c r="K446" s="171">
        <v>220000</v>
      </c>
      <c r="L446" s="252"/>
    </row>
    <row r="447" spans="2:12">
      <c r="B447" s="253" t="s">
        <v>2213</v>
      </c>
      <c r="C447" s="254" t="s">
        <v>1983</v>
      </c>
      <c r="D447" s="249" t="s">
        <v>0</v>
      </c>
      <c r="E447" s="249"/>
      <c r="F447" s="183" t="s">
        <v>1988</v>
      </c>
      <c r="G447" s="250"/>
      <c r="H447" s="171">
        <v>230000</v>
      </c>
      <c r="I447" s="171">
        <v>240000</v>
      </c>
      <c r="J447" s="171">
        <v>230000</v>
      </c>
      <c r="K447" s="171">
        <v>240000</v>
      </c>
      <c r="L447" s="252"/>
    </row>
    <row r="448" spans="2:12">
      <c r="B448" s="253" t="s">
        <v>2213</v>
      </c>
      <c r="C448" s="254" t="s">
        <v>1473</v>
      </c>
      <c r="D448" s="255" t="s">
        <v>0</v>
      </c>
      <c r="E448" s="255" t="s">
        <v>0</v>
      </c>
      <c r="F448" s="195" t="s">
        <v>520</v>
      </c>
      <c r="G448" s="256" t="s">
        <v>4</v>
      </c>
      <c r="H448" s="171"/>
      <c r="I448" s="171"/>
      <c r="J448" s="171"/>
      <c r="K448" s="171"/>
      <c r="L448" s="252"/>
    </row>
    <row r="449" spans="2:12">
      <c r="B449" s="253" t="s">
        <v>2213</v>
      </c>
      <c r="C449" s="254" t="s">
        <v>1474</v>
      </c>
      <c r="D449" s="255" t="s">
        <v>0</v>
      </c>
      <c r="E449" s="294" t="s">
        <v>0</v>
      </c>
      <c r="F449" s="77" t="s">
        <v>521</v>
      </c>
      <c r="G449" s="256" t="s">
        <v>4</v>
      </c>
      <c r="H449" s="171"/>
      <c r="I449" s="171"/>
      <c r="J449" s="171"/>
      <c r="K449" s="171"/>
      <c r="L449" s="252"/>
    </row>
    <row r="450" spans="2:12">
      <c r="B450" s="253" t="s">
        <v>2213</v>
      </c>
      <c r="C450" s="254" t="s">
        <v>1189</v>
      </c>
      <c r="D450" s="255" t="s">
        <v>0</v>
      </c>
      <c r="E450" s="255"/>
      <c r="F450" s="257" t="s">
        <v>1871</v>
      </c>
      <c r="G450" s="256"/>
      <c r="H450" s="171"/>
      <c r="I450" s="171"/>
      <c r="J450" s="171"/>
      <c r="K450" s="171"/>
      <c r="L450" s="10"/>
    </row>
    <row r="451" spans="2:12">
      <c r="B451" s="253" t="s">
        <v>2213</v>
      </c>
      <c r="C451" s="254" t="s">
        <v>1984</v>
      </c>
      <c r="D451" s="249" t="s">
        <v>0</v>
      </c>
      <c r="E451" s="249"/>
      <c r="F451" s="183" t="s">
        <v>1985</v>
      </c>
      <c r="G451" s="250"/>
      <c r="H451" s="171"/>
      <c r="I451" s="171"/>
      <c r="J451" s="171"/>
      <c r="K451" s="171"/>
      <c r="L451" s="10"/>
    </row>
    <row r="452" spans="2:12">
      <c r="B452" s="253" t="s">
        <v>2213</v>
      </c>
      <c r="C452" s="254" t="s">
        <v>1799</v>
      </c>
      <c r="D452" s="255" t="s">
        <v>0</v>
      </c>
      <c r="E452" s="255" t="s">
        <v>0</v>
      </c>
      <c r="F452" s="194" t="s">
        <v>639</v>
      </c>
      <c r="G452" s="256" t="s">
        <v>4</v>
      </c>
      <c r="H452" s="171"/>
      <c r="I452" s="171"/>
      <c r="J452" s="171"/>
      <c r="K452" s="171"/>
      <c r="L452" s="10"/>
    </row>
    <row r="453" spans="2:12">
      <c r="B453" s="253" t="s">
        <v>2213</v>
      </c>
      <c r="C453" s="254" t="s">
        <v>1475</v>
      </c>
      <c r="D453" s="255" t="s">
        <v>0</v>
      </c>
      <c r="E453" s="255" t="s">
        <v>0</v>
      </c>
      <c r="F453" s="77" t="s">
        <v>522</v>
      </c>
      <c r="G453" s="256"/>
      <c r="H453" s="171"/>
      <c r="I453" s="171"/>
      <c r="J453" s="171"/>
      <c r="K453" s="171"/>
      <c r="L453" s="10"/>
    </row>
    <row r="454" spans="2:12">
      <c r="B454" s="36" t="s">
        <v>2213</v>
      </c>
      <c r="C454" s="26" t="s">
        <v>1476</v>
      </c>
      <c r="D454" s="27" t="s">
        <v>0</v>
      </c>
      <c r="E454" s="27" t="s">
        <v>0</v>
      </c>
      <c r="F454" s="77" t="s">
        <v>523</v>
      </c>
      <c r="G454" s="29"/>
      <c r="H454" s="171"/>
      <c r="I454" s="171"/>
      <c r="J454" s="171"/>
      <c r="K454" s="171"/>
      <c r="L454" s="10"/>
    </row>
    <row r="455" spans="2:12">
      <c r="B455" s="36" t="s">
        <v>2213</v>
      </c>
      <c r="C455" s="26" t="s">
        <v>1477</v>
      </c>
      <c r="D455" s="27" t="s">
        <v>0</v>
      </c>
      <c r="E455" s="27" t="s">
        <v>0</v>
      </c>
      <c r="F455" s="77" t="s">
        <v>524</v>
      </c>
      <c r="G455" s="29"/>
      <c r="H455" s="171"/>
      <c r="I455" s="171"/>
      <c r="J455" s="171"/>
      <c r="K455" s="171"/>
      <c r="L455" s="10"/>
    </row>
    <row r="456" spans="2:12">
      <c r="B456" s="36" t="s">
        <v>2213</v>
      </c>
      <c r="C456" s="26" t="s">
        <v>1478</v>
      </c>
      <c r="D456" s="27" t="s">
        <v>0</v>
      </c>
      <c r="E456" s="27" t="s">
        <v>0</v>
      </c>
      <c r="F456" s="77" t="s">
        <v>525</v>
      </c>
      <c r="G456" s="29"/>
      <c r="H456" s="171"/>
      <c r="I456" s="171"/>
      <c r="J456" s="171"/>
      <c r="K456" s="171"/>
      <c r="L456" s="10"/>
    </row>
    <row r="457" spans="2:12">
      <c r="B457" s="36" t="s">
        <v>2213</v>
      </c>
      <c r="C457" s="26" t="s">
        <v>1222</v>
      </c>
      <c r="D457" s="27" t="s">
        <v>0</v>
      </c>
      <c r="E457" s="27"/>
      <c r="F457" s="191" t="s">
        <v>1872</v>
      </c>
      <c r="G457" s="29"/>
      <c r="H457" s="171"/>
      <c r="I457" s="171"/>
      <c r="J457" s="171"/>
      <c r="K457" s="171"/>
      <c r="L457" s="10"/>
    </row>
    <row r="458" spans="2:12" ht="22.5">
      <c r="B458" s="36" t="s">
        <v>2213</v>
      </c>
      <c r="C458" s="26" t="s">
        <v>1479</v>
      </c>
      <c r="D458" s="27" t="s">
        <v>0</v>
      </c>
      <c r="E458" s="27" t="s">
        <v>0</v>
      </c>
      <c r="F458" s="195" t="s">
        <v>526</v>
      </c>
      <c r="G458" s="29"/>
      <c r="H458" s="171"/>
      <c r="I458" s="171"/>
      <c r="J458" s="171"/>
      <c r="K458" s="171"/>
      <c r="L458" s="10"/>
    </row>
    <row r="459" spans="2:12">
      <c r="B459" s="36" t="s">
        <v>2213</v>
      </c>
      <c r="C459" s="26" t="s">
        <v>1480</v>
      </c>
      <c r="D459" s="27" t="s">
        <v>0</v>
      </c>
      <c r="E459" s="27" t="s">
        <v>0</v>
      </c>
      <c r="F459" s="77" t="s">
        <v>527</v>
      </c>
      <c r="G459" s="29"/>
      <c r="H459" s="171"/>
      <c r="I459" s="171"/>
      <c r="J459" s="171"/>
      <c r="K459" s="171"/>
      <c r="L459" s="10"/>
    </row>
    <row r="460" spans="2:12">
      <c r="B460" s="36" t="s">
        <v>2213</v>
      </c>
      <c r="C460" s="26" t="s">
        <v>1481</v>
      </c>
      <c r="D460" s="27" t="s">
        <v>0</v>
      </c>
      <c r="E460" s="27" t="s">
        <v>0</v>
      </c>
      <c r="F460" s="77" t="s">
        <v>528</v>
      </c>
      <c r="G460" s="29"/>
      <c r="H460" s="171"/>
      <c r="I460" s="171"/>
      <c r="J460" s="171"/>
      <c r="K460" s="171"/>
      <c r="L460" s="10"/>
    </row>
    <row r="461" spans="2:12">
      <c r="B461" s="36" t="s">
        <v>2213</v>
      </c>
      <c r="C461" s="26" t="s">
        <v>1482</v>
      </c>
      <c r="D461" s="27" t="s">
        <v>0</v>
      </c>
      <c r="E461" s="27" t="s">
        <v>0</v>
      </c>
      <c r="F461" s="77" t="s">
        <v>529</v>
      </c>
      <c r="G461" s="29"/>
      <c r="H461" s="171"/>
      <c r="I461" s="171"/>
      <c r="J461" s="171"/>
      <c r="K461" s="171"/>
      <c r="L461" s="10"/>
    </row>
    <row r="462" spans="2:12">
      <c r="B462" s="36" t="s">
        <v>2213</v>
      </c>
      <c r="C462" s="26" t="s">
        <v>1483</v>
      </c>
      <c r="D462" s="27" t="s">
        <v>0</v>
      </c>
      <c r="E462" s="27" t="s">
        <v>0</v>
      </c>
      <c r="F462" s="77" t="s">
        <v>530</v>
      </c>
      <c r="G462" s="29"/>
      <c r="H462" s="171"/>
      <c r="I462" s="171"/>
      <c r="J462" s="171"/>
      <c r="K462" s="171"/>
      <c r="L462" s="10"/>
    </row>
    <row r="463" spans="2:12">
      <c r="B463" s="36" t="s">
        <v>2213</v>
      </c>
      <c r="C463" s="26" t="s">
        <v>1484</v>
      </c>
      <c r="D463" s="27" t="s">
        <v>0</v>
      </c>
      <c r="E463" s="27" t="s">
        <v>0</v>
      </c>
      <c r="F463" s="195" t="s">
        <v>531</v>
      </c>
      <c r="G463" s="29"/>
      <c r="H463" s="171"/>
      <c r="I463" s="171"/>
      <c r="J463" s="171"/>
      <c r="K463" s="171"/>
      <c r="L463" s="10"/>
    </row>
    <row r="464" spans="2:12">
      <c r="B464" s="36" t="s">
        <v>2213</v>
      </c>
      <c r="C464" s="26" t="s">
        <v>1485</v>
      </c>
      <c r="D464" s="27" t="s">
        <v>0</v>
      </c>
      <c r="E464" s="27" t="s">
        <v>0</v>
      </c>
      <c r="F464" s="195" t="s">
        <v>532</v>
      </c>
      <c r="G464" s="29"/>
      <c r="H464" s="171"/>
      <c r="I464" s="171"/>
      <c r="J464" s="171"/>
      <c r="K464" s="171"/>
      <c r="L464" s="10"/>
    </row>
    <row r="465" spans="2:16" ht="22.5">
      <c r="B465" s="36" t="s">
        <v>2213</v>
      </c>
      <c r="C465" s="26" t="s">
        <v>1486</v>
      </c>
      <c r="D465" s="27" t="s">
        <v>0</v>
      </c>
      <c r="E465" s="27" t="s">
        <v>0</v>
      </c>
      <c r="F465" s="195" t="s">
        <v>533</v>
      </c>
      <c r="G465" s="29"/>
      <c r="H465" s="171"/>
      <c r="I465" s="171"/>
      <c r="J465" s="171"/>
      <c r="K465" s="171"/>
      <c r="L465" s="10"/>
    </row>
    <row r="466" spans="2:16">
      <c r="B466" s="36" t="s">
        <v>2213</v>
      </c>
      <c r="C466" s="26" t="s">
        <v>1487</v>
      </c>
      <c r="D466" s="27" t="s">
        <v>0</v>
      </c>
      <c r="E466" s="27" t="s">
        <v>0</v>
      </c>
      <c r="F466" s="28" t="s">
        <v>534</v>
      </c>
      <c r="G466" s="29" t="s">
        <v>4</v>
      </c>
      <c r="H466" s="171"/>
      <c r="I466" s="171"/>
      <c r="J466" s="171"/>
      <c r="K466" s="171"/>
      <c r="L466" s="10"/>
    </row>
    <row r="467" spans="2:16">
      <c r="B467" s="36" t="s">
        <v>2213</v>
      </c>
      <c r="C467" s="26" t="s">
        <v>1488</v>
      </c>
      <c r="D467" s="27" t="s">
        <v>0</v>
      </c>
      <c r="E467" s="27" t="s">
        <v>0</v>
      </c>
      <c r="F467" s="30" t="s">
        <v>535</v>
      </c>
      <c r="G467" s="29" t="s">
        <v>4</v>
      </c>
      <c r="H467" s="171"/>
      <c r="I467" s="171"/>
      <c r="J467" s="171"/>
      <c r="K467" s="171"/>
      <c r="L467" s="10"/>
    </row>
    <row r="468" spans="2:16">
      <c r="B468" s="36" t="s">
        <v>2213</v>
      </c>
      <c r="C468" s="26" t="s">
        <v>1489</v>
      </c>
      <c r="D468" s="27" t="s">
        <v>0</v>
      </c>
      <c r="E468" s="27" t="s">
        <v>0</v>
      </c>
      <c r="F468" s="41" t="s">
        <v>640</v>
      </c>
      <c r="G468" s="29" t="s">
        <v>0</v>
      </c>
      <c r="H468" s="285">
        <f>+H411+H425+H448+H449+H450+H451+H452+H466+H467</f>
        <v>146210509000</v>
      </c>
      <c r="I468" s="285">
        <f t="shared" ref="I468:K468" si="56">+I411+I425+I448+I449+I450+I451+I452+I466+I467</f>
        <v>125886312000</v>
      </c>
      <c r="J468" s="170">
        <f t="shared" si="56"/>
        <v>146210509000</v>
      </c>
      <c r="K468" s="170">
        <f t="shared" si="56"/>
        <v>125886312000</v>
      </c>
      <c r="L468" s="10"/>
    </row>
    <row r="469" spans="2:16">
      <c r="B469" s="36"/>
      <c r="C469" s="26"/>
      <c r="D469" s="27"/>
      <c r="E469" s="27"/>
      <c r="F469" s="30"/>
      <c r="G469" s="29"/>
      <c r="H469" s="52" t="s">
        <v>0</v>
      </c>
      <c r="I469" s="52" t="s">
        <v>0</v>
      </c>
      <c r="J469" s="52" t="s">
        <v>0</v>
      </c>
      <c r="K469" s="52" t="s">
        <v>0</v>
      </c>
      <c r="L469" s="10"/>
    </row>
    <row r="470" spans="2:16">
      <c r="B470" s="36"/>
      <c r="C470" s="26"/>
      <c r="D470" s="27" t="s">
        <v>0</v>
      </c>
      <c r="E470" s="27" t="s">
        <v>0</v>
      </c>
      <c r="F470" s="194" t="s">
        <v>48</v>
      </c>
      <c r="G470" s="29" t="s">
        <v>0</v>
      </c>
      <c r="H470" s="52" t="s">
        <v>0</v>
      </c>
      <c r="I470" s="52" t="s">
        <v>0</v>
      </c>
      <c r="J470" s="52" t="s">
        <v>0</v>
      </c>
      <c r="K470" s="52" t="s">
        <v>0</v>
      </c>
      <c r="L470" s="10"/>
    </row>
    <row r="471" spans="2:16">
      <c r="B471" s="36"/>
      <c r="C471" s="26"/>
      <c r="D471" s="27" t="s">
        <v>0</v>
      </c>
      <c r="E471" s="27" t="s">
        <v>0</v>
      </c>
      <c r="F471" s="194" t="s">
        <v>49</v>
      </c>
      <c r="G471" s="29" t="s">
        <v>0</v>
      </c>
      <c r="H471" s="52" t="s">
        <v>0</v>
      </c>
      <c r="I471" s="52" t="s">
        <v>0</v>
      </c>
      <c r="J471" s="52" t="s">
        <v>0</v>
      </c>
      <c r="K471" s="52" t="s">
        <v>0</v>
      </c>
      <c r="L471" s="10"/>
    </row>
    <row r="472" spans="2:16">
      <c r="B472" s="36" t="s">
        <v>2213</v>
      </c>
      <c r="C472" s="26" t="s">
        <v>1490</v>
      </c>
      <c r="D472" s="27" t="s">
        <v>0</v>
      </c>
      <c r="E472" s="27" t="s">
        <v>0</v>
      </c>
      <c r="F472" s="77" t="s">
        <v>536</v>
      </c>
      <c r="G472" s="29" t="s">
        <v>4</v>
      </c>
      <c r="H472" s="348">
        <v>300000000</v>
      </c>
      <c r="I472" s="348">
        <v>500000000</v>
      </c>
      <c r="J472" s="348">
        <v>300000000</v>
      </c>
      <c r="K472" s="348">
        <v>500000000</v>
      </c>
      <c r="L472" s="10"/>
    </row>
    <row r="473" spans="2:16">
      <c r="B473" s="36" t="s">
        <v>2213</v>
      </c>
      <c r="C473" s="26" t="s">
        <v>1491</v>
      </c>
      <c r="D473" s="27" t="s">
        <v>0</v>
      </c>
      <c r="E473" s="27" t="s">
        <v>0</v>
      </c>
      <c r="F473" s="77" t="s">
        <v>537</v>
      </c>
      <c r="G473" s="29" t="s">
        <v>46</v>
      </c>
      <c r="H473" s="348">
        <v>400000000</v>
      </c>
      <c r="I473" s="348">
        <v>600000000</v>
      </c>
      <c r="J473" s="348">
        <v>400000000</v>
      </c>
      <c r="K473" s="348">
        <v>600000000</v>
      </c>
      <c r="L473" s="10"/>
    </row>
    <row r="474" spans="2:16">
      <c r="B474" s="36" t="s">
        <v>2213</v>
      </c>
      <c r="C474" s="26" t="s">
        <v>1492</v>
      </c>
      <c r="D474" s="27" t="s">
        <v>0</v>
      </c>
      <c r="E474" s="27" t="s">
        <v>0</v>
      </c>
      <c r="F474" s="194" t="s">
        <v>538</v>
      </c>
      <c r="G474" s="29" t="s">
        <v>0</v>
      </c>
      <c r="H474" s="51">
        <f>H472-H473</f>
        <v>-100000000</v>
      </c>
      <c r="I474" s="51">
        <f t="shared" ref="I474:K474" si="57">I472-I473</f>
        <v>-100000000</v>
      </c>
      <c r="J474" s="51">
        <f t="shared" si="57"/>
        <v>-100000000</v>
      </c>
      <c r="K474" s="51">
        <f t="shared" si="57"/>
        <v>-100000000</v>
      </c>
      <c r="L474" s="10"/>
    </row>
    <row r="475" spans="2:16">
      <c r="B475" s="36"/>
      <c r="C475" s="26"/>
      <c r="D475" s="27"/>
      <c r="E475" s="27"/>
      <c r="F475" s="77"/>
      <c r="G475" s="29"/>
      <c r="H475" s="52" t="s">
        <v>0</v>
      </c>
      <c r="I475" s="52" t="s">
        <v>0</v>
      </c>
      <c r="J475" s="52" t="s">
        <v>0</v>
      </c>
      <c r="K475" s="52" t="s">
        <v>0</v>
      </c>
      <c r="L475" s="10"/>
    </row>
    <row r="476" spans="2:16">
      <c r="B476" s="36"/>
      <c r="C476" s="26"/>
      <c r="D476" s="27" t="s">
        <v>0</v>
      </c>
      <c r="E476" s="27" t="s">
        <v>0</v>
      </c>
      <c r="F476" s="194" t="s">
        <v>50</v>
      </c>
      <c r="G476" s="29" t="s">
        <v>0</v>
      </c>
      <c r="H476" s="52" t="s">
        <v>0</v>
      </c>
      <c r="I476" s="52" t="s">
        <v>0</v>
      </c>
      <c r="J476" s="52" t="s">
        <v>0</v>
      </c>
      <c r="K476" s="52" t="s">
        <v>0</v>
      </c>
      <c r="L476" s="10"/>
    </row>
    <row r="477" spans="2:16" ht="22.5">
      <c r="B477" s="36" t="s">
        <v>2213</v>
      </c>
      <c r="C477" s="26" t="s">
        <v>1493</v>
      </c>
      <c r="D477" s="27" t="s">
        <v>0</v>
      </c>
      <c r="E477" s="27" t="s">
        <v>0</v>
      </c>
      <c r="F477" s="195" t="s">
        <v>539</v>
      </c>
      <c r="G477" s="29" t="s">
        <v>4</v>
      </c>
      <c r="H477" s="171"/>
      <c r="I477" s="171"/>
      <c r="J477" s="171"/>
      <c r="K477" s="171"/>
      <c r="L477" s="10"/>
      <c r="M477" s="171">
        <v>856000</v>
      </c>
      <c r="N477" s="171">
        <v>745000</v>
      </c>
      <c r="O477" s="171">
        <v>856000</v>
      </c>
      <c r="P477" s="171">
        <v>745000</v>
      </c>
    </row>
    <row r="478" spans="2:16" ht="22.5">
      <c r="B478" s="36" t="s">
        <v>2213</v>
      </c>
      <c r="C478" s="26" t="s">
        <v>1494</v>
      </c>
      <c r="D478" s="27" t="s">
        <v>0</v>
      </c>
      <c r="E478" s="27" t="s">
        <v>0</v>
      </c>
      <c r="F478" s="195" t="s">
        <v>540</v>
      </c>
      <c r="G478" s="29" t="s">
        <v>46</v>
      </c>
      <c r="H478" s="171"/>
      <c r="I478" s="171"/>
      <c r="J478" s="171"/>
      <c r="K478" s="171"/>
      <c r="L478" s="10"/>
      <c r="M478" s="171">
        <v>965000</v>
      </c>
      <c r="N478" s="171">
        <v>965000</v>
      </c>
      <c r="O478" s="171">
        <v>965000</v>
      </c>
      <c r="P478" s="171">
        <v>965000</v>
      </c>
    </row>
    <row r="479" spans="2:16">
      <c r="B479" s="36" t="s">
        <v>2213</v>
      </c>
      <c r="C479" s="26" t="s">
        <v>1495</v>
      </c>
      <c r="D479" s="27" t="s">
        <v>0</v>
      </c>
      <c r="E479" s="27" t="s">
        <v>0</v>
      </c>
      <c r="F479" s="194" t="s">
        <v>638</v>
      </c>
      <c r="G479" s="29" t="s">
        <v>0</v>
      </c>
      <c r="H479" s="51">
        <f>H477-H478</f>
        <v>0</v>
      </c>
      <c r="I479" s="51">
        <f t="shared" ref="I479:K479" si="58">I477-I478</f>
        <v>0</v>
      </c>
      <c r="J479" s="51">
        <f t="shared" si="58"/>
        <v>0</v>
      </c>
      <c r="K479" s="51">
        <f t="shared" si="58"/>
        <v>0</v>
      </c>
      <c r="L479" s="10"/>
    </row>
    <row r="480" spans="2:16" ht="22.5">
      <c r="B480" s="36" t="s">
        <v>2213</v>
      </c>
      <c r="C480" s="26" t="s">
        <v>1496</v>
      </c>
      <c r="D480" s="27" t="s">
        <v>0</v>
      </c>
      <c r="E480" s="27"/>
      <c r="F480" s="195" t="s">
        <v>701</v>
      </c>
      <c r="G480" s="29" t="s">
        <v>4</v>
      </c>
      <c r="H480" s="171"/>
      <c r="I480" s="171"/>
      <c r="J480" s="171"/>
      <c r="K480" s="171"/>
      <c r="L480" s="10"/>
      <c r="M480" s="171">
        <v>7789000</v>
      </c>
      <c r="N480" s="171">
        <v>9985000</v>
      </c>
      <c r="O480" s="171">
        <v>7789000</v>
      </c>
      <c r="P480" s="171">
        <v>9985000</v>
      </c>
    </row>
    <row r="481" spans="2:12" ht="22.5">
      <c r="B481" s="36" t="s">
        <v>2213</v>
      </c>
      <c r="C481" s="26" t="s">
        <v>1497</v>
      </c>
      <c r="D481" s="27" t="s">
        <v>0</v>
      </c>
      <c r="E481" s="27"/>
      <c r="F481" s="195" t="s">
        <v>702</v>
      </c>
      <c r="G481" s="29" t="s">
        <v>46</v>
      </c>
      <c r="H481" s="171"/>
      <c r="I481" s="171"/>
      <c r="J481" s="171"/>
      <c r="K481" s="171"/>
      <c r="L481" s="10"/>
    </row>
    <row r="482" spans="2:12" ht="22.5">
      <c r="B482" s="36" t="s">
        <v>2213</v>
      </c>
      <c r="C482" s="26" t="s">
        <v>1498</v>
      </c>
      <c r="D482" s="27" t="s">
        <v>0</v>
      </c>
      <c r="E482" s="27"/>
      <c r="F482" s="196" t="s">
        <v>703</v>
      </c>
      <c r="G482" s="29"/>
      <c r="H482" s="51">
        <f>H480-H481</f>
        <v>0</v>
      </c>
      <c r="I482" s="51">
        <f>I480-I481</f>
        <v>0</v>
      </c>
      <c r="J482" s="51">
        <f>J480-J481</f>
        <v>0</v>
      </c>
      <c r="K482" s="51">
        <f>K480-K481</f>
        <v>0</v>
      </c>
      <c r="L482" s="10"/>
    </row>
    <row r="483" spans="2:12" ht="22.5">
      <c r="B483" s="253"/>
      <c r="C483" s="254"/>
      <c r="D483" s="249" t="s">
        <v>0</v>
      </c>
      <c r="E483" s="249"/>
      <c r="F483" s="189" t="s">
        <v>1993</v>
      </c>
      <c r="G483" s="250"/>
      <c r="H483" s="52" t="s">
        <v>0</v>
      </c>
      <c r="I483" s="52" t="s">
        <v>0</v>
      </c>
      <c r="J483" s="52" t="s">
        <v>0</v>
      </c>
      <c r="K483" s="52" t="s">
        <v>0</v>
      </c>
      <c r="L483" s="10"/>
    </row>
    <row r="484" spans="2:12" ht="22.5">
      <c r="B484" s="253" t="s">
        <v>2213</v>
      </c>
      <c r="C484" s="254" t="s">
        <v>1994</v>
      </c>
      <c r="D484" s="249" t="s">
        <v>0</v>
      </c>
      <c r="E484" s="249"/>
      <c r="F484" s="182" t="s">
        <v>2001</v>
      </c>
      <c r="G484" s="250"/>
      <c r="H484" s="171"/>
      <c r="I484" s="171"/>
      <c r="J484" s="171"/>
      <c r="K484" s="171"/>
      <c r="L484" s="10"/>
    </row>
    <row r="485" spans="2:12" ht="22.5">
      <c r="B485" s="253" t="s">
        <v>2213</v>
      </c>
      <c r="C485" s="254" t="s">
        <v>1995</v>
      </c>
      <c r="D485" s="249" t="s">
        <v>0</v>
      </c>
      <c r="E485" s="249"/>
      <c r="F485" s="182" t="s">
        <v>2000</v>
      </c>
      <c r="G485" s="250"/>
      <c r="H485" s="171"/>
      <c r="I485" s="171"/>
      <c r="J485" s="171"/>
      <c r="K485" s="171"/>
      <c r="L485" s="10"/>
    </row>
    <row r="486" spans="2:12" ht="22.5">
      <c r="B486" s="253" t="s">
        <v>2213</v>
      </c>
      <c r="C486" s="254" t="s">
        <v>1996</v>
      </c>
      <c r="D486" s="249" t="s">
        <v>0</v>
      </c>
      <c r="E486" s="249"/>
      <c r="F486" s="189" t="s">
        <v>1998</v>
      </c>
      <c r="G486" s="250"/>
      <c r="H486" s="51">
        <f>H484-H485</f>
        <v>0</v>
      </c>
      <c r="I486" s="51">
        <f t="shared" ref="I486:K486" si="59">I484-I485</f>
        <v>0</v>
      </c>
      <c r="J486" s="51">
        <f t="shared" si="59"/>
        <v>0</v>
      </c>
      <c r="K486" s="51">
        <f t="shared" si="59"/>
        <v>0</v>
      </c>
      <c r="L486" s="10"/>
    </row>
    <row r="487" spans="2:12" ht="22.5">
      <c r="B487" s="253" t="s">
        <v>2213</v>
      </c>
      <c r="C487" s="254" t="s">
        <v>1997</v>
      </c>
      <c r="D487" s="249" t="s">
        <v>0</v>
      </c>
      <c r="E487" s="249"/>
      <c r="F487" s="182" t="s">
        <v>1999</v>
      </c>
      <c r="G487" s="250"/>
      <c r="H487" s="171"/>
      <c r="I487" s="171"/>
      <c r="J487" s="171"/>
      <c r="K487" s="171"/>
      <c r="L487" s="10"/>
    </row>
    <row r="488" spans="2:12">
      <c r="B488" s="36" t="s">
        <v>2213</v>
      </c>
      <c r="C488" s="26" t="s">
        <v>1499</v>
      </c>
      <c r="D488" s="27" t="s">
        <v>0</v>
      </c>
      <c r="E488" s="27" t="s">
        <v>0</v>
      </c>
      <c r="F488" s="77" t="s">
        <v>541</v>
      </c>
      <c r="G488" s="29" t="s">
        <v>0</v>
      </c>
      <c r="H488" s="171"/>
      <c r="I488" s="171"/>
      <c r="J488" s="171"/>
      <c r="K488" s="171"/>
      <c r="L488" s="10"/>
    </row>
    <row r="489" spans="2:12">
      <c r="B489" s="36" t="s">
        <v>2213</v>
      </c>
      <c r="C489" s="26" t="s">
        <v>1500</v>
      </c>
      <c r="D489" s="27" t="s">
        <v>0</v>
      </c>
      <c r="E489" s="27" t="s">
        <v>0</v>
      </c>
      <c r="F489" s="30" t="s">
        <v>542</v>
      </c>
      <c r="G489" s="29" t="s">
        <v>0</v>
      </c>
      <c r="H489" s="171"/>
      <c r="I489" s="171"/>
      <c r="J489" s="171"/>
      <c r="K489" s="171"/>
      <c r="L489" s="10"/>
    </row>
    <row r="490" spans="2:12">
      <c r="B490" s="36"/>
      <c r="C490" s="26"/>
      <c r="D490" s="27"/>
      <c r="E490" s="27"/>
      <c r="F490" s="30"/>
      <c r="G490" s="29"/>
      <c r="H490" s="52"/>
      <c r="I490" s="52"/>
      <c r="J490" s="52" t="s">
        <v>0</v>
      </c>
      <c r="K490" s="52" t="s">
        <v>0</v>
      </c>
      <c r="L490" s="10"/>
    </row>
    <row r="491" spans="2:12">
      <c r="B491" s="36"/>
      <c r="C491" s="26"/>
      <c r="D491" s="27" t="s">
        <v>0</v>
      </c>
      <c r="E491" s="27" t="s">
        <v>0</v>
      </c>
      <c r="F491" s="41" t="s">
        <v>51</v>
      </c>
      <c r="G491" s="29" t="s">
        <v>0</v>
      </c>
      <c r="H491" s="52"/>
      <c r="I491" s="52"/>
      <c r="J491" s="52" t="s">
        <v>0</v>
      </c>
      <c r="K491" s="52" t="s">
        <v>0</v>
      </c>
      <c r="L491" s="10"/>
    </row>
    <row r="492" spans="2:12">
      <c r="B492" s="36" t="s">
        <v>2213</v>
      </c>
      <c r="C492" s="26" t="s">
        <v>1501</v>
      </c>
      <c r="D492" s="27" t="s">
        <v>0</v>
      </c>
      <c r="E492" s="27" t="s">
        <v>0</v>
      </c>
      <c r="F492" s="30" t="s">
        <v>543</v>
      </c>
      <c r="G492" s="29" t="s">
        <v>4</v>
      </c>
      <c r="H492" s="171"/>
      <c r="I492" s="171"/>
      <c r="J492" s="171"/>
      <c r="K492" s="171"/>
      <c r="L492" s="10"/>
    </row>
    <row r="493" spans="2:12">
      <c r="B493" s="36" t="s">
        <v>2213</v>
      </c>
      <c r="C493" s="26" t="s">
        <v>1502</v>
      </c>
      <c r="D493" s="27" t="s">
        <v>0</v>
      </c>
      <c r="E493" s="27" t="s">
        <v>0</v>
      </c>
      <c r="F493" s="30" t="s">
        <v>544</v>
      </c>
      <c r="G493" s="29" t="s">
        <v>46</v>
      </c>
      <c r="H493" s="171"/>
      <c r="I493" s="171"/>
      <c r="J493" s="171"/>
      <c r="K493" s="171"/>
      <c r="L493" s="10"/>
    </row>
    <row r="494" spans="2:12">
      <c r="B494" s="36" t="s">
        <v>2213</v>
      </c>
      <c r="C494" s="26" t="s">
        <v>1503</v>
      </c>
      <c r="D494" s="27" t="s">
        <v>0</v>
      </c>
      <c r="E494" s="27" t="s">
        <v>0</v>
      </c>
      <c r="F494" s="41" t="s">
        <v>649</v>
      </c>
      <c r="G494" s="29" t="s">
        <v>0</v>
      </c>
      <c r="H494" s="51">
        <f>H492-H493</f>
        <v>0</v>
      </c>
      <c r="I494" s="51">
        <f t="shared" ref="I494:K494" si="60">I492-I493</f>
        <v>0</v>
      </c>
      <c r="J494" s="51">
        <f t="shared" si="60"/>
        <v>0</v>
      </c>
      <c r="K494" s="51">
        <f t="shared" si="60"/>
        <v>0</v>
      </c>
      <c r="L494" s="10"/>
    </row>
    <row r="495" spans="2:12">
      <c r="B495" s="36"/>
      <c r="C495" s="26"/>
      <c r="D495" s="27"/>
      <c r="E495" s="27"/>
      <c r="F495" s="30"/>
      <c r="G495" s="29"/>
      <c r="H495" s="52" t="s">
        <v>0</v>
      </c>
      <c r="I495" s="52" t="s">
        <v>0</v>
      </c>
      <c r="J495" s="52" t="s">
        <v>0</v>
      </c>
      <c r="K495" s="52" t="s">
        <v>0</v>
      </c>
      <c r="L495" s="10"/>
    </row>
    <row r="496" spans="2:12">
      <c r="B496" s="36"/>
      <c r="C496" s="26"/>
      <c r="D496" s="27" t="s">
        <v>0</v>
      </c>
      <c r="E496" s="27" t="s">
        <v>0</v>
      </c>
      <c r="F496" s="41" t="s">
        <v>52</v>
      </c>
      <c r="G496" s="29" t="s">
        <v>0</v>
      </c>
      <c r="H496" s="52" t="s">
        <v>0</v>
      </c>
      <c r="I496" s="52" t="s">
        <v>0</v>
      </c>
      <c r="J496" s="52" t="s">
        <v>0</v>
      </c>
      <c r="K496" s="52" t="s">
        <v>0</v>
      </c>
      <c r="L496" s="10"/>
    </row>
    <row r="497" spans="2:12">
      <c r="B497" s="36" t="s">
        <v>2213</v>
      </c>
      <c r="C497" s="26" t="s">
        <v>1504</v>
      </c>
      <c r="D497" s="27" t="s">
        <v>0</v>
      </c>
      <c r="E497" s="27" t="s">
        <v>0</v>
      </c>
      <c r="F497" s="30" t="s">
        <v>545</v>
      </c>
      <c r="G497" s="29" t="s">
        <v>4</v>
      </c>
      <c r="H497" s="171"/>
      <c r="I497" s="171"/>
      <c r="J497" s="171"/>
      <c r="K497" s="171"/>
      <c r="L497" s="10"/>
    </row>
    <row r="498" spans="2:12">
      <c r="B498" s="36" t="s">
        <v>2213</v>
      </c>
      <c r="C498" s="26" t="s">
        <v>1505</v>
      </c>
      <c r="D498" s="27" t="s">
        <v>0</v>
      </c>
      <c r="E498" s="27" t="s">
        <v>0</v>
      </c>
      <c r="F498" s="30" t="s">
        <v>546</v>
      </c>
      <c r="G498" s="29" t="s">
        <v>46</v>
      </c>
      <c r="H498" s="171"/>
      <c r="I498" s="171"/>
      <c r="J498" s="171"/>
      <c r="K498" s="171"/>
      <c r="L498" s="10"/>
    </row>
    <row r="499" spans="2:12">
      <c r="B499" s="36" t="s">
        <v>2213</v>
      </c>
      <c r="C499" s="26" t="s">
        <v>1506</v>
      </c>
      <c r="D499" s="27" t="s">
        <v>0</v>
      </c>
      <c r="E499" s="27" t="s">
        <v>0</v>
      </c>
      <c r="F499" s="41" t="s">
        <v>647</v>
      </c>
      <c r="G499" s="29" t="s">
        <v>0</v>
      </c>
      <c r="H499" s="51">
        <f>H497-H498</f>
        <v>0</v>
      </c>
      <c r="I499" s="51">
        <f t="shared" ref="I499:K499" si="61">I497-I498</f>
        <v>0</v>
      </c>
      <c r="J499" s="51">
        <f t="shared" si="61"/>
        <v>0</v>
      </c>
      <c r="K499" s="51">
        <f t="shared" si="61"/>
        <v>0</v>
      </c>
      <c r="L499" s="10"/>
    </row>
    <row r="500" spans="2:12">
      <c r="B500" s="36"/>
      <c r="C500" s="26"/>
      <c r="D500" s="27"/>
      <c r="E500" s="27"/>
      <c r="F500" s="41"/>
      <c r="G500" s="29"/>
      <c r="H500" s="172" t="s">
        <v>0</v>
      </c>
      <c r="I500" s="172" t="s">
        <v>0</v>
      </c>
      <c r="J500" s="172" t="s">
        <v>0</v>
      </c>
      <c r="K500" s="172" t="s">
        <v>0</v>
      </c>
      <c r="L500" s="10"/>
    </row>
    <row r="501" spans="2:12">
      <c r="B501" s="36"/>
      <c r="C501" s="26"/>
      <c r="D501" s="27"/>
      <c r="E501" s="27"/>
      <c r="F501" s="41" t="s">
        <v>704</v>
      </c>
      <c r="G501" s="29"/>
      <c r="H501" s="172"/>
      <c r="I501" s="172"/>
      <c r="J501" s="172"/>
      <c r="K501" s="172"/>
      <c r="L501" s="10"/>
    </row>
    <row r="502" spans="2:12">
      <c r="B502" s="36" t="s">
        <v>2213</v>
      </c>
      <c r="C502" s="26" t="s">
        <v>1507</v>
      </c>
      <c r="D502" s="27" t="s">
        <v>0</v>
      </c>
      <c r="E502" s="27" t="s">
        <v>0</v>
      </c>
      <c r="F502" s="30" t="s">
        <v>705</v>
      </c>
      <c r="G502" s="29"/>
      <c r="H502" s="171"/>
      <c r="I502" s="171"/>
      <c r="J502" s="171"/>
      <c r="K502" s="171"/>
      <c r="L502" s="10"/>
    </row>
    <row r="503" spans="2:12">
      <c r="B503" s="36" t="s">
        <v>2213</v>
      </c>
      <c r="C503" s="26" t="s">
        <v>1508</v>
      </c>
      <c r="D503" s="27" t="s">
        <v>0</v>
      </c>
      <c r="E503" s="27" t="s">
        <v>0</v>
      </c>
      <c r="F503" s="30" t="s">
        <v>706</v>
      </c>
      <c r="G503" s="29"/>
      <c r="H503" s="171"/>
      <c r="I503" s="171"/>
      <c r="J503" s="171"/>
      <c r="K503" s="171"/>
      <c r="L503" s="10"/>
    </row>
    <row r="504" spans="2:12">
      <c r="B504" s="36" t="s">
        <v>2213</v>
      </c>
      <c r="C504" s="26" t="s">
        <v>1509</v>
      </c>
      <c r="D504" s="27" t="s">
        <v>0</v>
      </c>
      <c r="E504" s="27" t="s">
        <v>0</v>
      </c>
      <c r="F504" s="41" t="s">
        <v>707</v>
      </c>
      <c r="G504" s="29"/>
      <c r="H504" s="51">
        <f>H502-H503</f>
        <v>0</v>
      </c>
      <c r="I504" s="51">
        <f t="shared" ref="I504:K504" si="62">I502-I503</f>
        <v>0</v>
      </c>
      <c r="J504" s="51">
        <f t="shared" si="62"/>
        <v>0</v>
      </c>
      <c r="K504" s="51">
        <f t="shared" si="62"/>
        <v>0</v>
      </c>
      <c r="L504" s="10"/>
    </row>
    <row r="505" spans="2:12">
      <c r="B505" s="36"/>
      <c r="C505" s="26"/>
      <c r="D505" s="27"/>
      <c r="E505" s="27"/>
      <c r="F505" s="41"/>
      <c r="G505" s="29"/>
      <c r="H505" s="172"/>
      <c r="I505" s="172"/>
      <c r="J505" s="172"/>
      <c r="K505" s="172"/>
      <c r="L505" s="10"/>
    </row>
    <row r="506" spans="2:12">
      <c r="B506" s="36"/>
      <c r="C506" s="26"/>
      <c r="D506" s="27" t="s">
        <v>0</v>
      </c>
      <c r="E506" s="27" t="s">
        <v>0</v>
      </c>
      <c r="F506" s="41" t="s">
        <v>53</v>
      </c>
      <c r="G506" s="29" t="s">
        <v>0</v>
      </c>
      <c r="H506" s="172" t="s">
        <v>0</v>
      </c>
      <c r="I506" s="172" t="s">
        <v>0</v>
      </c>
      <c r="J506" s="172" t="s">
        <v>0</v>
      </c>
      <c r="K506" s="172" t="s">
        <v>0</v>
      </c>
      <c r="L506" s="10"/>
    </row>
    <row r="507" spans="2:12">
      <c r="B507" s="36" t="s">
        <v>2213</v>
      </c>
      <c r="C507" s="26" t="s">
        <v>1510</v>
      </c>
      <c r="D507" s="27" t="s">
        <v>0</v>
      </c>
      <c r="E507" s="27" t="s">
        <v>0</v>
      </c>
      <c r="F507" s="30" t="s">
        <v>547</v>
      </c>
      <c r="G507" s="29" t="s">
        <v>4</v>
      </c>
      <c r="H507" s="171"/>
      <c r="I507" s="171"/>
      <c r="J507" s="171"/>
      <c r="K507" s="171"/>
      <c r="L507" s="10"/>
    </row>
    <row r="508" spans="2:12">
      <c r="B508" s="36" t="s">
        <v>2213</v>
      </c>
      <c r="C508" s="26" t="s">
        <v>1511</v>
      </c>
      <c r="D508" s="27" t="s">
        <v>0</v>
      </c>
      <c r="E508" s="27" t="s">
        <v>0</v>
      </c>
      <c r="F508" s="30" t="s">
        <v>548</v>
      </c>
      <c r="G508" s="29" t="s">
        <v>46</v>
      </c>
      <c r="H508" s="171"/>
      <c r="I508" s="171"/>
      <c r="J508" s="171"/>
      <c r="K508" s="171"/>
      <c r="L508" s="10"/>
    </row>
    <row r="509" spans="2:12">
      <c r="B509" s="36" t="s">
        <v>2213</v>
      </c>
      <c r="C509" s="26" t="s">
        <v>1512</v>
      </c>
      <c r="D509" s="27" t="s">
        <v>0</v>
      </c>
      <c r="E509" s="27" t="s">
        <v>0</v>
      </c>
      <c r="F509" s="41" t="s">
        <v>648</v>
      </c>
      <c r="G509" s="29" t="s">
        <v>0</v>
      </c>
      <c r="H509" s="51">
        <f>H507-H508</f>
        <v>0</v>
      </c>
      <c r="I509" s="51">
        <f t="shared" ref="I509:K509" si="63">I507-I508</f>
        <v>0</v>
      </c>
      <c r="J509" s="51">
        <f t="shared" si="63"/>
        <v>0</v>
      </c>
      <c r="K509" s="51">
        <f t="shared" si="63"/>
        <v>0</v>
      </c>
      <c r="L509" s="10"/>
    </row>
    <row r="510" spans="2:12">
      <c r="B510" s="36" t="s">
        <v>2213</v>
      </c>
      <c r="C510" s="26" t="s">
        <v>1513</v>
      </c>
      <c r="D510" s="27" t="s">
        <v>0</v>
      </c>
      <c r="E510" s="27" t="s">
        <v>0</v>
      </c>
      <c r="F510" s="30" t="s">
        <v>549</v>
      </c>
      <c r="G510" s="29" t="s">
        <v>0</v>
      </c>
      <c r="H510" s="171"/>
      <c r="I510" s="171"/>
      <c r="J510" s="171"/>
      <c r="K510" s="171"/>
      <c r="L510" s="10"/>
    </row>
    <row r="511" spans="2:12" ht="22.5">
      <c r="B511" s="36" t="s">
        <v>2213</v>
      </c>
      <c r="C511" s="26" t="s">
        <v>1514</v>
      </c>
      <c r="D511" s="27" t="s">
        <v>0</v>
      </c>
      <c r="E511" s="27" t="s">
        <v>0</v>
      </c>
      <c r="F511" s="28" t="s">
        <v>550</v>
      </c>
      <c r="G511" s="29" t="s">
        <v>0</v>
      </c>
      <c r="H511" s="171"/>
      <c r="I511" s="171"/>
      <c r="J511" s="171"/>
      <c r="K511" s="171"/>
      <c r="L511" s="10"/>
    </row>
    <row r="512" spans="2:12">
      <c r="B512" s="36"/>
      <c r="C512" s="26"/>
      <c r="D512" s="27"/>
      <c r="E512" s="27"/>
      <c r="F512" s="30"/>
      <c r="G512" s="29"/>
      <c r="H512" s="172"/>
      <c r="I512" s="172"/>
      <c r="J512" s="172"/>
      <c r="K512" s="172"/>
      <c r="L512" s="10"/>
    </row>
    <row r="513" spans="2:12">
      <c r="B513" s="36"/>
      <c r="C513" s="26"/>
      <c r="D513" s="27" t="s">
        <v>0</v>
      </c>
      <c r="E513" s="27" t="s">
        <v>0</v>
      </c>
      <c r="F513" s="41" t="s">
        <v>54</v>
      </c>
      <c r="G513" s="29" t="s">
        <v>0</v>
      </c>
      <c r="H513" s="172"/>
      <c r="I513" s="172"/>
      <c r="J513" s="172"/>
      <c r="K513" s="172"/>
      <c r="L513" s="10"/>
    </row>
    <row r="514" spans="2:12">
      <c r="B514" s="36" t="s">
        <v>2213</v>
      </c>
      <c r="C514" s="26" t="s">
        <v>1515</v>
      </c>
      <c r="D514" s="27" t="s">
        <v>0</v>
      </c>
      <c r="E514" s="27" t="s">
        <v>0</v>
      </c>
      <c r="F514" s="30" t="s">
        <v>551</v>
      </c>
      <c r="G514" s="29" t="s">
        <v>4</v>
      </c>
      <c r="H514" s="171"/>
      <c r="I514" s="171"/>
      <c r="J514" s="171"/>
      <c r="K514" s="171"/>
      <c r="L514" s="10"/>
    </row>
    <row r="515" spans="2:12">
      <c r="B515" s="36" t="s">
        <v>2213</v>
      </c>
      <c r="C515" s="26" t="s">
        <v>1516</v>
      </c>
      <c r="D515" s="27" t="s">
        <v>0</v>
      </c>
      <c r="E515" s="27" t="s">
        <v>0</v>
      </c>
      <c r="F515" s="30" t="s">
        <v>552</v>
      </c>
      <c r="G515" s="29" t="s">
        <v>46</v>
      </c>
      <c r="H515" s="171"/>
      <c r="I515" s="171"/>
      <c r="J515" s="171"/>
      <c r="K515" s="171"/>
      <c r="L515" s="10"/>
    </row>
    <row r="516" spans="2:12">
      <c r="B516" s="36" t="s">
        <v>2213</v>
      </c>
      <c r="C516" s="26" t="s">
        <v>1517</v>
      </c>
      <c r="D516" s="27" t="s">
        <v>0</v>
      </c>
      <c r="E516" s="27" t="s">
        <v>0</v>
      </c>
      <c r="F516" s="41" t="s">
        <v>650</v>
      </c>
      <c r="G516" s="29" t="s">
        <v>0</v>
      </c>
      <c r="H516" s="51">
        <f>H514-H515</f>
        <v>0</v>
      </c>
      <c r="I516" s="51">
        <f t="shared" ref="I516:K516" si="64">I514-I515</f>
        <v>0</v>
      </c>
      <c r="J516" s="51">
        <f t="shared" si="64"/>
        <v>0</v>
      </c>
      <c r="K516" s="51">
        <f t="shared" si="64"/>
        <v>0</v>
      </c>
      <c r="L516" s="10"/>
    </row>
    <row r="517" spans="2:12">
      <c r="B517" s="36" t="s">
        <v>2213</v>
      </c>
      <c r="C517" s="26" t="s">
        <v>1518</v>
      </c>
      <c r="D517" s="27" t="s">
        <v>0</v>
      </c>
      <c r="E517" s="27" t="s">
        <v>0</v>
      </c>
      <c r="F517" s="30" t="s">
        <v>553</v>
      </c>
      <c r="G517" s="29" t="s">
        <v>0</v>
      </c>
      <c r="H517" s="171"/>
      <c r="I517" s="171"/>
      <c r="J517" s="171"/>
      <c r="K517" s="171"/>
      <c r="L517" s="10"/>
    </row>
    <row r="518" spans="2:12">
      <c r="B518" s="36" t="s">
        <v>2213</v>
      </c>
      <c r="C518" s="26" t="s">
        <v>1519</v>
      </c>
      <c r="D518" s="27" t="s">
        <v>0</v>
      </c>
      <c r="E518" s="27" t="s">
        <v>0</v>
      </c>
      <c r="F518" s="30" t="s">
        <v>554</v>
      </c>
      <c r="G518" s="29" t="s">
        <v>0</v>
      </c>
      <c r="H518" s="171"/>
      <c r="I518" s="171"/>
      <c r="J518" s="171"/>
      <c r="K518" s="171"/>
      <c r="L518" s="10"/>
    </row>
    <row r="519" spans="2:12">
      <c r="B519" s="36" t="s">
        <v>2213</v>
      </c>
      <c r="C519" s="26" t="s">
        <v>1520</v>
      </c>
      <c r="D519" s="27" t="s">
        <v>0</v>
      </c>
      <c r="E519" s="27" t="s">
        <v>0</v>
      </c>
      <c r="F519" s="30" t="s">
        <v>555</v>
      </c>
      <c r="G519" s="29" t="s">
        <v>0</v>
      </c>
      <c r="H519" s="171"/>
      <c r="I519" s="171"/>
      <c r="J519" s="171"/>
      <c r="K519" s="171"/>
      <c r="L519" s="10"/>
    </row>
    <row r="520" spans="2:12">
      <c r="B520" s="36" t="s">
        <v>2213</v>
      </c>
      <c r="C520" s="26" t="s">
        <v>1521</v>
      </c>
      <c r="D520" s="27" t="s">
        <v>0</v>
      </c>
      <c r="E520" s="27" t="s">
        <v>0</v>
      </c>
      <c r="F520" s="30" t="s">
        <v>556</v>
      </c>
      <c r="G520" s="29" t="s">
        <v>0</v>
      </c>
      <c r="H520" s="171">
        <v>11662845000</v>
      </c>
      <c r="I520" s="171">
        <v>3043370000</v>
      </c>
      <c r="J520" s="171">
        <v>11662845000</v>
      </c>
      <c r="K520" s="171">
        <v>3043370000</v>
      </c>
      <c r="L520" s="10"/>
    </row>
    <row r="521" spans="2:12">
      <c r="B521" s="36" t="s">
        <v>2213</v>
      </c>
      <c r="C521" s="26" t="s">
        <v>1522</v>
      </c>
      <c r="D521" s="27" t="s">
        <v>0</v>
      </c>
      <c r="E521" s="27" t="s">
        <v>0</v>
      </c>
      <c r="F521" s="30" t="s">
        <v>557</v>
      </c>
      <c r="G521" s="29" t="s">
        <v>0</v>
      </c>
      <c r="H521" s="171"/>
      <c r="I521" s="171"/>
      <c r="J521" s="171"/>
      <c r="K521" s="171"/>
      <c r="L521" s="10"/>
    </row>
    <row r="522" spans="2:12">
      <c r="B522" s="36" t="s">
        <v>2213</v>
      </c>
      <c r="C522" s="26" t="s">
        <v>1800</v>
      </c>
      <c r="D522" s="27" t="s">
        <v>0</v>
      </c>
      <c r="E522" s="27" t="s">
        <v>0</v>
      </c>
      <c r="F522" s="30" t="s">
        <v>558</v>
      </c>
      <c r="G522" s="29" t="s">
        <v>0</v>
      </c>
      <c r="H522" s="171"/>
      <c r="I522" s="171"/>
      <c r="J522" s="171"/>
      <c r="K522" s="171"/>
      <c r="L522" s="10"/>
    </row>
    <row r="523" spans="2:12">
      <c r="B523" s="36" t="s">
        <v>2213</v>
      </c>
      <c r="C523" s="26" t="s">
        <v>1523</v>
      </c>
      <c r="D523" s="27" t="s">
        <v>0</v>
      </c>
      <c r="E523" s="27" t="s">
        <v>0</v>
      </c>
      <c r="F523" s="30" t="s">
        <v>559</v>
      </c>
      <c r="G523" s="29" t="s">
        <v>0</v>
      </c>
      <c r="H523" s="171"/>
      <c r="I523" s="171"/>
      <c r="J523" s="171"/>
      <c r="K523" s="171"/>
      <c r="L523" s="10"/>
    </row>
    <row r="524" spans="2:12">
      <c r="B524" s="36" t="s">
        <v>2213</v>
      </c>
      <c r="C524" s="26" t="s">
        <v>1524</v>
      </c>
      <c r="D524" s="27" t="s">
        <v>0</v>
      </c>
      <c r="E524" s="27" t="s">
        <v>0</v>
      </c>
      <c r="F524" s="30" t="s">
        <v>560</v>
      </c>
      <c r="G524" s="29" t="s">
        <v>0</v>
      </c>
      <c r="H524" s="171"/>
      <c r="I524" s="171"/>
      <c r="J524" s="171"/>
      <c r="K524" s="171"/>
      <c r="L524" s="10"/>
    </row>
    <row r="525" spans="2:12">
      <c r="B525" s="36" t="s">
        <v>2213</v>
      </c>
      <c r="C525" s="26" t="s">
        <v>1525</v>
      </c>
      <c r="D525" s="27" t="s">
        <v>0</v>
      </c>
      <c r="E525" s="27" t="s">
        <v>0</v>
      </c>
      <c r="F525" s="30" t="s">
        <v>561</v>
      </c>
      <c r="G525" s="29" t="s">
        <v>0</v>
      </c>
      <c r="H525" s="171"/>
      <c r="I525" s="171"/>
      <c r="J525" s="171"/>
      <c r="K525" s="171"/>
      <c r="L525" s="10"/>
    </row>
    <row r="526" spans="2:12">
      <c r="B526" s="36" t="s">
        <v>2213</v>
      </c>
      <c r="C526" s="26" t="s">
        <v>1526</v>
      </c>
      <c r="D526" s="27" t="s">
        <v>0</v>
      </c>
      <c r="E526" s="27" t="s">
        <v>0</v>
      </c>
      <c r="F526" s="30" t="s">
        <v>562</v>
      </c>
      <c r="G526" s="29" t="s">
        <v>0</v>
      </c>
      <c r="H526" s="171"/>
      <c r="I526" s="171"/>
      <c r="J526" s="171"/>
      <c r="K526" s="171"/>
      <c r="L526" s="10"/>
    </row>
    <row r="527" spans="2:12">
      <c r="B527" s="36" t="s">
        <v>2213</v>
      </c>
      <c r="C527" s="26" t="s">
        <v>1527</v>
      </c>
      <c r="D527" s="27" t="s">
        <v>0</v>
      </c>
      <c r="E527" s="27" t="s">
        <v>0</v>
      </c>
      <c r="F527" s="30" t="s">
        <v>563</v>
      </c>
      <c r="G527" s="29" t="s">
        <v>0</v>
      </c>
      <c r="H527" s="171">
        <v>3537871000</v>
      </c>
      <c r="I527" s="171">
        <v>4605580000</v>
      </c>
      <c r="J527" s="171">
        <v>3537871000</v>
      </c>
      <c r="K527" s="171">
        <v>4605580000</v>
      </c>
      <c r="L527" s="10"/>
    </row>
    <row r="528" spans="2:12">
      <c r="B528" s="36" t="s">
        <v>2213</v>
      </c>
      <c r="C528" s="26" t="s">
        <v>1528</v>
      </c>
      <c r="D528" s="27" t="s">
        <v>0</v>
      </c>
      <c r="E528" s="27" t="s">
        <v>0</v>
      </c>
      <c r="F528" s="30" t="s">
        <v>564</v>
      </c>
      <c r="G528" s="29" t="s">
        <v>0</v>
      </c>
      <c r="H528" s="171"/>
      <c r="I528" s="171"/>
      <c r="J528" s="171"/>
      <c r="K528" s="171"/>
      <c r="L528" s="10"/>
    </row>
    <row r="529" spans="2:12">
      <c r="B529" s="36" t="s">
        <v>2213</v>
      </c>
      <c r="C529" s="26" t="s">
        <v>1529</v>
      </c>
      <c r="D529" s="27" t="s">
        <v>0</v>
      </c>
      <c r="E529" s="27" t="s">
        <v>0</v>
      </c>
      <c r="F529" s="30" t="s">
        <v>565</v>
      </c>
      <c r="G529" s="29" t="s">
        <v>0</v>
      </c>
      <c r="H529" s="171"/>
      <c r="I529" s="171"/>
      <c r="J529" s="171"/>
      <c r="K529" s="171"/>
      <c r="L529" s="10"/>
    </row>
    <row r="530" spans="2:12">
      <c r="B530" s="36" t="s">
        <v>2213</v>
      </c>
      <c r="C530" s="26" t="s">
        <v>1530</v>
      </c>
      <c r="D530" s="27" t="s">
        <v>0</v>
      </c>
      <c r="E530" s="27" t="s">
        <v>0</v>
      </c>
      <c r="F530" s="30" t="s">
        <v>566</v>
      </c>
      <c r="G530" s="29" t="s">
        <v>0</v>
      </c>
      <c r="H530" s="171">
        <v>-30189637000</v>
      </c>
      <c r="I530" s="171">
        <v>-25825240000</v>
      </c>
      <c r="J530" s="171">
        <v>-30189637000</v>
      </c>
      <c r="K530" s="171">
        <v>-25825240000</v>
      </c>
      <c r="L530" s="10"/>
    </row>
    <row r="531" spans="2:12">
      <c r="B531" s="36" t="s">
        <v>2213</v>
      </c>
      <c r="C531" s="26" t="s">
        <v>1531</v>
      </c>
      <c r="D531" s="27" t="s">
        <v>0</v>
      </c>
      <c r="E531" s="27" t="s">
        <v>0</v>
      </c>
      <c r="F531" s="77" t="s">
        <v>646</v>
      </c>
      <c r="G531" s="29" t="s">
        <v>0</v>
      </c>
      <c r="H531" s="171"/>
      <c r="I531" s="171"/>
      <c r="J531" s="171"/>
      <c r="K531" s="171"/>
      <c r="L531" s="10"/>
    </row>
    <row r="532" spans="2:12">
      <c r="B532" s="36" t="s">
        <v>2213</v>
      </c>
      <c r="C532" s="26" t="s">
        <v>1532</v>
      </c>
      <c r="D532" s="27" t="s">
        <v>0</v>
      </c>
      <c r="E532" s="27" t="s">
        <v>0</v>
      </c>
      <c r="F532" s="30" t="s">
        <v>567</v>
      </c>
      <c r="G532" s="29"/>
      <c r="H532" s="171"/>
      <c r="I532" s="171"/>
      <c r="J532" s="171"/>
      <c r="K532" s="171"/>
      <c r="L532" s="10"/>
    </row>
    <row r="533" spans="2:12">
      <c r="B533" s="36" t="s">
        <v>2213</v>
      </c>
      <c r="C533" s="26" t="s">
        <v>1533</v>
      </c>
      <c r="D533" s="27" t="s">
        <v>0</v>
      </c>
      <c r="E533" s="27" t="s">
        <v>0</v>
      </c>
      <c r="F533" s="30" t="s">
        <v>568</v>
      </c>
      <c r="G533" s="29"/>
      <c r="H533" s="171"/>
      <c r="I533" s="171"/>
      <c r="J533" s="171"/>
      <c r="K533" s="171"/>
      <c r="L533" s="10"/>
    </row>
    <row r="534" spans="2:12">
      <c r="B534" s="36" t="s">
        <v>2213</v>
      </c>
      <c r="C534" s="26" t="s">
        <v>1534</v>
      </c>
      <c r="D534" s="27" t="s">
        <v>0</v>
      </c>
      <c r="E534" s="27" t="s">
        <v>0</v>
      </c>
      <c r="F534" s="30" t="s">
        <v>569</v>
      </c>
      <c r="G534" s="29"/>
      <c r="H534" s="171"/>
      <c r="I534" s="171"/>
      <c r="J534" s="171"/>
      <c r="K534" s="171"/>
      <c r="L534" s="10"/>
    </row>
    <row r="535" spans="2:12">
      <c r="B535" s="36" t="s">
        <v>2213</v>
      </c>
      <c r="C535" s="26" t="s">
        <v>1535</v>
      </c>
      <c r="D535" s="27" t="s">
        <v>0</v>
      </c>
      <c r="E535" s="27" t="s">
        <v>0</v>
      </c>
      <c r="F535" s="30" t="s">
        <v>570</v>
      </c>
      <c r="G535" s="29"/>
      <c r="H535" s="171"/>
      <c r="I535" s="171"/>
      <c r="J535" s="171"/>
      <c r="K535" s="171"/>
      <c r="L535" s="10"/>
    </row>
    <row r="536" spans="2:12">
      <c r="B536" s="36" t="s">
        <v>2213</v>
      </c>
      <c r="C536" s="26" t="s">
        <v>1536</v>
      </c>
      <c r="D536" s="27" t="s">
        <v>0</v>
      </c>
      <c r="E536" s="27" t="s">
        <v>0</v>
      </c>
      <c r="F536" s="30" t="s">
        <v>571</v>
      </c>
      <c r="G536" s="29"/>
      <c r="H536" s="171"/>
      <c r="I536" s="171"/>
      <c r="J536" s="171"/>
      <c r="K536" s="171"/>
      <c r="L536" s="10"/>
    </row>
    <row r="537" spans="2:12">
      <c r="B537" s="36" t="s">
        <v>2213</v>
      </c>
      <c r="C537" s="26" t="s">
        <v>1537</v>
      </c>
      <c r="D537" s="27" t="s">
        <v>0</v>
      </c>
      <c r="E537" s="27" t="s">
        <v>0</v>
      </c>
      <c r="F537" s="30" t="s">
        <v>572</v>
      </c>
      <c r="G537" s="29"/>
      <c r="H537" s="171"/>
      <c r="I537" s="171"/>
      <c r="J537" s="171"/>
      <c r="K537" s="171"/>
      <c r="L537" s="10"/>
    </row>
    <row r="538" spans="2:12">
      <c r="B538" s="253" t="s">
        <v>2213</v>
      </c>
      <c r="C538" s="254" t="s">
        <v>1538</v>
      </c>
      <c r="D538" s="255" t="s">
        <v>0</v>
      </c>
      <c r="E538" s="255" t="s">
        <v>0</v>
      </c>
      <c r="F538" s="77" t="s">
        <v>573</v>
      </c>
      <c r="G538" s="256"/>
      <c r="H538" s="171"/>
      <c r="I538" s="171"/>
      <c r="J538" s="171"/>
      <c r="K538" s="171"/>
      <c r="L538" s="10"/>
    </row>
    <row r="539" spans="2:12" ht="22.5">
      <c r="B539" s="253" t="s">
        <v>2213</v>
      </c>
      <c r="C539" s="254" t="s">
        <v>1539</v>
      </c>
      <c r="D539" s="255" t="s">
        <v>0</v>
      </c>
      <c r="E539" s="255" t="s">
        <v>0</v>
      </c>
      <c r="F539" s="195" t="s">
        <v>574</v>
      </c>
      <c r="G539" s="256"/>
      <c r="H539" s="171"/>
      <c r="I539" s="171"/>
      <c r="J539" s="171"/>
      <c r="K539" s="171"/>
      <c r="L539" s="10"/>
    </row>
    <row r="540" spans="2:12">
      <c r="B540" s="253" t="s">
        <v>2213</v>
      </c>
      <c r="C540" s="254" t="s">
        <v>1540</v>
      </c>
      <c r="D540" s="255" t="s">
        <v>0</v>
      </c>
      <c r="E540" s="255" t="s">
        <v>0</v>
      </c>
      <c r="F540" s="77" t="s">
        <v>575</v>
      </c>
      <c r="G540" s="256"/>
      <c r="H540" s="171"/>
      <c r="I540" s="171"/>
      <c r="J540" s="171"/>
      <c r="K540" s="171"/>
      <c r="L540" s="10"/>
    </row>
    <row r="541" spans="2:12">
      <c r="B541" s="253" t="s">
        <v>2213</v>
      </c>
      <c r="C541" s="254" t="s">
        <v>1541</v>
      </c>
      <c r="D541" s="255" t="s">
        <v>0</v>
      </c>
      <c r="E541" s="255" t="s">
        <v>0</v>
      </c>
      <c r="F541" s="77" t="s">
        <v>576</v>
      </c>
      <c r="G541" s="256"/>
      <c r="H541" s="171"/>
      <c r="I541" s="171"/>
      <c r="J541" s="171"/>
      <c r="K541" s="171"/>
      <c r="L541" s="10"/>
    </row>
    <row r="542" spans="2:12" ht="22.5">
      <c r="B542" s="253" t="s">
        <v>2213</v>
      </c>
      <c r="C542" s="254" t="s">
        <v>1542</v>
      </c>
      <c r="D542" s="255" t="s">
        <v>0</v>
      </c>
      <c r="E542" s="255" t="s">
        <v>0</v>
      </c>
      <c r="F542" s="195" t="s">
        <v>577</v>
      </c>
      <c r="G542" s="256"/>
      <c r="H542" s="171"/>
      <c r="I542" s="171"/>
      <c r="J542" s="171"/>
      <c r="K542" s="171"/>
      <c r="L542" s="10"/>
    </row>
    <row r="543" spans="2:12">
      <c r="B543" s="253" t="s">
        <v>2213</v>
      </c>
      <c r="C543" s="254" t="s">
        <v>2053</v>
      </c>
      <c r="D543" s="255" t="s">
        <v>0</v>
      </c>
      <c r="E543" s="255"/>
      <c r="F543" s="257" t="s">
        <v>2100</v>
      </c>
      <c r="G543" s="256"/>
      <c r="H543" s="171"/>
      <c r="I543" s="171"/>
      <c r="J543" s="171"/>
      <c r="K543" s="171"/>
      <c r="L543" s="10"/>
    </row>
    <row r="544" spans="2:12">
      <c r="B544" s="253" t="s">
        <v>2213</v>
      </c>
      <c r="C544" s="254" t="s">
        <v>1543</v>
      </c>
      <c r="D544" s="255" t="s">
        <v>0</v>
      </c>
      <c r="E544" s="255" t="s">
        <v>0</v>
      </c>
      <c r="F544" s="77" t="s">
        <v>578</v>
      </c>
      <c r="G544" s="256" t="s">
        <v>0</v>
      </c>
      <c r="H544" s="171"/>
      <c r="I544" s="171"/>
      <c r="J544" s="171"/>
      <c r="K544" s="171"/>
      <c r="L544" s="10"/>
    </row>
    <row r="545" spans="2:12">
      <c r="B545" s="36" t="s">
        <v>2213</v>
      </c>
      <c r="C545" s="26" t="s">
        <v>1544</v>
      </c>
      <c r="D545" s="27" t="s">
        <v>0</v>
      </c>
      <c r="E545" s="27" t="s">
        <v>0</v>
      </c>
      <c r="F545" s="77" t="s">
        <v>579</v>
      </c>
      <c r="G545" s="29" t="s">
        <v>0</v>
      </c>
      <c r="H545" s="171"/>
      <c r="I545" s="171"/>
      <c r="J545" s="171"/>
      <c r="K545" s="171"/>
      <c r="L545" s="10"/>
    </row>
    <row r="546" spans="2:12">
      <c r="B546" s="36"/>
      <c r="C546" s="26"/>
      <c r="D546" s="27"/>
      <c r="E546" s="27"/>
      <c r="F546" s="190" t="s">
        <v>1820</v>
      </c>
      <c r="G546" s="29"/>
      <c r="H546" s="209"/>
      <c r="I546" s="209"/>
      <c r="J546" s="209"/>
      <c r="K546" s="209"/>
      <c r="L546" s="10"/>
    </row>
    <row r="547" spans="2:12">
      <c r="B547" s="36" t="s">
        <v>2213</v>
      </c>
      <c r="C547" s="26" t="s">
        <v>1821</v>
      </c>
      <c r="D547" s="27" t="s">
        <v>0</v>
      </c>
      <c r="E547" s="27"/>
      <c r="F547" s="191" t="s">
        <v>1873</v>
      </c>
      <c r="G547" s="29"/>
      <c r="H547" s="171"/>
      <c r="I547" s="171"/>
      <c r="J547" s="171"/>
      <c r="K547" s="171"/>
      <c r="L547" s="10"/>
    </row>
    <row r="548" spans="2:12">
      <c r="B548" s="36" t="s">
        <v>2213</v>
      </c>
      <c r="C548" s="26" t="s">
        <v>1822</v>
      </c>
      <c r="D548" s="27" t="s">
        <v>0</v>
      </c>
      <c r="E548" s="27"/>
      <c r="F548" s="191" t="s">
        <v>1874</v>
      </c>
      <c r="G548" s="29"/>
      <c r="H548" s="171"/>
      <c r="I548" s="171"/>
      <c r="J548" s="171"/>
      <c r="K548" s="171"/>
      <c r="L548" s="10"/>
    </row>
    <row r="549" spans="2:12">
      <c r="B549" s="36" t="s">
        <v>2213</v>
      </c>
      <c r="C549" s="26" t="s">
        <v>1545</v>
      </c>
      <c r="D549" s="27" t="s">
        <v>0</v>
      </c>
      <c r="E549" s="27" t="s">
        <v>0</v>
      </c>
      <c r="F549" s="197" t="s">
        <v>580</v>
      </c>
      <c r="G549" s="29" t="s">
        <v>0</v>
      </c>
      <c r="H549" s="171"/>
      <c r="I549" s="171"/>
      <c r="J549" s="171"/>
      <c r="K549" s="171"/>
      <c r="L549" s="10"/>
    </row>
    <row r="550" spans="2:12">
      <c r="B550" s="36" t="s">
        <v>2213</v>
      </c>
      <c r="C550" s="26" t="s">
        <v>1546</v>
      </c>
      <c r="D550" s="27" t="s">
        <v>0</v>
      </c>
      <c r="E550" s="27" t="s">
        <v>0</v>
      </c>
      <c r="F550" s="77" t="s">
        <v>581</v>
      </c>
      <c r="G550" s="29" t="s">
        <v>0</v>
      </c>
      <c r="H550" s="171"/>
      <c r="I550" s="171"/>
      <c r="J550" s="171"/>
      <c r="K550" s="171"/>
      <c r="L550" s="10"/>
    </row>
    <row r="551" spans="2:12">
      <c r="B551" s="36" t="s">
        <v>2213</v>
      </c>
      <c r="C551" s="26" t="s">
        <v>1547</v>
      </c>
      <c r="D551" s="27" t="s">
        <v>0</v>
      </c>
      <c r="E551" s="27" t="s">
        <v>0</v>
      </c>
      <c r="F551" s="77" t="s">
        <v>582</v>
      </c>
      <c r="G551" s="29" t="s">
        <v>0</v>
      </c>
      <c r="H551" s="171"/>
      <c r="I551" s="171"/>
      <c r="J551" s="171"/>
      <c r="K551" s="171"/>
      <c r="L551" s="10"/>
    </row>
    <row r="552" spans="2:12">
      <c r="B552" s="253" t="s">
        <v>2213</v>
      </c>
      <c r="C552" s="254" t="s">
        <v>1548</v>
      </c>
      <c r="D552" s="255" t="s">
        <v>0</v>
      </c>
      <c r="E552" s="255" t="s">
        <v>0</v>
      </c>
      <c r="F552" s="77" t="s">
        <v>583</v>
      </c>
      <c r="G552" s="256" t="s">
        <v>0</v>
      </c>
      <c r="H552" s="171"/>
      <c r="I552" s="171"/>
      <c r="J552" s="171"/>
      <c r="K552" s="171"/>
      <c r="L552" s="10"/>
    </row>
    <row r="553" spans="2:12">
      <c r="B553" s="295"/>
      <c r="C553" s="296"/>
      <c r="D553" s="297" t="s">
        <v>0</v>
      </c>
      <c r="E553" s="297"/>
      <c r="F553" s="190" t="s">
        <v>2002</v>
      </c>
      <c r="G553" s="298"/>
      <c r="H553" s="209"/>
      <c r="I553" s="209"/>
      <c r="J553" s="209"/>
      <c r="K553" s="209"/>
      <c r="L553" s="10"/>
    </row>
    <row r="554" spans="2:12">
      <c r="B554" s="253" t="s">
        <v>2213</v>
      </c>
      <c r="C554" s="254" t="s">
        <v>2003</v>
      </c>
      <c r="D554" s="249" t="s">
        <v>0</v>
      </c>
      <c r="E554" s="249"/>
      <c r="F554" s="182" t="s">
        <v>2005</v>
      </c>
      <c r="G554" s="250"/>
      <c r="H554" s="171">
        <v>1256000</v>
      </c>
      <c r="I554" s="171">
        <v>6521000</v>
      </c>
      <c r="J554" s="171">
        <v>1256000</v>
      </c>
      <c r="K554" s="171">
        <v>6521000</v>
      </c>
      <c r="L554" s="10"/>
    </row>
    <row r="555" spans="2:12">
      <c r="B555" s="253" t="s">
        <v>2213</v>
      </c>
      <c r="C555" s="254" t="s">
        <v>2004</v>
      </c>
      <c r="D555" s="249" t="s">
        <v>0</v>
      </c>
      <c r="E555" s="249"/>
      <c r="F555" s="182" t="s">
        <v>2006</v>
      </c>
      <c r="G555" s="250"/>
      <c r="H555" s="171">
        <v>1254000</v>
      </c>
      <c r="I555" s="171">
        <v>3256000</v>
      </c>
      <c r="J555" s="171">
        <v>1254000</v>
      </c>
      <c r="K555" s="171">
        <v>3256000</v>
      </c>
      <c r="L555" s="10"/>
    </row>
    <row r="556" spans="2:12">
      <c r="B556" s="253" t="s">
        <v>2213</v>
      </c>
      <c r="C556" s="254" t="s">
        <v>2117</v>
      </c>
      <c r="D556" s="249" t="s">
        <v>0</v>
      </c>
      <c r="E556" s="249"/>
      <c r="F556" s="182" t="s">
        <v>2007</v>
      </c>
      <c r="G556" s="250"/>
      <c r="H556" s="51">
        <f>H554+H555</f>
        <v>2510000</v>
      </c>
      <c r="I556" s="51">
        <f t="shared" ref="I556:K556" si="65">I554+I555</f>
        <v>9777000</v>
      </c>
      <c r="J556" s="51">
        <f t="shared" si="65"/>
        <v>2510000</v>
      </c>
      <c r="K556" s="51">
        <f t="shared" si="65"/>
        <v>9777000</v>
      </c>
      <c r="L556" s="252"/>
    </row>
    <row r="557" spans="2:12">
      <c r="B557" s="253" t="s">
        <v>2213</v>
      </c>
      <c r="C557" s="254" t="s">
        <v>1549</v>
      </c>
      <c r="D557" s="255" t="s">
        <v>0</v>
      </c>
      <c r="E557" s="255" t="s">
        <v>0</v>
      </c>
      <c r="F557" s="77" t="s">
        <v>584</v>
      </c>
      <c r="G557" s="256" t="s">
        <v>0</v>
      </c>
      <c r="H557" s="171"/>
      <c r="I557" s="171"/>
      <c r="J557" s="171"/>
      <c r="K557" s="171"/>
      <c r="L557" s="252"/>
    </row>
    <row r="558" spans="2:12">
      <c r="B558" s="253" t="s">
        <v>2213</v>
      </c>
      <c r="C558" s="254" t="s">
        <v>1908</v>
      </c>
      <c r="D558" s="255" t="s">
        <v>0</v>
      </c>
      <c r="E558" s="255" t="s">
        <v>0</v>
      </c>
      <c r="F558" s="77" t="s">
        <v>1909</v>
      </c>
      <c r="G558" s="256"/>
      <c r="H558" s="171">
        <v>100000000</v>
      </c>
      <c r="I558" s="171">
        <v>100000000</v>
      </c>
      <c r="J558" s="171">
        <v>100000000</v>
      </c>
      <c r="K558" s="171">
        <v>100000000</v>
      </c>
      <c r="L558" s="252"/>
    </row>
    <row r="559" spans="2:12">
      <c r="B559" s="253" t="s">
        <v>2213</v>
      </c>
      <c r="C559" s="254" t="s">
        <v>1550</v>
      </c>
      <c r="D559" s="255" t="s">
        <v>0</v>
      </c>
      <c r="E559" s="255" t="s">
        <v>0</v>
      </c>
      <c r="F559" s="77" t="s">
        <v>585</v>
      </c>
      <c r="G559" s="256" t="s">
        <v>0</v>
      </c>
      <c r="H559" s="171"/>
      <c r="I559" s="171"/>
      <c r="J559" s="171"/>
      <c r="K559" s="171"/>
      <c r="L559" s="252"/>
    </row>
    <row r="560" spans="2:12">
      <c r="B560" s="253" t="s">
        <v>2213</v>
      </c>
      <c r="C560" s="254" t="s">
        <v>2008</v>
      </c>
      <c r="D560" s="249" t="s">
        <v>0</v>
      </c>
      <c r="E560" s="249"/>
      <c r="F560" s="182" t="s">
        <v>2012</v>
      </c>
      <c r="G560" s="250"/>
      <c r="H560" s="171">
        <v>7854000</v>
      </c>
      <c r="I560" s="171">
        <v>9856000</v>
      </c>
      <c r="J560" s="171">
        <v>7854000</v>
      </c>
      <c r="K560" s="171">
        <v>9856000</v>
      </c>
      <c r="L560" s="252"/>
    </row>
    <row r="561" spans="2:12">
      <c r="B561" s="253" t="s">
        <v>2213</v>
      </c>
      <c r="C561" s="254" t="s">
        <v>1551</v>
      </c>
      <c r="D561" s="255" t="s">
        <v>0</v>
      </c>
      <c r="E561" s="255" t="s">
        <v>0</v>
      </c>
      <c r="F561" s="77" t="s">
        <v>586</v>
      </c>
      <c r="G561" s="256" t="s">
        <v>0</v>
      </c>
      <c r="H561" s="171"/>
      <c r="I561" s="171"/>
      <c r="J561" s="171"/>
      <c r="K561" s="171"/>
      <c r="L561" s="252"/>
    </row>
    <row r="562" spans="2:12">
      <c r="B562" s="253" t="s">
        <v>2213</v>
      </c>
      <c r="C562" s="254" t="s">
        <v>1552</v>
      </c>
      <c r="D562" s="255" t="s">
        <v>0</v>
      </c>
      <c r="E562" s="255" t="s">
        <v>0</v>
      </c>
      <c r="F562" s="77" t="s">
        <v>587</v>
      </c>
      <c r="G562" s="256" t="s">
        <v>0</v>
      </c>
      <c r="H562" s="171"/>
      <c r="I562" s="171"/>
      <c r="J562" s="171"/>
      <c r="K562" s="171"/>
      <c r="L562" s="252"/>
    </row>
    <row r="563" spans="2:12">
      <c r="B563" s="253" t="s">
        <v>2213</v>
      </c>
      <c r="C563" s="254" t="s">
        <v>1553</v>
      </c>
      <c r="D563" s="255" t="s">
        <v>0</v>
      </c>
      <c r="E563" s="255" t="s">
        <v>0</v>
      </c>
      <c r="F563" s="77" t="s">
        <v>588</v>
      </c>
      <c r="G563" s="256" t="s">
        <v>0</v>
      </c>
      <c r="H563" s="171"/>
      <c r="I563" s="171"/>
      <c r="J563" s="171"/>
      <c r="K563" s="171"/>
      <c r="L563" s="252"/>
    </row>
    <row r="564" spans="2:12">
      <c r="B564" s="253"/>
      <c r="C564" s="254"/>
      <c r="D564" s="255"/>
      <c r="E564" s="255"/>
      <c r="F564" s="190" t="s">
        <v>708</v>
      </c>
      <c r="G564" s="256"/>
      <c r="H564" s="52"/>
      <c r="I564" s="52"/>
      <c r="J564" s="52"/>
      <c r="K564" s="52"/>
      <c r="L564" s="252"/>
    </row>
    <row r="565" spans="2:12">
      <c r="B565" s="253" t="s">
        <v>2213</v>
      </c>
      <c r="C565" s="254" t="s">
        <v>1554</v>
      </c>
      <c r="D565" s="255" t="s">
        <v>0</v>
      </c>
      <c r="E565" s="255"/>
      <c r="F565" s="191" t="s">
        <v>709</v>
      </c>
      <c r="G565" s="256"/>
      <c r="H565" s="171"/>
      <c r="I565" s="171"/>
      <c r="J565" s="171"/>
      <c r="K565" s="171"/>
      <c r="L565" s="252"/>
    </row>
    <row r="566" spans="2:12">
      <c r="B566" s="253" t="s">
        <v>2213</v>
      </c>
      <c r="C566" s="254" t="s">
        <v>1555</v>
      </c>
      <c r="D566" s="255" t="s">
        <v>0</v>
      </c>
      <c r="E566" s="255"/>
      <c r="F566" s="191" t="s">
        <v>710</v>
      </c>
      <c r="G566" s="256"/>
      <c r="H566" s="171"/>
      <c r="I566" s="171"/>
      <c r="J566" s="171"/>
      <c r="K566" s="171"/>
      <c r="L566" s="252"/>
    </row>
    <row r="567" spans="2:12">
      <c r="B567" s="253" t="s">
        <v>2213</v>
      </c>
      <c r="C567" s="254" t="s">
        <v>1556</v>
      </c>
      <c r="D567" s="255" t="s">
        <v>0</v>
      </c>
      <c r="E567" s="255"/>
      <c r="F567" s="192" t="s">
        <v>711</v>
      </c>
      <c r="G567" s="256"/>
      <c r="H567" s="51">
        <f>H565-H566</f>
        <v>0</v>
      </c>
      <c r="I567" s="51">
        <f>I565-I566</f>
        <v>0</v>
      </c>
      <c r="J567" s="51">
        <f>J565-J566</f>
        <v>0</v>
      </c>
      <c r="K567" s="51">
        <f>K565-K566</f>
        <v>0</v>
      </c>
      <c r="L567" s="252"/>
    </row>
    <row r="568" spans="2:12">
      <c r="B568" s="253" t="s">
        <v>2213</v>
      </c>
      <c r="C568" s="254" t="s">
        <v>1557</v>
      </c>
      <c r="D568" s="255" t="s">
        <v>0</v>
      </c>
      <c r="E568" s="255"/>
      <c r="F568" s="191" t="s">
        <v>712</v>
      </c>
      <c r="G568" s="256"/>
      <c r="H568" s="171"/>
      <c r="I568" s="171"/>
      <c r="J568" s="171"/>
      <c r="K568" s="171"/>
      <c r="L568" s="252"/>
    </row>
    <row r="569" spans="2:12">
      <c r="B569" s="253" t="s">
        <v>2213</v>
      </c>
      <c r="C569" s="254" t="s">
        <v>1558</v>
      </c>
      <c r="D569" s="255" t="s">
        <v>0</v>
      </c>
      <c r="E569" s="255"/>
      <c r="F569" s="191" t="s">
        <v>713</v>
      </c>
      <c r="G569" s="256"/>
      <c r="H569" s="171"/>
      <c r="I569" s="171"/>
      <c r="J569" s="171"/>
      <c r="K569" s="171"/>
      <c r="L569" s="252"/>
    </row>
    <row r="570" spans="2:12">
      <c r="B570" s="253" t="s">
        <v>2213</v>
      </c>
      <c r="C570" s="254" t="s">
        <v>1559</v>
      </c>
      <c r="D570" s="255" t="s">
        <v>0</v>
      </c>
      <c r="E570" s="255"/>
      <c r="F570" s="191" t="s">
        <v>714</v>
      </c>
      <c r="G570" s="256"/>
      <c r="H570" s="171"/>
      <c r="I570" s="171"/>
      <c r="J570" s="171"/>
      <c r="K570" s="171"/>
      <c r="L570" s="252"/>
    </row>
    <row r="571" spans="2:12">
      <c r="B571" s="253" t="s">
        <v>2213</v>
      </c>
      <c r="C571" s="254" t="s">
        <v>1560</v>
      </c>
      <c r="D571" s="255" t="s">
        <v>0</v>
      </c>
      <c r="E571" s="255" t="s">
        <v>0</v>
      </c>
      <c r="F571" s="77" t="s">
        <v>589</v>
      </c>
      <c r="G571" s="256" t="s">
        <v>0</v>
      </c>
      <c r="H571" s="171"/>
      <c r="I571" s="171"/>
      <c r="J571" s="171"/>
      <c r="K571" s="171"/>
      <c r="L571" s="252"/>
    </row>
    <row r="572" spans="2:12">
      <c r="B572" s="253" t="s">
        <v>2213</v>
      </c>
      <c r="C572" s="254" t="s">
        <v>1561</v>
      </c>
      <c r="D572" s="255" t="s">
        <v>0</v>
      </c>
      <c r="E572" s="255"/>
      <c r="F572" s="193" t="s">
        <v>717</v>
      </c>
      <c r="G572" s="256"/>
      <c r="H572" s="171"/>
      <c r="I572" s="171"/>
      <c r="J572" s="171"/>
      <c r="K572" s="171"/>
      <c r="L572" s="252"/>
    </row>
    <row r="573" spans="2:12">
      <c r="B573" s="253" t="s">
        <v>2213</v>
      </c>
      <c r="C573" s="254" t="s">
        <v>1823</v>
      </c>
      <c r="D573" s="255" t="s">
        <v>0</v>
      </c>
      <c r="E573" s="255"/>
      <c r="F573" s="193" t="s">
        <v>1875</v>
      </c>
      <c r="G573" s="256"/>
      <c r="H573" s="171"/>
      <c r="I573" s="171"/>
      <c r="J573" s="171"/>
      <c r="K573" s="171"/>
      <c r="L573" s="252"/>
    </row>
    <row r="574" spans="2:12">
      <c r="B574" s="253" t="s">
        <v>2213</v>
      </c>
      <c r="C574" s="254" t="s">
        <v>1562</v>
      </c>
      <c r="D574" s="255" t="s">
        <v>0</v>
      </c>
      <c r="E574" s="255" t="s">
        <v>0</v>
      </c>
      <c r="F574" s="77" t="s">
        <v>590</v>
      </c>
      <c r="G574" s="256" t="s">
        <v>0</v>
      </c>
      <c r="H574" s="171"/>
      <c r="I574" s="171"/>
      <c r="J574" s="171"/>
      <c r="K574" s="171"/>
      <c r="L574" s="252"/>
    </row>
    <row r="575" spans="2:12">
      <c r="B575" s="253" t="s">
        <v>2213</v>
      </c>
      <c r="C575" s="254" t="s">
        <v>2009</v>
      </c>
      <c r="D575" s="249" t="s">
        <v>0</v>
      </c>
      <c r="E575" s="249"/>
      <c r="F575" s="182" t="s">
        <v>2013</v>
      </c>
      <c r="G575" s="250"/>
      <c r="H575" s="171">
        <v>444000</v>
      </c>
      <c r="I575" s="171">
        <v>555000</v>
      </c>
      <c r="J575" s="171">
        <v>444000</v>
      </c>
      <c r="K575" s="171">
        <v>555000</v>
      </c>
      <c r="L575" s="252"/>
    </row>
    <row r="576" spans="2:12">
      <c r="B576" s="253" t="s">
        <v>2213</v>
      </c>
      <c r="C576" s="254" t="s">
        <v>2010</v>
      </c>
      <c r="D576" s="249" t="s">
        <v>0</v>
      </c>
      <c r="E576" s="249"/>
      <c r="F576" s="182" t="s">
        <v>2014</v>
      </c>
      <c r="G576" s="250"/>
      <c r="H576" s="171">
        <v>777000</v>
      </c>
      <c r="I576" s="171">
        <v>888000</v>
      </c>
      <c r="J576" s="171">
        <v>777000</v>
      </c>
      <c r="K576" s="171">
        <v>888000</v>
      </c>
      <c r="L576" s="252"/>
    </row>
    <row r="577" spans="2:12">
      <c r="B577" s="253" t="s">
        <v>2213</v>
      </c>
      <c r="C577" s="254" t="s">
        <v>2011</v>
      </c>
      <c r="D577" s="249" t="s">
        <v>0</v>
      </c>
      <c r="E577" s="249"/>
      <c r="F577" s="182" t="s">
        <v>2015</v>
      </c>
      <c r="G577" s="250"/>
      <c r="H577" s="171">
        <v>11111000</v>
      </c>
      <c r="I577" s="171">
        <v>999000</v>
      </c>
      <c r="J577" s="171">
        <v>11111000</v>
      </c>
      <c r="K577" s="171">
        <v>999000</v>
      </c>
      <c r="L577" s="252"/>
    </row>
    <row r="578" spans="2:12">
      <c r="B578" s="253" t="s">
        <v>2213</v>
      </c>
      <c r="C578" s="254" t="s">
        <v>1563</v>
      </c>
      <c r="D578" s="255" t="s">
        <v>0</v>
      </c>
      <c r="E578" s="255" t="s">
        <v>0</v>
      </c>
      <c r="F578" s="77" t="s">
        <v>591</v>
      </c>
      <c r="G578" s="256" t="s">
        <v>0</v>
      </c>
      <c r="H578" s="171"/>
      <c r="I578" s="171"/>
      <c r="J578" s="171"/>
      <c r="K578" s="171"/>
      <c r="L578" s="252"/>
    </row>
    <row r="579" spans="2:12">
      <c r="B579" s="253" t="s">
        <v>2213</v>
      </c>
      <c r="C579" s="254" t="s">
        <v>1910</v>
      </c>
      <c r="D579" s="255" t="s">
        <v>0</v>
      </c>
      <c r="E579" s="255" t="s">
        <v>0</v>
      </c>
      <c r="F579" s="77" t="s">
        <v>1911</v>
      </c>
      <c r="G579" s="256"/>
      <c r="H579" s="171"/>
      <c r="I579" s="171"/>
      <c r="J579" s="171"/>
      <c r="K579" s="171"/>
      <c r="L579" s="252"/>
    </row>
    <row r="580" spans="2:12">
      <c r="B580" s="253"/>
      <c r="C580" s="254"/>
      <c r="D580" s="255"/>
      <c r="E580" s="255"/>
      <c r="F580" s="77"/>
      <c r="G580" s="256"/>
      <c r="H580" s="52"/>
      <c r="I580" s="52"/>
      <c r="J580" s="52" t="s">
        <v>0</v>
      </c>
      <c r="K580" s="52" t="s">
        <v>0</v>
      </c>
      <c r="L580" s="252"/>
    </row>
    <row r="581" spans="2:12">
      <c r="B581" s="253"/>
      <c r="C581" s="254"/>
      <c r="D581" s="255" t="s">
        <v>0</v>
      </c>
      <c r="E581" s="255" t="s">
        <v>0</v>
      </c>
      <c r="F581" s="194" t="s">
        <v>592</v>
      </c>
      <c r="G581" s="256" t="s">
        <v>0</v>
      </c>
      <c r="H581" s="52"/>
      <c r="I581" s="52"/>
      <c r="J581" s="52" t="s">
        <v>0</v>
      </c>
      <c r="K581" s="52" t="s">
        <v>0</v>
      </c>
      <c r="L581" s="252"/>
    </row>
    <row r="582" spans="2:12">
      <c r="B582" s="253" t="s">
        <v>2213</v>
      </c>
      <c r="C582" s="254" t="s">
        <v>1564</v>
      </c>
      <c r="D582" s="255" t="s">
        <v>0</v>
      </c>
      <c r="E582" s="255" t="s">
        <v>0</v>
      </c>
      <c r="F582" s="77" t="s">
        <v>593</v>
      </c>
      <c r="G582" s="256" t="s">
        <v>4</v>
      </c>
      <c r="H582" s="171"/>
      <c r="I582" s="171"/>
      <c r="J582" s="171"/>
      <c r="K582" s="171"/>
      <c r="L582" s="10"/>
    </row>
    <row r="583" spans="2:12">
      <c r="B583" s="253" t="s">
        <v>2213</v>
      </c>
      <c r="C583" s="254" t="s">
        <v>1565</v>
      </c>
      <c r="D583" s="255" t="s">
        <v>0</v>
      </c>
      <c r="E583" s="255" t="s">
        <v>0</v>
      </c>
      <c r="F583" s="77" t="s">
        <v>594</v>
      </c>
      <c r="G583" s="256" t="s">
        <v>46</v>
      </c>
      <c r="H583" s="171"/>
      <c r="I583" s="171"/>
      <c r="J583" s="171"/>
      <c r="K583" s="171"/>
      <c r="L583" s="10"/>
    </row>
    <row r="584" spans="2:12">
      <c r="B584" s="253" t="s">
        <v>2213</v>
      </c>
      <c r="C584" s="254" t="s">
        <v>1566</v>
      </c>
      <c r="D584" s="255" t="s">
        <v>0</v>
      </c>
      <c r="E584" s="255" t="s">
        <v>0</v>
      </c>
      <c r="F584" s="194" t="s">
        <v>651</v>
      </c>
      <c r="G584" s="256" t="s">
        <v>0</v>
      </c>
      <c r="H584" s="51">
        <f>H582-H583</f>
        <v>0</v>
      </c>
      <c r="I584" s="51">
        <f t="shared" ref="I584:K584" si="66">I582-I583</f>
        <v>0</v>
      </c>
      <c r="J584" s="51">
        <f t="shared" si="66"/>
        <v>0</v>
      </c>
      <c r="K584" s="51">
        <f t="shared" si="66"/>
        <v>0</v>
      </c>
      <c r="L584" s="10"/>
    </row>
    <row r="585" spans="2:12">
      <c r="B585" s="253"/>
      <c r="C585" s="254"/>
      <c r="D585" s="255"/>
      <c r="E585" s="255"/>
      <c r="F585" s="77"/>
      <c r="G585" s="256"/>
      <c r="H585" s="172" t="s">
        <v>0</v>
      </c>
      <c r="I585" s="172" t="s">
        <v>0</v>
      </c>
      <c r="J585" s="172" t="s">
        <v>0</v>
      </c>
      <c r="K585" s="172" t="s">
        <v>0</v>
      </c>
      <c r="L585" s="10"/>
    </row>
    <row r="586" spans="2:12">
      <c r="B586" s="253"/>
      <c r="C586" s="254"/>
      <c r="D586" s="255" t="s">
        <v>0</v>
      </c>
      <c r="E586" s="255" t="s">
        <v>0</v>
      </c>
      <c r="F586" s="194" t="s">
        <v>55</v>
      </c>
      <c r="G586" s="256" t="s">
        <v>0</v>
      </c>
      <c r="H586" s="172" t="s">
        <v>0</v>
      </c>
      <c r="I586" s="172" t="s">
        <v>0</v>
      </c>
      <c r="J586" s="172" t="s">
        <v>0</v>
      </c>
      <c r="K586" s="172" t="s">
        <v>0</v>
      </c>
      <c r="L586" s="10"/>
    </row>
    <row r="587" spans="2:12">
      <c r="B587" s="253"/>
      <c r="C587" s="254"/>
      <c r="D587" s="255" t="s">
        <v>0</v>
      </c>
      <c r="E587" s="255" t="s">
        <v>0</v>
      </c>
      <c r="F587" s="194" t="s">
        <v>56</v>
      </c>
      <c r="G587" s="256" t="s">
        <v>0</v>
      </c>
      <c r="H587" s="172" t="s">
        <v>0</v>
      </c>
      <c r="I587" s="172" t="s">
        <v>0</v>
      </c>
      <c r="J587" s="172" t="s">
        <v>0</v>
      </c>
      <c r="K587" s="172" t="s">
        <v>0</v>
      </c>
      <c r="L587" s="10"/>
    </row>
    <row r="588" spans="2:12">
      <c r="B588" s="253" t="s">
        <v>2213</v>
      </c>
      <c r="C588" s="254" t="s">
        <v>1567</v>
      </c>
      <c r="D588" s="255" t="s">
        <v>0</v>
      </c>
      <c r="E588" s="255" t="s">
        <v>0</v>
      </c>
      <c r="F588" s="77" t="s">
        <v>595</v>
      </c>
      <c r="G588" s="256" t="s">
        <v>4</v>
      </c>
      <c r="H588" s="171"/>
      <c r="I588" s="171"/>
      <c r="J588" s="171"/>
      <c r="K588" s="171"/>
      <c r="L588" s="10"/>
    </row>
    <row r="589" spans="2:12">
      <c r="B589" s="253" t="s">
        <v>2213</v>
      </c>
      <c r="C589" s="254" t="s">
        <v>1568</v>
      </c>
      <c r="D589" s="255" t="s">
        <v>0</v>
      </c>
      <c r="E589" s="255" t="s">
        <v>0</v>
      </c>
      <c r="F589" s="77" t="s">
        <v>596</v>
      </c>
      <c r="G589" s="256" t="s">
        <v>4</v>
      </c>
      <c r="H589" s="171"/>
      <c r="I589" s="171"/>
      <c r="J589" s="171"/>
      <c r="K589" s="171"/>
      <c r="L589" s="10"/>
    </row>
    <row r="590" spans="2:12">
      <c r="B590" s="253" t="s">
        <v>2213</v>
      </c>
      <c r="C590" s="254" t="s">
        <v>1569</v>
      </c>
      <c r="D590" s="255" t="s">
        <v>0</v>
      </c>
      <c r="E590" s="255" t="s">
        <v>0</v>
      </c>
      <c r="F590" s="77" t="s">
        <v>597</v>
      </c>
      <c r="G590" s="256" t="s">
        <v>4</v>
      </c>
      <c r="H590" s="171"/>
      <c r="I590" s="171"/>
      <c r="J590" s="171"/>
      <c r="K590" s="171"/>
      <c r="L590" s="10"/>
    </row>
    <row r="591" spans="2:12">
      <c r="B591" s="253" t="s">
        <v>2213</v>
      </c>
      <c r="C591" s="254" t="s">
        <v>1570</v>
      </c>
      <c r="D591" s="255" t="s">
        <v>0</v>
      </c>
      <c r="E591" s="255" t="s">
        <v>0</v>
      </c>
      <c r="F591" s="77" t="s">
        <v>598</v>
      </c>
      <c r="G591" s="256" t="s">
        <v>4</v>
      </c>
      <c r="H591" s="171"/>
      <c r="I591" s="171"/>
      <c r="J591" s="171"/>
      <c r="K591" s="171"/>
      <c r="L591" s="10"/>
    </row>
    <row r="592" spans="2:12">
      <c r="B592" s="253" t="s">
        <v>2213</v>
      </c>
      <c r="C592" s="254" t="s">
        <v>1571</v>
      </c>
      <c r="D592" s="255" t="s">
        <v>0</v>
      </c>
      <c r="E592" s="255" t="s">
        <v>0</v>
      </c>
      <c r="F592" s="194" t="s">
        <v>643</v>
      </c>
      <c r="G592" s="256" t="s">
        <v>4</v>
      </c>
      <c r="H592" s="51">
        <f>H588+H589+H590+H591</f>
        <v>0</v>
      </c>
      <c r="I592" s="51">
        <f t="shared" ref="I592:K592" si="67">I588+I589+I590+I591</f>
        <v>0</v>
      </c>
      <c r="J592" s="51">
        <f t="shared" si="67"/>
        <v>0</v>
      </c>
      <c r="K592" s="51">
        <f t="shared" si="67"/>
        <v>0</v>
      </c>
      <c r="L592" s="10"/>
    </row>
    <row r="593" spans="2:12">
      <c r="B593" s="253"/>
      <c r="C593" s="254"/>
      <c r="D593" s="255"/>
      <c r="E593" s="255"/>
      <c r="F593" s="77"/>
      <c r="G593" s="256"/>
      <c r="H593" s="172" t="s">
        <v>0</v>
      </c>
      <c r="I593" s="172" t="s">
        <v>0</v>
      </c>
      <c r="J593" s="172" t="s">
        <v>0</v>
      </c>
      <c r="K593" s="172" t="s">
        <v>0</v>
      </c>
      <c r="L593" s="10"/>
    </row>
    <row r="594" spans="2:12">
      <c r="B594" s="253"/>
      <c r="C594" s="254"/>
      <c r="D594" s="255" t="s">
        <v>0</v>
      </c>
      <c r="E594" s="255" t="s">
        <v>0</v>
      </c>
      <c r="F594" s="194" t="s">
        <v>57</v>
      </c>
      <c r="G594" s="256" t="s">
        <v>0</v>
      </c>
      <c r="H594" s="172" t="s">
        <v>0</v>
      </c>
      <c r="I594" s="172" t="s">
        <v>0</v>
      </c>
      <c r="J594" s="172" t="s">
        <v>0</v>
      </c>
      <c r="K594" s="172" t="s">
        <v>0</v>
      </c>
      <c r="L594" s="10"/>
    </row>
    <row r="595" spans="2:12">
      <c r="B595" s="253" t="s">
        <v>2213</v>
      </c>
      <c r="C595" s="254" t="s">
        <v>1572</v>
      </c>
      <c r="D595" s="255" t="s">
        <v>0</v>
      </c>
      <c r="E595" s="255" t="s">
        <v>0</v>
      </c>
      <c r="F595" s="77" t="s">
        <v>599</v>
      </c>
      <c r="G595" s="256" t="s">
        <v>4</v>
      </c>
      <c r="H595" s="171"/>
      <c r="I595" s="171"/>
      <c r="J595" s="171"/>
      <c r="K595" s="171"/>
      <c r="L595" s="10"/>
    </row>
    <row r="596" spans="2:12">
      <c r="B596" s="253" t="s">
        <v>2213</v>
      </c>
      <c r="C596" s="254" t="s">
        <v>1573</v>
      </c>
      <c r="D596" s="255" t="s">
        <v>0</v>
      </c>
      <c r="E596" s="255" t="s">
        <v>0</v>
      </c>
      <c r="F596" s="77" t="s">
        <v>600</v>
      </c>
      <c r="G596" s="256" t="s">
        <v>4</v>
      </c>
      <c r="H596" s="171"/>
      <c r="I596" s="171"/>
      <c r="J596" s="171"/>
      <c r="K596" s="171"/>
      <c r="L596" s="10"/>
    </row>
    <row r="597" spans="2:12">
      <c r="B597" s="253" t="s">
        <v>2213</v>
      </c>
      <c r="C597" s="254" t="s">
        <v>1574</v>
      </c>
      <c r="D597" s="255" t="s">
        <v>0</v>
      </c>
      <c r="E597" s="255" t="s">
        <v>0</v>
      </c>
      <c r="F597" s="194" t="s">
        <v>641</v>
      </c>
      <c r="G597" s="256" t="s">
        <v>46</v>
      </c>
      <c r="H597" s="51">
        <f>H595+H596</f>
        <v>0</v>
      </c>
      <c r="I597" s="51">
        <f t="shared" ref="I597:K597" si="68">I595+I596</f>
        <v>0</v>
      </c>
      <c r="J597" s="51">
        <f t="shared" si="68"/>
        <v>0</v>
      </c>
      <c r="K597" s="51">
        <f t="shared" si="68"/>
        <v>0</v>
      </c>
      <c r="L597" s="10"/>
    </row>
    <row r="598" spans="2:12">
      <c r="B598" s="253" t="s">
        <v>2213</v>
      </c>
      <c r="C598" s="254" t="s">
        <v>1575</v>
      </c>
      <c r="D598" s="255" t="s">
        <v>0</v>
      </c>
      <c r="E598" s="255" t="s">
        <v>0</v>
      </c>
      <c r="F598" s="194" t="s">
        <v>642</v>
      </c>
      <c r="G598" s="256" t="s">
        <v>0</v>
      </c>
      <c r="H598" s="51">
        <f>H592-H597</f>
        <v>0</v>
      </c>
      <c r="I598" s="51">
        <f>I592-I597</f>
        <v>0</v>
      </c>
      <c r="J598" s="51">
        <f>J592-J597</f>
        <v>0</v>
      </c>
      <c r="K598" s="51">
        <f>K592-K597</f>
        <v>0</v>
      </c>
      <c r="L598" s="10"/>
    </row>
    <row r="599" spans="2:12">
      <c r="B599" s="253"/>
      <c r="C599" s="254"/>
      <c r="D599" s="255"/>
      <c r="E599" s="255"/>
      <c r="F599" s="77"/>
      <c r="G599" s="256"/>
      <c r="H599" s="52" t="s">
        <v>0</v>
      </c>
      <c r="I599" s="52" t="s">
        <v>0</v>
      </c>
      <c r="J599" s="52" t="s">
        <v>0</v>
      </c>
      <c r="K599" s="52" t="s">
        <v>0</v>
      </c>
      <c r="L599" s="10"/>
    </row>
    <row r="600" spans="2:12">
      <c r="B600" s="253" t="s">
        <v>2213</v>
      </c>
      <c r="C600" s="254" t="s">
        <v>1576</v>
      </c>
      <c r="D600" s="255" t="s">
        <v>0</v>
      </c>
      <c r="E600" s="255" t="s">
        <v>0</v>
      </c>
      <c r="F600" s="194" t="s">
        <v>58</v>
      </c>
      <c r="G600" s="256" t="s">
        <v>0</v>
      </c>
      <c r="H600" s="52" t="s">
        <v>0</v>
      </c>
      <c r="I600" s="52" t="s">
        <v>0</v>
      </c>
      <c r="J600" s="52" t="s">
        <v>0</v>
      </c>
      <c r="K600" s="52" t="s">
        <v>0</v>
      </c>
      <c r="L600" s="10"/>
    </row>
    <row r="601" spans="2:12">
      <c r="B601" s="253" t="s">
        <v>2213</v>
      </c>
      <c r="C601" s="254" t="s">
        <v>1577</v>
      </c>
      <c r="D601" s="255" t="s">
        <v>0</v>
      </c>
      <c r="E601" s="255" t="s">
        <v>0</v>
      </c>
      <c r="F601" s="77" t="s">
        <v>601</v>
      </c>
      <c r="G601" s="256" t="s">
        <v>4</v>
      </c>
      <c r="H601" s="171"/>
      <c r="I601" s="171"/>
      <c r="J601" s="171"/>
      <c r="K601" s="171"/>
      <c r="L601" s="10"/>
    </row>
    <row r="602" spans="2:12">
      <c r="B602" s="253" t="s">
        <v>2213</v>
      </c>
      <c r="C602" s="254" t="s">
        <v>1578</v>
      </c>
      <c r="D602" s="255" t="s">
        <v>0</v>
      </c>
      <c r="E602" s="255" t="s">
        <v>0</v>
      </c>
      <c r="F602" s="77" t="s">
        <v>602</v>
      </c>
      <c r="G602" s="256" t="s">
        <v>4</v>
      </c>
      <c r="H602" s="171"/>
      <c r="I602" s="171"/>
      <c r="J602" s="171"/>
      <c r="K602" s="171"/>
      <c r="L602" s="10"/>
    </row>
    <row r="603" spans="2:12">
      <c r="B603" s="253" t="s">
        <v>2213</v>
      </c>
      <c r="C603" s="254" t="s">
        <v>1579</v>
      </c>
      <c r="D603" s="255" t="s">
        <v>0</v>
      </c>
      <c r="E603" s="255" t="s">
        <v>0</v>
      </c>
      <c r="F603" s="77" t="s">
        <v>603</v>
      </c>
      <c r="G603" s="256" t="s">
        <v>4</v>
      </c>
      <c r="H603" s="171"/>
      <c r="I603" s="171"/>
      <c r="J603" s="171"/>
      <c r="K603" s="171"/>
      <c r="L603" s="10"/>
    </row>
    <row r="604" spans="2:12">
      <c r="B604" s="253" t="s">
        <v>2213</v>
      </c>
      <c r="C604" s="254" t="s">
        <v>1580</v>
      </c>
      <c r="D604" s="255" t="s">
        <v>0</v>
      </c>
      <c r="E604" s="255" t="s">
        <v>0</v>
      </c>
      <c r="F604" s="77" t="s">
        <v>604</v>
      </c>
      <c r="G604" s="256" t="s">
        <v>0</v>
      </c>
      <c r="H604" s="171"/>
      <c r="I604" s="171"/>
      <c r="J604" s="171"/>
      <c r="K604" s="171"/>
      <c r="L604" s="10"/>
    </row>
    <row r="605" spans="2:12">
      <c r="B605" s="253" t="s">
        <v>2213</v>
      </c>
      <c r="C605" s="254" t="s">
        <v>1581</v>
      </c>
      <c r="D605" s="255" t="s">
        <v>0</v>
      </c>
      <c r="E605" s="255" t="s">
        <v>0</v>
      </c>
      <c r="F605" s="195" t="s">
        <v>605</v>
      </c>
      <c r="G605" s="256" t="s">
        <v>4</v>
      </c>
      <c r="H605" s="171"/>
      <c r="I605" s="171"/>
      <c r="J605" s="171"/>
      <c r="K605" s="171"/>
      <c r="L605" s="10"/>
    </row>
    <row r="606" spans="2:12">
      <c r="B606" s="253" t="s">
        <v>2213</v>
      </c>
      <c r="C606" s="254" t="s">
        <v>1582</v>
      </c>
      <c r="D606" s="255" t="s">
        <v>0</v>
      </c>
      <c r="E606" s="255" t="s">
        <v>0</v>
      </c>
      <c r="F606" s="196" t="s">
        <v>606</v>
      </c>
      <c r="G606" s="256" t="s">
        <v>0</v>
      </c>
      <c r="H606" s="51">
        <f>H601+H602+H603+H605</f>
        <v>0</v>
      </c>
      <c r="I606" s="51">
        <f t="shared" ref="I606:K606" si="69">I601+I602+I603+I605</f>
        <v>0</v>
      </c>
      <c r="J606" s="51">
        <f t="shared" si="69"/>
        <v>0</v>
      </c>
      <c r="K606" s="51">
        <f t="shared" si="69"/>
        <v>0</v>
      </c>
      <c r="L606" s="10"/>
    </row>
    <row r="607" spans="2:12">
      <c r="B607" s="253"/>
      <c r="C607" s="254"/>
      <c r="D607" s="255"/>
      <c r="E607" s="255"/>
      <c r="F607" s="341"/>
      <c r="G607" s="256"/>
      <c r="H607" s="172"/>
      <c r="I607" s="172"/>
      <c r="J607" s="172" t="s">
        <v>0</v>
      </c>
      <c r="K607" s="172" t="s">
        <v>0</v>
      </c>
      <c r="L607" s="10"/>
    </row>
    <row r="608" spans="2:12">
      <c r="B608" s="253"/>
      <c r="C608" s="254"/>
      <c r="D608" s="255" t="s">
        <v>0</v>
      </c>
      <c r="E608" s="255" t="s">
        <v>0</v>
      </c>
      <c r="F608" s="194" t="s">
        <v>59</v>
      </c>
      <c r="G608" s="256" t="s">
        <v>0</v>
      </c>
      <c r="H608" s="172"/>
      <c r="I608" s="172"/>
      <c r="J608" s="172" t="s">
        <v>0</v>
      </c>
      <c r="K608" s="172" t="s">
        <v>0</v>
      </c>
      <c r="L608" s="10"/>
    </row>
    <row r="609" spans="2:12">
      <c r="B609" s="253" t="s">
        <v>2213</v>
      </c>
      <c r="C609" s="254" t="s">
        <v>1583</v>
      </c>
      <c r="D609" s="255" t="s">
        <v>0</v>
      </c>
      <c r="E609" s="255" t="s">
        <v>0</v>
      </c>
      <c r="F609" s="77" t="s">
        <v>607</v>
      </c>
      <c r="G609" s="256" t="s">
        <v>4</v>
      </c>
      <c r="H609" s="180"/>
      <c r="I609" s="180"/>
      <c r="J609" s="181"/>
      <c r="K609" s="181"/>
      <c r="L609" s="252"/>
    </row>
    <row r="610" spans="2:12">
      <c r="B610" s="253" t="s">
        <v>2213</v>
      </c>
      <c r="C610" s="254" t="s">
        <v>1913</v>
      </c>
      <c r="D610" s="255" t="s">
        <v>0</v>
      </c>
      <c r="E610" s="255" t="s">
        <v>0</v>
      </c>
      <c r="F610" s="77" t="s">
        <v>1912</v>
      </c>
      <c r="G610" s="256" t="s">
        <v>4</v>
      </c>
      <c r="H610" s="180">
        <v>100000000</v>
      </c>
      <c r="I610" s="180">
        <v>100000000</v>
      </c>
      <c r="J610" s="180">
        <v>100000000</v>
      </c>
      <c r="K610" s="180">
        <v>100000000</v>
      </c>
      <c r="L610" s="252"/>
    </row>
    <row r="611" spans="2:12">
      <c r="B611" s="253" t="s">
        <v>2213</v>
      </c>
      <c r="C611" s="254" t="s">
        <v>1915</v>
      </c>
      <c r="D611" s="255" t="s">
        <v>0</v>
      </c>
      <c r="E611" s="255" t="s">
        <v>0</v>
      </c>
      <c r="F611" s="77" t="s">
        <v>1914</v>
      </c>
      <c r="G611" s="256"/>
      <c r="H611" s="180">
        <v>100000000</v>
      </c>
      <c r="I611" s="180">
        <v>100000000</v>
      </c>
      <c r="J611" s="180">
        <v>100000000</v>
      </c>
      <c r="K611" s="180">
        <v>100000000</v>
      </c>
      <c r="L611" s="252"/>
    </row>
    <row r="612" spans="2:12">
      <c r="B612" s="253" t="s">
        <v>2213</v>
      </c>
      <c r="C612" s="254" t="s">
        <v>1584</v>
      </c>
      <c r="D612" s="255" t="s">
        <v>0</v>
      </c>
      <c r="E612" s="255" t="s">
        <v>0</v>
      </c>
      <c r="F612" s="77" t="s">
        <v>608</v>
      </c>
      <c r="G612" s="256" t="s">
        <v>4</v>
      </c>
      <c r="H612" s="171"/>
      <c r="I612" s="171"/>
      <c r="J612" s="171"/>
      <c r="K612" s="171"/>
      <c r="L612" s="252"/>
    </row>
    <row r="613" spans="2:12">
      <c r="B613" s="253" t="s">
        <v>2213</v>
      </c>
      <c r="C613" s="254" t="s">
        <v>1585</v>
      </c>
      <c r="D613" s="255" t="s">
        <v>0</v>
      </c>
      <c r="E613" s="255" t="s">
        <v>0</v>
      </c>
      <c r="F613" s="77" t="s">
        <v>609</v>
      </c>
      <c r="G613" s="256" t="s">
        <v>0</v>
      </c>
      <c r="H613" s="171"/>
      <c r="I613" s="171"/>
      <c r="J613" s="171"/>
      <c r="K613" s="171"/>
      <c r="L613" s="252"/>
    </row>
    <row r="614" spans="2:12">
      <c r="B614" s="253" t="s">
        <v>2213</v>
      </c>
      <c r="C614" s="254" t="s">
        <v>1586</v>
      </c>
      <c r="D614" s="255" t="s">
        <v>0</v>
      </c>
      <c r="E614" s="255" t="s">
        <v>0</v>
      </c>
      <c r="F614" s="77" t="s">
        <v>610</v>
      </c>
      <c r="G614" s="256" t="s">
        <v>0</v>
      </c>
      <c r="H614" s="171"/>
      <c r="I614" s="171"/>
      <c r="J614" s="171"/>
      <c r="K614" s="171"/>
      <c r="L614" s="252"/>
    </row>
    <row r="615" spans="2:12">
      <c r="B615" s="253" t="s">
        <v>2213</v>
      </c>
      <c r="C615" s="254" t="s">
        <v>1587</v>
      </c>
      <c r="D615" s="255" t="s">
        <v>0</v>
      </c>
      <c r="E615" s="255" t="s">
        <v>0</v>
      </c>
      <c r="F615" s="195" t="s">
        <v>611</v>
      </c>
      <c r="G615" s="256" t="s">
        <v>0</v>
      </c>
      <c r="H615" s="171"/>
      <c r="I615" s="171"/>
      <c r="J615" s="171"/>
      <c r="K615" s="171"/>
      <c r="L615" s="252"/>
    </row>
    <row r="616" spans="2:12">
      <c r="B616" s="253" t="s">
        <v>2213</v>
      </c>
      <c r="C616" s="254" t="s">
        <v>1588</v>
      </c>
      <c r="D616" s="255" t="s">
        <v>0</v>
      </c>
      <c r="E616" s="255" t="s">
        <v>0</v>
      </c>
      <c r="F616" s="195" t="s">
        <v>715</v>
      </c>
      <c r="G616" s="256"/>
      <c r="H616" s="171"/>
      <c r="I616" s="171"/>
      <c r="J616" s="171"/>
      <c r="K616" s="171"/>
      <c r="L616" s="252"/>
    </row>
    <row r="617" spans="2:12">
      <c r="B617" s="253" t="s">
        <v>2213</v>
      </c>
      <c r="C617" s="254" t="s">
        <v>1941</v>
      </c>
      <c r="D617" s="255" t="s">
        <v>0</v>
      </c>
      <c r="E617" s="255" t="s">
        <v>0</v>
      </c>
      <c r="F617" s="195" t="s">
        <v>1916</v>
      </c>
      <c r="G617" s="256"/>
      <c r="H617" s="171">
        <v>100000000</v>
      </c>
      <c r="I617" s="171">
        <v>100000000</v>
      </c>
      <c r="J617" s="171">
        <v>100000000</v>
      </c>
      <c r="K617" s="171">
        <v>100000000</v>
      </c>
      <c r="L617" s="252"/>
    </row>
    <row r="618" spans="2:12">
      <c r="B618" s="253" t="s">
        <v>2213</v>
      </c>
      <c r="C618" s="254" t="s">
        <v>1942</v>
      </c>
      <c r="D618" s="255" t="s">
        <v>0</v>
      </c>
      <c r="E618" s="255" t="s">
        <v>0</v>
      </c>
      <c r="F618" s="195" t="s">
        <v>1917</v>
      </c>
      <c r="G618" s="256"/>
      <c r="H618" s="171">
        <v>100000000</v>
      </c>
      <c r="I618" s="171">
        <v>100000000</v>
      </c>
      <c r="J618" s="171">
        <v>100000000</v>
      </c>
      <c r="K618" s="171">
        <v>100000000</v>
      </c>
      <c r="L618" s="252"/>
    </row>
    <row r="619" spans="2:12">
      <c r="B619" s="253" t="s">
        <v>2213</v>
      </c>
      <c r="C619" s="254" t="s">
        <v>1943</v>
      </c>
      <c r="D619" s="255" t="s">
        <v>0</v>
      </c>
      <c r="E619" s="255" t="s">
        <v>0</v>
      </c>
      <c r="F619" s="195" t="s">
        <v>1918</v>
      </c>
      <c r="G619" s="256"/>
      <c r="H619" s="171">
        <v>100000000</v>
      </c>
      <c r="I619" s="171">
        <v>100000000</v>
      </c>
      <c r="J619" s="171">
        <v>100000000</v>
      </c>
      <c r="K619" s="171">
        <v>100000000</v>
      </c>
      <c r="L619" s="252"/>
    </row>
    <row r="620" spans="2:12">
      <c r="B620" s="253" t="s">
        <v>2213</v>
      </c>
      <c r="C620" s="254" t="s">
        <v>2016</v>
      </c>
      <c r="D620" s="249" t="s">
        <v>0</v>
      </c>
      <c r="E620" s="249"/>
      <c r="F620" s="182" t="s">
        <v>2017</v>
      </c>
      <c r="G620" s="250"/>
      <c r="H620" s="171">
        <v>2000000</v>
      </c>
      <c r="I620" s="171">
        <v>2000000</v>
      </c>
      <c r="J620" s="171">
        <v>2000000</v>
      </c>
      <c r="K620" s="171">
        <v>2000000</v>
      </c>
      <c r="L620" s="252"/>
    </row>
    <row r="621" spans="2:12">
      <c r="B621" s="253" t="s">
        <v>2213</v>
      </c>
      <c r="C621" s="254" t="s">
        <v>2019</v>
      </c>
      <c r="D621" s="249" t="s">
        <v>0</v>
      </c>
      <c r="E621" s="249"/>
      <c r="F621" s="182" t="s">
        <v>2018</v>
      </c>
      <c r="G621" s="250"/>
      <c r="H621" s="171">
        <v>2000000</v>
      </c>
      <c r="I621" s="171">
        <v>20000000</v>
      </c>
      <c r="J621" s="171">
        <v>2000000</v>
      </c>
      <c r="K621" s="171">
        <v>20000000</v>
      </c>
      <c r="L621" s="252"/>
    </row>
    <row r="622" spans="2:12">
      <c r="B622" s="253"/>
      <c r="C622" s="254"/>
      <c r="D622" s="255" t="s">
        <v>0</v>
      </c>
      <c r="E622" s="255" t="s">
        <v>0</v>
      </c>
      <c r="F622" s="196"/>
      <c r="G622" s="256" t="s">
        <v>0</v>
      </c>
      <c r="H622" s="52"/>
      <c r="I622" s="52"/>
      <c r="J622" s="52" t="s">
        <v>0</v>
      </c>
      <c r="K622" s="52" t="s">
        <v>0</v>
      </c>
      <c r="L622" s="252"/>
    </row>
    <row r="623" spans="2:12">
      <c r="B623" s="253"/>
      <c r="C623" s="254"/>
      <c r="D623" s="255"/>
      <c r="E623" s="255"/>
      <c r="F623" s="196" t="s">
        <v>1848</v>
      </c>
      <c r="G623" s="256"/>
      <c r="H623" s="52"/>
      <c r="I623" s="52"/>
      <c r="J623" s="52" t="s">
        <v>0</v>
      </c>
      <c r="K623" s="52" t="s">
        <v>0</v>
      </c>
      <c r="L623" s="252"/>
    </row>
    <row r="624" spans="2:12">
      <c r="B624" s="253"/>
      <c r="C624" s="254"/>
      <c r="D624" s="255" t="s">
        <v>0</v>
      </c>
      <c r="E624" s="255" t="s">
        <v>0</v>
      </c>
      <c r="F624" s="194" t="s">
        <v>60</v>
      </c>
      <c r="G624" s="256" t="s">
        <v>0</v>
      </c>
      <c r="H624" s="52"/>
      <c r="I624" s="52"/>
      <c r="J624" s="52" t="s">
        <v>0</v>
      </c>
      <c r="K624" s="52" t="s">
        <v>0</v>
      </c>
      <c r="L624" s="10"/>
    </row>
    <row r="625" spans="2:12">
      <c r="B625" s="253" t="s">
        <v>2213</v>
      </c>
      <c r="C625" s="254" t="s">
        <v>1589</v>
      </c>
      <c r="D625" s="255" t="s">
        <v>0</v>
      </c>
      <c r="E625" s="255" t="s">
        <v>0</v>
      </c>
      <c r="F625" s="77" t="s">
        <v>612</v>
      </c>
      <c r="G625" s="256" t="s">
        <v>4</v>
      </c>
      <c r="H625" s="171">
        <v>14123663000</v>
      </c>
      <c r="I625" s="171">
        <v>13105089000</v>
      </c>
      <c r="J625" s="171">
        <v>14123663000</v>
      </c>
      <c r="K625" s="171">
        <v>13105089000</v>
      </c>
      <c r="L625" s="10"/>
    </row>
    <row r="626" spans="2:12">
      <c r="B626" s="253" t="s">
        <v>2213</v>
      </c>
      <c r="C626" s="254" t="s">
        <v>1590</v>
      </c>
      <c r="D626" s="255" t="s">
        <v>0</v>
      </c>
      <c r="E626" s="255" t="s">
        <v>0</v>
      </c>
      <c r="F626" s="77" t="s">
        <v>613</v>
      </c>
      <c r="G626" s="256" t="s">
        <v>4</v>
      </c>
      <c r="H626" s="171"/>
      <c r="I626" s="171"/>
      <c r="J626" s="171"/>
      <c r="K626" s="171"/>
      <c r="L626" s="10"/>
    </row>
    <row r="627" spans="2:12">
      <c r="B627" s="253" t="s">
        <v>2213</v>
      </c>
      <c r="C627" s="254" t="s">
        <v>1591</v>
      </c>
      <c r="D627" s="255" t="s">
        <v>0</v>
      </c>
      <c r="E627" s="255" t="s">
        <v>0</v>
      </c>
      <c r="F627" s="77" t="s">
        <v>614</v>
      </c>
      <c r="G627" s="256" t="s">
        <v>4</v>
      </c>
      <c r="H627" s="171">
        <v>2556484000</v>
      </c>
      <c r="I627" s="171">
        <v>2026169000</v>
      </c>
      <c r="J627" s="171">
        <v>2556484000</v>
      </c>
      <c r="K627" s="171">
        <v>2026169000</v>
      </c>
      <c r="L627" s="10"/>
    </row>
    <row r="628" spans="2:12">
      <c r="B628" s="253" t="s">
        <v>2213</v>
      </c>
      <c r="C628" s="254" t="s">
        <v>1592</v>
      </c>
      <c r="D628" s="255" t="s">
        <v>0</v>
      </c>
      <c r="E628" s="255" t="s">
        <v>0</v>
      </c>
      <c r="F628" s="194" t="s">
        <v>644</v>
      </c>
      <c r="G628" s="256" t="s">
        <v>4</v>
      </c>
      <c r="H628" s="51">
        <f>H625+H626+H627</f>
        <v>16680147000</v>
      </c>
      <c r="I628" s="51">
        <f t="shared" ref="I628:K628" si="70">I625+I626+I627</f>
        <v>15131258000</v>
      </c>
      <c r="J628" s="51">
        <f t="shared" si="70"/>
        <v>16680147000</v>
      </c>
      <c r="K628" s="51">
        <f t="shared" si="70"/>
        <v>15131258000</v>
      </c>
      <c r="L628" s="10"/>
    </row>
    <row r="629" spans="2:12">
      <c r="B629" s="253"/>
      <c r="C629" s="254"/>
      <c r="D629" s="255"/>
      <c r="E629" s="255"/>
      <c r="F629" s="194" t="s">
        <v>2133</v>
      </c>
      <c r="G629" s="256" t="s">
        <v>0</v>
      </c>
      <c r="H629" s="52"/>
      <c r="I629" s="52"/>
      <c r="J629" s="52" t="s">
        <v>0</v>
      </c>
      <c r="K629" s="52" t="s">
        <v>0</v>
      </c>
      <c r="L629" s="10"/>
    </row>
    <row r="630" spans="2:12">
      <c r="B630" s="253" t="s">
        <v>2213</v>
      </c>
      <c r="C630" s="254" t="s">
        <v>1593</v>
      </c>
      <c r="D630" s="255" t="s">
        <v>0</v>
      </c>
      <c r="E630" s="255" t="s">
        <v>0</v>
      </c>
      <c r="F630" s="77" t="s">
        <v>2136</v>
      </c>
      <c r="G630" s="256" t="s">
        <v>4</v>
      </c>
      <c r="H630" s="349">
        <v>1000</v>
      </c>
      <c r="I630" s="171"/>
      <c r="J630" s="349">
        <v>1000</v>
      </c>
      <c r="K630" s="171"/>
      <c r="L630" s="10"/>
    </row>
    <row r="631" spans="2:12">
      <c r="B631" s="253" t="s">
        <v>2213</v>
      </c>
      <c r="C631" s="254" t="s">
        <v>1594</v>
      </c>
      <c r="D631" s="255" t="s">
        <v>0</v>
      </c>
      <c r="E631" s="255"/>
      <c r="F631" s="77" t="s">
        <v>2137</v>
      </c>
      <c r="G631" s="256" t="s">
        <v>4</v>
      </c>
      <c r="H631" s="349">
        <v>2000</v>
      </c>
      <c r="I631" s="171"/>
      <c r="J631" s="349">
        <v>2000</v>
      </c>
      <c r="K631" s="171"/>
      <c r="L631" s="10"/>
    </row>
    <row r="632" spans="2:12">
      <c r="B632" s="253" t="s">
        <v>2213</v>
      </c>
      <c r="C632" s="254" t="s">
        <v>2134</v>
      </c>
      <c r="D632" s="255" t="s">
        <v>0</v>
      </c>
      <c r="E632" s="255" t="s">
        <v>0</v>
      </c>
      <c r="F632" s="194" t="s">
        <v>2135</v>
      </c>
      <c r="G632" s="256" t="s">
        <v>4</v>
      </c>
      <c r="H632" s="283">
        <f>H630+H631</f>
        <v>3000</v>
      </c>
      <c r="I632" s="283">
        <f t="shared" ref="I632:K632" si="71">I630+I631</f>
        <v>0</v>
      </c>
      <c r="J632" s="283">
        <f t="shared" si="71"/>
        <v>3000</v>
      </c>
      <c r="K632" s="283">
        <f t="shared" si="71"/>
        <v>0</v>
      </c>
      <c r="L632" s="10"/>
    </row>
    <row r="633" spans="2:12">
      <c r="B633" s="253" t="s">
        <v>2213</v>
      </c>
      <c r="C633" s="254" t="s">
        <v>1595</v>
      </c>
      <c r="D633" s="255" t="s">
        <v>0</v>
      </c>
      <c r="E633" s="255" t="s">
        <v>0</v>
      </c>
      <c r="F633" s="77" t="s">
        <v>615</v>
      </c>
      <c r="G633" s="256" t="s">
        <v>4</v>
      </c>
      <c r="H633" s="171"/>
      <c r="I633" s="171"/>
      <c r="J633" s="171"/>
      <c r="K633" s="171"/>
      <c r="L633" s="10"/>
    </row>
    <row r="634" spans="2:12">
      <c r="B634" s="253" t="s">
        <v>2213</v>
      </c>
      <c r="C634" s="254" t="s">
        <v>1596</v>
      </c>
      <c r="D634" s="255" t="s">
        <v>0</v>
      </c>
      <c r="E634" s="255" t="s">
        <v>0</v>
      </c>
      <c r="F634" s="77" t="s">
        <v>616</v>
      </c>
      <c r="G634" s="256" t="s">
        <v>4</v>
      </c>
      <c r="H634" s="171"/>
      <c r="I634" s="171"/>
      <c r="J634" s="171"/>
      <c r="K634" s="171"/>
      <c r="L634" s="10"/>
    </row>
    <row r="635" spans="2:12">
      <c r="B635" s="253" t="s">
        <v>2213</v>
      </c>
      <c r="C635" s="254" t="s">
        <v>2138</v>
      </c>
      <c r="D635" s="255" t="s">
        <v>0</v>
      </c>
      <c r="E635" s="255"/>
      <c r="F635" s="77" t="s">
        <v>2139</v>
      </c>
      <c r="G635" s="256" t="s">
        <v>4</v>
      </c>
      <c r="H635" s="349">
        <v>3000</v>
      </c>
      <c r="I635" s="171">
        <v>5000</v>
      </c>
      <c r="J635" s="349">
        <v>3000</v>
      </c>
      <c r="K635" s="171">
        <v>5000</v>
      </c>
      <c r="L635" s="10"/>
    </row>
    <row r="636" spans="2:12">
      <c r="B636" s="253" t="s">
        <v>2213</v>
      </c>
      <c r="C636" s="254" t="s">
        <v>1597</v>
      </c>
      <c r="D636" s="255" t="s">
        <v>0</v>
      </c>
      <c r="E636" s="255" t="s">
        <v>0</v>
      </c>
      <c r="F636" s="77" t="s">
        <v>617</v>
      </c>
      <c r="G636" s="256" t="s">
        <v>4</v>
      </c>
      <c r="H636" s="171">
        <v>1973398000</v>
      </c>
      <c r="I636" s="171">
        <v>1254357000</v>
      </c>
      <c r="J636" s="171">
        <v>1973398000</v>
      </c>
      <c r="K636" s="171">
        <v>1254357000</v>
      </c>
      <c r="L636" s="10"/>
    </row>
    <row r="637" spans="2:12">
      <c r="B637" s="253" t="s">
        <v>2213</v>
      </c>
      <c r="C637" s="254" t="s">
        <v>1598</v>
      </c>
      <c r="D637" s="255" t="s">
        <v>0</v>
      </c>
      <c r="E637" s="255" t="s">
        <v>0</v>
      </c>
      <c r="F637" s="194" t="s">
        <v>645</v>
      </c>
      <c r="G637" s="256" t="s">
        <v>4</v>
      </c>
      <c r="H637" s="283">
        <f>+H628+SUM(H632:H636)</f>
        <v>18653551000</v>
      </c>
      <c r="I637" s="283">
        <f t="shared" ref="I637:K637" si="72">+I628+SUM(I632:I636)</f>
        <v>16385620000</v>
      </c>
      <c r="J637" s="283">
        <f t="shared" si="72"/>
        <v>18653551000</v>
      </c>
      <c r="K637" s="283">
        <f t="shared" si="72"/>
        <v>16385620000</v>
      </c>
      <c r="L637" s="10"/>
    </row>
    <row r="638" spans="2:12">
      <c r="B638" s="253"/>
      <c r="C638" s="254"/>
      <c r="D638" s="255"/>
      <c r="E638" s="255"/>
      <c r="F638" s="194"/>
      <c r="G638" s="256"/>
      <c r="H638" s="172" t="s">
        <v>0</v>
      </c>
      <c r="I638" s="172" t="s">
        <v>0</v>
      </c>
      <c r="J638" s="172" t="s">
        <v>0</v>
      </c>
      <c r="K638" s="172" t="s">
        <v>0</v>
      </c>
      <c r="L638" s="10"/>
    </row>
    <row r="639" spans="2:12">
      <c r="B639" s="253"/>
      <c r="C639" s="254"/>
      <c r="D639" s="255" t="s">
        <v>0</v>
      </c>
      <c r="E639" s="255" t="s">
        <v>0</v>
      </c>
      <c r="F639" s="194" t="s">
        <v>61</v>
      </c>
      <c r="G639" s="256" t="s">
        <v>0</v>
      </c>
      <c r="H639" s="172" t="s">
        <v>0</v>
      </c>
      <c r="I639" s="172" t="s">
        <v>0</v>
      </c>
      <c r="J639" s="172" t="s">
        <v>0</v>
      </c>
      <c r="K639" s="172" t="s">
        <v>0</v>
      </c>
      <c r="L639" s="10"/>
    </row>
    <row r="640" spans="2:12">
      <c r="B640" s="253" t="s">
        <v>2213</v>
      </c>
      <c r="C640" s="254" t="s">
        <v>1599</v>
      </c>
      <c r="D640" s="255" t="s">
        <v>0</v>
      </c>
      <c r="E640" s="255" t="s">
        <v>0</v>
      </c>
      <c r="F640" s="77" t="s">
        <v>618</v>
      </c>
      <c r="G640" s="256" t="s">
        <v>4</v>
      </c>
      <c r="H640" s="171">
        <v>600645000</v>
      </c>
      <c r="I640" s="171">
        <v>715082000</v>
      </c>
      <c r="J640" s="171">
        <v>600645000</v>
      </c>
      <c r="K640" s="171">
        <v>715082000</v>
      </c>
      <c r="L640" s="10"/>
    </row>
    <row r="641" spans="2:12">
      <c r="B641" s="253" t="s">
        <v>2213</v>
      </c>
      <c r="C641" s="254" t="s">
        <v>1600</v>
      </c>
      <c r="D641" s="255" t="s">
        <v>0</v>
      </c>
      <c r="E641" s="255" t="s">
        <v>0</v>
      </c>
      <c r="F641" s="77" t="s">
        <v>619</v>
      </c>
      <c r="G641" s="256" t="s">
        <v>4</v>
      </c>
      <c r="H641" s="171">
        <v>2402568000</v>
      </c>
      <c r="I641" s="171">
        <v>2873720000</v>
      </c>
      <c r="J641" s="171">
        <v>2402568000</v>
      </c>
      <c r="K641" s="171">
        <v>2873720000</v>
      </c>
      <c r="L641" s="10"/>
    </row>
    <row r="642" spans="2:12">
      <c r="B642" s="253" t="s">
        <v>2213</v>
      </c>
      <c r="C642" s="254" t="s">
        <v>1601</v>
      </c>
      <c r="D642" s="255" t="s">
        <v>0</v>
      </c>
      <c r="E642" s="255" t="s">
        <v>0</v>
      </c>
      <c r="F642" s="194" t="s">
        <v>620</v>
      </c>
      <c r="G642" s="256" t="s">
        <v>4</v>
      </c>
      <c r="H642" s="283">
        <f>H640+H641</f>
        <v>3003213000</v>
      </c>
      <c r="I642" s="283">
        <f>I640+I641</f>
        <v>3588802000</v>
      </c>
      <c r="J642" s="284">
        <f t="shared" ref="J642" si="73">J640+J641</f>
        <v>3003213000</v>
      </c>
      <c r="K642" s="284">
        <f>K640+K641</f>
        <v>3588802000</v>
      </c>
      <c r="L642" s="10"/>
    </row>
    <row r="643" spans="2:12" ht="22.5">
      <c r="B643" s="253" t="s">
        <v>2213</v>
      </c>
      <c r="C643" s="254" t="s">
        <v>1602</v>
      </c>
      <c r="D643" s="255" t="s">
        <v>0</v>
      </c>
      <c r="E643" s="255" t="s">
        <v>0</v>
      </c>
      <c r="F643" s="195" t="s">
        <v>621</v>
      </c>
      <c r="G643" s="256" t="s">
        <v>4</v>
      </c>
      <c r="H643" s="287"/>
      <c r="I643" s="180"/>
      <c r="J643" s="181"/>
      <c r="K643" s="181"/>
      <c r="L643" s="10"/>
    </row>
    <row r="644" spans="2:12" ht="22.5">
      <c r="B644" s="253" t="s">
        <v>2213</v>
      </c>
      <c r="C644" s="254" t="s">
        <v>1603</v>
      </c>
      <c r="D644" s="255" t="s">
        <v>0</v>
      </c>
      <c r="E644" s="255" t="s">
        <v>0</v>
      </c>
      <c r="F644" s="196" t="s">
        <v>716</v>
      </c>
      <c r="G644" s="256" t="s">
        <v>4</v>
      </c>
      <c r="H644" s="51">
        <f>H643+H642</f>
        <v>3003213000</v>
      </c>
      <c r="I644" s="51">
        <f t="shared" ref="I644:K644" si="74">I643+I642</f>
        <v>3588802000</v>
      </c>
      <c r="J644" s="51">
        <f t="shared" si="74"/>
        <v>3003213000</v>
      </c>
      <c r="K644" s="51">
        <f t="shared" si="74"/>
        <v>3588802000</v>
      </c>
      <c r="L644" s="10"/>
    </row>
    <row r="645" spans="2:12">
      <c r="B645" s="253" t="s">
        <v>2213</v>
      </c>
      <c r="C645" s="254" t="s">
        <v>1604</v>
      </c>
      <c r="D645" s="255" t="s">
        <v>0</v>
      </c>
      <c r="E645" s="255" t="s">
        <v>0</v>
      </c>
      <c r="F645" s="195" t="s">
        <v>622</v>
      </c>
      <c r="G645" s="256" t="s">
        <v>4</v>
      </c>
      <c r="H645" s="171"/>
      <c r="I645" s="171"/>
      <c r="J645" s="171"/>
      <c r="K645" s="171"/>
      <c r="L645" s="10"/>
    </row>
    <row r="646" spans="2:12">
      <c r="B646" s="253" t="s">
        <v>2213</v>
      </c>
      <c r="C646" s="254" t="s">
        <v>1605</v>
      </c>
      <c r="D646" s="255" t="s">
        <v>0</v>
      </c>
      <c r="E646" s="255" t="s">
        <v>0</v>
      </c>
      <c r="F646" s="197" t="s">
        <v>1148</v>
      </c>
      <c r="G646" s="256" t="s">
        <v>4</v>
      </c>
      <c r="H646" s="171"/>
      <c r="I646" s="171"/>
      <c r="J646" s="171"/>
      <c r="K646" s="171"/>
      <c r="L646" s="10"/>
    </row>
    <row r="647" spans="2:12">
      <c r="B647" s="253" t="s">
        <v>2213</v>
      </c>
      <c r="C647" s="254" t="s">
        <v>1606</v>
      </c>
      <c r="D647" s="255" t="s">
        <v>0</v>
      </c>
      <c r="E647" s="255" t="s">
        <v>0</v>
      </c>
      <c r="F647" s="77" t="s">
        <v>623</v>
      </c>
      <c r="G647" s="256" t="s">
        <v>4</v>
      </c>
      <c r="H647" s="171"/>
      <c r="I647" s="171"/>
      <c r="J647" s="181"/>
      <c r="K647" s="181"/>
      <c r="L647" s="10"/>
    </row>
    <row r="648" spans="2:12">
      <c r="B648" s="253" t="s">
        <v>2213</v>
      </c>
      <c r="C648" s="254" t="s">
        <v>1607</v>
      </c>
      <c r="D648" s="255" t="s">
        <v>0</v>
      </c>
      <c r="E648" s="255" t="s">
        <v>0</v>
      </c>
      <c r="F648" s="194" t="s">
        <v>624</v>
      </c>
      <c r="G648" s="256" t="s">
        <v>0</v>
      </c>
      <c r="H648" s="51">
        <f>H609+H610+H612+H637+H644+H645+H647</f>
        <v>21756764000</v>
      </c>
      <c r="I648" s="51">
        <f t="shared" ref="I648:K648" si="75">I609+I610+I612+I637+I642+I643+I645+I647</f>
        <v>20074422000</v>
      </c>
      <c r="J648" s="51">
        <f t="shared" si="75"/>
        <v>21756764000</v>
      </c>
      <c r="K648" s="51">
        <f t="shared" si="75"/>
        <v>20074422000</v>
      </c>
      <c r="L648" s="10"/>
    </row>
    <row r="649" spans="2:12">
      <c r="B649" s="253"/>
      <c r="C649" s="254"/>
      <c r="D649" s="255" t="s">
        <v>0</v>
      </c>
      <c r="E649" s="255" t="s">
        <v>0</v>
      </c>
      <c r="F649" s="77"/>
      <c r="G649" s="256" t="s">
        <v>0</v>
      </c>
      <c r="H649" s="30"/>
      <c r="I649" s="30"/>
      <c r="J649" s="30"/>
      <c r="K649" s="30"/>
      <c r="L649" s="10"/>
    </row>
    <row r="650" spans="2:12">
      <c r="B650" s="253"/>
      <c r="C650" s="254"/>
      <c r="D650" s="255"/>
      <c r="E650" s="255"/>
      <c r="F650" s="336" t="s">
        <v>2140</v>
      </c>
      <c r="G650" s="256"/>
      <c r="H650" s="30"/>
      <c r="I650" s="30"/>
      <c r="J650" s="30"/>
      <c r="K650" s="30"/>
      <c r="L650" s="10"/>
    </row>
    <row r="651" spans="2:12">
      <c r="B651" s="253"/>
      <c r="C651" s="254"/>
      <c r="D651" s="255"/>
      <c r="E651" s="255"/>
      <c r="F651" s="77"/>
      <c r="G651" s="256"/>
      <c r="H651" s="30"/>
      <c r="I651" s="30"/>
      <c r="J651" s="30"/>
      <c r="K651" s="30"/>
      <c r="L651" s="10"/>
    </row>
    <row r="652" spans="2:12">
      <c r="B652" s="253"/>
      <c r="C652" s="254"/>
      <c r="D652" s="255"/>
      <c r="E652" s="255"/>
      <c r="F652" s="194" t="s">
        <v>62</v>
      </c>
      <c r="G652" s="256"/>
      <c r="H652" s="52" t="s">
        <v>0</v>
      </c>
      <c r="I652" s="52" t="s">
        <v>0</v>
      </c>
      <c r="J652" s="52" t="s">
        <v>0</v>
      </c>
      <c r="K652" s="52" t="s">
        <v>0</v>
      </c>
      <c r="L652" s="10"/>
    </row>
    <row r="653" spans="2:12">
      <c r="B653" s="253"/>
      <c r="C653" s="254"/>
      <c r="D653" s="255" t="s">
        <v>0</v>
      </c>
      <c r="E653" s="255" t="s">
        <v>0</v>
      </c>
      <c r="F653" s="194" t="s">
        <v>63</v>
      </c>
      <c r="G653" s="256" t="s">
        <v>0</v>
      </c>
      <c r="H653" s="52" t="s">
        <v>0</v>
      </c>
      <c r="I653" s="52" t="s">
        <v>0</v>
      </c>
      <c r="J653" s="52" t="s">
        <v>0</v>
      </c>
      <c r="K653" s="52" t="s">
        <v>0</v>
      </c>
      <c r="L653" s="10"/>
    </row>
    <row r="654" spans="2:12">
      <c r="B654" s="253" t="s">
        <v>2213</v>
      </c>
      <c r="C654" s="254" t="s">
        <v>1608</v>
      </c>
      <c r="D654" s="255" t="s">
        <v>0</v>
      </c>
      <c r="E654" s="255" t="s">
        <v>0</v>
      </c>
      <c r="F654" s="77" t="s">
        <v>625</v>
      </c>
      <c r="G654" s="256" t="s">
        <v>4</v>
      </c>
      <c r="H654" s="316"/>
      <c r="I654" s="316"/>
      <c r="J654" s="316"/>
      <c r="K654" s="316"/>
      <c r="L654" s="10"/>
    </row>
    <row r="655" spans="2:12">
      <c r="B655" s="253" t="s">
        <v>2213</v>
      </c>
      <c r="C655" s="254" t="s">
        <v>1609</v>
      </c>
      <c r="D655" s="255" t="s">
        <v>0</v>
      </c>
      <c r="E655" s="255" t="s">
        <v>0</v>
      </c>
      <c r="F655" s="77" t="s">
        <v>626</v>
      </c>
      <c r="G655" s="256" t="s">
        <v>4</v>
      </c>
      <c r="H655" s="316"/>
      <c r="I655" s="316"/>
      <c r="J655" s="316"/>
      <c r="K655" s="316"/>
      <c r="L655" s="10"/>
    </row>
    <row r="656" spans="2:12">
      <c r="B656" s="253" t="s">
        <v>2213</v>
      </c>
      <c r="C656" s="254" t="s">
        <v>1610</v>
      </c>
      <c r="D656" s="255" t="s">
        <v>0</v>
      </c>
      <c r="E656" s="255" t="s">
        <v>0</v>
      </c>
      <c r="F656" s="194" t="s">
        <v>652</v>
      </c>
      <c r="G656" s="256" t="s">
        <v>0</v>
      </c>
      <c r="H656" s="317">
        <f>H654+H655</f>
        <v>0</v>
      </c>
      <c r="I656" s="317">
        <f t="shared" ref="I656:K656" si="76">I654+I655</f>
        <v>0</v>
      </c>
      <c r="J656" s="317">
        <f t="shared" si="76"/>
        <v>0</v>
      </c>
      <c r="K656" s="317">
        <f t="shared" si="76"/>
        <v>0</v>
      </c>
      <c r="L656" s="10"/>
    </row>
    <row r="657" spans="2:12">
      <c r="B657" s="253"/>
      <c r="C657" s="254"/>
      <c r="D657" s="255"/>
      <c r="E657" s="255"/>
      <c r="F657" s="77"/>
      <c r="G657" s="256"/>
      <c r="H657" s="173"/>
      <c r="I657" s="173"/>
      <c r="J657" s="173"/>
      <c r="K657" s="173"/>
      <c r="L657" s="10"/>
    </row>
    <row r="658" spans="2:12">
      <c r="B658" s="253"/>
      <c r="C658" s="254"/>
      <c r="D658" s="255" t="s">
        <v>0</v>
      </c>
      <c r="E658" s="255" t="s">
        <v>0</v>
      </c>
      <c r="F658" s="196" t="s">
        <v>64</v>
      </c>
      <c r="G658" s="256" t="s">
        <v>0</v>
      </c>
      <c r="H658" s="173"/>
      <c r="I658" s="173"/>
      <c r="J658" s="173"/>
      <c r="K658" s="173"/>
      <c r="L658" s="10"/>
    </row>
    <row r="659" spans="2:12" ht="22.5">
      <c r="B659" s="253" t="s">
        <v>2213</v>
      </c>
      <c r="C659" s="254" t="s">
        <v>1611</v>
      </c>
      <c r="D659" s="255" t="s">
        <v>0</v>
      </c>
      <c r="E659" s="255" t="s">
        <v>0</v>
      </c>
      <c r="F659" s="195" t="s">
        <v>627</v>
      </c>
      <c r="G659" s="256" t="s">
        <v>0</v>
      </c>
      <c r="H659" s="171"/>
      <c r="I659" s="171"/>
      <c r="J659" s="171"/>
      <c r="K659" s="171"/>
      <c r="L659" s="10"/>
    </row>
    <row r="660" spans="2:12" ht="22.5">
      <c r="B660" s="253"/>
      <c r="C660" s="254"/>
      <c r="D660" s="255" t="s">
        <v>0</v>
      </c>
      <c r="E660" s="255"/>
      <c r="F660" s="196" t="s">
        <v>2157</v>
      </c>
      <c r="G660" s="256"/>
      <c r="H660" s="173"/>
      <c r="I660" s="173"/>
      <c r="J660" s="173"/>
      <c r="K660" s="173"/>
      <c r="L660" s="10"/>
    </row>
    <row r="661" spans="2:12">
      <c r="B661" s="253" t="s">
        <v>2213</v>
      </c>
      <c r="C661" s="254" t="s">
        <v>2158</v>
      </c>
      <c r="D661" s="255" t="s">
        <v>0</v>
      </c>
      <c r="E661" s="255"/>
      <c r="F661" s="195" t="s">
        <v>2169</v>
      </c>
      <c r="G661" s="256"/>
      <c r="H661" s="171">
        <v>1000</v>
      </c>
      <c r="I661" s="171">
        <v>3000</v>
      </c>
      <c r="J661" s="171">
        <v>1000</v>
      </c>
      <c r="K661" s="171">
        <v>3000</v>
      </c>
      <c r="L661" s="10"/>
    </row>
    <row r="662" spans="2:12" ht="22.5">
      <c r="B662" s="253" t="s">
        <v>2213</v>
      </c>
      <c r="C662" s="254" t="s">
        <v>2159</v>
      </c>
      <c r="D662" s="255" t="s">
        <v>0</v>
      </c>
      <c r="E662" s="255"/>
      <c r="F662" s="195" t="s">
        <v>2170</v>
      </c>
      <c r="G662" s="256"/>
      <c r="H662" s="171">
        <v>2000</v>
      </c>
      <c r="I662" s="171">
        <v>4000</v>
      </c>
      <c r="J662" s="171">
        <v>2000</v>
      </c>
      <c r="K662" s="171">
        <v>4000</v>
      </c>
      <c r="L662" s="10"/>
    </row>
    <row r="663" spans="2:12" ht="22.5">
      <c r="B663" s="253" t="s">
        <v>2213</v>
      </c>
      <c r="C663" s="254" t="s">
        <v>2160</v>
      </c>
      <c r="D663" s="255" t="s">
        <v>0</v>
      </c>
      <c r="E663" s="255"/>
      <c r="F663" s="196" t="s">
        <v>2171</v>
      </c>
      <c r="G663" s="256"/>
      <c r="H663" s="273">
        <f t="shared" ref="H663:K663" si="77">H661+H662</f>
        <v>3000</v>
      </c>
      <c r="I663" s="273">
        <f t="shared" si="77"/>
        <v>7000</v>
      </c>
      <c r="J663" s="273">
        <f t="shared" si="77"/>
        <v>3000</v>
      </c>
      <c r="K663" s="273">
        <f t="shared" si="77"/>
        <v>7000</v>
      </c>
      <c r="L663" s="10"/>
    </row>
    <row r="664" spans="2:12">
      <c r="B664" s="253"/>
      <c r="C664" s="254"/>
      <c r="D664" s="255"/>
      <c r="E664" s="255"/>
      <c r="F664" s="77"/>
      <c r="G664" s="256"/>
      <c r="H664" s="173"/>
      <c r="I664" s="173"/>
      <c r="J664" s="173"/>
      <c r="K664" s="173"/>
      <c r="L664" s="10"/>
    </row>
    <row r="665" spans="2:12" ht="22.5">
      <c r="B665" s="253"/>
      <c r="C665" s="254"/>
      <c r="D665" s="255" t="s">
        <v>0</v>
      </c>
      <c r="E665" s="255"/>
      <c r="F665" s="196" t="s">
        <v>2161</v>
      </c>
      <c r="G665" s="256"/>
      <c r="H665" s="173"/>
      <c r="I665" s="173"/>
      <c r="J665" s="173"/>
      <c r="K665" s="173"/>
      <c r="L665" s="10"/>
    </row>
    <row r="666" spans="2:12">
      <c r="B666" s="253" t="s">
        <v>2213</v>
      </c>
      <c r="C666" s="254" t="s">
        <v>2162</v>
      </c>
      <c r="D666" s="255" t="s">
        <v>0</v>
      </c>
      <c r="E666" s="255"/>
      <c r="F666" s="195" t="s">
        <v>2172</v>
      </c>
      <c r="G666" s="256"/>
      <c r="H666" s="171">
        <v>846852000</v>
      </c>
      <c r="I666" s="171">
        <v>5595301000</v>
      </c>
      <c r="J666" s="171">
        <v>846852000</v>
      </c>
      <c r="K666" s="171">
        <v>5595301000</v>
      </c>
      <c r="L666" s="10"/>
    </row>
    <row r="667" spans="2:12" ht="22.5">
      <c r="B667" s="253" t="s">
        <v>2213</v>
      </c>
      <c r="C667" s="254" t="s">
        <v>2163</v>
      </c>
      <c r="D667" s="255" t="s">
        <v>0</v>
      </c>
      <c r="E667" s="255"/>
      <c r="F667" s="195" t="s">
        <v>2173</v>
      </c>
      <c r="G667" s="256"/>
      <c r="H667" s="171">
        <v>6000</v>
      </c>
      <c r="I667" s="171">
        <v>8000</v>
      </c>
      <c r="J667" s="171">
        <v>6000</v>
      </c>
      <c r="K667" s="171">
        <v>8000</v>
      </c>
      <c r="L667" s="10"/>
    </row>
    <row r="668" spans="2:12" ht="22.5">
      <c r="B668" s="253" t="s">
        <v>2213</v>
      </c>
      <c r="C668" s="254" t="s">
        <v>2164</v>
      </c>
      <c r="D668" s="255" t="s">
        <v>0</v>
      </c>
      <c r="E668" s="255"/>
      <c r="F668" s="196" t="s">
        <v>2174</v>
      </c>
      <c r="G668" s="256"/>
      <c r="H668" s="273">
        <f t="shared" ref="H668" si="78">H666+H667</f>
        <v>846858000</v>
      </c>
      <c r="I668" s="273">
        <f t="shared" ref="I668" si="79">I666+I667</f>
        <v>5595309000</v>
      </c>
      <c r="J668" s="273">
        <f t="shared" ref="J668" si="80">J666+J667</f>
        <v>846858000</v>
      </c>
      <c r="K668" s="273">
        <f t="shared" ref="K668" si="81">K666+K667</f>
        <v>5595309000</v>
      </c>
      <c r="L668" s="10"/>
    </row>
    <row r="669" spans="2:12">
      <c r="B669" s="253"/>
      <c r="C669" s="254"/>
      <c r="D669" s="255"/>
      <c r="E669" s="255"/>
      <c r="F669" s="77"/>
      <c r="G669" s="256"/>
      <c r="H669" s="173"/>
      <c r="I669" s="173"/>
      <c r="J669" s="173"/>
      <c r="K669" s="173"/>
      <c r="L669" s="10"/>
    </row>
    <row r="670" spans="2:12" ht="22.5">
      <c r="B670" s="253"/>
      <c r="C670" s="254"/>
      <c r="D670" s="255" t="s">
        <v>0</v>
      </c>
      <c r="E670" s="255"/>
      <c r="F670" s="196" t="s">
        <v>2165</v>
      </c>
      <c r="G670" s="256"/>
      <c r="H670" s="173"/>
      <c r="I670" s="173"/>
      <c r="J670" s="173"/>
      <c r="K670" s="173"/>
      <c r="L670" s="10"/>
    </row>
    <row r="671" spans="2:12" ht="22.5">
      <c r="B671" s="253" t="s">
        <v>2213</v>
      </c>
      <c r="C671" s="254" t="s">
        <v>2166</v>
      </c>
      <c r="D671" s="255" t="s">
        <v>0</v>
      </c>
      <c r="E671" s="255"/>
      <c r="F671" s="195" t="s">
        <v>2175</v>
      </c>
      <c r="G671" s="256"/>
      <c r="H671" s="171">
        <v>1000</v>
      </c>
      <c r="I671" s="171">
        <v>3000</v>
      </c>
      <c r="J671" s="171">
        <v>1000</v>
      </c>
      <c r="K671" s="171">
        <v>3000</v>
      </c>
      <c r="L671" s="10"/>
    </row>
    <row r="672" spans="2:12" ht="22.5">
      <c r="B672" s="253" t="s">
        <v>2213</v>
      </c>
      <c r="C672" s="254" t="s">
        <v>2167</v>
      </c>
      <c r="D672" s="255" t="s">
        <v>0</v>
      </c>
      <c r="E672" s="255"/>
      <c r="F672" s="195" t="s">
        <v>2176</v>
      </c>
      <c r="G672" s="256"/>
      <c r="H672" s="171">
        <v>-1000</v>
      </c>
      <c r="I672" s="171">
        <v>-2000</v>
      </c>
      <c r="J672" s="171">
        <v>-1000</v>
      </c>
      <c r="K672" s="171">
        <v>-2000</v>
      </c>
      <c r="L672" s="10"/>
    </row>
    <row r="673" spans="2:12" ht="22.5">
      <c r="B673" s="253" t="s">
        <v>2213</v>
      </c>
      <c r="C673" s="254" t="s">
        <v>2168</v>
      </c>
      <c r="D673" s="255" t="s">
        <v>0</v>
      </c>
      <c r="E673" s="255"/>
      <c r="F673" s="196" t="s">
        <v>2177</v>
      </c>
      <c r="G673" s="256"/>
      <c r="H673" s="273">
        <f t="shared" ref="H673" si="82">H671+H672</f>
        <v>0</v>
      </c>
      <c r="I673" s="273">
        <f t="shared" ref="I673" si="83">I671+I672</f>
        <v>1000</v>
      </c>
      <c r="J673" s="273">
        <f t="shared" ref="J673" si="84">J671+J672</f>
        <v>0</v>
      </c>
      <c r="K673" s="273">
        <f t="shared" ref="K673" si="85">K671+K672</f>
        <v>1000</v>
      </c>
      <c r="L673" s="10"/>
    </row>
    <row r="674" spans="2:12">
      <c r="B674" s="253"/>
      <c r="C674" s="254"/>
      <c r="D674" s="255"/>
      <c r="E674" s="255"/>
      <c r="F674" s="77"/>
      <c r="G674" s="256"/>
      <c r="H674" s="173"/>
      <c r="I674" s="173"/>
      <c r="J674" s="173"/>
      <c r="K674" s="173"/>
      <c r="L674" s="10"/>
    </row>
    <row r="675" spans="2:12">
      <c r="B675" s="253" t="s">
        <v>2213</v>
      </c>
      <c r="C675" s="254" t="s">
        <v>1612</v>
      </c>
      <c r="D675" s="255" t="s">
        <v>0</v>
      </c>
      <c r="E675" s="255" t="s">
        <v>0</v>
      </c>
      <c r="F675" s="195" t="s">
        <v>628</v>
      </c>
      <c r="G675" s="256" t="s">
        <v>0</v>
      </c>
      <c r="H675" s="171"/>
      <c r="I675" s="171"/>
      <c r="J675" s="171"/>
      <c r="K675" s="171"/>
      <c r="L675" s="10"/>
    </row>
    <row r="676" spans="2:12">
      <c r="B676" s="253" t="s">
        <v>2213</v>
      </c>
      <c r="C676" s="254" t="s">
        <v>1613</v>
      </c>
      <c r="D676" s="255" t="s">
        <v>0</v>
      </c>
      <c r="E676" s="255" t="s">
        <v>0</v>
      </c>
      <c r="F676" s="195" t="s">
        <v>629</v>
      </c>
      <c r="G676" s="256" t="s">
        <v>0</v>
      </c>
      <c r="H676" s="171">
        <v>61833881000</v>
      </c>
      <c r="I676" s="171">
        <v>61172314000</v>
      </c>
      <c r="J676" s="171">
        <v>61833881000</v>
      </c>
      <c r="K676" s="171">
        <v>61172314000</v>
      </c>
      <c r="L676" s="10"/>
    </row>
    <row r="677" spans="2:12" ht="22.5">
      <c r="B677" s="253" t="s">
        <v>2213</v>
      </c>
      <c r="C677" s="343" t="s">
        <v>2214</v>
      </c>
      <c r="D677" s="255" t="s">
        <v>0</v>
      </c>
      <c r="E677" s="255" t="s">
        <v>0</v>
      </c>
      <c r="F677" s="342" t="s">
        <v>2220</v>
      </c>
      <c r="G677" s="256" t="s">
        <v>0</v>
      </c>
      <c r="H677" s="171">
        <v>11662845000</v>
      </c>
      <c r="I677" s="171">
        <v>3043370000</v>
      </c>
      <c r="J677" s="171">
        <v>11662845000</v>
      </c>
      <c r="K677" s="171">
        <v>3043370000</v>
      </c>
      <c r="L677" s="10"/>
    </row>
    <row r="678" spans="2:12" ht="22.5">
      <c r="B678" s="253" t="s">
        <v>2213</v>
      </c>
      <c r="C678" s="343" t="s">
        <v>2215</v>
      </c>
      <c r="D678" s="255" t="s">
        <v>0</v>
      </c>
      <c r="E678" s="255" t="s">
        <v>0</v>
      </c>
      <c r="F678" s="342" t="s">
        <v>2221</v>
      </c>
      <c r="G678" s="256" t="s">
        <v>0</v>
      </c>
      <c r="H678" s="171"/>
      <c r="I678" s="171"/>
      <c r="J678" s="171"/>
      <c r="K678" s="171"/>
      <c r="L678" s="10"/>
    </row>
    <row r="679" spans="2:12" ht="22.5">
      <c r="B679" s="253" t="s">
        <v>2213</v>
      </c>
      <c r="C679" s="343" t="s">
        <v>2216</v>
      </c>
      <c r="D679" s="255" t="s">
        <v>0</v>
      </c>
      <c r="E679" s="255" t="s">
        <v>0</v>
      </c>
      <c r="F679" s="342" t="s">
        <v>2222</v>
      </c>
      <c r="G679" s="256" t="s">
        <v>0</v>
      </c>
      <c r="H679" s="171"/>
      <c r="I679" s="171"/>
      <c r="J679" s="171"/>
      <c r="K679" s="171"/>
      <c r="L679" s="252"/>
    </row>
    <row r="680" spans="2:12" ht="22.5">
      <c r="B680" s="253" t="s">
        <v>2213</v>
      </c>
      <c r="C680" s="343" t="s">
        <v>2217</v>
      </c>
      <c r="D680" s="255" t="s">
        <v>0</v>
      </c>
      <c r="E680" s="255" t="s">
        <v>0</v>
      </c>
      <c r="F680" s="342" t="s">
        <v>2223</v>
      </c>
      <c r="G680" s="256" t="s">
        <v>0</v>
      </c>
      <c r="H680" s="171"/>
      <c r="I680" s="171"/>
      <c r="J680" s="171"/>
      <c r="K680" s="171"/>
      <c r="L680" s="252"/>
    </row>
    <row r="681" spans="2:12" ht="22.5">
      <c r="B681" s="253" t="s">
        <v>2213</v>
      </c>
      <c r="C681" s="343" t="s">
        <v>2218</v>
      </c>
      <c r="D681" s="255" t="s">
        <v>0</v>
      </c>
      <c r="E681" s="255" t="s">
        <v>0</v>
      </c>
      <c r="F681" s="342" t="s">
        <v>2224</v>
      </c>
      <c r="G681" s="256" t="s">
        <v>0</v>
      </c>
      <c r="H681" s="171"/>
      <c r="I681" s="171"/>
      <c r="J681" s="171"/>
      <c r="K681" s="171"/>
      <c r="L681" s="252"/>
    </row>
    <row r="682" spans="2:12" ht="22.5">
      <c r="B682" s="253" t="s">
        <v>2213</v>
      </c>
      <c r="C682" s="343" t="s">
        <v>2219</v>
      </c>
      <c r="D682" s="255" t="s">
        <v>0</v>
      </c>
      <c r="E682" s="255" t="s">
        <v>0</v>
      </c>
      <c r="F682" s="342" t="s">
        <v>2225</v>
      </c>
      <c r="G682" s="256" t="s">
        <v>0</v>
      </c>
      <c r="H682" s="171"/>
      <c r="I682" s="171"/>
      <c r="J682" s="171"/>
      <c r="K682" s="171"/>
      <c r="L682" s="252"/>
    </row>
    <row r="683" spans="2:12">
      <c r="B683" s="253"/>
      <c r="C683" s="254"/>
      <c r="D683" s="255"/>
      <c r="E683" s="255"/>
      <c r="F683" s="195"/>
      <c r="G683" s="256"/>
      <c r="H683" s="30"/>
      <c r="I683" s="30"/>
      <c r="J683" s="30"/>
      <c r="K683" s="30"/>
      <c r="L683" s="252"/>
    </row>
    <row r="684" spans="2:12" ht="22.5">
      <c r="B684" s="253"/>
      <c r="C684" s="254"/>
      <c r="D684" s="255"/>
      <c r="E684" s="255"/>
      <c r="F684" s="196" t="s">
        <v>1919</v>
      </c>
      <c r="G684" s="256"/>
      <c r="H684" s="77"/>
      <c r="I684" s="77"/>
      <c r="J684" s="77"/>
      <c r="K684" s="77"/>
      <c r="L684" s="252"/>
    </row>
    <row r="685" spans="2:12" ht="22.5">
      <c r="B685" s="253" t="s">
        <v>2213</v>
      </c>
      <c r="C685" s="254" t="s">
        <v>1920</v>
      </c>
      <c r="D685" s="255" t="s">
        <v>0</v>
      </c>
      <c r="E685" s="255" t="s">
        <v>0</v>
      </c>
      <c r="F685" s="195" t="s">
        <v>2026</v>
      </c>
      <c r="G685" s="256"/>
      <c r="H685" s="171"/>
      <c r="I685" s="171"/>
      <c r="J685" s="171"/>
      <c r="K685" s="171"/>
      <c r="L685" s="252"/>
    </row>
    <row r="686" spans="2:12" ht="22.5">
      <c r="B686" s="253" t="s">
        <v>2213</v>
      </c>
      <c r="C686" s="254" t="s">
        <v>1921</v>
      </c>
      <c r="D686" s="255" t="s">
        <v>0</v>
      </c>
      <c r="E686" s="255" t="s">
        <v>0</v>
      </c>
      <c r="F686" s="195" t="s">
        <v>2027</v>
      </c>
      <c r="G686" s="256"/>
      <c r="H686" s="171"/>
      <c r="I686" s="171"/>
      <c r="J686" s="171"/>
      <c r="K686" s="171"/>
      <c r="L686" s="252"/>
    </row>
    <row r="687" spans="2:12" ht="22.5">
      <c r="B687" s="253" t="s">
        <v>2213</v>
      </c>
      <c r="C687" s="254" t="s">
        <v>2113</v>
      </c>
      <c r="D687" s="255" t="s">
        <v>0</v>
      </c>
      <c r="E687" s="255" t="s">
        <v>0</v>
      </c>
      <c r="F687" s="196" t="s">
        <v>2028</v>
      </c>
      <c r="G687" s="256"/>
      <c r="H687" s="273">
        <f>H685+H686</f>
        <v>0</v>
      </c>
      <c r="I687" s="273">
        <f t="shared" ref="I687:K687" si="86">I685+I686</f>
        <v>0</v>
      </c>
      <c r="J687" s="273">
        <f t="shared" si="86"/>
        <v>0</v>
      </c>
      <c r="K687" s="273">
        <f t="shared" si="86"/>
        <v>0</v>
      </c>
      <c r="L687" s="252"/>
    </row>
    <row r="688" spans="2:12">
      <c r="B688" s="253"/>
      <c r="C688" s="254"/>
      <c r="D688" s="255"/>
      <c r="E688" s="255"/>
      <c r="F688" s="195"/>
      <c r="G688" s="256"/>
      <c r="H688" s="30"/>
      <c r="I688" s="30"/>
      <c r="J688" s="30"/>
      <c r="K688" s="30"/>
      <c r="L688" s="252"/>
    </row>
    <row r="689" spans="2:12" ht="22.5">
      <c r="B689" s="253"/>
      <c r="C689" s="254"/>
      <c r="D689" s="255" t="s">
        <v>0</v>
      </c>
      <c r="E689" s="255" t="s">
        <v>0</v>
      </c>
      <c r="F689" s="196" t="s">
        <v>630</v>
      </c>
      <c r="G689" s="256" t="s">
        <v>0</v>
      </c>
      <c r="H689" s="52" t="s">
        <v>0</v>
      </c>
      <c r="I689" s="52" t="s">
        <v>0</v>
      </c>
      <c r="J689" s="52" t="s">
        <v>0</v>
      </c>
      <c r="K689" s="52" t="s">
        <v>0</v>
      </c>
      <c r="L689" s="252"/>
    </row>
    <row r="690" spans="2:12" ht="33.75">
      <c r="B690" s="253" t="s">
        <v>2213</v>
      </c>
      <c r="C690" s="299" t="s">
        <v>1614</v>
      </c>
      <c r="D690" s="255" t="s">
        <v>0</v>
      </c>
      <c r="E690" s="255" t="s">
        <v>0</v>
      </c>
      <c r="F690" s="195" t="s">
        <v>631</v>
      </c>
      <c r="G690" s="256" t="s">
        <v>4</v>
      </c>
      <c r="H690" s="179"/>
      <c r="I690" s="179"/>
      <c r="J690" s="179"/>
      <c r="K690" s="179"/>
      <c r="L690" s="10"/>
    </row>
    <row r="691" spans="2:12" ht="33.75">
      <c r="B691" s="253" t="s">
        <v>2213</v>
      </c>
      <c r="C691" s="254" t="s">
        <v>1615</v>
      </c>
      <c r="D691" s="255" t="s">
        <v>0</v>
      </c>
      <c r="E691" s="255" t="s">
        <v>0</v>
      </c>
      <c r="F691" s="195" t="s">
        <v>632</v>
      </c>
      <c r="G691" s="256" t="s">
        <v>4</v>
      </c>
      <c r="H691" s="179"/>
      <c r="I691" s="179"/>
      <c r="J691" s="179"/>
      <c r="K691" s="179"/>
      <c r="L691" s="10"/>
    </row>
    <row r="692" spans="2:12" ht="22.5">
      <c r="B692" s="253" t="s">
        <v>2213</v>
      </c>
      <c r="C692" s="254" t="s">
        <v>1616</v>
      </c>
      <c r="D692" s="255" t="s">
        <v>0</v>
      </c>
      <c r="E692" s="255" t="s">
        <v>0</v>
      </c>
      <c r="F692" s="196" t="s">
        <v>633</v>
      </c>
      <c r="G692" s="256" t="s">
        <v>0</v>
      </c>
      <c r="H692" s="51">
        <f>H690+H691</f>
        <v>0</v>
      </c>
      <c r="I692" s="51">
        <f t="shared" ref="I692:K692" si="87">I690+I691</f>
        <v>0</v>
      </c>
      <c r="J692" s="51">
        <f t="shared" si="87"/>
        <v>0</v>
      </c>
      <c r="K692" s="51">
        <f t="shared" si="87"/>
        <v>0</v>
      </c>
      <c r="L692" s="10"/>
    </row>
    <row r="693" spans="2:12">
      <c r="B693" s="253"/>
      <c r="C693" s="254"/>
      <c r="D693" s="255"/>
      <c r="E693" s="255"/>
      <c r="F693" s="195"/>
      <c r="G693" s="256"/>
      <c r="H693" s="173"/>
      <c r="I693" s="173"/>
      <c r="J693" s="173"/>
      <c r="K693" s="173"/>
      <c r="L693" s="10"/>
    </row>
    <row r="694" spans="2:12" ht="33.75">
      <c r="B694" s="253" t="s">
        <v>2213</v>
      </c>
      <c r="C694" s="254" t="s">
        <v>1617</v>
      </c>
      <c r="D694" s="255" t="s">
        <v>0</v>
      </c>
      <c r="E694" s="255" t="s">
        <v>0</v>
      </c>
      <c r="F694" s="196" t="s">
        <v>634</v>
      </c>
      <c r="G694" s="256" t="s">
        <v>0</v>
      </c>
      <c r="H694" s="173"/>
      <c r="I694" s="173"/>
      <c r="J694" s="173"/>
      <c r="K694" s="173"/>
      <c r="L694" s="10"/>
    </row>
    <row r="695" spans="2:12" ht="33.75">
      <c r="B695" s="253" t="s">
        <v>2213</v>
      </c>
      <c r="C695" s="254" t="s">
        <v>1618</v>
      </c>
      <c r="D695" s="255" t="s">
        <v>0</v>
      </c>
      <c r="E695" s="255" t="s">
        <v>0</v>
      </c>
      <c r="F695" s="195" t="s">
        <v>635</v>
      </c>
      <c r="G695" s="256" t="s">
        <v>4</v>
      </c>
      <c r="H695" s="179"/>
      <c r="I695" s="179"/>
      <c r="J695" s="179"/>
      <c r="K695" s="179"/>
      <c r="L695" s="10"/>
    </row>
    <row r="696" spans="2:12" ht="33.75">
      <c r="B696" s="253" t="s">
        <v>2213</v>
      </c>
      <c r="C696" s="254" t="s">
        <v>1619</v>
      </c>
      <c r="D696" s="255" t="s">
        <v>0</v>
      </c>
      <c r="E696" s="255" t="s">
        <v>0</v>
      </c>
      <c r="F696" s="195" t="s">
        <v>636</v>
      </c>
      <c r="G696" s="256" t="s">
        <v>4</v>
      </c>
      <c r="H696" s="351">
        <v>1111</v>
      </c>
      <c r="I696" s="351">
        <v>2222</v>
      </c>
      <c r="J696" s="351">
        <v>1111</v>
      </c>
      <c r="K696" s="351">
        <v>2222</v>
      </c>
      <c r="L696" s="10"/>
    </row>
    <row r="697" spans="2:12" ht="33.75">
      <c r="B697" s="253" t="s">
        <v>2213</v>
      </c>
      <c r="C697" s="254" t="s">
        <v>1620</v>
      </c>
      <c r="D697" s="255" t="s">
        <v>0</v>
      </c>
      <c r="E697" s="255" t="s">
        <v>0</v>
      </c>
      <c r="F697" s="196" t="s">
        <v>637</v>
      </c>
      <c r="G697" s="256" t="s">
        <v>0</v>
      </c>
      <c r="H697" s="51">
        <f>H695+H696</f>
        <v>1111</v>
      </c>
      <c r="I697" s="51">
        <f t="shared" ref="I697:K697" si="88">I695+I696</f>
        <v>2222</v>
      </c>
      <c r="J697" s="51">
        <f t="shared" si="88"/>
        <v>1111</v>
      </c>
      <c r="K697" s="51">
        <f t="shared" si="88"/>
        <v>2222</v>
      </c>
      <c r="L697" s="10"/>
    </row>
    <row r="698" spans="2:12">
      <c r="B698" s="253"/>
      <c r="C698" s="254"/>
      <c r="D698" s="255"/>
      <c r="E698" s="255"/>
      <c r="F698" s="195"/>
      <c r="G698" s="256"/>
      <c r="H698" s="52" t="s">
        <v>0</v>
      </c>
      <c r="I698" s="52" t="s">
        <v>0</v>
      </c>
      <c r="J698" s="52" t="s">
        <v>0</v>
      </c>
      <c r="K698" s="52" t="s">
        <v>0</v>
      </c>
      <c r="L698" s="10"/>
    </row>
    <row r="699" spans="2:12">
      <c r="B699" s="253"/>
      <c r="C699" s="254"/>
      <c r="D699" s="255" t="s">
        <v>0</v>
      </c>
      <c r="E699" s="255" t="s">
        <v>0</v>
      </c>
      <c r="F699" s="194" t="s">
        <v>2195</v>
      </c>
      <c r="G699" s="256" t="s">
        <v>0</v>
      </c>
      <c r="H699" s="52" t="s">
        <v>0</v>
      </c>
      <c r="I699" s="52" t="s">
        <v>0</v>
      </c>
      <c r="J699" s="52" t="s">
        <v>0</v>
      </c>
      <c r="K699" s="52" t="s">
        <v>0</v>
      </c>
      <c r="L699" s="10"/>
    </row>
    <row r="700" spans="2:12" ht="22.5">
      <c r="B700" s="253" t="s">
        <v>2213</v>
      </c>
      <c r="C700" s="254" t="s">
        <v>1621</v>
      </c>
      <c r="D700" s="254" t="s">
        <v>0</v>
      </c>
      <c r="E700" s="254" t="s">
        <v>0</v>
      </c>
      <c r="F700" s="195" t="s">
        <v>2193</v>
      </c>
      <c r="G700" s="256" t="s">
        <v>4</v>
      </c>
      <c r="H700" s="179">
        <v>1000</v>
      </c>
      <c r="I700" s="179">
        <v>2000</v>
      </c>
      <c r="J700" s="179">
        <v>1000</v>
      </c>
      <c r="K700" s="179">
        <v>2000</v>
      </c>
      <c r="L700" s="10"/>
    </row>
    <row r="701" spans="2:12" ht="22.5">
      <c r="B701" s="253" t="s">
        <v>2213</v>
      </c>
      <c r="C701" s="254" t="s">
        <v>1622</v>
      </c>
      <c r="D701" s="255" t="s">
        <v>0</v>
      </c>
      <c r="E701" s="255" t="s">
        <v>0</v>
      </c>
      <c r="F701" s="195" t="s">
        <v>2194</v>
      </c>
      <c r="G701" s="256" t="s">
        <v>4</v>
      </c>
      <c r="H701" s="179">
        <v>261083000</v>
      </c>
      <c r="I701" s="179">
        <v>-577470000</v>
      </c>
      <c r="J701" s="179">
        <v>261083000</v>
      </c>
      <c r="K701" s="179">
        <v>-577470000</v>
      </c>
      <c r="L701" s="10"/>
    </row>
    <row r="702" spans="2:12">
      <c r="B702" s="253" t="s">
        <v>2213</v>
      </c>
      <c r="C702" s="254" t="s">
        <v>1623</v>
      </c>
      <c r="D702" s="255" t="s">
        <v>0</v>
      </c>
      <c r="E702" s="255" t="s">
        <v>0</v>
      </c>
      <c r="F702" s="194" t="s">
        <v>2196</v>
      </c>
      <c r="G702" s="256" t="s">
        <v>0</v>
      </c>
      <c r="H702" s="51">
        <f>SUM(H700:H701)</f>
        <v>261084000</v>
      </c>
      <c r="I702" s="51">
        <f t="shared" ref="I702:K702" si="89">SUM(I700:I701)</f>
        <v>-577468000</v>
      </c>
      <c r="J702" s="51">
        <f t="shared" si="89"/>
        <v>261084000</v>
      </c>
      <c r="K702" s="51">
        <f t="shared" si="89"/>
        <v>-577468000</v>
      </c>
      <c r="L702" s="10"/>
    </row>
    <row r="703" spans="2:12">
      <c r="B703" s="253"/>
      <c r="C703" s="254"/>
      <c r="D703" s="255"/>
      <c r="E703" s="255"/>
      <c r="F703" s="195"/>
      <c r="G703" s="256"/>
      <c r="H703" s="30"/>
      <c r="I703" s="30"/>
      <c r="J703" s="30"/>
      <c r="K703" s="30"/>
      <c r="L703" s="252"/>
    </row>
    <row r="704" spans="2:12">
      <c r="B704" s="253"/>
      <c r="C704" s="254"/>
      <c r="D704" s="255" t="s">
        <v>0</v>
      </c>
      <c r="E704" s="255"/>
      <c r="F704" s="196" t="s">
        <v>2178</v>
      </c>
      <c r="G704" s="256"/>
      <c r="H704" s="30"/>
      <c r="I704" s="30"/>
      <c r="J704" s="30"/>
      <c r="K704" s="30"/>
      <c r="L704" s="252"/>
    </row>
    <row r="705" spans="2:12">
      <c r="B705" s="253" t="s">
        <v>2213</v>
      </c>
      <c r="C705" s="254" t="s">
        <v>2179</v>
      </c>
      <c r="D705" s="255" t="s">
        <v>0</v>
      </c>
      <c r="E705" s="255"/>
      <c r="F705" s="195" t="s">
        <v>2197</v>
      </c>
      <c r="G705" s="256"/>
      <c r="H705" s="179">
        <v>73496725000</v>
      </c>
      <c r="I705" s="179">
        <v>64215683000</v>
      </c>
      <c r="J705" s="179">
        <v>73496725000</v>
      </c>
      <c r="K705" s="179">
        <v>64215683000</v>
      </c>
      <c r="L705" s="252"/>
    </row>
    <row r="706" spans="2:12">
      <c r="B706" s="253" t="s">
        <v>2213</v>
      </c>
      <c r="C706" s="254" t="s">
        <v>2180</v>
      </c>
      <c r="D706" s="255" t="s">
        <v>0</v>
      </c>
      <c r="E706" s="255"/>
      <c r="F706" s="195" t="s">
        <v>2198</v>
      </c>
      <c r="G706" s="256"/>
      <c r="H706" s="179">
        <v>7000</v>
      </c>
      <c r="I706" s="179">
        <v>9000</v>
      </c>
      <c r="J706" s="179">
        <v>7000</v>
      </c>
      <c r="K706" s="179">
        <v>9000</v>
      </c>
      <c r="L706" s="252"/>
    </row>
    <row r="707" spans="2:12">
      <c r="B707" s="253" t="s">
        <v>2213</v>
      </c>
      <c r="C707" s="254" t="s">
        <v>2181</v>
      </c>
      <c r="D707" s="255" t="s">
        <v>0</v>
      </c>
      <c r="E707" s="255"/>
      <c r="F707" s="196" t="s">
        <v>2192</v>
      </c>
      <c r="G707" s="256"/>
      <c r="H707" s="51">
        <f>SUM(H705:H706)</f>
        <v>73496732000</v>
      </c>
      <c r="I707" s="51">
        <f t="shared" ref="I707:K707" si="90">SUM(I705:I706)</f>
        <v>64215692000</v>
      </c>
      <c r="J707" s="51">
        <f t="shared" si="90"/>
        <v>73496732000</v>
      </c>
      <c r="K707" s="51">
        <f t="shared" si="90"/>
        <v>64215692000</v>
      </c>
      <c r="L707" s="252"/>
    </row>
    <row r="708" spans="2:12">
      <c r="B708" s="253"/>
      <c r="C708" s="254"/>
      <c r="D708" s="255"/>
      <c r="E708" s="255"/>
      <c r="F708" s="195"/>
      <c r="G708" s="256"/>
      <c r="H708" s="30"/>
      <c r="I708" s="30"/>
      <c r="J708" s="30"/>
      <c r="K708" s="30"/>
      <c r="L708" s="252"/>
    </row>
    <row r="709" spans="2:12" ht="22.5">
      <c r="B709" s="253"/>
      <c r="C709" s="254"/>
      <c r="D709" s="255" t="s">
        <v>0</v>
      </c>
      <c r="E709" s="255"/>
      <c r="F709" s="196" t="s">
        <v>2182</v>
      </c>
      <c r="G709" s="256"/>
      <c r="H709" s="30"/>
      <c r="I709" s="30"/>
      <c r="J709" s="30"/>
      <c r="K709" s="30"/>
      <c r="L709" s="252"/>
    </row>
    <row r="710" spans="2:12" ht="22.5">
      <c r="B710" s="253" t="s">
        <v>2213</v>
      </c>
      <c r="C710" s="254" t="s">
        <v>2183</v>
      </c>
      <c r="D710" s="255" t="s">
        <v>0</v>
      </c>
      <c r="E710" s="255"/>
      <c r="F710" s="195" t="s">
        <v>2199</v>
      </c>
      <c r="G710" s="256"/>
      <c r="H710" s="179">
        <v>61833880000</v>
      </c>
      <c r="I710" s="179">
        <v>61172313000</v>
      </c>
      <c r="J710" s="179">
        <v>61833880000</v>
      </c>
      <c r="K710" s="179">
        <v>61172313000</v>
      </c>
      <c r="L710" s="252"/>
    </row>
    <row r="711" spans="2:12" ht="22.5">
      <c r="B711" s="253" t="s">
        <v>2213</v>
      </c>
      <c r="C711" s="254" t="s">
        <v>2184</v>
      </c>
      <c r="D711" s="255" t="s">
        <v>0</v>
      </c>
      <c r="E711" s="255"/>
      <c r="F711" s="195" t="s">
        <v>2200</v>
      </c>
      <c r="G711" s="256"/>
      <c r="H711" s="179">
        <v>1000</v>
      </c>
      <c r="I711" s="179">
        <v>1000</v>
      </c>
      <c r="J711" s="179">
        <v>1000</v>
      </c>
      <c r="K711" s="179">
        <v>1000</v>
      </c>
      <c r="L711" s="252"/>
    </row>
    <row r="712" spans="2:12">
      <c r="B712" s="253" t="s">
        <v>2213</v>
      </c>
      <c r="C712" s="254" t="s">
        <v>2185</v>
      </c>
      <c r="D712" s="255" t="s">
        <v>0</v>
      </c>
      <c r="E712" s="255"/>
      <c r="F712" s="196" t="s">
        <v>2191</v>
      </c>
      <c r="G712" s="256"/>
      <c r="H712" s="51">
        <f>SUM(H710:H711)</f>
        <v>61833881000</v>
      </c>
      <c r="I712" s="51">
        <f t="shared" ref="I712:K712" si="91">SUM(I710:I711)</f>
        <v>61172314000</v>
      </c>
      <c r="J712" s="51">
        <f t="shared" si="91"/>
        <v>61833881000</v>
      </c>
      <c r="K712" s="51">
        <f t="shared" si="91"/>
        <v>61172314000</v>
      </c>
      <c r="L712" s="252"/>
    </row>
    <row r="713" spans="2:12">
      <c r="B713" s="253"/>
      <c r="C713" s="254"/>
      <c r="D713" s="255"/>
      <c r="E713" s="255"/>
      <c r="F713" s="195"/>
      <c r="G713" s="256"/>
      <c r="H713" s="30"/>
      <c r="I713" s="30"/>
      <c r="J713" s="30"/>
      <c r="K713" s="30"/>
      <c r="L713" s="252"/>
    </row>
    <row r="714" spans="2:12" ht="22.5">
      <c r="B714" s="253"/>
      <c r="C714" s="254"/>
      <c r="D714" s="255" t="s">
        <v>0</v>
      </c>
      <c r="E714" s="255"/>
      <c r="F714" s="196" t="s">
        <v>2186</v>
      </c>
      <c r="G714" s="256"/>
      <c r="H714" s="30"/>
      <c r="I714" s="30"/>
      <c r="J714" s="30"/>
      <c r="K714" s="30"/>
      <c r="L714" s="252"/>
    </row>
    <row r="715" spans="2:12" ht="22.5">
      <c r="B715" s="253" t="s">
        <v>2213</v>
      </c>
      <c r="C715" s="254" t="s">
        <v>2187</v>
      </c>
      <c r="D715" s="255" t="s">
        <v>0</v>
      </c>
      <c r="E715" s="255"/>
      <c r="F715" s="195" t="s">
        <v>2201</v>
      </c>
      <c r="G715" s="256"/>
      <c r="H715" s="179">
        <v>11662844000</v>
      </c>
      <c r="I715" s="179">
        <v>3043369000</v>
      </c>
      <c r="J715" s="179">
        <v>11662844000</v>
      </c>
      <c r="K715" s="179">
        <v>3043369000</v>
      </c>
      <c r="L715" s="252"/>
    </row>
    <row r="716" spans="2:12" ht="22.5">
      <c r="B716" s="253" t="s">
        <v>2213</v>
      </c>
      <c r="C716" s="254" t="s">
        <v>2188</v>
      </c>
      <c r="D716" s="255" t="s">
        <v>0</v>
      </c>
      <c r="E716" s="255"/>
      <c r="F716" s="195" t="s">
        <v>2202</v>
      </c>
      <c r="G716" s="256"/>
      <c r="H716" s="179">
        <v>7000</v>
      </c>
      <c r="I716" s="179">
        <v>9000</v>
      </c>
      <c r="J716" s="179">
        <v>7000</v>
      </c>
      <c r="K716" s="179">
        <v>9000</v>
      </c>
      <c r="L716" s="252"/>
    </row>
    <row r="717" spans="2:12">
      <c r="B717" s="253" t="s">
        <v>2213</v>
      </c>
      <c r="C717" s="254" t="s">
        <v>2189</v>
      </c>
      <c r="D717" s="255" t="s">
        <v>0</v>
      </c>
      <c r="E717" s="255"/>
      <c r="F717" s="196" t="s">
        <v>2190</v>
      </c>
      <c r="G717" s="256"/>
      <c r="H717" s="51">
        <f>SUM(H715:H716)</f>
        <v>11662851000</v>
      </c>
      <c r="I717" s="51">
        <f t="shared" ref="I717:K717" si="92">SUM(I715:I716)</f>
        <v>3043378000</v>
      </c>
      <c r="J717" s="51">
        <f t="shared" si="92"/>
        <v>11662851000</v>
      </c>
      <c r="K717" s="51">
        <f t="shared" si="92"/>
        <v>3043378000</v>
      </c>
      <c r="L717" s="252"/>
    </row>
    <row r="718" spans="2:12">
      <c r="B718" s="300"/>
      <c r="C718" s="301"/>
      <c r="D718" s="302"/>
      <c r="E718" s="302"/>
      <c r="F718" s="303"/>
      <c r="G718" s="304"/>
      <c r="H718" s="8"/>
      <c r="I718" s="8"/>
      <c r="J718" s="8"/>
      <c r="K718" s="8"/>
      <c r="L718" s="11"/>
    </row>
    <row r="719" spans="2:12">
      <c r="D719" s="3"/>
      <c r="E719" s="3"/>
      <c r="F719" s="3"/>
      <c r="G719" s="3"/>
      <c r="H719" s="3"/>
      <c r="I719" s="3"/>
      <c r="J719" s="3"/>
      <c r="K719" s="3"/>
      <c r="L719" s="3"/>
    </row>
    <row r="720" spans="2:12">
      <c r="B720" s="35"/>
      <c r="C720" s="31"/>
      <c r="D720" s="32" t="s">
        <v>0</v>
      </c>
      <c r="E720" s="32" t="s">
        <v>0</v>
      </c>
      <c r="F720" s="165" t="s">
        <v>241</v>
      </c>
      <c r="G720" s="34" t="s">
        <v>0</v>
      </c>
      <c r="H720" s="34"/>
      <c r="I720" s="34"/>
      <c r="J720" s="34"/>
      <c r="K720" s="34"/>
      <c r="L720" s="9"/>
    </row>
    <row r="721" spans="2:12">
      <c r="B721" s="36"/>
      <c r="C721" s="26"/>
      <c r="D721" s="27"/>
      <c r="E721" s="27"/>
      <c r="F721" s="29"/>
      <c r="G721" s="29"/>
      <c r="H721" s="29"/>
      <c r="I721" s="29"/>
      <c r="J721" s="29"/>
      <c r="K721" s="29"/>
      <c r="L721" s="10"/>
    </row>
    <row r="722" spans="2:12">
      <c r="B722" s="36"/>
      <c r="C722" s="26"/>
      <c r="D722" s="27"/>
      <c r="E722" s="27"/>
      <c r="F722" s="30" t="s">
        <v>65</v>
      </c>
      <c r="G722" s="29"/>
      <c r="H722" s="29"/>
      <c r="I722" s="29"/>
      <c r="J722" s="29"/>
      <c r="K722" s="29"/>
      <c r="L722" s="10"/>
    </row>
    <row r="723" spans="2:12">
      <c r="B723" s="36" t="s">
        <v>2226</v>
      </c>
      <c r="C723" s="26" t="s">
        <v>1624</v>
      </c>
      <c r="D723" s="27" t="s">
        <v>0</v>
      </c>
      <c r="E723" s="27" t="s">
        <v>0</v>
      </c>
      <c r="F723" s="48" t="s">
        <v>2229</v>
      </c>
      <c r="G723" s="29" t="s">
        <v>0</v>
      </c>
      <c r="H723" s="29"/>
      <c r="I723" s="29"/>
      <c r="J723" s="29"/>
      <c r="K723" s="29"/>
      <c r="L723" s="10"/>
    </row>
    <row r="724" spans="2:12">
      <c r="B724" s="36" t="s">
        <v>0</v>
      </c>
      <c r="C724" s="26" t="s">
        <v>0</v>
      </c>
      <c r="D724" s="27" t="s">
        <v>0</v>
      </c>
      <c r="E724" s="27" t="s">
        <v>0</v>
      </c>
      <c r="F724" s="30"/>
      <c r="G724" s="29" t="s">
        <v>0</v>
      </c>
      <c r="H724" s="29"/>
      <c r="I724" s="29"/>
      <c r="J724" s="29"/>
      <c r="K724" s="29"/>
      <c r="L724" s="10"/>
    </row>
    <row r="725" spans="2:12">
      <c r="B725" s="36"/>
      <c r="C725" s="26"/>
      <c r="D725" s="27" t="s">
        <v>0</v>
      </c>
      <c r="E725" s="27" t="s">
        <v>0</v>
      </c>
      <c r="F725" s="30" t="s">
        <v>66</v>
      </c>
      <c r="G725" s="29" t="s">
        <v>0</v>
      </c>
      <c r="H725" s="29"/>
      <c r="I725" s="29"/>
      <c r="J725" s="29"/>
      <c r="K725" s="29"/>
      <c r="L725" s="10"/>
    </row>
    <row r="726" spans="2:12">
      <c r="B726" s="36" t="s">
        <v>2226</v>
      </c>
      <c r="C726" s="26" t="s">
        <v>1625</v>
      </c>
      <c r="D726" s="27" t="s">
        <v>0</v>
      </c>
      <c r="E726" s="27" t="s">
        <v>0</v>
      </c>
      <c r="F726" s="48" t="s">
        <v>2230</v>
      </c>
      <c r="G726" s="29" t="s">
        <v>0</v>
      </c>
      <c r="H726" s="29"/>
      <c r="I726" s="29"/>
      <c r="J726" s="29"/>
      <c r="K726" s="29"/>
      <c r="L726" s="10"/>
    </row>
    <row r="727" spans="2:12">
      <c r="B727" s="36" t="s">
        <v>0</v>
      </c>
      <c r="C727" s="26" t="s">
        <v>0</v>
      </c>
      <c r="D727" s="27" t="s">
        <v>0</v>
      </c>
      <c r="E727" s="27" t="s">
        <v>0</v>
      </c>
      <c r="F727" s="30"/>
      <c r="G727" s="29" t="s">
        <v>0</v>
      </c>
      <c r="H727" s="29"/>
      <c r="I727" s="29"/>
      <c r="J727" s="29"/>
      <c r="K727" s="29"/>
      <c r="L727" s="10"/>
    </row>
    <row r="728" spans="2:12">
      <c r="B728" s="36"/>
      <c r="C728" s="26"/>
      <c r="D728" s="27" t="s">
        <v>0</v>
      </c>
      <c r="E728" s="27" t="s">
        <v>0</v>
      </c>
      <c r="F728" s="30" t="s">
        <v>67</v>
      </c>
      <c r="G728" s="29" t="s">
        <v>0</v>
      </c>
      <c r="H728" s="29"/>
      <c r="I728" s="29"/>
      <c r="J728" s="29"/>
      <c r="K728" s="29"/>
      <c r="L728" s="10"/>
    </row>
    <row r="729" spans="2:12">
      <c r="B729" s="36" t="s">
        <v>2226</v>
      </c>
      <c r="C729" s="26" t="s">
        <v>1626</v>
      </c>
      <c r="D729" s="27" t="s">
        <v>0</v>
      </c>
      <c r="E729" s="27" t="s">
        <v>0</v>
      </c>
      <c r="F729" s="48" t="s">
        <v>2231</v>
      </c>
      <c r="G729" s="29" t="s">
        <v>0</v>
      </c>
      <c r="H729" s="29"/>
      <c r="I729" s="29"/>
      <c r="J729" s="29"/>
      <c r="K729" s="29"/>
      <c r="L729" s="10"/>
    </row>
    <row r="730" spans="2:12">
      <c r="B730" s="36" t="s">
        <v>0</v>
      </c>
      <c r="C730" s="26" t="s">
        <v>0</v>
      </c>
      <c r="D730" s="27" t="s">
        <v>0</v>
      </c>
      <c r="E730" s="27" t="s">
        <v>0</v>
      </c>
      <c r="F730" s="30"/>
      <c r="G730" s="29" t="s">
        <v>0</v>
      </c>
      <c r="H730" s="29"/>
      <c r="I730" s="29"/>
      <c r="J730" s="29"/>
      <c r="K730" s="29"/>
      <c r="L730" s="10"/>
    </row>
    <row r="731" spans="2:12">
      <c r="B731" s="36"/>
      <c r="C731" s="26"/>
      <c r="D731" s="27" t="s">
        <v>0</v>
      </c>
      <c r="E731" s="27" t="s">
        <v>0</v>
      </c>
      <c r="F731" s="30" t="s">
        <v>68</v>
      </c>
      <c r="G731" s="29" t="s">
        <v>0</v>
      </c>
      <c r="H731" s="29"/>
      <c r="I731" s="29"/>
      <c r="J731" s="29"/>
      <c r="K731" s="29"/>
      <c r="L731" s="10"/>
    </row>
    <row r="732" spans="2:12">
      <c r="B732" s="36" t="s">
        <v>2226</v>
      </c>
      <c r="C732" s="26" t="s">
        <v>1627</v>
      </c>
      <c r="D732" s="27" t="s">
        <v>0</v>
      </c>
      <c r="E732" s="27" t="s">
        <v>0</v>
      </c>
      <c r="F732" s="48" t="s">
        <v>2232</v>
      </c>
      <c r="G732" s="29" t="s">
        <v>0</v>
      </c>
      <c r="H732" s="29"/>
      <c r="I732" s="29"/>
      <c r="J732" s="29"/>
      <c r="K732" s="29"/>
      <c r="L732" s="10"/>
    </row>
    <row r="733" spans="2:12">
      <c r="B733" s="36" t="s">
        <v>0</v>
      </c>
      <c r="C733" s="26" t="s">
        <v>0</v>
      </c>
      <c r="D733" s="27" t="s">
        <v>0</v>
      </c>
      <c r="E733" s="27" t="s">
        <v>0</v>
      </c>
      <c r="F733" s="30"/>
      <c r="G733" s="29" t="s">
        <v>0</v>
      </c>
      <c r="H733" s="29"/>
      <c r="I733" s="29"/>
      <c r="J733" s="29"/>
      <c r="K733" s="29"/>
      <c r="L733" s="10"/>
    </row>
    <row r="734" spans="2:12">
      <c r="B734" s="36"/>
      <c r="C734" s="26"/>
      <c r="D734" s="27" t="s">
        <v>0</v>
      </c>
      <c r="E734" s="27" t="s">
        <v>0</v>
      </c>
      <c r="F734" s="30" t="s">
        <v>2101</v>
      </c>
      <c r="G734" s="29" t="s">
        <v>0</v>
      </c>
      <c r="H734" s="29"/>
      <c r="I734" s="29"/>
      <c r="J734" s="29"/>
      <c r="K734" s="29"/>
      <c r="L734" s="10"/>
    </row>
    <row r="735" spans="2:12">
      <c r="B735" s="36" t="s">
        <v>2226</v>
      </c>
      <c r="C735" s="26" t="s">
        <v>2078</v>
      </c>
      <c r="D735" s="27" t="s">
        <v>0</v>
      </c>
      <c r="E735" s="27" t="s">
        <v>0</v>
      </c>
      <c r="F735" s="225" t="s">
        <v>760</v>
      </c>
      <c r="G735" s="29" t="s">
        <v>0</v>
      </c>
      <c r="H735" s="29"/>
      <c r="I735" s="29"/>
      <c r="J735" s="29"/>
      <c r="K735" s="29"/>
      <c r="L735" s="10"/>
    </row>
    <row r="736" spans="2:12">
      <c r="B736" s="36" t="s">
        <v>0</v>
      </c>
      <c r="C736" s="26" t="s">
        <v>0</v>
      </c>
      <c r="D736" s="27" t="s">
        <v>0</v>
      </c>
      <c r="E736" s="27" t="s">
        <v>0</v>
      </c>
      <c r="F736" s="30"/>
      <c r="G736" s="29" t="s">
        <v>0</v>
      </c>
      <c r="H736" s="29"/>
      <c r="I736" s="29"/>
      <c r="J736" s="29"/>
      <c r="K736" s="29"/>
      <c r="L736" s="10"/>
    </row>
    <row r="737" spans="2:12">
      <c r="B737" s="36"/>
      <c r="C737" s="26"/>
      <c r="D737" s="27" t="s">
        <v>0</v>
      </c>
      <c r="E737" s="27" t="s">
        <v>0</v>
      </c>
      <c r="F737" s="30" t="s">
        <v>69</v>
      </c>
      <c r="G737" s="29" t="s">
        <v>0</v>
      </c>
      <c r="H737" s="29"/>
      <c r="I737" s="29"/>
      <c r="J737" s="29"/>
      <c r="K737" s="29"/>
      <c r="L737" s="10"/>
    </row>
    <row r="738" spans="2:12">
      <c r="B738" s="36" t="s">
        <v>2226</v>
      </c>
      <c r="C738" s="26" t="s">
        <v>1628</v>
      </c>
      <c r="D738" s="27" t="s">
        <v>0</v>
      </c>
      <c r="E738" s="27" t="s">
        <v>0</v>
      </c>
      <c r="F738" s="48" t="s">
        <v>2231</v>
      </c>
      <c r="G738" s="29" t="s">
        <v>0</v>
      </c>
      <c r="H738" s="29"/>
      <c r="I738" s="29"/>
      <c r="J738" s="29"/>
      <c r="K738" s="29"/>
      <c r="L738" s="10"/>
    </row>
    <row r="739" spans="2:12">
      <c r="B739" s="36" t="s">
        <v>0</v>
      </c>
      <c r="C739" s="26" t="s">
        <v>0</v>
      </c>
      <c r="D739" s="27" t="s">
        <v>0</v>
      </c>
      <c r="E739" s="27" t="s">
        <v>0</v>
      </c>
      <c r="F739" s="30"/>
      <c r="G739" s="29" t="s">
        <v>0</v>
      </c>
      <c r="H739" s="29"/>
      <c r="I739" s="29"/>
      <c r="J739" s="29"/>
      <c r="K739" s="29"/>
      <c r="L739" s="10"/>
    </row>
    <row r="740" spans="2:12">
      <c r="B740" s="36"/>
      <c r="C740" s="26"/>
      <c r="D740" s="27" t="s">
        <v>0</v>
      </c>
      <c r="E740" s="27" t="s">
        <v>0</v>
      </c>
      <c r="F740" s="30" t="s">
        <v>70</v>
      </c>
      <c r="G740" s="29" t="s">
        <v>0</v>
      </c>
      <c r="H740" s="29"/>
      <c r="I740" s="29"/>
      <c r="J740" s="29"/>
      <c r="K740" s="29"/>
      <c r="L740" s="10"/>
    </row>
    <row r="741" spans="2:12">
      <c r="B741" s="36" t="s">
        <v>2226</v>
      </c>
      <c r="C741" s="26" t="s">
        <v>1629</v>
      </c>
      <c r="D741" s="27" t="s">
        <v>0</v>
      </c>
      <c r="E741" s="27" t="s">
        <v>0</v>
      </c>
      <c r="F741" s="48" t="s">
        <v>2231</v>
      </c>
      <c r="G741" s="29" t="s">
        <v>0</v>
      </c>
      <c r="H741" s="29"/>
      <c r="I741" s="29"/>
      <c r="J741" s="29"/>
      <c r="K741" s="29"/>
      <c r="L741" s="10"/>
    </row>
    <row r="742" spans="2:12">
      <c r="B742" s="36" t="s">
        <v>0</v>
      </c>
      <c r="C742" s="26" t="s">
        <v>0</v>
      </c>
      <c r="D742" s="27" t="s">
        <v>0</v>
      </c>
      <c r="E742" s="27" t="s">
        <v>0</v>
      </c>
      <c r="F742" s="30"/>
      <c r="G742" s="29" t="s">
        <v>0</v>
      </c>
      <c r="H742" s="29"/>
      <c r="I742" s="29"/>
      <c r="J742" s="29"/>
      <c r="K742" s="29"/>
      <c r="L742" s="10"/>
    </row>
    <row r="743" spans="2:12">
      <c r="B743" s="36"/>
      <c r="C743" s="26"/>
      <c r="D743" s="27" t="s">
        <v>0</v>
      </c>
      <c r="E743" s="27" t="s">
        <v>0</v>
      </c>
      <c r="F743" s="30" t="s">
        <v>71</v>
      </c>
      <c r="G743" s="29" t="s">
        <v>0</v>
      </c>
      <c r="H743" s="29"/>
      <c r="I743" s="29"/>
      <c r="J743" s="29"/>
      <c r="K743" s="29"/>
      <c r="L743" s="10"/>
    </row>
    <row r="744" spans="2:12">
      <c r="B744" s="36" t="s">
        <v>2226</v>
      </c>
      <c r="C744" s="26" t="s">
        <v>1630</v>
      </c>
      <c r="D744" s="27" t="s">
        <v>0</v>
      </c>
      <c r="E744" s="27" t="s">
        <v>0</v>
      </c>
      <c r="F744" s="48" t="s">
        <v>2233</v>
      </c>
      <c r="G744" s="29" t="s">
        <v>0</v>
      </c>
      <c r="H744" s="29"/>
      <c r="I744" s="29"/>
      <c r="J744" s="29"/>
      <c r="K744" s="29"/>
      <c r="L744" s="10"/>
    </row>
    <row r="745" spans="2:12" ht="28.5" customHeight="1">
      <c r="B745" s="36"/>
      <c r="C745" s="26"/>
      <c r="D745" s="27"/>
      <c r="E745" s="27"/>
      <c r="F745" s="30"/>
      <c r="G745" s="29"/>
      <c r="H745" s="12" t="s">
        <v>1135</v>
      </c>
      <c r="I745" s="12" t="s">
        <v>1136</v>
      </c>
      <c r="J745" s="29"/>
      <c r="K745" s="29"/>
      <c r="L745" s="10"/>
    </row>
    <row r="746" spans="2:12">
      <c r="B746" s="36" t="s">
        <v>2226</v>
      </c>
      <c r="C746" s="26" t="s">
        <v>1801</v>
      </c>
      <c r="D746" s="27" t="s">
        <v>0</v>
      </c>
      <c r="E746" s="27" t="s">
        <v>0</v>
      </c>
      <c r="F746" s="30" t="s">
        <v>298</v>
      </c>
      <c r="G746" s="29"/>
      <c r="H746" s="167">
        <v>4</v>
      </c>
      <c r="I746" s="167">
        <v>5</v>
      </c>
      <c r="J746" s="29"/>
      <c r="K746" s="29"/>
      <c r="L746" s="10"/>
    </row>
    <row r="747" spans="2:12">
      <c r="B747" s="36"/>
      <c r="C747" s="26"/>
      <c r="D747" s="27"/>
      <c r="E747" s="27"/>
      <c r="F747" s="30"/>
      <c r="G747" s="29"/>
      <c r="H747" s="30"/>
      <c r="I747" s="30"/>
      <c r="J747" s="29"/>
      <c r="K747" s="29"/>
      <c r="L747" s="10"/>
    </row>
    <row r="748" spans="2:12">
      <c r="B748" s="36"/>
      <c r="C748" s="26"/>
      <c r="D748" s="27"/>
      <c r="E748" s="27"/>
      <c r="F748" s="321" t="s">
        <v>2077</v>
      </c>
      <c r="G748" s="29"/>
      <c r="H748" s="30"/>
      <c r="I748" s="30"/>
      <c r="J748" s="29"/>
      <c r="K748" s="29"/>
      <c r="L748" s="10"/>
    </row>
    <row r="749" spans="2:12">
      <c r="B749" s="36"/>
      <c r="C749" s="26"/>
      <c r="D749" s="27"/>
      <c r="E749" s="27"/>
      <c r="F749" s="30"/>
      <c r="G749" s="29"/>
      <c r="H749" s="30"/>
      <c r="I749" s="30"/>
      <c r="J749" s="29"/>
      <c r="K749" s="29"/>
      <c r="L749" s="10"/>
    </row>
    <row r="750" spans="2:12" ht="29.25" customHeight="1">
      <c r="B750" s="36"/>
      <c r="C750" s="26"/>
      <c r="D750" s="27"/>
      <c r="E750" s="27"/>
      <c r="F750" s="30"/>
      <c r="G750" s="29"/>
      <c r="H750" s="12" t="s">
        <v>1135</v>
      </c>
      <c r="I750" s="12" t="s">
        <v>1136</v>
      </c>
      <c r="J750" s="29"/>
      <c r="K750" s="29"/>
      <c r="L750" s="10"/>
    </row>
    <row r="751" spans="2:12">
      <c r="B751" s="36" t="s">
        <v>2226</v>
      </c>
      <c r="C751" s="26" t="s">
        <v>1802</v>
      </c>
      <c r="D751" s="27" t="s">
        <v>0</v>
      </c>
      <c r="E751" s="27" t="s">
        <v>0</v>
      </c>
      <c r="F751" s="30" t="s">
        <v>72</v>
      </c>
      <c r="G751" s="29" t="s">
        <v>0</v>
      </c>
      <c r="H751" s="274">
        <v>55555555000</v>
      </c>
      <c r="I751" s="274">
        <v>66666666000</v>
      </c>
      <c r="J751" s="29"/>
      <c r="K751" s="29"/>
      <c r="L751" s="10"/>
    </row>
    <row r="752" spans="2:12">
      <c r="B752" s="36" t="s">
        <v>0</v>
      </c>
      <c r="C752" s="26" t="s">
        <v>0</v>
      </c>
      <c r="D752" s="27" t="s">
        <v>0</v>
      </c>
      <c r="E752" s="27" t="s">
        <v>0</v>
      </c>
      <c r="F752" s="30"/>
      <c r="G752" s="29" t="s">
        <v>0</v>
      </c>
      <c r="H752" s="29"/>
      <c r="I752" s="29"/>
      <c r="J752" s="29"/>
      <c r="K752" s="29"/>
      <c r="L752" s="10"/>
    </row>
    <row r="753" spans="2:12" ht="22.5">
      <c r="B753" s="36"/>
      <c r="C753" s="26"/>
      <c r="D753" s="27" t="s">
        <v>0</v>
      </c>
      <c r="E753" s="27" t="s">
        <v>0</v>
      </c>
      <c r="F753" s="28" t="s">
        <v>73</v>
      </c>
      <c r="G753" s="29" t="s">
        <v>0</v>
      </c>
      <c r="H753" s="29"/>
      <c r="I753" s="29"/>
      <c r="J753" s="29"/>
      <c r="K753" s="29"/>
      <c r="L753" s="10"/>
    </row>
    <row r="754" spans="2:12">
      <c r="B754" s="36" t="s">
        <v>2226</v>
      </c>
      <c r="C754" s="26" t="s">
        <v>1803</v>
      </c>
      <c r="D754" s="27" t="s">
        <v>0</v>
      </c>
      <c r="E754" s="27" t="s">
        <v>0</v>
      </c>
      <c r="F754" s="48" t="s">
        <v>2234</v>
      </c>
      <c r="G754" s="29" t="s">
        <v>0</v>
      </c>
      <c r="H754" s="29"/>
      <c r="I754" s="29"/>
      <c r="J754" s="29"/>
      <c r="K754" s="29"/>
      <c r="L754" s="10"/>
    </row>
    <row r="755" spans="2:12">
      <c r="B755" s="36" t="s">
        <v>0</v>
      </c>
      <c r="C755" s="26" t="s">
        <v>0</v>
      </c>
      <c r="D755" s="27" t="s">
        <v>0</v>
      </c>
      <c r="E755" s="27" t="s">
        <v>0</v>
      </c>
      <c r="F755" s="30"/>
      <c r="G755" s="29" t="s">
        <v>0</v>
      </c>
      <c r="H755" s="29"/>
      <c r="I755" s="29"/>
      <c r="J755" s="29"/>
      <c r="K755" s="29"/>
      <c r="L755" s="10"/>
    </row>
    <row r="756" spans="2:12">
      <c r="B756" s="36"/>
      <c r="C756" s="26"/>
      <c r="D756" s="27" t="s">
        <v>0</v>
      </c>
      <c r="E756" s="27" t="s">
        <v>0</v>
      </c>
      <c r="F756" s="30" t="s">
        <v>74</v>
      </c>
      <c r="G756" s="29" t="s">
        <v>0</v>
      </c>
      <c r="H756" s="29"/>
      <c r="I756" s="29"/>
      <c r="J756" s="29"/>
      <c r="K756" s="29"/>
      <c r="L756" s="10"/>
    </row>
    <row r="757" spans="2:12">
      <c r="B757" s="36" t="s">
        <v>2226</v>
      </c>
      <c r="C757" s="26" t="s">
        <v>1631</v>
      </c>
      <c r="D757" s="27" t="s">
        <v>0</v>
      </c>
      <c r="E757" s="27" t="s">
        <v>0</v>
      </c>
      <c r="F757" s="48" t="s">
        <v>2237</v>
      </c>
      <c r="G757" s="29" t="s">
        <v>0</v>
      </c>
      <c r="H757" s="29"/>
      <c r="I757" s="29"/>
      <c r="J757" s="29"/>
      <c r="K757" s="29"/>
      <c r="L757" s="10"/>
    </row>
    <row r="758" spans="2:12">
      <c r="B758" s="36" t="s">
        <v>0</v>
      </c>
      <c r="C758" s="26" t="s">
        <v>0</v>
      </c>
      <c r="D758" s="27" t="s">
        <v>0</v>
      </c>
      <c r="E758" s="27" t="s">
        <v>0</v>
      </c>
      <c r="F758" s="30"/>
      <c r="G758" s="29" t="s">
        <v>0</v>
      </c>
      <c r="H758" s="29"/>
      <c r="I758" s="29"/>
      <c r="J758" s="29"/>
      <c r="K758" s="29"/>
      <c r="L758" s="10"/>
    </row>
    <row r="759" spans="2:12">
      <c r="B759" s="36"/>
      <c r="C759" s="26"/>
      <c r="D759" s="27" t="s">
        <v>0</v>
      </c>
      <c r="E759" s="27" t="s">
        <v>0</v>
      </c>
      <c r="F759" s="30" t="s">
        <v>75</v>
      </c>
      <c r="G759" s="29" t="s">
        <v>0</v>
      </c>
      <c r="H759" s="29"/>
      <c r="I759" s="29"/>
      <c r="J759" s="29"/>
      <c r="K759" s="29"/>
      <c r="L759" s="10"/>
    </row>
    <row r="760" spans="2:12">
      <c r="B760" s="36" t="s">
        <v>2226</v>
      </c>
      <c r="C760" s="26" t="s">
        <v>1632</v>
      </c>
      <c r="D760" s="27" t="s">
        <v>0</v>
      </c>
      <c r="E760" s="27" t="s">
        <v>0</v>
      </c>
      <c r="F760" s="48" t="s">
        <v>2237</v>
      </c>
      <c r="G760" s="29" t="s">
        <v>0</v>
      </c>
      <c r="H760" s="29"/>
      <c r="I760" s="29"/>
      <c r="J760" s="29"/>
      <c r="K760" s="29"/>
      <c r="L760" s="10"/>
    </row>
    <row r="761" spans="2:12">
      <c r="B761" s="36" t="s">
        <v>0</v>
      </c>
      <c r="C761" s="26" t="s">
        <v>0</v>
      </c>
      <c r="D761" s="27" t="s">
        <v>0</v>
      </c>
      <c r="E761" s="27" t="s">
        <v>0</v>
      </c>
      <c r="F761" s="30"/>
      <c r="G761" s="29" t="s">
        <v>0</v>
      </c>
      <c r="H761" s="29"/>
      <c r="I761" s="29"/>
      <c r="J761" s="29"/>
      <c r="K761" s="29"/>
      <c r="L761" s="10"/>
    </row>
    <row r="762" spans="2:12">
      <c r="B762" s="36"/>
      <c r="C762" s="26"/>
      <c r="D762" s="27" t="s">
        <v>0</v>
      </c>
      <c r="E762" s="27" t="s">
        <v>0</v>
      </c>
      <c r="F762" s="30" t="s">
        <v>76</v>
      </c>
      <c r="G762" s="29" t="s">
        <v>0</v>
      </c>
      <c r="H762" s="29"/>
      <c r="I762" s="29"/>
      <c r="J762" s="29"/>
      <c r="K762" s="29"/>
      <c r="L762" s="10"/>
    </row>
    <row r="763" spans="2:12">
      <c r="B763" s="36" t="s">
        <v>2226</v>
      </c>
      <c r="C763" s="26" t="s">
        <v>1633</v>
      </c>
      <c r="D763" s="27" t="s">
        <v>0</v>
      </c>
      <c r="E763" s="27" t="s">
        <v>0</v>
      </c>
      <c r="F763" s="48" t="s">
        <v>2238</v>
      </c>
      <c r="G763" s="29" t="s">
        <v>0</v>
      </c>
      <c r="H763" s="29"/>
      <c r="I763" s="29"/>
      <c r="J763" s="29"/>
      <c r="K763" s="29"/>
      <c r="L763" s="10"/>
    </row>
    <row r="764" spans="2:12">
      <c r="B764" s="36"/>
      <c r="C764" s="26"/>
      <c r="D764" s="27"/>
      <c r="E764" s="27"/>
      <c r="F764" s="30"/>
      <c r="G764" s="29"/>
      <c r="H764" s="29"/>
      <c r="I764" s="29"/>
      <c r="J764" s="29"/>
      <c r="K764" s="29"/>
      <c r="L764" s="10"/>
    </row>
    <row r="765" spans="2:12">
      <c r="B765" s="36"/>
      <c r="C765" s="26"/>
      <c r="D765" s="27" t="s">
        <v>0</v>
      </c>
      <c r="E765" s="27" t="s">
        <v>0</v>
      </c>
      <c r="F765" s="30" t="s">
        <v>77</v>
      </c>
      <c r="G765" s="29" t="s">
        <v>0</v>
      </c>
      <c r="H765" s="29"/>
      <c r="I765" s="29"/>
      <c r="J765" s="29"/>
      <c r="K765" s="29"/>
      <c r="L765" s="10"/>
    </row>
    <row r="766" spans="2:12">
      <c r="B766" s="36" t="s">
        <v>2226</v>
      </c>
      <c r="C766" s="26" t="s">
        <v>1634</v>
      </c>
      <c r="D766" s="27" t="s">
        <v>0</v>
      </c>
      <c r="E766" s="27" t="s">
        <v>0</v>
      </c>
      <c r="F766" s="48" t="s">
        <v>2239</v>
      </c>
      <c r="G766" s="29" t="s">
        <v>0</v>
      </c>
      <c r="H766" s="29"/>
      <c r="I766" s="29"/>
      <c r="J766" s="29"/>
      <c r="K766" s="29"/>
      <c r="L766" s="10"/>
    </row>
    <row r="767" spans="2:12">
      <c r="B767" s="36" t="s">
        <v>0</v>
      </c>
      <c r="C767" s="26" t="s">
        <v>0</v>
      </c>
      <c r="D767" s="27" t="s">
        <v>0</v>
      </c>
      <c r="E767" s="27" t="s">
        <v>0</v>
      </c>
      <c r="F767" s="30"/>
      <c r="G767" s="29" t="s">
        <v>0</v>
      </c>
      <c r="H767" s="29"/>
      <c r="I767" s="29"/>
      <c r="J767" s="29"/>
      <c r="K767" s="29"/>
      <c r="L767" s="10"/>
    </row>
    <row r="768" spans="2:12" ht="22.5">
      <c r="B768" s="36"/>
      <c r="C768" s="26"/>
      <c r="D768" s="27" t="s">
        <v>0</v>
      </c>
      <c r="E768" s="27" t="s">
        <v>0</v>
      </c>
      <c r="F768" s="28" t="s">
        <v>78</v>
      </c>
      <c r="G768" s="29" t="s">
        <v>0</v>
      </c>
      <c r="H768" s="29"/>
      <c r="I768" s="29"/>
      <c r="J768" s="29"/>
      <c r="K768" s="29"/>
      <c r="L768" s="10"/>
    </row>
    <row r="769" spans="2:12">
      <c r="B769" s="36" t="s">
        <v>2226</v>
      </c>
      <c r="C769" s="26" t="s">
        <v>1635</v>
      </c>
      <c r="D769" s="27" t="s">
        <v>0</v>
      </c>
      <c r="E769" s="27" t="s">
        <v>0</v>
      </c>
      <c r="F769" s="48" t="s">
        <v>2240</v>
      </c>
      <c r="G769" s="29" t="s">
        <v>0</v>
      </c>
      <c r="H769" s="29"/>
      <c r="I769" s="29"/>
      <c r="J769" s="29"/>
      <c r="K769" s="29"/>
      <c r="L769" s="10"/>
    </row>
    <row r="770" spans="2:12">
      <c r="B770" s="36" t="s">
        <v>0</v>
      </c>
      <c r="C770" s="26" t="s">
        <v>0</v>
      </c>
      <c r="D770" s="27" t="s">
        <v>0</v>
      </c>
      <c r="E770" s="27" t="s">
        <v>0</v>
      </c>
      <c r="F770" s="30"/>
      <c r="G770" s="29" t="s">
        <v>0</v>
      </c>
      <c r="H770" s="29"/>
      <c r="I770" s="29"/>
      <c r="J770" s="29"/>
      <c r="K770" s="29"/>
      <c r="L770" s="10"/>
    </row>
    <row r="771" spans="2:12" ht="22.5">
      <c r="B771" s="36"/>
      <c r="C771" s="26"/>
      <c r="D771" s="27" t="s">
        <v>0</v>
      </c>
      <c r="E771" s="27" t="s">
        <v>0</v>
      </c>
      <c r="F771" s="28" t="s">
        <v>79</v>
      </c>
      <c r="G771" s="29" t="s">
        <v>0</v>
      </c>
      <c r="H771" s="29"/>
      <c r="I771" s="29"/>
      <c r="J771" s="29"/>
      <c r="K771" s="29"/>
      <c r="L771" s="10"/>
    </row>
    <row r="772" spans="2:12">
      <c r="B772" s="36" t="s">
        <v>2226</v>
      </c>
      <c r="C772" s="26" t="s">
        <v>1636</v>
      </c>
      <c r="D772" s="27" t="s">
        <v>0</v>
      </c>
      <c r="E772" s="27" t="s">
        <v>0</v>
      </c>
      <c r="F772" s="48" t="s">
        <v>2241</v>
      </c>
      <c r="G772" s="29" t="s">
        <v>0</v>
      </c>
      <c r="H772" s="29"/>
      <c r="I772" s="29"/>
      <c r="J772" s="29"/>
      <c r="K772" s="29"/>
      <c r="L772" s="10"/>
    </row>
    <row r="773" spans="2:12">
      <c r="B773" s="36" t="s">
        <v>0</v>
      </c>
      <c r="C773" s="26" t="s">
        <v>0</v>
      </c>
      <c r="D773" s="27" t="s">
        <v>0</v>
      </c>
      <c r="E773" s="27" t="s">
        <v>0</v>
      </c>
      <c r="F773" s="30"/>
      <c r="G773" s="29" t="s">
        <v>0</v>
      </c>
      <c r="H773" s="29"/>
      <c r="I773" s="29"/>
      <c r="J773" s="29"/>
      <c r="K773" s="29"/>
      <c r="L773" s="10"/>
    </row>
    <row r="774" spans="2:12" ht="22.5">
      <c r="B774" s="36"/>
      <c r="C774" s="26"/>
      <c r="D774" s="27" t="s">
        <v>0</v>
      </c>
      <c r="E774" s="27" t="s">
        <v>0</v>
      </c>
      <c r="F774" s="28" t="s">
        <v>80</v>
      </c>
      <c r="G774" s="29" t="s">
        <v>0</v>
      </c>
      <c r="H774" s="29"/>
      <c r="I774" s="29"/>
      <c r="J774" s="29"/>
      <c r="K774" s="29"/>
      <c r="L774" s="10"/>
    </row>
    <row r="775" spans="2:12">
      <c r="B775" s="36" t="s">
        <v>2226</v>
      </c>
      <c r="C775" s="26" t="s">
        <v>1637</v>
      </c>
      <c r="D775" s="27" t="s">
        <v>0</v>
      </c>
      <c r="E775" s="27" t="s">
        <v>0</v>
      </c>
      <c r="F775" s="48" t="s">
        <v>2242</v>
      </c>
      <c r="G775" s="29" t="s">
        <v>0</v>
      </c>
      <c r="H775" s="29"/>
      <c r="I775" s="29"/>
      <c r="J775" s="29"/>
      <c r="K775" s="29"/>
      <c r="L775" s="10"/>
    </row>
    <row r="776" spans="2:12">
      <c r="B776" s="36" t="s">
        <v>0</v>
      </c>
      <c r="C776" s="26" t="s">
        <v>0</v>
      </c>
      <c r="D776" s="27" t="s">
        <v>0</v>
      </c>
      <c r="E776" s="27" t="s">
        <v>0</v>
      </c>
      <c r="F776" s="30"/>
      <c r="G776" s="29" t="s">
        <v>0</v>
      </c>
      <c r="H776" s="29"/>
      <c r="I776" s="29"/>
      <c r="J776" s="29"/>
      <c r="K776" s="29"/>
      <c r="L776" s="10"/>
    </row>
    <row r="777" spans="2:12" ht="22.5">
      <c r="B777" s="36"/>
      <c r="C777" s="26"/>
      <c r="D777" s="27" t="s">
        <v>0</v>
      </c>
      <c r="E777" s="27" t="s">
        <v>0</v>
      </c>
      <c r="F777" s="28" t="s">
        <v>81</v>
      </c>
      <c r="G777" s="29" t="s">
        <v>0</v>
      </c>
      <c r="H777" s="29"/>
      <c r="I777" s="29"/>
      <c r="J777" s="29"/>
      <c r="K777" s="29"/>
      <c r="L777" s="10"/>
    </row>
    <row r="778" spans="2:12">
      <c r="B778" s="36" t="s">
        <v>2226</v>
      </c>
      <c r="C778" s="26" t="s">
        <v>1638</v>
      </c>
      <c r="D778" s="27" t="s">
        <v>0</v>
      </c>
      <c r="E778" s="27" t="s">
        <v>0</v>
      </c>
      <c r="F778" s="48" t="s">
        <v>2243</v>
      </c>
      <c r="G778" s="29" t="s">
        <v>0</v>
      </c>
      <c r="H778" s="29"/>
      <c r="I778" s="29"/>
      <c r="J778" s="29"/>
      <c r="K778" s="29"/>
      <c r="L778" s="10"/>
    </row>
    <row r="779" spans="2:12">
      <c r="B779" s="36" t="s">
        <v>0</v>
      </c>
      <c r="C779" s="26" t="s">
        <v>0</v>
      </c>
      <c r="D779" s="27" t="s">
        <v>0</v>
      </c>
      <c r="E779" s="27" t="s">
        <v>0</v>
      </c>
      <c r="F779" s="30"/>
      <c r="G779" s="29" t="s">
        <v>0</v>
      </c>
      <c r="H779" s="29"/>
      <c r="I779" s="29"/>
      <c r="J779" s="29"/>
      <c r="K779" s="29"/>
      <c r="L779" s="10"/>
    </row>
    <row r="780" spans="2:12" ht="22.5">
      <c r="B780" s="36"/>
      <c r="C780" s="26"/>
      <c r="D780" s="27" t="s">
        <v>0</v>
      </c>
      <c r="E780" s="27" t="s">
        <v>0</v>
      </c>
      <c r="F780" s="28" t="s">
        <v>82</v>
      </c>
      <c r="G780" s="29" t="s">
        <v>0</v>
      </c>
      <c r="H780" s="29"/>
      <c r="I780" s="29"/>
      <c r="J780" s="29"/>
      <c r="K780" s="29"/>
      <c r="L780" s="10"/>
    </row>
    <row r="781" spans="2:12">
      <c r="B781" s="36" t="s">
        <v>2226</v>
      </c>
      <c r="C781" s="26" t="s">
        <v>1639</v>
      </c>
      <c r="D781" s="27" t="s">
        <v>0</v>
      </c>
      <c r="E781" s="27" t="s">
        <v>0</v>
      </c>
      <c r="F781" s="48" t="s">
        <v>2244</v>
      </c>
      <c r="G781" s="29" t="s">
        <v>0</v>
      </c>
      <c r="H781" s="29"/>
      <c r="I781" s="29"/>
      <c r="J781" s="29"/>
      <c r="K781" s="29"/>
      <c r="L781" s="10"/>
    </row>
    <row r="782" spans="2:12">
      <c r="B782" s="36" t="s">
        <v>0</v>
      </c>
      <c r="C782" s="26" t="s">
        <v>0</v>
      </c>
      <c r="D782" s="27" t="s">
        <v>0</v>
      </c>
      <c r="E782" s="27" t="s">
        <v>0</v>
      </c>
      <c r="F782" s="30"/>
      <c r="G782" s="29" t="s">
        <v>0</v>
      </c>
      <c r="H782" s="29"/>
      <c r="I782" s="29"/>
      <c r="J782" s="29"/>
      <c r="K782" s="29"/>
      <c r="L782" s="10"/>
    </row>
    <row r="783" spans="2:12">
      <c r="B783" s="36"/>
      <c r="C783" s="26"/>
      <c r="D783" s="27" t="s">
        <v>0</v>
      </c>
      <c r="E783" s="27" t="s">
        <v>0</v>
      </c>
      <c r="F783" s="30" t="s">
        <v>83</v>
      </c>
      <c r="G783" s="29" t="s">
        <v>0</v>
      </c>
      <c r="H783" s="29"/>
      <c r="I783" s="29"/>
      <c r="J783" s="29"/>
      <c r="K783" s="29"/>
      <c r="L783" s="10"/>
    </row>
    <row r="784" spans="2:12">
      <c r="B784" s="36" t="s">
        <v>2226</v>
      </c>
      <c r="C784" s="26" t="s">
        <v>1640</v>
      </c>
      <c r="D784" s="27" t="s">
        <v>0</v>
      </c>
      <c r="E784" s="27" t="s">
        <v>0</v>
      </c>
      <c r="F784" s="48" t="s">
        <v>2245</v>
      </c>
      <c r="G784" s="29" t="s">
        <v>0</v>
      </c>
      <c r="H784" s="29"/>
      <c r="I784" s="29"/>
      <c r="J784" s="29"/>
      <c r="K784" s="29"/>
      <c r="L784" s="10"/>
    </row>
    <row r="785" spans="2:12">
      <c r="B785" s="36"/>
      <c r="C785" s="26"/>
      <c r="D785" s="27"/>
      <c r="E785" s="27"/>
      <c r="F785" s="30"/>
      <c r="G785" s="29"/>
      <c r="H785" s="29"/>
      <c r="I785" s="29"/>
      <c r="J785" s="29"/>
      <c r="K785" s="29"/>
      <c r="L785" s="10"/>
    </row>
    <row r="786" spans="2:12">
      <c r="B786" s="36"/>
      <c r="C786" s="26"/>
      <c r="D786" s="27"/>
      <c r="E786" s="27"/>
      <c r="F786" s="146" t="s">
        <v>149</v>
      </c>
      <c r="G786" s="29"/>
      <c r="H786" s="29"/>
      <c r="I786" s="29"/>
      <c r="J786" s="29"/>
      <c r="K786" s="29"/>
      <c r="L786" s="10"/>
    </row>
    <row r="787" spans="2:12">
      <c r="B787" s="36"/>
      <c r="C787" s="26"/>
      <c r="D787" s="27"/>
      <c r="E787" s="27"/>
      <c r="F787" s="30"/>
      <c r="G787" s="29"/>
      <c r="H787" s="29"/>
      <c r="I787" s="29"/>
      <c r="J787" s="29"/>
      <c r="K787" s="29"/>
      <c r="L787" s="10"/>
    </row>
    <row r="788" spans="2:12" ht="22.5">
      <c r="B788" s="36"/>
      <c r="C788" s="26"/>
      <c r="D788" s="27" t="s">
        <v>0</v>
      </c>
      <c r="E788" s="27" t="s">
        <v>0</v>
      </c>
      <c r="F788" s="28" t="s">
        <v>84</v>
      </c>
      <c r="G788" s="29" t="s">
        <v>0</v>
      </c>
      <c r="H788" s="29"/>
      <c r="I788" s="29"/>
      <c r="J788" s="29"/>
      <c r="K788" s="29"/>
      <c r="L788" s="10"/>
    </row>
    <row r="789" spans="2:12">
      <c r="B789" s="36" t="s">
        <v>2226</v>
      </c>
      <c r="C789" s="26" t="s">
        <v>1641</v>
      </c>
      <c r="D789" s="27" t="s">
        <v>0</v>
      </c>
      <c r="E789" s="27" t="s">
        <v>0</v>
      </c>
      <c r="F789" s="48" t="s">
        <v>2236</v>
      </c>
      <c r="G789" s="29" t="s">
        <v>0</v>
      </c>
      <c r="H789" s="29"/>
      <c r="I789" s="29"/>
      <c r="J789" s="29"/>
      <c r="K789" s="29"/>
      <c r="L789" s="10"/>
    </row>
    <row r="790" spans="2:12">
      <c r="B790" s="36" t="s">
        <v>0</v>
      </c>
      <c r="C790" s="26" t="s">
        <v>0</v>
      </c>
      <c r="D790" s="27" t="s">
        <v>0</v>
      </c>
      <c r="E790" s="27" t="s">
        <v>0</v>
      </c>
      <c r="F790" s="30"/>
      <c r="G790" s="29" t="s">
        <v>0</v>
      </c>
      <c r="H790" s="29"/>
      <c r="I790" s="29"/>
      <c r="J790" s="29"/>
      <c r="K790" s="29"/>
      <c r="L790" s="10"/>
    </row>
    <row r="791" spans="2:12" ht="22.5">
      <c r="B791" s="36"/>
      <c r="C791" s="26"/>
      <c r="D791" s="27" t="s">
        <v>0</v>
      </c>
      <c r="E791" s="27" t="s">
        <v>0</v>
      </c>
      <c r="F791" s="28" t="s">
        <v>85</v>
      </c>
      <c r="G791" s="29" t="s">
        <v>0</v>
      </c>
      <c r="H791" s="29"/>
      <c r="I791" s="29"/>
      <c r="J791" s="29"/>
      <c r="K791" s="29"/>
      <c r="L791" s="10"/>
    </row>
    <row r="792" spans="2:12">
      <c r="B792" s="36" t="s">
        <v>2226</v>
      </c>
      <c r="C792" s="26" t="s">
        <v>1642</v>
      </c>
      <c r="D792" s="27" t="s">
        <v>0</v>
      </c>
      <c r="E792" s="27" t="s">
        <v>0</v>
      </c>
      <c r="F792" s="48" t="s">
        <v>2246</v>
      </c>
      <c r="G792" s="29" t="s">
        <v>0</v>
      </c>
      <c r="H792" s="29"/>
      <c r="I792" s="29"/>
      <c r="J792" s="29"/>
      <c r="K792" s="29"/>
      <c r="L792" s="10"/>
    </row>
    <row r="793" spans="2:12">
      <c r="B793" s="36"/>
      <c r="C793" s="26"/>
      <c r="D793" s="27"/>
      <c r="E793" s="27"/>
      <c r="F793" s="30"/>
      <c r="G793" s="29"/>
      <c r="H793" s="29"/>
      <c r="I793" s="29"/>
      <c r="J793" s="29"/>
      <c r="K793" s="29"/>
      <c r="L793" s="10"/>
    </row>
    <row r="794" spans="2:12">
      <c r="B794" s="36"/>
      <c r="C794" s="254"/>
      <c r="D794" s="255"/>
      <c r="E794" s="255"/>
      <c r="F794" s="195" t="s">
        <v>2210</v>
      </c>
      <c r="G794" s="29"/>
      <c r="H794" s="29"/>
      <c r="I794" s="29"/>
      <c r="J794" s="29"/>
      <c r="K794" s="29"/>
      <c r="L794" s="10"/>
    </row>
    <row r="795" spans="2:12">
      <c r="B795" s="36" t="s">
        <v>2226</v>
      </c>
      <c r="C795" s="254" t="s">
        <v>2211</v>
      </c>
      <c r="D795" s="27" t="s">
        <v>0</v>
      </c>
      <c r="E795" s="27" t="s">
        <v>0</v>
      </c>
      <c r="F795" s="48" t="s">
        <v>2247</v>
      </c>
      <c r="G795" s="29"/>
      <c r="H795" s="29"/>
      <c r="I795" s="29"/>
      <c r="J795" s="29"/>
      <c r="K795" s="29"/>
      <c r="L795" s="10"/>
    </row>
    <row r="796" spans="2:12">
      <c r="B796" s="36" t="s">
        <v>0</v>
      </c>
      <c r="C796" s="26" t="s">
        <v>0</v>
      </c>
      <c r="D796" s="27" t="s">
        <v>0</v>
      </c>
      <c r="E796" s="27" t="s">
        <v>0</v>
      </c>
      <c r="F796" s="30"/>
      <c r="G796" s="29" t="s">
        <v>0</v>
      </c>
      <c r="H796" s="29"/>
      <c r="I796" s="29"/>
      <c r="J796" s="29"/>
      <c r="K796" s="29"/>
      <c r="L796" s="10"/>
    </row>
    <row r="797" spans="2:12" ht="22.5">
      <c r="B797" s="36"/>
      <c r="C797" s="26"/>
      <c r="D797" s="27" t="s">
        <v>0</v>
      </c>
      <c r="E797" s="27" t="s">
        <v>0</v>
      </c>
      <c r="F797" s="28" t="s">
        <v>86</v>
      </c>
      <c r="G797" s="29" t="s">
        <v>0</v>
      </c>
      <c r="H797" s="29"/>
      <c r="I797" s="29"/>
      <c r="J797" s="29"/>
      <c r="K797" s="29"/>
      <c r="L797" s="10"/>
    </row>
    <row r="798" spans="2:12">
      <c r="B798" s="36" t="s">
        <v>2226</v>
      </c>
      <c r="C798" s="26" t="s">
        <v>1645</v>
      </c>
      <c r="D798" s="27" t="s">
        <v>0</v>
      </c>
      <c r="E798" s="27" t="s">
        <v>0</v>
      </c>
      <c r="F798" s="48" t="s">
        <v>2248</v>
      </c>
      <c r="G798" s="29" t="s">
        <v>0</v>
      </c>
      <c r="H798" s="29"/>
      <c r="I798" s="29"/>
      <c r="J798" s="29"/>
      <c r="K798" s="29"/>
      <c r="L798" s="10"/>
    </row>
    <row r="799" spans="2:12">
      <c r="B799" s="36" t="s">
        <v>0</v>
      </c>
      <c r="C799" s="26" t="s">
        <v>0</v>
      </c>
      <c r="D799" s="27" t="s">
        <v>0</v>
      </c>
      <c r="E799" s="27" t="s">
        <v>0</v>
      </c>
      <c r="F799" s="30"/>
      <c r="G799" s="29" t="s">
        <v>0</v>
      </c>
      <c r="H799" s="29"/>
      <c r="I799" s="29"/>
      <c r="J799" s="29"/>
      <c r="K799" s="29"/>
      <c r="L799" s="10"/>
    </row>
    <row r="800" spans="2:12" ht="22.5">
      <c r="B800" s="36"/>
      <c r="C800" s="26"/>
      <c r="D800" s="27" t="s">
        <v>0</v>
      </c>
      <c r="E800" s="27" t="s">
        <v>0</v>
      </c>
      <c r="F800" s="28" t="s">
        <v>87</v>
      </c>
      <c r="G800" s="29" t="s">
        <v>0</v>
      </c>
      <c r="H800" s="29"/>
      <c r="I800" s="29"/>
      <c r="J800" s="29"/>
      <c r="K800" s="29"/>
      <c r="L800" s="10"/>
    </row>
    <row r="801" spans="2:12">
      <c r="B801" s="36" t="s">
        <v>2226</v>
      </c>
      <c r="C801" s="26" t="s">
        <v>1646</v>
      </c>
      <c r="D801" s="27" t="s">
        <v>0</v>
      </c>
      <c r="E801" s="27" t="s">
        <v>0</v>
      </c>
      <c r="F801" s="48" t="s">
        <v>2235</v>
      </c>
      <c r="G801" s="29" t="s">
        <v>0</v>
      </c>
      <c r="H801" s="29"/>
      <c r="I801" s="29"/>
      <c r="J801" s="29"/>
      <c r="K801" s="29"/>
      <c r="L801" s="10"/>
    </row>
    <row r="802" spans="2:12">
      <c r="B802" s="36" t="s">
        <v>0</v>
      </c>
      <c r="C802" s="26" t="s">
        <v>0</v>
      </c>
      <c r="D802" s="27" t="s">
        <v>0</v>
      </c>
      <c r="E802" s="27" t="s">
        <v>0</v>
      </c>
      <c r="F802" s="30"/>
      <c r="G802" s="29" t="s">
        <v>0</v>
      </c>
      <c r="H802" s="29"/>
      <c r="I802" s="29"/>
      <c r="J802" s="29"/>
      <c r="K802" s="29"/>
      <c r="L802" s="10"/>
    </row>
    <row r="803" spans="2:12" ht="22.5">
      <c r="B803" s="36"/>
      <c r="C803" s="26"/>
      <c r="D803" s="27" t="s">
        <v>0</v>
      </c>
      <c r="E803" s="27" t="s">
        <v>0</v>
      </c>
      <c r="F803" s="28" t="s">
        <v>88</v>
      </c>
      <c r="G803" s="29" t="s">
        <v>0</v>
      </c>
      <c r="H803" s="29"/>
      <c r="I803" s="29"/>
      <c r="J803" s="29"/>
      <c r="K803" s="29"/>
      <c r="L803" s="10"/>
    </row>
    <row r="804" spans="2:12">
      <c r="B804" s="36" t="s">
        <v>2226</v>
      </c>
      <c r="C804" s="26" t="s">
        <v>1647</v>
      </c>
      <c r="D804" s="27" t="s">
        <v>0</v>
      </c>
      <c r="E804" s="27" t="s">
        <v>0</v>
      </c>
      <c r="F804" s="48" t="s">
        <v>2249</v>
      </c>
      <c r="G804" s="29" t="s">
        <v>0</v>
      </c>
      <c r="H804" s="29"/>
      <c r="I804" s="29"/>
      <c r="J804" s="29"/>
      <c r="K804" s="29"/>
      <c r="L804" s="10"/>
    </row>
    <row r="805" spans="2:12">
      <c r="B805" s="36"/>
      <c r="C805" s="26"/>
      <c r="D805" s="27"/>
      <c r="E805" s="27"/>
      <c r="F805" s="30"/>
      <c r="G805" s="29"/>
      <c r="H805" s="29"/>
      <c r="I805" s="29"/>
      <c r="J805" s="29"/>
      <c r="K805" s="29"/>
      <c r="L805" s="10"/>
    </row>
    <row r="806" spans="2:12" ht="30">
      <c r="B806" s="36"/>
      <c r="C806" s="26"/>
      <c r="D806" s="27"/>
      <c r="E806" s="27"/>
      <c r="F806" s="319" t="s">
        <v>150</v>
      </c>
      <c r="G806" s="29"/>
      <c r="H806" s="29"/>
      <c r="I806" s="29"/>
      <c r="J806" s="29"/>
      <c r="K806" s="29"/>
      <c r="L806" s="10"/>
    </row>
    <row r="807" spans="2:12">
      <c r="B807" s="36"/>
      <c r="C807" s="26"/>
      <c r="D807" s="27"/>
      <c r="E807" s="27"/>
      <c r="F807" s="30"/>
      <c r="G807" s="29"/>
      <c r="H807" s="29"/>
      <c r="I807" s="29"/>
      <c r="J807" s="29"/>
      <c r="K807" s="29"/>
      <c r="L807" s="10"/>
    </row>
    <row r="808" spans="2:12" ht="22.5">
      <c r="B808" s="36"/>
      <c r="C808" s="26"/>
      <c r="D808" s="27" t="s">
        <v>0</v>
      </c>
      <c r="E808" s="27" t="s">
        <v>0</v>
      </c>
      <c r="F808" s="28" t="s">
        <v>960</v>
      </c>
      <c r="G808" s="29"/>
      <c r="H808" s="29"/>
      <c r="I808" s="29"/>
      <c r="J808" s="29"/>
      <c r="K808" s="29"/>
      <c r="L808" s="10"/>
    </row>
    <row r="809" spans="2:12">
      <c r="B809" s="36" t="s">
        <v>2226</v>
      </c>
      <c r="C809" s="26" t="s">
        <v>1648</v>
      </c>
      <c r="D809" s="27" t="s">
        <v>0</v>
      </c>
      <c r="E809" s="27" t="s">
        <v>0</v>
      </c>
      <c r="F809" s="48" t="s">
        <v>2250</v>
      </c>
      <c r="G809" s="29"/>
      <c r="H809" s="29"/>
      <c r="I809" s="29"/>
      <c r="J809" s="29"/>
      <c r="K809" s="29"/>
      <c r="L809" s="10"/>
    </row>
    <row r="810" spans="2:12">
      <c r="B810" s="36"/>
      <c r="C810" s="26"/>
      <c r="D810" s="27"/>
      <c r="E810" s="27"/>
      <c r="F810" s="30"/>
      <c r="G810" s="29"/>
      <c r="H810" s="29"/>
      <c r="I810" s="29"/>
      <c r="J810" s="29"/>
      <c r="K810" s="29"/>
      <c r="L810" s="10"/>
    </row>
    <row r="811" spans="2:12">
      <c r="B811" s="36"/>
      <c r="C811" s="26"/>
      <c r="D811" s="27"/>
      <c r="E811" s="27"/>
      <c r="F811" s="320" t="s">
        <v>151</v>
      </c>
      <c r="G811" s="29"/>
      <c r="H811" s="29"/>
      <c r="I811" s="29"/>
      <c r="J811" s="29"/>
      <c r="K811" s="29"/>
      <c r="L811" s="10"/>
    </row>
    <row r="812" spans="2:12" ht="45" customHeight="1">
      <c r="B812" s="36"/>
      <c r="C812" s="26"/>
      <c r="D812" s="27"/>
      <c r="E812" s="27"/>
      <c r="F812" s="30"/>
      <c r="G812" s="29"/>
      <c r="H812" s="12" t="s">
        <v>1137</v>
      </c>
      <c r="I812" s="12" t="s">
        <v>1138</v>
      </c>
      <c r="J812" s="12" t="s">
        <v>1139</v>
      </c>
      <c r="K812" s="12" t="s">
        <v>1140</v>
      </c>
      <c r="L812" s="10"/>
    </row>
    <row r="813" spans="2:12">
      <c r="B813" s="36" t="s">
        <v>2226</v>
      </c>
      <c r="C813" s="26" t="s">
        <v>1649</v>
      </c>
      <c r="D813" s="27" t="s">
        <v>0</v>
      </c>
      <c r="E813" s="27" t="s">
        <v>0</v>
      </c>
      <c r="F813" s="30" t="s">
        <v>89</v>
      </c>
      <c r="G813" s="29" t="s">
        <v>0</v>
      </c>
      <c r="H813" s="49">
        <v>1000</v>
      </c>
      <c r="I813" s="49">
        <v>4000</v>
      </c>
      <c r="J813" s="49"/>
      <c r="K813" s="49"/>
      <c r="L813" s="10"/>
    </row>
    <row r="814" spans="2:12" ht="22.5">
      <c r="B814" s="36" t="s">
        <v>2226</v>
      </c>
      <c r="C814" s="26" t="s">
        <v>1650</v>
      </c>
      <c r="D814" s="27" t="s">
        <v>0</v>
      </c>
      <c r="E814" s="27" t="s">
        <v>0</v>
      </c>
      <c r="F814" s="28" t="s">
        <v>90</v>
      </c>
      <c r="G814" s="29" t="s">
        <v>0</v>
      </c>
      <c r="H814" s="49">
        <v>2000</v>
      </c>
      <c r="I814" s="49">
        <v>5000</v>
      </c>
      <c r="J814" s="49"/>
      <c r="K814" s="49"/>
      <c r="L814" s="10"/>
    </row>
    <row r="815" spans="2:12" ht="22.5">
      <c r="B815" s="36" t="s">
        <v>2226</v>
      </c>
      <c r="C815" s="26" t="s">
        <v>1651</v>
      </c>
      <c r="D815" s="27" t="s">
        <v>0</v>
      </c>
      <c r="E815" s="27" t="s">
        <v>0</v>
      </c>
      <c r="F815" s="28" t="s">
        <v>91</v>
      </c>
      <c r="G815" s="29" t="s">
        <v>0</v>
      </c>
      <c r="H815" s="49">
        <v>3000</v>
      </c>
      <c r="I815" s="49">
        <v>6000</v>
      </c>
      <c r="J815" s="49"/>
      <c r="K815" s="49"/>
      <c r="L815" s="10"/>
    </row>
    <row r="816" spans="2:12">
      <c r="B816" s="36" t="s">
        <v>0</v>
      </c>
      <c r="C816" s="26" t="s">
        <v>0</v>
      </c>
      <c r="D816" s="27" t="s">
        <v>0</v>
      </c>
      <c r="E816" s="27" t="s">
        <v>0</v>
      </c>
      <c r="F816" s="30"/>
      <c r="G816" s="29" t="s">
        <v>0</v>
      </c>
      <c r="H816" s="29"/>
      <c r="I816" s="29"/>
      <c r="J816" s="29"/>
      <c r="K816" s="29"/>
      <c r="L816" s="10"/>
    </row>
    <row r="817" spans="2:12" ht="33.75">
      <c r="B817" s="36"/>
      <c r="C817" s="26"/>
      <c r="D817" s="27" t="s">
        <v>0</v>
      </c>
      <c r="E817" s="27" t="s">
        <v>0</v>
      </c>
      <c r="F817" s="28" t="s">
        <v>92</v>
      </c>
      <c r="G817" s="29" t="s">
        <v>0</v>
      </c>
      <c r="H817" s="29"/>
      <c r="I817" s="29"/>
      <c r="J817" s="29"/>
      <c r="K817" s="29"/>
      <c r="L817" s="10"/>
    </row>
    <row r="818" spans="2:12">
      <c r="B818" s="36" t="s">
        <v>2226</v>
      </c>
      <c r="C818" s="26" t="s">
        <v>1652</v>
      </c>
      <c r="D818" s="27" t="s">
        <v>0</v>
      </c>
      <c r="E818" s="27" t="s">
        <v>0</v>
      </c>
      <c r="F818" s="48"/>
      <c r="G818" s="29" t="s">
        <v>0</v>
      </c>
      <c r="H818" s="29"/>
      <c r="I818" s="29"/>
      <c r="J818" s="29"/>
      <c r="K818" s="29"/>
      <c r="L818" s="10"/>
    </row>
    <row r="819" spans="2:12" ht="23.25" customHeight="1">
      <c r="B819" s="36"/>
      <c r="C819" s="26"/>
      <c r="D819" s="27"/>
      <c r="E819" s="27"/>
      <c r="F819" s="29"/>
      <c r="G819" s="29"/>
      <c r="H819" s="12" t="s">
        <v>1135</v>
      </c>
      <c r="I819" s="12" t="s">
        <v>1136</v>
      </c>
      <c r="J819" s="29"/>
      <c r="K819" s="29"/>
      <c r="L819" s="10"/>
    </row>
    <row r="820" spans="2:12" ht="22.5">
      <c r="B820" s="36" t="s">
        <v>2226</v>
      </c>
      <c r="C820" s="26" t="s">
        <v>1653</v>
      </c>
      <c r="D820" s="27" t="s">
        <v>0</v>
      </c>
      <c r="E820" s="27" t="s">
        <v>0</v>
      </c>
      <c r="F820" s="28" t="s">
        <v>93</v>
      </c>
      <c r="G820" s="29" t="s">
        <v>0</v>
      </c>
      <c r="H820" s="49">
        <v>1000</v>
      </c>
      <c r="I820" s="49">
        <v>3000</v>
      </c>
      <c r="J820" s="29"/>
      <c r="K820" s="29"/>
      <c r="L820" s="10"/>
    </row>
    <row r="821" spans="2:12" ht="22.5">
      <c r="B821" s="36" t="s">
        <v>2226</v>
      </c>
      <c r="C821" s="26" t="s">
        <v>1654</v>
      </c>
      <c r="D821" s="27" t="s">
        <v>0</v>
      </c>
      <c r="E821" s="27" t="s">
        <v>0</v>
      </c>
      <c r="F821" s="28" t="s">
        <v>94</v>
      </c>
      <c r="G821" s="29" t="s">
        <v>0</v>
      </c>
      <c r="H821" s="49">
        <v>2000</v>
      </c>
      <c r="I821" s="49">
        <v>4000</v>
      </c>
      <c r="J821" s="29"/>
      <c r="K821" s="29"/>
      <c r="L821" s="10"/>
    </row>
    <row r="822" spans="2:12">
      <c r="B822" s="36" t="s">
        <v>0</v>
      </c>
      <c r="C822" s="26" t="s">
        <v>0</v>
      </c>
      <c r="D822" s="27" t="s">
        <v>0</v>
      </c>
      <c r="E822" s="27" t="s">
        <v>0</v>
      </c>
      <c r="F822" s="30"/>
      <c r="G822" s="29" t="s">
        <v>0</v>
      </c>
      <c r="H822" s="29"/>
      <c r="I822" s="29"/>
      <c r="J822" s="29"/>
      <c r="K822" s="29"/>
      <c r="L822" s="10"/>
    </row>
    <row r="823" spans="2:12" ht="33.75">
      <c r="B823" s="36"/>
      <c r="C823" s="26"/>
      <c r="D823" s="27" t="s">
        <v>0</v>
      </c>
      <c r="E823" s="27" t="s">
        <v>0</v>
      </c>
      <c r="F823" s="28" t="s">
        <v>95</v>
      </c>
      <c r="G823" s="29" t="s">
        <v>0</v>
      </c>
      <c r="H823" s="29"/>
      <c r="I823" s="29"/>
      <c r="J823" s="29"/>
      <c r="K823" s="29"/>
      <c r="L823" s="10"/>
    </row>
    <row r="824" spans="2:12">
      <c r="B824" s="36" t="s">
        <v>2226</v>
      </c>
      <c r="C824" s="26" t="s">
        <v>1655</v>
      </c>
      <c r="D824" s="27" t="s">
        <v>0</v>
      </c>
      <c r="E824" s="27" t="s">
        <v>0</v>
      </c>
      <c r="F824" s="48"/>
      <c r="G824" s="29" t="s">
        <v>0</v>
      </c>
      <c r="H824" s="29"/>
      <c r="I824" s="29"/>
      <c r="J824" s="29"/>
      <c r="K824" s="29"/>
      <c r="L824" s="10"/>
    </row>
    <row r="825" spans="2:12" ht="38.25" customHeight="1">
      <c r="B825" s="36"/>
      <c r="C825" s="26"/>
      <c r="D825" s="27"/>
      <c r="E825" s="27"/>
      <c r="F825" s="29"/>
      <c r="G825" s="29"/>
      <c r="H825" s="12" t="s">
        <v>1135</v>
      </c>
      <c r="I825" s="12" t="s">
        <v>1136</v>
      </c>
      <c r="J825" s="29"/>
      <c r="K825" s="29"/>
      <c r="L825" s="10"/>
    </row>
    <row r="826" spans="2:12">
      <c r="B826" s="36" t="s">
        <v>2226</v>
      </c>
      <c r="C826" s="26" t="s">
        <v>1656</v>
      </c>
      <c r="D826" s="27" t="s">
        <v>0</v>
      </c>
      <c r="E826" s="27" t="s">
        <v>0</v>
      </c>
      <c r="F826" s="30" t="s">
        <v>96</v>
      </c>
      <c r="G826" s="29" t="s">
        <v>0</v>
      </c>
      <c r="H826" s="49">
        <v>1000</v>
      </c>
      <c r="I826" s="49">
        <v>2000</v>
      </c>
      <c r="J826" s="29"/>
      <c r="K826" s="29"/>
      <c r="L826" s="10"/>
    </row>
    <row r="827" spans="2:12">
      <c r="B827" s="36"/>
      <c r="C827" s="26"/>
      <c r="D827" s="27"/>
      <c r="E827" s="27"/>
      <c r="F827" s="30"/>
      <c r="G827" s="29"/>
      <c r="H827" s="29"/>
      <c r="I827" s="29"/>
      <c r="J827" s="29"/>
      <c r="K827" s="29"/>
      <c r="L827" s="10"/>
    </row>
    <row r="828" spans="2:12" ht="40.5" customHeight="1">
      <c r="B828" s="36"/>
      <c r="C828" s="26"/>
      <c r="D828" s="27"/>
      <c r="E828" s="27"/>
      <c r="F828" s="30"/>
      <c r="G828" s="29"/>
      <c r="H828" s="12" t="s">
        <v>1137</v>
      </c>
      <c r="I828" s="12" t="s">
        <v>1138</v>
      </c>
      <c r="J828" s="12" t="s">
        <v>1139</v>
      </c>
      <c r="K828" s="12" t="s">
        <v>1140</v>
      </c>
      <c r="L828" s="10"/>
    </row>
    <row r="829" spans="2:12" ht="22.5">
      <c r="B829" s="36" t="s">
        <v>2226</v>
      </c>
      <c r="C829" s="26" t="s">
        <v>1657</v>
      </c>
      <c r="D829" s="27" t="s">
        <v>0</v>
      </c>
      <c r="E829" s="27" t="s">
        <v>0</v>
      </c>
      <c r="F829" s="28" t="s">
        <v>97</v>
      </c>
      <c r="G829" s="27" t="s">
        <v>0</v>
      </c>
      <c r="H829" s="49">
        <v>3000</v>
      </c>
      <c r="I829" s="49">
        <v>6000</v>
      </c>
      <c r="J829" s="49"/>
      <c r="K829" s="49"/>
      <c r="L829" s="10"/>
    </row>
    <row r="830" spans="2:12">
      <c r="B830" s="36" t="s">
        <v>2226</v>
      </c>
      <c r="C830" s="26" t="s">
        <v>1658</v>
      </c>
      <c r="D830" s="27" t="s">
        <v>0</v>
      </c>
      <c r="E830" s="27" t="s">
        <v>0</v>
      </c>
      <c r="F830" s="30" t="s">
        <v>98</v>
      </c>
      <c r="G830" s="27" t="s">
        <v>0</v>
      </c>
      <c r="H830" s="49">
        <v>4000</v>
      </c>
      <c r="I830" s="49">
        <v>7000</v>
      </c>
      <c r="J830" s="49"/>
      <c r="K830" s="49"/>
      <c r="L830" s="10"/>
    </row>
    <row r="831" spans="2:12">
      <c r="B831" s="36" t="s">
        <v>2226</v>
      </c>
      <c r="C831" s="26" t="s">
        <v>1659</v>
      </c>
      <c r="D831" s="27" t="s">
        <v>0</v>
      </c>
      <c r="E831" s="27" t="s">
        <v>0</v>
      </c>
      <c r="F831" s="30" t="s">
        <v>99</v>
      </c>
      <c r="G831" s="27" t="s">
        <v>0</v>
      </c>
      <c r="H831" s="49">
        <v>5000</v>
      </c>
      <c r="I831" s="49">
        <v>8000</v>
      </c>
      <c r="J831" s="49"/>
      <c r="K831" s="49"/>
      <c r="L831" s="10"/>
    </row>
    <row r="832" spans="2:12">
      <c r="B832" s="36" t="s">
        <v>0</v>
      </c>
      <c r="C832" s="26" t="s">
        <v>0</v>
      </c>
      <c r="D832" s="27" t="s">
        <v>0</v>
      </c>
      <c r="E832" s="27" t="s">
        <v>0</v>
      </c>
      <c r="F832" s="30"/>
      <c r="G832" s="27" t="s">
        <v>0</v>
      </c>
      <c r="H832" s="29"/>
      <c r="I832" s="29"/>
      <c r="J832" s="29"/>
      <c r="K832" s="29"/>
      <c r="L832" s="10"/>
    </row>
    <row r="833" spans="2:12" ht="22.5">
      <c r="B833" s="36"/>
      <c r="C833" s="26"/>
      <c r="D833" s="27" t="s">
        <v>0</v>
      </c>
      <c r="E833" s="27" t="s">
        <v>0</v>
      </c>
      <c r="F833" s="28" t="s">
        <v>100</v>
      </c>
      <c r="G833" s="27" t="s">
        <v>0</v>
      </c>
      <c r="H833" s="29"/>
      <c r="I833" s="29"/>
      <c r="J833" s="29"/>
      <c r="K833" s="29"/>
      <c r="L833" s="10"/>
    </row>
    <row r="834" spans="2:12">
      <c r="B834" s="36" t="s">
        <v>2226</v>
      </c>
      <c r="C834" s="26" t="s">
        <v>1660</v>
      </c>
      <c r="D834" s="27" t="s">
        <v>0</v>
      </c>
      <c r="E834" s="27" t="s">
        <v>0</v>
      </c>
      <c r="F834" s="48" t="s">
        <v>2251</v>
      </c>
      <c r="G834" s="27" t="s">
        <v>0</v>
      </c>
      <c r="H834" s="29"/>
      <c r="I834" s="29"/>
      <c r="J834" s="29"/>
      <c r="K834" s="29"/>
      <c r="L834" s="10"/>
    </row>
    <row r="835" spans="2:12">
      <c r="B835" s="36" t="s">
        <v>0</v>
      </c>
      <c r="C835" s="26" t="s">
        <v>0</v>
      </c>
      <c r="D835" s="27" t="s">
        <v>0</v>
      </c>
      <c r="E835" s="27" t="s">
        <v>0</v>
      </c>
      <c r="F835" s="30"/>
      <c r="G835" s="27" t="s">
        <v>0</v>
      </c>
      <c r="H835" s="29"/>
      <c r="I835" s="29"/>
      <c r="J835" s="29"/>
      <c r="K835" s="29"/>
      <c r="L835" s="10"/>
    </row>
    <row r="836" spans="2:12">
      <c r="B836" s="36"/>
      <c r="C836" s="26"/>
      <c r="D836" s="27" t="s">
        <v>0</v>
      </c>
      <c r="E836" s="27" t="s">
        <v>0</v>
      </c>
      <c r="F836" s="342" t="s">
        <v>2228</v>
      </c>
      <c r="G836" s="27" t="s">
        <v>0</v>
      </c>
      <c r="H836" s="29"/>
      <c r="I836" s="29"/>
      <c r="J836" s="29"/>
      <c r="K836" s="29"/>
      <c r="L836" s="10"/>
    </row>
    <row r="837" spans="2:12">
      <c r="B837" s="36" t="s">
        <v>2226</v>
      </c>
      <c r="C837" s="343" t="s">
        <v>2227</v>
      </c>
      <c r="D837" s="27" t="s">
        <v>0</v>
      </c>
      <c r="E837" s="27" t="s">
        <v>0</v>
      </c>
      <c r="F837" s="48" t="s">
        <v>2252</v>
      </c>
      <c r="G837" s="27" t="s">
        <v>0</v>
      </c>
      <c r="H837" s="29"/>
      <c r="I837" s="29"/>
      <c r="J837" s="29"/>
      <c r="K837" s="29"/>
      <c r="L837" s="10"/>
    </row>
    <row r="838" spans="2:12">
      <c r="B838" s="37"/>
      <c r="C838" s="38"/>
      <c r="D838" s="38"/>
      <c r="E838" s="38"/>
      <c r="F838" s="47"/>
      <c r="G838" s="40"/>
      <c r="H838" s="40"/>
      <c r="I838" s="40"/>
      <c r="J838" s="39"/>
      <c r="K838" s="39"/>
      <c r="L838" s="11"/>
    </row>
    <row r="839" spans="2:12">
      <c r="D839" s="3"/>
      <c r="E839" s="3"/>
      <c r="F839" s="3"/>
      <c r="G839" s="3"/>
      <c r="H839" s="3"/>
      <c r="I839" s="3"/>
      <c r="J839" s="3"/>
      <c r="K839" s="3"/>
      <c r="L839" s="3"/>
    </row>
    <row r="840" spans="2:12">
      <c r="B840" s="35" t="s">
        <v>0</v>
      </c>
      <c r="C840" s="31" t="s">
        <v>0</v>
      </c>
      <c r="D840" s="17" t="s">
        <v>0</v>
      </c>
      <c r="E840" s="17" t="s">
        <v>0</v>
      </c>
      <c r="F840" s="165" t="s">
        <v>242</v>
      </c>
      <c r="G840" s="22" t="s">
        <v>0</v>
      </c>
      <c r="H840" s="42"/>
      <c r="I840" s="42"/>
      <c r="J840" s="42"/>
      <c r="K840" s="42"/>
      <c r="L840" s="44"/>
    </row>
    <row r="841" spans="2:12" ht="22.5">
      <c r="B841" s="36"/>
      <c r="C841" s="26"/>
      <c r="D841" s="18" t="s">
        <v>0</v>
      </c>
      <c r="E841" s="18" t="s">
        <v>0</v>
      </c>
      <c r="F841" s="20" t="s">
        <v>101</v>
      </c>
      <c r="G841" s="14" t="s">
        <v>0</v>
      </c>
      <c r="H841" s="19"/>
      <c r="I841" s="19"/>
      <c r="J841" s="19"/>
      <c r="K841" s="19"/>
      <c r="L841" s="45"/>
    </row>
    <row r="842" spans="2:12">
      <c r="B842" s="36" t="s">
        <v>2132</v>
      </c>
      <c r="C842" s="26" t="s">
        <v>1661</v>
      </c>
      <c r="D842" s="18" t="s">
        <v>0</v>
      </c>
      <c r="E842" s="18" t="s">
        <v>0</v>
      </c>
      <c r="F842" s="43" t="s">
        <v>2234</v>
      </c>
      <c r="G842" s="14" t="s">
        <v>0</v>
      </c>
      <c r="H842" s="19"/>
      <c r="I842" s="19"/>
      <c r="J842" s="19"/>
      <c r="K842" s="19"/>
      <c r="L842" s="45"/>
    </row>
    <row r="843" spans="2:12" ht="36" customHeight="1">
      <c r="B843" s="36" t="s">
        <v>0</v>
      </c>
      <c r="C843" s="26" t="s">
        <v>0</v>
      </c>
      <c r="D843" s="18" t="s">
        <v>0</v>
      </c>
      <c r="E843" s="18" t="s">
        <v>0</v>
      </c>
      <c r="F843" s="19"/>
      <c r="G843" s="14" t="s">
        <v>0</v>
      </c>
      <c r="H843" s="12" t="s">
        <v>1135</v>
      </c>
      <c r="I843" s="12" t="s">
        <v>1136</v>
      </c>
      <c r="J843" s="19"/>
      <c r="K843" s="19"/>
      <c r="L843" s="45"/>
    </row>
    <row r="844" spans="2:12">
      <c r="B844" s="36" t="s">
        <v>2132</v>
      </c>
      <c r="C844" s="26" t="s">
        <v>1804</v>
      </c>
      <c r="D844" s="18" t="s">
        <v>0</v>
      </c>
      <c r="E844" s="18" t="s">
        <v>0</v>
      </c>
      <c r="F844" s="19" t="s">
        <v>662</v>
      </c>
      <c r="G844" s="14"/>
      <c r="H844" s="275">
        <v>1000</v>
      </c>
      <c r="I844" s="275">
        <v>3000</v>
      </c>
      <c r="J844" s="19"/>
      <c r="K844" s="19"/>
      <c r="L844" s="45"/>
    </row>
    <row r="845" spans="2:12">
      <c r="B845" s="36" t="s">
        <v>2132</v>
      </c>
      <c r="C845" s="26" t="s">
        <v>1805</v>
      </c>
      <c r="D845" s="18" t="s">
        <v>0</v>
      </c>
      <c r="E845" s="18" t="s">
        <v>0</v>
      </c>
      <c r="F845" s="19" t="s">
        <v>663</v>
      </c>
      <c r="G845" s="14"/>
      <c r="H845" s="275">
        <v>338573354000</v>
      </c>
      <c r="I845" s="275">
        <v>336925246000</v>
      </c>
      <c r="J845" s="19"/>
      <c r="K845" s="19"/>
      <c r="L845" s="45"/>
    </row>
    <row r="846" spans="2:12">
      <c r="B846" s="36" t="s">
        <v>2132</v>
      </c>
      <c r="C846" s="26" t="s">
        <v>1662</v>
      </c>
      <c r="D846" s="18" t="s">
        <v>0</v>
      </c>
      <c r="E846" s="18" t="s">
        <v>0</v>
      </c>
      <c r="F846" s="19" t="s">
        <v>664</v>
      </c>
      <c r="G846" s="14"/>
      <c r="H846" s="175">
        <f>H845</f>
        <v>338573354000</v>
      </c>
      <c r="I846" s="175">
        <f>I845</f>
        <v>336925246000</v>
      </c>
      <c r="J846" s="19"/>
      <c r="K846" s="19"/>
      <c r="L846" s="45"/>
    </row>
    <row r="847" spans="2:12">
      <c r="B847" s="36"/>
      <c r="C847" s="26"/>
      <c r="D847" s="18"/>
      <c r="E847" s="18"/>
      <c r="F847" s="19"/>
      <c r="G847" s="14"/>
      <c r="H847" s="19"/>
      <c r="I847" s="19"/>
      <c r="J847" s="19"/>
      <c r="K847" s="19"/>
      <c r="L847" s="45"/>
    </row>
    <row r="848" spans="2:12">
      <c r="B848" s="36"/>
      <c r="C848" s="26"/>
      <c r="D848" s="18" t="s">
        <v>0</v>
      </c>
      <c r="E848" s="18" t="s">
        <v>0</v>
      </c>
      <c r="F848" s="19" t="s">
        <v>102</v>
      </c>
      <c r="G848" s="14" t="s">
        <v>0</v>
      </c>
      <c r="H848" s="19"/>
      <c r="I848" s="19"/>
      <c r="J848" s="19"/>
      <c r="K848" s="19"/>
      <c r="L848" s="45"/>
    </row>
    <row r="849" spans="2:12">
      <c r="B849" s="36" t="s">
        <v>2132</v>
      </c>
      <c r="C849" s="26" t="s">
        <v>1663</v>
      </c>
      <c r="D849" s="18" t="s">
        <v>0</v>
      </c>
      <c r="E849" s="18" t="s">
        <v>0</v>
      </c>
      <c r="F849" s="43" t="s">
        <v>2361</v>
      </c>
      <c r="G849" s="14" t="s">
        <v>0</v>
      </c>
      <c r="H849" s="19"/>
      <c r="I849" s="19"/>
      <c r="J849" s="19"/>
      <c r="K849" s="19"/>
      <c r="L849" s="45"/>
    </row>
    <row r="850" spans="2:12">
      <c r="B850" s="36"/>
      <c r="C850" s="26"/>
      <c r="D850" s="18"/>
      <c r="E850" s="18"/>
      <c r="F850" s="19"/>
      <c r="G850" s="14"/>
      <c r="H850" s="19"/>
      <c r="I850" s="19"/>
      <c r="J850" s="19"/>
      <c r="K850" s="19"/>
      <c r="L850" s="45"/>
    </row>
    <row r="851" spans="2:12">
      <c r="B851" s="36"/>
      <c r="C851" s="26"/>
      <c r="D851" s="18"/>
      <c r="E851" s="18"/>
      <c r="F851" s="147" t="s">
        <v>152</v>
      </c>
      <c r="G851" s="14"/>
      <c r="H851" s="19"/>
      <c r="I851" s="19"/>
      <c r="J851" s="19"/>
      <c r="K851" s="19"/>
      <c r="L851" s="45"/>
    </row>
    <row r="852" spans="2:12">
      <c r="B852" s="36"/>
      <c r="C852" s="26"/>
      <c r="D852" s="18"/>
      <c r="E852" s="18"/>
      <c r="F852" s="19"/>
      <c r="G852" s="14"/>
      <c r="H852" s="19"/>
      <c r="I852" s="19"/>
      <c r="J852" s="19"/>
      <c r="K852" s="19"/>
      <c r="L852" s="45"/>
    </row>
    <row r="853" spans="2:12">
      <c r="B853" s="36"/>
      <c r="C853" s="26"/>
      <c r="D853" s="18" t="s">
        <v>0</v>
      </c>
      <c r="E853" s="18" t="s">
        <v>0</v>
      </c>
      <c r="F853" s="19" t="s">
        <v>103</v>
      </c>
      <c r="G853" s="14"/>
      <c r="H853" s="19"/>
      <c r="I853" s="19"/>
      <c r="J853" s="19"/>
      <c r="K853" s="19"/>
      <c r="L853" s="45"/>
    </row>
    <row r="854" spans="2:12">
      <c r="B854" s="36" t="s">
        <v>2132</v>
      </c>
      <c r="C854" s="26" t="s">
        <v>1664</v>
      </c>
      <c r="D854" s="18" t="s">
        <v>0</v>
      </c>
      <c r="E854" s="18" t="s">
        <v>0</v>
      </c>
      <c r="F854" s="43" t="s">
        <v>2253</v>
      </c>
      <c r="G854" s="14"/>
      <c r="H854" s="19"/>
      <c r="I854" s="19"/>
      <c r="J854" s="19"/>
      <c r="K854" s="19"/>
      <c r="L854" s="45"/>
    </row>
    <row r="855" spans="2:12">
      <c r="B855" s="36"/>
      <c r="C855" s="26"/>
      <c r="D855" s="18"/>
      <c r="E855" s="18"/>
      <c r="F855" s="19"/>
      <c r="G855" s="14"/>
      <c r="H855" s="19"/>
      <c r="I855" s="19"/>
      <c r="J855" s="19"/>
      <c r="K855" s="19"/>
      <c r="L855" s="45"/>
    </row>
    <row r="856" spans="2:12">
      <c r="B856" s="36"/>
      <c r="C856" s="26"/>
      <c r="D856" s="18"/>
      <c r="E856" s="18"/>
      <c r="F856" s="148" t="s">
        <v>153</v>
      </c>
      <c r="G856" s="14"/>
      <c r="H856" s="19"/>
      <c r="I856" s="19"/>
      <c r="J856" s="19"/>
      <c r="K856" s="19"/>
      <c r="L856" s="45"/>
    </row>
    <row r="857" spans="2:12">
      <c r="B857" s="36"/>
      <c r="C857" s="26"/>
      <c r="D857" s="18"/>
      <c r="E857" s="18"/>
      <c r="F857" s="19"/>
      <c r="G857" s="14"/>
      <c r="H857" s="19"/>
      <c r="I857" s="19"/>
      <c r="J857" s="19"/>
      <c r="K857" s="19"/>
      <c r="L857" s="45"/>
    </row>
    <row r="858" spans="2:12">
      <c r="B858" s="36"/>
      <c r="C858" s="26"/>
      <c r="D858" s="18" t="s">
        <v>0</v>
      </c>
      <c r="E858" s="18" t="s">
        <v>0</v>
      </c>
      <c r="F858" s="19" t="s">
        <v>104</v>
      </c>
      <c r="G858" s="14" t="s">
        <v>0</v>
      </c>
      <c r="H858" s="19"/>
      <c r="I858" s="19"/>
      <c r="J858" s="19"/>
      <c r="K858" s="19"/>
      <c r="L858" s="45"/>
    </row>
    <row r="859" spans="2:12">
      <c r="B859" s="36" t="s">
        <v>2132</v>
      </c>
      <c r="C859" s="26" t="s">
        <v>1665</v>
      </c>
      <c r="D859" s="18" t="s">
        <v>0</v>
      </c>
      <c r="E859" s="18" t="s">
        <v>0</v>
      </c>
      <c r="F859" s="43" t="s">
        <v>2254</v>
      </c>
      <c r="G859" s="14" t="s">
        <v>0</v>
      </c>
      <c r="H859" s="19"/>
      <c r="I859" s="19"/>
      <c r="J859" s="19"/>
      <c r="K859" s="19"/>
      <c r="L859" s="45"/>
    </row>
    <row r="860" spans="2:12">
      <c r="B860" s="36" t="s">
        <v>0</v>
      </c>
      <c r="C860" s="26" t="s">
        <v>0</v>
      </c>
      <c r="D860" s="18" t="s">
        <v>0</v>
      </c>
      <c r="E860" s="18" t="s">
        <v>0</v>
      </c>
      <c r="F860" s="19"/>
      <c r="G860" s="14" t="s">
        <v>0</v>
      </c>
      <c r="H860" s="19"/>
      <c r="I860" s="19"/>
      <c r="J860" s="19"/>
      <c r="K860" s="19"/>
      <c r="L860" s="45"/>
    </row>
    <row r="861" spans="2:12" ht="22.5">
      <c r="B861" s="36"/>
      <c r="C861" s="26"/>
      <c r="D861" s="18" t="s">
        <v>0</v>
      </c>
      <c r="E861" s="18" t="s">
        <v>0</v>
      </c>
      <c r="F861" s="20" t="s">
        <v>105</v>
      </c>
      <c r="G861" s="14" t="s">
        <v>0</v>
      </c>
      <c r="H861" s="19"/>
      <c r="I861" s="19"/>
      <c r="J861" s="19"/>
      <c r="K861" s="19"/>
      <c r="L861" s="45"/>
    </row>
    <row r="862" spans="2:12">
      <c r="B862" s="36" t="s">
        <v>2132</v>
      </c>
      <c r="C862" s="26" t="s">
        <v>1666</v>
      </c>
      <c r="D862" s="18" t="s">
        <v>0</v>
      </c>
      <c r="E862" s="18" t="s">
        <v>0</v>
      </c>
      <c r="F862" s="43" t="s">
        <v>2255</v>
      </c>
      <c r="G862" s="14" t="s">
        <v>0</v>
      </c>
      <c r="H862" s="19"/>
      <c r="I862" s="19"/>
      <c r="J862" s="19"/>
      <c r="K862" s="19"/>
      <c r="L862" s="45"/>
    </row>
    <row r="863" spans="2:12">
      <c r="B863" s="36" t="s">
        <v>0</v>
      </c>
      <c r="C863" s="26" t="s">
        <v>0</v>
      </c>
      <c r="D863" s="18" t="s">
        <v>0</v>
      </c>
      <c r="E863" s="18" t="s">
        <v>0</v>
      </c>
      <c r="F863" s="19"/>
      <c r="G863" s="14" t="s">
        <v>0</v>
      </c>
      <c r="H863" s="19"/>
      <c r="I863" s="19"/>
      <c r="J863" s="19"/>
      <c r="K863" s="19"/>
      <c r="L863" s="45"/>
    </row>
    <row r="864" spans="2:12" ht="22.5">
      <c r="B864" s="36"/>
      <c r="C864" s="26"/>
      <c r="D864" s="18" t="s">
        <v>0</v>
      </c>
      <c r="E864" s="18" t="s">
        <v>0</v>
      </c>
      <c r="F864" s="20" t="s">
        <v>106</v>
      </c>
      <c r="G864" s="14" t="s">
        <v>0</v>
      </c>
      <c r="H864" s="19"/>
      <c r="I864" s="19"/>
      <c r="J864" s="19"/>
      <c r="K864" s="19"/>
      <c r="L864" s="45"/>
    </row>
    <row r="865" spans="2:12">
      <c r="B865" s="36" t="s">
        <v>2132</v>
      </c>
      <c r="C865" s="26" t="s">
        <v>1667</v>
      </c>
      <c r="D865" s="18" t="s">
        <v>0</v>
      </c>
      <c r="E865" s="18" t="s">
        <v>0</v>
      </c>
      <c r="F865" s="43" t="s">
        <v>2256</v>
      </c>
      <c r="G865" s="14" t="s">
        <v>0</v>
      </c>
      <c r="H865" s="19"/>
      <c r="I865" s="19"/>
      <c r="J865" s="19"/>
      <c r="K865" s="19"/>
      <c r="L865" s="45"/>
    </row>
    <row r="866" spans="2:12" ht="39" customHeight="1">
      <c r="B866" s="36"/>
      <c r="C866" s="26"/>
      <c r="D866" s="18"/>
      <c r="E866" s="18"/>
      <c r="F866" s="19"/>
      <c r="G866" s="14"/>
      <c r="H866" s="12" t="s">
        <v>1137</v>
      </c>
      <c r="I866" s="12" t="s">
        <v>1138</v>
      </c>
      <c r="J866" s="12" t="s">
        <v>1139</v>
      </c>
      <c r="K866" s="12" t="s">
        <v>1140</v>
      </c>
      <c r="L866" s="45"/>
    </row>
    <row r="867" spans="2:12" ht="22.5">
      <c r="B867" s="36" t="s">
        <v>2132</v>
      </c>
      <c r="C867" s="26" t="s">
        <v>1668</v>
      </c>
      <c r="D867" s="18" t="s">
        <v>0</v>
      </c>
      <c r="E867" s="18" t="s">
        <v>0</v>
      </c>
      <c r="F867" s="20" t="s">
        <v>107</v>
      </c>
      <c r="G867" s="14"/>
      <c r="H867" s="49">
        <v>1000</v>
      </c>
      <c r="I867" s="49">
        <v>2000</v>
      </c>
      <c r="J867" s="49">
        <v>30</v>
      </c>
      <c r="K867" s="49">
        <v>20</v>
      </c>
      <c r="L867" s="45"/>
    </row>
    <row r="868" spans="2:12">
      <c r="B868" s="36" t="s">
        <v>0</v>
      </c>
      <c r="C868" s="26" t="s">
        <v>0</v>
      </c>
      <c r="D868" s="18" t="s">
        <v>0</v>
      </c>
      <c r="E868" s="18" t="s">
        <v>0</v>
      </c>
      <c r="F868" s="19"/>
      <c r="G868" s="14" t="s">
        <v>0</v>
      </c>
      <c r="H868" s="19"/>
      <c r="I868" s="19"/>
      <c r="J868" s="19"/>
      <c r="K868" s="19"/>
      <c r="L868" s="45"/>
    </row>
    <row r="869" spans="2:12" ht="22.5">
      <c r="B869" s="36"/>
      <c r="C869" s="26"/>
      <c r="D869" s="18" t="s">
        <v>0</v>
      </c>
      <c r="E869" s="18" t="s">
        <v>0</v>
      </c>
      <c r="F869" s="20" t="s">
        <v>108</v>
      </c>
      <c r="G869" s="14" t="s">
        <v>0</v>
      </c>
      <c r="H869" s="19"/>
      <c r="I869" s="19"/>
      <c r="J869" s="19"/>
      <c r="K869" s="19"/>
      <c r="L869" s="45"/>
    </row>
    <row r="870" spans="2:12">
      <c r="B870" s="36" t="s">
        <v>2132</v>
      </c>
      <c r="C870" s="26" t="s">
        <v>1669</v>
      </c>
      <c r="D870" s="18" t="s">
        <v>0</v>
      </c>
      <c r="E870" s="18" t="s">
        <v>0</v>
      </c>
      <c r="F870" s="43" t="s">
        <v>2257</v>
      </c>
      <c r="G870" s="14" t="s">
        <v>0</v>
      </c>
      <c r="H870" s="19"/>
      <c r="I870" s="19"/>
      <c r="J870" s="19"/>
      <c r="K870" s="19"/>
      <c r="L870" s="45"/>
    </row>
    <row r="871" spans="2:12">
      <c r="B871" s="36"/>
      <c r="C871" s="26"/>
      <c r="D871" s="18"/>
      <c r="E871" s="18"/>
      <c r="F871" s="19"/>
      <c r="G871" s="14"/>
      <c r="H871" s="19"/>
      <c r="I871" s="19"/>
      <c r="J871" s="19"/>
      <c r="K871" s="19"/>
      <c r="L871" s="45"/>
    </row>
    <row r="872" spans="2:12">
      <c r="B872" s="36" t="s">
        <v>2132</v>
      </c>
      <c r="C872" s="26" t="s">
        <v>2128</v>
      </c>
      <c r="D872" s="18" t="s">
        <v>0</v>
      </c>
      <c r="E872" s="249" t="s">
        <v>0</v>
      </c>
      <c r="F872" s="183" t="s">
        <v>2126</v>
      </c>
      <c r="G872" s="14"/>
      <c r="H872" s="275">
        <v>1000</v>
      </c>
      <c r="I872" s="275">
        <v>2000</v>
      </c>
      <c r="J872" s="19"/>
      <c r="K872" s="19"/>
      <c r="L872" s="45"/>
    </row>
    <row r="873" spans="2:12">
      <c r="B873" s="36"/>
      <c r="C873" s="26"/>
      <c r="D873" s="18"/>
      <c r="E873" s="249"/>
      <c r="F873" s="183"/>
      <c r="G873" s="14"/>
      <c r="H873" s="19"/>
      <c r="I873" s="19"/>
      <c r="J873" s="19"/>
      <c r="K873" s="19"/>
      <c r="L873" s="45"/>
    </row>
    <row r="874" spans="2:12">
      <c r="B874" s="36"/>
      <c r="C874" s="26"/>
      <c r="D874" s="18" t="s">
        <v>0</v>
      </c>
      <c r="E874" s="249" t="s">
        <v>0</v>
      </c>
      <c r="F874" s="182" t="s">
        <v>2127</v>
      </c>
      <c r="G874" s="14"/>
      <c r="H874" s="19"/>
      <c r="I874" s="19"/>
      <c r="J874" s="19"/>
      <c r="K874" s="19"/>
      <c r="L874" s="45"/>
    </row>
    <row r="875" spans="2:12">
      <c r="B875" s="36" t="s">
        <v>2132</v>
      </c>
      <c r="C875" s="26" t="s">
        <v>1847</v>
      </c>
      <c r="D875" s="18" t="s">
        <v>0</v>
      </c>
      <c r="E875" s="18" t="s">
        <v>0</v>
      </c>
      <c r="F875" s="43" t="s">
        <v>2258</v>
      </c>
      <c r="G875" s="14"/>
      <c r="H875" s="19"/>
      <c r="I875" s="19"/>
      <c r="J875" s="19"/>
      <c r="K875" s="19"/>
      <c r="L875" s="45"/>
    </row>
    <row r="876" spans="2:12">
      <c r="B876" s="36"/>
      <c r="C876" s="26"/>
      <c r="D876" s="18"/>
      <c r="E876" s="18"/>
      <c r="F876" s="19"/>
      <c r="G876" s="14"/>
      <c r="H876" s="19"/>
      <c r="I876" s="19"/>
      <c r="J876" s="19"/>
      <c r="K876" s="19"/>
      <c r="L876" s="45"/>
    </row>
    <row r="877" spans="2:12">
      <c r="B877" s="37"/>
      <c r="C877" s="38"/>
      <c r="D877" s="23"/>
      <c r="E877" s="23"/>
      <c r="F877" s="25"/>
      <c r="G877" s="24"/>
      <c r="H877" s="25"/>
      <c r="I877" s="25"/>
      <c r="J877" s="25"/>
      <c r="K877" s="25"/>
      <c r="L877" s="46"/>
    </row>
    <row r="879" spans="2:12">
      <c r="B879" s="35"/>
      <c r="C879" s="31"/>
      <c r="D879" s="17" t="s">
        <v>0</v>
      </c>
      <c r="E879" s="17" t="s">
        <v>0</v>
      </c>
      <c r="F879" s="166" t="s">
        <v>243</v>
      </c>
      <c r="G879" s="22"/>
      <c r="H879" s="44"/>
    </row>
    <row r="880" spans="2:12">
      <c r="B880" s="36"/>
      <c r="C880" s="26"/>
      <c r="D880" s="18"/>
      <c r="E880" s="18"/>
      <c r="F880" s="28"/>
      <c r="G880" s="14"/>
      <c r="H880" s="45"/>
    </row>
    <row r="881" spans="2:8" ht="22.5">
      <c r="B881" s="36"/>
      <c r="C881" s="26"/>
      <c r="D881" s="18" t="s">
        <v>0</v>
      </c>
      <c r="E881" s="18" t="s">
        <v>0</v>
      </c>
      <c r="F881" s="28" t="s">
        <v>154</v>
      </c>
      <c r="G881" s="14"/>
      <c r="H881" s="45"/>
    </row>
    <row r="882" spans="2:8">
      <c r="B882" s="36" t="s">
        <v>1932</v>
      </c>
      <c r="C882" s="26" t="s">
        <v>1643</v>
      </c>
      <c r="D882" s="18" t="s">
        <v>0</v>
      </c>
      <c r="E882" s="18" t="s">
        <v>0</v>
      </c>
      <c r="F882" s="43" t="s">
        <v>2259</v>
      </c>
      <c r="G882" s="14"/>
      <c r="H882" s="45"/>
    </row>
    <row r="883" spans="2:8">
      <c r="B883" s="36" t="s">
        <v>0</v>
      </c>
      <c r="C883" s="26" t="s">
        <v>0</v>
      </c>
      <c r="D883" s="18" t="s">
        <v>0</v>
      </c>
      <c r="E883" s="18" t="s">
        <v>0</v>
      </c>
      <c r="F883" s="28"/>
      <c r="G883" s="14"/>
      <c r="H883" s="45"/>
    </row>
    <row r="884" spans="2:8" ht="22.5">
      <c r="B884" s="36"/>
      <c r="C884" s="26"/>
      <c r="D884" s="18" t="s">
        <v>0</v>
      </c>
      <c r="E884" s="18" t="s">
        <v>0</v>
      </c>
      <c r="F884" s="28" t="s">
        <v>653</v>
      </c>
      <c r="G884" s="14"/>
      <c r="H884" s="45"/>
    </row>
    <row r="885" spans="2:8">
      <c r="B885" s="36" t="s">
        <v>1932</v>
      </c>
      <c r="C885" s="26" t="s">
        <v>1670</v>
      </c>
      <c r="D885" s="18" t="s">
        <v>0</v>
      </c>
      <c r="E885" s="18" t="s">
        <v>0</v>
      </c>
      <c r="F885" s="43" t="s">
        <v>2260</v>
      </c>
      <c r="G885" s="14"/>
      <c r="H885" s="45"/>
    </row>
    <row r="886" spans="2:8">
      <c r="B886" s="36" t="s">
        <v>0</v>
      </c>
      <c r="C886" s="26" t="s">
        <v>0</v>
      </c>
      <c r="D886" s="18" t="s">
        <v>0</v>
      </c>
      <c r="E886" s="18" t="s">
        <v>0</v>
      </c>
      <c r="F886" s="28"/>
      <c r="G886" s="14"/>
      <c r="H886" s="45"/>
    </row>
    <row r="887" spans="2:8">
      <c r="B887" s="36"/>
      <c r="C887" s="26"/>
      <c r="D887" s="18" t="s">
        <v>0</v>
      </c>
      <c r="E887" s="18" t="s">
        <v>0</v>
      </c>
      <c r="F887" s="28" t="s">
        <v>155</v>
      </c>
      <c r="G887" s="14"/>
      <c r="H887" s="45"/>
    </row>
    <row r="888" spans="2:8">
      <c r="B888" s="36" t="s">
        <v>1932</v>
      </c>
      <c r="C888" s="26" t="s">
        <v>1671</v>
      </c>
      <c r="D888" s="18" t="s">
        <v>0</v>
      </c>
      <c r="E888" s="18" t="s">
        <v>0</v>
      </c>
      <c r="F888" s="43" t="s">
        <v>2261</v>
      </c>
      <c r="G888" s="14"/>
      <c r="H888" s="45"/>
    </row>
    <row r="889" spans="2:8">
      <c r="B889" s="36" t="s">
        <v>0</v>
      </c>
      <c r="C889" s="26" t="s">
        <v>0</v>
      </c>
      <c r="D889" s="18" t="s">
        <v>0</v>
      </c>
      <c r="E889" s="18" t="s">
        <v>0</v>
      </c>
      <c r="F889" s="28"/>
      <c r="G889" s="14"/>
      <c r="H889" s="45"/>
    </row>
    <row r="890" spans="2:8">
      <c r="B890" s="36"/>
      <c r="C890" s="26"/>
      <c r="D890" s="18" t="s">
        <v>0</v>
      </c>
      <c r="E890" s="18" t="s">
        <v>0</v>
      </c>
      <c r="F890" s="28" t="s">
        <v>156</v>
      </c>
      <c r="G890" s="14"/>
      <c r="H890" s="45"/>
    </row>
    <row r="891" spans="2:8">
      <c r="B891" s="36" t="s">
        <v>1932</v>
      </c>
      <c r="C891" s="26" t="s">
        <v>1672</v>
      </c>
      <c r="D891" s="18" t="s">
        <v>0</v>
      </c>
      <c r="E891" s="18" t="s">
        <v>0</v>
      </c>
      <c r="F891" s="43" t="s">
        <v>2263</v>
      </c>
      <c r="G891" s="14"/>
      <c r="H891" s="45"/>
    </row>
    <row r="892" spans="2:8">
      <c r="B892" s="36" t="s">
        <v>0</v>
      </c>
      <c r="C892" s="26" t="s">
        <v>0</v>
      </c>
      <c r="D892" s="18" t="s">
        <v>0</v>
      </c>
      <c r="E892" s="18" t="s">
        <v>0</v>
      </c>
      <c r="F892" s="28"/>
      <c r="G892" s="14"/>
      <c r="H892" s="45"/>
    </row>
    <row r="893" spans="2:8">
      <c r="B893" s="36"/>
      <c r="C893" s="26"/>
      <c r="D893" s="18" t="s">
        <v>0</v>
      </c>
      <c r="E893" s="18" t="s">
        <v>0</v>
      </c>
      <c r="F893" s="28" t="s">
        <v>157</v>
      </c>
      <c r="G893" s="14"/>
      <c r="H893" s="45"/>
    </row>
    <row r="894" spans="2:8">
      <c r="B894" s="36" t="s">
        <v>1932</v>
      </c>
      <c r="C894" s="26" t="s">
        <v>1673</v>
      </c>
      <c r="D894" s="18" t="s">
        <v>0</v>
      </c>
      <c r="E894" s="18" t="s">
        <v>0</v>
      </c>
      <c r="F894" s="43" t="s">
        <v>2262</v>
      </c>
      <c r="G894" s="14"/>
      <c r="H894" s="45"/>
    </row>
    <row r="895" spans="2:8">
      <c r="B895" s="36" t="s">
        <v>0</v>
      </c>
      <c r="C895" s="26" t="s">
        <v>0</v>
      </c>
      <c r="D895" s="18" t="s">
        <v>0</v>
      </c>
      <c r="E895" s="18" t="s">
        <v>0</v>
      </c>
      <c r="F895" s="28"/>
      <c r="G895" s="14"/>
      <c r="H895" s="45"/>
    </row>
    <row r="896" spans="2:8">
      <c r="B896" s="36"/>
      <c r="C896" s="26"/>
      <c r="D896" s="18" t="s">
        <v>0</v>
      </c>
      <c r="E896" s="18" t="s">
        <v>0</v>
      </c>
      <c r="F896" s="28" t="s">
        <v>158</v>
      </c>
      <c r="G896" s="14"/>
      <c r="H896" s="45"/>
    </row>
    <row r="897" spans="2:8">
      <c r="B897" s="36" t="s">
        <v>1932</v>
      </c>
      <c r="C897" s="26" t="s">
        <v>1674</v>
      </c>
      <c r="D897" s="18" t="s">
        <v>0</v>
      </c>
      <c r="E897" s="18" t="s">
        <v>0</v>
      </c>
      <c r="F897" s="43" t="s">
        <v>2264</v>
      </c>
      <c r="G897" s="14"/>
      <c r="H897" s="45"/>
    </row>
    <row r="898" spans="2:8">
      <c r="B898" s="36" t="s">
        <v>0</v>
      </c>
      <c r="C898" s="26" t="s">
        <v>0</v>
      </c>
      <c r="D898" s="18" t="s">
        <v>0</v>
      </c>
      <c r="E898" s="18" t="s">
        <v>0</v>
      </c>
      <c r="F898" s="28"/>
      <c r="G898" s="14"/>
      <c r="H898" s="45"/>
    </row>
    <row r="899" spans="2:8" ht="22.5">
      <c r="B899" s="36"/>
      <c r="C899" s="26"/>
      <c r="D899" s="18" t="s">
        <v>0</v>
      </c>
      <c r="E899" s="18" t="s">
        <v>0</v>
      </c>
      <c r="F899" s="28" t="s">
        <v>159</v>
      </c>
      <c r="G899" s="14"/>
      <c r="H899" s="45"/>
    </row>
    <row r="900" spans="2:8">
      <c r="B900" s="36" t="s">
        <v>1932</v>
      </c>
      <c r="C900" s="26" t="s">
        <v>1675</v>
      </c>
      <c r="D900" s="18" t="s">
        <v>0</v>
      </c>
      <c r="E900" s="18" t="s">
        <v>0</v>
      </c>
      <c r="F900" s="43" t="s">
        <v>2265</v>
      </c>
      <c r="G900" s="14"/>
      <c r="H900" s="45"/>
    </row>
    <row r="901" spans="2:8">
      <c r="B901" s="36" t="s">
        <v>0</v>
      </c>
      <c r="C901" s="26" t="s">
        <v>0</v>
      </c>
      <c r="D901" s="18" t="s">
        <v>0</v>
      </c>
      <c r="E901" s="18" t="s">
        <v>0</v>
      </c>
      <c r="F901" s="28"/>
      <c r="G901" s="14"/>
      <c r="H901" s="45"/>
    </row>
    <row r="902" spans="2:8">
      <c r="B902" s="36"/>
      <c r="C902" s="26"/>
      <c r="D902" s="18" t="s">
        <v>0</v>
      </c>
      <c r="E902" s="18" t="s">
        <v>0</v>
      </c>
      <c r="F902" s="28" t="s">
        <v>160</v>
      </c>
      <c r="G902" s="14"/>
      <c r="H902" s="45"/>
    </row>
    <row r="903" spans="2:8">
      <c r="B903" s="36" t="s">
        <v>1932</v>
      </c>
      <c r="C903" s="26" t="s">
        <v>1676</v>
      </c>
      <c r="D903" s="18" t="s">
        <v>0</v>
      </c>
      <c r="E903" s="18" t="s">
        <v>0</v>
      </c>
      <c r="F903" s="43" t="s">
        <v>2266</v>
      </c>
      <c r="G903" s="14"/>
      <c r="H903" s="45"/>
    </row>
    <row r="904" spans="2:8">
      <c r="B904" s="36" t="s">
        <v>0</v>
      </c>
      <c r="C904" s="26" t="s">
        <v>0</v>
      </c>
      <c r="D904" s="18" t="s">
        <v>0</v>
      </c>
      <c r="E904" s="18" t="s">
        <v>0</v>
      </c>
      <c r="F904" s="28"/>
      <c r="G904" s="14"/>
      <c r="H904" s="45"/>
    </row>
    <row r="905" spans="2:8">
      <c r="B905" s="36"/>
      <c r="C905" s="26"/>
      <c r="D905" s="18" t="s">
        <v>0</v>
      </c>
      <c r="E905" s="18" t="s">
        <v>0</v>
      </c>
      <c r="F905" s="28" t="s">
        <v>161</v>
      </c>
      <c r="G905" s="14"/>
      <c r="H905" s="45"/>
    </row>
    <row r="906" spans="2:8">
      <c r="B906" s="36" t="s">
        <v>1932</v>
      </c>
      <c r="C906" s="26" t="s">
        <v>1677</v>
      </c>
      <c r="D906" s="18" t="s">
        <v>0</v>
      </c>
      <c r="E906" s="18" t="s">
        <v>0</v>
      </c>
      <c r="F906" s="43" t="s">
        <v>2267</v>
      </c>
      <c r="G906" s="14"/>
      <c r="H906" s="45"/>
    </row>
    <row r="907" spans="2:8">
      <c r="B907" s="36" t="s">
        <v>0</v>
      </c>
      <c r="C907" s="26" t="s">
        <v>0</v>
      </c>
      <c r="D907" s="18" t="s">
        <v>0</v>
      </c>
      <c r="E907" s="18" t="s">
        <v>0</v>
      </c>
      <c r="F907" s="28"/>
      <c r="G907" s="14"/>
      <c r="H907" s="45"/>
    </row>
    <row r="908" spans="2:8">
      <c r="B908" s="36"/>
      <c r="C908" s="26"/>
      <c r="D908" s="18" t="s">
        <v>0</v>
      </c>
      <c r="E908" s="18" t="s">
        <v>0</v>
      </c>
      <c r="F908" s="28" t="s">
        <v>162</v>
      </c>
      <c r="G908" s="14"/>
      <c r="H908" s="45"/>
    </row>
    <row r="909" spans="2:8">
      <c r="B909" s="36" t="s">
        <v>1932</v>
      </c>
      <c r="C909" s="26" t="s">
        <v>1678</v>
      </c>
      <c r="D909" s="18" t="s">
        <v>0</v>
      </c>
      <c r="E909" s="18" t="s">
        <v>0</v>
      </c>
      <c r="F909" s="43" t="s">
        <v>2268</v>
      </c>
      <c r="G909" s="14"/>
      <c r="H909" s="45"/>
    </row>
    <row r="910" spans="2:8">
      <c r="B910" s="36"/>
      <c r="C910" s="26"/>
      <c r="D910" s="18"/>
      <c r="E910" s="18"/>
      <c r="F910" s="28"/>
      <c r="G910" s="14"/>
      <c r="H910" s="45"/>
    </row>
    <row r="911" spans="2:8">
      <c r="B911" s="36"/>
      <c r="C911" s="26"/>
      <c r="D911" s="18" t="s">
        <v>0</v>
      </c>
      <c r="E911" s="18" t="s">
        <v>0</v>
      </c>
      <c r="F911" s="28" t="s">
        <v>1931</v>
      </c>
      <c r="G911" s="14"/>
      <c r="H911" s="45"/>
    </row>
    <row r="912" spans="2:8">
      <c r="B912" s="36" t="s">
        <v>1932</v>
      </c>
      <c r="C912" s="26" t="s">
        <v>1944</v>
      </c>
      <c r="D912" s="18" t="s">
        <v>0</v>
      </c>
      <c r="E912" s="18" t="s">
        <v>0</v>
      </c>
      <c r="F912" s="43" t="s">
        <v>2269</v>
      </c>
      <c r="G912" s="14"/>
      <c r="H912" s="45"/>
    </row>
    <row r="913" spans="2:8">
      <c r="B913" s="36"/>
      <c r="C913" s="26"/>
      <c r="D913" s="18"/>
      <c r="E913" s="18"/>
      <c r="F913" s="28"/>
      <c r="G913" s="14"/>
      <c r="H913" s="45"/>
    </row>
    <row r="914" spans="2:8">
      <c r="B914" s="36"/>
      <c r="C914" s="26"/>
      <c r="D914" s="18"/>
      <c r="E914" s="18"/>
      <c r="F914" s="195" t="s">
        <v>961</v>
      </c>
      <c r="G914" s="14"/>
      <c r="H914" s="45"/>
    </row>
    <row r="915" spans="2:8">
      <c r="B915" s="36" t="s">
        <v>1932</v>
      </c>
      <c r="C915" s="26" t="s">
        <v>1679</v>
      </c>
      <c r="D915" s="18" t="s">
        <v>0</v>
      </c>
      <c r="E915" s="18"/>
      <c r="F915" s="43" t="s">
        <v>2270</v>
      </c>
      <c r="G915" s="14"/>
      <c r="H915" s="45"/>
    </row>
    <row r="916" spans="2:8">
      <c r="B916" s="36" t="s">
        <v>0</v>
      </c>
      <c r="C916" s="26" t="s">
        <v>0</v>
      </c>
      <c r="D916" s="18" t="s">
        <v>0</v>
      </c>
      <c r="E916" s="18" t="s">
        <v>0</v>
      </c>
      <c r="F916" s="28"/>
      <c r="G916" s="14"/>
      <c r="H916" s="45"/>
    </row>
    <row r="917" spans="2:8">
      <c r="B917" s="36"/>
      <c r="C917" s="26"/>
      <c r="D917" s="18"/>
      <c r="E917" s="18"/>
      <c r="F917" s="195" t="s">
        <v>1190</v>
      </c>
      <c r="G917" s="14"/>
      <c r="H917" s="45"/>
    </row>
    <row r="918" spans="2:8">
      <c r="B918" s="36" t="s">
        <v>1932</v>
      </c>
      <c r="C918" s="26" t="s">
        <v>1191</v>
      </c>
      <c r="D918" s="18" t="s">
        <v>0</v>
      </c>
      <c r="E918" s="18"/>
      <c r="F918" s="43" t="s">
        <v>2271</v>
      </c>
      <c r="G918" s="14"/>
      <c r="H918" s="45"/>
    </row>
    <row r="919" spans="2:8">
      <c r="B919" s="36" t="s">
        <v>0</v>
      </c>
      <c r="C919" s="26" t="s">
        <v>0</v>
      </c>
      <c r="D919" s="18" t="s">
        <v>0</v>
      </c>
      <c r="E919" s="18" t="s">
        <v>0</v>
      </c>
      <c r="F919" s="28"/>
      <c r="G919" s="14"/>
      <c r="H919" s="45"/>
    </row>
    <row r="920" spans="2:8" ht="22.5">
      <c r="B920" s="36"/>
      <c r="C920" s="26"/>
      <c r="D920" s="18" t="s">
        <v>0</v>
      </c>
      <c r="E920" s="18" t="s">
        <v>0</v>
      </c>
      <c r="F920" s="28" t="s">
        <v>654</v>
      </c>
      <c r="G920" s="14"/>
      <c r="H920" s="45"/>
    </row>
    <row r="921" spans="2:8">
      <c r="B921" s="36" t="s">
        <v>1932</v>
      </c>
      <c r="C921" s="26" t="s">
        <v>1680</v>
      </c>
      <c r="D921" s="18" t="s">
        <v>0</v>
      </c>
      <c r="E921" s="18" t="s">
        <v>0</v>
      </c>
      <c r="F921" s="43" t="s">
        <v>2272</v>
      </c>
      <c r="G921" s="14"/>
      <c r="H921" s="45"/>
    </row>
    <row r="922" spans="2:8">
      <c r="B922" s="36" t="s">
        <v>0</v>
      </c>
      <c r="C922" s="26" t="s">
        <v>0</v>
      </c>
      <c r="D922" s="18" t="s">
        <v>0</v>
      </c>
      <c r="E922" s="18" t="s">
        <v>0</v>
      </c>
      <c r="F922" s="28"/>
      <c r="G922" s="14"/>
      <c r="H922" s="45"/>
    </row>
    <row r="923" spans="2:8" ht="22.5">
      <c r="B923" s="36"/>
      <c r="C923" s="26"/>
      <c r="D923" s="18" t="s">
        <v>0</v>
      </c>
      <c r="E923" s="18" t="s">
        <v>0</v>
      </c>
      <c r="F923" s="28" t="s">
        <v>163</v>
      </c>
      <c r="G923" s="14"/>
      <c r="H923" s="45"/>
    </row>
    <row r="924" spans="2:8">
      <c r="B924" s="36" t="s">
        <v>1932</v>
      </c>
      <c r="C924" s="26" t="s">
        <v>1681</v>
      </c>
      <c r="D924" s="18" t="s">
        <v>0</v>
      </c>
      <c r="E924" s="18" t="s">
        <v>0</v>
      </c>
      <c r="F924" s="43" t="s">
        <v>2273</v>
      </c>
      <c r="G924" s="14"/>
      <c r="H924" s="45"/>
    </row>
    <row r="925" spans="2:8">
      <c r="B925" s="36" t="s">
        <v>0</v>
      </c>
      <c r="C925" s="26" t="s">
        <v>0</v>
      </c>
      <c r="D925" s="18" t="s">
        <v>0</v>
      </c>
      <c r="E925" s="18" t="s">
        <v>0</v>
      </c>
      <c r="F925" s="28"/>
      <c r="G925" s="14"/>
      <c r="H925" s="45"/>
    </row>
    <row r="926" spans="2:8">
      <c r="B926" s="36"/>
      <c r="C926" s="26"/>
      <c r="D926" s="18"/>
      <c r="E926" s="18"/>
      <c r="F926" s="195" t="s">
        <v>1192</v>
      </c>
      <c r="G926" s="14"/>
      <c r="H926" s="45"/>
    </row>
    <row r="927" spans="2:8">
      <c r="B927" s="36" t="s">
        <v>1932</v>
      </c>
      <c r="C927" s="26" t="s">
        <v>1193</v>
      </c>
      <c r="D927" s="18" t="s">
        <v>0</v>
      </c>
      <c r="E927" s="18"/>
      <c r="F927" s="43" t="s">
        <v>2274</v>
      </c>
      <c r="G927" s="14"/>
      <c r="H927" s="45"/>
    </row>
    <row r="928" spans="2:8">
      <c r="B928" s="36" t="s">
        <v>0</v>
      </c>
      <c r="C928" s="26" t="s">
        <v>0</v>
      </c>
      <c r="D928" s="18" t="s">
        <v>0</v>
      </c>
      <c r="E928" s="18" t="s">
        <v>0</v>
      </c>
      <c r="F928" s="28"/>
      <c r="G928" s="14"/>
      <c r="H928" s="45"/>
    </row>
    <row r="929" spans="2:8">
      <c r="B929" s="36"/>
      <c r="C929" s="26"/>
      <c r="D929" s="18" t="s">
        <v>0</v>
      </c>
      <c r="E929" s="18" t="s">
        <v>0</v>
      </c>
      <c r="F929" s="28" t="s">
        <v>164</v>
      </c>
      <c r="G929" s="14"/>
      <c r="H929" s="45"/>
    </row>
    <row r="930" spans="2:8">
      <c r="B930" s="36" t="s">
        <v>1932</v>
      </c>
      <c r="C930" s="26" t="s">
        <v>1682</v>
      </c>
      <c r="D930" s="18" t="s">
        <v>0</v>
      </c>
      <c r="E930" s="18" t="s">
        <v>0</v>
      </c>
      <c r="F930" s="43" t="s">
        <v>2275</v>
      </c>
      <c r="G930" s="14"/>
      <c r="H930" s="45"/>
    </row>
    <row r="931" spans="2:8">
      <c r="B931" s="36" t="s">
        <v>0</v>
      </c>
      <c r="C931" s="26" t="s">
        <v>0</v>
      </c>
      <c r="D931" s="18" t="s">
        <v>0</v>
      </c>
      <c r="E931" s="18" t="s">
        <v>0</v>
      </c>
      <c r="F931" s="28"/>
      <c r="G931" s="14"/>
      <c r="H931" s="45"/>
    </row>
    <row r="932" spans="2:8" ht="22.5">
      <c r="B932" s="36"/>
      <c r="C932" s="26"/>
      <c r="D932" s="18" t="s">
        <v>0</v>
      </c>
      <c r="E932" s="18" t="s">
        <v>0</v>
      </c>
      <c r="F932" s="28" t="s">
        <v>165</v>
      </c>
      <c r="G932" s="14"/>
      <c r="H932" s="45"/>
    </row>
    <row r="933" spans="2:8">
      <c r="B933" s="36" t="s">
        <v>1932</v>
      </c>
      <c r="C933" s="26" t="s">
        <v>1683</v>
      </c>
      <c r="D933" s="18" t="s">
        <v>0</v>
      </c>
      <c r="E933" s="18" t="s">
        <v>0</v>
      </c>
      <c r="F933" s="43" t="s">
        <v>2276</v>
      </c>
      <c r="G933" s="14"/>
      <c r="H933" s="45"/>
    </row>
    <row r="934" spans="2:8">
      <c r="B934" s="36" t="s">
        <v>0</v>
      </c>
      <c r="C934" s="26" t="s">
        <v>0</v>
      </c>
      <c r="D934" s="18" t="s">
        <v>0</v>
      </c>
      <c r="E934" s="18" t="s">
        <v>0</v>
      </c>
      <c r="F934" s="28"/>
      <c r="G934" s="14"/>
      <c r="H934" s="45"/>
    </row>
    <row r="935" spans="2:8">
      <c r="B935" s="36"/>
      <c r="C935" s="26"/>
      <c r="D935" s="18" t="s">
        <v>0</v>
      </c>
      <c r="E935" s="18" t="s">
        <v>0</v>
      </c>
      <c r="F935" s="28" t="s">
        <v>166</v>
      </c>
      <c r="G935" s="14"/>
      <c r="H935" s="45"/>
    </row>
    <row r="936" spans="2:8">
      <c r="B936" s="36" t="s">
        <v>1932</v>
      </c>
      <c r="C936" s="26" t="s">
        <v>1684</v>
      </c>
      <c r="D936" s="18" t="s">
        <v>0</v>
      </c>
      <c r="E936" s="18" t="s">
        <v>0</v>
      </c>
      <c r="F936" s="43" t="s">
        <v>2277</v>
      </c>
      <c r="G936" s="14"/>
      <c r="H936" s="45"/>
    </row>
    <row r="937" spans="2:8">
      <c r="B937" s="36" t="s">
        <v>0</v>
      </c>
      <c r="C937" s="26" t="s">
        <v>0</v>
      </c>
      <c r="D937" s="18" t="s">
        <v>0</v>
      </c>
      <c r="E937" s="18" t="s">
        <v>0</v>
      </c>
      <c r="F937" s="28"/>
      <c r="G937" s="14"/>
      <c r="H937" s="45"/>
    </row>
    <row r="938" spans="2:8" ht="22.5">
      <c r="B938" s="36"/>
      <c r="C938" s="26"/>
      <c r="D938" s="18" t="s">
        <v>0</v>
      </c>
      <c r="E938" s="18" t="s">
        <v>0</v>
      </c>
      <c r="F938" s="28" t="s">
        <v>167</v>
      </c>
      <c r="G938" s="14"/>
      <c r="H938" s="45"/>
    </row>
    <row r="939" spans="2:8">
      <c r="B939" s="36" t="s">
        <v>1932</v>
      </c>
      <c r="C939" s="26" t="s">
        <v>1685</v>
      </c>
      <c r="D939" s="18" t="s">
        <v>0</v>
      </c>
      <c r="E939" s="18" t="s">
        <v>0</v>
      </c>
      <c r="F939" s="43" t="s">
        <v>2278</v>
      </c>
      <c r="G939" s="14"/>
      <c r="H939" s="45"/>
    </row>
    <row r="940" spans="2:8">
      <c r="B940" s="36" t="s">
        <v>0</v>
      </c>
      <c r="C940" s="26" t="s">
        <v>0</v>
      </c>
      <c r="D940" s="18" t="s">
        <v>0</v>
      </c>
      <c r="E940" s="18" t="s">
        <v>0</v>
      </c>
      <c r="F940" s="28"/>
      <c r="G940" s="14"/>
      <c r="H940" s="45"/>
    </row>
    <row r="941" spans="2:8" ht="22.5">
      <c r="B941" s="36"/>
      <c r="C941" s="26"/>
      <c r="D941" s="18" t="s">
        <v>0</v>
      </c>
      <c r="E941" s="18" t="s">
        <v>0</v>
      </c>
      <c r="F941" s="28" t="s">
        <v>168</v>
      </c>
      <c r="G941" s="14"/>
      <c r="H941" s="45"/>
    </row>
    <row r="942" spans="2:8">
      <c r="B942" s="36" t="s">
        <v>1932</v>
      </c>
      <c r="C942" s="26" t="s">
        <v>1686</v>
      </c>
      <c r="D942" s="18" t="s">
        <v>0</v>
      </c>
      <c r="E942" s="18" t="s">
        <v>0</v>
      </c>
      <c r="F942" s="43" t="s">
        <v>2279</v>
      </c>
      <c r="G942" s="14"/>
      <c r="H942" s="45"/>
    </row>
    <row r="943" spans="2:8">
      <c r="B943" s="36" t="s">
        <v>0</v>
      </c>
      <c r="C943" s="26" t="s">
        <v>0</v>
      </c>
      <c r="D943" s="18" t="s">
        <v>0</v>
      </c>
      <c r="E943" s="18" t="s">
        <v>0</v>
      </c>
      <c r="F943" s="28"/>
      <c r="G943" s="14"/>
      <c r="H943" s="45"/>
    </row>
    <row r="944" spans="2:8">
      <c r="B944" s="36"/>
      <c r="C944" s="26"/>
      <c r="D944" s="18" t="s">
        <v>0</v>
      </c>
      <c r="E944" s="18" t="s">
        <v>0</v>
      </c>
      <c r="F944" s="28" t="s">
        <v>169</v>
      </c>
      <c r="G944" s="14"/>
      <c r="H944" s="45"/>
    </row>
    <row r="945" spans="2:8">
      <c r="B945" s="36" t="s">
        <v>1932</v>
      </c>
      <c r="C945" s="26" t="s">
        <v>1687</v>
      </c>
      <c r="D945" s="18" t="s">
        <v>0</v>
      </c>
      <c r="E945" s="18" t="s">
        <v>0</v>
      </c>
      <c r="F945" s="43" t="s">
        <v>2280</v>
      </c>
      <c r="G945" s="14"/>
      <c r="H945" s="45"/>
    </row>
    <row r="946" spans="2:8">
      <c r="B946" s="36" t="s">
        <v>0</v>
      </c>
      <c r="C946" s="26" t="s">
        <v>0</v>
      </c>
      <c r="D946" s="18" t="s">
        <v>0</v>
      </c>
      <c r="E946" s="18" t="s">
        <v>0</v>
      </c>
      <c r="F946" s="28"/>
      <c r="G946" s="14"/>
      <c r="H946" s="45"/>
    </row>
    <row r="947" spans="2:8">
      <c r="B947" s="36"/>
      <c r="C947" s="26"/>
      <c r="D947" s="18" t="s">
        <v>0</v>
      </c>
      <c r="E947" s="18" t="s">
        <v>0</v>
      </c>
      <c r="F947" s="28" t="s">
        <v>170</v>
      </c>
      <c r="G947" s="14"/>
      <c r="H947" s="45"/>
    </row>
    <row r="948" spans="2:8">
      <c r="B948" s="36" t="s">
        <v>1932</v>
      </c>
      <c r="C948" s="26" t="s">
        <v>1688</v>
      </c>
      <c r="D948" s="18" t="s">
        <v>0</v>
      </c>
      <c r="E948" s="18" t="s">
        <v>0</v>
      </c>
      <c r="F948" s="43" t="s">
        <v>2281</v>
      </c>
      <c r="G948" s="14"/>
      <c r="H948" s="45"/>
    </row>
    <row r="949" spans="2:8">
      <c r="B949" s="36" t="s">
        <v>0</v>
      </c>
      <c r="C949" s="26" t="s">
        <v>0</v>
      </c>
      <c r="D949" s="18" t="s">
        <v>0</v>
      </c>
      <c r="E949" s="18" t="s">
        <v>0</v>
      </c>
      <c r="F949" s="28"/>
      <c r="G949" s="14"/>
      <c r="H949" s="45"/>
    </row>
    <row r="950" spans="2:8">
      <c r="B950" s="36"/>
      <c r="C950" s="26"/>
      <c r="D950" s="18" t="s">
        <v>0</v>
      </c>
      <c r="E950" s="18" t="s">
        <v>0</v>
      </c>
      <c r="F950" s="28" t="s">
        <v>171</v>
      </c>
      <c r="G950" s="14"/>
      <c r="H950" s="45"/>
    </row>
    <row r="951" spans="2:8">
      <c r="B951" s="36" t="s">
        <v>1932</v>
      </c>
      <c r="C951" s="26" t="s">
        <v>1689</v>
      </c>
      <c r="D951" s="18" t="s">
        <v>0</v>
      </c>
      <c r="E951" s="18" t="s">
        <v>0</v>
      </c>
      <c r="F951" s="43" t="s">
        <v>2282</v>
      </c>
      <c r="G951" s="14"/>
      <c r="H951" s="45"/>
    </row>
    <row r="952" spans="2:8">
      <c r="B952" s="36" t="s">
        <v>0</v>
      </c>
      <c r="C952" s="26" t="s">
        <v>0</v>
      </c>
      <c r="D952" s="18" t="s">
        <v>0</v>
      </c>
      <c r="E952" s="18" t="s">
        <v>0</v>
      </c>
      <c r="F952" s="28"/>
      <c r="G952" s="14"/>
      <c r="H952" s="45"/>
    </row>
    <row r="953" spans="2:8">
      <c r="B953" s="36"/>
      <c r="C953" s="26"/>
      <c r="D953" s="18" t="s">
        <v>0</v>
      </c>
      <c r="E953" s="18" t="s">
        <v>0</v>
      </c>
      <c r="F953" s="28" t="s">
        <v>1933</v>
      </c>
      <c r="G953" s="14"/>
      <c r="H953" s="45"/>
    </row>
    <row r="954" spans="2:8">
      <c r="B954" s="36" t="s">
        <v>1932</v>
      </c>
      <c r="C954" s="26" t="s">
        <v>1945</v>
      </c>
      <c r="D954" s="18" t="s">
        <v>0</v>
      </c>
      <c r="E954" s="18" t="s">
        <v>0</v>
      </c>
      <c r="F954" s="43" t="s">
        <v>2283</v>
      </c>
      <c r="G954" s="14"/>
      <c r="H954" s="45"/>
    </row>
    <row r="955" spans="2:8">
      <c r="B955" s="36" t="s">
        <v>0</v>
      </c>
      <c r="C955" s="26" t="s">
        <v>0</v>
      </c>
      <c r="D955" s="18" t="s">
        <v>0</v>
      </c>
      <c r="E955" s="18" t="s">
        <v>0</v>
      </c>
      <c r="F955" s="28"/>
      <c r="G955" s="14"/>
      <c r="H955" s="45"/>
    </row>
    <row r="956" spans="2:8">
      <c r="B956" s="36"/>
      <c r="C956" s="26"/>
      <c r="D956" s="18" t="s">
        <v>0</v>
      </c>
      <c r="E956" s="18" t="s">
        <v>0</v>
      </c>
      <c r="F956" s="28" t="s">
        <v>172</v>
      </c>
      <c r="G956" s="14"/>
      <c r="H956" s="45"/>
    </row>
    <row r="957" spans="2:8">
      <c r="B957" s="36" t="s">
        <v>1932</v>
      </c>
      <c r="C957" s="26" t="s">
        <v>1690</v>
      </c>
      <c r="D957" s="18" t="s">
        <v>0</v>
      </c>
      <c r="E957" s="18" t="s">
        <v>0</v>
      </c>
      <c r="F957" s="43" t="s">
        <v>2284</v>
      </c>
      <c r="G957" s="14"/>
      <c r="H957" s="45"/>
    </row>
    <row r="958" spans="2:8">
      <c r="B958" s="36" t="s">
        <v>0</v>
      </c>
      <c r="C958" s="26" t="s">
        <v>0</v>
      </c>
      <c r="D958" s="18" t="s">
        <v>0</v>
      </c>
      <c r="E958" s="18" t="s">
        <v>0</v>
      </c>
      <c r="F958" s="28"/>
      <c r="G958" s="14"/>
      <c r="H958" s="45"/>
    </row>
    <row r="959" spans="2:8" ht="22.5">
      <c r="B959" s="36"/>
      <c r="C959" s="26"/>
      <c r="D959" s="18" t="s">
        <v>0</v>
      </c>
      <c r="E959" s="18" t="s">
        <v>0</v>
      </c>
      <c r="F959" s="28" t="s">
        <v>173</v>
      </c>
      <c r="G959" s="14"/>
      <c r="H959" s="45"/>
    </row>
    <row r="960" spans="2:8">
      <c r="B960" s="36" t="s">
        <v>1932</v>
      </c>
      <c r="C960" s="26" t="s">
        <v>1691</v>
      </c>
      <c r="D960" s="18" t="s">
        <v>0</v>
      </c>
      <c r="E960" s="18" t="s">
        <v>0</v>
      </c>
      <c r="F960" s="43" t="s">
        <v>2285</v>
      </c>
      <c r="G960" s="14"/>
      <c r="H960" s="45"/>
    </row>
    <row r="961" spans="2:8">
      <c r="B961" s="36" t="s">
        <v>0</v>
      </c>
      <c r="C961" s="26" t="s">
        <v>0</v>
      </c>
      <c r="D961" s="18" t="s">
        <v>0</v>
      </c>
      <c r="E961" s="18" t="s">
        <v>0</v>
      </c>
      <c r="F961" s="28"/>
      <c r="G961" s="14"/>
      <c r="H961" s="45"/>
    </row>
    <row r="962" spans="2:8">
      <c r="B962" s="36"/>
      <c r="C962" s="26"/>
      <c r="D962" s="18" t="s">
        <v>0</v>
      </c>
      <c r="E962" s="18" t="s">
        <v>0</v>
      </c>
      <c r="F962" s="28" t="s">
        <v>174</v>
      </c>
      <c r="G962" s="14"/>
      <c r="H962" s="45"/>
    </row>
    <row r="963" spans="2:8">
      <c r="B963" s="36" t="s">
        <v>1932</v>
      </c>
      <c r="C963" s="26" t="s">
        <v>1692</v>
      </c>
      <c r="D963" s="18" t="s">
        <v>0</v>
      </c>
      <c r="E963" s="18" t="s">
        <v>0</v>
      </c>
      <c r="F963" s="43" t="s">
        <v>2286</v>
      </c>
      <c r="G963" s="14"/>
      <c r="H963" s="45"/>
    </row>
    <row r="964" spans="2:8">
      <c r="B964" s="36" t="s">
        <v>0</v>
      </c>
      <c r="C964" s="26" t="s">
        <v>0</v>
      </c>
      <c r="D964" s="18" t="s">
        <v>0</v>
      </c>
      <c r="E964" s="18" t="s">
        <v>0</v>
      </c>
      <c r="F964" s="28"/>
      <c r="G964" s="14"/>
      <c r="H964" s="45"/>
    </row>
    <row r="965" spans="2:8" ht="22.5">
      <c r="B965" s="36"/>
      <c r="C965" s="26"/>
      <c r="D965" s="18" t="s">
        <v>0</v>
      </c>
      <c r="E965" s="18" t="s">
        <v>0</v>
      </c>
      <c r="F965" s="28" t="s">
        <v>175</v>
      </c>
      <c r="G965" s="14"/>
      <c r="H965" s="45"/>
    </row>
    <row r="966" spans="2:8">
      <c r="B966" s="36" t="s">
        <v>1932</v>
      </c>
      <c r="C966" s="26" t="s">
        <v>1693</v>
      </c>
      <c r="D966" s="18" t="s">
        <v>0</v>
      </c>
      <c r="E966" s="18" t="s">
        <v>0</v>
      </c>
      <c r="F966" s="43" t="s">
        <v>2249</v>
      </c>
      <c r="G966" s="14"/>
      <c r="H966" s="45"/>
    </row>
    <row r="967" spans="2:8">
      <c r="B967" s="36" t="s">
        <v>0</v>
      </c>
      <c r="C967" s="26" t="s">
        <v>0</v>
      </c>
      <c r="D967" s="18" t="s">
        <v>0</v>
      </c>
      <c r="E967" s="18" t="s">
        <v>0</v>
      </c>
      <c r="F967" s="28"/>
      <c r="G967" s="14"/>
      <c r="H967" s="45"/>
    </row>
    <row r="968" spans="2:8">
      <c r="B968" s="36"/>
      <c r="C968" s="26"/>
      <c r="D968" s="18" t="s">
        <v>0</v>
      </c>
      <c r="E968" s="18" t="s">
        <v>0</v>
      </c>
      <c r="F968" s="28" t="s">
        <v>176</v>
      </c>
      <c r="G968" s="14"/>
      <c r="H968" s="45"/>
    </row>
    <row r="969" spans="2:8">
      <c r="B969" s="36" t="s">
        <v>1932</v>
      </c>
      <c r="C969" s="26" t="s">
        <v>1694</v>
      </c>
      <c r="D969" s="18" t="s">
        <v>0</v>
      </c>
      <c r="E969" s="18" t="s">
        <v>0</v>
      </c>
      <c r="F969" s="43" t="s">
        <v>2287</v>
      </c>
      <c r="G969" s="14"/>
      <c r="H969" s="45"/>
    </row>
    <row r="970" spans="2:8">
      <c r="B970" s="36" t="s">
        <v>0</v>
      </c>
      <c r="C970" s="26" t="s">
        <v>0</v>
      </c>
      <c r="D970" s="18" t="s">
        <v>0</v>
      </c>
      <c r="E970" s="18" t="s">
        <v>0</v>
      </c>
      <c r="F970" s="28"/>
      <c r="G970" s="14"/>
      <c r="H970" s="45"/>
    </row>
    <row r="971" spans="2:8" ht="22.5">
      <c r="B971" s="36"/>
      <c r="C971" s="26"/>
      <c r="D971" s="18" t="s">
        <v>0</v>
      </c>
      <c r="E971" s="18" t="s">
        <v>0</v>
      </c>
      <c r="F971" s="28" t="s">
        <v>177</v>
      </c>
      <c r="G971" s="14"/>
      <c r="H971" s="45"/>
    </row>
    <row r="972" spans="2:8">
      <c r="B972" s="36" t="s">
        <v>1932</v>
      </c>
      <c r="C972" s="26" t="s">
        <v>1695</v>
      </c>
      <c r="D972" s="18" t="s">
        <v>0</v>
      </c>
      <c r="E972" s="18" t="s">
        <v>0</v>
      </c>
      <c r="F972" s="43" t="s">
        <v>2288</v>
      </c>
      <c r="G972" s="14"/>
      <c r="H972" s="45"/>
    </row>
    <row r="973" spans="2:8">
      <c r="B973" s="36" t="s">
        <v>0</v>
      </c>
      <c r="C973" s="26" t="s">
        <v>0</v>
      </c>
      <c r="D973" s="18" t="s">
        <v>0</v>
      </c>
      <c r="E973" s="18" t="s">
        <v>0</v>
      </c>
      <c r="F973" s="28"/>
      <c r="G973" s="14"/>
      <c r="H973" s="45"/>
    </row>
    <row r="974" spans="2:8">
      <c r="B974" s="36"/>
      <c r="C974" s="26"/>
      <c r="D974" s="18" t="s">
        <v>0</v>
      </c>
      <c r="E974" s="18" t="s">
        <v>0</v>
      </c>
      <c r="F974" s="28" t="s">
        <v>178</v>
      </c>
      <c r="G974" s="14"/>
      <c r="H974" s="45"/>
    </row>
    <row r="975" spans="2:8">
      <c r="B975" s="36" t="s">
        <v>1932</v>
      </c>
      <c r="C975" s="26" t="s">
        <v>1696</v>
      </c>
      <c r="D975" s="18" t="s">
        <v>0</v>
      </c>
      <c r="E975" s="18" t="s">
        <v>0</v>
      </c>
      <c r="F975" s="43" t="s">
        <v>2289</v>
      </c>
      <c r="G975" s="14"/>
      <c r="H975" s="45"/>
    </row>
    <row r="976" spans="2:8">
      <c r="B976" s="36" t="s">
        <v>0</v>
      </c>
      <c r="C976" s="26" t="s">
        <v>0</v>
      </c>
      <c r="D976" s="18" t="s">
        <v>0</v>
      </c>
      <c r="E976" s="18" t="s">
        <v>0</v>
      </c>
      <c r="F976" s="28"/>
      <c r="G976" s="14"/>
      <c r="H976" s="45"/>
    </row>
    <row r="977" spans="2:8">
      <c r="B977" s="36"/>
      <c r="C977" s="26"/>
      <c r="D977" s="18" t="s">
        <v>0</v>
      </c>
      <c r="E977" s="18" t="s">
        <v>0</v>
      </c>
      <c r="F977" s="28" t="s">
        <v>179</v>
      </c>
      <c r="G977" s="14"/>
      <c r="H977" s="45"/>
    </row>
    <row r="978" spans="2:8">
      <c r="B978" s="36" t="s">
        <v>1932</v>
      </c>
      <c r="C978" s="26" t="s">
        <v>1697</v>
      </c>
      <c r="D978" s="18" t="s">
        <v>0</v>
      </c>
      <c r="E978" s="18" t="s">
        <v>0</v>
      </c>
      <c r="F978" s="43" t="s">
        <v>2290</v>
      </c>
      <c r="G978" s="14"/>
      <c r="H978" s="45"/>
    </row>
    <row r="979" spans="2:8">
      <c r="B979" s="36" t="s">
        <v>0</v>
      </c>
      <c r="C979" s="26" t="s">
        <v>0</v>
      </c>
      <c r="D979" s="18" t="s">
        <v>0</v>
      </c>
      <c r="E979" s="18" t="s">
        <v>0</v>
      </c>
      <c r="F979" s="28"/>
      <c r="G979" s="14"/>
      <c r="H979" s="45"/>
    </row>
    <row r="980" spans="2:8">
      <c r="B980" s="36"/>
      <c r="C980" s="26"/>
      <c r="D980" s="18" t="s">
        <v>0</v>
      </c>
      <c r="E980" s="18" t="s">
        <v>0</v>
      </c>
      <c r="F980" s="28" t="s">
        <v>180</v>
      </c>
      <c r="G980" s="14"/>
      <c r="H980" s="45"/>
    </row>
    <row r="981" spans="2:8">
      <c r="B981" s="36" t="s">
        <v>1932</v>
      </c>
      <c r="C981" s="26" t="s">
        <v>1698</v>
      </c>
      <c r="D981" s="18" t="s">
        <v>0</v>
      </c>
      <c r="E981" s="18" t="s">
        <v>0</v>
      </c>
      <c r="F981" s="43" t="s">
        <v>2291</v>
      </c>
      <c r="G981" s="14"/>
      <c r="H981" s="45"/>
    </row>
    <row r="982" spans="2:8">
      <c r="B982" s="36" t="s">
        <v>0</v>
      </c>
      <c r="C982" s="26" t="s">
        <v>0</v>
      </c>
      <c r="D982" s="18" t="s">
        <v>0</v>
      </c>
      <c r="E982" s="18" t="s">
        <v>0</v>
      </c>
      <c r="F982" s="28"/>
      <c r="G982" s="14"/>
      <c r="H982" s="45"/>
    </row>
    <row r="983" spans="2:8">
      <c r="B983" s="36"/>
      <c r="C983" s="26"/>
      <c r="D983" s="18" t="s">
        <v>0</v>
      </c>
      <c r="E983" s="18" t="s">
        <v>0</v>
      </c>
      <c r="F983" s="28" t="s">
        <v>181</v>
      </c>
      <c r="G983" s="14"/>
      <c r="H983" s="45"/>
    </row>
    <row r="984" spans="2:8">
      <c r="B984" s="36" t="s">
        <v>1932</v>
      </c>
      <c r="C984" s="26" t="s">
        <v>1699</v>
      </c>
      <c r="D984" s="18" t="s">
        <v>0</v>
      </c>
      <c r="E984" s="18" t="s">
        <v>0</v>
      </c>
      <c r="F984" s="43" t="s">
        <v>2292</v>
      </c>
      <c r="G984" s="14"/>
      <c r="H984" s="45"/>
    </row>
    <row r="985" spans="2:8">
      <c r="B985" s="36" t="s">
        <v>0</v>
      </c>
      <c r="C985" s="26" t="s">
        <v>0</v>
      </c>
      <c r="D985" s="18" t="s">
        <v>0</v>
      </c>
      <c r="E985" s="18" t="s">
        <v>0</v>
      </c>
      <c r="F985" s="28"/>
      <c r="G985" s="14"/>
      <c r="H985" s="45"/>
    </row>
    <row r="986" spans="2:8">
      <c r="B986" s="36"/>
      <c r="C986" s="26"/>
      <c r="D986" s="18" t="s">
        <v>0</v>
      </c>
      <c r="E986" s="18" t="s">
        <v>0</v>
      </c>
      <c r="F986" s="28" t="s">
        <v>182</v>
      </c>
      <c r="G986" s="14"/>
      <c r="H986" s="45"/>
    </row>
    <row r="987" spans="2:8">
      <c r="B987" s="36" t="s">
        <v>1932</v>
      </c>
      <c r="C987" s="26" t="s">
        <v>1700</v>
      </c>
      <c r="D987" s="18" t="s">
        <v>0</v>
      </c>
      <c r="E987" s="18" t="s">
        <v>0</v>
      </c>
      <c r="F987" s="43" t="s">
        <v>2293</v>
      </c>
      <c r="G987" s="14"/>
      <c r="H987" s="45"/>
    </row>
    <row r="988" spans="2:8">
      <c r="B988" s="36" t="s">
        <v>0</v>
      </c>
      <c r="C988" s="26" t="s">
        <v>0</v>
      </c>
      <c r="D988" s="18" t="s">
        <v>0</v>
      </c>
      <c r="E988" s="18" t="s">
        <v>0</v>
      </c>
      <c r="F988" s="28"/>
      <c r="G988" s="14"/>
      <c r="H988" s="45"/>
    </row>
    <row r="989" spans="2:8" ht="22.5">
      <c r="B989" s="36"/>
      <c r="C989" s="26"/>
      <c r="D989" s="18" t="s">
        <v>0</v>
      </c>
      <c r="E989" s="18" t="s">
        <v>0</v>
      </c>
      <c r="F989" s="28" t="s">
        <v>183</v>
      </c>
      <c r="G989" s="14"/>
      <c r="H989" s="45"/>
    </row>
    <row r="990" spans="2:8">
      <c r="B990" s="36" t="s">
        <v>1932</v>
      </c>
      <c r="C990" s="26" t="s">
        <v>1701</v>
      </c>
      <c r="D990" s="18" t="s">
        <v>0</v>
      </c>
      <c r="E990" s="18" t="s">
        <v>0</v>
      </c>
      <c r="F990" s="43" t="s">
        <v>2294</v>
      </c>
      <c r="G990" s="14"/>
      <c r="H990" s="45"/>
    </row>
    <row r="991" spans="2:8">
      <c r="B991" s="36" t="s">
        <v>0</v>
      </c>
      <c r="C991" s="26" t="s">
        <v>0</v>
      </c>
      <c r="D991" s="18" t="s">
        <v>0</v>
      </c>
      <c r="E991" s="18" t="s">
        <v>0</v>
      </c>
      <c r="F991" s="28"/>
      <c r="G991" s="14"/>
      <c r="H991" s="45"/>
    </row>
    <row r="992" spans="2:8">
      <c r="B992" s="36"/>
      <c r="C992" s="26"/>
      <c r="D992" s="18" t="s">
        <v>0</v>
      </c>
      <c r="E992" s="18" t="s">
        <v>0</v>
      </c>
      <c r="F992" s="28" t="s">
        <v>184</v>
      </c>
      <c r="G992" s="14"/>
      <c r="H992" s="45"/>
    </row>
    <row r="993" spans="2:8">
      <c r="B993" s="36" t="s">
        <v>1932</v>
      </c>
      <c r="C993" s="26" t="s">
        <v>1702</v>
      </c>
      <c r="D993" s="18" t="s">
        <v>0</v>
      </c>
      <c r="E993" s="18" t="s">
        <v>0</v>
      </c>
      <c r="F993" s="43" t="s">
        <v>2295</v>
      </c>
      <c r="G993" s="14"/>
      <c r="H993" s="45"/>
    </row>
    <row r="994" spans="2:8">
      <c r="B994" s="36" t="s">
        <v>0</v>
      </c>
      <c r="C994" s="26" t="s">
        <v>0</v>
      </c>
      <c r="D994" s="18" t="s">
        <v>0</v>
      </c>
      <c r="E994" s="18" t="s">
        <v>0</v>
      </c>
      <c r="F994" s="28"/>
      <c r="G994" s="14"/>
      <c r="H994" s="45"/>
    </row>
    <row r="995" spans="2:8">
      <c r="B995" s="36"/>
      <c r="C995" s="26"/>
      <c r="D995" s="18" t="s">
        <v>0</v>
      </c>
      <c r="E995" s="18" t="s">
        <v>0</v>
      </c>
      <c r="F995" s="28" t="s">
        <v>185</v>
      </c>
      <c r="G995" s="14"/>
      <c r="H995" s="45"/>
    </row>
    <row r="996" spans="2:8">
      <c r="B996" s="36" t="s">
        <v>1932</v>
      </c>
      <c r="C996" s="26" t="s">
        <v>1703</v>
      </c>
      <c r="D996" s="18" t="s">
        <v>0</v>
      </c>
      <c r="E996" s="18" t="s">
        <v>0</v>
      </c>
      <c r="F996" s="43" t="s">
        <v>2296</v>
      </c>
      <c r="G996" s="14"/>
      <c r="H996" s="45"/>
    </row>
    <row r="997" spans="2:8">
      <c r="B997" s="36" t="s">
        <v>0</v>
      </c>
      <c r="C997" s="26" t="s">
        <v>0</v>
      </c>
      <c r="D997" s="18" t="s">
        <v>0</v>
      </c>
      <c r="E997" s="18" t="s">
        <v>0</v>
      </c>
      <c r="F997" s="28"/>
      <c r="G997" s="14"/>
      <c r="H997" s="45"/>
    </row>
    <row r="998" spans="2:8">
      <c r="B998" s="36"/>
      <c r="C998" s="26"/>
      <c r="D998" s="18" t="s">
        <v>0</v>
      </c>
      <c r="E998" s="18" t="s">
        <v>0</v>
      </c>
      <c r="F998" s="28" t="s">
        <v>186</v>
      </c>
      <c r="G998" s="14"/>
      <c r="H998" s="45"/>
    </row>
    <row r="999" spans="2:8">
      <c r="B999" s="36" t="s">
        <v>1932</v>
      </c>
      <c r="C999" s="26" t="s">
        <v>1704</v>
      </c>
      <c r="D999" s="18" t="s">
        <v>0</v>
      </c>
      <c r="E999" s="18" t="s">
        <v>0</v>
      </c>
      <c r="F999" s="43" t="s">
        <v>2297</v>
      </c>
      <c r="G999" s="14"/>
      <c r="H999" s="45"/>
    </row>
    <row r="1000" spans="2:8">
      <c r="B1000" s="36" t="s">
        <v>0</v>
      </c>
      <c r="C1000" s="26" t="s">
        <v>0</v>
      </c>
      <c r="D1000" s="18" t="s">
        <v>0</v>
      </c>
      <c r="E1000" s="18" t="s">
        <v>0</v>
      </c>
      <c r="F1000" s="28"/>
      <c r="G1000" s="14"/>
      <c r="H1000" s="45"/>
    </row>
    <row r="1001" spans="2:8">
      <c r="B1001" s="36"/>
      <c r="C1001" s="26"/>
      <c r="D1001" s="18" t="s">
        <v>0</v>
      </c>
      <c r="E1001" s="18" t="s">
        <v>0</v>
      </c>
      <c r="F1001" s="28" t="s">
        <v>187</v>
      </c>
      <c r="G1001" s="14"/>
      <c r="H1001" s="45"/>
    </row>
    <row r="1002" spans="2:8">
      <c r="B1002" s="36" t="s">
        <v>1932</v>
      </c>
      <c r="C1002" s="26" t="s">
        <v>1705</v>
      </c>
      <c r="D1002" s="18" t="s">
        <v>0</v>
      </c>
      <c r="E1002" s="18" t="s">
        <v>0</v>
      </c>
      <c r="F1002" s="43" t="s">
        <v>2298</v>
      </c>
      <c r="G1002" s="14"/>
      <c r="H1002" s="45"/>
    </row>
    <row r="1003" spans="2:8">
      <c r="B1003" s="36" t="s">
        <v>0</v>
      </c>
      <c r="C1003" s="26" t="s">
        <v>0</v>
      </c>
      <c r="D1003" s="18" t="s">
        <v>0</v>
      </c>
      <c r="E1003" s="18" t="s">
        <v>0</v>
      </c>
      <c r="F1003" s="28"/>
      <c r="G1003" s="14"/>
      <c r="H1003" s="45"/>
    </row>
    <row r="1004" spans="2:8">
      <c r="B1004" s="36"/>
      <c r="C1004" s="26"/>
      <c r="D1004" s="18" t="s">
        <v>0</v>
      </c>
      <c r="E1004" s="18" t="s">
        <v>0</v>
      </c>
      <c r="F1004" s="28" t="s">
        <v>188</v>
      </c>
      <c r="G1004" s="14"/>
      <c r="H1004" s="45"/>
    </row>
    <row r="1005" spans="2:8">
      <c r="B1005" s="36" t="s">
        <v>1932</v>
      </c>
      <c r="C1005" s="26" t="s">
        <v>1706</v>
      </c>
      <c r="D1005" s="18" t="s">
        <v>0</v>
      </c>
      <c r="E1005" s="18" t="s">
        <v>0</v>
      </c>
      <c r="F1005" s="43" t="s">
        <v>2299</v>
      </c>
      <c r="G1005" s="14"/>
      <c r="H1005" s="45"/>
    </row>
    <row r="1006" spans="2:8">
      <c r="B1006" s="36" t="s">
        <v>0</v>
      </c>
      <c r="C1006" s="26" t="s">
        <v>0</v>
      </c>
      <c r="D1006" s="18" t="s">
        <v>0</v>
      </c>
      <c r="E1006" s="18" t="s">
        <v>0</v>
      </c>
      <c r="F1006" s="28"/>
      <c r="G1006" s="14"/>
      <c r="H1006" s="45"/>
    </row>
    <row r="1007" spans="2:8">
      <c r="B1007" s="36"/>
      <c r="C1007" s="26"/>
      <c r="D1007" s="18" t="s">
        <v>0</v>
      </c>
      <c r="E1007" s="18" t="s">
        <v>0</v>
      </c>
      <c r="F1007" s="28" t="s">
        <v>189</v>
      </c>
      <c r="G1007" s="14"/>
      <c r="H1007" s="45"/>
    </row>
    <row r="1008" spans="2:8">
      <c r="B1008" s="36" t="s">
        <v>1932</v>
      </c>
      <c r="C1008" s="26" t="s">
        <v>1707</v>
      </c>
      <c r="D1008" s="18" t="s">
        <v>0</v>
      </c>
      <c r="E1008" s="18" t="s">
        <v>0</v>
      </c>
      <c r="F1008" s="43" t="s">
        <v>2300</v>
      </c>
      <c r="G1008" s="14"/>
      <c r="H1008" s="45"/>
    </row>
    <row r="1009" spans="2:8">
      <c r="B1009" s="36" t="s">
        <v>0</v>
      </c>
      <c r="C1009" s="26" t="s">
        <v>0</v>
      </c>
      <c r="D1009" s="18" t="s">
        <v>0</v>
      </c>
      <c r="E1009" s="18" t="s">
        <v>0</v>
      </c>
      <c r="F1009" s="28"/>
      <c r="G1009" s="14"/>
      <c r="H1009" s="45"/>
    </row>
    <row r="1010" spans="2:8" ht="22.5">
      <c r="B1010" s="36"/>
      <c r="C1010" s="26"/>
      <c r="D1010" s="18" t="s">
        <v>0</v>
      </c>
      <c r="E1010" s="18" t="s">
        <v>0</v>
      </c>
      <c r="F1010" s="28" t="s">
        <v>655</v>
      </c>
      <c r="G1010" s="14"/>
      <c r="H1010" s="45"/>
    </row>
    <row r="1011" spans="2:8">
      <c r="B1011" s="36" t="s">
        <v>1932</v>
      </c>
      <c r="C1011" s="26" t="s">
        <v>1708</v>
      </c>
      <c r="D1011" s="18" t="s">
        <v>0</v>
      </c>
      <c r="E1011" s="18" t="s">
        <v>0</v>
      </c>
      <c r="F1011" s="43" t="s">
        <v>2301</v>
      </c>
      <c r="G1011" s="14"/>
      <c r="H1011" s="45"/>
    </row>
    <row r="1012" spans="2:8">
      <c r="B1012" s="36" t="s">
        <v>0</v>
      </c>
      <c r="C1012" s="26" t="s">
        <v>0</v>
      </c>
      <c r="D1012" s="18" t="s">
        <v>0</v>
      </c>
      <c r="E1012" s="18" t="s">
        <v>0</v>
      </c>
      <c r="F1012" s="28"/>
      <c r="G1012" s="14"/>
      <c r="H1012" s="45"/>
    </row>
    <row r="1013" spans="2:8">
      <c r="B1013" s="36"/>
      <c r="C1013" s="26"/>
      <c r="D1013" s="18" t="s">
        <v>0</v>
      </c>
      <c r="E1013" s="18" t="s">
        <v>0</v>
      </c>
      <c r="F1013" s="28" t="s">
        <v>190</v>
      </c>
      <c r="G1013" s="14"/>
      <c r="H1013" s="45"/>
    </row>
    <row r="1014" spans="2:8">
      <c r="B1014" s="36" t="s">
        <v>1932</v>
      </c>
      <c r="C1014" s="26" t="s">
        <v>1709</v>
      </c>
      <c r="D1014" s="18" t="s">
        <v>0</v>
      </c>
      <c r="E1014" s="18" t="s">
        <v>0</v>
      </c>
      <c r="F1014" s="43" t="s">
        <v>2302</v>
      </c>
      <c r="G1014" s="14"/>
      <c r="H1014" s="45"/>
    </row>
    <row r="1015" spans="2:8">
      <c r="B1015" s="36" t="s">
        <v>0</v>
      </c>
      <c r="C1015" s="26" t="s">
        <v>0</v>
      </c>
      <c r="D1015" s="18" t="s">
        <v>0</v>
      </c>
      <c r="E1015" s="18" t="s">
        <v>0</v>
      </c>
      <c r="F1015" s="28"/>
      <c r="G1015" s="14"/>
      <c r="H1015" s="45"/>
    </row>
    <row r="1016" spans="2:8" ht="22.5">
      <c r="B1016" s="36"/>
      <c r="C1016" s="26"/>
      <c r="D1016" s="18" t="s">
        <v>0</v>
      </c>
      <c r="E1016" s="18" t="s">
        <v>0</v>
      </c>
      <c r="F1016" s="28" t="s">
        <v>191</v>
      </c>
      <c r="G1016" s="14"/>
      <c r="H1016" s="45"/>
    </row>
    <row r="1017" spans="2:8">
      <c r="B1017" s="36" t="s">
        <v>1932</v>
      </c>
      <c r="C1017" s="26" t="s">
        <v>1710</v>
      </c>
      <c r="D1017" s="18" t="s">
        <v>0</v>
      </c>
      <c r="E1017" s="18" t="s">
        <v>0</v>
      </c>
      <c r="F1017" s="43" t="s">
        <v>2303</v>
      </c>
      <c r="G1017" s="14"/>
      <c r="H1017" s="45"/>
    </row>
    <row r="1018" spans="2:8">
      <c r="B1018" s="36" t="s">
        <v>0</v>
      </c>
      <c r="C1018" s="26" t="s">
        <v>0</v>
      </c>
      <c r="D1018" s="18" t="s">
        <v>0</v>
      </c>
      <c r="E1018" s="18" t="s">
        <v>0</v>
      </c>
      <c r="F1018" s="28"/>
      <c r="G1018" s="14"/>
      <c r="H1018" s="45"/>
    </row>
    <row r="1019" spans="2:8" ht="22.5">
      <c r="B1019" s="36"/>
      <c r="C1019" s="26"/>
      <c r="D1019" s="18" t="s">
        <v>0</v>
      </c>
      <c r="E1019" s="18" t="s">
        <v>0</v>
      </c>
      <c r="F1019" s="28" t="s">
        <v>192</v>
      </c>
      <c r="G1019" s="14"/>
      <c r="H1019" s="45"/>
    </row>
    <row r="1020" spans="2:8">
      <c r="B1020" s="36" t="s">
        <v>1932</v>
      </c>
      <c r="C1020" s="26" t="s">
        <v>1711</v>
      </c>
      <c r="D1020" s="18" t="s">
        <v>0</v>
      </c>
      <c r="E1020" s="18" t="s">
        <v>0</v>
      </c>
      <c r="F1020" s="43" t="s">
        <v>2304</v>
      </c>
      <c r="G1020" s="14"/>
      <c r="H1020" s="45"/>
    </row>
    <row r="1021" spans="2:8">
      <c r="B1021" s="36" t="s">
        <v>0</v>
      </c>
      <c r="C1021" s="26" t="s">
        <v>0</v>
      </c>
      <c r="D1021" s="18" t="s">
        <v>0</v>
      </c>
      <c r="E1021" s="18" t="s">
        <v>0</v>
      </c>
      <c r="F1021" s="28"/>
      <c r="G1021" s="14"/>
      <c r="H1021" s="45"/>
    </row>
    <row r="1022" spans="2:8">
      <c r="B1022" s="36"/>
      <c r="C1022" s="26"/>
      <c r="D1022" s="18" t="s">
        <v>0</v>
      </c>
      <c r="E1022" s="18" t="s">
        <v>0</v>
      </c>
      <c r="F1022" s="28" t="s">
        <v>193</v>
      </c>
      <c r="G1022" s="14"/>
      <c r="H1022" s="45"/>
    </row>
    <row r="1023" spans="2:8">
      <c r="B1023" s="36" t="s">
        <v>1932</v>
      </c>
      <c r="C1023" s="26" t="s">
        <v>1712</v>
      </c>
      <c r="D1023" s="18" t="s">
        <v>0</v>
      </c>
      <c r="E1023" s="18" t="s">
        <v>0</v>
      </c>
      <c r="F1023" s="43" t="s">
        <v>2305</v>
      </c>
      <c r="G1023" s="14"/>
      <c r="H1023" s="45"/>
    </row>
    <row r="1024" spans="2:8">
      <c r="B1024" s="36" t="s">
        <v>0</v>
      </c>
      <c r="C1024" s="26" t="s">
        <v>0</v>
      </c>
      <c r="D1024" s="18" t="s">
        <v>0</v>
      </c>
      <c r="E1024" s="18" t="s">
        <v>0</v>
      </c>
      <c r="F1024" s="28"/>
      <c r="G1024" s="14"/>
      <c r="H1024" s="45"/>
    </row>
    <row r="1025" spans="2:8" ht="22.5">
      <c r="B1025" s="36"/>
      <c r="C1025" s="26"/>
      <c r="D1025" s="18" t="s">
        <v>0</v>
      </c>
      <c r="E1025" s="18" t="s">
        <v>0</v>
      </c>
      <c r="F1025" s="28" t="s">
        <v>194</v>
      </c>
      <c r="G1025" s="14"/>
      <c r="H1025" s="45"/>
    </row>
    <row r="1026" spans="2:8">
      <c r="B1026" s="36" t="s">
        <v>1932</v>
      </c>
      <c r="C1026" s="26" t="s">
        <v>1713</v>
      </c>
      <c r="D1026" s="18" t="s">
        <v>0</v>
      </c>
      <c r="E1026" s="18" t="s">
        <v>0</v>
      </c>
      <c r="F1026" s="43" t="s">
        <v>2306</v>
      </c>
      <c r="G1026" s="14"/>
      <c r="H1026" s="45"/>
    </row>
    <row r="1027" spans="2:8">
      <c r="B1027" s="36" t="s">
        <v>0</v>
      </c>
      <c r="C1027" s="26" t="s">
        <v>0</v>
      </c>
      <c r="D1027" s="18" t="s">
        <v>0</v>
      </c>
      <c r="E1027" s="18" t="s">
        <v>0</v>
      </c>
      <c r="F1027" s="28"/>
      <c r="G1027" s="14"/>
      <c r="H1027" s="45"/>
    </row>
    <row r="1028" spans="2:8">
      <c r="B1028" s="36"/>
      <c r="C1028" s="26"/>
      <c r="D1028" s="18" t="s">
        <v>0</v>
      </c>
      <c r="E1028" s="18" t="s">
        <v>0</v>
      </c>
      <c r="F1028" s="28" t="s">
        <v>195</v>
      </c>
      <c r="G1028" s="14"/>
      <c r="H1028" s="45"/>
    </row>
    <row r="1029" spans="2:8">
      <c r="B1029" s="36" t="s">
        <v>1932</v>
      </c>
      <c r="C1029" s="26" t="s">
        <v>1714</v>
      </c>
      <c r="D1029" s="18" t="s">
        <v>0</v>
      </c>
      <c r="E1029" s="18" t="s">
        <v>0</v>
      </c>
      <c r="F1029" s="43" t="s">
        <v>2307</v>
      </c>
      <c r="G1029" s="14"/>
      <c r="H1029" s="45"/>
    </row>
    <row r="1030" spans="2:8">
      <c r="B1030" s="36" t="s">
        <v>0</v>
      </c>
      <c r="C1030" s="26" t="s">
        <v>0</v>
      </c>
      <c r="D1030" s="18" t="s">
        <v>0</v>
      </c>
      <c r="E1030" s="18" t="s">
        <v>0</v>
      </c>
      <c r="F1030" s="28"/>
      <c r="G1030" s="14"/>
      <c r="H1030" s="45"/>
    </row>
    <row r="1031" spans="2:8" ht="22.5">
      <c r="B1031" s="36"/>
      <c r="C1031" s="26"/>
      <c r="D1031" s="18" t="s">
        <v>0</v>
      </c>
      <c r="E1031" s="18" t="s">
        <v>0</v>
      </c>
      <c r="F1031" s="28" t="s">
        <v>196</v>
      </c>
      <c r="G1031" s="14"/>
      <c r="H1031" s="45"/>
    </row>
    <row r="1032" spans="2:8">
      <c r="B1032" s="36" t="s">
        <v>1932</v>
      </c>
      <c r="C1032" s="26" t="s">
        <v>1715</v>
      </c>
      <c r="D1032" s="18" t="s">
        <v>0</v>
      </c>
      <c r="E1032" s="18" t="s">
        <v>0</v>
      </c>
      <c r="F1032" s="43" t="s">
        <v>2308</v>
      </c>
      <c r="G1032" s="14"/>
      <c r="H1032" s="45"/>
    </row>
    <row r="1033" spans="2:8">
      <c r="B1033" s="36" t="s">
        <v>0</v>
      </c>
      <c r="C1033" s="26" t="s">
        <v>0</v>
      </c>
      <c r="D1033" s="18" t="s">
        <v>0</v>
      </c>
      <c r="E1033" s="18" t="s">
        <v>0</v>
      </c>
      <c r="F1033" s="28"/>
      <c r="G1033" s="14"/>
      <c r="H1033" s="45"/>
    </row>
    <row r="1034" spans="2:8">
      <c r="B1034" s="36"/>
      <c r="C1034" s="26"/>
      <c r="D1034" s="18" t="s">
        <v>0</v>
      </c>
      <c r="E1034" s="18" t="s">
        <v>0</v>
      </c>
      <c r="F1034" s="28" t="s">
        <v>197</v>
      </c>
      <c r="G1034" s="14"/>
      <c r="H1034" s="45"/>
    </row>
    <row r="1035" spans="2:8">
      <c r="B1035" s="36" t="s">
        <v>1932</v>
      </c>
      <c r="C1035" s="26" t="s">
        <v>1716</v>
      </c>
      <c r="D1035" s="18" t="s">
        <v>0</v>
      </c>
      <c r="E1035" s="18" t="s">
        <v>0</v>
      </c>
      <c r="F1035" s="43" t="s">
        <v>2309</v>
      </c>
      <c r="G1035" s="14"/>
      <c r="H1035" s="45"/>
    </row>
    <row r="1036" spans="2:8">
      <c r="B1036" s="36" t="s">
        <v>0</v>
      </c>
      <c r="C1036" s="26" t="s">
        <v>0</v>
      </c>
      <c r="D1036" s="18" t="s">
        <v>0</v>
      </c>
      <c r="E1036" s="18" t="s">
        <v>0</v>
      </c>
      <c r="F1036" s="28"/>
      <c r="G1036" s="14"/>
      <c r="H1036" s="45"/>
    </row>
    <row r="1037" spans="2:8">
      <c r="B1037" s="36"/>
      <c r="C1037" s="26"/>
      <c r="D1037" s="18" t="s">
        <v>0</v>
      </c>
      <c r="E1037" s="18" t="s">
        <v>0</v>
      </c>
      <c r="F1037" s="28" t="s">
        <v>198</v>
      </c>
      <c r="G1037" s="14"/>
      <c r="H1037" s="45"/>
    </row>
    <row r="1038" spans="2:8">
      <c r="B1038" s="36" t="s">
        <v>1932</v>
      </c>
      <c r="C1038" s="26" t="s">
        <v>1717</v>
      </c>
      <c r="D1038" s="18" t="s">
        <v>0</v>
      </c>
      <c r="E1038" s="18" t="s">
        <v>0</v>
      </c>
      <c r="F1038" s="43" t="s">
        <v>2310</v>
      </c>
      <c r="G1038" s="14"/>
      <c r="H1038" s="45"/>
    </row>
    <row r="1039" spans="2:8">
      <c r="B1039" s="36" t="s">
        <v>0</v>
      </c>
      <c r="C1039" s="26" t="s">
        <v>0</v>
      </c>
      <c r="D1039" s="18" t="s">
        <v>0</v>
      </c>
      <c r="E1039" s="18" t="s">
        <v>0</v>
      </c>
      <c r="F1039" s="28"/>
      <c r="G1039" s="14"/>
      <c r="H1039" s="45"/>
    </row>
    <row r="1040" spans="2:8" ht="22.5">
      <c r="B1040" s="36"/>
      <c r="C1040" s="26"/>
      <c r="D1040" s="18" t="s">
        <v>0</v>
      </c>
      <c r="E1040" s="18" t="s">
        <v>0</v>
      </c>
      <c r="F1040" s="28" t="s">
        <v>199</v>
      </c>
      <c r="G1040" s="14"/>
      <c r="H1040" s="45"/>
    </row>
    <row r="1041" spans="2:8">
      <c r="B1041" s="36" t="s">
        <v>1932</v>
      </c>
      <c r="C1041" s="26" t="s">
        <v>1718</v>
      </c>
      <c r="D1041" s="18" t="s">
        <v>0</v>
      </c>
      <c r="E1041" s="18" t="s">
        <v>0</v>
      </c>
      <c r="F1041" s="43" t="s">
        <v>2311</v>
      </c>
      <c r="G1041" s="14"/>
      <c r="H1041" s="45"/>
    </row>
    <row r="1042" spans="2:8">
      <c r="B1042" s="36" t="s">
        <v>0</v>
      </c>
      <c r="C1042" s="26" t="s">
        <v>0</v>
      </c>
      <c r="D1042" s="18" t="s">
        <v>0</v>
      </c>
      <c r="E1042" s="18" t="s">
        <v>0</v>
      </c>
      <c r="F1042" s="28"/>
      <c r="G1042" s="14"/>
      <c r="H1042" s="45"/>
    </row>
    <row r="1043" spans="2:8" ht="22.5">
      <c r="B1043" s="36"/>
      <c r="C1043" s="26"/>
      <c r="D1043" s="18" t="s">
        <v>0</v>
      </c>
      <c r="E1043" s="18" t="s">
        <v>0</v>
      </c>
      <c r="F1043" s="28" t="s">
        <v>200</v>
      </c>
      <c r="G1043" s="14"/>
      <c r="H1043" s="45"/>
    </row>
    <row r="1044" spans="2:8">
      <c r="B1044" s="36" t="s">
        <v>1932</v>
      </c>
      <c r="C1044" s="26" t="s">
        <v>1719</v>
      </c>
      <c r="D1044" s="18" t="s">
        <v>0</v>
      </c>
      <c r="E1044" s="18" t="s">
        <v>0</v>
      </c>
      <c r="F1044" s="43" t="s">
        <v>2312</v>
      </c>
      <c r="G1044" s="14"/>
      <c r="H1044" s="45"/>
    </row>
    <row r="1045" spans="2:8">
      <c r="B1045" s="36" t="s">
        <v>0</v>
      </c>
      <c r="C1045" s="26" t="s">
        <v>0</v>
      </c>
      <c r="D1045" s="18" t="s">
        <v>0</v>
      </c>
      <c r="E1045" s="18" t="s">
        <v>0</v>
      </c>
      <c r="F1045" s="28"/>
      <c r="G1045" s="14"/>
      <c r="H1045" s="45"/>
    </row>
    <row r="1046" spans="2:8">
      <c r="B1046" s="36"/>
      <c r="C1046" s="26"/>
      <c r="D1046" s="18" t="s">
        <v>0</v>
      </c>
      <c r="E1046" s="18" t="s">
        <v>0</v>
      </c>
      <c r="F1046" s="28" t="s">
        <v>201</v>
      </c>
      <c r="G1046" s="14"/>
      <c r="H1046" s="45"/>
    </row>
    <row r="1047" spans="2:8">
      <c r="B1047" s="36" t="s">
        <v>1932</v>
      </c>
      <c r="C1047" s="26" t="s">
        <v>1720</v>
      </c>
      <c r="D1047" s="18" t="s">
        <v>0</v>
      </c>
      <c r="E1047" s="18" t="s">
        <v>0</v>
      </c>
      <c r="F1047" s="43" t="s">
        <v>2313</v>
      </c>
      <c r="G1047" s="14"/>
      <c r="H1047" s="45"/>
    </row>
    <row r="1048" spans="2:8">
      <c r="B1048" s="36" t="s">
        <v>0</v>
      </c>
      <c r="C1048" s="26" t="s">
        <v>0</v>
      </c>
      <c r="D1048" s="18" t="s">
        <v>0</v>
      </c>
      <c r="E1048" s="18" t="s">
        <v>0</v>
      </c>
      <c r="F1048" s="28"/>
      <c r="G1048" s="14"/>
      <c r="H1048" s="45"/>
    </row>
    <row r="1049" spans="2:8" ht="22.5">
      <c r="B1049" s="36"/>
      <c r="C1049" s="26"/>
      <c r="D1049" s="18" t="s">
        <v>0</v>
      </c>
      <c r="E1049" s="18" t="s">
        <v>0</v>
      </c>
      <c r="F1049" s="28" t="s">
        <v>202</v>
      </c>
      <c r="G1049" s="14"/>
      <c r="H1049" s="45"/>
    </row>
    <row r="1050" spans="2:8">
      <c r="B1050" s="36" t="s">
        <v>1932</v>
      </c>
      <c r="C1050" s="26" t="s">
        <v>1721</v>
      </c>
      <c r="D1050" s="18" t="s">
        <v>0</v>
      </c>
      <c r="E1050" s="18" t="s">
        <v>0</v>
      </c>
      <c r="F1050" s="43" t="s">
        <v>2314</v>
      </c>
      <c r="G1050" s="14"/>
      <c r="H1050" s="45"/>
    </row>
    <row r="1051" spans="2:8">
      <c r="B1051" s="36" t="s">
        <v>0</v>
      </c>
      <c r="C1051" s="26" t="s">
        <v>0</v>
      </c>
      <c r="D1051" s="18" t="s">
        <v>0</v>
      </c>
      <c r="E1051" s="18" t="s">
        <v>0</v>
      </c>
      <c r="F1051" s="28"/>
      <c r="G1051" s="14"/>
      <c r="H1051" s="45"/>
    </row>
    <row r="1052" spans="2:8">
      <c r="B1052" s="36"/>
      <c r="C1052" s="26"/>
      <c r="D1052" s="18" t="s">
        <v>0</v>
      </c>
      <c r="E1052" s="18" t="s">
        <v>0</v>
      </c>
      <c r="F1052" s="28" t="s">
        <v>203</v>
      </c>
      <c r="G1052" s="14"/>
      <c r="H1052" s="45"/>
    </row>
    <row r="1053" spans="2:8">
      <c r="B1053" s="36" t="s">
        <v>1932</v>
      </c>
      <c r="C1053" s="26" t="s">
        <v>1722</v>
      </c>
      <c r="D1053" s="18" t="s">
        <v>0</v>
      </c>
      <c r="E1053" s="18" t="s">
        <v>0</v>
      </c>
      <c r="F1053" s="43" t="s">
        <v>2315</v>
      </c>
      <c r="G1053" s="14"/>
      <c r="H1053" s="45"/>
    </row>
    <row r="1054" spans="2:8">
      <c r="B1054" s="36" t="s">
        <v>0</v>
      </c>
      <c r="C1054" s="26" t="s">
        <v>0</v>
      </c>
      <c r="D1054" s="18" t="s">
        <v>0</v>
      </c>
      <c r="E1054" s="18" t="s">
        <v>0</v>
      </c>
      <c r="F1054" s="28"/>
      <c r="G1054" s="14"/>
      <c r="H1054" s="45"/>
    </row>
    <row r="1055" spans="2:8">
      <c r="B1055" s="36"/>
      <c r="C1055" s="26"/>
      <c r="D1055" s="18" t="s">
        <v>0</v>
      </c>
      <c r="E1055" s="18" t="s">
        <v>0</v>
      </c>
      <c r="F1055" s="28" t="s">
        <v>204</v>
      </c>
      <c r="G1055" s="14"/>
      <c r="H1055" s="45"/>
    </row>
    <row r="1056" spans="2:8">
      <c r="B1056" s="36" t="s">
        <v>1932</v>
      </c>
      <c r="C1056" s="26" t="s">
        <v>1723</v>
      </c>
      <c r="D1056" s="18" t="s">
        <v>0</v>
      </c>
      <c r="E1056" s="18" t="s">
        <v>0</v>
      </c>
      <c r="F1056" s="43" t="s">
        <v>2316</v>
      </c>
      <c r="G1056" s="14"/>
      <c r="H1056" s="45"/>
    </row>
    <row r="1057" spans="2:8">
      <c r="B1057" s="36" t="s">
        <v>0</v>
      </c>
      <c r="C1057" s="26" t="s">
        <v>0</v>
      </c>
      <c r="D1057" s="18" t="s">
        <v>0</v>
      </c>
      <c r="E1057" s="18" t="s">
        <v>0</v>
      </c>
      <c r="F1057" s="28"/>
      <c r="G1057" s="14"/>
      <c r="H1057" s="45"/>
    </row>
    <row r="1058" spans="2:8">
      <c r="B1058" s="36"/>
      <c r="C1058" s="26"/>
      <c r="D1058" s="18" t="s">
        <v>0</v>
      </c>
      <c r="E1058" s="18" t="s">
        <v>0</v>
      </c>
      <c r="F1058" s="28" t="s">
        <v>656</v>
      </c>
      <c r="G1058" s="14"/>
      <c r="H1058" s="45"/>
    </row>
    <row r="1059" spans="2:8">
      <c r="B1059" s="36" t="s">
        <v>1932</v>
      </c>
      <c r="C1059" s="26" t="s">
        <v>1724</v>
      </c>
      <c r="D1059" s="18" t="s">
        <v>0</v>
      </c>
      <c r="E1059" s="18" t="s">
        <v>0</v>
      </c>
      <c r="F1059" s="43" t="s">
        <v>2317</v>
      </c>
      <c r="G1059" s="14"/>
      <c r="H1059" s="45"/>
    </row>
    <row r="1060" spans="2:8">
      <c r="B1060" s="36" t="s">
        <v>0</v>
      </c>
      <c r="C1060" s="26" t="s">
        <v>0</v>
      </c>
      <c r="D1060" s="18" t="s">
        <v>0</v>
      </c>
      <c r="E1060" s="18" t="s">
        <v>0</v>
      </c>
      <c r="F1060" s="28"/>
      <c r="G1060" s="14"/>
      <c r="H1060" s="45"/>
    </row>
    <row r="1061" spans="2:8">
      <c r="B1061" s="36"/>
      <c r="C1061" s="26"/>
      <c r="D1061" s="18" t="s">
        <v>0</v>
      </c>
      <c r="E1061" s="18" t="s">
        <v>0</v>
      </c>
      <c r="F1061" s="28" t="s">
        <v>205</v>
      </c>
      <c r="G1061" s="14"/>
      <c r="H1061" s="45"/>
    </row>
    <row r="1062" spans="2:8">
      <c r="B1062" s="36" t="s">
        <v>1932</v>
      </c>
      <c r="C1062" s="26" t="s">
        <v>1725</v>
      </c>
      <c r="D1062" s="18" t="s">
        <v>0</v>
      </c>
      <c r="E1062" s="18" t="s">
        <v>0</v>
      </c>
      <c r="F1062" s="43" t="s">
        <v>2318</v>
      </c>
      <c r="G1062" s="14"/>
      <c r="H1062" s="45"/>
    </row>
    <row r="1063" spans="2:8">
      <c r="B1063" s="36" t="s">
        <v>0</v>
      </c>
      <c r="C1063" s="26" t="s">
        <v>0</v>
      </c>
      <c r="D1063" s="18" t="s">
        <v>0</v>
      </c>
      <c r="E1063" s="18" t="s">
        <v>0</v>
      </c>
      <c r="F1063" s="28"/>
      <c r="G1063" s="14"/>
      <c r="H1063" s="45"/>
    </row>
    <row r="1064" spans="2:8">
      <c r="B1064" s="36"/>
      <c r="C1064" s="26"/>
      <c r="D1064" s="18" t="s">
        <v>0</v>
      </c>
      <c r="E1064" s="18" t="s">
        <v>0</v>
      </c>
      <c r="F1064" s="28" t="s">
        <v>657</v>
      </c>
      <c r="G1064" s="14"/>
      <c r="H1064" s="45"/>
    </row>
    <row r="1065" spans="2:8">
      <c r="B1065" s="36" t="s">
        <v>1932</v>
      </c>
      <c r="C1065" s="26" t="s">
        <v>1726</v>
      </c>
      <c r="D1065" s="18" t="s">
        <v>0</v>
      </c>
      <c r="E1065" s="18" t="s">
        <v>0</v>
      </c>
      <c r="F1065" s="43" t="s">
        <v>2319</v>
      </c>
      <c r="G1065" s="14"/>
      <c r="H1065" s="45"/>
    </row>
    <row r="1066" spans="2:8">
      <c r="B1066" s="36" t="s">
        <v>0</v>
      </c>
      <c r="C1066" s="26" t="s">
        <v>0</v>
      </c>
      <c r="D1066" s="18" t="s">
        <v>0</v>
      </c>
      <c r="E1066" s="18" t="s">
        <v>0</v>
      </c>
      <c r="F1066" s="28"/>
      <c r="G1066" s="14"/>
      <c r="H1066" s="45"/>
    </row>
    <row r="1067" spans="2:8">
      <c r="B1067" s="36"/>
      <c r="C1067" s="26"/>
      <c r="D1067" s="18" t="s">
        <v>0</v>
      </c>
      <c r="E1067" s="18" t="s">
        <v>0</v>
      </c>
      <c r="F1067" s="28" t="s">
        <v>658</v>
      </c>
      <c r="G1067" s="14"/>
      <c r="H1067" s="45"/>
    </row>
    <row r="1068" spans="2:8">
      <c r="B1068" s="36" t="s">
        <v>1932</v>
      </c>
      <c r="C1068" s="26" t="s">
        <v>1727</v>
      </c>
      <c r="D1068" s="18" t="s">
        <v>0</v>
      </c>
      <c r="E1068" s="18" t="s">
        <v>0</v>
      </c>
      <c r="F1068" s="43" t="s">
        <v>2320</v>
      </c>
      <c r="G1068" s="14"/>
      <c r="H1068" s="45"/>
    </row>
    <row r="1069" spans="2:8">
      <c r="B1069" s="36" t="s">
        <v>0</v>
      </c>
      <c r="C1069" s="26" t="s">
        <v>0</v>
      </c>
      <c r="D1069" s="18" t="s">
        <v>0</v>
      </c>
      <c r="E1069" s="18" t="s">
        <v>0</v>
      </c>
      <c r="F1069" s="28"/>
      <c r="G1069" s="14"/>
      <c r="H1069" s="45"/>
    </row>
    <row r="1070" spans="2:8" ht="22.5">
      <c r="B1070" s="36"/>
      <c r="C1070" s="26"/>
      <c r="D1070" s="18" t="s">
        <v>0</v>
      </c>
      <c r="E1070" s="18" t="s">
        <v>0</v>
      </c>
      <c r="F1070" s="28" t="s">
        <v>206</v>
      </c>
      <c r="G1070" s="14"/>
      <c r="H1070" s="45"/>
    </row>
    <row r="1071" spans="2:8">
      <c r="B1071" s="36" t="s">
        <v>1932</v>
      </c>
      <c r="C1071" s="26" t="s">
        <v>1728</v>
      </c>
      <c r="D1071" s="18" t="s">
        <v>0</v>
      </c>
      <c r="E1071" s="18" t="s">
        <v>0</v>
      </c>
      <c r="F1071" s="43" t="s">
        <v>2321</v>
      </c>
      <c r="G1071" s="14"/>
      <c r="H1071" s="45"/>
    </row>
    <row r="1072" spans="2:8">
      <c r="B1072" s="36" t="s">
        <v>0</v>
      </c>
      <c r="C1072" s="26" t="s">
        <v>0</v>
      </c>
      <c r="D1072" s="18" t="s">
        <v>0</v>
      </c>
      <c r="E1072" s="18" t="s">
        <v>0</v>
      </c>
      <c r="F1072" s="28"/>
      <c r="G1072" s="14"/>
      <c r="H1072" s="45"/>
    </row>
    <row r="1073" spans="2:8" ht="33.75">
      <c r="B1073" s="36"/>
      <c r="C1073" s="26"/>
      <c r="D1073" s="18" t="s">
        <v>0</v>
      </c>
      <c r="E1073" s="18" t="s">
        <v>0</v>
      </c>
      <c r="F1073" s="28" t="s">
        <v>207</v>
      </c>
      <c r="G1073" s="14"/>
      <c r="H1073" s="45"/>
    </row>
    <row r="1074" spans="2:8">
      <c r="B1074" s="36" t="s">
        <v>1932</v>
      </c>
      <c r="C1074" s="26" t="s">
        <v>1729</v>
      </c>
      <c r="D1074" s="18" t="s">
        <v>0</v>
      </c>
      <c r="E1074" s="18" t="s">
        <v>0</v>
      </c>
      <c r="F1074" s="43" t="s">
        <v>2322</v>
      </c>
      <c r="G1074" s="14"/>
      <c r="H1074" s="45"/>
    </row>
    <row r="1075" spans="2:8">
      <c r="B1075" s="36" t="s">
        <v>0</v>
      </c>
      <c r="C1075" s="26" t="s">
        <v>0</v>
      </c>
      <c r="D1075" s="18" t="s">
        <v>0</v>
      </c>
      <c r="E1075" s="18" t="s">
        <v>0</v>
      </c>
      <c r="F1075" s="28"/>
      <c r="G1075" s="14"/>
      <c r="H1075" s="45"/>
    </row>
    <row r="1076" spans="2:8" ht="22.5">
      <c r="B1076" s="36"/>
      <c r="C1076" s="26"/>
      <c r="D1076" s="18" t="s">
        <v>0</v>
      </c>
      <c r="E1076" s="18" t="s">
        <v>0</v>
      </c>
      <c r="F1076" s="28" t="s">
        <v>208</v>
      </c>
      <c r="G1076" s="14"/>
      <c r="H1076" s="45"/>
    </row>
    <row r="1077" spans="2:8">
      <c r="B1077" s="36" t="s">
        <v>1932</v>
      </c>
      <c r="C1077" s="26" t="s">
        <v>1730</v>
      </c>
      <c r="D1077" s="18" t="s">
        <v>0</v>
      </c>
      <c r="E1077" s="18" t="s">
        <v>0</v>
      </c>
      <c r="F1077" s="43" t="s">
        <v>2329</v>
      </c>
      <c r="G1077" s="14"/>
      <c r="H1077" s="45"/>
    </row>
    <row r="1078" spans="2:8">
      <c r="B1078" s="36" t="s">
        <v>0</v>
      </c>
      <c r="C1078" s="26" t="s">
        <v>0</v>
      </c>
      <c r="D1078" s="18" t="s">
        <v>0</v>
      </c>
      <c r="E1078" s="18" t="s">
        <v>0</v>
      </c>
      <c r="F1078" s="28"/>
      <c r="G1078" s="14"/>
      <c r="H1078" s="45"/>
    </row>
    <row r="1079" spans="2:8">
      <c r="B1079" s="36"/>
      <c r="C1079" s="26"/>
      <c r="D1079" s="18" t="s">
        <v>0</v>
      </c>
      <c r="E1079" s="18" t="s">
        <v>0</v>
      </c>
      <c r="F1079" s="28" t="s">
        <v>659</v>
      </c>
      <c r="G1079" s="14"/>
      <c r="H1079" s="45"/>
    </row>
    <row r="1080" spans="2:8">
      <c r="B1080" s="36" t="s">
        <v>1932</v>
      </c>
      <c r="C1080" s="26" t="s">
        <v>1731</v>
      </c>
      <c r="D1080" s="18" t="s">
        <v>0</v>
      </c>
      <c r="E1080" s="18" t="s">
        <v>0</v>
      </c>
      <c r="F1080" s="43" t="s">
        <v>2323</v>
      </c>
      <c r="G1080" s="14"/>
      <c r="H1080" s="45"/>
    </row>
    <row r="1081" spans="2:8">
      <c r="B1081" s="36" t="s">
        <v>0</v>
      </c>
      <c r="C1081" s="26" t="s">
        <v>0</v>
      </c>
      <c r="D1081" s="18" t="s">
        <v>0</v>
      </c>
      <c r="E1081" s="18" t="s">
        <v>0</v>
      </c>
      <c r="F1081" s="28"/>
      <c r="G1081" s="14"/>
      <c r="H1081" s="45"/>
    </row>
    <row r="1082" spans="2:8">
      <c r="B1082" s="36"/>
      <c r="C1082" s="26"/>
      <c r="D1082" s="18" t="s">
        <v>0</v>
      </c>
      <c r="E1082" s="18" t="s">
        <v>0</v>
      </c>
      <c r="F1082" s="28" t="s">
        <v>1934</v>
      </c>
      <c r="G1082" s="14"/>
      <c r="H1082" s="45"/>
    </row>
    <row r="1083" spans="2:8">
      <c r="B1083" s="36" t="s">
        <v>1932</v>
      </c>
      <c r="C1083" s="26" t="s">
        <v>1946</v>
      </c>
      <c r="D1083" s="18" t="s">
        <v>0</v>
      </c>
      <c r="E1083" s="18" t="s">
        <v>0</v>
      </c>
      <c r="F1083" s="43" t="s">
        <v>2324</v>
      </c>
      <c r="G1083" s="14"/>
      <c r="H1083" s="45"/>
    </row>
    <row r="1084" spans="2:8">
      <c r="B1084" s="36" t="s">
        <v>0</v>
      </c>
      <c r="C1084" s="26" t="s">
        <v>0</v>
      </c>
      <c r="D1084" s="18" t="s">
        <v>0</v>
      </c>
      <c r="E1084" s="18" t="s">
        <v>0</v>
      </c>
      <c r="F1084" s="28"/>
      <c r="G1084" s="14"/>
      <c r="H1084" s="45"/>
    </row>
    <row r="1085" spans="2:8">
      <c r="B1085" s="36"/>
      <c r="C1085" s="26"/>
      <c r="D1085" s="18" t="s">
        <v>0</v>
      </c>
      <c r="E1085" s="18" t="s">
        <v>0</v>
      </c>
      <c r="F1085" s="28" t="s">
        <v>209</v>
      </c>
      <c r="G1085" s="14"/>
      <c r="H1085" s="45"/>
    </row>
    <row r="1086" spans="2:8">
      <c r="B1086" s="36" t="s">
        <v>1932</v>
      </c>
      <c r="C1086" s="26" t="s">
        <v>1732</v>
      </c>
      <c r="D1086" s="18" t="s">
        <v>0</v>
      </c>
      <c r="E1086" s="18" t="s">
        <v>0</v>
      </c>
      <c r="F1086" s="43" t="s">
        <v>2325</v>
      </c>
      <c r="G1086" s="14"/>
      <c r="H1086" s="45"/>
    </row>
    <row r="1087" spans="2:8">
      <c r="B1087" s="36" t="s">
        <v>0</v>
      </c>
      <c r="C1087" s="26" t="s">
        <v>0</v>
      </c>
      <c r="D1087" s="18" t="s">
        <v>0</v>
      </c>
      <c r="E1087" s="18" t="s">
        <v>0</v>
      </c>
      <c r="F1087" s="28"/>
      <c r="G1087" s="14"/>
      <c r="H1087" s="45"/>
    </row>
    <row r="1088" spans="2:8">
      <c r="B1088" s="36"/>
      <c r="C1088" s="26"/>
      <c r="D1088" s="18" t="s">
        <v>0</v>
      </c>
      <c r="E1088" s="18" t="s">
        <v>0</v>
      </c>
      <c r="F1088" s="28" t="s">
        <v>210</v>
      </c>
      <c r="G1088" s="14"/>
      <c r="H1088" s="45"/>
    </row>
    <row r="1089" spans="2:8">
      <c r="B1089" s="36" t="s">
        <v>1932</v>
      </c>
      <c r="C1089" s="26" t="s">
        <v>1733</v>
      </c>
      <c r="D1089" s="18" t="s">
        <v>0</v>
      </c>
      <c r="E1089" s="18" t="s">
        <v>0</v>
      </c>
      <c r="F1089" s="43" t="s">
        <v>2326</v>
      </c>
      <c r="G1089" s="14"/>
      <c r="H1089" s="45"/>
    </row>
    <row r="1090" spans="2:8">
      <c r="B1090" s="36" t="s">
        <v>0</v>
      </c>
      <c r="C1090" s="26" t="s">
        <v>0</v>
      </c>
      <c r="D1090" s="18" t="s">
        <v>0</v>
      </c>
      <c r="E1090" s="18" t="s">
        <v>0</v>
      </c>
      <c r="F1090" s="28"/>
      <c r="G1090" s="14"/>
      <c r="H1090" s="45"/>
    </row>
    <row r="1091" spans="2:8" ht="22.5">
      <c r="B1091" s="36"/>
      <c r="C1091" s="26"/>
      <c r="D1091" s="18" t="s">
        <v>0</v>
      </c>
      <c r="E1091" s="18" t="s">
        <v>0</v>
      </c>
      <c r="F1091" s="28" t="s">
        <v>211</v>
      </c>
      <c r="G1091" s="14"/>
      <c r="H1091" s="45"/>
    </row>
    <row r="1092" spans="2:8">
      <c r="B1092" s="36" t="s">
        <v>1932</v>
      </c>
      <c r="C1092" s="26" t="s">
        <v>1734</v>
      </c>
      <c r="D1092" s="18" t="s">
        <v>0</v>
      </c>
      <c r="E1092" s="18" t="s">
        <v>0</v>
      </c>
      <c r="F1092" s="43" t="s">
        <v>2327</v>
      </c>
      <c r="G1092" s="14"/>
      <c r="H1092" s="45"/>
    </row>
    <row r="1093" spans="2:8">
      <c r="B1093" s="36" t="s">
        <v>0</v>
      </c>
      <c r="C1093" s="26" t="s">
        <v>0</v>
      </c>
      <c r="D1093" s="18" t="s">
        <v>0</v>
      </c>
      <c r="E1093" s="18" t="s">
        <v>0</v>
      </c>
      <c r="F1093" s="28"/>
      <c r="G1093" s="14"/>
      <c r="H1093" s="45"/>
    </row>
    <row r="1094" spans="2:8" ht="33.75">
      <c r="B1094" s="36"/>
      <c r="C1094" s="26"/>
      <c r="D1094" s="18" t="s">
        <v>0</v>
      </c>
      <c r="E1094" s="18" t="s">
        <v>0</v>
      </c>
      <c r="F1094" s="28" t="s">
        <v>212</v>
      </c>
      <c r="G1094" s="14"/>
      <c r="H1094" s="45"/>
    </row>
    <row r="1095" spans="2:8">
      <c r="B1095" s="36" t="s">
        <v>1932</v>
      </c>
      <c r="C1095" s="26" t="s">
        <v>1735</v>
      </c>
      <c r="D1095" s="18" t="s">
        <v>0</v>
      </c>
      <c r="E1095" s="18" t="s">
        <v>0</v>
      </c>
      <c r="F1095" s="43" t="s">
        <v>2328</v>
      </c>
      <c r="G1095" s="14"/>
      <c r="H1095" s="45"/>
    </row>
    <row r="1096" spans="2:8">
      <c r="B1096" s="36" t="s">
        <v>0</v>
      </c>
      <c r="C1096" s="26" t="s">
        <v>0</v>
      </c>
      <c r="D1096" s="18" t="s">
        <v>0</v>
      </c>
      <c r="E1096" s="18" t="s">
        <v>0</v>
      </c>
      <c r="F1096" s="28"/>
      <c r="G1096" s="14"/>
      <c r="H1096" s="45"/>
    </row>
    <row r="1097" spans="2:8" ht="22.5">
      <c r="B1097" s="36"/>
      <c r="C1097" s="26"/>
      <c r="D1097" s="18" t="s">
        <v>0</v>
      </c>
      <c r="E1097" s="18" t="s">
        <v>0</v>
      </c>
      <c r="F1097" s="28" t="s">
        <v>213</v>
      </c>
      <c r="G1097" s="14"/>
      <c r="H1097" s="45"/>
    </row>
    <row r="1098" spans="2:8">
      <c r="B1098" s="36" t="s">
        <v>1932</v>
      </c>
      <c r="C1098" s="26" t="s">
        <v>1736</v>
      </c>
      <c r="D1098" s="18" t="s">
        <v>0</v>
      </c>
      <c r="E1098" s="18" t="s">
        <v>0</v>
      </c>
      <c r="F1098" s="43" t="s">
        <v>2330</v>
      </c>
      <c r="G1098" s="14"/>
      <c r="H1098" s="45"/>
    </row>
    <row r="1099" spans="2:8">
      <c r="B1099" s="36" t="s">
        <v>0</v>
      </c>
      <c r="C1099" s="26" t="s">
        <v>0</v>
      </c>
      <c r="D1099" s="18" t="s">
        <v>0</v>
      </c>
      <c r="E1099" s="18" t="s">
        <v>0</v>
      </c>
      <c r="F1099" s="28"/>
      <c r="G1099" s="14"/>
      <c r="H1099" s="45"/>
    </row>
    <row r="1100" spans="2:8" ht="22.5">
      <c r="B1100" s="36"/>
      <c r="C1100" s="26"/>
      <c r="D1100" s="18" t="s">
        <v>0</v>
      </c>
      <c r="E1100" s="18" t="s">
        <v>0</v>
      </c>
      <c r="F1100" s="28" t="s">
        <v>1935</v>
      </c>
      <c r="G1100" s="14"/>
      <c r="H1100" s="45"/>
    </row>
    <row r="1101" spans="2:8">
      <c r="B1101" s="36" t="s">
        <v>1932</v>
      </c>
      <c r="C1101" s="26" t="s">
        <v>1947</v>
      </c>
      <c r="D1101" s="18" t="s">
        <v>0</v>
      </c>
      <c r="E1101" s="18" t="s">
        <v>0</v>
      </c>
      <c r="F1101" s="43" t="s">
        <v>2318</v>
      </c>
      <c r="G1101" s="14"/>
      <c r="H1101" s="45"/>
    </row>
    <row r="1102" spans="2:8">
      <c r="B1102" s="36" t="s">
        <v>0</v>
      </c>
      <c r="C1102" s="26" t="s">
        <v>0</v>
      </c>
      <c r="D1102" s="18" t="s">
        <v>0</v>
      </c>
      <c r="E1102" s="18" t="s">
        <v>0</v>
      </c>
      <c r="F1102" s="28"/>
      <c r="G1102" s="14"/>
      <c r="H1102" s="45"/>
    </row>
    <row r="1103" spans="2:8">
      <c r="B1103" s="36"/>
      <c r="C1103" s="26"/>
      <c r="D1103" s="18" t="s">
        <v>0</v>
      </c>
      <c r="E1103" s="18" t="s">
        <v>0</v>
      </c>
      <c r="F1103" s="28" t="s">
        <v>1838</v>
      </c>
      <c r="G1103" s="14"/>
      <c r="H1103" s="45"/>
    </row>
    <row r="1104" spans="2:8">
      <c r="B1104" s="36" t="s">
        <v>1932</v>
      </c>
      <c r="C1104" s="26" t="s">
        <v>1737</v>
      </c>
      <c r="D1104" s="18" t="s">
        <v>0</v>
      </c>
      <c r="E1104" s="18" t="s">
        <v>0</v>
      </c>
      <c r="F1104" s="43" t="s">
        <v>2324</v>
      </c>
      <c r="G1104" s="14"/>
      <c r="H1104" s="45"/>
    </row>
    <row r="1105" spans="2:8">
      <c r="B1105" s="36" t="s">
        <v>0</v>
      </c>
      <c r="C1105" s="26" t="s">
        <v>0</v>
      </c>
      <c r="D1105" s="18" t="s">
        <v>0</v>
      </c>
      <c r="E1105" s="18" t="s">
        <v>0</v>
      </c>
      <c r="F1105" s="28"/>
      <c r="G1105" s="14"/>
      <c r="H1105" s="45"/>
    </row>
    <row r="1106" spans="2:8">
      <c r="B1106" s="36"/>
      <c r="C1106" s="26" t="s">
        <v>0</v>
      </c>
      <c r="D1106" s="18" t="s">
        <v>0</v>
      </c>
      <c r="E1106" s="18" t="s">
        <v>0</v>
      </c>
      <c r="F1106" s="28" t="s">
        <v>1194</v>
      </c>
      <c r="G1106" s="14"/>
      <c r="H1106" s="45"/>
    </row>
    <row r="1107" spans="2:8">
      <c r="B1107" s="36" t="s">
        <v>1932</v>
      </c>
      <c r="C1107" s="26" t="s">
        <v>1195</v>
      </c>
      <c r="D1107" s="18" t="s">
        <v>0</v>
      </c>
      <c r="E1107" s="18" t="s">
        <v>0</v>
      </c>
      <c r="F1107" s="43" t="s">
        <v>2283</v>
      </c>
      <c r="G1107" s="14"/>
      <c r="H1107" s="45"/>
    </row>
    <row r="1108" spans="2:8">
      <c r="B1108" s="36" t="s">
        <v>0</v>
      </c>
      <c r="C1108" s="26" t="s">
        <v>0</v>
      </c>
      <c r="D1108" s="18" t="s">
        <v>0</v>
      </c>
      <c r="E1108" s="18" t="s">
        <v>0</v>
      </c>
      <c r="F1108" s="28"/>
      <c r="G1108" s="14"/>
      <c r="H1108" s="45"/>
    </row>
    <row r="1109" spans="2:8" ht="22.5">
      <c r="B1109" s="36"/>
      <c r="C1109" s="26"/>
      <c r="D1109" s="18" t="s">
        <v>0</v>
      </c>
      <c r="E1109" s="18" t="s">
        <v>0</v>
      </c>
      <c r="F1109" s="28" t="s">
        <v>214</v>
      </c>
      <c r="G1109" s="14"/>
      <c r="H1109" s="45"/>
    </row>
    <row r="1110" spans="2:8">
      <c r="B1110" s="36" t="s">
        <v>1932</v>
      </c>
      <c r="C1110" s="26" t="s">
        <v>1738</v>
      </c>
      <c r="D1110" s="18" t="s">
        <v>0</v>
      </c>
      <c r="E1110" s="18" t="s">
        <v>0</v>
      </c>
      <c r="F1110" s="43" t="s">
        <v>2331</v>
      </c>
      <c r="G1110" s="14"/>
      <c r="H1110" s="45"/>
    </row>
    <row r="1111" spans="2:8">
      <c r="B1111" s="36" t="s">
        <v>0</v>
      </c>
      <c r="C1111" s="26" t="s">
        <v>0</v>
      </c>
      <c r="D1111" s="18" t="s">
        <v>0</v>
      </c>
      <c r="E1111" s="18" t="s">
        <v>0</v>
      </c>
      <c r="F1111" s="28"/>
      <c r="G1111" s="14"/>
      <c r="H1111" s="45"/>
    </row>
    <row r="1112" spans="2:8" ht="22.5">
      <c r="B1112" s="36"/>
      <c r="C1112" s="26"/>
      <c r="D1112" s="18" t="s">
        <v>0</v>
      </c>
      <c r="E1112" s="18" t="s">
        <v>0</v>
      </c>
      <c r="F1112" s="28" t="s">
        <v>215</v>
      </c>
      <c r="G1112" s="14"/>
      <c r="H1112" s="45"/>
    </row>
    <row r="1113" spans="2:8">
      <c r="B1113" s="36" t="s">
        <v>1932</v>
      </c>
      <c r="C1113" s="26" t="s">
        <v>1739</v>
      </c>
      <c r="D1113" s="18" t="s">
        <v>0</v>
      </c>
      <c r="E1113" s="18" t="s">
        <v>0</v>
      </c>
      <c r="F1113" s="43" t="s">
        <v>2332</v>
      </c>
      <c r="G1113" s="14"/>
      <c r="H1113" s="45"/>
    </row>
    <row r="1114" spans="2:8">
      <c r="B1114" s="36" t="s">
        <v>0</v>
      </c>
      <c r="C1114" s="26" t="s">
        <v>0</v>
      </c>
      <c r="D1114" s="18" t="s">
        <v>0</v>
      </c>
      <c r="E1114" s="18" t="s">
        <v>0</v>
      </c>
      <c r="F1114" s="28"/>
      <c r="G1114" s="14"/>
      <c r="H1114" s="45"/>
    </row>
    <row r="1115" spans="2:8" ht="22.5">
      <c r="B1115" s="36"/>
      <c r="C1115" s="26"/>
      <c r="D1115" s="18" t="s">
        <v>0</v>
      </c>
      <c r="E1115" s="18" t="s">
        <v>0</v>
      </c>
      <c r="F1115" s="28" t="s">
        <v>216</v>
      </c>
      <c r="G1115" s="14"/>
      <c r="H1115" s="45"/>
    </row>
    <row r="1116" spans="2:8">
      <c r="B1116" s="36" t="s">
        <v>1932</v>
      </c>
      <c r="C1116" s="26" t="s">
        <v>1740</v>
      </c>
      <c r="D1116" s="18" t="s">
        <v>0</v>
      </c>
      <c r="E1116" s="18" t="s">
        <v>0</v>
      </c>
      <c r="F1116" s="43" t="s">
        <v>2333</v>
      </c>
      <c r="G1116" s="14"/>
      <c r="H1116" s="45"/>
    </row>
    <row r="1117" spans="2:8">
      <c r="B1117" s="36" t="s">
        <v>0</v>
      </c>
      <c r="C1117" s="26" t="s">
        <v>0</v>
      </c>
      <c r="D1117" s="18" t="s">
        <v>0</v>
      </c>
      <c r="E1117" s="18" t="s">
        <v>0</v>
      </c>
      <c r="F1117" s="28"/>
      <c r="G1117" s="14"/>
      <c r="H1117" s="45"/>
    </row>
    <row r="1118" spans="2:8" ht="22.5">
      <c r="B1118" s="36"/>
      <c r="C1118" s="26"/>
      <c r="D1118" s="18" t="s">
        <v>0</v>
      </c>
      <c r="E1118" s="18" t="s">
        <v>0</v>
      </c>
      <c r="F1118" s="28" t="s">
        <v>217</v>
      </c>
      <c r="G1118" s="14"/>
      <c r="H1118" s="45"/>
    </row>
    <row r="1119" spans="2:8">
      <c r="B1119" s="36" t="s">
        <v>1932</v>
      </c>
      <c r="C1119" s="26" t="s">
        <v>1741</v>
      </c>
      <c r="D1119" s="18" t="s">
        <v>0</v>
      </c>
      <c r="E1119" s="18" t="s">
        <v>0</v>
      </c>
      <c r="F1119" s="43" t="s">
        <v>2334</v>
      </c>
      <c r="G1119" s="14"/>
      <c r="H1119" s="45"/>
    </row>
    <row r="1120" spans="2:8">
      <c r="B1120" s="36" t="s">
        <v>0</v>
      </c>
      <c r="C1120" s="26" t="s">
        <v>0</v>
      </c>
      <c r="D1120" s="18" t="s">
        <v>0</v>
      </c>
      <c r="E1120" s="18" t="s">
        <v>0</v>
      </c>
      <c r="F1120" s="28"/>
      <c r="G1120" s="14"/>
      <c r="H1120" s="45"/>
    </row>
    <row r="1121" spans="2:8" ht="22.5">
      <c r="B1121" s="36"/>
      <c r="C1121" s="26"/>
      <c r="D1121" s="18" t="s">
        <v>0</v>
      </c>
      <c r="E1121" s="18" t="s">
        <v>0</v>
      </c>
      <c r="F1121" s="28" t="s">
        <v>1936</v>
      </c>
      <c r="G1121" s="14"/>
      <c r="H1121" s="45"/>
    </row>
    <row r="1122" spans="2:8">
      <c r="B1122" s="36" t="s">
        <v>1932</v>
      </c>
      <c r="C1122" s="26" t="s">
        <v>1948</v>
      </c>
      <c r="D1122" s="18" t="s">
        <v>0</v>
      </c>
      <c r="E1122" s="18" t="s">
        <v>0</v>
      </c>
      <c r="F1122" s="43" t="s">
        <v>2335</v>
      </c>
      <c r="G1122" s="14"/>
      <c r="H1122" s="45"/>
    </row>
    <row r="1123" spans="2:8">
      <c r="B1123" s="36" t="s">
        <v>0</v>
      </c>
      <c r="C1123" s="26" t="s">
        <v>0</v>
      </c>
      <c r="D1123" s="18" t="s">
        <v>0</v>
      </c>
      <c r="E1123" s="18" t="s">
        <v>0</v>
      </c>
      <c r="F1123" s="28"/>
      <c r="G1123" s="14"/>
      <c r="H1123" s="45"/>
    </row>
    <row r="1124" spans="2:8" ht="22.5">
      <c r="B1124" s="36"/>
      <c r="C1124" s="26"/>
      <c r="D1124" s="18" t="s">
        <v>0</v>
      </c>
      <c r="E1124" s="18" t="s">
        <v>0</v>
      </c>
      <c r="F1124" s="28" t="s">
        <v>218</v>
      </c>
      <c r="G1124" s="14"/>
      <c r="H1124" s="45"/>
    </row>
    <row r="1125" spans="2:8">
      <c r="B1125" s="36" t="s">
        <v>1932</v>
      </c>
      <c r="C1125" s="26" t="s">
        <v>1742</v>
      </c>
      <c r="D1125" s="18" t="s">
        <v>0</v>
      </c>
      <c r="E1125" s="18" t="s">
        <v>0</v>
      </c>
      <c r="F1125" s="43" t="s">
        <v>2336</v>
      </c>
      <c r="G1125" s="14"/>
      <c r="H1125" s="45"/>
    </row>
    <row r="1126" spans="2:8">
      <c r="B1126" s="36" t="s">
        <v>0</v>
      </c>
      <c r="C1126" s="26" t="s">
        <v>0</v>
      </c>
      <c r="D1126" s="18" t="s">
        <v>0</v>
      </c>
      <c r="E1126" s="18" t="s">
        <v>0</v>
      </c>
      <c r="F1126" s="28"/>
      <c r="G1126" s="14"/>
      <c r="H1126" s="45"/>
    </row>
    <row r="1127" spans="2:8">
      <c r="B1127" s="36"/>
      <c r="C1127" s="26"/>
      <c r="D1127" s="18" t="s">
        <v>0</v>
      </c>
      <c r="E1127" s="18" t="s">
        <v>0</v>
      </c>
      <c r="F1127" s="28" t="s">
        <v>660</v>
      </c>
      <c r="G1127" s="14"/>
      <c r="H1127" s="45"/>
    </row>
    <row r="1128" spans="2:8">
      <c r="B1128" s="36" t="s">
        <v>1932</v>
      </c>
      <c r="C1128" s="26" t="s">
        <v>1743</v>
      </c>
      <c r="D1128" s="18" t="s">
        <v>0</v>
      </c>
      <c r="E1128" s="18" t="s">
        <v>0</v>
      </c>
      <c r="F1128" s="43" t="s">
        <v>2337</v>
      </c>
      <c r="G1128" s="14"/>
      <c r="H1128" s="45"/>
    </row>
    <row r="1129" spans="2:8">
      <c r="B1129" s="36" t="s">
        <v>0</v>
      </c>
      <c r="C1129" s="26" t="s">
        <v>0</v>
      </c>
      <c r="D1129" s="18" t="s">
        <v>0</v>
      </c>
      <c r="E1129" s="18" t="s">
        <v>0</v>
      </c>
      <c r="F1129" s="28"/>
      <c r="G1129" s="14"/>
      <c r="H1129" s="45"/>
    </row>
    <row r="1130" spans="2:8">
      <c r="B1130" s="36"/>
      <c r="C1130" s="26"/>
      <c r="D1130" s="18" t="s">
        <v>0</v>
      </c>
      <c r="E1130" s="18" t="s">
        <v>0</v>
      </c>
      <c r="F1130" s="28" t="s">
        <v>219</v>
      </c>
      <c r="G1130" s="14"/>
      <c r="H1130" s="45"/>
    </row>
    <row r="1131" spans="2:8">
      <c r="B1131" s="36" t="s">
        <v>1932</v>
      </c>
      <c r="C1131" s="26" t="s">
        <v>1744</v>
      </c>
      <c r="D1131" s="18" t="s">
        <v>0</v>
      </c>
      <c r="E1131" s="18" t="s">
        <v>0</v>
      </c>
      <c r="F1131" s="43" t="s">
        <v>2338</v>
      </c>
      <c r="G1131" s="14"/>
      <c r="H1131" s="45"/>
    </row>
    <row r="1132" spans="2:8">
      <c r="B1132" s="36" t="s">
        <v>0</v>
      </c>
      <c r="C1132" s="26" t="s">
        <v>0</v>
      </c>
      <c r="D1132" s="18" t="s">
        <v>0</v>
      </c>
      <c r="E1132" s="18" t="s">
        <v>0</v>
      </c>
      <c r="F1132" s="28"/>
      <c r="G1132" s="14"/>
      <c r="H1132" s="45"/>
    </row>
    <row r="1133" spans="2:8" ht="22.5">
      <c r="B1133" s="36"/>
      <c r="C1133" s="26"/>
      <c r="D1133" s="18" t="s">
        <v>0</v>
      </c>
      <c r="E1133" s="18" t="s">
        <v>0</v>
      </c>
      <c r="F1133" s="28" t="s">
        <v>1196</v>
      </c>
      <c r="G1133" s="14"/>
      <c r="H1133" s="45"/>
    </row>
    <row r="1134" spans="2:8">
      <c r="B1134" s="36" t="s">
        <v>1932</v>
      </c>
      <c r="C1134" s="26" t="s">
        <v>1197</v>
      </c>
      <c r="D1134" s="18" t="s">
        <v>0</v>
      </c>
      <c r="E1134" s="18" t="s">
        <v>0</v>
      </c>
      <c r="F1134" s="43" t="s">
        <v>2339</v>
      </c>
      <c r="G1134" s="14"/>
      <c r="H1134" s="45"/>
    </row>
    <row r="1135" spans="2:8">
      <c r="B1135" s="36" t="s">
        <v>0</v>
      </c>
      <c r="C1135" s="26" t="s">
        <v>0</v>
      </c>
      <c r="D1135" s="18" t="s">
        <v>0</v>
      </c>
      <c r="E1135" s="18" t="s">
        <v>0</v>
      </c>
      <c r="F1135" s="28"/>
      <c r="G1135" s="14"/>
      <c r="H1135" s="45"/>
    </row>
    <row r="1136" spans="2:8">
      <c r="B1136" s="36"/>
      <c r="C1136" s="26"/>
      <c r="D1136" s="18" t="s">
        <v>0</v>
      </c>
      <c r="E1136" s="18" t="s">
        <v>0</v>
      </c>
      <c r="F1136" s="28" t="s">
        <v>220</v>
      </c>
      <c r="G1136" s="14"/>
      <c r="H1136" s="45"/>
    </row>
    <row r="1137" spans="2:8">
      <c r="B1137" s="36" t="s">
        <v>1932</v>
      </c>
      <c r="C1137" s="26" t="s">
        <v>1745</v>
      </c>
      <c r="D1137" s="18" t="s">
        <v>0</v>
      </c>
      <c r="E1137" s="18" t="s">
        <v>0</v>
      </c>
      <c r="F1137" s="43" t="s">
        <v>2340</v>
      </c>
      <c r="G1137" s="14"/>
      <c r="H1137" s="45"/>
    </row>
    <row r="1138" spans="2:8">
      <c r="B1138" s="36" t="s">
        <v>0</v>
      </c>
      <c r="C1138" s="26" t="s">
        <v>0</v>
      </c>
      <c r="D1138" s="18" t="s">
        <v>0</v>
      </c>
      <c r="E1138" s="18" t="s">
        <v>0</v>
      </c>
      <c r="F1138" s="28"/>
      <c r="G1138" s="14"/>
      <c r="H1138" s="45"/>
    </row>
    <row r="1139" spans="2:8" ht="22.5">
      <c r="B1139" s="36"/>
      <c r="C1139" s="26"/>
      <c r="D1139" s="18" t="s">
        <v>0</v>
      </c>
      <c r="E1139" s="18" t="s">
        <v>0</v>
      </c>
      <c r="F1139" s="28" t="s">
        <v>221</v>
      </c>
      <c r="G1139" s="14"/>
      <c r="H1139" s="45"/>
    </row>
    <row r="1140" spans="2:8">
      <c r="B1140" s="36" t="s">
        <v>1932</v>
      </c>
      <c r="C1140" s="26" t="s">
        <v>1746</v>
      </c>
      <c r="D1140" s="18" t="s">
        <v>0</v>
      </c>
      <c r="E1140" s="18" t="s">
        <v>0</v>
      </c>
      <c r="F1140" s="43" t="s">
        <v>2341</v>
      </c>
      <c r="G1140" s="14"/>
      <c r="H1140" s="45"/>
    </row>
    <row r="1141" spans="2:8">
      <c r="B1141" s="36" t="s">
        <v>0</v>
      </c>
      <c r="C1141" s="26" t="s">
        <v>0</v>
      </c>
      <c r="D1141" s="18" t="s">
        <v>0</v>
      </c>
      <c r="E1141" s="18" t="s">
        <v>0</v>
      </c>
      <c r="F1141" s="28"/>
      <c r="G1141" s="14"/>
      <c r="H1141" s="45"/>
    </row>
    <row r="1142" spans="2:8" ht="22.5">
      <c r="B1142" s="36"/>
      <c r="C1142" s="26"/>
      <c r="D1142" s="18" t="s">
        <v>0</v>
      </c>
      <c r="E1142" s="18" t="s">
        <v>0</v>
      </c>
      <c r="F1142" s="28" t="s">
        <v>222</v>
      </c>
      <c r="G1142" s="14"/>
      <c r="H1142" s="45"/>
    </row>
    <row r="1143" spans="2:8">
      <c r="B1143" s="36" t="s">
        <v>1932</v>
      </c>
      <c r="C1143" s="26" t="s">
        <v>1747</v>
      </c>
      <c r="D1143" s="18" t="s">
        <v>0</v>
      </c>
      <c r="E1143" s="18" t="s">
        <v>0</v>
      </c>
      <c r="F1143" s="43" t="s">
        <v>2342</v>
      </c>
      <c r="G1143" s="14"/>
      <c r="H1143" s="45"/>
    </row>
    <row r="1144" spans="2:8">
      <c r="B1144" s="36" t="s">
        <v>0</v>
      </c>
      <c r="C1144" s="26" t="s">
        <v>0</v>
      </c>
      <c r="D1144" s="18" t="s">
        <v>0</v>
      </c>
      <c r="E1144" s="18" t="s">
        <v>0</v>
      </c>
      <c r="F1144" s="28"/>
      <c r="G1144" s="14"/>
      <c r="H1144" s="45"/>
    </row>
    <row r="1145" spans="2:8">
      <c r="B1145" s="36"/>
      <c r="C1145" s="26"/>
      <c r="D1145" s="18" t="s">
        <v>0</v>
      </c>
      <c r="E1145" s="18" t="s">
        <v>0</v>
      </c>
      <c r="F1145" s="28" t="s">
        <v>223</v>
      </c>
      <c r="G1145" s="14"/>
      <c r="H1145" s="45"/>
    </row>
    <row r="1146" spans="2:8">
      <c r="B1146" s="36" t="s">
        <v>1932</v>
      </c>
      <c r="C1146" s="26" t="s">
        <v>1748</v>
      </c>
      <c r="D1146" s="18" t="s">
        <v>0</v>
      </c>
      <c r="E1146" s="18" t="s">
        <v>0</v>
      </c>
      <c r="F1146" s="43" t="s">
        <v>2343</v>
      </c>
      <c r="G1146" s="14"/>
      <c r="H1146" s="45"/>
    </row>
    <row r="1147" spans="2:8">
      <c r="B1147" s="36" t="s">
        <v>0</v>
      </c>
      <c r="C1147" s="26" t="s">
        <v>0</v>
      </c>
      <c r="D1147" s="18" t="s">
        <v>0</v>
      </c>
      <c r="E1147" s="18" t="s">
        <v>0</v>
      </c>
      <c r="F1147" s="28"/>
      <c r="G1147" s="14"/>
      <c r="H1147" s="45"/>
    </row>
    <row r="1148" spans="2:8" ht="22.5">
      <c r="B1148" s="36"/>
      <c r="C1148" s="26"/>
      <c r="D1148" s="18" t="s">
        <v>0</v>
      </c>
      <c r="E1148" s="18" t="s">
        <v>0</v>
      </c>
      <c r="F1148" s="28" t="s">
        <v>224</v>
      </c>
      <c r="G1148" s="14"/>
      <c r="H1148" s="45"/>
    </row>
    <row r="1149" spans="2:8">
      <c r="B1149" s="36" t="s">
        <v>1932</v>
      </c>
      <c r="C1149" s="26" t="s">
        <v>1749</v>
      </c>
      <c r="D1149" s="18" t="s">
        <v>0</v>
      </c>
      <c r="E1149" s="18" t="s">
        <v>0</v>
      </c>
      <c r="F1149" s="43" t="s">
        <v>2344</v>
      </c>
      <c r="G1149" s="14"/>
      <c r="H1149" s="45"/>
    </row>
    <row r="1150" spans="2:8">
      <c r="B1150" s="36" t="s">
        <v>0</v>
      </c>
      <c r="C1150" s="26" t="s">
        <v>0</v>
      </c>
      <c r="D1150" s="18" t="s">
        <v>0</v>
      </c>
      <c r="E1150" s="18" t="s">
        <v>0</v>
      </c>
      <c r="F1150" s="28"/>
      <c r="G1150" s="14"/>
      <c r="H1150" s="45"/>
    </row>
    <row r="1151" spans="2:8" ht="22.5">
      <c r="B1151" s="36"/>
      <c r="C1151" s="26"/>
      <c r="D1151" s="18" t="s">
        <v>0</v>
      </c>
      <c r="E1151" s="18" t="s">
        <v>0</v>
      </c>
      <c r="F1151" s="28" t="s">
        <v>225</v>
      </c>
      <c r="G1151" s="14"/>
      <c r="H1151" s="45"/>
    </row>
    <row r="1152" spans="2:8">
      <c r="B1152" s="36" t="s">
        <v>1932</v>
      </c>
      <c r="C1152" s="26" t="s">
        <v>1750</v>
      </c>
      <c r="D1152" s="18" t="s">
        <v>0</v>
      </c>
      <c r="E1152" s="18" t="s">
        <v>0</v>
      </c>
      <c r="F1152" s="43" t="s">
        <v>2345</v>
      </c>
      <c r="G1152" s="14"/>
      <c r="H1152" s="45"/>
    </row>
    <row r="1153" spans="2:8">
      <c r="B1153" s="36" t="s">
        <v>0</v>
      </c>
      <c r="C1153" s="26" t="s">
        <v>0</v>
      </c>
      <c r="D1153" s="18" t="s">
        <v>0</v>
      </c>
      <c r="E1153" s="18" t="s">
        <v>0</v>
      </c>
      <c r="F1153" s="28"/>
      <c r="G1153" s="14"/>
      <c r="H1153" s="45"/>
    </row>
    <row r="1154" spans="2:8">
      <c r="B1154" s="36"/>
      <c r="C1154" s="26"/>
      <c r="D1154" s="18" t="s">
        <v>0</v>
      </c>
      <c r="E1154" s="18" t="s">
        <v>0</v>
      </c>
      <c r="F1154" s="28" t="s">
        <v>226</v>
      </c>
      <c r="G1154" s="14"/>
      <c r="H1154" s="45"/>
    </row>
    <row r="1155" spans="2:8">
      <c r="B1155" s="36" t="s">
        <v>1932</v>
      </c>
      <c r="C1155" s="26" t="s">
        <v>1751</v>
      </c>
      <c r="D1155" s="18" t="s">
        <v>0</v>
      </c>
      <c r="E1155" s="18" t="s">
        <v>0</v>
      </c>
      <c r="F1155" s="43" t="s">
        <v>2346</v>
      </c>
      <c r="G1155" s="14"/>
      <c r="H1155" s="45"/>
    </row>
    <row r="1156" spans="2:8">
      <c r="B1156" s="36" t="s">
        <v>0</v>
      </c>
      <c r="C1156" s="26" t="s">
        <v>0</v>
      </c>
      <c r="D1156" s="18" t="s">
        <v>0</v>
      </c>
      <c r="E1156" s="18" t="s">
        <v>0</v>
      </c>
      <c r="F1156" s="28"/>
      <c r="G1156" s="14"/>
      <c r="H1156" s="45"/>
    </row>
    <row r="1157" spans="2:8">
      <c r="B1157" s="36"/>
      <c r="C1157" s="26"/>
      <c r="D1157" s="18" t="s">
        <v>0</v>
      </c>
      <c r="E1157" s="18" t="s">
        <v>0</v>
      </c>
      <c r="F1157" s="28" t="s">
        <v>1198</v>
      </c>
      <c r="G1157" s="14"/>
      <c r="H1157" s="45"/>
    </row>
    <row r="1158" spans="2:8">
      <c r="B1158" s="36" t="s">
        <v>1932</v>
      </c>
      <c r="C1158" s="26" t="s">
        <v>1199</v>
      </c>
      <c r="D1158" s="18" t="s">
        <v>0</v>
      </c>
      <c r="E1158" s="18" t="s">
        <v>0</v>
      </c>
      <c r="F1158" s="43" t="s">
        <v>2347</v>
      </c>
      <c r="G1158" s="14"/>
      <c r="H1158" s="45"/>
    </row>
    <row r="1159" spans="2:8">
      <c r="B1159" s="36" t="s">
        <v>0</v>
      </c>
      <c r="C1159" s="26" t="s">
        <v>0</v>
      </c>
      <c r="D1159" s="18" t="s">
        <v>0</v>
      </c>
      <c r="E1159" s="18" t="s">
        <v>0</v>
      </c>
      <c r="F1159" s="28"/>
      <c r="G1159" s="14"/>
      <c r="H1159" s="45"/>
    </row>
    <row r="1160" spans="2:8" ht="22.5">
      <c r="B1160" s="36"/>
      <c r="C1160" s="26"/>
      <c r="D1160" s="18" t="s">
        <v>0</v>
      </c>
      <c r="E1160" s="18" t="s">
        <v>0</v>
      </c>
      <c r="F1160" s="28" t="s">
        <v>661</v>
      </c>
      <c r="G1160" s="14"/>
      <c r="H1160" s="45"/>
    </row>
    <row r="1161" spans="2:8">
      <c r="B1161" s="36" t="s">
        <v>1932</v>
      </c>
      <c r="C1161" s="26" t="s">
        <v>1644</v>
      </c>
      <c r="D1161" s="18" t="s">
        <v>0</v>
      </c>
      <c r="E1161" s="18" t="s">
        <v>0</v>
      </c>
      <c r="F1161" s="43" t="s">
        <v>2348</v>
      </c>
      <c r="G1161" s="14"/>
      <c r="H1161" s="45"/>
    </row>
    <row r="1162" spans="2:8">
      <c r="B1162" s="36"/>
      <c r="C1162" s="26"/>
      <c r="D1162" s="18" t="s">
        <v>0</v>
      </c>
      <c r="E1162" s="18" t="s">
        <v>0</v>
      </c>
      <c r="F1162" s="28"/>
      <c r="G1162" s="14"/>
      <c r="H1162" s="45"/>
    </row>
    <row r="1163" spans="2:8">
      <c r="B1163" s="37"/>
      <c r="C1163" s="38"/>
      <c r="D1163" s="149"/>
      <c r="E1163" s="149"/>
      <c r="F1163" s="150"/>
      <c r="G1163" s="25"/>
      <c r="H1163" s="46"/>
    </row>
    <row r="1165" spans="2:8">
      <c r="B1165" s="35"/>
      <c r="C1165" s="31"/>
      <c r="D1165" s="17"/>
      <c r="E1165" s="17"/>
      <c r="F1165" s="42"/>
      <c r="G1165" s="22"/>
      <c r="H1165" s="44"/>
    </row>
    <row r="1166" spans="2:8">
      <c r="B1166" s="36"/>
      <c r="C1166" s="26"/>
      <c r="D1166" s="18"/>
      <c r="E1166" s="18"/>
      <c r="F1166" s="16" t="s">
        <v>670</v>
      </c>
      <c r="G1166" s="14"/>
      <c r="H1166" s="45"/>
    </row>
    <row r="1167" spans="2:8">
      <c r="B1167" s="36"/>
      <c r="C1167" s="26"/>
      <c r="D1167" s="18"/>
      <c r="E1167" s="18"/>
      <c r="F1167" s="16"/>
      <c r="G1167" s="14"/>
      <c r="H1167" s="45"/>
    </row>
    <row r="1168" spans="2:8">
      <c r="B1168" s="36"/>
      <c r="C1168" s="26"/>
      <c r="D1168" s="18" t="s">
        <v>0</v>
      </c>
      <c r="E1168" s="18" t="s">
        <v>0</v>
      </c>
      <c r="F1168" s="19" t="s">
        <v>297</v>
      </c>
      <c r="G1168" s="14"/>
      <c r="H1168" s="45"/>
    </row>
    <row r="1169" spans="2:8">
      <c r="B1169" s="36" t="s">
        <v>2076</v>
      </c>
      <c r="C1169" s="26" t="s">
        <v>1752</v>
      </c>
      <c r="D1169" s="18" t="s">
        <v>0</v>
      </c>
      <c r="E1169" s="18" t="s">
        <v>0</v>
      </c>
      <c r="F1169" s="151" t="s">
        <v>2349</v>
      </c>
      <c r="G1169" s="14"/>
      <c r="H1169" s="45"/>
    </row>
    <row r="1170" spans="2:8">
      <c r="B1170" s="36"/>
      <c r="C1170" s="26"/>
      <c r="D1170" s="18"/>
      <c r="E1170" s="18"/>
      <c r="F1170" s="15"/>
      <c r="G1170" s="14"/>
      <c r="H1170" s="45"/>
    </row>
    <row r="1171" spans="2:8">
      <c r="B1171" s="36"/>
      <c r="C1171" s="26"/>
      <c r="D1171" s="18"/>
      <c r="E1171" s="18"/>
      <c r="F1171" s="313" t="s">
        <v>2059</v>
      </c>
      <c r="G1171" s="14"/>
      <c r="H1171" s="45"/>
    </row>
    <row r="1172" spans="2:8">
      <c r="B1172" s="36"/>
      <c r="C1172" s="26"/>
      <c r="D1172" s="18"/>
      <c r="E1172" s="18"/>
      <c r="F1172" s="15"/>
      <c r="G1172" s="14"/>
      <c r="H1172" s="45"/>
    </row>
    <row r="1173" spans="2:8">
      <c r="B1173" s="36"/>
      <c r="C1173" s="26"/>
      <c r="D1173" s="18"/>
      <c r="E1173" s="18"/>
      <c r="F1173" s="314" t="s">
        <v>2064</v>
      </c>
      <c r="G1173" s="14"/>
      <c r="H1173" s="45"/>
    </row>
    <row r="1174" spans="2:8">
      <c r="B1174" s="36"/>
      <c r="C1174" s="26"/>
      <c r="D1174" s="18"/>
      <c r="E1174" s="18"/>
      <c r="F1174" s="15"/>
      <c r="G1174" s="14"/>
      <c r="H1174" s="45"/>
    </row>
    <row r="1175" spans="2:8">
      <c r="B1175" s="36"/>
      <c r="C1175" s="26"/>
      <c r="D1175" s="18"/>
      <c r="E1175" s="18"/>
      <c r="F1175" s="315" t="s">
        <v>2069</v>
      </c>
      <c r="G1175" s="14"/>
      <c r="H1175" s="45"/>
    </row>
    <row r="1176" spans="2:8">
      <c r="B1176" s="37"/>
      <c r="C1176" s="38"/>
      <c r="D1176" s="149"/>
      <c r="E1176" s="149"/>
      <c r="F1176" s="150"/>
      <c r="G1176" s="24" t="s">
        <v>0</v>
      </c>
      <c r="H1176" s="46"/>
    </row>
    <row r="1178" spans="2:8">
      <c r="B1178" s="35"/>
      <c r="C1178" s="31"/>
      <c r="D1178" s="17"/>
      <c r="E1178" s="17"/>
      <c r="F1178" s="42"/>
      <c r="G1178" s="22"/>
      <c r="H1178" s="44"/>
    </row>
    <row r="1179" spans="2:8">
      <c r="B1179" s="36"/>
      <c r="C1179" s="26"/>
      <c r="D1179" s="18"/>
      <c r="E1179" s="18"/>
      <c r="F1179" s="16" t="s">
        <v>671</v>
      </c>
      <c r="G1179" s="14"/>
      <c r="H1179" s="45"/>
    </row>
    <row r="1180" spans="2:8">
      <c r="B1180" s="36"/>
      <c r="C1180" s="26"/>
      <c r="D1180" s="18"/>
      <c r="E1180" s="18"/>
      <c r="F1180" s="16"/>
      <c r="G1180" s="14"/>
      <c r="H1180" s="45"/>
    </row>
    <row r="1181" spans="2:8">
      <c r="B1181" s="36"/>
      <c r="C1181" s="26"/>
      <c r="D1181" s="18" t="s">
        <v>0</v>
      </c>
      <c r="E1181" s="18" t="s">
        <v>0</v>
      </c>
      <c r="F1181" s="16" t="s">
        <v>667</v>
      </c>
      <c r="G1181" s="14"/>
      <c r="H1181" s="45"/>
    </row>
    <row r="1182" spans="2:8">
      <c r="B1182" s="36"/>
      <c r="C1182" s="26"/>
      <c r="D1182" s="18" t="s">
        <v>0</v>
      </c>
      <c r="E1182" s="18" t="s">
        <v>0</v>
      </c>
      <c r="F1182" s="16"/>
      <c r="G1182" s="14"/>
      <c r="H1182" s="45"/>
    </row>
    <row r="1183" spans="2:8">
      <c r="B1183" s="329"/>
      <c r="C1183" s="330"/>
      <c r="D1183" s="169" t="s">
        <v>0</v>
      </c>
      <c r="E1183" s="169" t="s">
        <v>0</v>
      </c>
      <c r="F1183" s="183" t="s">
        <v>2116</v>
      </c>
      <c r="G1183" s="14"/>
      <c r="H1183" s="45"/>
    </row>
    <row r="1184" spans="2:8">
      <c r="B1184" s="253" t="s">
        <v>2115</v>
      </c>
      <c r="C1184" s="254" t="s">
        <v>2114</v>
      </c>
      <c r="D1184" s="169" t="s">
        <v>0</v>
      </c>
      <c r="E1184" s="169" t="s">
        <v>0</v>
      </c>
      <c r="F1184" s="151" t="s">
        <v>2350</v>
      </c>
      <c r="G1184" s="14"/>
      <c r="H1184" s="45"/>
    </row>
    <row r="1185" spans="2:8">
      <c r="B1185" s="36"/>
      <c r="C1185" s="26"/>
      <c r="D1185" s="18"/>
      <c r="E1185" s="18"/>
      <c r="F1185" s="19"/>
      <c r="G1185" s="14"/>
      <c r="H1185" s="45"/>
    </row>
    <row r="1186" spans="2:8">
      <c r="B1186" s="37"/>
      <c r="C1186" s="38"/>
      <c r="D1186" s="149"/>
      <c r="E1186" s="149"/>
      <c r="F1186" s="150"/>
      <c r="G1186" s="24" t="s">
        <v>0</v>
      </c>
      <c r="H1186" s="46"/>
    </row>
    <row r="1188" spans="2:8">
      <c r="B1188" s="35"/>
      <c r="C1188" s="31"/>
      <c r="D1188" s="17"/>
      <c r="E1188" s="17"/>
      <c r="F1188" s="42"/>
      <c r="G1188" s="22"/>
      <c r="H1188" s="44"/>
    </row>
    <row r="1189" spans="2:8">
      <c r="B1189" s="36"/>
      <c r="C1189" s="26"/>
      <c r="D1189" s="18"/>
      <c r="E1189" s="18"/>
      <c r="F1189" s="16" t="s">
        <v>672</v>
      </c>
      <c r="G1189" s="14"/>
      <c r="H1189" s="45"/>
    </row>
    <row r="1190" spans="2:8">
      <c r="B1190" s="36"/>
      <c r="C1190" s="26"/>
      <c r="D1190" s="18"/>
      <c r="E1190" s="18"/>
      <c r="F1190" s="16"/>
      <c r="G1190" s="14"/>
      <c r="H1190" s="45"/>
    </row>
    <row r="1191" spans="2:8">
      <c r="B1191" s="36"/>
      <c r="C1191" s="26"/>
      <c r="D1191" s="18" t="s">
        <v>0</v>
      </c>
      <c r="E1191" s="18" t="s">
        <v>0</v>
      </c>
      <c r="F1191" s="16" t="s">
        <v>668</v>
      </c>
      <c r="G1191" s="14"/>
      <c r="H1191" s="45"/>
    </row>
    <row r="1192" spans="2:8">
      <c r="B1192" s="36"/>
      <c r="C1192" s="26"/>
      <c r="D1192" s="18" t="s">
        <v>0</v>
      </c>
      <c r="E1192" s="18" t="s">
        <v>0</v>
      </c>
      <c r="F1192" s="16"/>
      <c r="G1192" s="14"/>
      <c r="H1192" s="45"/>
    </row>
    <row r="1193" spans="2:8">
      <c r="B1193" s="329"/>
      <c r="C1193" s="330"/>
      <c r="D1193" s="169" t="s">
        <v>0</v>
      </c>
      <c r="E1193" s="169" t="s">
        <v>0</v>
      </c>
      <c r="F1193" s="19" t="s">
        <v>669</v>
      </c>
      <c r="G1193" s="14"/>
      <c r="H1193" s="45"/>
    </row>
    <row r="1194" spans="2:8">
      <c r="B1194" s="36" t="s">
        <v>1758</v>
      </c>
      <c r="C1194" s="26" t="s">
        <v>1759</v>
      </c>
      <c r="D1194" s="169" t="s">
        <v>0</v>
      </c>
      <c r="E1194" s="169" t="s">
        <v>0</v>
      </c>
      <c r="F1194" s="151" t="s">
        <v>2286</v>
      </c>
      <c r="G1194" s="14"/>
      <c r="H1194" s="45"/>
    </row>
    <row r="1195" spans="2:8">
      <c r="B1195" s="36"/>
      <c r="C1195" s="26"/>
      <c r="D1195" s="18"/>
      <c r="E1195" s="18"/>
      <c r="F1195" s="19"/>
      <c r="G1195" s="14"/>
      <c r="H1195" s="45"/>
    </row>
    <row r="1196" spans="2:8">
      <c r="B1196" s="37"/>
      <c r="C1196" s="38"/>
      <c r="D1196" s="149"/>
      <c r="E1196" s="149"/>
      <c r="F1196" s="150"/>
      <c r="G1196" s="24" t="s">
        <v>0</v>
      </c>
      <c r="H1196" s="46"/>
    </row>
  </sheetData>
  <conditionalFormatting sqref="F726">
    <cfRule type="expression" dxfId="9" priority="17">
      <formula>F726=""</formula>
    </cfRule>
    <cfRule type="expression" dxfId="8" priority="18">
      <formula>F726=""</formula>
    </cfRule>
    <cfRule type="expression" dxfId="7" priority="19">
      <formula>F726=""</formula>
    </cfRule>
  </conditionalFormatting>
  <conditionalFormatting sqref="H746">
    <cfRule type="expression" dxfId="6" priority="9">
      <formula>H746=""</formula>
    </cfRule>
  </conditionalFormatting>
  <conditionalFormatting sqref="I746">
    <cfRule type="expression" dxfId="5" priority="8">
      <formula>I746=""</formula>
    </cfRule>
  </conditionalFormatting>
  <conditionalFormatting sqref="H751">
    <cfRule type="expression" dxfId="4" priority="7">
      <formula>H751=""</formula>
    </cfRule>
  </conditionalFormatting>
  <conditionalFormatting sqref="I751">
    <cfRule type="expression" dxfId="3" priority="6">
      <formula>I751=""</formula>
    </cfRule>
  </conditionalFormatting>
  <conditionalFormatting sqref="M403">
    <cfRule type="expression" dxfId="2" priority="5">
      <formula>OR(IF(NOT(ISERR(FIND("ERR",#REF!)))=TRUE,TRUE,FALSE),IF(NOT(ISERR(FIND("ERR",#REF!)))=TRUE,TRUE,FALSE))</formula>
    </cfRule>
  </conditionalFormatting>
  <conditionalFormatting sqref="N403">
    <cfRule type="expression" dxfId="1" priority="4">
      <formula>OR(IF(NOT(ISERR(FIND("ERR",#REF!)))=TRUE,TRUE,FALSE),IF(NOT(ISERR(FIND("ERR",#REF!)))=TRUE,TRUE,FALSE))</formula>
    </cfRule>
  </conditionalFormatting>
  <conditionalFormatting sqref="H696:K696">
    <cfRule type="expression" dxfId="0" priority="1">
      <formula>OR(IF(NOT(ISERR(FIND("ERR",#REF!)))=TRUE,TRUE,FALSE),)</formula>
    </cfRule>
  </conditionalFormatting>
  <hyperlinks>
    <hyperlink ref="F786" location="'IAS1-InfoReveReCa'!A1" display="Información a revelar sobre reclasificación o cambios en presentación" xr:uid="{00000000-0004-0000-0000-000000000000}"/>
    <hyperlink ref="F806" location="'IAS1-InfoReveAcPa'!A1" display="Información a revelar sobre activos y pasivos con riesgo significativo de ocasionar ajustes materiales" xr:uid="{00000000-0004-0000-0000-000001000000}"/>
    <hyperlink ref="F811" location="'IAS1-InfoReveObPo'!A1" display="Información a revelar sobre objetivos, políticas y procesos para la gestión del capital" xr:uid="{00000000-0004-0000-0000-000002000000}"/>
    <hyperlink ref="F851" location="'IAS1-ClasCapiAcci'!A1" display="Información a revelar sobre clases de capital en acciones" xr:uid="{00000000-0004-0000-0000-000003000000}"/>
    <hyperlink ref="F856" location="'IAS1-ResePatr'!A1" display="Información a revelar sobre reservas dentro de patrimonio" xr:uid="{00000000-0004-0000-0000-000004000000}"/>
    <hyperlink ref="F1171" location="'IAS1-CompInveCapi'!A1" display="Compromisos de inversión en capital [tabla]" xr:uid="{00000000-0004-0000-0000-000005000000}"/>
    <hyperlink ref="F1173" location="'IAS1-RemuAudiTabla'!A1" display="Remuneración del auditor [tabla]" xr:uid="{00000000-0004-0000-0000-000006000000}"/>
    <hyperlink ref="F1175" location="'IAS1-NumePromEmpl'!A1" display="Número y número promedio de empleados [tabla]" xr:uid="{00000000-0004-0000-0000-000007000000}"/>
    <hyperlink ref="F748" location="'IAS1-ValorInscr'!A1" display="Valores inscritos [tabla]" xr:uid="{00000000-0004-0000-0000-000008000000}"/>
    <hyperlink ref="F650" location="'IAS1-AsigGastNatu'!A1" display="Información a revelar sobre la asignación de gastos por naturaleza a su función [tabla]" xr:uid="{00000000-0004-0000-0000-000009000000}"/>
  </hyperlinks>
  <pageMargins left="0.7" right="0.7" top="0.75" bottom="0.75" header="0.3" footer="0.3"/>
  <pageSetup orientation="portrait" r:id="rId1"/>
  <ignoredErrors>
    <ignoredError sqref="H358:J358" formula="1"/>
    <ignoredError sqref="K642" emptyCellReference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Codigo_Actividad!$B$3:$B$251</xm:f>
          </x14:formula1>
          <xm:sqref>F735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4">
    <tabColor theme="0" tint="-0.249977111117893"/>
  </sheetPr>
  <dimension ref="A1:M20"/>
  <sheetViews>
    <sheetView topLeftCell="B1" zoomScale="83" zoomScaleNormal="83" workbookViewId="0">
      <selection activeCell="G17" sqref="G17:G18"/>
    </sheetView>
  </sheetViews>
  <sheetFormatPr baseColWidth="10" defaultColWidth="11.42578125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7" max="13" width="20.7109375" customWidth="1"/>
  </cols>
  <sheetData>
    <row r="1" spans="1:13" ht="54.95" customHeight="1" thickBot="1"/>
    <row r="2" spans="1:13" ht="177" customHeight="1" thickBot="1">
      <c r="F2" s="89" t="s">
        <v>110</v>
      </c>
    </row>
    <row r="3" spans="1:13" ht="16.5" thickBot="1">
      <c r="F3" s="90" t="s">
        <v>111</v>
      </c>
    </row>
    <row r="4" spans="1:13" ht="16.5" thickBot="1">
      <c r="F4" s="176"/>
    </row>
    <row r="5" spans="1:13" ht="16.5" thickBot="1">
      <c r="F5" s="177" t="s">
        <v>1150</v>
      </c>
      <c r="G5" s="178" t="s">
        <v>1151</v>
      </c>
    </row>
    <row r="6" spans="1:13" ht="16.5" thickBot="1">
      <c r="F6" s="176"/>
    </row>
    <row r="7" spans="1:13" ht="57.75" customHeight="1">
      <c r="A7" s="115" t="s">
        <v>1808</v>
      </c>
      <c r="B7" s="55"/>
      <c r="C7" s="56"/>
      <c r="D7" s="56"/>
      <c r="E7" s="57"/>
      <c r="F7" s="337" t="s">
        <v>2141</v>
      </c>
      <c r="G7" s="59" t="s">
        <v>2150</v>
      </c>
      <c r="H7" s="59" t="s">
        <v>2151</v>
      </c>
      <c r="I7" s="60" t="s">
        <v>2147</v>
      </c>
      <c r="J7" s="59" t="s">
        <v>2152</v>
      </c>
      <c r="K7" s="59" t="s">
        <v>2153</v>
      </c>
      <c r="L7" s="60" t="s">
        <v>2148</v>
      </c>
      <c r="M7" s="60" t="s">
        <v>2149</v>
      </c>
    </row>
    <row r="8" spans="1:13" ht="60" hidden="1" customHeight="1">
      <c r="A8" s="61" t="s">
        <v>1809</v>
      </c>
      <c r="B8" s="116"/>
      <c r="C8" s="117"/>
      <c r="D8" s="118" t="s">
        <v>2142</v>
      </c>
      <c r="E8" s="65" t="s">
        <v>2143</v>
      </c>
      <c r="F8" s="66"/>
      <c r="G8" s="67" t="str">
        <f>SUBSTITUTE(CONCATENATE("IAS1-ClasCapiAcci_",TRIM(G7),"_",COLUMN(G8),"|",G7)," ","")</f>
        <v>IAS1-ClasCapiAcci_CostoVentas1_7|CostoVentas1</v>
      </c>
      <c r="H8" s="67" t="str">
        <f>SUBSTITUTE(CONCATENATE("IAS1-ClasCapiAcci_",TRIM(H7),"_",COLUMN(H8),"|",H7)," ","")</f>
        <v>IAS1-ClasCapiAcci_CostoVentas2_8|CostoVentas2</v>
      </c>
      <c r="I8" s="132" t="s">
        <v>2144</v>
      </c>
      <c r="J8" s="67" t="str">
        <f>SUBSTITUTE(CONCATENATE("IAS1-ClasCapiAcci_",TRIM(J7),"_",COLUMN(J8),"|",J7)," ","")</f>
        <v>IAS1-ClasCapiAcci_GastoVentaAdmin1_10|GastoVentaAdmin1</v>
      </c>
      <c r="K8" s="67" t="str">
        <f>SUBSTITUTE(CONCATENATE("IAS1-ClasCapiAcci_",TRIM(K7),"_",COLUMN(K8),"|",K7)," ","")</f>
        <v>IAS1-ClasCapiAcci_GastoVentaAdmin2_11|GastoVentaAdmin2</v>
      </c>
      <c r="L8" s="132" t="s">
        <v>2145</v>
      </c>
      <c r="M8" s="132" t="s">
        <v>2146</v>
      </c>
    </row>
    <row r="9" spans="1:13">
      <c r="B9" s="116"/>
      <c r="C9" s="117"/>
      <c r="D9" s="118"/>
      <c r="E9" s="118"/>
      <c r="F9" s="118"/>
      <c r="G9" s="121"/>
      <c r="H9" s="121"/>
      <c r="I9" s="118"/>
      <c r="J9" s="121"/>
      <c r="K9" s="121"/>
      <c r="L9" s="133"/>
      <c r="M9" s="125"/>
    </row>
    <row r="10" spans="1:13">
      <c r="B10" s="134" t="s">
        <v>2213</v>
      </c>
      <c r="C10" s="135" t="s">
        <v>1599</v>
      </c>
      <c r="D10" s="135" t="s">
        <v>112</v>
      </c>
      <c r="E10" s="135" t="s">
        <v>0</v>
      </c>
      <c r="F10" s="262" t="s">
        <v>2154</v>
      </c>
      <c r="G10" s="210">
        <v>600645000</v>
      </c>
      <c r="H10" s="210"/>
      <c r="I10" s="332">
        <f>SUM(G10:H10)</f>
        <v>600645000</v>
      </c>
      <c r="J10" s="210"/>
      <c r="K10" s="210"/>
      <c r="L10" s="332">
        <f>SUM(K10:K10)</f>
        <v>0</v>
      </c>
      <c r="M10" s="333">
        <f>I10+L10</f>
        <v>600645000</v>
      </c>
    </row>
    <row r="11" spans="1:13">
      <c r="B11" s="134" t="s">
        <v>2213</v>
      </c>
      <c r="C11" s="135" t="s">
        <v>1600</v>
      </c>
      <c r="D11" s="135" t="s">
        <v>112</v>
      </c>
      <c r="E11" s="135" t="s">
        <v>0</v>
      </c>
      <c r="F11" s="262" t="s">
        <v>2155</v>
      </c>
      <c r="G11" s="210">
        <v>2402568000</v>
      </c>
      <c r="H11" s="210"/>
      <c r="I11" s="332">
        <f t="shared" ref="I11" si="0">SUM(G11:H11)</f>
        <v>2402568000</v>
      </c>
      <c r="J11" s="210"/>
      <c r="K11" s="210"/>
      <c r="L11" s="332">
        <f>SUM(K11:K11)</f>
        <v>0</v>
      </c>
      <c r="M11" s="333">
        <f>I11+L11</f>
        <v>2402568000</v>
      </c>
    </row>
    <row r="12" spans="1:13">
      <c r="B12" s="134" t="s">
        <v>2213</v>
      </c>
      <c r="C12" s="135" t="s">
        <v>1601</v>
      </c>
      <c r="D12" s="135" t="s">
        <v>112</v>
      </c>
      <c r="E12" s="135" t="s">
        <v>0</v>
      </c>
      <c r="F12" s="262" t="s">
        <v>2156</v>
      </c>
      <c r="G12" s="334">
        <f>G10+G11</f>
        <v>3003213000</v>
      </c>
      <c r="H12" s="334">
        <f t="shared" ref="H12:M12" si="1">H10+H11</f>
        <v>0</v>
      </c>
      <c r="I12" s="332">
        <f t="shared" si="1"/>
        <v>3003213000</v>
      </c>
      <c r="J12" s="334">
        <f t="shared" si="1"/>
        <v>0</v>
      </c>
      <c r="K12" s="334">
        <f t="shared" si="1"/>
        <v>0</v>
      </c>
      <c r="L12" s="332">
        <f t="shared" si="1"/>
        <v>0</v>
      </c>
      <c r="M12" s="333">
        <f t="shared" si="1"/>
        <v>3003213000</v>
      </c>
    </row>
    <row r="13" spans="1:13">
      <c r="B13" s="124"/>
      <c r="C13" s="125"/>
      <c r="D13" s="125"/>
      <c r="E13" s="125"/>
      <c r="F13" s="125"/>
      <c r="G13" s="126"/>
      <c r="H13" s="126"/>
      <c r="I13" s="125"/>
      <c r="J13" s="126"/>
      <c r="K13" s="126"/>
      <c r="L13" s="247"/>
      <c r="M13" s="246"/>
    </row>
    <row r="14" spans="1:13" ht="15.75" thickBot="1">
      <c r="G14" s="84"/>
      <c r="H14" s="84"/>
      <c r="J14" s="84"/>
      <c r="K14" s="84"/>
    </row>
    <row r="15" spans="1:13" ht="57.75" customHeight="1">
      <c r="A15" s="115"/>
      <c r="B15" s="55"/>
      <c r="C15" s="56"/>
      <c r="D15" s="56"/>
      <c r="E15" s="57"/>
      <c r="F15" s="57" t="s">
        <v>143</v>
      </c>
      <c r="G15" s="59" t="str">
        <f t="shared" ref="G15:M15" si="2">G7</f>
        <v>CostoVentas1</v>
      </c>
      <c r="H15" s="59" t="str">
        <f t="shared" si="2"/>
        <v>CostoVentas2</v>
      </c>
      <c r="I15" s="60" t="str">
        <f t="shared" si="2"/>
        <v>Costo de ventas [miembro]</v>
      </c>
      <c r="J15" s="59" t="str">
        <f t="shared" si="2"/>
        <v>GastoVentaAdmin1</v>
      </c>
      <c r="K15" s="59" t="str">
        <f t="shared" si="2"/>
        <v>GastoVentaAdmin2</v>
      </c>
      <c r="L15" s="60" t="str">
        <f t="shared" si="2"/>
        <v>Gastos generales de ventas y administrativos [miembro]</v>
      </c>
      <c r="M15" s="60" t="str">
        <f t="shared" si="2"/>
        <v>Partidas por función [miembro]</v>
      </c>
    </row>
    <row r="16" spans="1:13">
      <c r="B16" s="116"/>
      <c r="C16" s="117"/>
      <c r="D16" s="118"/>
      <c r="E16" s="129"/>
      <c r="F16" s="66"/>
      <c r="G16" s="121"/>
      <c r="H16" s="121"/>
      <c r="I16" s="118"/>
      <c r="J16" s="121"/>
      <c r="K16" s="121"/>
      <c r="L16" s="133"/>
      <c r="M16" s="125"/>
    </row>
    <row r="17" spans="2:13">
      <c r="B17" s="134" t="s">
        <v>2213</v>
      </c>
      <c r="C17" s="135" t="s">
        <v>1599</v>
      </c>
      <c r="D17" s="135" t="s">
        <v>120</v>
      </c>
      <c r="E17" s="135" t="s">
        <v>0</v>
      </c>
      <c r="F17" s="262" t="s">
        <v>2154</v>
      </c>
      <c r="G17" s="210">
        <v>715082000</v>
      </c>
      <c r="H17" s="210"/>
      <c r="I17" s="332">
        <f>SUM(G17:H17)</f>
        <v>715082000</v>
      </c>
      <c r="J17" s="210"/>
      <c r="K17" s="210"/>
      <c r="L17" s="332">
        <f>SUM(K17:K17)</f>
        <v>0</v>
      </c>
      <c r="M17" s="333">
        <f>I17+L17</f>
        <v>715082000</v>
      </c>
    </row>
    <row r="18" spans="2:13">
      <c r="B18" s="134" t="s">
        <v>2213</v>
      </c>
      <c r="C18" s="135" t="s">
        <v>1600</v>
      </c>
      <c r="D18" s="135" t="s">
        <v>120</v>
      </c>
      <c r="E18" s="135" t="s">
        <v>0</v>
      </c>
      <c r="F18" s="262" t="s">
        <v>2155</v>
      </c>
      <c r="G18" s="210">
        <v>2873720000</v>
      </c>
      <c r="H18" s="210"/>
      <c r="I18" s="332">
        <f t="shared" ref="I18" si="3">SUM(G18:H18)</f>
        <v>2873720000</v>
      </c>
      <c r="J18" s="210"/>
      <c r="K18" s="210"/>
      <c r="L18" s="332">
        <f>SUM(K18:K18)</f>
        <v>0</v>
      </c>
      <c r="M18" s="333">
        <f>I18+L18</f>
        <v>2873720000</v>
      </c>
    </row>
    <row r="19" spans="2:13">
      <c r="B19" s="134" t="s">
        <v>2213</v>
      </c>
      <c r="C19" s="135" t="s">
        <v>1601</v>
      </c>
      <c r="D19" s="135" t="s">
        <v>120</v>
      </c>
      <c r="E19" s="135" t="s">
        <v>0</v>
      </c>
      <c r="F19" s="262" t="s">
        <v>2156</v>
      </c>
      <c r="G19" s="334">
        <f>G17+G18</f>
        <v>3588802000</v>
      </c>
      <c r="H19" s="334">
        <f t="shared" ref="H19" si="4">H17+H18</f>
        <v>0</v>
      </c>
      <c r="I19" s="332">
        <f t="shared" ref="I19" si="5">I17+I18</f>
        <v>3588802000</v>
      </c>
      <c r="J19" s="334">
        <f t="shared" ref="J19" si="6">J17+J18</f>
        <v>0</v>
      </c>
      <c r="K19" s="334">
        <f t="shared" ref="K19" si="7">K17+K18</f>
        <v>0</v>
      </c>
      <c r="L19" s="332">
        <f t="shared" ref="L19" si="8">L17+L18</f>
        <v>0</v>
      </c>
      <c r="M19" s="333">
        <f t="shared" ref="M19" si="9">M17+M18</f>
        <v>3588802000</v>
      </c>
    </row>
    <row r="20" spans="2:13">
      <c r="B20" s="124"/>
      <c r="C20" s="125"/>
      <c r="D20" s="125"/>
      <c r="E20" s="125"/>
      <c r="F20" s="125"/>
      <c r="G20" s="126"/>
      <c r="H20" s="126"/>
      <c r="I20" s="125"/>
      <c r="J20" s="126"/>
      <c r="K20" s="126"/>
      <c r="L20" s="247"/>
      <c r="M20" s="246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Codigo_Actividad!$D$3:$D$4</xm:f>
          </x14:formula1>
          <xm:sqref>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>
    <tabColor rgb="FF00B050"/>
  </sheetPr>
  <dimension ref="A1:G16"/>
  <sheetViews>
    <sheetView topLeftCell="A4" zoomScale="90" zoomScaleNormal="90" workbookViewId="0">
      <selection activeCell="F25" sqref="F25"/>
    </sheetView>
  </sheetViews>
  <sheetFormatPr baseColWidth="10" defaultColWidth="11.42578125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7" max="9" width="16.7109375" customWidth="1"/>
  </cols>
  <sheetData>
    <row r="1" spans="1:7" ht="54.95" customHeight="1" thickBot="1"/>
    <row r="2" spans="1:7" ht="177" customHeight="1" thickBot="1">
      <c r="F2" s="89" t="s">
        <v>110</v>
      </c>
    </row>
    <row r="3" spans="1:7" ht="16.5" thickBot="1">
      <c r="F3" s="90" t="s">
        <v>111</v>
      </c>
    </row>
    <row r="4" spans="1:7" ht="16.5" thickBot="1">
      <c r="F4" s="176"/>
    </row>
    <row r="5" spans="1:7" ht="16.5" thickBot="1">
      <c r="F5" s="177" t="s">
        <v>1150</v>
      </c>
      <c r="G5" s="178" t="s">
        <v>1151</v>
      </c>
    </row>
    <row r="6" spans="1:7" ht="15.75">
      <c r="F6" s="176"/>
    </row>
    <row r="7" spans="1:7" ht="32.25" customHeight="1">
      <c r="A7" s="54" t="s">
        <v>1808</v>
      </c>
      <c r="B7" s="55"/>
      <c r="C7" s="56"/>
      <c r="D7" s="56"/>
      <c r="E7" s="57"/>
      <c r="F7" s="58" t="s">
        <v>2021</v>
      </c>
      <c r="G7" s="338" t="s">
        <v>2020</v>
      </c>
    </row>
    <row r="8" spans="1:7" ht="99.95" hidden="1" customHeight="1">
      <c r="A8" s="61" t="s">
        <v>1809</v>
      </c>
      <c r="B8" s="62"/>
      <c r="C8" s="63"/>
      <c r="D8" s="248" t="s">
        <v>2022</v>
      </c>
      <c r="E8" s="248" t="s">
        <v>2023</v>
      </c>
      <c r="F8" s="66"/>
      <c r="G8" s="248" t="s">
        <v>2024</v>
      </c>
    </row>
    <row r="9" spans="1:7">
      <c r="A9" s="69"/>
      <c r="B9" s="70"/>
      <c r="C9" s="71"/>
      <c r="D9" s="72" t="s">
        <v>0</v>
      </c>
      <c r="E9" s="141" t="s">
        <v>0</v>
      </c>
      <c r="F9" s="258"/>
      <c r="G9" s="75"/>
    </row>
    <row r="10" spans="1:7">
      <c r="A10" s="69"/>
      <c r="B10" s="76" t="s">
        <v>2226</v>
      </c>
      <c r="C10" s="254" t="s">
        <v>1949</v>
      </c>
      <c r="D10" s="78" t="s">
        <v>112</v>
      </c>
      <c r="E10" s="79" t="s">
        <v>0</v>
      </c>
      <c r="F10" s="259" t="s">
        <v>2079</v>
      </c>
      <c r="G10" s="261" t="s">
        <v>1956</v>
      </c>
    </row>
    <row r="11" spans="1:7">
      <c r="A11" s="69"/>
      <c r="B11" s="76" t="s">
        <v>2226</v>
      </c>
      <c r="C11" s="254" t="s">
        <v>1950</v>
      </c>
      <c r="D11" s="78" t="s">
        <v>112</v>
      </c>
      <c r="E11" s="77" t="s">
        <v>0</v>
      </c>
      <c r="F11" s="260" t="s">
        <v>2080</v>
      </c>
      <c r="G11" s="318" t="s">
        <v>1956</v>
      </c>
    </row>
    <row r="12" spans="1:7">
      <c r="A12" s="69"/>
      <c r="B12" s="76" t="s">
        <v>2226</v>
      </c>
      <c r="C12" s="254" t="s">
        <v>1951</v>
      </c>
      <c r="D12" s="78" t="s">
        <v>112</v>
      </c>
      <c r="E12" s="77" t="s">
        <v>0</v>
      </c>
      <c r="F12" s="260" t="s">
        <v>2081</v>
      </c>
      <c r="G12" s="318" t="s">
        <v>1956</v>
      </c>
    </row>
    <row r="13" spans="1:7" ht="25.5" customHeight="1">
      <c r="A13" s="69"/>
      <c r="B13" s="76" t="s">
        <v>2226</v>
      </c>
      <c r="C13" s="254" t="s">
        <v>1952</v>
      </c>
      <c r="D13" s="78" t="s">
        <v>112</v>
      </c>
      <c r="E13" s="77" t="s">
        <v>0</v>
      </c>
      <c r="F13" s="259" t="s">
        <v>2082</v>
      </c>
      <c r="G13" s="318" t="s">
        <v>1956</v>
      </c>
    </row>
    <row r="14" spans="1:7">
      <c r="A14" s="69"/>
      <c r="B14" s="76" t="s">
        <v>2226</v>
      </c>
      <c r="C14" s="254" t="s">
        <v>1953</v>
      </c>
      <c r="D14" s="78" t="s">
        <v>112</v>
      </c>
      <c r="E14" s="77" t="s">
        <v>0</v>
      </c>
      <c r="F14" s="260" t="s">
        <v>2083</v>
      </c>
      <c r="G14" s="318" t="s">
        <v>1955</v>
      </c>
    </row>
    <row r="15" spans="1:7">
      <c r="A15" s="69"/>
      <c r="B15" s="76" t="s">
        <v>2226</v>
      </c>
      <c r="C15" s="254" t="s">
        <v>1954</v>
      </c>
      <c r="D15" s="78" t="s">
        <v>112</v>
      </c>
      <c r="E15" s="77" t="s">
        <v>0</v>
      </c>
      <c r="F15" s="260" t="s">
        <v>2084</v>
      </c>
      <c r="G15" s="318" t="s">
        <v>1956</v>
      </c>
    </row>
    <row r="16" spans="1:7">
      <c r="A16" s="69"/>
      <c r="B16" s="80"/>
      <c r="C16" s="81"/>
      <c r="D16" s="81" t="s">
        <v>0</v>
      </c>
      <c r="E16" s="81" t="s">
        <v>0</v>
      </c>
      <c r="F16" s="81"/>
      <c r="G16" s="82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Codigo_Actividad!$D$3:$D$4</xm:f>
          </x14:formula1>
          <xm:sqref>G5</xm:sqref>
        </x14:dataValidation>
        <x14:dataValidation type="list" allowBlank="1" showInputMessage="1" showErrorMessage="1" xr:uid="{00000000-0002-0000-0200-000001000000}">
          <x14:formula1>
            <xm:f>Codigo_Actividad!$F$3:$F$4</xm:f>
          </x14:formula1>
          <xm:sqref>G10:G15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6" tint="0.39997558519241921"/>
  </sheetPr>
  <dimension ref="A1:I22"/>
  <sheetViews>
    <sheetView zoomScale="90" zoomScaleNormal="90" workbookViewId="0">
      <selection activeCell="J12" sqref="J12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7" max="7" width="14.5703125" customWidth="1"/>
    <col min="8" max="8" width="14.28515625" customWidth="1"/>
    <col min="9" max="9" width="12.85546875" customWidth="1"/>
  </cols>
  <sheetData>
    <row r="1" spans="1:9" ht="54.95" customHeight="1" thickBot="1"/>
    <row r="2" spans="1:9" ht="177" customHeight="1" thickBot="1">
      <c r="F2" s="89" t="s">
        <v>110</v>
      </c>
    </row>
    <row r="3" spans="1:9" ht="16.5" thickBot="1">
      <c r="F3" s="90" t="s">
        <v>111</v>
      </c>
    </row>
    <row r="4" spans="1:9" ht="16.5" thickBot="1">
      <c r="F4" s="176"/>
    </row>
    <row r="5" spans="1:9" ht="16.5" thickBot="1">
      <c r="F5" s="177" t="s">
        <v>1150</v>
      </c>
      <c r="G5" s="178" t="s">
        <v>1151</v>
      </c>
    </row>
    <row r="6" spans="1:9" ht="16.5" thickBot="1">
      <c r="F6" s="176"/>
    </row>
    <row r="7" spans="1:9" ht="85.5" customHeight="1">
      <c r="A7" s="54" t="s">
        <v>1808</v>
      </c>
      <c r="B7" s="55"/>
      <c r="C7" s="56"/>
      <c r="D7" s="56"/>
      <c r="E7" s="57"/>
      <c r="F7" s="58" t="s">
        <v>113</v>
      </c>
      <c r="G7" s="59" t="s">
        <v>114</v>
      </c>
      <c r="H7" s="59" t="s">
        <v>115</v>
      </c>
      <c r="I7" s="60" t="s">
        <v>116</v>
      </c>
    </row>
    <row r="8" spans="1:9" ht="39.950000000000003" hidden="1" customHeight="1">
      <c r="A8" s="61" t="s">
        <v>1809</v>
      </c>
      <c r="B8" s="62"/>
      <c r="C8" s="63"/>
      <c r="D8" s="64" t="s">
        <v>1811</v>
      </c>
      <c r="E8" s="65" t="s">
        <v>1810</v>
      </c>
      <c r="F8" s="66"/>
      <c r="G8" s="67" t="str">
        <f>SUBSTITUTE(CONCATENATE("IAS1-InfoReveReCa_",TRIM(G7),"_",COLUMN(G8),"|",G7)," ","")</f>
        <v>IAS1-InfoReveReCa_Itemreclasificado1_7|Itemreclasificado1</v>
      </c>
      <c r="H8" s="67" t="str">
        <f>SUBSTITUTE(CONCATENATE("IAS1-InfoReveReCa_",TRIM(H7),"_",COLUMN(H8),"|",H7)," ","")</f>
        <v>IAS1-InfoReveReCa_Itemreclasificado2_8|Itemreclasificado2</v>
      </c>
      <c r="I8" s="68" t="s">
        <v>1760</v>
      </c>
    </row>
    <row r="9" spans="1:9">
      <c r="A9" s="69"/>
      <c r="B9" s="70"/>
      <c r="C9" s="71"/>
      <c r="D9" s="72" t="s">
        <v>0</v>
      </c>
      <c r="E9" s="64" t="s">
        <v>0</v>
      </c>
      <c r="F9" s="73"/>
      <c r="G9" s="74"/>
      <c r="H9" s="74"/>
      <c r="I9" s="75"/>
    </row>
    <row r="10" spans="1:9">
      <c r="A10" s="69"/>
      <c r="B10" s="91" t="s">
        <v>2226</v>
      </c>
      <c r="C10" s="92" t="s">
        <v>1761</v>
      </c>
      <c r="D10" s="88" t="s">
        <v>112</v>
      </c>
      <c r="E10" s="72" t="s">
        <v>0</v>
      </c>
      <c r="F10" s="93" t="s">
        <v>117</v>
      </c>
      <c r="G10" s="159" t="s">
        <v>2351</v>
      </c>
      <c r="H10" s="159"/>
      <c r="I10" s="160"/>
    </row>
    <row r="11" spans="1:9">
      <c r="A11" s="69"/>
      <c r="B11" s="91" t="s">
        <v>2226</v>
      </c>
      <c r="C11" s="92" t="s">
        <v>1762</v>
      </c>
      <c r="D11" s="88" t="s">
        <v>112</v>
      </c>
      <c r="E11" s="71" t="s">
        <v>0</v>
      </c>
      <c r="F11" s="92" t="s">
        <v>118</v>
      </c>
      <c r="G11" s="94">
        <v>2000</v>
      </c>
      <c r="H11" s="94"/>
      <c r="I11" s="95">
        <f>SUM(G11:H11)</f>
        <v>2000</v>
      </c>
    </row>
    <row r="12" spans="1:9">
      <c r="A12" s="69"/>
      <c r="B12" s="91" t="s">
        <v>2226</v>
      </c>
      <c r="C12" s="92" t="s">
        <v>1763</v>
      </c>
      <c r="D12" s="88" t="s">
        <v>112</v>
      </c>
      <c r="E12" s="71" t="s">
        <v>0</v>
      </c>
      <c r="F12" s="92" t="s">
        <v>119</v>
      </c>
      <c r="G12" s="156" t="s">
        <v>2352</v>
      </c>
      <c r="H12" s="156"/>
      <c r="I12" s="160"/>
    </row>
    <row r="13" spans="1:9">
      <c r="A13" s="69"/>
      <c r="B13" s="80"/>
      <c r="C13" s="81"/>
      <c r="D13" s="81" t="s">
        <v>0</v>
      </c>
      <c r="E13" s="81" t="s">
        <v>0</v>
      </c>
      <c r="F13" s="81" t="s">
        <v>0</v>
      </c>
      <c r="G13" s="82"/>
      <c r="H13" s="82"/>
      <c r="I13" s="83"/>
    </row>
    <row r="14" spans="1:9">
      <c r="A14" s="69"/>
      <c r="B14" s="69"/>
      <c r="C14" s="69"/>
      <c r="D14" s="69" t="s">
        <v>0</v>
      </c>
      <c r="E14" s="69" t="s">
        <v>0</v>
      </c>
      <c r="F14" s="69"/>
      <c r="G14" s="96"/>
      <c r="H14" s="96"/>
      <c r="I14" s="69"/>
    </row>
    <row r="15" spans="1:9" ht="15.75" thickBot="1">
      <c r="A15" s="97"/>
      <c r="B15" s="69"/>
      <c r="C15" s="69"/>
      <c r="D15" s="69"/>
      <c r="E15" s="69"/>
      <c r="F15" s="69"/>
      <c r="G15" s="98"/>
      <c r="H15" s="98"/>
      <c r="I15" s="69"/>
    </row>
    <row r="16" spans="1:9" ht="85.5" customHeight="1">
      <c r="A16" s="54"/>
      <c r="B16" s="55"/>
      <c r="C16" s="56"/>
      <c r="D16" s="56"/>
      <c r="E16" s="57"/>
      <c r="F16" s="58" t="s">
        <v>113</v>
      </c>
      <c r="G16" s="59" t="str">
        <f>IF(G7="Agregar columna opcional","",G7)</f>
        <v>Item reclasificado1</v>
      </c>
      <c r="H16" s="59" t="str">
        <f>IF(H7="Agregar columna opcional","",H7)</f>
        <v>Item reclasificado2</v>
      </c>
      <c r="I16" s="60" t="s">
        <v>116</v>
      </c>
    </row>
    <row r="17" spans="1:9">
      <c r="A17" s="69"/>
      <c r="B17" s="62"/>
      <c r="C17" s="63"/>
      <c r="D17" s="64"/>
      <c r="E17" s="85"/>
      <c r="F17" s="66"/>
      <c r="G17" s="99"/>
      <c r="H17" s="99"/>
      <c r="I17" s="86" t="s">
        <v>0</v>
      </c>
    </row>
    <row r="18" spans="1:9">
      <c r="A18" s="69"/>
      <c r="B18" s="70"/>
      <c r="C18" s="71"/>
      <c r="D18" s="72" t="s">
        <v>0</v>
      </c>
      <c r="E18" s="64" t="s">
        <v>0</v>
      </c>
      <c r="F18" s="73"/>
      <c r="G18" s="74"/>
      <c r="H18" s="74"/>
      <c r="I18" s="75"/>
    </row>
    <row r="19" spans="1:9">
      <c r="A19" s="69"/>
      <c r="B19" s="91" t="s">
        <v>2226</v>
      </c>
      <c r="C19" s="92" t="s">
        <v>1761</v>
      </c>
      <c r="D19" s="88" t="s">
        <v>120</v>
      </c>
      <c r="E19" s="72" t="s">
        <v>0</v>
      </c>
      <c r="F19" s="93" t="s">
        <v>117</v>
      </c>
      <c r="G19" s="159" t="s">
        <v>2351</v>
      </c>
      <c r="H19" s="159"/>
      <c r="I19" s="160"/>
    </row>
    <row r="20" spans="1:9">
      <c r="A20" s="69"/>
      <c r="B20" s="91" t="s">
        <v>2226</v>
      </c>
      <c r="C20" s="92" t="s">
        <v>1762</v>
      </c>
      <c r="D20" s="88" t="s">
        <v>120</v>
      </c>
      <c r="E20" s="71" t="s">
        <v>0</v>
      </c>
      <c r="F20" s="92" t="s">
        <v>118</v>
      </c>
      <c r="G20" s="94">
        <v>1000</v>
      </c>
      <c r="H20" s="94"/>
      <c r="I20" s="95">
        <f>SUM(G20:H20)</f>
        <v>1000</v>
      </c>
    </row>
    <row r="21" spans="1:9">
      <c r="A21" s="69"/>
      <c r="B21" s="91" t="s">
        <v>2226</v>
      </c>
      <c r="C21" s="92" t="s">
        <v>1763</v>
      </c>
      <c r="D21" s="88" t="s">
        <v>120</v>
      </c>
      <c r="E21" s="71" t="s">
        <v>0</v>
      </c>
      <c r="F21" s="92" t="s">
        <v>119</v>
      </c>
      <c r="G21" s="156" t="s">
        <v>2352</v>
      </c>
      <c r="H21" s="156"/>
      <c r="I21" s="160"/>
    </row>
    <row r="22" spans="1:9" ht="15.75" thickBot="1">
      <c r="A22" s="69"/>
      <c r="B22" s="80"/>
      <c r="C22" s="81"/>
      <c r="D22" s="81" t="s">
        <v>0</v>
      </c>
      <c r="E22" s="81" t="s">
        <v>0</v>
      </c>
      <c r="F22" s="81" t="s">
        <v>0</v>
      </c>
      <c r="G22" s="100"/>
      <c r="H22" s="100"/>
      <c r="I22" s="83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Codigo_Actividad!$D$3:$D$4</xm:f>
          </x14:formula1>
          <xm:sqref>G5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theme="5" tint="0.39997558519241921"/>
  </sheetPr>
  <dimension ref="A1:I24"/>
  <sheetViews>
    <sheetView topLeftCell="A7" zoomScale="90" zoomScaleNormal="90" workbookViewId="0">
      <selection activeCell="G20" sqref="G20:G23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</cols>
  <sheetData>
    <row r="1" spans="1:9" ht="54.95" customHeight="1" thickBot="1"/>
    <row r="2" spans="1:9" ht="177" customHeight="1" thickBot="1">
      <c r="F2" s="89" t="s">
        <v>110</v>
      </c>
    </row>
    <row r="3" spans="1:9" ht="16.5" thickBot="1">
      <c r="F3" s="90" t="s">
        <v>111</v>
      </c>
    </row>
    <row r="4" spans="1:9" ht="16.5" thickBot="1">
      <c r="F4" s="176"/>
    </row>
    <row r="5" spans="1:9" ht="16.5" thickBot="1">
      <c r="F5" s="177" t="s">
        <v>1150</v>
      </c>
      <c r="G5" s="178" t="s">
        <v>1151</v>
      </c>
    </row>
    <row r="6" spans="1:9" ht="16.5" thickBot="1">
      <c r="F6" s="176"/>
    </row>
    <row r="7" spans="1:9" ht="60" customHeight="1">
      <c r="A7" s="54" t="s">
        <v>1808</v>
      </c>
      <c r="B7" s="55"/>
      <c r="C7" s="56"/>
      <c r="D7" s="56"/>
      <c r="E7" s="57"/>
      <c r="F7" s="101" t="s">
        <v>121</v>
      </c>
      <c r="G7" s="59" t="s">
        <v>122</v>
      </c>
      <c r="H7" s="59" t="s">
        <v>123</v>
      </c>
      <c r="I7" s="60" t="s">
        <v>124</v>
      </c>
    </row>
    <row r="8" spans="1:9" ht="50.1" hidden="1" customHeight="1">
      <c r="A8" s="61" t="s">
        <v>1809</v>
      </c>
      <c r="B8" s="62"/>
      <c r="C8" s="63"/>
      <c r="D8" s="64" t="s">
        <v>1813</v>
      </c>
      <c r="E8" s="65" t="s">
        <v>1812</v>
      </c>
      <c r="F8" s="102"/>
      <c r="G8" s="103" t="str">
        <f>SUBSTITUTE(CONCATENATE("IAS1-InfoReveAcPa_",TRIM(G7),"_",COLUMN(G8),"|",G7)," ","")</f>
        <v>IAS1-InfoReveAcPa_Inf.Activoypasivoconriesgo1_7|Inf.Activoypasivoconriesgo1</v>
      </c>
      <c r="H8" s="103" t="str">
        <f>SUBSTITUTE(CONCATENATE("IAS1-InfoReveAcPa_",TRIM(H7),"_",COLUMN(H8),"|",H7)," ","")</f>
        <v>IAS1-InfoReveAcPa_Inf.Activoypasivoconriesgo2_8|Inf.Activoypasivoconriesgo2</v>
      </c>
      <c r="I8" s="68" t="s">
        <v>1764</v>
      </c>
    </row>
    <row r="9" spans="1:9">
      <c r="A9" s="69"/>
      <c r="B9" s="70"/>
      <c r="C9" s="71"/>
      <c r="D9" s="72" t="s">
        <v>0</v>
      </c>
      <c r="E9" s="64" t="s">
        <v>0</v>
      </c>
      <c r="F9" s="87"/>
      <c r="G9" s="104"/>
      <c r="H9" s="104"/>
      <c r="I9" s="75"/>
    </row>
    <row r="10" spans="1:9" ht="24">
      <c r="A10" s="69"/>
      <c r="B10" s="113" t="s">
        <v>2226</v>
      </c>
      <c r="C10" s="114" t="s">
        <v>1765</v>
      </c>
      <c r="D10" s="105" t="s">
        <v>112</v>
      </c>
      <c r="E10" s="72" t="s">
        <v>0</v>
      </c>
      <c r="F10" s="106" t="s">
        <v>125</v>
      </c>
      <c r="G10" s="161" t="s">
        <v>2351</v>
      </c>
      <c r="H10" s="161"/>
      <c r="I10" s="162"/>
    </row>
    <row r="11" spans="1:9" ht="24">
      <c r="A11" s="69"/>
      <c r="B11" s="113" t="s">
        <v>2226</v>
      </c>
      <c r="C11" s="114" t="s">
        <v>1766</v>
      </c>
      <c r="D11" s="105" t="s">
        <v>112</v>
      </c>
      <c r="E11" s="72" t="s">
        <v>0</v>
      </c>
      <c r="F11" s="106" t="s">
        <v>126</v>
      </c>
      <c r="G11" s="161" t="s">
        <v>2352</v>
      </c>
      <c r="H11" s="161"/>
      <c r="I11" s="162"/>
    </row>
    <row r="12" spans="1:9" ht="24">
      <c r="A12" s="69"/>
      <c r="B12" s="113" t="s">
        <v>2226</v>
      </c>
      <c r="C12" s="114" t="s">
        <v>1767</v>
      </c>
      <c r="D12" s="105" t="s">
        <v>112</v>
      </c>
      <c r="E12" s="72" t="s">
        <v>0</v>
      </c>
      <c r="F12" s="106" t="s">
        <v>127</v>
      </c>
      <c r="G12" s="107">
        <v>1000</v>
      </c>
      <c r="H12" s="107"/>
      <c r="I12" s="108">
        <f>SUM(G12:H12)</f>
        <v>1000</v>
      </c>
    </row>
    <row r="13" spans="1:9" ht="24">
      <c r="A13" s="69"/>
      <c r="B13" s="113" t="s">
        <v>2226</v>
      </c>
      <c r="C13" s="114" t="s">
        <v>1768</v>
      </c>
      <c r="D13" s="105" t="s">
        <v>112</v>
      </c>
      <c r="E13" s="72" t="s">
        <v>0</v>
      </c>
      <c r="F13" s="106" t="s">
        <v>128</v>
      </c>
      <c r="G13" s="107">
        <v>2000</v>
      </c>
      <c r="H13" s="107"/>
      <c r="I13" s="108">
        <f>SUM(G13:H13)</f>
        <v>2000</v>
      </c>
    </row>
    <row r="14" spans="1:9">
      <c r="A14" s="69"/>
      <c r="B14" s="80"/>
      <c r="C14" s="81"/>
      <c r="D14" s="81" t="s">
        <v>0</v>
      </c>
      <c r="E14" s="81" t="s">
        <v>0</v>
      </c>
      <c r="F14" s="109" t="s">
        <v>0</v>
      </c>
      <c r="G14" s="109"/>
      <c r="H14" s="109"/>
      <c r="I14" s="83"/>
    </row>
    <row r="15" spans="1:9">
      <c r="A15" s="69"/>
      <c r="B15" s="69"/>
      <c r="C15" s="69"/>
      <c r="D15" s="69" t="s">
        <v>0</v>
      </c>
      <c r="E15" s="69" t="s">
        <v>0</v>
      </c>
      <c r="F15" s="110"/>
      <c r="G15" s="110"/>
      <c r="H15" s="110"/>
      <c r="I15" s="69"/>
    </row>
    <row r="16" spans="1:9" ht="15.75" thickBot="1">
      <c r="A16" s="97"/>
      <c r="B16" s="69"/>
      <c r="C16" s="69"/>
      <c r="D16" s="69"/>
      <c r="E16" s="69"/>
      <c r="F16" s="110"/>
      <c r="G16" s="111"/>
      <c r="H16" s="111"/>
      <c r="I16" s="69"/>
    </row>
    <row r="17" spans="1:9" ht="60" customHeight="1">
      <c r="A17" s="54"/>
      <c r="B17" s="55"/>
      <c r="C17" s="56"/>
      <c r="D17" s="56"/>
      <c r="E17" s="57"/>
      <c r="F17" s="101" t="s">
        <v>129</v>
      </c>
      <c r="G17" s="59" t="str">
        <f>IF(G7="Agregar columna opcional","",G7)</f>
        <v>Inf. Activo y pasivo con riesgo1</v>
      </c>
      <c r="H17" s="59" t="str">
        <f>IF(H7="Agregar columna opcional","",H7)</f>
        <v>Inf. Activo y pasivo con riesgo2</v>
      </c>
      <c r="I17" s="60" t="s">
        <v>124</v>
      </c>
    </row>
    <row r="18" spans="1:9">
      <c r="A18" s="69"/>
      <c r="B18" s="62"/>
      <c r="C18" s="63"/>
      <c r="D18" s="64"/>
      <c r="E18" s="85"/>
      <c r="F18" s="102"/>
      <c r="G18" s="99"/>
      <c r="H18" s="99"/>
      <c r="I18" s="86"/>
    </row>
    <row r="19" spans="1:9">
      <c r="A19" s="69"/>
      <c r="B19" s="70"/>
      <c r="C19" s="71"/>
      <c r="D19" s="72" t="s">
        <v>0</v>
      </c>
      <c r="E19" s="64" t="s">
        <v>0</v>
      </c>
      <c r="F19" s="87"/>
      <c r="G19" s="104"/>
      <c r="H19" s="104"/>
      <c r="I19" s="75"/>
    </row>
    <row r="20" spans="1:9" ht="24">
      <c r="A20" s="69"/>
      <c r="B20" s="113" t="s">
        <v>2226</v>
      </c>
      <c r="C20" s="114" t="s">
        <v>1765</v>
      </c>
      <c r="D20" s="105" t="s">
        <v>120</v>
      </c>
      <c r="E20" s="72" t="s">
        <v>0</v>
      </c>
      <c r="F20" s="106" t="s">
        <v>125</v>
      </c>
      <c r="G20" s="161" t="s">
        <v>2351</v>
      </c>
      <c r="H20" s="161"/>
      <c r="I20" s="162"/>
    </row>
    <row r="21" spans="1:9" ht="24">
      <c r="A21" s="69"/>
      <c r="B21" s="113" t="s">
        <v>2226</v>
      </c>
      <c r="C21" s="114" t="s">
        <v>1766</v>
      </c>
      <c r="D21" s="105" t="s">
        <v>120</v>
      </c>
      <c r="E21" s="72"/>
      <c r="F21" s="106" t="s">
        <v>126</v>
      </c>
      <c r="G21" s="161" t="s">
        <v>2352</v>
      </c>
      <c r="H21" s="161"/>
      <c r="I21" s="162"/>
    </row>
    <row r="22" spans="1:9" ht="24">
      <c r="A22" s="69"/>
      <c r="B22" s="113" t="s">
        <v>2226</v>
      </c>
      <c r="C22" s="114" t="s">
        <v>1767</v>
      </c>
      <c r="D22" s="105" t="s">
        <v>120</v>
      </c>
      <c r="E22" s="72"/>
      <c r="F22" s="106" t="s">
        <v>127</v>
      </c>
      <c r="G22" s="107">
        <v>1000</v>
      </c>
      <c r="H22" s="107"/>
      <c r="I22" s="108">
        <f>SUM(G22:H22)</f>
        <v>1000</v>
      </c>
    </row>
    <row r="23" spans="1:9" ht="24">
      <c r="A23" s="69"/>
      <c r="B23" s="113" t="s">
        <v>2226</v>
      </c>
      <c r="C23" s="114" t="s">
        <v>1768</v>
      </c>
      <c r="D23" s="105" t="s">
        <v>120</v>
      </c>
      <c r="E23" s="72"/>
      <c r="F23" s="106" t="s">
        <v>128</v>
      </c>
      <c r="G23" s="107">
        <v>2000</v>
      </c>
      <c r="H23" s="107"/>
      <c r="I23" s="108">
        <f>SUM(G23:H23)</f>
        <v>2000</v>
      </c>
    </row>
    <row r="24" spans="1:9" ht="15.75" thickBot="1">
      <c r="A24" s="69"/>
      <c r="B24" s="80"/>
      <c r="C24" s="81"/>
      <c r="D24" s="81" t="s">
        <v>0</v>
      </c>
      <c r="E24" s="81" t="s">
        <v>0</v>
      </c>
      <c r="F24" s="109" t="s">
        <v>0</v>
      </c>
      <c r="G24" s="112"/>
      <c r="H24" s="112"/>
      <c r="I24" s="83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Codigo_Actividad!$D$3:$D$4</xm:f>
          </x14:formula1>
          <xm:sqref>G5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theme="7" tint="0.39997558519241921"/>
  </sheetPr>
  <dimension ref="A1:I26"/>
  <sheetViews>
    <sheetView topLeftCell="A10" zoomScale="90" zoomScaleNormal="90" workbookViewId="0">
      <selection activeCell="G21" sqref="G21:G25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</cols>
  <sheetData>
    <row r="1" spans="1:9" ht="54.95" customHeight="1" thickBot="1"/>
    <row r="2" spans="1:9" ht="177" customHeight="1" thickBot="1">
      <c r="F2" s="89" t="s">
        <v>110</v>
      </c>
    </row>
    <row r="3" spans="1:9" ht="16.5" thickBot="1">
      <c r="F3" s="90" t="s">
        <v>111</v>
      </c>
    </row>
    <row r="4" spans="1:9" ht="16.5" thickBot="1">
      <c r="F4" s="176"/>
    </row>
    <row r="5" spans="1:9" ht="16.5" thickBot="1">
      <c r="F5" s="177" t="s">
        <v>1150</v>
      </c>
      <c r="G5" s="178" t="s">
        <v>1151</v>
      </c>
    </row>
    <row r="6" spans="1:9" ht="16.5" thickBot="1">
      <c r="F6" s="176"/>
    </row>
    <row r="7" spans="1:9" ht="57.75" customHeight="1">
      <c r="A7" s="115" t="s">
        <v>1808</v>
      </c>
      <c r="B7" s="55"/>
      <c r="C7" s="56"/>
      <c r="D7" s="56"/>
      <c r="E7" s="57"/>
      <c r="F7" s="57" t="s">
        <v>130</v>
      </c>
      <c r="G7" s="59" t="s">
        <v>131</v>
      </c>
      <c r="H7" s="59" t="s">
        <v>2040</v>
      </c>
      <c r="I7" s="60" t="s">
        <v>132</v>
      </c>
    </row>
    <row r="8" spans="1:9" ht="60" hidden="1" customHeight="1">
      <c r="A8" s="61" t="s">
        <v>1809</v>
      </c>
      <c r="B8" s="116"/>
      <c r="C8" s="117"/>
      <c r="D8" s="118" t="s">
        <v>1815</v>
      </c>
      <c r="E8" s="65" t="s">
        <v>1814</v>
      </c>
      <c r="F8" s="66"/>
      <c r="G8" s="119" t="str">
        <f>SUBSTITUTE(CONCATENATE("IAS1-InfoReveObPo_",TRIM(G7),"_",COLUMN(G8),"|",G7)," ","")</f>
        <v>IAS1-InfoReveObPo_Req.Capital1_7|Req.Capital1</v>
      </c>
      <c r="H8" s="119" t="str">
        <f>SUBSTITUTE(CONCATENATE("IAS1-InfoReveObPo_",TRIM(H7),"_",COLUMN(H8),"|",H7)," ","")</f>
        <v>IAS1-InfoReveObPo_Req.Capital2_8|Req.Capital2</v>
      </c>
      <c r="I8" s="120" t="s">
        <v>1769</v>
      </c>
    </row>
    <row r="9" spans="1:9">
      <c r="B9" s="116"/>
      <c r="C9" s="117"/>
      <c r="D9" s="118"/>
      <c r="E9" s="118"/>
      <c r="F9" s="118"/>
      <c r="G9" s="121"/>
      <c r="H9" s="121"/>
      <c r="I9" s="122"/>
    </row>
    <row r="10" spans="1:9" ht="22.5">
      <c r="B10" s="62" t="s">
        <v>2226</v>
      </c>
      <c r="C10" s="64" t="s">
        <v>1770</v>
      </c>
      <c r="D10" s="64" t="s">
        <v>112</v>
      </c>
      <c r="E10" s="64" t="s">
        <v>0</v>
      </c>
      <c r="F10" s="123" t="s">
        <v>133</v>
      </c>
      <c r="G10" s="158" t="s">
        <v>2351</v>
      </c>
      <c r="H10" s="158"/>
      <c r="I10" s="163"/>
    </row>
    <row r="11" spans="1:9">
      <c r="B11" s="62" t="s">
        <v>2226</v>
      </c>
      <c r="C11" s="64" t="s">
        <v>1771</v>
      </c>
      <c r="D11" s="64" t="s">
        <v>112</v>
      </c>
      <c r="E11" s="64" t="s">
        <v>0</v>
      </c>
      <c r="F11" s="64" t="s">
        <v>134</v>
      </c>
      <c r="G11" s="158" t="s">
        <v>2352</v>
      </c>
      <c r="H11" s="158"/>
      <c r="I11" s="163"/>
    </row>
    <row r="12" spans="1:9" ht="22.5">
      <c r="B12" s="62" t="s">
        <v>2226</v>
      </c>
      <c r="C12" s="64" t="s">
        <v>1772</v>
      </c>
      <c r="D12" s="64" t="s">
        <v>112</v>
      </c>
      <c r="E12" s="64" t="s">
        <v>0</v>
      </c>
      <c r="F12" s="123" t="s">
        <v>135</v>
      </c>
      <c r="G12" s="158" t="s">
        <v>2353</v>
      </c>
      <c r="H12" s="158"/>
      <c r="I12" s="163"/>
    </row>
    <row r="13" spans="1:9" ht="22.5">
      <c r="B13" s="62" t="s">
        <v>2226</v>
      </c>
      <c r="C13" s="64" t="s">
        <v>1773</v>
      </c>
      <c r="D13" s="64" t="s">
        <v>112</v>
      </c>
      <c r="E13" s="64" t="s">
        <v>0</v>
      </c>
      <c r="F13" s="123" t="s">
        <v>136</v>
      </c>
      <c r="G13" s="158" t="s">
        <v>2354</v>
      </c>
      <c r="H13" s="158"/>
      <c r="I13" s="163"/>
    </row>
    <row r="14" spans="1:9" ht="22.5">
      <c r="B14" s="62" t="s">
        <v>2226</v>
      </c>
      <c r="C14" s="64" t="s">
        <v>1774</v>
      </c>
      <c r="D14" s="64" t="s">
        <v>112</v>
      </c>
      <c r="E14" s="64" t="s">
        <v>0</v>
      </c>
      <c r="F14" s="123" t="s">
        <v>137</v>
      </c>
      <c r="G14" s="158" t="s">
        <v>2355</v>
      </c>
      <c r="H14" s="158"/>
      <c r="I14" s="163"/>
    </row>
    <row r="15" spans="1:9">
      <c r="B15" s="124"/>
      <c r="C15" s="125"/>
      <c r="D15" s="125"/>
      <c r="E15" s="125"/>
      <c r="F15" s="125"/>
      <c r="G15" s="126"/>
      <c r="H15" s="126"/>
      <c r="I15" s="122"/>
    </row>
    <row r="16" spans="1:9">
      <c r="G16" s="84"/>
      <c r="H16" s="84"/>
    </row>
    <row r="17" spans="1:9" ht="15.75" thickBot="1">
      <c r="A17" s="127"/>
      <c r="G17" s="128"/>
      <c r="H17" s="128"/>
    </row>
    <row r="18" spans="1:9" ht="57.75" customHeight="1">
      <c r="A18" s="115"/>
      <c r="B18" s="55"/>
      <c r="C18" s="56"/>
      <c r="D18" s="56"/>
      <c r="E18" s="57"/>
      <c r="F18" s="57" t="s">
        <v>138</v>
      </c>
      <c r="G18" s="59" t="str">
        <f>IF(G7="Agregar columna opcional","",G7)</f>
        <v>Req. Capital1</v>
      </c>
      <c r="H18" s="59" t="str">
        <f>IF(H7="Agregar columna opcional","",H7)</f>
        <v>Req. Capital2</v>
      </c>
      <c r="I18" s="60" t="s">
        <v>132</v>
      </c>
    </row>
    <row r="19" spans="1:9">
      <c r="B19" s="116"/>
      <c r="C19" s="117"/>
      <c r="D19" s="118"/>
      <c r="E19" s="129"/>
      <c r="F19" s="66"/>
      <c r="G19" s="121"/>
      <c r="H19" s="121"/>
      <c r="I19" s="130"/>
    </row>
    <row r="20" spans="1:9">
      <c r="B20" s="116"/>
      <c r="C20" s="117"/>
      <c r="D20" s="118"/>
      <c r="E20" s="118"/>
      <c r="F20" s="118"/>
      <c r="G20" s="121"/>
      <c r="H20" s="121"/>
      <c r="I20" s="122"/>
    </row>
    <row r="21" spans="1:9" ht="22.5">
      <c r="B21" s="62" t="s">
        <v>2226</v>
      </c>
      <c r="C21" s="64" t="s">
        <v>1770</v>
      </c>
      <c r="D21" s="64" t="s">
        <v>120</v>
      </c>
      <c r="E21" s="64" t="s">
        <v>0</v>
      </c>
      <c r="F21" s="123" t="s">
        <v>133</v>
      </c>
      <c r="G21" s="158" t="s">
        <v>2351</v>
      </c>
      <c r="H21" s="158"/>
      <c r="I21" s="163"/>
    </row>
    <row r="22" spans="1:9">
      <c r="B22" s="62" t="s">
        <v>2226</v>
      </c>
      <c r="C22" s="64" t="s">
        <v>1771</v>
      </c>
      <c r="D22" s="64" t="s">
        <v>120</v>
      </c>
      <c r="E22" s="64" t="s">
        <v>0</v>
      </c>
      <c r="F22" s="64" t="s">
        <v>134</v>
      </c>
      <c r="G22" s="158" t="s">
        <v>2352</v>
      </c>
      <c r="H22" s="158"/>
      <c r="I22" s="163"/>
    </row>
    <row r="23" spans="1:9" ht="22.5">
      <c r="B23" s="62" t="s">
        <v>2226</v>
      </c>
      <c r="C23" s="64" t="s">
        <v>1772</v>
      </c>
      <c r="D23" s="64" t="s">
        <v>120</v>
      </c>
      <c r="E23" s="64" t="s">
        <v>0</v>
      </c>
      <c r="F23" s="123" t="s">
        <v>135</v>
      </c>
      <c r="G23" s="158" t="s">
        <v>2353</v>
      </c>
      <c r="H23" s="158"/>
      <c r="I23" s="163"/>
    </row>
    <row r="24" spans="1:9" ht="22.5">
      <c r="B24" s="62" t="s">
        <v>2226</v>
      </c>
      <c r="C24" s="64" t="s">
        <v>1773</v>
      </c>
      <c r="D24" s="64" t="s">
        <v>120</v>
      </c>
      <c r="E24" s="64" t="s">
        <v>0</v>
      </c>
      <c r="F24" s="123" t="s">
        <v>136</v>
      </c>
      <c r="G24" s="158" t="s">
        <v>2354</v>
      </c>
      <c r="H24" s="158"/>
      <c r="I24" s="163"/>
    </row>
    <row r="25" spans="1:9" ht="22.5">
      <c r="B25" s="62" t="s">
        <v>2226</v>
      </c>
      <c r="C25" s="64" t="s">
        <v>1774</v>
      </c>
      <c r="D25" s="64" t="s">
        <v>120</v>
      </c>
      <c r="E25" s="64" t="s">
        <v>0</v>
      </c>
      <c r="F25" s="123" t="s">
        <v>137</v>
      </c>
      <c r="G25" s="158" t="s">
        <v>2355</v>
      </c>
      <c r="H25" s="158"/>
      <c r="I25" s="163"/>
    </row>
    <row r="26" spans="1:9" ht="15.75" thickBot="1">
      <c r="B26" s="124"/>
      <c r="C26" s="125"/>
      <c r="D26" s="125"/>
      <c r="E26" s="125"/>
      <c r="F26" s="125"/>
      <c r="G26" s="131"/>
      <c r="H26" s="131"/>
      <c r="I26" s="122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Codigo_Actividad!$D$3:$D$4</xm:f>
          </x14:formula1>
          <xm:sqref>G5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0" tint="-0.249977111117893"/>
  </sheetPr>
  <dimension ref="A1:L52"/>
  <sheetViews>
    <sheetView topLeftCell="A4" zoomScale="90" zoomScaleNormal="90" workbookViewId="0">
      <selection activeCell="M2" sqref="M2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7" max="7" width="16.7109375" bestFit="1" customWidth="1"/>
    <col min="9" max="9" width="16.7109375" bestFit="1" customWidth="1"/>
    <col min="11" max="11" width="13.28515625" bestFit="1" customWidth="1"/>
    <col min="12" max="12" width="16.7109375" bestFit="1" customWidth="1"/>
  </cols>
  <sheetData>
    <row r="1" spans="1:12" ht="54.95" customHeight="1" thickBot="1"/>
    <row r="2" spans="1:12" ht="177" customHeight="1" thickBot="1">
      <c r="F2" s="89" t="s">
        <v>110</v>
      </c>
    </row>
    <row r="3" spans="1:12" ht="16.5" thickBot="1">
      <c r="F3" s="90" t="s">
        <v>111</v>
      </c>
    </row>
    <row r="4" spans="1:12" ht="16.5" thickBot="1">
      <c r="F4" s="176"/>
    </row>
    <row r="5" spans="1:12" ht="16.5" thickBot="1">
      <c r="F5" s="177" t="s">
        <v>1150</v>
      </c>
      <c r="G5" s="178" t="s">
        <v>1151</v>
      </c>
    </row>
    <row r="6" spans="1:12" ht="16.5" thickBot="1">
      <c r="F6" s="176"/>
    </row>
    <row r="7" spans="1:12" ht="57.75" customHeight="1">
      <c r="A7" s="115" t="s">
        <v>1808</v>
      </c>
      <c r="B7" s="55"/>
      <c r="C7" s="56"/>
      <c r="D7" s="56"/>
      <c r="E7" s="57"/>
      <c r="F7" s="57" t="s">
        <v>139</v>
      </c>
      <c r="G7" s="59" t="s">
        <v>140</v>
      </c>
      <c r="H7" s="59" t="s">
        <v>141</v>
      </c>
      <c r="I7" s="60" t="s">
        <v>666</v>
      </c>
      <c r="J7" s="59" t="s">
        <v>140</v>
      </c>
      <c r="K7" s="60" t="s">
        <v>665</v>
      </c>
      <c r="L7" s="60" t="s">
        <v>1833</v>
      </c>
    </row>
    <row r="8" spans="1:12" ht="60" hidden="1" customHeight="1">
      <c r="A8" s="61" t="s">
        <v>1809</v>
      </c>
      <c r="B8" s="116"/>
      <c r="C8" s="117"/>
      <c r="D8" s="118" t="s">
        <v>1817</v>
      </c>
      <c r="E8" s="65" t="s">
        <v>1816</v>
      </c>
      <c r="F8" s="66"/>
      <c r="G8" s="67" t="str">
        <f>SUBSTITUTE(CONCATENATE("IAS1-ClasCapiAcci_",TRIM(G7),"_",COLUMN(G8),"|",G7)," ","")</f>
        <v>IAS1-ClasCapiAcci_Cap.Enacciones1_7|Cap.Enacciones1</v>
      </c>
      <c r="H8" s="67" t="str">
        <f>SUBSTITUTE(CONCATENATE("IAS1-ClasCapiAcci_",TRIM(H7),"_",COLUMN(H8),"|",H7)," ","")</f>
        <v>IAS1-ClasCapiAcci_Cap.Enacciones2_8|Cap.Enacciones2</v>
      </c>
      <c r="I8" s="132" t="s">
        <v>1775</v>
      </c>
      <c r="J8" s="67" t="str">
        <f>SUBSTITUTE(CONCATENATE("IAS1-ClasCapiAcci_",TRIM(J7),"_",COLUMN(J8),"|",J7)," ","")</f>
        <v>IAS1-ClasCapiAcci_Cap.Enacciones1_10|Cap.Enacciones1</v>
      </c>
      <c r="K8" s="132" t="s">
        <v>1776</v>
      </c>
      <c r="L8" s="132" t="s">
        <v>1777</v>
      </c>
    </row>
    <row r="9" spans="1:12">
      <c r="B9" s="116"/>
      <c r="C9" s="117"/>
      <c r="D9" s="118"/>
      <c r="E9" s="118"/>
      <c r="F9" s="118"/>
      <c r="G9" s="121"/>
      <c r="H9" s="121"/>
      <c r="I9" s="118"/>
      <c r="J9" s="121"/>
      <c r="K9" s="133"/>
      <c r="L9" s="125"/>
    </row>
    <row r="10" spans="1:12">
      <c r="B10" s="134" t="s">
        <v>2132</v>
      </c>
      <c r="C10" s="135" t="s">
        <v>1778</v>
      </c>
      <c r="D10" s="135" t="s">
        <v>112</v>
      </c>
      <c r="E10" s="135" t="s">
        <v>0</v>
      </c>
      <c r="F10" s="135" t="s">
        <v>229</v>
      </c>
      <c r="G10" s="241">
        <v>10</v>
      </c>
      <c r="H10" s="241">
        <v>10</v>
      </c>
      <c r="I10" s="269">
        <f>SUM(G10:H10)</f>
        <v>20</v>
      </c>
      <c r="J10" s="241">
        <v>10</v>
      </c>
      <c r="K10" s="269">
        <f>SUM(J10:J10)</f>
        <v>10</v>
      </c>
      <c r="L10" s="270">
        <f>I10+K10</f>
        <v>30</v>
      </c>
    </row>
    <row r="11" spans="1:12">
      <c r="B11" s="134" t="s">
        <v>2132</v>
      </c>
      <c r="C11" s="135" t="s">
        <v>1779</v>
      </c>
      <c r="D11" s="135" t="s">
        <v>112</v>
      </c>
      <c r="E11" s="135" t="s">
        <v>0</v>
      </c>
      <c r="F11" s="264" t="s">
        <v>228</v>
      </c>
      <c r="G11" s="241">
        <v>10</v>
      </c>
      <c r="H11" s="241">
        <v>10</v>
      </c>
      <c r="I11" s="269">
        <f t="shared" ref="I11:I22" si="0">SUM(G11:H11)</f>
        <v>20</v>
      </c>
      <c r="J11" s="241">
        <v>10</v>
      </c>
      <c r="K11" s="269">
        <f>SUM(J11:J11)</f>
        <v>10</v>
      </c>
      <c r="L11" s="270">
        <f>I11+K11</f>
        <v>30</v>
      </c>
    </row>
    <row r="12" spans="1:12">
      <c r="B12" s="134" t="s">
        <v>2132</v>
      </c>
      <c r="C12" s="135" t="s">
        <v>1780</v>
      </c>
      <c r="D12" s="135" t="s">
        <v>112</v>
      </c>
      <c r="E12" s="135" t="s">
        <v>0</v>
      </c>
      <c r="F12" s="264" t="s">
        <v>230</v>
      </c>
      <c r="G12" s="241"/>
      <c r="H12" s="241"/>
      <c r="I12" s="269">
        <f t="shared" si="0"/>
        <v>0</v>
      </c>
      <c r="J12" s="241"/>
      <c r="K12" s="269">
        <f>SUM(J12:J12)</f>
        <v>0</v>
      </c>
      <c r="L12" s="270">
        <f>I12+K12</f>
        <v>0</v>
      </c>
    </row>
    <row r="13" spans="1:12">
      <c r="B13" s="134" t="s">
        <v>2132</v>
      </c>
      <c r="C13" s="135" t="s">
        <v>1781</v>
      </c>
      <c r="D13" s="135" t="s">
        <v>112</v>
      </c>
      <c r="E13" s="135" t="s">
        <v>0</v>
      </c>
      <c r="F13" s="265" t="s">
        <v>1134</v>
      </c>
      <c r="G13" s="268">
        <f t="shared" ref="G13" si="1">G11+G12</f>
        <v>10</v>
      </c>
      <c r="H13" s="268">
        <f>H11+H12</f>
        <v>10</v>
      </c>
      <c r="I13" s="269">
        <f t="shared" ref="I13:L13" si="2">I11+I12</f>
        <v>20</v>
      </c>
      <c r="J13" s="268">
        <f t="shared" si="2"/>
        <v>10</v>
      </c>
      <c r="K13" s="269">
        <f t="shared" si="2"/>
        <v>10</v>
      </c>
      <c r="L13" s="270">
        <f t="shared" si="2"/>
        <v>30</v>
      </c>
    </row>
    <row r="14" spans="1:12">
      <c r="B14" s="134"/>
      <c r="C14" s="135"/>
      <c r="D14" s="135"/>
      <c r="E14" s="135"/>
      <c r="F14" s="335" t="s">
        <v>2031</v>
      </c>
      <c r="G14" s="280"/>
      <c r="H14" s="280"/>
      <c r="I14" s="280"/>
      <c r="J14" s="280"/>
      <c r="K14" s="281"/>
      <c r="L14" s="282"/>
    </row>
    <row r="15" spans="1:12">
      <c r="B15" s="339" t="s">
        <v>2132</v>
      </c>
      <c r="C15" s="262" t="s">
        <v>2207</v>
      </c>
      <c r="D15" s="262" t="s">
        <v>112</v>
      </c>
      <c r="E15" s="262"/>
      <c r="F15" s="262" t="s">
        <v>2208</v>
      </c>
      <c r="G15" s="210">
        <v>794564315000</v>
      </c>
      <c r="H15" s="210"/>
      <c r="I15" s="332">
        <f>SUM(G15:H15)</f>
        <v>794564315000</v>
      </c>
      <c r="J15" s="210"/>
      <c r="K15" s="332">
        <f>SUM(J15:J15)</f>
        <v>0</v>
      </c>
      <c r="L15" s="333">
        <f>I15+K15</f>
        <v>794564315000</v>
      </c>
    </row>
    <row r="16" spans="1:12">
      <c r="B16" s="339" t="s">
        <v>2132</v>
      </c>
      <c r="C16" s="262" t="s">
        <v>1662</v>
      </c>
      <c r="D16" s="262" t="s">
        <v>112</v>
      </c>
      <c r="E16" s="262"/>
      <c r="F16" s="262" t="s">
        <v>2209</v>
      </c>
      <c r="G16" s="210">
        <v>338573354000</v>
      </c>
      <c r="H16" s="210"/>
      <c r="I16" s="332">
        <f t="shared" ref="I16" si="3">SUM(G16:H16)</f>
        <v>338573354000</v>
      </c>
      <c r="J16" s="210"/>
      <c r="K16" s="332">
        <f>SUM(J16:J16)</f>
        <v>0</v>
      </c>
      <c r="L16" s="333">
        <f>I16+K16</f>
        <v>338573354000</v>
      </c>
    </row>
    <row r="17" spans="1:12">
      <c r="B17" s="339" t="s">
        <v>2132</v>
      </c>
      <c r="C17" s="262" t="s">
        <v>1782</v>
      </c>
      <c r="D17" s="262" t="s">
        <v>112</v>
      </c>
      <c r="E17" s="262" t="s">
        <v>0</v>
      </c>
      <c r="F17" s="262" t="s">
        <v>231</v>
      </c>
      <c r="G17" s="241"/>
      <c r="H17" s="241"/>
      <c r="I17" s="269">
        <f t="shared" si="0"/>
        <v>0</v>
      </c>
      <c r="J17" s="241"/>
      <c r="K17" s="269">
        <f>SUM(J17:J17)</f>
        <v>0</v>
      </c>
      <c r="L17" s="270">
        <f>I17+K17</f>
        <v>0</v>
      </c>
    </row>
    <row r="18" spans="1:12">
      <c r="B18" s="134" t="s">
        <v>2132</v>
      </c>
      <c r="C18" s="135" t="s">
        <v>1783</v>
      </c>
      <c r="D18" s="135" t="s">
        <v>112</v>
      </c>
      <c r="E18" s="135" t="s">
        <v>0</v>
      </c>
      <c r="F18" s="262" t="s">
        <v>1849</v>
      </c>
      <c r="G18" s="210"/>
      <c r="H18" s="210"/>
      <c r="I18" s="212"/>
      <c r="J18" s="210"/>
      <c r="K18" s="212"/>
      <c r="L18" s="213"/>
    </row>
    <row r="19" spans="1:12">
      <c r="B19" s="134"/>
      <c r="C19" s="135"/>
      <c r="D19" s="135"/>
      <c r="E19" s="135" t="s">
        <v>0</v>
      </c>
      <c r="F19" s="263" t="s">
        <v>232</v>
      </c>
      <c r="G19" s="137"/>
      <c r="H19" s="137"/>
      <c r="I19" s="214"/>
      <c r="J19" s="137"/>
      <c r="K19" s="244"/>
      <c r="L19" s="243"/>
    </row>
    <row r="20" spans="1:12">
      <c r="A20" t="s">
        <v>142</v>
      </c>
      <c r="B20" s="134" t="s">
        <v>2132</v>
      </c>
      <c r="C20" s="135" t="s">
        <v>1784</v>
      </c>
      <c r="D20" s="135" t="s">
        <v>112</v>
      </c>
      <c r="E20" s="135" t="s">
        <v>0</v>
      </c>
      <c r="F20" s="264" t="s">
        <v>233</v>
      </c>
      <c r="G20" s="241">
        <v>10</v>
      </c>
      <c r="H20" s="241"/>
      <c r="I20" s="269">
        <f t="shared" si="0"/>
        <v>10</v>
      </c>
      <c r="J20" s="241"/>
      <c r="K20" s="269">
        <f>SUM(J20:J20)</f>
        <v>0</v>
      </c>
      <c r="L20" s="270">
        <f>I20+K20</f>
        <v>10</v>
      </c>
    </row>
    <row r="21" spans="1:12" ht="29.25" customHeight="1">
      <c r="B21" s="134"/>
      <c r="C21" s="135"/>
      <c r="D21" s="135"/>
      <c r="E21" s="135" t="s">
        <v>0</v>
      </c>
      <c r="F21" s="265" t="s">
        <v>234</v>
      </c>
      <c r="G21" s="137"/>
      <c r="H21" s="137"/>
      <c r="I21" s="214"/>
      <c r="J21" s="137"/>
      <c r="K21" s="244"/>
      <c r="L21" s="245"/>
    </row>
    <row r="22" spans="1:12">
      <c r="B22" s="134" t="s">
        <v>2132</v>
      </c>
      <c r="C22" s="135" t="s">
        <v>1785</v>
      </c>
      <c r="D22" s="135" t="s">
        <v>112</v>
      </c>
      <c r="E22" s="135" t="s">
        <v>0</v>
      </c>
      <c r="F22" s="157" t="s">
        <v>235</v>
      </c>
      <c r="G22" s="241"/>
      <c r="H22" s="241"/>
      <c r="I22" s="269">
        <f t="shared" si="0"/>
        <v>0</v>
      </c>
      <c r="J22" s="241"/>
      <c r="K22" s="269">
        <f>SUM(J22:J22)</f>
        <v>0</v>
      </c>
      <c r="L22" s="270">
        <f>I22+K22</f>
        <v>0</v>
      </c>
    </row>
    <row r="23" spans="1:12">
      <c r="B23" s="134" t="s">
        <v>2132</v>
      </c>
      <c r="C23" s="135" t="s">
        <v>1784</v>
      </c>
      <c r="D23" s="135" t="s">
        <v>112</v>
      </c>
      <c r="E23" s="135" t="s">
        <v>0</v>
      </c>
      <c r="F23" s="136" t="s">
        <v>233</v>
      </c>
      <c r="G23" s="271">
        <f t="shared" ref="G23:K23" si="4">G20+G22</f>
        <v>10</v>
      </c>
      <c r="H23" s="271">
        <f t="shared" si="4"/>
        <v>0</v>
      </c>
      <c r="I23" s="272">
        <f t="shared" si="4"/>
        <v>10</v>
      </c>
      <c r="J23" s="271">
        <f t="shared" si="4"/>
        <v>0</v>
      </c>
      <c r="K23" s="272">
        <f t="shared" si="4"/>
        <v>0</v>
      </c>
      <c r="L23" s="270">
        <f>I23+K23</f>
        <v>10</v>
      </c>
    </row>
    <row r="24" spans="1:12">
      <c r="B24" s="134"/>
      <c r="C24" s="135"/>
      <c r="D24" s="135"/>
      <c r="E24" s="135"/>
      <c r="F24" s="279" t="s">
        <v>2032</v>
      </c>
      <c r="G24" s="280"/>
      <c r="H24" s="280"/>
      <c r="I24" s="280"/>
      <c r="J24" s="280"/>
      <c r="K24" s="281"/>
      <c r="L24" s="282"/>
    </row>
    <row r="25" spans="1:12">
      <c r="B25" s="134" t="s">
        <v>2132</v>
      </c>
      <c r="C25" s="135" t="s">
        <v>1786</v>
      </c>
      <c r="D25" s="135" t="s">
        <v>112</v>
      </c>
      <c r="E25" s="135" t="s">
        <v>0</v>
      </c>
      <c r="F25" s="138" t="s">
        <v>236</v>
      </c>
      <c r="G25" s="210"/>
      <c r="H25" s="210"/>
      <c r="I25" s="211"/>
      <c r="J25" s="210"/>
      <c r="K25" s="211"/>
      <c r="L25" s="211"/>
    </row>
    <row r="26" spans="1:12" ht="22.5">
      <c r="B26" s="134" t="s">
        <v>2132</v>
      </c>
      <c r="C26" s="135" t="s">
        <v>1787</v>
      </c>
      <c r="D26" s="135" t="s">
        <v>112</v>
      </c>
      <c r="E26" s="135" t="s">
        <v>0</v>
      </c>
      <c r="F26" s="138" t="s">
        <v>237</v>
      </c>
      <c r="G26" s="242"/>
      <c r="H26" s="242"/>
      <c r="I26" s="269">
        <f t="shared" ref="I26:I27" si="5">SUM(G26:H26)</f>
        <v>0</v>
      </c>
      <c r="J26" s="242"/>
      <c r="K26" s="269">
        <f t="shared" ref="K26:K27" si="6">SUM(J26:J26)</f>
        <v>0</v>
      </c>
      <c r="L26" s="270">
        <f t="shared" ref="L26:L27" si="7">I26+K26</f>
        <v>0</v>
      </c>
    </row>
    <row r="27" spans="1:12" ht="22.5">
      <c r="B27" s="134" t="s">
        <v>2132</v>
      </c>
      <c r="C27" s="135" t="s">
        <v>1788</v>
      </c>
      <c r="D27" s="135" t="s">
        <v>112</v>
      </c>
      <c r="E27" s="135" t="s">
        <v>0</v>
      </c>
      <c r="F27" s="138" t="s">
        <v>238</v>
      </c>
      <c r="G27" s="242"/>
      <c r="H27" s="242"/>
      <c r="I27" s="269">
        <f t="shared" si="5"/>
        <v>0</v>
      </c>
      <c r="J27" s="242"/>
      <c r="K27" s="269">
        <f t="shared" si="6"/>
        <v>0</v>
      </c>
      <c r="L27" s="270">
        <f t="shared" si="7"/>
        <v>0</v>
      </c>
    </row>
    <row r="28" spans="1:12" ht="22.5">
      <c r="A28" s="127"/>
      <c r="B28" s="134" t="s">
        <v>2132</v>
      </c>
      <c r="C28" s="135" t="s">
        <v>1789</v>
      </c>
      <c r="D28" s="135" t="s">
        <v>112</v>
      </c>
      <c r="E28" s="135" t="s">
        <v>0</v>
      </c>
      <c r="F28" s="138" t="s">
        <v>239</v>
      </c>
      <c r="G28" s="210"/>
      <c r="H28" s="158"/>
      <c r="I28" s="168"/>
      <c r="J28" s="210"/>
      <c r="K28" s="168"/>
      <c r="L28" s="168"/>
    </row>
    <row r="29" spans="1:12">
      <c r="B29" s="124"/>
      <c r="C29" s="125"/>
      <c r="D29" s="125"/>
      <c r="E29" s="125"/>
      <c r="F29" s="125"/>
      <c r="G29" s="126"/>
      <c r="H29" s="126"/>
      <c r="I29" s="125"/>
      <c r="J29" s="126"/>
      <c r="K29" s="247"/>
      <c r="L29" s="246"/>
    </row>
    <row r="30" spans="1:12" ht="15.75" thickBot="1">
      <c r="G30" s="84"/>
      <c r="H30" s="84"/>
      <c r="J30" s="84"/>
    </row>
    <row r="31" spans="1:12" ht="57.75" customHeight="1">
      <c r="A31" s="115"/>
      <c r="B31" s="55"/>
      <c r="C31" s="56"/>
      <c r="D31" s="56"/>
      <c r="E31" s="57"/>
      <c r="F31" s="57" t="s">
        <v>143</v>
      </c>
      <c r="G31" s="59" t="str">
        <f>G7</f>
        <v>Cap. En acciones1</v>
      </c>
      <c r="H31" s="59" t="str">
        <f t="shared" ref="H31:L31" si="8">H7</f>
        <v>Cap. En acciones2</v>
      </c>
      <c r="I31" s="60" t="str">
        <f t="shared" si="8"/>
        <v xml:space="preserve"> Acciones ordinarias [miembro]  </v>
      </c>
      <c r="J31" s="59" t="str">
        <f t="shared" si="8"/>
        <v>Cap. En acciones1</v>
      </c>
      <c r="K31" s="60" t="str">
        <f t="shared" si="8"/>
        <v xml:space="preserve"> Acciones preferentes [miembro]  </v>
      </c>
      <c r="L31" s="60" t="str">
        <f t="shared" si="8"/>
        <v>Capital en acciones [miembro]</v>
      </c>
    </row>
    <row r="32" spans="1:12">
      <c r="B32" s="116"/>
      <c r="C32" s="117"/>
      <c r="D32" s="118"/>
      <c r="E32" s="129"/>
      <c r="F32" s="66"/>
      <c r="G32" s="121"/>
      <c r="H32" s="121"/>
      <c r="I32" s="118"/>
      <c r="J32" s="121"/>
      <c r="K32" s="133"/>
      <c r="L32" s="125"/>
    </row>
    <row r="33" spans="1:12">
      <c r="A33" t="s">
        <v>142</v>
      </c>
      <c r="B33" s="134" t="s">
        <v>2132</v>
      </c>
      <c r="C33" s="135" t="s">
        <v>1778</v>
      </c>
      <c r="D33" s="135" t="s">
        <v>112</v>
      </c>
      <c r="E33" s="135" t="s">
        <v>0</v>
      </c>
      <c r="F33" s="135" t="s">
        <v>229</v>
      </c>
      <c r="G33" s="241">
        <v>10</v>
      </c>
      <c r="H33" s="241"/>
      <c r="I33" s="269">
        <f>SUM(G33:H33)</f>
        <v>10</v>
      </c>
      <c r="J33" s="241"/>
      <c r="K33" s="269">
        <f>SUM(J33:J33)</f>
        <v>0</v>
      </c>
      <c r="L33" s="270">
        <f>I33+K33</f>
        <v>10</v>
      </c>
    </row>
    <row r="34" spans="1:12">
      <c r="A34" t="s">
        <v>142</v>
      </c>
      <c r="B34" s="134" t="s">
        <v>2132</v>
      </c>
      <c r="C34" s="135" t="s">
        <v>1779</v>
      </c>
      <c r="D34" s="262" t="s">
        <v>112</v>
      </c>
      <c r="E34" s="262" t="s">
        <v>0</v>
      </c>
      <c r="F34" s="264" t="s">
        <v>228</v>
      </c>
      <c r="G34" s="241">
        <v>10</v>
      </c>
      <c r="H34" s="241"/>
      <c r="I34" s="269">
        <f t="shared" ref="I34:I35" si="9">SUM(G34:H34)</f>
        <v>10</v>
      </c>
      <c r="J34" s="241"/>
      <c r="K34" s="269">
        <f>SUM(J34:J34)</f>
        <v>0</v>
      </c>
      <c r="L34" s="270">
        <f>I34+K34</f>
        <v>10</v>
      </c>
    </row>
    <row r="35" spans="1:12">
      <c r="A35" t="s">
        <v>142</v>
      </c>
      <c r="B35" s="134" t="s">
        <v>2132</v>
      </c>
      <c r="C35" s="135" t="s">
        <v>1780</v>
      </c>
      <c r="D35" s="262" t="s">
        <v>112</v>
      </c>
      <c r="E35" s="262" t="s">
        <v>0</v>
      </c>
      <c r="F35" s="264" t="s">
        <v>230</v>
      </c>
      <c r="G35" s="241"/>
      <c r="H35" s="241"/>
      <c r="I35" s="269">
        <f t="shared" si="9"/>
        <v>0</v>
      </c>
      <c r="J35" s="241"/>
      <c r="K35" s="269">
        <f>SUM(J35:J35)</f>
        <v>0</v>
      </c>
      <c r="L35" s="270">
        <f>I35+K35</f>
        <v>0</v>
      </c>
    </row>
    <row r="36" spans="1:12">
      <c r="A36" t="s">
        <v>142</v>
      </c>
      <c r="B36" s="134" t="s">
        <v>2132</v>
      </c>
      <c r="C36" s="135" t="s">
        <v>1781</v>
      </c>
      <c r="D36" s="262" t="s">
        <v>112</v>
      </c>
      <c r="E36" s="262" t="s">
        <v>0</v>
      </c>
      <c r="F36" s="265" t="s">
        <v>1134</v>
      </c>
      <c r="G36" s="268">
        <f t="shared" ref="G36" si="10">G34+G35</f>
        <v>10</v>
      </c>
      <c r="H36" s="268">
        <f>H34+H35</f>
        <v>0</v>
      </c>
      <c r="I36" s="269">
        <f t="shared" ref="I36" si="11">I34+I35</f>
        <v>10</v>
      </c>
      <c r="J36" s="268">
        <f t="shared" ref="J36" si="12">J34+J35</f>
        <v>0</v>
      </c>
      <c r="K36" s="269">
        <f t="shared" ref="K36" si="13">K34+K35</f>
        <v>0</v>
      </c>
      <c r="L36" s="270">
        <f t="shared" ref="L36" si="14">L34+L35</f>
        <v>10</v>
      </c>
    </row>
    <row r="37" spans="1:12">
      <c r="B37" s="134"/>
      <c r="C37" s="135"/>
      <c r="D37" s="135"/>
      <c r="E37" s="135"/>
      <c r="F37" s="335" t="s">
        <v>2031</v>
      </c>
      <c r="G37" s="280"/>
      <c r="H37" s="280"/>
      <c r="I37" s="280"/>
      <c r="J37" s="280"/>
      <c r="K37" s="281"/>
      <c r="L37" s="282"/>
    </row>
    <row r="38" spans="1:12">
      <c r="A38" t="s">
        <v>142</v>
      </c>
      <c r="B38" s="339" t="s">
        <v>2132</v>
      </c>
      <c r="C38" s="262" t="s">
        <v>2207</v>
      </c>
      <c r="D38" s="262" t="s">
        <v>112</v>
      </c>
      <c r="E38" s="262"/>
      <c r="F38" s="262" t="s">
        <v>2208</v>
      </c>
      <c r="G38" s="210">
        <v>794877965000</v>
      </c>
      <c r="H38" s="210"/>
      <c r="I38" s="332">
        <f>SUM(G38:H38)</f>
        <v>794877965000</v>
      </c>
      <c r="J38" s="210"/>
      <c r="K38" s="332">
        <f>SUM(J38:J38)</f>
        <v>0</v>
      </c>
      <c r="L38" s="333">
        <f>I38+K38</f>
        <v>794877965000</v>
      </c>
    </row>
    <row r="39" spans="1:12">
      <c r="A39" t="s">
        <v>142</v>
      </c>
      <c r="B39" s="339" t="s">
        <v>2132</v>
      </c>
      <c r="C39" s="262" t="s">
        <v>1662</v>
      </c>
      <c r="D39" s="262" t="s">
        <v>112</v>
      </c>
      <c r="E39" s="262"/>
      <c r="F39" s="262" t="s">
        <v>2209</v>
      </c>
      <c r="G39" s="210">
        <v>336925246000</v>
      </c>
      <c r="H39" s="210"/>
      <c r="I39" s="332">
        <f t="shared" ref="I39" si="15">SUM(G39:H39)</f>
        <v>336925246000</v>
      </c>
      <c r="J39" s="210"/>
      <c r="K39" s="332">
        <f>SUM(J39:J39)</f>
        <v>0</v>
      </c>
      <c r="L39" s="333">
        <f>I39+K39</f>
        <v>336925246000</v>
      </c>
    </row>
    <row r="40" spans="1:12">
      <c r="A40" t="s">
        <v>142</v>
      </c>
      <c r="B40" s="134" t="s">
        <v>2132</v>
      </c>
      <c r="C40" s="135" t="s">
        <v>1782</v>
      </c>
      <c r="D40" s="262" t="s">
        <v>112</v>
      </c>
      <c r="E40" s="262" t="s">
        <v>0</v>
      </c>
      <c r="F40" s="262" t="s">
        <v>231</v>
      </c>
      <c r="G40" s="241"/>
      <c r="H40" s="241"/>
      <c r="I40" s="269">
        <f t="shared" ref="I40" si="16">SUM(G40:H40)</f>
        <v>0</v>
      </c>
      <c r="J40" s="241"/>
      <c r="K40" s="269">
        <f>SUM(J40:J40)</f>
        <v>0</v>
      </c>
      <c r="L40" s="270">
        <f>I40+K40</f>
        <v>0</v>
      </c>
    </row>
    <row r="41" spans="1:12">
      <c r="B41" s="134" t="s">
        <v>2132</v>
      </c>
      <c r="C41" s="135" t="s">
        <v>1783</v>
      </c>
      <c r="D41" s="262" t="s">
        <v>109</v>
      </c>
      <c r="E41" s="262" t="s">
        <v>0</v>
      </c>
      <c r="F41" s="262" t="s">
        <v>1849</v>
      </c>
      <c r="G41" s="210"/>
      <c r="H41" s="210"/>
      <c r="I41" s="212"/>
      <c r="J41" s="210"/>
      <c r="K41" s="212"/>
      <c r="L41" s="213"/>
    </row>
    <row r="42" spans="1:12">
      <c r="B42" s="134"/>
      <c r="C42" s="135"/>
      <c r="D42" s="262"/>
      <c r="E42" s="262" t="s">
        <v>0</v>
      </c>
      <c r="F42" s="263" t="s">
        <v>232</v>
      </c>
      <c r="G42" s="137"/>
      <c r="H42" s="137"/>
      <c r="I42" s="214"/>
      <c r="J42" s="137"/>
      <c r="K42" s="244"/>
      <c r="L42" s="243"/>
    </row>
    <row r="43" spans="1:12">
      <c r="A43" t="s">
        <v>142</v>
      </c>
      <c r="B43" s="134" t="s">
        <v>2132</v>
      </c>
      <c r="C43" s="135" t="s">
        <v>1784</v>
      </c>
      <c r="D43" s="262" t="s">
        <v>120</v>
      </c>
      <c r="E43" s="262" t="s">
        <v>0</v>
      </c>
      <c r="F43" s="264" t="s">
        <v>233</v>
      </c>
      <c r="G43" s="241">
        <v>10</v>
      </c>
      <c r="H43" s="241"/>
      <c r="I43" s="269">
        <f t="shared" ref="I43" si="17">SUM(G43:H43)</f>
        <v>10</v>
      </c>
      <c r="J43" s="241"/>
      <c r="K43" s="269">
        <f>SUM(J43:J43)</f>
        <v>0</v>
      </c>
      <c r="L43" s="270">
        <f>I43+K43</f>
        <v>10</v>
      </c>
    </row>
    <row r="44" spans="1:12">
      <c r="B44" s="134"/>
      <c r="C44" s="135"/>
      <c r="D44" s="262"/>
      <c r="E44" s="262" t="s">
        <v>0</v>
      </c>
      <c r="F44" s="265" t="s">
        <v>234</v>
      </c>
      <c r="G44" s="137"/>
      <c r="H44" s="137"/>
      <c r="I44" s="214"/>
      <c r="J44" s="137"/>
      <c r="K44" s="244"/>
      <c r="L44" s="245"/>
    </row>
    <row r="45" spans="1:12">
      <c r="B45" s="134" t="s">
        <v>2132</v>
      </c>
      <c r="C45" s="135" t="s">
        <v>1785</v>
      </c>
      <c r="D45" s="262" t="s">
        <v>109</v>
      </c>
      <c r="E45" s="262" t="s">
        <v>0</v>
      </c>
      <c r="F45" s="266" t="s">
        <v>235</v>
      </c>
      <c r="G45" s="241"/>
      <c r="H45" s="241"/>
      <c r="I45" s="269">
        <f t="shared" ref="I45" si="18">SUM(G45:H45)</f>
        <v>0</v>
      </c>
      <c r="J45" s="241"/>
      <c r="K45" s="269">
        <f>SUM(J45:J45)</f>
        <v>0</v>
      </c>
      <c r="L45" s="270">
        <f>I45+K45</f>
        <v>0</v>
      </c>
    </row>
    <row r="46" spans="1:12">
      <c r="A46" t="s">
        <v>142</v>
      </c>
      <c r="B46" s="134" t="s">
        <v>2132</v>
      </c>
      <c r="C46" s="135" t="s">
        <v>1784</v>
      </c>
      <c r="D46" s="262" t="s">
        <v>112</v>
      </c>
      <c r="E46" s="262" t="s">
        <v>0</v>
      </c>
      <c r="F46" s="263" t="s">
        <v>233</v>
      </c>
      <c r="G46" s="271">
        <f t="shared" ref="G46:K46" si="19">G43+G45</f>
        <v>10</v>
      </c>
      <c r="H46" s="271">
        <f t="shared" si="19"/>
        <v>0</v>
      </c>
      <c r="I46" s="272">
        <f t="shared" si="19"/>
        <v>10</v>
      </c>
      <c r="J46" s="271">
        <f t="shared" si="19"/>
        <v>0</v>
      </c>
      <c r="K46" s="272">
        <f t="shared" si="19"/>
        <v>0</v>
      </c>
      <c r="L46" s="270">
        <f>I46+K46</f>
        <v>10</v>
      </c>
    </row>
    <row r="47" spans="1:12">
      <c r="B47" s="134"/>
      <c r="C47" s="135"/>
      <c r="D47" s="135"/>
      <c r="E47" s="135"/>
      <c r="F47" s="279" t="s">
        <v>2032</v>
      </c>
      <c r="G47" s="280"/>
      <c r="H47" s="280"/>
      <c r="I47" s="280"/>
      <c r="J47" s="280"/>
      <c r="K47" s="281"/>
      <c r="L47" s="282"/>
    </row>
    <row r="48" spans="1:12">
      <c r="B48" s="134" t="s">
        <v>2132</v>
      </c>
      <c r="C48" s="135" t="s">
        <v>1786</v>
      </c>
      <c r="D48" s="262" t="s">
        <v>109</v>
      </c>
      <c r="E48" s="262" t="s">
        <v>0</v>
      </c>
      <c r="F48" s="267" t="s">
        <v>236</v>
      </c>
      <c r="G48" s="210"/>
      <c r="H48" s="210"/>
      <c r="I48" s="211"/>
      <c r="J48" s="210"/>
      <c r="K48" s="211"/>
      <c r="L48" s="211"/>
    </row>
    <row r="49" spans="1:12" ht="22.5">
      <c r="A49" t="s">
        <v>142</v>
      </c>
      <c r="B49" s="134" t="s">
        <v>2132</v>
      </c>
      <c r="C49" s="135" t="s">
        <v>1787</v>
      </c>
      <c r="D49" s="135" t="s">
        <v>112</v>
      </c>
      <c r="E49" s="135" t="s">
        <v>0</v>
      </c>
      <c r="F49" s="138" t="s">
        <v>237</v>
      </c>
      <c r="G49" s="242"/>
      <c r="H49" s="242"/>
      <c r="I49" s="269">
        <f t="shared" ref="I49:I50" si="20">SUM(G49:H49)</f>
        <v>0</v>
      </c>
      <c r="J49" s="242"/>
      <c r="K49" s="269">
        <f t="shared" ref="K49:K50" si="21">SUM(J49:J49)</f>
        <v>0</v>
      </c>
      <c r="L49" s="270">
        <f t="shared" ref="L49:L50" si="22">I49+K49</f>
        <v>0</v>
      </c>
    </row>
    <row r="50" spans="1:12" ht="22.5">
      <c r="A50" t="s">
        <v>142</v>
      </c>
      <c r="B50" s="134" t="s">
        <v>2132</v>
      </c>
      <c r="C50" s="135" t="s">
        <v>1788</v>
      </c>
      <c r="D50" s="135" t="s">
        <v>112</v>
      </c>
      <c r="E50" s="135" t="s">
        <v>0</v>
      </c>
      <c r="F50" s="138" t="s">
        <v>238</v>
      </c>
      <c r="G50" s="242"/>
      <c r="H50" s="242"/>
      <c r="I50" s="269">
        <f t="shared" si="20"/>
        <v>0</v>
      </c>
      <c r="J50" s="242"/>
      <c r="K50" s="269">
        <f t="shared" si="21"/>
        <v>0</v>
      </c>
      <c r="L50" s="270">
        <f t="shared" si="22"/>
        <v>0</v>
      </c>
    </row>
    <row r="51" spans="1:12" ht="22.5">
      <c r="A51" s="127"/>
      <c r="B51" s="134" t="s">
        <v>2132</v>
      </c>
      <c r="C51" s="135" t="s">
        <v>1789</v>
      </c>
      <c r="D51" s="135" t="s">
        <v>109</v>
      </c>
      <c r="E51" s="135" t="s">
        <v>0</v>
      </c>
      <c r="F51" s="138" t="s">
        <v>239</v>
      </c>
      <c r="G51" s="210"/>
      <c r="H51" s="158"/>
      <c r="I51" s="168"/>
      <c r="J51" s="210"/>
      <c r="K51" s="168"/>
      <c r="L51" s="168"/>
    </row>
    <row r="52" spans="1:12">
      <c r="B52" s="124"/>
      <c r="C52" s="125"/>
      <c r="D52" s="125"/>
      <c r="E52" s="125"/>
      <c r="F52" s="125"/>
      <c r="G52" s="126"/>
      <c r="H52" s="126"/>
      <c r="I52" s="125"/>
      <c r="J52" s="126"/>
      <c r="K52" s="247"/>
      <c r="L52" s="246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Codigo_Actividad!$D$3:$D$4</xm:f>
          </x14:formula1>
          <xm:sqref>G5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rgb="FFFFFF66"/>
  </sheetPr>
  <dimension ref="A1:W16"/>
  <sheetViews>
    <sheetView topLeftCell="A10" zoomScale="90" zoomScaleNormal="90" workbookViewId="0">
      <selection activeCell="G10" sqref="G10:W10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8" max="8" width="15.140625" customWidth="1"/>
    <col min="9" max="9" width="16.5703125" customWidth="1"/>
    <col min="12" max="12" width="12.7109375" customWidth="1"/>
    <col min="17" max="17" width="13" customWidth="1"/>
    <col min="18" max="18" width="12.7109375" customWidth="1"/>
  </cols>
  <sheetData>
    <row r="1" spans="1:23" ht="54.95" customHeight="1" thickBot="1"/>
    <row r="2" spans="1:23" ht="177" customHeight="1" thickBot="1">
      <c r="F2" s="89" t="s">
        <v>110</v>
      </c>
    </row>
    <row r="3" spans="1:23" ht="16.5" thickBot="1">
      <c r="F3" s="90" t="s">
        <v>111</v>
      </c>
    </row>
    <row r="4" spans="1:23" ht="16.5" thickBot="1">
      <c r="F4" s="176"/>
    </row>
    <row r="5" spans="1:23" ht="16.5" thickBot="1">
      <c r="F5" s="177" t="s">
        <v>1150</v>
      </c>
      <c r="G5" s="178" t="s">
        <v>1151</v>
      </c>
    </row>
    <row r="6" spans="1:23" ht="15.75">
      <c r="F6" s="176"/>
    </row>
    <row r="7" spans="1:23" ht="174" customHeight="1">
      <c r="A7" s="54" t="s">
        <v>1808</v>
      </c>
      <c r="B7" s="55"/>
      <c r="C7" s="56"/>
      <c r="D7" s="56"/>
      <c r="E7" s="57"/>
      <c r="F7" s="57" t="s">
        <v>144</v>
      </c>
      <c r="G7" s="139" t="s">
        <v>1218</v>
      </c>
      <c r="H7" s="139" t="s">
        <v>1200</v>
      </c>
      <c r="I7" s="139" t="s">
        <v>1201</v>
      </c>
      <c r="J7" s="139" t="s">
        <v>673</v>
      </c>
      <c r="K7" s="139" t="s">
        <v>674</v>
      </c>
      <c r="L7" s="139" t="s">
        <v>675</v>
      </c>
      <c r="M7" s="139" t="s">
        <v>676</v>
      </c>
      <c r="N7" s="139" t="s">
        <v>1202</v>
      </c>
      <c r="O7" s="139" t="s">
        <v>1219</v>
      </c>
      <c r="P7" s="139" t="s">
        <v>1220</v>
      </c>
      <c r="Q7" s="139" t="s">
        <v>145</v>
      </c>
      <c r="R7" s="139" t="s">
        <v>1221</v>
      </c>
      <c r="S7" s="139" t="s">
        <v>146</v>
      </c>
      <c r="T7" s="340" t="s">
        <v>2129</v>
      </c>
      <c r="U7" s="340" t="s">
        <v>2131</v>
      </c>
      <c r="V7" s="139" t="s">
        <v>147</v>
      </c>
      <c r="W7" s="139" t="s">
        <v>227</v>
      </c>
    </row>
    <row r="8" spans="1:23" ht="50.1" hidden="1" customHeight="1">
      <c r="A8" s="54" t="s">
        <v>1809</v>
      </c>
      <c r="B8" s="62"/>
      <c r="C8" s="63"/>
      <c r="D8" s="64" t="s">
        <v>1819</v>
      </c>
      <c r="E8" s="65" t="s">
        <v>1818</v>
      </c>
      <c r="F8" s="66"/>
      <c r="G8" s="140" t="s">
        <v>1203</v>
      </c>
      <c r="H8" s="140" t="s">
        <v>1204</v>
      </c>
      <c r="I8" s="140" t="s">
        <v>1205</v>
      </c>
      <c r="J8" s="140" t="s">
        <v>1206</v>
      </c>
      <c r="K8" s="140" t="s">
        <v>1207</v>
      </c>
      <c r="L8" s="140" t="s">
        <v>1208</v>
      </c>
      <c r="M8" s="140" t="s">
        <v>1209</v>
      </c>
      <c r="N8" s="140" t="s">
        <v>1210</v>
      </c>
      <c r="O8" s="140" t="s">
        <v>1806</v>
      </c>
      <c r="P8" s="140" t="s">
        <v>1211</v>
      </c>
      <c r="Q8" s="140" t="s">
        <v>1213</v>
      </c>
      <c r="R8" s="140" t="s">
        <v>1214</v>
      </c>
      <c r="S8" s="140" t="s">
        <v>1215</v>
      </c>
      <c r="T8" s="331" t="s">
        <v>2130</v>
      </c>
      <c r="U8" s="331" t="s">
        <v>1212</v>
      </c>
      <c r="V8" s="140" t="s">
        <v>1807</v>
      </c>
      <c r="W8" s="140" t="s">
        <v>1216</v>
      </c>
    </row>
    <row r="9" spans="1:23">
      <c r="A9" s="69"/>
      <c r="B9" s="70"/>
      <c r="C9" s="71"/>
      <c r="D9" s="72" t="s">
        <v>0</v>
      </c>
      <c r="E9" s="64" t="s">
        <v>0</v>
      </c>
      <c r="F9" s="73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52"/>
    </row>
    <row r="10" spans="1:23">
      <c r="A10" s="69"/>
      <c r="B10" s="91" t="s">
        <v>2132</v>
      </c>
      <c r="C10" s="92" t="s">
        <v>1217</v>
      </c>
      <c r="D10" s="88" t="s">
        <v>112</v>
      </c>
      <c r="E10" s="72" t="s">
        <v>0</v>
      </c>
      <c r="F10" s="93" t="s">
        <v>148</v>
      </c>
      <c r="G10" s="142" t="s">
        <v>2234</v>
      </c>
      <c r="H10" s="142" t="s">
        <v>2356</v>
      </c>
      <c r="I10" s="142" t="s">
        <v>2357</v>
      </c>
      <c r="J10" s="142" t="s">
        <v>2238</v>
      </c>
      <c r="K10" s="142" t="s">
        <v>2239</v>
      </c>
      <c r="L10" s="142" t="s">
        <v>2240</v>
      </c>
      <c r="M10" s="142" t="s">
        <v>2241</v>
      </c>
      <c r="N10" s="142" t="s">
        <v>2242</v>
      </c>
      <c r="O10" s="142" t="s">
        <v>2243</v>
      </c>
      <c r="P10" s="142" t="s">
        <v>2244</v>
      </c>
      <c r="Q10" s="142" t="s">
        <v>2245</v>
      </c>
      <c r="R10" s="142" t="s">
        <v>2236</v>
      </c>
      <c r="S10" s="142" t="s">
        <v>2246</v>
      </c>
      <c r="T10" s="142" t="s">
        <v>2358</v>
      </c>
      <c r="U10" s="142" t="s">
        <v>2235</v>
      </c>
      <c r="V10" s="142" t="s">
        <v>2359</v>
      </c>
      <c r="W10" s="142" t="s">
        <v>2360</v>
      </c>
    </row>
    <row r="11" spans="1:23">
      <c r="B11" s="143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53"/>
    </row>
    <row r="13" spans="1:23" ht="174.75" customHeight="1">
      <c r="A13" s="54"/>
      <c r="B13" s="55"/>
      <c r="C13" s="56"/>
      <c r="D13" s="56"/>
      <c r="E13" s="57"/>
      <c r="F13" s="57" t="s">
        <v>144</v>
      </c>
      <c r="G13" s="139" t="str">
        <f>G7</f>
        <v xml:space="preserve">Superávit de revaluación [miembro]  </v>
      </c>
      <c r="H13" s="139" t="str">
        <f t="shared" ref="H13:W13" si="0">H7</f>
        <v>Reserva de diferencias de cambio en conversiones [miembro]</v>
      </c>
      <c r="I13" s="139" t="str">
        <f t="shared" si="0"/>
        <v>Reserva de coberturas de flujo de efectivo [miembro]</v>
      </c>
      <c r="J13" s="139" t="str">
        <f t="shared" si="0"/>
        <v>Reserva de ganancias y pérdidas sobre instrumentos de cobertura que cubren inversiones en instrumentos de patrimonio [miembro]</v>
      </c>
      <c r="K13" s="139" t="str">
        <f t="shared" si="0"/>
        <v>Reserva por cambios en el valor temporal del dinero de opciones [miembro]</v>
      </c>
      <c r="L13" s="139" t="str">
        <f t="shared" si="0"/>
        <v>Reserva por cambios en el valor de los elementos a término de contratos a término [miembro]</v>
      </c>
      <c r="M13" s="139" t="str">
        <f t="shared" si="0"/>
        <v>Reserva por cambios en el valor de los diferenciales de la tasa de cambio de la moneda extranjera [miembro]</v>
      </c>
      <c r="N13" s="139" t="str">
        <f t="shared" si="0"/>
        <v>Reversión de ganancias y pérdidas sobre activos financieros medidos al valor razonable con cambios en otro resultado integral [miembro]</v>
      </c>
      <c r="O13" s="139" t="str">
        <f t="shared" si="0"/>
        <v xml:space="preserve">Reserva de ganancias o pérdidas actuariales en planes de beneficios definidos [miembro]  </v>
      </c>
      <c r="P13" s="139" t="str">
        <f t="shared" si="0"/>
        <v xml:space="preserve">Reserva de ganancias y pérdidas en nuevas mediciones de activos financieros disponibles para la venta [miembro]  </v>
      </c>
      <c r="Q13" s="139" t="str">
        <f t="shared" si="0"/>
        <v xml:space="preserve"> Importes reconocidos en otro resultado integral y acumulados en el patrimonio relativos a activos no corrientes o grupos de activos para su disposición mantenidos para la venta [miembro]  </v>
      </c>
      <c r="R13" s="139" t="str">
        <f t="shared" si="0"/>
        <v xml:space="preserve">Reserva de ganancias y pérdidas por inversiones en instrumentos de patrimonio [miembro]  </v>
      </c>
      <c r="S13" s="139" t="str">
        <f t="shared" si="0"/>
        <v xml:space="preserve">Reserva para cambios en el valor razonable de pasivos financieros atribuibles a cambios en el riesgo de crédito del pasivo [miembro]  </v>
      </c>
      <c r="T13" s="139" t="str">
        <f t="shared" ref="T13:U13" si="1">T7</f>
        <v>Otro resultado integral acumulado [miembro]</v>
      </c>
      <c r="U13" s="139" t="str">
        <f t="shared" si="1"/>
        <v xml:space="preserve">Reserva de pagos basados en acciones [miembro] </v>
      </c>
      <c r="V13" s="139" t="str">
        <f t="shared" si="0"/>
        <v xml:space="preserve">Otras reservas varias [miembro]  </v>
      </c>
      <c r="W13" s="139" t="str">
        <f t="shared" si="0"/>
        <v xml:space="preserve">Otras reservas [miembro]  </v>
      </c>
    </row>
    <row r="14" spans="1:23">
      <c r="B14" s="62"/>
      <c r="C14" s="63"/>
      <c r="D14" s="64"/>
      <c r="E14" s="85"/>
      <c r="F14" s="66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54"/>
    </row>
    <row r="15" spans="1:23">
      <c r="B15" s="91" t="s">
        <v>2132</v>
      </c>
      <c r="C15" s="92" t="s">
        <v>1217</v>
      </c>
      <c r="D15" s="88" t="s">
        <v>120</v>
      </c>
      <c r="E15" s="72" t="s">
        <v>0</v>
      </c>
      <c r="F15" s="93" t="s">
        <v>148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</row>
    <row r="16" spans="1:23">
      <c r="B16" s="143"/>
      <c r="C16" s="144"/>
      <c r="D16" s="144"/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55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700-000000000000}">
          <x14:formula1>
            <xm:f>Codigo_Actividad!$D$3:$D$4</xm:f>
          </x14:formula1>
          <xm:sqref>G5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9"/>
  </sheetPr>
  <dimension ref="A1:N23"/>
  <sheetViews>
    <sheetView zoomScale="85" zoomScaleNormal="85" workbookViewId="0">
      <selection activeCell="H22" sqref="H22"/>
    </sheetView>
  </sheetViews>
  <sheetFormatPr baseColWidth="10" defaultColWidth="11.42578125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7" max="12" width="20.7109375" customWidth="1"/>
    <col min="13" max="13" width="5.85546875" customWidth="1"/>
  </cols>
  <sheetData>
    <row r="1" spans="1:13" ht="54.95" customHeight="1" thickBot="1"/>
    <row r="2" spans="1:13" ht="177" customHeight="1" thickBot="1">
      <c r="F2" s="89" t="s">
        <v>110</v>
      </c>
    </row>
    <row r="3" spans="1:13" ht="16.5" thickBot="1">
      <c r="F3" s="90" t="s">
        <v>111</v>
      </c>
    </row>
    <row r="4" spans="1:13" ht="16.5" thickBot="1">
      <c r="F4" s="176"/>
      <c r="G4" s="176"/>
    </row>
    <row r="5" spans="1:13" ht="16.5" thickBot="1">
      <c r="F5" s="177" t="s">
        <v>1150</v>
      </c>
      <c r="G5" s="178" t="s">
        <v>1151</v>
      </c>
    </row>
    <row r="6" spans="1:13" ht="16.5" thickBot="1">
      <c r="F6" s="176"/>
      <c r="G6" s="223"/>
    </row>
    <row r="7" spans="1:13" ht="174" customHeight="1">
      <c r="A7" s="54" t="s">
        <v>1808</v>
      </c>
      <c r="B7" s="55"/>
      <c r="C7" s="56"/>
      <c r="D7" s="56"/>
      <c r="E7" s="57"/>
      <c r="F7" s="57" t="s">
        <v>1824</v>
      </c>
      <c r="G7" s="59" t="s">
        <v>1880</v>
      </c>
      <c r="H7" s="59" t="s">
        <v>1881</v>
      </c>
      <c r="I7" s="139" t="s">
        <v>1825</v>
      </c>
      <c r="J7" s="59" t="s">
        <v>1882</v>
      </c>
      <c r="K7" s="59" t="s">
        <v>1883</v>
      </c>
      <c r="L7" s="139" t="s">
        <v>1826</v>
      </c>
      <c r="M7" s="200"/>
    </row>
    <row r="8" spans="1:13" ht="50.1" hidden="1" customHeight="1">
      <c r="A8" s="54" t="s">
        <v>1809</v>
      </c>
      <c r="B8" s="62"/>
      <c r="C8" s="63"/>
      <c r="D8" s="195" t="s">
        <v>1839</v>
      </c>
      <c r="E8" s="195" t="s">
        <v>1840</v>
      </c>
      <c r="F8" s="66"/>
      <c r="G8" s="224" t="str">
        <f>SUBSTITUTE(CONCATENATE("IAS1-InfoAdicDivi_",TRIM(G7),"_",COLUMN(G8),"|",G7)," ","")</f>
        <v>IAS1-InfoAdicDivi_Dividendopersonalizado1_7|Dividendopersonalizado1</v>
      </c>
      <c r="H8" s="224" t="str">
        <f>SUBSTITUTE(CONCATENATE("IAS1-InfoAdicDivi_",TRIM(H7),"_",COLUMN(H8),"|",H7)," ","")</f>
        <v>IAS1-InfoAdicDivi_Dividendopersonalizado2_8|Dividendopersonalizado2</v>
      </c>
      <c r="I8" s="195" t="s">
        <v>1841</v>
      </c>
      <c r="J8" s="224" t="str">
        <f>SUBSTITUTE(CONCATENATE("IAS1-InfoAdicDivi_",TRIM(J7),"_",COLUMN(J8),"|",J7)," ","")</f>
        <v>IAS1-InfoAdicDivi_Dividendopersonalizado3_10|Dividendopersonalizado3</v>
      </c>
      <c r="K8" s="224" t="str">
        <f>SUBSTITUTE(CONCATENATE("IAS1-InfoAdicDivi_",TRIM(K7),"_",COLUMN(K8),"|",K7)," ","")</f>
        <v>IAS1-InfoAdicDivi_Dividendopersonalizado4_11|Dividendopersonalizado4</v>
      </c>
      <c r="L8" s="195" t="s">
        <v>1842</v>
      </c>
      <c r="M8" s="201"/>
    </row>
    <row r="9" spans="1:13">
      <c r="A9" s="69"/>
      <c r="B9" s="70"/>
      <c r="C9" s="71"/>
      <c r="D9" s="72" t="s">
        <v>0</v>
      </c>
      <c r="E9" s="64" t="s">
        <v>0</v>
      </c>
      <c r="F9" s="73"/>
      <c r="G9" s="216"/>
      <c r="H9" s="216"/>
      <c r="I9" s="141"/>
      <c r="J9" s="222"/>
      <c r="K9" s="222"/>
      <c r="L9" s="141"/>
      <c r="M9" s="152"/>
    </row>
    <row r="10" spans="1:13">
      <c r="A10" s="69"/>
      <c r="B10" s="70"/>
      <c r="C10" s="71"/>
      <c r="D10" s="72"/>
      <c r="E10" s="64"/>
      <c r="F10" s="202" t="s">
        <v>1827</v>
      </c>
      <c r="G10" s="217"/>
      <c r="H10" s="217"/>
      <c r="I10" s="141"/>
      <c r="J10" s="222"/>
      <c r="K10" s="222"/>
      <c r="L10" s="141"/>
      <c r="M10" s="152"/>
    </row>
    <row r="11" spans="1:13">
      <c r="A11" s="69"/>
      <c r="B11" s="70"/>
      <c r="C11" s="71"/>
      <c r="D11" s="72"/>
      <c r="E11" s="64"/>
      <c r="F11" s="203"/>
      <c r="G11" s="217"/>
      <c r="H11" s="217"/>
      <c r="I11" s="141"/>
      <c r="J11" s="222"/>
      <c r="K11" s="222"/>
      <c r="L11" s="141"/>
      <c r="M11" s="152"/>
    </row>
    <row r="12" spans="1:13">
      <c r="A12" s="69"/>
      <c r="B12" s="91" t="s">
        <v>2132</v>
      </c>
      <c r="C12" s="77" t="s">
        <v>1843</v>
      </c>
      <c r="D12" s="88" t="s">
        <v>112</v>
      </c>
      <c r="E12" s="72" t="s">
        <v>0</v>
      </c>
      <c r="F12" s="226" t="s">
        <v>1876</v>
      </c>
      <c r="G12" s="227"/>
      <c r="H12" s="227"/>
      <c r="I12" s="228"/>
      <c r="J12" s="227"/>
      <c r="K12" s="227"/>
      <c r="L12" s="229"/>
      <c r="M12" s="204"/>
    </row>
    <row r="13" spans="1:13">
      <c r="A13" s="69"/>
      <c r="B13" s="91" t="s">
        <v>2132</v>
      </c>
      <c r="C13" s="77" t="s">
        <v>1844</v>
      </c>
      <c r="D13" s="88" t="s">
        <v>112</v>
      </c>
      <c r="E13" s="72"/>
      <c r="F13" s="93" t="s">
        <v>1877</v>
      </c>
      <c r="G13" s="94">
        <v>1000</v>
      </c>
      <c r="H13" s="94">
        <v>1000</v>
      </c>
      <c r="I13" s="221"/>
      <c r="J13" s="94"/>
      <c r="K13" s="94"/>
      <c r="L13" s="215"/>
      <c r="M13" s="204"/>
    </row>
    <row r="14" spans="1:13">
      <c r="A14" s="69"/>
      <c r="B14" s="91" t="s">
        <v>2132</v>
      </c>
      <c r="C14" s="77" t="s">
        <v>1845</v>
      </c>
      <c r="D14" s="88" t="s">
        <v>112</v>
      </c>
      <c r="E14" s="72"/>
      <c r="F14" s="93" t="s">
        <v>1878</v>
      </c>
      <c r="G14" s="276">
        <v>43471</v>
      </c>
      <c r="H14" s="276">
        <v>43471</v>
      </c>
      <c r="I14" s="277"/>
      <c r="J14" s="276"/>
      <c r="K14" s="276"/>
      <c r="L14" s="278"/>
      <c r="M14" s="204"/>
    </row>
    <row r="15" spans="1:13">
      <c r="A15" s="69"/>
      <c r="B15" s="91" t="s">
        <v>2132</v>
      </c>
      <c r="C15" s="77" t="s">
        <v>1846</v>
      </c>
      <c r="D15" s="88" t="s">
        <v>112</v>
      </c>
      <c r="E15" s="72"/>
      <c r="F15" s="93" t="s">
        <v>1879</v>
      </c>
      <c r="G15" s="276">
        <v>43474</v>
      </c>
      <c r="H15" s="276">
        <v>43474</v>
      </c>
      <c r="I15" s="277"/>
      <c r="J15" s="276"/>
      <c r="K15" s="276"/>
      <c r="L15" s="278"/>
      <c r="M15" s="204"/>
    </row>
    <row r="16" spans="1:13">
      <c r="A16" s="69"/>
      <c r="B16" s="91"/>
      <c r="C16" s="77"/>
      <c r="D16" s="88"/>
      <c r="E16" s="72"/>
      <c r="F16" s="93"/>
      <c r="G16" s="218"/>
      <c r="H16" s="218"/>
      <c r="I16" s="93"/>
      <c r="J16" s="218"/>
      <c r="K16" s="218"/>
      <c r="L16" s="93"/>
      <c r="M16" s="204"/>
    </row>
    <row r="17" spans="1:14">
      <c r="B17" s="91"/>
      <c r="C17" s="92"/>
      <c r="D17" s="92"/>
      <c r="E17" s="92"/>
      <c r="F17" s="202" t="s">
        <v>1828</v>
      </c>
      <c r="G17" s="219"/>
      <c r="H17" s="219"/>
      <c r="I17" s="92"/>
      <c r="J17" s="219"/>
      <c r="K17" s="219"/>
      <c r="L17" s="92"/>
      <c r="M17" s="205"/>
    </row>
    <row r="18" spans="1:14">
      <c r="B18" s="62"/>
      <c r="C18" s="63"/>
      <c r="D18" s="64"/>
      <c r="E18" s="64"/>
      <c r="F18" s="206"/>
      <c r="G18" s="220"/>
      <c r="H18" s="220"/>
      <c r="I18" s="145"/>
      <c r="J18" s="220"/>
      <c r="K18" s="220"/>
      <c r="L18" s="145"/>
      <c r="M18" s="207"/>
    </row>
    <row r="19" spans="1:14">
      <c r="A19" s="69"/>
      <c r="B19" s="91" t="s">
        <v>2132</v>
      </c>
      <c r="C19" s="77" t="s">
        <v>1843</v>
      </c>
      <c r="D19" s="88" t="s">
        <v>120</v>
      </c>
      <c r="E19" s="72" t="s">
        <v>0</v>
      </c>
      <c r="F19" s="226" t="s">
        <v>1876</v>
      </c>
      <c r="G19" s="227"/>
      <c r="H19" s="227"/>
      <c r="I19" s="228"/>
      <c r="J19" s="227"/>
      <c r="K19" s="227"/>
      <c r="L19" s="229"/>
      <c r="M19" s="204"/>
    </row>
    <row r="20" spans="1:14">
      <c r="A20" s="69"/>
      <c r="B20" s="91" t="s">
        <v>2132</v>
      </c>
      <c r="C20" s="77" t="s">
        <v>1844</v>
      </c>
      <c r="D20" s="88" t="s">
        <v>120</v>
      </c>
      <c r="E20" s="72"/>
      <c r="F20" s="93" t="s">
        <v>1877</v>
      </c>
      <c r="G20" s="94">
        <v>1000</v>
      </c>
      <c r="H20" s="94">
        <v>1000</v>
      </c>
      <c r="I20" s="221"/>
      <c r="J20" s="94"/>
      <c r="K20" s="94"/>
      <c r="L20" s="215"/>
      <c r="M20" s="204"/>
    </row>
    <row r="21" spans="1:14">
      <c r="A21" s="69"/>
      <c r="B21" s="91" t="s">
        <v>2132</v>
      </c>
      <c r="C21" s="77" t="s">
        <v>1845</v>
      </c>
      <c r="D21" s="88" t="s">
        <v>120</v>
      </c>
      <c r="E21" s="72"/>
      <c r="F21" s="93" t="s">
        <v>1878</v>
      </c>
      <c r="G21" s="276">
        <v>43471</v>
      </c>
      <c r="H21" s="276">
        <v>43471</v>
      </c>
      <c r="I21" s="277"/>
      <c r="J21" s="276"/>
      <c r="K21" s="276"/>
      <c r="L21" s="278"/>
      <c r="M21" s="204"/>
    </row>
    <row r="22" spans="1:14">
      <c r="A22" s="69"/>
      <c r="B22" s="91" t="s">
        <v>2132</v>
      </c>
      <c r="C22" s="77" t="s">
        <v>1846</v>
      </c>
      <c r="D22" s="88" t="s">
        <v>120</v>
      </c>
      <c r="E22" s="72"/>
      <c r="F22" s="93" t="s">
        <v>1879</v>
      </c>
      <c r="G22" s="276">
        <v>43474</v>
      </c>
      <c r="H22" s="276">
        <v>43474</v>
      </c>
      <c r="I22" s="277"/>
      <c r="J22" s="276"/>
      <c r="K22" s="276"/>
      <c r="L22" s="278"/>
      <c r="M22" s="204"/>
      <c r="N22" s="208"/>
    </row>
    <row r="23" spans="1:14">
      <c r="B23" s="143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53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0000000}">
          <x14:formula1>
            <xm:f>Codigo_Actividad!$D$3:$D$4</xm:f>
          </x14:formula1>
          <xm:sqref>G5</xm:sqref>
        </x14:dataValidation>
        <x14:dataValidation type="list" allowBlank="1" showInputMessage="1" showErrorMessage="1" xr:uid="{00000000-0002-0000-0800-000001000000}">
          <x14:formula1>
            <xm:f>Codigo_Actividad!$E$3:$E$6</xm:f>
          </x14:formula1>
          <xm:sqref>G12:L12 G19:L19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F0"/>
  </sheetPr>
  <dimension ref="A1:I21"/>
  <sheetViews>
    <sheetView zoomScale="90" zoomScaleNormal="90" workbookViewId="0">
      <selection activeCell="K10" sqref="K10"/>
    </sheetView>
  </sheetViews>
  <sheetFormatPr baseColWidth="10" defaultColWidth="11.42578125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7" max="9" width="14.7109375" customWidth="1"/>
  </cols>
  <sheetData>
    <row r="1" spans="1:9" ht="54.95" customHeight="1" thickBot="1"/>
    <row r="2" spans="1:9" ht="177" customHeight="1" thickBot="1">
      <c r="F2" s="89" t="s">
        <v>110</v>
      </c>
    </row>
    <row r="3" spans="1:9" ht="16.5" thickBot="1">
      <c r="F3" s="90" t="s">
        <v>111</v>
      </c>
    </row>
    <row r="4" spans="1:9" ht="16.5" thickBot="1">
      <c r="F4" s="176"/>
    </row>
    <row r="5" spans="1:9" ht="16.5" thickBot="1">
      <c r="F5" s="177" t="s">
        <v>1150</v>
      </c>
      <c r="G5" s="178" t="s">
        <v>1151</v>
      </c>
    </row>
    <row r="6" spans="1:9" ht="16.5" thickBot="1">
      <c r="F6" s="176"/>
    </row>
    <row r="7" spans="1:9" ht="57.75" customHeight="1">
      <c r="A7" s="115" t="s">
        <v>1808</v>
      </c>
      <c r="B7" s="55"/>
      <c r="C7" s="56"/>
      <c r="D7" s="56"/>
      <c r="E7" s="57"/>
      <c r="F7" s="57" t="s">
        <v>2059</v>
      </c>
      <c r="G7" s="59" t="s">
        <v>2062</v>
      </c>
      <c r="H7" s="59" t="s">
        <v>2063</v>
      </c>
      <c r="I7" s="60" t="s">
        <v>2058</v>
      </c>
    </row>
    <row r="8" spans="1:9" ht="60" hidden="1" customHeight="1">
      <c r="A8" s="61" t="s">
        <v>1809</v>
      </c>
      <c r="B8" s="116"/>
      <c r="C8" s="117"/>
      <c r="D8" s="118" t="s">
        <v>2055</v>
      </c>
      <c r="E8" s="65" t="s">
        <v>2056</v>
      </c>
      <c r="F8" s="66"/>
      <c r="G8" s="119" t="str">
        <f>SUBSTITUTE(CONCATENATE("IAS1-CompInveCapi_",TRIM(G7),"_",COLUMN(G8),"|",G7)," ","")</f>
        <v>IAS1-CompInveCapi_Compromiso1_7|Compromiso1</v>
      </c>
      <c r="H8" s="119" t="str">
        <f>SUBSTITUTE(CONCATENATE("IAS1-CompInveCapi_",TRIM(H7),"_",COLUMN(H8),"|",H7)," ","")</f>
        <v>IAS1-CompInveCapi_Compromiso2_8|Compromiso2</v>
      </c>
      <c r="I8" s="120" t="s">
        <v>2057</v>
      </c>
    </row>
    <row r="9" spans="1:9">
      <c r="B9" s="116"/>
      <c r="C9" s="117"/>
      <c r="D9" s="118"/>
      <c r="E9" s="118"/>
      <c r="F9" s="311" t="s">
        <v>2060</v>
      </c>
      <c r="G9" s="121"/>
      <c r="H9" s="121"/>
      <c r="I9" s="307"/>
    </row>
    <row r="10" spans="1:9">
      <c r="B10" s="62"/>
      <c r="C10" s="64"/>
      <c r="D10" s="64"/>
      <c r="E10" s="64" t="s">
        <v>0</v>
      </c>
      <c r="F10" s="308" t="s">
        <v>2054</v>
      </c>
      <c r="G10" s="121"/>
      <c r="H10" s="121"/>
      <c r="I10" s="122"/>
    </row>
    <row r="11" spans="1:9">
      <c r="B11" s="62"/>
      <c r="C11" s="64" t="s">
        <v>1753</v>
      </c>
      <c r="D11" s="64" t="s">
        <v>112</v>
      </c>
      <c r="E11" s="64" t="s">
        <v>0</v>
      </c>
      <c r="F11" s="157" t="s">
        <v>2102</v>
      </c>
      <c r="G11" s="158">
        <v>1000</v>
      </c>
      <c r="H11" s="158"/>
      <c r="I11" s="306">
        <f>SUM(G11:H11)</f>
        <v>1000</v>
      </c>
    </row>
    <row r="12" spans="1:9">
      <c r="B12" s="62"/>
      <c r="C12" s="64" t="s">
        <v>1754</v>
      </c>
      <c r="D12" s="64" t="s">
        <v>112</v>
      </c>
      <c r="E12" s="64" t="s">
        <v>0</v>
      </c>
      <c r="F12" s="309" t="s">
        <v>2103</v>
      </c>
      <c r="G12" s="158">
        <v>2000</v>
      </c>
      <c r="H12" s="158"/>
      <c r="I12" s="306">
        <f t="shared" ref="I12:I13" si="0">SUM(G12:H12)</f>
        <v>2000</v>
      </c>
    </row>
    <row r="13" spans="1:9">
      <c r="B13" s="62"/>
      <c r="C13" s="64" t="s">
        <v>1755</v>
      </c>
      <c r="D13" s="64" t="s">
        <v>112</v>
      </c>
      <c r="E13" s="64" t="s">
        <v>0</v>
      </c>
      <c r="F13" s="310" t="s">
        <v>2104</v>
      </c>
      <c r="G13" s="305">
        <f>SUM(G11:G12)</f>
        <v>3000</v>
      </c>
      <c r="H13" s="305">
        <f t="shared" ref="H13" si="1">SUM(H11:H12)</f>
        <v>0</v>
      </c>
      <c r="I13" s="306">
        <f t="shared" si="0"/>
        <v>3000</v>
      </c>
    </row>
    <row r="14" spans="1:9">
      <c r="B14" s="116"/>
      <c r="C14" s="117"/>
      <c r="D14" s="118"/>
      <c r="E14" s="118"/>
      <c r="F14" s="118"/>
      <c r="G14" s="121"/>
      <c r="H14" s="121"/>
      <c r="I14" s="307"/>
    </row>
    <row r="15" spans="1:9">
      <c r="B15" s="116"/>
      <c r="C15" s="117"/>
      <c r="D15" s="118"/>
      <c r="E15" s="118"/>
      <c r="F15" s="118"/>
      <c r="G15" s="121"/>
      <c r="H15" s="121"/>
      <c r="I15" s="312"/>
    </row>
    <row r="16" spans="1:9">
      <c r="B16" s="116"/>
      <c r="C16" s="117"/>
      <c r="D16" s="118"/>
      <c r="E16" s="118"/>
      <c r="F16" s="311" t="s">
        <v>2061</v>
      </c>
      <c r="G16" s="121"/>
      <c r="H16" s="121"/>
      <c r="I16" s="312"/>
    </row>
    <row r="17" spans="2:9">
      <c r="B17" s="62"/>
      <c r="C17" s="64"/>
      <c r="D17" s="64"/>
      <c r="E17" s="64" t="s">
        <v>0</v>
      </c>
      <c r="F17" s="308" t="s">
        <v>2054</v>
      </c>
      <c r="G17" s="121"/>
      <c r="H17" s="121"/>
      <c r="I17" s="122"/>
    </row>
    <row r="18" spans="2:9">
      <c r="B18" s="62"/>
      <c r="C18" s="64" t="s">
        <v>1753</v>
      </c>
      <c r="D18" s="64" t="s">
        <v>120</v>
      </c>
      <c r="E18" s="64" t="s">
        <v>0</v>
      </c>
      <c r="F18" s="157" t="s">
        <v>2102</v>
      </c>
      <c r="G18" s="158">
        <v>3000</v>
      </c>
      <c r="H18" s="158"/>
      <c r="I18" s="306">
        <f>SUM(G18:H18)</f>
        <v>3000</v>
      </c>
    </row>
    <row r="19" spans="2:9">
      <c r="B19" s="62"/>
      <c r="C19" s="64" t="s">
        <v>1754</v>
      </c>
      <c r="D19" s="64" t="s">
        <v>120</v>
      </c>
      <c r="E19" s="64" t="s">
        <v>0</v>
      </c>
      <c r="F19" s="309" t="s">
        <v>2103</v>
      </c>
      <c r="G19" s="158">
        <v>4000</v>
      </c>
      <c r="H19" s="158"/>
      <c r="I19" s="306">
        <f t="shared" ref="I19:I20" si="2">SUM(G19:H19)</f>
        <v>4000</v>
      </c>
    </row>
    <row r="20" spans="2:9">
      <c r="B20" s="62"/>
      <c r="C20" s="64" t="s">
        <v>1755</v>
      </c>
      <c r="D20" s="64" t="s">
        <v>120</v>
      </c>
      <c r="E20" s="64" t="s">
        <v>0</v>
      </c>
      <c r="F20" s="310" t="s">
        <v>2104</v>
      </c>
      <c r="G20" s="305">
        <f>SUM(G18:G19)</f>
        <v>7000</v>
      </c>
      <c r="H20" s="305">
        <f t="shared" ref="H20" si="3">SUM(H18:H19)</f>
        <v>0</v>
      </c>
      <c r="I20" s="306">
        <f t="shared" si="2"/>
        <v>7000</v>
      </c>
    </row>
    <row r="21" spans="2:9" ht="15.75" thickBot="1">
      <c r="B21" s="124"/>
      <c r="C21" s="125"/>
      <c r="D21" s="125"/>
      <c r="E21" s="125"/>
      <c r="F21" s="125"/>
      <c r="G21" s="131"/>
      <c r="H21" s="131"/>
      <c r="I21" s="122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Codigo_Actividad!$D$3:$D$4</xm:f>
          </x14:formula1>
          <xm:sqref>G5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9" tint="0.39997558519241921"/>
  </sheetPr>
  <dimension ref="A1:I19"/>
  <sheetViews>
    <sheetView zoomScale="90" zoomScaleNormal="90" workbookViewId="0">
      <selection activeCell="F18" sqref="F18"/>
    </sheetView>
  </sheetViews>
  <sheetFormatPr baseColWidth="10" defaultColWidth="11.42578125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7" max="9" width="14.7109375" customWidth="1"/>
  </cols>
  <sheetData>
    <row r="1" spans="1:9" ht="54.95" customHeight="1" thickBot="1"/>
    <row r="2" spans="1:9" ht="177" customHeight="1" thickBot="1">
      <c r="F2" s="89" t="s">
        <v>110</v>
      </c>
    </row>
    <row r="3" spans="1:9" ht="16.5" thickBot="1">
      <c r="F3" s="90" t="s">
        <v>111</v>
      </c>
    </row>
    <row r="4" spans="1:9" ht="16.5" thickBot="1">
      <c r="F4" s="176"/>
    </row>
    <row r="5" spans="1:9" ht="16.5" thickBot="1">
      <c r="F5" s="177" t="s">
        <v>1150</v>
      </c>
      <c r="G5" s="178" t="s">
        <v>1151</v>
      </c>
    </row>
    <row r="6" spans="1:9" ht="16.5" thickBot="1">
      <c r="F6" s="176"/>
    </row>
    <row r="7" spans="1:9" ht="57.75" customHeight="1">
      <c r="A7" s="115" t="s">
        <v>1808</v>
      </c>
      <c r="B7" s="55"/>
      <c r="C7" s="56"/>
      <c r="D7" s="56"/>
      <c r="E7" s="57"/>
      <c r="F7" s="57" t="s">
        <v>2069</v>
      </c>
      <c r="G7" s="59" t="s">
        <v>2070</v>
      </c>
      <c r="H7" s="59" t="s">
        <v>2071</v>
      </c>
      <c r="I7" s="60" t="s">
        <v>2068</v>
      </c>
    </row>
    <row r="8" spans="1:9" ht="60" hidden="1" customHeight="1">
      <c r="A8" s="61" t="s">
        <v>1809</v>
      </c>
      <c r="B8" s="116"/>
      <c r="C8" s="117"/>
      <c r="D8" s="118" t="s">
        <v>2065</v>
      </c>
      <c r="E8" s="65" t="s">
        <v>2066</v>
      </c>
      <c r="F8" s="66"/>
      <c r="G8" s="119" t="str">
        <f>SUBSTITUTE(CONCATENATE("IAS1-NumePromEmpl_",TRIM(G7),"_",COLUMN(G8),"|",G7)," ","")</f>
        <v>IAS1-NumePromEmpl_Numeroempleados1_7|Numeroempleados1</v>
      </c>
      <c r="H8" s="119" t="str">
        <f>SUBSTITUTE(CONCATENATE("IAS1-NumePromEmpl_",TRIM(H7),"_",COLUMN(H8),"|",H7)," ","")</f>
        <v>IAS1-NumePromEmpl_Numeroempleados2_8|Numeroempleados2</v>
      </c>
      <c r="I8" s="120" t="s">
        <v>2067</v>
      </c>
    </row>
    <row r="9" spans="1:9">
      <c r="B9" s="116"/>
      <c r="C9" s="117"/>
      <c r="D9" s="118"/>
      <c r="E9" s="118"/>
      <c r="F9" s="311" t="s">
        <v>2060</v>
      </c>
      <c r="G9" s="121"/>
      <c r="H9" s="121"/>
      <c r="I9" s="307"/>
    </row>
    <row r="10" spans="1:9">
      <c r="B10" s="62"/>
      <c r="C10" s="64"/>
      <c r="D10" s="64"/>
      <c r="E10" s="64" t="s">
        <v>0</v>
      </c>
      <c r="F10" s="308" t="s">
        <v>2072</v>
      </c>
      <c r="G10" s="121"/>
      <c r="H10" s="121"/>
      <c r="I10" s="122"/>
    </row>
    <row r="11" spans="1:9">
      <c r="B11" s="62"/>
      <c r="C11" s="64" t="s">
        <v>1756</v>
      </c>
      <c r="D11" s="64" t="s">
        <v>112</v>
      </c>
      <c r="E11" s="64" t="s">
        <v>0</v>
      </c>
      <c r="F11" s="157" t="s">
        <v>2105</v>
      </c>
      <c r="G11" s="158">
        <v>1000</v>
      </c>
      <c r="H11" s="158"/>
      <c r="I11" s="306">
        <f>SUM(G11:H11)</f>
        <v>1000</v>
      </c>
    </row>
    <row r="12" spans="1:9">
      <c r="B12" s="62"/>
      <c r="C12" s="64" t="s">
        <v>1757</v>
      </c>
      <c r="D12" s="64" t="s">
        <v>112</v>
      </c>
      <c r="E12" s="64" t="s">
        <v>0</v>
      </c>
      <c r="F12" s="309" t="s">
        <v>2106</v>
      </c>
      <c r="G12" s="158">
        <v>2000</v>
      </c>
      <c r="H12" s="158"/>
      <c r="I12" s="306">
        <f t="shared" ref="I12" si="0">SUM(G12:H12)</f>
        <v>2000</v>
      </c>
    </row>
    <row r="13" spans="1:9">
      <c r="B13" s="116"/>
      <c r="C13" s="117"/>
      <c r="D13" s="118"/>
      <c r="E13" s="118"/>
      <c r="F13" s="118"/>
      <c r="G13" s="121"/>
      <c r="H13" s="121"/>
      <c r="I13" s="307"/>
    </row>
    <row r="14" spans="1:9">
      <c r="B14" s="116"/>
      <c r="C14" s="117"/>
      <c r="D14" s="118"/>
      <c r="E14" s="118"/>
      <c r="F14" s="118"/>
      <c r="G14" s="121"/>
      <c r="H14" s="121"/>
      <c r="I14" s="312"/>
    </row>
    <row r="15" spans="1:9">
      <c r="B15" s="116"/>
      <c r="C15" s="117"/>
      <c r="D15" s="118"/>
      <c r="E15" s="118"/>
      <c r="F15" s="311" t="s">
        <v>2061</v>
      </c>
      <c r="G15" s="121"/>
      <c r="H15" s="121"/>
      <c r="I15" s="312"/>
    </row>
    <row r="16" spans="1:9">
      <c r="B16" s="62"/>
      <c r="C16" s="64"/>
      <c r="D16" s="64"/>
      <c r="E16" s="64" t="s">
        <v>0</v>
      </c>
      <c r="F16" s="308" t="s">
        <v>2072</v>
      </c>
      <c r="G16" s="121"/>
      <c r="H16" s="121"/>
      <c r="I16" s="122"/>
    </row>
    <row r="17" spans="2:9">
      <c r="B17" s="62"/>
      <c r="C17" s="64" t="s">
        <v>1756</v>
      </c>
      <c r="D17" s="64" t="s">
        <v>120</v>
      </c>
      <c r="E17" s="64" t="s">
        <v>0</v>
      </c>
      <c r="F17" s="157" t="s">
        <v>2105</v>
      </c>
      <c r="G17" s="158">
        <v>3000</v>
      </c>
      <c r="H17" s="158"/>
      <c r="I17" s="306">
        <f>SUM(G17:H17)</f>
        <v>3000</v>
      </c>
    </row>
    <row r="18" spans="2:9">
      <c r="B18" s="62"/>
      <c r="C18" s="64" t="s">
        <v>1757</v>
      </c>
      <c r="D18" s="64" t="s">
        <v>120</v>
      </c>
      <c r="E18" s="64" t="s">
        <v>0</v>
      </c>
      <c r="F18" s="309" t="s">
        <v>2106</v>
      </c>
      <c r="G18" s="158">
        <v>40000</v>
      </c>
      <c r="H18" s="158"/>
      <c r="I18" s="306">
        <f t="shared" ref="I18" si="1">SUM(G18:H18)</f>
        <v>40000</v>
      </c>
    </row>
    <row r="19" spans="2:9" ht="15.75" thickBot="1">
      <c r="B19" s="124"/>
      <c r="C19" s="125"/>
      <c r="D19" s="125"/>
      <c r="E19" s="125"/>
      <c r="F19" s="125"/>
      <c r="G19" s="131"/>
      <c r="H19" s="131"/>
      <c r="I19" s="122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Codigo_Actividad!$D$3:$D$4</xm:f>
          </x14:formula1>
          <xm:sqref>G5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/>
  <dimension ref="A3:F251"/>
  <sheetViews>
    <sheetView topLeftCell="A3" workbookViewId="0">
      <selection activeCell="B14" sqref="B14"/>
    </sheetView>
  </sheetViews>
  <sheetFormatPr baseColWidth="10" defaultRowHeight="15"/>
  <cols>
    <col min="1" max="1" width="56.7109375" bestFit="1" customWidth="1"/>
    <col min="2" max="2" width="46.7109375" bestFit="1" customWidth="1"/>
  </cols>
  <sheetData>
    <row r="3" spans="1:6">
      <c r="A3" t="s">
        <v>244</v>
      </c>
      <c r="B3" t="s">
        <v>760</v>
      </c>
      <c r="C3" t="s">
        <v>994</v>
      </c>
      <c r="D3" t="s">
        <v>1151</v>
      </c>
      <c r="E3" t="s">
        <v>1829</v>
      </c>
      <c r="F3" t="s">
        <v>1955</v>
      </c>
    </row>
    <row r="4" spans="1:6">
      <c r="A4" t="s">
        <v>245</v>
      </c>
      <c r="B4" t="s">
        <v>2119</v>
      </c>
      <c r="C4" t="s">
        <v>1105</v>
      </c>
      <c r="D4" t="s">
        <v>1152</v>
      </c>
      <c r="E4" t="s">
        <v>1830</v>
      </c>
      <c r="F4" t="s">
        <v>1956</v>
      </c>
    </row>
    <row r="5" spans="1:6">
      <c r="A5" t="s">
        <v>246</v>
      </c>
      <c r="B5" t="s">
        <v>718</v>
      </c>
      <c r="C5" t="s">
        <v>962</v>
      </c>
      <c r="E5" t="s">
        <v>1831</v>
      </c>
    </row>
    <row r="6" spans="1:6">
      <c r="A6" t="s">
        <v>247</v>
      </c>
      <c r="B6" t="s">
        <v>719</v>
      </c>
      <c r="C6" t="s">
        <v>963</v>
      </c>
      <c r="E6" t="s">
        <v>1832</v>
      </c>
    </row>
    <row r="7" spans="1:6">
      <c r="A7" t="s">
        <v>248</v>
      </c>
      <c r="B7" t="s">
        <v>720</v>
      </c>
      <c r="C7" t="s">
        <v>964</v>
      </c>
    </row>
    <row r="8" spans="1:6">
      <c r="A8" t="s">
        <v>249</v>
      </c>
      <c r="B8" t="s">
        <v>721</v>
      </c>
      <c r="C8" t="s">
        <v>965</v>
      </c>
    </row>
    <row r="9" spans="1:6">
      <c r="A9" t="s">
        <v>250</v>
      </c>
      <c r="B9" t="s">
        <v>722</v>
      </c>
      <c r="C9" t="s">
        <v>966</v>
      </c>
    </row>
    <row r="10" spans="1:6">
      <c r="A10" t="s">
        <v>251</v>
      </c>
      <c r="B10" t="s">
        <v>723</v>
      </c>
      <c r="C10" t="s">
        <v>967</v>
      </c>
    </row>
    <row r="11" spans="1:6">
      <c r="A11" t="s">
        <v>252</v>
      </c>
      <c r="B11" t="s">
        <v>724</v>
      </c>
      <c r="C11" t="s">
        <v>968</v>
      </c>
    </row>
    <row r="12" spans="1:6">
      <c r="A12" t="s">
        <v>253</v>
      </c>
      <c r="B12" t="s">
        <v>725</v>
      </c>
      <c r="C12" t="s">
        <v>969</v>
      </c>
    </row>
    <row r="13" spans="1:6">
      <c r="A13" t="s">
        <v>254</v>
      </c>
      <c r="B13" t="s">
        <v>726</v>
      </c>
      <c r="C13" t="s">
        <v>970</v>
      </c>
    </row>
    <row r="14" spans="1:6">
      <c r="A14" t="s">
        <v>255</v>
      </c>
      <c r="B14" t="s">
        <v>727</v>
      </c>
      <c r="C14" t="s">
        <v>971</v>
      </c>
    </row>
    <row r="15" spans="1:6">
      <c r="A15" t="s">
        <v>256</v>
      </c>
      <c r="B15" t="s">
        <v>728</v>
      </c>
      <c r="C15" t="s">
        <v>972</v>
      </c>
    </row>
    <row r="16" spans="1:6">
      <c r="A16" t="s">
        <v>257</v>
      </c>
      <c r="B16" t="s">
        <v>729</v>
      </c>
      <c r="C16" t="s">
        <v>973</v>
      </c>
    </row>
    <row r="17" spans="1:3">
      <c r="A17" t="s">
        <v>258</v>
      </c>
      <c r="B17" t="s">
        <v>730</v>
      </c>
      <c r="C17" t="s">
        <v>974</v>
      </c>
    </row>
    <row r="18" spans="1:3">
      <c r="A18" t="s">
        <v>259</v>
      </c>
      <c r="B18" t="s">
        <v>731</v>
      </c>
      <c r="C18" t="s">
        <v>975</v>
      </c>
    </row>
    <row r="19" spans="1:3">
      <c r="A19" t="s">
        <v>260</v>
      </c>
      <c r="B19" t="s">
        <v>2034</v>
      </c>
      <c r="C19" t="s">
        <v>976</v>
      </c>
    </row>
    <row r="20" spans="1:3">
      <c r="A20" t="s">
        <v>261</v>
      </c>
      <c r="B20" t="s">
        <v>732</v>
      </c>
      <c r="C20" t="s">
        <v>977</v>
      </c>
    </row>
    <row r="21" spans="1:3">
      <c r="A21" t="s">
        <v>262</v>
      </c>
      <c r="B21" t="s">
        <v>733</v>
      </c>
      <c r="C21" t="s">
        <v>978</v>
      </c>
    </row>
    <row r="22" spans="1:3">
      <c r="A22" t="s">
        <v>263</v>
      </c>
      <c r="B22" t="s">
        <v>734</v>
      </c>
      <c r="C22" t="s">
        <v>979</v>
      </c>
    </row>
    <row r="23" spans="1:3">
      <c r="A23" t="s">
        <v>264</v>
      </c>
      <c r="B23" t="s">
        <v>735</v>
      </c>
      <c r="C23" t="s">
        <v>980</v>
      </c>
    </row>
    <row r="24" spans="1:3">
      <c r="A24" t="s">
        <v>265</v>
      </c>
      <c r="B24" t="s">
        <v>736</v>
      </c>
      <c r="C24" t="s">
        <v>981</v>
      </c>
    </row>
    <row r="25" spans="1:3">
      <c r="A25" t="s">
        <v>266</v>
      </c>
      <c r="B25" t="s">
        <v>737</v>
      </c>
      <c r="C25" t="s">
        <v>982</v>
      </c>
    </row>
    <row r="26" spans="1:3">
      <c r="A26" t="s">
        <v>267</v>
      </c>
      <c r="B26" t="s">
        <v>738</v>
      </c>
      <c r="C26" t="s">
        <v>983</v>
      </c>
    </row>
    <row r="27" spans="1:3">
      <c r="A27" t="s">
        <v>268</v>
      </c>
      <c r="B27" t="s">
        <v>739</v>
      </c>
      <c r="C27" t="s">
        <v>984</v>
      </c>
    </row>
    <row r="28" spans="1:3">
      <c r="A28" t="s">
        <v>269</v>
      </c>
      <c r="B28" t="s">
        <v>740</v>
      </c>
      <c r="C28" t="s">
        <v>985</v>
      </c>
    </row>
    <row r="29" spans="1:3">
      <c r="A29" t="s">
        <v>270</v>
      </c>
      <c r="B29" t="s">
        <v>741</v>
      </c>
      <c r="C29" t="s">
        <v>986</v>
      </c>
    </row>
    <row r="30" spans="1:3">
      <c r="A30" t="s">
        <v>271</v>
      </c>
      <c r="B30" t="s">
        <v>2035</v>
      </c>
      <c r="C30" t="s">
        <v>987</v>
      </c>
    </row>
    <row r="31" spans="1:3">
      <c r="A31" t="s">
        <v>272</v>
      </c>
      <c r="B31" t="s">
        <v>742</v>
      </c>
      <c r="C31" t="s">
        <v>988</v>
      </c>
    </row>
    <row r="32" spans="1:3">
      <c r="A32" t="s">
        <v>273</v>
      </c>
      <c r="B32" t="s">
        <v>743</v>
      </c>
      <c r="C32" t="s">
        <v>989</v>
      </c>
    </row>
    <row r="33" spans="1:3">
      <c r="A33" t="s">
        <v>274</v>
      </c>
      <c r="B33" t="s">
        <v>744</v>
      </c>
      <c r="C33" t="s">
        <v>990</v>
      </c>
    </row>
    <row r="34" spans="1:3">
      <c r="A34" t="s">
        <v>275</v>
      </c>
      <c r="B34" t="s">
        <v>745</v>
      </c>
      <c r="C34" t="s">
        <v>991</v>
      </c>
    </row>
    <row r="35" spans="1:3">
      <c r="A35" t="s">
        <v>276</v>
      </c>
      <c r="B35" t="s">
        <v>746</v>
      </c>
      <c r="C35" t="s">
        <v>992</v>
      </c>
    </row>
    <row r="36" spans="1:3">
      <c r="A36" t="s">
        <v>277</v>
      </c>
      <c r="B36" t="s">
        <v>747</v>
      </c>
      <c r="C36" t="s">
        <v>993</v>
      </c>
    </row>
    <row r="37" spans="1:3">
      <c r="A37" t="s">
        <v>278</v>
      </c>
      <c r="B37" t="s">
        <v>748</v>
      </c>
      <c r="C37" t="s">
        <v>995</v>
      </c>
    </row>
    <row r="38" spans="1:3">
      <c r="A38" t="s">
        <v>279</v>
      </c>
      <c r="B38" t="s">
        <v>749</v>
      </c>
      <c r="C38" t="s">
        <v>996</v>
      </c>
    </row>
    <row r="39" spans="1:3">
      <c r="A39" t="s">
        <v>280</v>
      </c>
      <c r="B39" t="s">
        <v>750</v>
      </c>
      <c r="C39" t="s">
        <v>997</v>
      </c>
    </row>
    <row r="40" spans="1:3">
      <c r="A40" t="s">
        <v>281</v>
      </c>
      <c r="B40" t="s">
        <v>751</v>
      </c>
      <c r="C40" t="s">
        <v>998</v>
      </c>
    </row>
    <row r="41" spans="1:3">
      <c r="A41" t="s">
        <v>282</v>
      </c>
      <c r="B41" t="s">
        <v>752</v>
      </c>
      <c r="C41" t="s">
        <v>999</v>
      </c>
    </row>
    <row r="42" spans="1:3">
      <c r="A42" t="s">
        <v>283</v>
      </c>
      <c r="B42" t="s">
        <v>753</v>
      </c>
      <c r="C42" t="s">
        <v>1000</v>
      </c>
    </row>
    <row r="43" spans="1:3">
      <c r="A43" t="s">
        <v>284</v>
      </c>
      <c r="B43" t="s">
        <v>754</v>
      </c>
      <c r="C43" t="s">
        <v>1001</v>
      </c>
    </row>
    <row r="44" spans="1:3">
      <c r="A44" t="s">
        <v>285</v>
      </c>
      <c r="B44" t="s">
        <v>755</v>
      </c>
      <c r="C44" t="s">
        <v>1002</v>
      </c>
    </row>
    <row r="45" spans="1:3">
      <c r="A45" t="s">
        <v>286</v>
      </c>
      <c r="B45" t="s">
        <v>756</v>
      </c>
      <c r="C45" t="s">
        <v>1003</v>
      </c>
    </row>
    <row r="46" spans="1:3">
      <c r="A46" t="s">
        <v>287</v>
      </c>
      <c r="B46" t="s">
        <v>757</v>
      </c>
      <c r="C46" t="s">
        <v>1004</v>
      </c>
    </row>
    <row r="47" spans="1:3">
      <c r="A47" t="s">
        <v>288</v>
      </c>
      <c r="B47" t="s">
        <v>758</v>
      </c>
      <c r="C47" t="s">
        <v>1005</v>
      </c>
    </row>
    <row r="48" spans="1:3">
      <c r="A48" t="s">
        <v>289</v>
      </c>
      <c r="B48" t="s">
        <v>2036</v>
      </c>
      <c r="C48" t="s">
        <v>1006</v>
      </c>
    </row>
    <row r="49" spans="1:3">
      <c r="A49" t="s">
        <v>290</v>
      </c>
      <c r="B49" t="s">
        <v>759</v>
      </c>
      <c r="C49" t="s">
        <v>1007</v>
      </c>
    </row>
    <row r="50" spans="1:3">
      <c r="A50" t="s">
        <v>291</v>
      </c>
      <c r="B50" t="s">
        <v>761</v>
      </c>
      <c r="C50" t="s">
        <v>1008</v>
      </c>
    </row>
    <row r="51" spans="1:3">
      <c r="A51" t="s">
        <v>292</v>
      </c>
      <c r="B51" t="s">
        <v>762</v>
      </c>
      <c r="C51" t="s">
        <v>1009</v>
      </c>
    </row>
    <row r="52" spans="1:3">
      <c r="A52" t="s">
        <v>293</v>
      </c>
      <c r="B52" t="s">
        <v>763</v>
      </c>
      <c r="C52" t="s">
        <v>1010</v>
      </c>
    </row>
    <row r="53" spans="1:3">
      <c r="A53" t="s">
        <v>294</v>
      </c>
      <c r="B53" t="s">
        <v>765</v>
      </c>
      <c r="C53" t="s">
        <v>1011</v>
      </c>
    </row>
    <row r="54" spans="1:3">
      <c r="A54" t="s">
        <v>295</v>
      </c>
      <c r="B54" t="s">
        <v>766</v>
      </c>
      <c r="C54" t="s">
        <v>1012</v>
      </c>
    </row>
    <row r="55" spans="1:3">
      <c r="A55" t="s">
        <v>296</v>
      </c>
      <c r="B55" t="s">
        <v>764</v>
      </c>
      <c r="C55" t="s">
        <v>1013</v>
      </c>
    </row>
    <row r="56" spans="1:3">
      <c r="B56" t="s">
        <v>2037</v>
      </c>
      <c r="C56" t="s">
        <v>1014</v>
      </c>
    </row>
    <row r="57" spans="1:3">
      <c r="B57" t="s">
        <v>767</v>
      </c>
      <c r="C57" t="s">
        <v>1015</v>
      </c>
    </row>
    <row r="58" spans="1:3">
      <c r="B58" t="s">
        <v>768</v>
      </c>
      <c r="C58" t="s">
        <v>1016</v>
      </c>
    </row>
    <row r="59" spans="1:3">
      <c r="B59" t="s">
        <v>769</v>
      </c>
      <c r="C59" t="s">
        <v>1017</v>
      </c>
    </row>
    <row r="60" spans="1:3">
      <c r="B60" t="s">
        <v>770</v>
      </c>
      <c r="C60" t="s">
        <v>1018</v>
      </c>
    </row>
    <row r="61" spans="1:3">
      <c r="B61" t="s">
        <v>771</v>
      </c>
      <c r="C61" t="s">
        <v>1019</v>
      </c>
    </row>
    <row r="62" spans="1:3">
      <c r="B62" t="s">
        <v>772</v>
      </c>
      <c r="C62" t="s">
        <v>2107</v>
      </c>
    </row>
    <row r="63" spans="1:3">
      <c r="B63" t="s">
        <v>773</v>
      </c>
      <c r="C63" t="s">
        <v>1020</v>
      </c>
    </row>
    <row r="64" spans="1:3">
      <c r="B64" t="s">
        <v>774</v>
      </c>
      <c r="C64" t="s">
        <v>1021</v>
      </c>
    </row>
    <row r="65" spans="2:3">
      <c r="B65" t="s">
        <v>775</v>
      </c>
      <c r="C65" t="s">
        <v>2108</v>
      </c>
    </row>
    <row r="66" spans="2:3">
      <c r="B66" t="s">
        <v>776</v>
      </c>
      <c r="C66" t="s">
        <v>1022</v>
      </c>
    </row>
    <row r="67" spans="2:3">
      <c r="B67" t="s">
        <v>777</v>
      </c>
      <c r="C67" t="s">
        <v>1023</v>
      </c>
    </row>
    <row r="68" spans="2:3">
      <c r="B68" t="s">
        <v>778</v>
      </c>
      <c r="C68" t="s">
        <v>1024</v>
      </c>
    </row>
    <row r="69" spans="2:3">
      <c r="B69" t="s">
        <v>779</v>
      </c>
      <c r="C69" t="s">
        <v>1025</v>
      </c>
    </row>
    <row r="70" spans="2:3">
      <c r="B70" t="s">
        <v>780</v>
      </c>
      <c r="C70" t="s">
        <v>1026</v>
      </c>
    </row>
    <row r="71" spans="2:3">
      <c r="B71" t="s">
        <v>781</v>
      </c>
      <c r="C71" t="s">
        <v>1027</v>
      </c>
    </row>
    <row r="72" spans="2:3">
      <c r="B72" t="s">
        <v>782</v>
      </c>
      <c r="C72" t="s">
        <v>1028</v>
      </c>
    </row>
    <row r="73" spans="2:3">
      <c r="B73" t="s">
        <v>783</v>
      </c>
      <c r="C73" t="s">
        <v>1029</v>
      </c>
    </row>
    <row r="74" spans="2:3">
      <c r="B74" t="s">
        <v>784</v>
      </c>
      <c r="C74" t="s">
        <v>1030</v>
      </c>
    </row>
    <row r="75" spans="2:3">
      <c r="B75" t="s">
        <v>785</v>
      </c>
      <c r="C75" t="s">
        <v>1031</v>
      </c>
    </row>
    <row r="76" spans="2:3">
      <c r="B76" t="s">
        <v>786</v>
      </c>
      <c r="C76" t="s">
        <v>1032</v>
      </c>
    </row>
    <row r="77" spans="2:3">
      <c r="B77" t="s">
        <v>787</v>
      </c>
      <c r="C77" t="s">
        <v>1033</v>
      </c>
    </row>
    <row r="78" spans="2:3">
      <c r="B78" t="s">
        <v>788</v>
      </c>
      <c r="C78" t="s">
        <v>1034</v>
      </c>
    </row>
    <row r="79" spans="2:3">
      <c r="B79" t="s">
        <v>789</v>
      </c>
      <c r="C79" t="s">
        <v>1035</v>
      </c>
    </row>
    <row r="80" spans="2:3">
      <c r="B80" t="s">
        <v>790</v>
      </c>
      <c r="C80" t="s">
        <v>1036</v>
      </c>
    </row>
    <row r="81" spans="2:3">
      <c r="B81" t="s">
        <v>791</v>
      </c>
      <c r="C81" t="s">
        <v>1037</v>
      </c>
    </row>
    <row r="82" spans="2:3">
      <c r="B82" t="s">
        <v>792</v>
      </c>
      <c r="C82" t="s">
        <v>1038</v>
      </c>
    </row>
    <row r="83" spans="2:3">
      <c r="B83" t="s">
        <v>793</v>
      </c>
      <c r="C83" t="s">
        <v>1039</v>
      </c>
    </row>
    <row r="84" spans="2:3">
      <c r="B84" t="s">
        <v>794</v>
      </c>
      <c r="C84" t="s">
        <v>1040</v>
      </c>
    </row>
    <row r="85" spans="2:3">
      <c r="B85" t="s">
        <v>795</v>
      </c>
      <c r="C85" t="s">
        <v>1041</v>
      </c>
    </row>
    <row r="86" spans="2:3">
      <c r="B86" t="s">
        <v>796</v>
      </c>
      <c r="C86" t="s">
        <v>1042</v>
      </c>
    </row>
    <row r="87" spans="2:3">
      <c r="B87" t="s">
        <v>797</v>
      </c>
      <c r="C87" t="s">
        <v>1043</v>
      </c>
    </row>
    <row r="88" spans="2:3">
      <c r="B88" t="s">
        <v>798</v>
      </c>
      <c r="C88" t="s">
        <v>1044</v>
      </c>
    </row>
    <row r="89" spans="2:3">
      <c r="B89" t="s">
        <v>799</v>
      </c>
      <c r="C89" t="s">
        <v>1045</v>
      </c>
    </row>
    <row r="90" spans="2:3">
      <c r="B90" t="s">
        <v>800</v>
      </c>
      <c r="C90" t="s">
        <v>1046</v>
      </c>
    </row>
    <row r="91" spans="2:3">
      <c r="B91" t="s">
        <v>801</v>
      </c>
      <c r="C91" t="s">
        <v>1047</v>
      </c>
    </row>
    <row r="92" spans="2:3">
      <c r="B92" t="s">
        <v>802</v>
      </c>
      <c r="C92" t="s">
        <v>1048</v>
      </c>
    </row>
    <row r="93" spans="2:3">
      <c r="B93" t="s">
        <v>803</v>
      </c>
      <c r="C93" t="s">
        <v>1049</v>
      </c>
    </row>
    <row r="94" spans="2:3">
      <c r="B94" t="s">
        <v>804</v>
      </c>
      <c r="C94" t="s">
        <v>2109</v>
      </c>
    </row>
    <row r="95" spans="2:3">
      <c r="B95" t="s">
        <v>805</v>
      </c>
      <c r="C95" t="s">
        <v>1050</v>
      </c>
    </row>
    <row r="96" spans="2:3">
      <c r="B96" t="s">
        <v>806</v>
      </c>
      <c r="C96" t="s">
        <v>1051</v>
      </c>
    </row>
    <row r="97" spans="2:3">
      <c r="B97" t="s">
        <v>807</v>
      </c>
      <c r="C97" t="s">
        <v>1052</v>
      </c>
    </row>
    <row r="98" spans="2:3">
      <c r="B98" t="s">
        <v>808</v>
      </c>
      <c r="C98" t="s">
        <v>1053</v>
      </c>
    </row>
    <row r="99" spans="2:3">
      <c r="B99" t="s">
        <v>809</v>
      </c>
      <c r="C99" t="s">
        <v>1054</v>
      </c>
    </row>
    <row r="100" spans="2:3">
      <c r="B100" t="s">
        <v>810</v>
      </c>
      <c r="C100" t="s">
        <v>1055</v>
      </c>
    </row>
    <row r="101" spans="2:3">
      <c r="B101" t="s">
        <v>811</v>
      </c>
      <c r="C101" t="s">
        <v>1056</v>
      </c>
    </row>
    <row r="102" spans="2:3">
      <c r="B102" t="s">
        <v>812</v>
      </c>
      <c r="C102" t="s">
        <v>1057</v>
      </c>
    </row>
    <row r="103" spans="2:3">
      <c r="B103" t="s">
        <v>813</v>
      </c>
      <c r="C103" t="s">
        <v>1058</v>
      </c>
    </row>
    <row r="104" spans="2:3">
      <c r="B104" t="s">
        <v>814</v>
      </c>
      <c r="C104" t="s">
        <v>1059</v>
      </c>
    </row>
    <row r="105" spans="2:3">
      <c r="B105" t="s">
        <v>815</v>
      </c>
      <c r="C105" t="s">
        <v>1060</v>
      </c>
    </row>
    <row r="106" spans="2:3">
      <c r="B106" t="s">
        <v>816</v>
      </c>
      <c r="C106" t="s">
        <v>1061</v>
      </c>
    </row>
    <row r="107" spans="2:3">
      <c r="B107" t="s">
        <v>817</v>
      </c>
      <c r="C107" t="s">
        <v>1062</v>
      </c>
    </row>
    <row r="108" spans="2:3">
      <c r="B108" t="s">
        <v>818</v>
      </c>
      <c r="C108" t="s">
        <v>1063</v>
      </c>
    </row>
    <row r="109" spans="2:3">
      <c r="B109" t="s">
        <v>819</v>
      </c>
      <c r="C109" t="s">
        <v>1064</v>
      </c>
    </row>
    <row r="110" spans="2:3">
      <c r="B110" t="s">
        <v>820</v>
      </c>
      <c r="C110" t="s">
        <v>1065</v>
      </c>
    </row>
    <row r="111" spans="2:3">
      <c r="B111" t="s">
        <v>821</v>
      </c>
      <c r="C111" t="s">
        <v>1066</v>
      </c>
    </row>
    <row r="112" spans="2:3">
      <c r="B112" t="s">
        <v>822</v>
      </c>
      <c r="C112" t="s">
        <v>1067</v>
      </c>
    </row>
    <row r="113" spans="2:3">
      <c r="B113" t="s">
        <v>823</v>
      </c>
      <c r="C113" t="s">
        <v>1068</v>
      </c>
    </row>
    <row r="114" spans="2:3">
      <c r="B114" t="s">
        <v>824</v>
      </c>
      <c r="C114" t="s">
        <v>1069</v>
      </c>
    </row>
    <row r="115" spans="2:3">
      <c r="B115" t="s">
        <v>825</v>
      </c>
      <c r="C115" t="s">
        <v>2110</v>
      </c>
    </row>
    <row r="116" spans="2:3">
      <c r="B116" t="s">
        <v>826</v>
      </c>
      <c r="C116" t="s">
        <v>1070</v>
      </c>
    </row>
    <row r="117" spans="2:3">
      <c r="B117" t="s">
        <v>827</v>
      </c>
      <c r="C117" t="s">
        <v>1071</v>
      </c>
    </row>
    <row r="118" spans="2:3">
      <c r="B118" t="s">
        <v>828</v>
      </c>
      <c r="C118" t="s">
        <v>1072</v>
      </c>
    </row>
    <row r="119" spans="2:3">
      <c r="B119" t="s">
        <v>829</v>
      </c>
      <c r="C119" t="s">
        <v>1073</v>
      </c>
    </row>
    <row r="120" spans="2:3">
      <c r="B120" t="s">
        <v>830</v>
      </c>
      <c r="C120" t="s">
        <v>1074</v>
      </c>
    </row>
    <row r="121" spans="2:3">
      <c r="B121" t="s">
        <v>831</v>
      </c>
      <c r="C121" t="s">
        <v>1075</v>
      </c>
    </row>
    <row r="122" spans="2:3">
      <c r="B122" t="s">
        <v>832</v>
      </c>
      <c r="C122" t="s">
        <v>1076</v>
      </c>
    </row>
    <row r="123" spans="2:3">
      <c r="B123" t="s">
        <v>833</v>
      </c>
      <c r="C123" t="s">
        <v>1077</v>
      </c>
    </row>
    <row r="124" spans="2:3">
      <c r="B124" t="s">
        <v>834</v>
      </c>
      <c r="C124" t="s">
        <v>1078</v>
      </c>
    </row>
    <row r="125" spans="2:3">
      <c r="B125" t="s">
        <v>835</v>
      </c>
      <c r="C125" t="s">
        <v>1079</v>
      </c>
    </row>
    <row r="126" spans="2:3">
      <c r="B126" t="s">
        <v>836</v>
      </c>
      <c r="C126" t="s">
        <v>1080</v>
      </c>
    </row>
    <row r="127" spans="2:3">
      <c r="B127" t="s">
        <v>837</v>
      </c>
      <c r="C127" t="s">
        <v>1081</v>
      </c>
    </row>
    <row r="128" spans="2:3">
      <c r="B128" t="s">
        <v>838</v>
      </c>
      <c r="C128" t="s">
        <v>1082</v>
      </c>
    </row>
    <row r="129" spans="2:3">
      <c r="B129" t="s">
        <v>839</v>
      </c>
      <c r="C129" t="s">
        <v>1083</v>
      </c>
    </row>
    <row r="130" spans="2:3">
      <c r="B130" t="s">
        <v>840</v>
      </c>
      <c r="C130" t="s">
        <v>1084</v>
      </c>
    </row>
    <row r="131" spans="2:3">
      <c r="B131" t="s">
        <v>841</v>
      </c>
      <c r="C131" t="s">
        <v>1085</v>
      </c>
    </row>
    <row r="132" spans="2:3">
      <c r="B132" t="s">
        <v>842</v>
      </c>
      <c r="C132" t="s">
        <v>1086</v>
      </c>
    </row>
    <row r="133" spans="2:3">
      <c r="B133" t="s">
        <v>843</v>
      </c>
      <c r="C133" t="s">
        <v>1087</v>
      </c>
    </row>
    <row r="134" spans="2:3">
      <c r="B134" t="s">
        <v>844</v>
      </c>
      <c r="C134" t="s">
        <v>1088</v>
      </c>
    </row>
    <row r="135" spans="2:3">
      <c r="B135" t="s">
        <v>845</v>
      </c>
      <c r="C135" t="s">
        <v>1089</v>
      </c>
    </row>
    <row r="136" spans="2:3">
      <c r="B136" t="s">
        <v>846</v>
      </c>
      <c r="C136" t="s">
        <v>1090</v>
      </c>
    </row>
    <row r="137" spans="2:3">
      <c r="B137" t="s">
        <v>847</v>
      </c>
      <c r="C137" t="s">
        <v>1091</v>
      </c>
    </row>
    <row r="138" spans="2:3">
      <c r="B138" t="s">
        <v>848</v>
      </c>
      <c r="C138" t="s">
        <v>1092</v>
      </c>
    </row>
    <row r="139" spans="2:3">
      <c r="B139" t="s">
        <v>849</v>
      </c>
      <c r="C139" t="s">
        <v>1093</v>
      </c>
    </row>
    <row r="140" spans="2:3">
      <c r="B140" t="s">
        <v>850</v>
      </c>
      <c r="C140" t="s">
        <v>1094</v>
      </c>
    </row>
    <row r="141" spans="2:3">
      <c r="B141" t="s">
        <v>851</v>
      </c>
      <c r="C141" t="s">
        <v>1095</v>
      </c>
    </row>
    <row r="142" spans="2:3">
      <c r="B142" t="s">
        <v>852</v>
      </c>
      <c r="C142" t="s">
        <v>1096</v>
      </c>
    </row>
    <row r="143" spans="2:3">
      <c r="B143" t="s">
        <v>853</v>
      </c>
      <c r="C143" t="s">
        <v>1097</v>
      </c>
    </row>
    <row r="144" spans="2:3">
      <c r="B144" t="s">
        <v>854</v>
      </c>
      <c r="C144" t="s">
        <v>1098</v>
      </c>
    </row>
    <row r="145" spans="2:3">
      <c r="B145" t="s">
        <v>855</v>
      </c>
      <c r="C145" t="s">
        <v>2033</v>
      </c>
    </row>
    <row r="146" spans="2:3">
      <c r="B146" t="s">
        <v>856</v>
      </c>
      <c r="C146" t="s">
        <v>1099</v>
      </c>
    </row>
    <row r="147" spans="2:3">
      <c r="B147" t="s">
        <v>857</v>
      </c>
      <c r="C147" t="s">
        <v>1100</v>
      </c>
    </row>
    <row r="148" spans="2:3">
      <c r="B148" t="s">
        <v>858</v>
      </c>
      <c r="C148" t="s">
        <v>1101</v>
      </c>
    </row>
    <row r="149" spans="2:3">
      <c r="B149" t="s">
        <v>859</v>
      </c>
      <c r="C149" t="s">
        <v>1102</v>
      </c>
    </row>
    <row r="150" spans="2:3">
      <c r="B150" t="s">
        <v>860</v>
      </c>
      <c r="C150" t="s">
        <v>1103</v>
      </c>
    </row>
    <row r="151" spans="2:3">
      <c r="B151" t="s">
        <v>861</v>
      </c>
      <c r="C151" t="s">
        <v>1104</v>
      </c>
    </row>
    <row r="152" spans="2:3">
      <c r="B152" t="s">
        <v>862</v>
      </c>
      <c r="C152" t="s">
        <v>1106</v>
      </c>
    </row>
    <row r="153" spans="2:3">
      <c r="B153" t="s">
        <v>863</v>
      </c>
      <c r="C153" t="s">
        <v>1107</v>
      </c>
    </row>
    <row r="154" spans="2:3">
      <c r="B154" t="s">
        <v>864</v>
      </c>
      <c r="C154" t="s">
        <v>1108</v>
      </c>
    </row>
    <row r="155" spans="2:3">
      <c r="B155" t="s">
        <v>865</v>
      </c>
      <c r="C155" t="s">
        <v>1109</v>
      </c>
    </row>
    <row r="156" spans="2:3">
      <c r="B156" t="s">
        <v>866</v>
      </c>
      <c r="C156" t="s">
        <v>2111</v>
      </c>
    </row>
    <row r="157" spans="2:3">
      <c r="B157" t="s">
        <v>867</v>
      </c>
      <c r="C157" t="s">
        <v>1110</v>
      </c>
    </row>
    <row r="158" spans="2:3">
      <c r="B158" t="s">
        <v>868</v>
      </c>
      <c r="C158" t="s">
        <v>1111</v>
      </c>
    </row>
    <row r="159" spans="2:3">
      <c r="B159" t="s">
        <v>869</v>
      </c>
      <c r="C159" t="s">
        <v>1112</v>
      </c>
    </row>
    <row r="160" spans="2:3">
      <c r="B160" t="s">
        <v>870</v>
      </c>
      <c r="C160" t="s">
        <v>1113</v>
      </c>
    </row>
    <row r="161" spans="2:3">
      <c r="B161" t="s">
        <v>871</v>
      </c>
      <c r="C161" t="s">
        <v>1114</v>
      </c>
    </row>
    <row r="162" spans="2:3">
      <c r="B162" t="s">
        <v>872</v>
      </c>
      <c r="C162" t="s">
        <v>1115</v>
      </c>
    </row>
    <row r="163" spans="2:3">
      <c r="B163" t="s">
        <v>873</v>
      </c>
      <c r="C163" t="s">
        <v>1116</v>
      </c>
    </row>
    <row r="164" spans="2:3">
      <c r="B164" t="s">
        <v>874</v>
      </c>
      <c r="C164" t="s">
        <v>1117</v>
      </c>
    </row>
    <row r="165" spans="2:3">
      <c r="B165" t="s">
        <v>875</v>
      </c>
      <c r="C165" t="s">
        <v>1118</v>
      </c>
    </row>
    <row r="166" spans="2:3">
      <c r="B166" t="s">
        <v>876</v>
      </c>
      <c r="C166" t="s">
        <v>1119</v>
      </c>
    </row>
    <row r="167" spans="2:3">
      <c r="B167" t="s">
        <v>877</v>
      </c>
      <c r="C167" t="s">
        <v>1120</v>
      </c>
    </row>
    <row r="168" spans="2:3">
      <c r="B168" t="s">
        <v>878</v>
      </c>
      <c r="C168" t="s">
        <v>1121</v>
      </c>
    </row>
    <row r="169" spans="2:3">
      <c r="B169" t="s">
        <v>879</v>
      </c>
      <c r="C169" t="s">
        <v>1122</v>
      </c>
    </row>
    <row r="170" spans="2:3">
      <c r="B170" t="s">
        <v>880</v>
      </c>
      <c r="C170" t="s">
        <v>1123</v>
      </c>
    </row>
    <row r="171" spans="2:3">
      <c r="B171" t="s">
        <v>881</v>
      </c>
      <c r="C171" t="s">
        <v>1124</v>
      </c>
    </row>
    <row r="172" spans="2:3">
      <c r="B172" t="s">
        <v>882</v>
      </c>
      <c r="C172" t="s">
        <v>1125</v>
      </c>
    </row>
    <row r="173" spans="2:3">
      <c r="B173" t="s">
        <v>883</v>
      </c>
      <c r="C173" t="s">
        <v>1126</v>
      </c>
    </row>
    <row r="174" spans="2:3">
      <c r="B174" t="s">
        <v>884</v>
      </c>
      <c r="C174" t="s">
        <v>1127</v>
      </c>
    </row>
    <row r="175" spans="2:3">
      <c r="B175" t="s">
        <v>885</v>
      </c>
      <c r="C175" t="s">
        <v>1128</v>
      </c>
    </row>
    <row r="176" spans="2:3">
      <c r="B176" t="s">
        <v>886</v>
      </c>
      <c r="C176" t="s">
        <v>1129</v>
      </c>
    </row>
    <row r="177" spans="2:3">
      <c r="B177" t="s">
        <v>887</v>
      </c>
      <c r="C177" t="s">
        <v>1130</v>
      </c>
    </row>
    <row r="178" spans="2:3">
      <c r="B178" t="s">
        <v>888</v>
      </c>
      <c r="C178" t="s">
        <v>1131</v>
      </c>
    </row>
    <row r="179" spans="2:3">
      <c r="B179" t="s">
        <v>889</v>
      </c>
      <c r="C179" t="s">
        <v>1132</v>
      </c>
    </row>
    <row r="180" spans="2:3">
      <c r="B180" t="s">
        <v>890</v>
      </c>
      <c r="C180" t="s">
        <v>1133</v>
      </c>
    </row>
    <row r="181" spans="2:3">
      <c r="B181" t="s">
        <v>891</v>
      </c>
      <c r="C181" t="s">
        <v>2112</v>
      </c>
    </row>
    <row r="182" spans="2:3">
      <c r="B182" t="s">
        <v>892</v>
      </c>
    </row>
    <row r="183" spans="2:3">
      <c r="B183" t="s">
        <v>893</v>
      </c>
    </row>
    <row r="184" spans="2:3">
      <c r="B184" t="s">
        <v>894</v>
      </c>
    </row>
    <row r="185" spans="2:3">
      <c r="B185" t="s">
        <v>895</v>
      </c>
    </row>
    <row r="186" spans="2:3">
      <c r="B186" t="s">
        <v>896</v>
      </c>
    </row>
    <row r="187" spans="2:3">
      <c r="B187" t="s">
        <v>897</v>
      </c>
    </row>
    <row r="188" spans="2:3">
      <c r="B188" t="s">
        <v>898</v>
      </c>
    </row>
    <row r="189" spans="2:3">
      <c r="B189" t="s">
        <v>899</v>
      </c>
    </row>
    <row r="190" spans="2:3">
      <c r="B190" t="s">
        <v>900</v>
      </c>
    </row>
    <row r="191" spans="2:3">
      <c r="B191" t="s">
        <v>2038</v>
      </c>
    </row>
    <row r="192" spans="2:3">
      <c r="B192" t="s">
        <v>901</v>
      </c>
    </row>
    <row r="193" spans="2:2">
      <c r="B193" t="s">
        <v>902</v>
      </c>
    </row>
    <row r="194" spans="2:2">
      <c r="B194" t="s">
        <v>903</v>
      </c>
    </row>
    <row r="195" spans="2:2">
      <c r="B195" t="s">
        <v>904</v>
      </c>
    </row>
    <row r="196" spans="2:2">
      <c r="B196" t="s">
        <v>905</v>
      </c>
    </row>
    <row r="197" spans="2:2">
      <c r="B197" t="s">
        <v>906</v>
      </c>
    </row>
    <row r="198" spans="2:2">
      <c r="B198" t="s">
        <v>907</v>
      </c>
    </row>
    <row r="199" spans="2:2">
      <c r="B199" t="s">
        <v>908</v>
      </c>
    </row>
    <row r="200" spans="2:2">
      <c r="B200" t="s">
        <v>909</v>
      </c>
    </row>
    <row r="201" spans="2:2">
      <c r="B201" t="s">
        <v>910</v>
      </c>
    </row>
    <row r="202" spans="2:2">
      <c r="B202" t="s">
        <v>911</v>
      </c>
    </row>
    <row r="203" spans="2:2">
      <c r="B203" t="s">
        <v>912</v>
      </c>
    </row>
    <row r="204" spans="2:2">
      <c r="B204" t="s">
        <v>913</v>
      </c>
    </row>
    <row r="205" spans="2:2">
      <c r="B205" t="s">
        <v>914</v>
      </c>
    </row>
    <row r="206" spans="2:2">
      <c r="B206" t="s">
        <v>915</v>
      </c>
    </row>
    <row r="207" spans="2:2">
      <c r="B207" t="s">
        <v>916</v>
      </c>
    </row>
    <row r="208" spans="2:2">
      <c r="B208" t="s">
        <v>917</v>
      </c>
    </row>
    <row r="209" spans="2:2">
      <c r="B209" t="s">
        <v>918</v>
      </c>
    </row>
    <row r="210" spans="2:2">
      <c r="B210" t="s">
        <v>919</v>
      </c>
    </row>
    <row r="211" spans="2:2">
      <c r="B211" t="s">
        <v>920</v>
      </c>
    </row>
    <row r="212" spans="2:2">
      <c r="B212" t="s">
        <v>921</v>
      </c>
    </row>
    <row r="213" spans="2:2">
      <c r="B213" t="s">
        <v>922</v>
      </c>
    </row>
    <row r="214" spans="2:2">
      <c r="B214" t="s">
        <v>923</v>
      </c>
    </row>
    <row r="215" spans="2:2">
      <c r="B215" t="s">
        <v>924</v>
      </c>
    </row>
    <row r="216" spans="2:2">
      <c r="B216" t="s">
        <v>925</v>
      </c>
    </row>
    <row r="217" spans="2:2">
      <c r="B217" t="s">
        <v>926</v>
      </c>
    </row>
    <row r="218" spans="2:2">
      <c r="B218" t="s">
        <v>927</v>
      </c>
    </row>
    <row r="219" spans="2:2">
      <c r="B219" t="s">
        <v>928</v>
      </c>
    </row>
    <row r="220" spans="2:2">
      <c r="B220" t="s">
        <v>929</v>
      </c>
    </row>
    <row r="221" spans="2:2">
      <c r="B221" t="s">
        <v>930</v>
      </c>
    </row>
    <row r="222" spans="2:2">
      <c r="B222" t="s">
        <v>931</v>
      </c>
    </row>
    <row r="223" spans="2:2">
      <c r="B223" t="s">
        <v>932</v>
      </c>
    </row>
    <row r="224" spans="2:2">
      <c r="B224" t="s">
        <v>933</v>
      </c>
    </row>
    <row r="225" spans="2:2">
      <c r="B225" t="s">
        <v>934</v>
      </c>
    </row>
    <row r="226" spans="2:2">
      <c r="B226" t="s">
        <v>935</v>
      </c>
    </row>
    <row r="227" spans="2:2">
      <c r="B227" t="s">
        <v>936</v>
      </c>
    </row>
    <row r="228" spans="2:2">
      <c r="B228" t="s">
        <v>937</v>
      </c>
    </row>
    <row r="229" spans="2:2">
      <c r="B229" t="s">
        <v>938</v>
      </c>
    </row>
    <row r="230" spans="2:2">
      <c r="B230" t="s">
        <v>939</v>
      </c>
    </row>
    <row r="231" spans="2:2">
      <c r="B231" t="s">
        <v>940</v>
      </c>
    </row>
    <row r="232" spans="2:2">
      <c r="B232" t="s">
        <v>941</v>
      </c>
    </row>
    <row r="233" spans="2:2">
      <c r="B233" t="s">
        <v>942</v>
      </c>
    </row>
    <row r="234" spans="2:2">
      <c r="B234" t="s">
        <v>943</v>
      </c>
    </row>
    <row r="235" spans="2:2">
      <c r="B235" t="s">
        <v>944</v>
      </c>
    </row>
    <row r="236" spans="2:2">
      <c r="B236" t="s">
        <v>945</v>
      </c>
    </row>
    <row r="237" spans="2:2">
      <c r="B237" t="s">
        <v>946</v>
      </c>
    </row>
    <row r="238" spans="2:2">
      <c r="B238" t="s">
        <v>947</v>
      </c>
    </row>
    <row r="239" spans="2:2">
      <c r="B239" t="s">
        <v>948</v>
      </c>
    </row>
    <row r="240" spans="2:2">
      <c r="B240" t="s">
        <v>2039</v>
      </c>
    </row>
    <row r="241" spans="2:2">
      <c r="B241" t="s">
        <v>949</v>
      </c>
    </row>
    <row r="242" spans="2:2">
      <c r="B242" t="s">
        <v>950</v>
      </c>
    </row>
    <row r="243" spans="2:2">
      <c r="B243" t="s">
        <v>951</v>
      </c>
    </row>
    <row r="244" spans="2:2">
      <c r="B244" t="s">
        <v>952</v>
      </c>
    </row>
    <row r="245" spans="2:2">
      <c r="B245" t="s">
        <v>953</v>
      </c>
    </row>
    <row r="246" spans="2:2">
      <c r="B246" t="s">
        <v>954</v>
      </c>
    </row>
    <row r="247" spans="2:2">
      <c r="B247" t="s">
        <v>955</v>
      </c>
    </row>
    <row r="248" spans="2:2">
      <c r="B248" t="s">
        <v>956</v>
      </c>
    </row>
    <row r="249" spans="2:2">
      <c r="B249" t="s">
        <v>957</v>
      </c>
    </row>
    <row r="250" spans="2:2">
      <c r="B250" t="s">
        <v>958</v>
      </c>
    </row>
    <row r="251" spans="2:2">
      <c r="B251" t="s">
        <v>959</v>
      </c>
    </row>
  </sheetData>
  <sortState xmlns:xlrd2="http://schemas.microsoft.com/office/spreadsheetml/2017/richdata2" ref="B3:B499">
    <sortCondition ref="B49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IAS1-Cuadros</vt:lpstr>
      <vt:lpstr>IAS1-AsigGastNatu</vt:lpstr>
      <vt:lpstr>IAS1-ValorInscr</vt:lpstr>
      <vt:lpstr>IAS1-InfoReveReCa</vt:lpstr>
      <vt:lpstr>IAS1-InfoReveAcPa</vt:lpstr>
      <vt:lpstr>IAS1-InfoReveObPo</vt:lpstr>
      <vt:lpstr>IAS1-ClasCapiAcci</vt:lpstr>
      <vt:lpstr>IAS1-ResePatr</vt:lpstr>
      <vt:lpstr>IAS1-InfoAdicDivi</vt:lpstr>
      <vt:lpstr>IAS1-CompInveCapi</vt:lpstr>
      <vt:lpstr>IAS1-NumePromEmpl</vt:lpstr>
      <vt:lpstr>Codigo_Actividad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Waldo González</cp:lastModifiedBy>
  <dcterms:created xsi:type="dcterms:W3CDTF">2013-03-20T15:44:22Z</dcterms:created>
  <dcterms:modified xsi:type="dcterms:W3CDTF">2024-06-25T12:53:45Z</dcterms:modified>
</cp:coreProperties>
</file>