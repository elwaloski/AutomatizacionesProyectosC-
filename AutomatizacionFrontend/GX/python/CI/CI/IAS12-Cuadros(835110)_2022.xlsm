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x\Archivo pruebas gx 2024 (1)\Archivo pruebas gx 2024\svs-cl-ci-2024-01-02 - copia\xls\"/>
    </mc:Choice>
  </mc:AlternateContent>
  <bookViews>
    <workbookView xWindow="-120" yWindow="-120" windowWidth="20736" windowHeight="11160"/>
  </bookViews>
  <sheets>
    <sheet name="IAS12-Cuadros" sheetId="1" r:id="rId1"/>
    <sheet name="IAS12-CompGastImpu" sheetId="4" r:id="rId2"/>
    <sheet name="IAS12-ImpuCorrDife" sheetId="5" r:id="rId3"/>
    <sheet name="IAS12-ImpuResuInte" sheetId="6" r:id="rId4"/>
    <sheet name="IAS12-InfoDifeTemp" sheetId="2" r:id="rId5"/>
    <sheet name="IAS12-ConcGanaCont" sheetId="7" r:id="rId6"/>
    <sheet name="IAS12-ConcTasaImpo" sheetId="8" r:id="rId7"/>
    <sheet name="codigos" sheetId="3" state="hidden" r:id="rId8"/>
  </sheet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46" i="2" l="1"/>
  <c r="G22" i="8"/>
  <c r="G21" i="7"/>
  <c r="I36" i="2"/>
  <c r="I21" i="2"/>
  <c r="I11" i="2"/>
  <c r="G14" i="5"/>
  <c r="G32" i="4"/>
  <c r="G15" i="4"/>
  <c r="G25" i="4" s="1"/>
  <c r="H42" i="6"/>
  <c r="G42" i="6"/>
  <c r="I29" i="6"/>
  <c r="H24" i="6"/>
  <c r="G24" i="6"/>
  <c r="I11" i="6"/>
  <c r="I19" i="5" l="1"/>
  <c r="I18" i="5"/>
  <c r="I13" i="5"/>
  <c r="I12" i="5"/>
  <c r="I41" i="6"/>
  <c r="I40" i="6"/>
  <c r="I39" i="6"/>
  <c r="I38" i="6"/>
  <c r="I37" i="6"/>
  <c r="I36" i="6"/>
  <c r="I35" i="6"/>
  <c r="I34" i="6"/>
  <c r="I33" i="6"/>
  <c r="I32" i="6"/>
  <c r="I31" i="6"/>
  <c r="I30" i="6"/>
  <c r="I28" i="6"/>
  <c r="I23" i="6"/>
  <c r="I22" i="6"/>
  <c r="I21" i="6"/>
  <c r="I20" i="6"/>
  <c r="I19" i="6"/>
  <c r="I18" i="6"/>
  <c r="I17" i="6"/>
  <c r="I16" i="6"/>
  <c r="I15" i="6"/>
  <c r="I14" i="6"/>
  <c r="I13" i="6"/>
  <c r="I12" i="6"/>
  <c r="I10" i="6"/>
  <c r="I24" i="6" l="1"/>
  <c r="I42" i="6"/>
  <c r="R51" i="2"/>
  <c r="O51" i="2"/>
  <c r="L51" i="2"/>
  <c r="S51" i="2" s="1"/>
  <c r="R50" i="2"/>
  <c r="O50" i="2"/>
  <c r="L50" i="2"/>
  <c r="R49" i="2"/>
  <c r="O49" i="2"/>
  <c r="L49" i="2"/>
  <c r="R48" i="2"/>
  <c r="O48" i="2"/>
  <c r="L48" i="2"/>
  <c r="R47" i="2"/>
  <c r="O47" i="2"/>
  <c r="L47" i="2"/>
  <c r="Q46" i="2"/>
  <c r="Q52" i="2" s="1"/>
  <c r="Q53" i="2" s="1"/>
  <c r="R53" i="2" s="1"/>
  <c r="P46" i="2"/>
  <c r="P52" i="2" s="1"/>
  <c r="P53" i="2" s="1"/>
  <c r="N46" i="2"/>
  <c r="N52" i="2" s="1"/>
  <c r="N53" i="2" s="1"/>
  <c r="O53" i="2" s="1"/>
  <c r="M46" i="2"/>
  <c r="M52" i="2" s="1"/>
  <c r="M53" i="2" s="1"/>
  <c r="K46" i="2"/>
  <c r="K52" i="2" s="1"/>
  <c r="K53" i="2" s="1"/>
  <c r="J46" i="2"/>
  <c r="J52" i="2" s="1"/>
  <c r="J53" i="2" s="1"/>
  <c r="I52" i="2"/>
  <c r="I53" i="2" s="1"/>
  <c r="H46" i="2"/>
  <c r="G46" i="2"/>
  <c r="G52" i="2" s="1"/>
  <c r="G53" i="2" s="1"/>
  <c r="R44" i="2"/>
  <c r="O44" i="2"/>
  <c r="L44" i="2"/>
  <c r="S44" i="2" s="1"/>
  <c r="R42" i="2"/>
  <c r="O42" i="2"/>
  <c r="L42" i="2"/>
  <c r="R41" i="2"/>
  <c r="O41" i="2"/>
  <c r="L41" i="2"/>
  <c r="R39" i="2"/>
  <c r="O39" i="2"/>
  <c r="L39" i="2"/>
  <c r="R38" i="2"/>
  <c r="O38" i="2"/>
  <c r="L38" i="2"/>
  <c r="Q36" i="2"/>
  <c r="P36" i="2"/>
  <c r="N36" i="2"/>
  <c r="M36" i="2"/>
  <c r="K36" i="2"/>
  <c r="J36" i="2"/>
  <c r="H36" i="2"/>
  <c r="G36" i="2"/>
  <c r="R35" i="2"/>
  <c r="O35" i="2"/>
  <c r="L35" i="2"/>
  <c r="S35" i="2" s="1"/>
  <c r="R34" i="2"/>
  <c r="O34" i="2"/>
  <c r="L34" i="2"/>
  <c r="R26" i="2"/>
  <c r="R25" i="2"/>
  <c r="R24" i="2"/>
  <c r="R23" i="2"/>
  <c r="R22" i="2"/>
  <c r="R19" i="2"/>
  <c r="R17" i="2"/>
  <c r="R16" i="2"/>
  <c r="R14" i="2"/>
  <c r="R13" i="2"/>
  <c r="R10" i="2"/>
  <c r="R9" i="2"/>
  <c r="P31" i="2"/>
  <c r="P21" i="2"/>
  <c r="P27" i="2" s="1"/>
  <c r="P28" i="2" s="1"/>
  <c r="P11" i="2"/>
  <c r="P6" i="2"/>
  <c r="O26" i="2"/>
  <c r="O25" i="2"/>
  <c r="O24" i="2"/>
  <c r="O23" i="2"/>
  <c r="O22" i="2"/>
  <c r="O19" i="2"/>
  <c r="O17" i="2"/>
  <c r="O16" i="2"/>
  <c r="O14" i="2"/>
  <c r="O13" i="2"/>
  <c r="O10" i="2"/>
  <c r="O9" i="2"/>
  <c r="M31" i="2"/>
  <c r="M21" i="2"/>
  <c r="M27" i="2" s="1"/>
  <c r="M28" i="2" s="1"/>
  <c r="M11" i="2"/>
  <c r="M6" i="2"/>
  <c r="M29" i="2" l="1"/>
  <c r="S39" i="2"/>
  <c r="S48" i="2"/>
  <c r="O36" i="2"/>
  <c r="R36" i="2"/>
  <c r="L36" i="2"/>
  <c r="S41" i="2"/>
  <c r="P54" i="2"/>
  <c r="S49" i="2"/>
  <c r="S34" i="2"/>
  <c r="S36" i="2" s="1"/>
  <c r="S38" i="2"/>
  <c r="L46" i="2"/>
  <c r="S46" i="2" s="1"/>
  <c r="S47" i="2"/>
  <c r="S42" i="2"/>
  <c r="S50" i="2"/>
  <c r="P29" i="2"/>
  <c r="H52" i="2"/>
  <c r="H53" i="2" s="1"/>
  <c r="L53" i="2" s="1"/>
  <c r="S53" i="2" s="1"/>
  <c r="R46" i="2"/>
  <c r="R52" i="2" s="1"/>
  <c r="O46" i="2"/>
  <c r="O52" i="2" s="1"/>
  <c r="M54" i="2"/>
  <c r="H34" i="7"/>
  <c r="G34" i="7"/>
  <c r="H21" i="7"/>
  <c r="I12" i="8"/>
  <c r="I27" i="8"/>
  <c r="S52" i="2" l="1"/>
  <c r="L52" i="2"/>
  <c r="H8" i="8"/>
  <c r="G8" i="8"/>
  <c r="H6" i="6"/>
  <c r="G6" i="6"/>
  <c r="I33" i="7"/>
  <c r="I32" i="7"/>
  <c r="I31" i="7"/>
  <c r="I30" i="7"/>
  <c r="I29" i="7"/>
  <c r="I28" i="7"/>
  <c r="I27" i="7"/>
  <c r="I26" i="7"/>
  <c r="I25" i="7"/>
  <c r="I20" i="7"/>
  <c r="I19" i="7"/>
  <c r="I18" i="7"/>
  <c r="I17" i="7"/>
  <c r="I16" i="7"/>
  <c r="I15" i="7"/>
  <c r="I14" i="7"/>
  <c r="I13" i="7"/>
  <c r="I12" i="7"/>
  <c r="I34" i="7" l="1"/>
  <c r="I21" i="7"/>
  <c r="I41" i="4"/>
  <c r="I40" i="4"/>
  <c r="I39" i="4"/>
  <c r="I38" i="4"/>
  <c r="I37" i="4"/>
  <c r="I36" i="4"/>
  <c r="I35" i="4"/>
  <c r="I34" i="4"/>
  <c r="I31" i="4"/>
  <c r="I30" i="4"/>
  <c r="I24" i="4"/>
  <c r="I23" i="4"/>
  <c r="I22" i="4"/>
  <c r="I21" i="4"/>
  <c r="I20" i="4"/>
  <c r="I19" i="4"/>
  <c r="I18" i="4"/>
  <c r="I17" i="4"/>
  <c r="I14" i="4"/>
  <c r="I13" i="4"/>
  <c r="L26" i="2"/>
  <c r="L25" i="2"/>
  <c r="L24" i="2"/>
  <c r="L23" i="2"/>
  <c r="L22" i="2"/>
  <c r="L19" i="2"/>
  <c r="L17" i="2"/>
  <c r="L16" i="2"/>
  <c r="L14" i="2"/>
  <c r="L13" i="2"/>
  <c r="L10" i="2"/>
  <c r="L9" i="2"/>
  <c r="K31" i="2"/>
  <c r="J31" i="2"/>
  <c r="K21" i="2"/>
  <c r="K27" i="2" s="1"/>
  <c r="K28" i="2" s="1"/>
  <c r="J21" i="2"/>
  <c r="J27" i="2" s="1"/>
  <c r="J28" i="2" s="1"/>
  <c r="K11" i="2"/>
  <c r="J11" i="2"/>
  <c r="K6" i="2"/>
  <c r="J6" i="2"/>
  <c r="J29" i="2" l="1"/>
  <c r="J54" i="2"/>
  <c r="K29" i="2"/>
  <c r="K54" i="2"/>
  <c r="I37" i="8"/>
  <c r="H37" i="8"/>
  <c r="G37" i="8"/>
  <c r="I22" i="8"/>
  <c r="H22" i="8"/>
  <c r="H8" i="7"/>
  <c r="G8" i="7"/>
  <c r="I20" i="5" l="1"/>
  <c r="H20" i="5"/>
  <c r="G20" i="5"/>
  <c r="H8" i="5"/>
  <c r="G8" i="5"/>
  <c r="I14" i="5"/>
  <c r="H14" i="5"/>
  <c r="H32" i="4"/>
  <c r="H42" i="4" s="1"/>
  <c r="H15" i="4"/>
  <c r="H25" i="4" s="1"/>
  <c r="H8" i="4"/>
  <c r="G8" i="4"/>
  <c r="I15" i="4" l="1"/>
  <c r="G42" i="4"/>
  <c r="I32" i="4"/>
  <c r="I42" i="4" s="1"/>
  <c r="I25" i="4"/>
  <c r="Q21" i="2"/>
  <c r="N21" i="2"/>
  <c r="N27" i="2" l="1"/>
  <c r="N28" i="2" s="1"/>
  <c r="O28" i="2" s="1"/>
  <c r="Q27" i="2"/>
  <c r="Q28" i="2" s="1"/>
  <c r="R28" i="2" s="1"/>
  <c r="Q31" i="2" l="1"/>
  <c r="N31" i="2"/>
  <c r="N54" i="2" l="1"/>
  <c r="H54" i="2" l="1"/>
  <c r="I54" i="2"/>
  <c r="Q54" i="2"/>
  <c r="O54" i="2"/>
  <c r="R54" i="2" l="1"/>
  <c r="L54" i="2"/>
  <c r="G54" i="2"/>
  <c r="S54" i="2" l="1"/>
  <c r="H21" i="2"/>
  <c r="G21" i="2"/>
  <c r="L21" i="2" l="1"/>
  <c r="G27" i="2"/>
  <c r="G28" i="2" s="1"/>
  <c r="H27" i="2"/>
  <c r="H28" i="2" s="1"/>
  <c r="I27" i="2"/>
  <c r="I28" i="2" s="1"/>
  <c r="L28" i="2" l="1"/>
  <c r="R21" i="2"/>
  <c r="O21" i="2"/>
  <c r="N11" i="2"/>
  <c r="N29" i="2" s="1"/>
  <c r="N6" i="2"/>
  <c r="S9" i="2" l="1"/>
  <c r="L27" i="2"/>
  <c r="R27" i="2"/>
  <c r="O27" i="2"/>
  <c r="L11" i="2"/>
  <c r="L29" i="2" s="1"/>
  <c r="R11" i="2"/>
  <c r="R29" i="2" s="1"/>
  <c r="Q11" i="2"/>
  <c r="Q29" i="2" s="1"/>
  <c r="Q6" i="2"/>
  <c r="S19" i="2" l="1"/>
  <c r="S28" i="2"/>
  <c r="S26" i="2"/>
  <c r="S25" i="2"/>
  <c r="S24" i="2"/>
  <c r="S23" i="2"/>
  <c r="S22" i="2"/>
  <c r="S21" i="2"/>
  <c r="S17" i="2"/>
  <c r="S16" i="2"/>
  <c r="S14" i="2"/>
  <c r="S13" i="2"/>
  <c r="S10" i="2"/>
  <c r="S27" i="2" l="1"/>
  <c r="S11" i="2" l="1"/>
  <c r="S29" i="2" s="1"/>
  <c r="O11" i="2"/>
  <c r="O29" i="2" s="1"/>
  <c r="I29" i="2"/>
  <c r="H11" i="2"/>
  <c r="H29" i="2" s="1"/>
  <c r="G11" i="2"/>
  <c r="G29" i="2" s="1"/>
</calcChain>
</file>

<file path=xl/comments1.xml><?xml version="1.0" encoding="utf-8"?>
<comments xmlns="http://schemas.openxmlformats.org/spreadsheetml/2006/main">
  <authors>
    <author>Jaime Palma</author>
    <author xml:space="preserve"> </author>
  </authors>
  <commentList>
    <comment ref="G25" authorId="0" shapeId="0">
      <text>
        <r>
          <rPr>
            <b/>
            <sz val="9"/>
            <color indexed="81"/>
            <rFont val="Tahoma"/>
            <family val="2"/>
          </rPr>
          <t>Jaime Palma:</t>
        </r>
        <r>
          <rPr>
            <sz val="9"/>
            <color indexed="81"/>
            <rFont val="Tahoma"/>
            <family val="2"/>
          </rPr>
          <t xml:space="preserve">
Mismo valor que fila 94</t>
        </r>
      </text>
    </comment>
    <comment ref="H25" authorId="0" shapeId="0">
      <text>
        <r>
          <rPr>
            <b/>
            <sz val="9"/>
            <color indexed="81"/>
            <rFont val="Tahoma"/>
            <family val="2"/>
          </rPr>
          <t>Jaime Palma:</t>
        </r>
        <r>
          <rPr>
            <sz val="9"/>
            <color indexed="81"/>
            <rFont val="Tahoma"/>
            <family val="2"/>
          </rPr>
          <t xml:space="preserve">
Mismo valor que fila 94</t>
        </r>
      </text>
    </comment>
    <comment ref="G42" authorId="0" shapeId="0">
      <text>
        <r>
          <rPr>
            <b/>
            <sz val="9"/>
            <color indexed="81"/>
            <rFont val="Tahoma"/>
            <family val="2"/>
          </rPr>
          <t>Jaime Palma:</t>
        </r>
        <r>
          <rPr>
            <sz val="9"/>
            <color indexed="81"/>
            <rFont val="Tahoma"/>
            <family val="2"/>
          </rPr>
          <t xml:space="preserve">
Mismo valor que fila 94</t>
        </r>
      </text>
    </comment>
    <comment ref="H42" authorId="0" shapeId="0">
      <text>
        <r>
          <rPr>
            <b/>
            <sz val="9"/>
            <color indexed="81"/>
            <rFont val="Tahoma"/>
            <family val="2"/>
          </rPr>
          <t>Jaime Palma:</t>
        </r>
        <r>
          <rPr>
            <sz val="9"/>
            <color indexed="81"/>
            <rFont val="Tahoma"/>
            <family val="2"/>
          </rPr>
          <t xml:space="preserve">
Mismo valor que fila 94</t>
        </r>
      </text>
    </comment>
    <comment ref="G43" authorId="1" shapeId="0">
      <text>
        <r>
          <rPr>
            <b/>
            <sz val="8"/>
            <color indexed="81"/>
            <rFont val="Tahoma"/>
            <family val="2"/>
          </rPr>
          <t>Esta fila solo sirve para cuadrar y debe dar 0.</t>
        </r>
        <r>
          <rPr>
            <sz val="8"/>
            <color indexed="81"/>
            <rFont val="Tahoma"/>
            <family val="2"/>
          </rPr>
          <t xml:space="preserve">
</t>
        </r>
      </text>
    </comment>
  </commentList>
</comments>
</file>

<file path=xl/comments2.xml><?xml version="1.0" encoding="utf-8"?>
<comments xmlns="http://schemas.openxmlformats.org/spreadsheetml/2006/main">
  <authors>
    <author xml:space="preserve"> </author>
  </authors>
  <commentList>
    <comment ref="G21" authorId="0" shapeId="0">
      <text>
        <r>
          <rPr>
            <b/>
            <sz val="8"/>
            <color indexed="81"/>
            <rFont val="Tahoma"/>
            <family val="2"/>
          </rPr>
          <t>Esta fila solo sirve para cuadrar y debe dar 0.</t>
        </r>
        <r>
          <rPr>
            <sz val="8"/>
            <color indexed="81"/>
            <rFont val="Tahoma"/>
            <family val="2"/>
          </rPr>
          <t xml:space="preserve">
</t>
        </r>
      </text>
    </comment>
  </commentList>
</comments>
</file>

<file path=xl/comments3.xml><?xml version="1.0" encoding="utf-8"?>
<comments xmlns="http://schemas.openxmlformats.org/spreadsheetml/2006/main">
  <authors>
    <author xml:space="preserve"> </author>
  </authors>
  <commentList>
    <comment ref="G43" authorId="0" shapeId="0">
      <text>
        <r>
          <rPr>
            <b/>
            <sz val="8"/>
            <color indexed="81"/>
            <rFont val="Tahoma"/>
            <family val="2"/>
          </rPr>
          <t>Esta fila solo sirve para cuadrar y debe dar 0.</t>
        </r>
        <r>
          <rPr>
            <sz val="8"/>
            <color indexed="81"/>
            <rFont val="Tahoma"/>
            <family val="2"/>
          </rPr>
          <t xml:space="preserve">
</t>
        </r>
      </text>
    </comment>
  </commentList>
</comments>
</file>

<file path=xl/comments4.xml><?xml version="1.0" encoding="utf-8"?>
<comments xmlns="http://schemas.openxmlformats.org/spreadsheetml/2006/main">
  <authors>
    <author xml:space="preserve"> </author>
  </authors>
  <commentList>
    <comment ref="G29" authorId="0" shapeId="0">
      <text>
        <r>
          <rPr>
            <b/>
            <sz val="8"/>
            <color indexed="81"/>
            <rFont val="Tahoma"/>
            <family val="2"/>
          </rPr>
          <t>Esta fila solo sirve para cuadrar y debe dar 0.</t>
        </r>
        <r>
          <rPr>
            <sz val="8"/>
            <color indexed="81"/>
            <rFont val="Tahoma"/>
            <family val="2"/>
          </rPr>
          <t xml:space="preserve">
</t>
        </r>
      </text>
    </comment>
    <comment ref="G54" authorId="0" shapeId="0">
      <text>
        <r>
          <rPr>
            <b/>
            <sz val="8"/>
            <color indexed="81"/>
            <rFont val="Tahoma"/>
            <family val="2"/>
          </rPr>
          <t>Esta fila solo sirve para cuadrar y debe dar 0.</t>
        </r>
        <r>
          <rPr>
            <sz val="8"/>
            <color indexed="81"/>
            <rFont val="Tahoma"/>
            <family val="2"/>
          </rPr>
          <t xml:space="preserve">
</t>
        </r>
      </text>
    </comment>
  </commentList>
</comments>
</file>

<file path=xl/comments5.xml><?xml version="1.0" encoding="utf-8"?>
<comments xmlns="http://schemas.openxmlformats.org/spreadsheetml/2006/main">
  <authors>
    <author xml:space="preserve"> </author>
  </authors>
  <commentList>
    <comment ref="G35" authorId="0" shapeId="0">
      <text>
        <r>
          <rPr>
            <b/>
            <sz val="8"/>
            <color indexed="81"/>
            <rFont val="Tahoma"/>
            <family val="2"/>
          </rPr>
          <t>Esta fila solo sirve para cuadrar y debe dar 0.</t>
        </r>
        <r>
          <rPr>
            <sz val="8"/>
            <color indexed="81"/>
            <rFont val="Tahoma"/>
            <family val="2"/>
          </rPr>
          <t xml:space="preserve">
</t>
        </r>
      </text>
    </comment>
  </commentList>
</comments>
</file>

<file path=xl/comments6.xml><?xml version="1.0" encoding="utf-8"?>
<comments xmlns="http://schemas.openxmlformats.org/spreadsheetml/2006/main">
  <authors>
    <author xml:space="preserve"> </author>
  </authors>
  <commentList>
    <comment ref="G38" authorId="0" shapeId="0">
      <text>
        <r>
          <rPr>
            <b/>
            <sz val="8"/>
            <color indexed="81"/>
            <rFont val="Tahoma"/>
            <family val="2"/>
          </rPr>
          <t>Esta fila solo sirve para cuadrar y debe dar 0.</t>
        </r>
        <r>
          <rPr>
            <sz val="8"/>
            <color indexed="81"/>
            <rFont val="Tahoma"/>
            <family val="2"/>
          </rPr>
          <t xml:space="preserve">
</t>
        </r>
      </text>
    </comment>
  </commentList>
</comments>
</file>

<file path=xl/sharedStrings.xml><?xml version="1.0" encoding="utf-8"?>
<sst xmlns="http://schemas.openxmlformats.org/spreadsheetml/2006/main" count="979" uniqueCount="256">
  <si>
    <t xml:space="preserve"> </t>
  </si>
  <si>
    <t xml:space="preserve">    Información a revelar sobre impuestos a las ganancias [bloque de texto]  </t>
  </si>
  <si>
    <t xml:space="preserve">      Principales componentes del gasto (ingreso) por impuestos [sinopsis]  </t>
  </si>
  <si>
    <t xml:space="preserve">      Impuesto a las ganancias relacionado con la participación en el otro resultado integral de asociadas y negocios conjuntos que se contabilicen mediante el método de la participación  [Número]</t>
  </si>
  <si>
    <t xml:space="preserve">      Gasto por impuestos de operaciones discontinuadas [sinopsis]  </t>
  </si>
  <si>
    <t xml:space="preserve">        Gasto por impuestos relacionado con ganancias (pérdidas) derivadas de la discontinuación  [Número]</t>
  </si>
  <si>
    <t xml:space="preserve">        Gasto por impuestos relacionado con ganancias (pérdidas) procedentes de actividades ordinarias de operaciones discontinuadas  [Número]</t>
  </si>
  <si>
    <t xml:space="preserve">      Explicación sobre cambios en tasas impositivas aplicables a periodos contables anteriores  [Texto]</t>
  </si>
  <si>
    <t xml:space="preserve">      Descripción de la fecha de validez de diferencias temporarias, pérdidas y créditos fiscales no utilizados  [Texto]</t>
  </si>
  <si>
    <t xml:space="preserve">      Diferencias temporarias deducibles por las que no se reconoce activo por impuestos diferidos  [Número]</t>
  </si>
  <si>
    <t xml:space="preserve">      Pérdidas fiscales no utilizadas para las que no se han reconocido activos por impuestos diferidos  [Número]</t>
  </si>
  <si>
    <t xml:space="preserve">      Créditos fiscales no utilizados para los que no se han reconocido activos por impuestos diferidos  [Número]</t>
  </si>
  <si>
    <t xml:space="preserve">      Diferencias temporarias relacionadas con inversiones en subsidiarias, sucursales y asociadas y con participaciones en negocios conjuntos, para los cuales no se han reconocido pasivos por impuestos diferidos  [Número]</t>
  </si>
  <si>
    <t xml:space="preserve">      Información a revelar sobre diferencias temporarias, pérdidas y créditos fiscales no utilizados [bloque de texto]  </t>
  </si>
  <si>
    <t xml:space="preserve">      Consecuencias en el impuesto a las ganancias de los dividendos propuestos o declarados antes de la autorización de los estados financieros para su publicación no reconocidos como pasivo  [Número]</t>
  </si>
  <si>
    <t xml:space="preserve">      Incremento (disminución) en importes reconocidos por activos por impuestos diferidos anteriores a la adquisición  [Número]</t>
  </si>
  <si>
    <t xml:space="preserve">      Descripción de hechos o cambios en circunstancias que ocasionaron el reconocimiento de beneficios por impuestos diferidos adquiridos en combinaciones de negocios después de la fecha de adquisición  [Texto]</t>
  </si>
  <si>
    <t xml:space="preserve">      Descripción de la evidencia que apoya el reconocimiento de activos por impuestos diferidos cuando la utilización depende de que las ganancias gravables futuras superen las ganancias procedentes de la reversión de diferencias temporarias gravables y la entidad ha sufrido pérdidas en la jurisdicción con la que se relaciona el activo por impuestos diferidos  [Texto]</t>
  </si>
  <si>
    <t xml:space="preserve">      Activo por impuestos diferidos cuando la utilización depende de que las ganancias gravables futuras superen las ganancias procedentes de la reversión de las diferencias temporarias gravables y la entidad ha sufrido pérdidas en la jurisdicción con la que se relaciona el activo por impuestos diferidos  [Número]</t>
  </si>
  <si>
    <t xml:space="preserve">      Descripción de la naturaleza de las consecuencias potenciales en el impuesto a las ganancias que podrían producirse por el pago de dividendos  [Texto]</t>
  </si>
  <si>
    <t xml:space="preserve">      Descripción del importe de las consecuencias potenciales en el impuesto a las ganancias que sea practicable determinar  [Texto]</t>
  </si>
  <si>
    <t xml:space="preserve">            Activos y pasivos por impuestos diferidos [sinopsis]  </t>
  </si>
  <si>
    <t xml:space="preserve">              Activos por impuestos diferidos  [Número]</t>
  </si>
  <si>
    <t xml:space="preserve">              Pasivo por impuestos diferidos  [Número]</t>
  </si>
  <si>
    <t xml:space="preserve">              Pasivo (activo) por impuestos diferidos  [Número]</t>
  </si>
  <si>
    <t xml:space="preserve">            Activos y pasivos por impuestos diferidos netos [resumen]  </t>
  </si>
  <si>
    <t xml:space="preserve">              Activos por impuestos diferidos netos  [Número]</t>
  </si>
  <si>
    <t xml:space="preserve">              Pasivos por impuestos diferidos netos  [Número]</t>
  </si>
  <si>
    <t xml:space="preserve">            Gasto (ingreso) por impuestos diferidos [sinopsis]  </t>
  </si>
  <si>
    <t xml:space="preserve">              Gasto (ingreso) por impuestos diferidos  [Número]</t>
  </si>
  <si>
    <t xml:space="preserve">                Gasto (ingreso) por impuestos diferidos reconocidos como resultados  [Número]</t>
  </si>
  <si>
    <t xml:space="preserve">            Conciliación de los cambios en pasivos (activos) por impuestos diferidos [resumen]  </t>
  </si>
  <si>
    <t xml:space="preserve">              Cambios en pasivos (activos) por impuestos diferidos [resumen]  </t>
  </si>
  <si>
    <t xml:space="preserve">                Impuesto a las ganancias relacionado con componentes de otro resultado integral  [Número]</t>
  </si>
  <si>
    <t xml:space="preserve">                Incrementos (disminuciones) por combinaciones de negocios, pasivos (activos) por impuestos diferidos  [Número]</t>
  </si>
  <si>
    <t xml:space="preserve">                Incrementos (disminuciones) por pérdidas de control de subsidiaria, pasivos (activos) por impuestos diferidos  [Número]</t>
  </si>
  <si>
    <t xml:space="preserve">                Incrementos (disminuciones) por diferencias de cambio netas, pasivos (activos) por impuestos diferidos  [Número]</t>
  </si>
  <si>
    <t xml:space="preserve">                Incrementos (disminuciones) de pasivos (activos) por impuestos diferidos  [Número]</t>
  </si>
  <si>
    <t>Agregar columna opcional</t>
  </si>
  <si>
    <t>Información a revelar sobre diferencias temporarias, pérdidas y créditos fiscales no utilizados</t>
  </si>
  <si>
    <t xml:space="preserve">              Diferencias temporarias, pérdidas y créditos fiscales no utilizados [miembro]  </t>
  </si>
  <si>
    <t xml:space="preserve">                Diferencias temporarias [miembro]  </t>
  </si>
  <si>
    <t xml:space="preserve">                  Correcciones de valor de pérdidas crediticias [miembro]  </t>
  </si>
  <si>
    <t xml:space="preserve">                  Ganancias (pérdidas) por diferencias de cambio no realizadas [miembro]  </t>
  </si>
  <si>
    <t xml:space="preserve">                  Otras diferencias temporarias [miembro]  </t>
  </si>
  <si>
    <t xml:space="preserve">                Pérdidas fiscales no utilizadas [miembro]  </t>
  </si>
  <si>
    <t xml:space="preserve">                Créditos fiscales no utilizados [miembro]  </t>
  </si>
  <si>
    <r>
      <t xml:space="preserve">INSTRUCCIONES DE LLENADO
</t>
    </r>
    <r>
      <rPr>
        <sz val="10"/>
        <rFont val="Calibri"/>
        <family val="2"/>
      </rPr>
      <t xml:space="preserve">Esta dimensión puede ser extendida agregando columnas (miembros) adicionales a las definidas por taxonomía.
-Las columnas marcadas con línea punteada roja y con fondo verde indican las posiciones donde es posible agregar elementos.                                                                                                                                                                                                                                                                                             </t>
    </r>
    <r>
      <rPr>
        <sz val="10"/>
        <color indexed="10"/>
        <rFont val="Calibri"/>
        <family val="2"/>
      </rPr>
      <t xml:space="preserve">-Si se presiona el botón </t>
    </r>
    <r>
      <rPr>
        <b/>
        <sz val="10"/>
        <color indexed="10"/>
        <rFont val="Calibri"/>
        <family val="2"/>
      </rPr>
      <t>'Copiar Columna'</t>
    </r>
    <r>
      <rPr>
        <sz val="10"/>
        <color indexed="10"/>
        <rFont val="Calibri"/>
        <family val="2"/>
      </rPr>
      <t xml:space="preserve"> se copiará una columna  a la derecha de la columna actualmente seleccionada. </t>
    </r>
    <r>
      <rPr>
        <sz val="10"/>
        <rFont val="Calibri"/>
        <family val="2"/>
      </rPr>
      <t xml:space="preserve">
-Edite las columnas</t>
    </r>
    <r>
      <rPr>
        <b/>
        <sz val="10"/>
        <rFont val="Calibri"/>
        <family val="2"/>
      </rPr>
      <t xml:space="preserve"> coloreadas verde </t>
    </r>
    <r>
      <rPr>
        <sz val="10"/>
        <rFont val="Calibri"/>
        <family val="2"/>
      </rPr>
      <t xml:space="preserve">de acuerdo a sus necesidades.
-Las columnas verdes pueden ser editadas, eliminadas o duplicadas, así puede agregar mas detalle donde corresponda. Asegúrese de copiar la columna completa si desea duplicar un elemento (Se recomienda utilizar el botón 'Copiar Columna').
-Las columnas marcadas en plomo </t>
    </r>
    <r>
      <rPr>
        <b/>
        <sz val="10"/>
        <rFont val="Calibri"/>
        <family val="2"/>
      </rPr>
      <t>no deben ser editadas, eliminadas ni movidas.</t>
    </r>
  </si>
  <si>
    <t>ACT</t>
  </si>
  <si>
    <t>INI</t>
  </si>
  <si>
    <t>ANT</t>
  </si>
  <si>
    <t xml:space="preserve">                Impuestos diferidos relacionados con partidas acreditadas (cargadas) directamente a patrimonio [Número]</t>
  </si>
  <si>
    <t>AAN</t>
  </si>
  <si>
    <t>Información a revelar sobre diferencias temporarias, pérdidas y créditos fiscales no utilizados - Periodo Actual</t>
  </si>
  <si>
    <t>Información a revelar sobre diferencias temporarias, pérdidas y créditos fiscales no utilizados - Cierre Anual Anterior 31/12/YYYY</t>
  </si>
  <si>
    <t xml:space="preserve">      Descripción de si existen potenciales consecuencias del impuesto a las ganancias que no es practicable determinar [Texto]</t>
  </si>
  <si>
    <t>Trimestre acumulado año actual</t>
  </si>
  <si>
    <t>Trimestre acumulado año anterior</t>
  </si>
  <si>
    <t>Último trimestre año actual</t>
  </si>
  <si>
    <t>Último trimestre año anterior</t>
  </si>
  <si>
    <t>Cierre periodo año actual</t>
  </si>
  <si>
    <t>Cierre periodo año anterior</t>
  </si>
  <si>
    <t>Impuesto a las ganancias relacionados con cambios en el valor de los diferenciales de tasa de cambio de la moneda extranjera de otro resultado integral</t>
  </si>
  <si>
    <t>Cargar hoja:</t>
  </si>
  <si>
    <t>SI</t>
  </si>
  <si>
    <t>NO</t>
  </si>
  <si>
    <t>full_ifrs-cor_2015-03-11.xsd#ifrs-full_IncomeTaxRelatingToFinancialAssetsMeasuredAtFairValueThroughOtherComprehensiveIncome</t>
  </si>
  <si>
    <t>full_ifrs-cor_2015-03-11.xsd#ifrs-full_DisclosureOfIncomeTaxExplanatory</t>
  </si>
  <si>
    <t>full_ifrs-cor_2015-03-11.xsd#ifrs-full_CurrentTaxExpenseIncome</t>
  </si>
  <si>
    <t>full_ifrs-cor_2015-03-11.xsd#ifrs-full_AdjustmentsForCurrentTaxOfPriorPeriod</t>
  </si>
  <si>
    <t>full_ifrs-cor_2015-03-11.xsd#ifrs-full_CurrentTaxExpenseIncomeAndAdjustmentsForCurrentTaxOfPriorPeriods</t>
  </si>
  <si>
    <t>full_ifrs-cor_2015-03-11.xsd#ifrs-full_DeferredTaxExpenseIncomeRelatingToOriginationAndReversalOfTemporaryDifferences</t>
  </si>
  <si>
    <t>full_ifrs-cor_2015-03-11.xsd#ifrs-full_DeferredTaxExpenseIncomeRelatingToTaxRateChangesOrImpositionOfNewTaxes</t>
  </si>
  <si>
    <t>full_ifrs-cor_2015-03-11.xsd#ifrs-full_TaxBenefitArisingFromPreviouslyUnrecognisedTaxLossTaxCreditOrTemporaryDifferenceOfPriorPeriodUsedToReduceCurrentTaxExpense</t>
  </si>
  <si>
    <t>full_ifrs-cor_2015-03-11.xsd#ifrs-full_TaxBenefitArisingFromPreviouslyUnrecognisedTaxLossTaxCreditOrTemporaryDifferenceOfPriorPeriodUsedToReduceDeferredTaxExpense</t>
  </si>
  <si>
    <t>full_ifrs-cor_2015-03-11.xsd#ifrs-full_DeferredTaxExpenseArisingFromWritedownOrReversalOfWritedownOfDeferredTaxAsset</t>
  </si>
  <si>
    <t>full_ifrs-cor_2015-03-11.xsd#ifrs-full_TaxExpenseIncomeRelatingToChangesInAccountingPoliciesAndErrorsIncludedInProfitOrLoss</t>
  </si>
  <si>
    <t>full_ifrs-cor_2015-03-11.xsd#ifrs-full_AdjustmentsForDeferredTaxOfPriorPeriods</t>
  </si>
  <si>
    <t>full_ifrs-cor_2015-03-11.xsd#ifrs-full_OtherComponentsOfDeferredTaxExpenseIncome</t>
  </si>
  <si>
    <t>full_ifrs-cor_2015-03-11.xsd#ifrs-full_IncomeTaxExpenseContinuingOperations</t>
  </si>
  <si>
    <t>full_ifrs-cor_2015-03-11.xsd#ifrs-full_CurrentTaxRelatingToItemsChargedOrCreditedDirectlyToEquity</t>
  </si>
  <si>
    <t>full_ifrs-cor_2015-03-11.xsd#ifrs-full_DeferredTaxRelatingToItemsChargedOrCreditedDirectlyToEquity</t>
  </si>
  <si>
    <t>full_ifrs-cor_2015-03-11.xsd#ifrs-full_CurrentAndDeferredTaxRelatingToItemsChargedOrCreditedDirectlyToEquity</t>
  </si>
  <si>
    <t>full_ifrs-cor_2015-03-11.xsd#ifrs-full_IncomeTaxRelatingToExchangeDifferencesOnTranslationOfOtherComprehensiveIncome</t>
  </si>
  <si>
    <t>full_ifrs-cor_2015-03-11.xsd#ifrs-full_IncomeTaxRelatingToAvailableforsaleFinancialAssetsOfOtherComprehensiveIncome</t>
  </si>
  <si>
    <t>full_ifrs-cor_2015-03-11.xsd#ifrs-full_IncomeTaxRelatingToCashFlowHedgesOfOtherComprehensiveIncome</t>
  </si>
  <si>
    <t>full_ifrs-cor_2015-03-11.xsd#ifrs-full_IncomeTaxRelatingToChangesInRevaluationSurplusOfOtherComprehensiveIncome</t>
  </si>
  <si>
    <t>full_ifrs-cor_2015-03-11.xsd#ifrs-full_IncomeTaxRelatingToRemeasurementsOfDefinedBenefitPlansOfOtherComprehensiveIncome</t>
  </si>
  <si>
    <t>full_ifrs-cor_2015-03-11.xsd#ifrs-full_IncomeTaxRelatingToInvestmentsInEquityInstrumentsOfOtherComprehensiveIncome</t>
  </si>
  <si>
    <t>full_ifrs-cor_2015-03-11.xsd#ifrs-full_IncomeTaxRelatingToHedgesOfNetInvestmentsInForeignOperationsOfOtherComprehensiveIncome</t>
  </si>
  <si>
    <t>full_ifrs-cor_2015-03-11.xsd#ifrs-full_IncomeTaxRelatingToChangesInFairValueOfFinancialLiabilityAttributableToChangeInCreditRiskOfLiabilityOfOtherComprehensiveIncome</t>
  </si>
  <si>
    <t>full_ifrs-cor_2015-03-11.xsd#ifrs-full_IncomeTaxRelatingToHedgesOfInvestmentsInEquityInstrumentsOfOtherComprehensiveIncome</t>
  </si>
  <si>
    <t>full_ifrs-cor_2015-03-11.xsd#ifrs-full_IncomeTaxRelatingToChangeInValueOfTimeValueOfOptionsOfOtherComprehensiveIncome</t>
  </si>
  <si>
    <t>full_ifrs-cor_2015-03-11.xsd#ifrs-full_IncomeTaxRelatingToChangeInValueOfForwardElementsOfForwardContractsOfOtherComprehensiveIncome</t>
  </si>
  <si>
    <t>full_ifrs-cor_2015-03-11.xsd#ifrs-full_IncomeTaxRelatingToChangeInValueOfForeignCurrencyBasisSpreadsOfOtherComprehensiveIncome</t>
  </si>
  <si>
    <t>full_ifrs-cor_2015-03-11.xsd#ifrs-full_IncomeTaxRelatingToComponentsOfOtherComprehensiveIncome</t>
  </si>
  <si>
    <t>full_ifrs-cor_2015-03-11.xsd#ifrs-full_IncomeTaxRelatingToShareOfOtherComprehensiveIncomeOfAssociatesAndJointVenturesAccountedForUsingEquityMethod</t>
  </si>
  <si>
    <t>full_ifrs-cor_2015-03-11.xsd#ifrs-full_TaxExpenseRelatingToGainLossOnDiscontinuance</t>
  </si>
  <si>
    <t>full_ifrs-cor_2015-03-11.xsd#ifrs-full_TaxExpenseRelatingToProfitLossFromOrdinaryActivitiesOfDiscontinuedOperations</t>
  </si>
  <si>
    <t>full_ifrs-cor_2015-03-11.xsd#ifrs-full_ExplanationOfChangesInApplicableTaxRatesToPreviousAccountingPeriod</t>
  </si>
  <si>
    <t>full_ifrs-cor_2015-03-11.xsd#ifrs-full_DescriptionOfExpiryDateOfTemporaryDifferencesUnusedTaxLossesAndUnusedTaxCredits</t>
  </si>
  <si>
    <t>full_ifrs-cor_2015-03-11.xsd#ifrs-full_DeductibleTemporaryDifferencesForWhichNoDeferredTaxAssetIsRecognised</t>
  </si>
  <si>
    <t>full_ifrs-cor_2015-03-11.xsd#ifrs-full_UnusedTaxLossesForWhichNoDeferredTaxAssetRecognised</t>
  </si>
  <si>
    <t>full_ifrs-cor_2015-03-11.xsd#ifrs-full_UnusedTaxCreditsForWhichNoDeferredTaxAssetRecognised</t>
  </si>
  <si>
    <t>full_ifrs-cor_2015-03-11.xsd#ifrs-full_TemporaryDifferencesAssociatedWithInvestmentsInSubsidiariesBranchesAndAssociatesAndInterestsInJointVentures</t>
  </si>
  <si>
    <t>full_ifrs-cor_2015-03-11.xsd#ifrs-full_DisclosureOfTemporaryDifferenceUnusedTaxLossesAndUnusedTaxCreditsExplanatory</t>
  </si>
  <si>
    <t>full_ifrs-cor_2015-03-11.xsd#ifrs-full_IncomeTaxConsequencesOfDividendsProposedOrDeclaredBeforeFinancialStatementsAuthorisedForIssueNotRecognisedAsLiability</t>
  </si>
  <si>
    <t>full_ifrs-cor_2015-03-11.xsd#ifrs-full_ChangeInAmountRecognisedForPreacquisitionDeferredTaxAsset</t>
  </si>
  <si>
    <t>full_ifrs-cor_2015-03-11.xsd#ifrs-full_DescriptionOfEventOrChangeInCircumstancesThatCausedRecognitionOfDeferredTaxBenefitsAcquiredInBusinessCombinationAfterAcquisitionDate</t>
  </si>
  <si>
    <t>full_ifrs-cor_2015-03-11.xsd#ifrs-full_DisclosureOfEvidenceSupportingRecognitionOfDeferredTaxAssetsDependentOnFutureTaxableProfitsAndEntityHasSufferedALossInCurrentOrPrecedingPeriodExplanatory</t>
  </si>
  <si>
    <t>full_ifrs-cor_2015-03-11.xsd#ifrs-full_DeferredTaxAssetWhenUtilisationIsDependentOnFutureTaxableProfitsInExcessOfProfitsFromReversalOfTaxableTemporaryDifferencesAndEntityHasSufferedLossInJurisdictionToWhichDeferredTaxAssetRelates</t>
  </si>
  <si>
    <t>full_ifrs-cor_2015-03-11.xsd#ifrs-full_DisclosureOfNatureOfPotentialIncomeTaxConsequencesThatWouldResultFromPaymentOfDividendExplanatory</t>
  </si>
  <si>
    <t>full_ifrs-cor_2015-03-11.xsd#ifrs-full_DisclosureOfAmountsOfPotentialIncomeTaxConsequencesPracticablyDeterminableExplanatory</t>
  </si>
  <si>
    <t>full_ifrs-cor_2015-03-11.xsd#ifrs-full_DescriptionOfWhetherThereArePotentialIncomeTaxConsequencesNotPracticablyDeterminable</t>
  </si>
  <si>
    <t>full_ifrs-cor_2015-03-11.xsd#ifrs-full_AccountingProfit</t>
  </si>
  <si>
    <t>full_ifrs-cor_2015-03-11.xsd#ifrs-full_TaxExpenseIncomeAtApplicableTaxRate</t>
  </si>
  <si>
    <t>full_ifrs-cor_2015-03-11.xsd#ifrs-full_TaxEffectOfRevenuesExemptFromTaxation2011</t>
  </si>
  <si>
    <t>full_ifrs-cor_2015-03-11.xsd#ifrs-full_TaxEffectOfExpenseNotDeductibleInDeterminingTaxableProfitTaxLoss</t>
  </si>
  <si>
    <t>full_ifrs-cor_2015-03-11.xsd#ifrs-full_TaxEffectOfImpairmentOfGoodwill</t>
  </si>
  <si>
    <t>full_ifrs-cor_2015-03-11.xsd#ifrs-full_TaxEffectOfTaxLosses</t>
  </si>
  <si>
    <t>full_ifrs-cor_2015-03-11.xsd#ifrs-full_TaxEffectOfForeignTaxRates</t>
  </si>
  <si>
    <t>full_ifrs-cor_2015-03-11.xsd#ifrs-full_TaxEffectFromChangeInTaxRate</t>
  </si>
  <si>
    <t>full_ifrs-cor_2015-03-11.xsd#ifrs-full_OtherTaxEffectsForReconciliationBetweenAccountingProfitAndTaxExpenseIncome</t>
  </si>
  <si>
    <t>full_ifrs-cor_2015-03-11.xsd#ifrs-full_ReconciliationOfAverageEffectiveTaxRateAndApplicableTaxRateAbstract</t>
  </si>
  <si>
    <t>full_ifrs-cor_2015-03-11.xsd#ifrs-full_ApplicableTaxRate</t>
  </si>
  <si>
    <t>full_ifrs-cor_2015-03-11.xsd#ifrs-full_TaxRateEffectOfRevenuesExemptFromTaxation</t>
  </si>
  <si>
    <t>full_ifrs-cor_2015-03-11.xsd#ifrs-full_TaxRateEffectOfExpenseNotDeductibleInDeterminingTaxableProfitTaxLoss</t>
  </si>
  <si>
    <t>full_ifrs-cor_2015-03-11.xsd#ifrs-full_TaxRateEffectOfImpairmentOfGoodwill</t>
  </si>
  <si>
    <t>full_ifrs-cor_2015-03-11.xsd#ifrs-full_TaxRateEffectOfTaxLosses</t>
  </si>
  <si>
    <t>full_ifrs-cor_2015-03-11.xsd#ifrs-full_TaxRateEffectOfForeignTaxRates</t>
  </si>
  <si>
    <t>full_ifrs-cor_2015-03-11.xsd#ifrs-full_TaxRateEffectFromChangeInTaxRate</t>
  </si>
  <si>
    <t>full_ifrs-cor_2015-03-11.xsd#ifrs-full_TaxRateEffectOfAdjustmentsForCurrentTaxOfPriorPeriods</t>
  </si>
  <si>
    <t>full_ifrs-cor_2015-03-11.xsd#ifrs-full_OtherTaxRateEffectsForReconciliationBetweenAccountingProfitAndTaxExpenseIncome</t>
  </si>
  <si>
    <t>full_ifrs-cor_2015-03-11.xsd#ifrs-full_AverageEffectiveTaxRate</t>
  </si>
  <si>
    <t>full_ifrs-cor_2015-03-11.xsd#ifrs-full_AllowanceForCreditLossesMember</t>
  </si>
  <si>
    <t>full_ifrs-cor_2015-03-11.xsd#ifrs-full_UnrealisedForeignExchangeGainsLossesMember</t>
  </si>
  <si>
    <t>full_ifrs-cor_2015-03-11.xsd#ifrs-full_OtherTemporaryDifferencesMember</t>
  </si>
  <si>
    <t>full_ifrs-cor_2015-03-11.xsd#ifrs-full_TemporaryDifferenceMember</t>
  </si>
  <si>
    <t>full_ifrs-cor_2015-03-11.xsd#ifrs-full_UnusedTaxLossesMember</t>
  </si>
  <si>
    <t>full_ifrs-cor_2015-03-11.xsd#ifrs-full_UnusedTaxCreditsMember</t>
  </si>
  <si>
    <t>full_ifrs-cor_2015-03-11.xsd#ifrs-full_TemporaryDifferenceUnusedTaxLossesAndUnusedTaxCreditsMember</t>
  </si>
  <si>
    <t>full_ifrs-cor_2015-03-11.xsd#ifrs-full_DeferredTaxLiabilityAsset</t>
  </si>
  <si>
    <t>full_ifrs-cor_2015-03-11.xsd#ifrs-full_NetDeferredTaxAssets</t>
  </si>
  <si>
    <t>full_ifrs-cor_2015-03-11.xsd#ifrs-full_NetDeferredTaxLiabilities</t>
  </si>
  <si>
    <t>full_ifrs-cor_2015-03-11.xsd#ifrs-full_DeferredTaxExpenseIncome</t>
  </si>
  <si>
    <t>full_ifrs-cor_2015-03-11.xsd#ifrs-full_DeferredTaxExpenseIncomeRecognisedInProfitOrLoss</t>
  </si>
  <si>
    <t>full_ifrs-cor_2015-03-11.xsd#ifrs-full_IncreaseDecreaseThroughBusinessCombinationsDeferredTaxLiabilityAsset</t>
  </si>
  <si>
    <t>full_ifrs-cor_2015-03-11.xsd#ifrs-full_IncreaseDecreaseThroughLossOfControlOfSubsidiaryDeferredTaxLiabilityAsset</t>
  </si>
  <si>
    <t>full_ifrs-cor_2015-03-11.xsd#ifrs-full_IncreaseDecreaseThroughNetExchangeDifferencesDeferredTaxLiabilityAsset</t>
  </si>
  <si>
    <t>full_ifrs-cor_2015-03-11.xsd#ifrs-full_IncreaseDecreaseInDeferredTaxLiabilityAsset</t>
  </si>
  <si>
    <t>cl-ci_cor_2016-01-11.xsd#cl-ci_ActivoImpuestosDiferidos</t>
  </si>
  <si>
    <t>cl-ci_cor_2016-01-11.xsd#cl-ci_PasivoImpuestosDiferidos</t>
  </si>
  <si>
    <t>DIMENUE</t>
  </si>
  <si>
    <t>DIMEAVA</t>
  </si>
  <si>
    <t>full_ifrs-cor_2015-03-11.xsd#ifrs-full_TemporaryDifferenceUnusedTaxLossesAndUnusedTaxCreditsAxis</t>
  </si>
  <si>
    <t>full_ifrs-cor_2015-03-11.xsd#ifrs-full_DisclosureOfTemporaryDifferenceUnusedTaxLossesAndUnusedTaxCreditsTable</t>
  </si>
  <si>
    <t>Impuesto a las ganancias relacionado con activos financieros medidos al valor razonable con cambios en otro resultado integral [Número]</t>
  </si>
  <si>
    <t>cl-ci_cor_2019-01-02.xsd#cl-ci_PrincipalesComponentesDelGastoIngresoPorImpuestosTabla</t>
  </si>
  <si>
    <t>cl-ci_cor_2019-01-02.xsd#cl-ci_PrincipalesComponentesDelGastoIngresoPorImpuestosEje</t>
  </si>
  <si>
    <t>cl-ci_cor_2019-01-02.xsd#cl-ci_PrincipalesComponentesDelGastoIngresoPorImpuestosMiembro</t>
  </si>
  <si>
    <t>Principales componentes del gasto (ingreso) por impuestos [miembro]</t>
  </si>
  <si>
    <t xml:space="preserve">Gasto (ingreso) por impuestos corriente y ajustes por impuestos corrientes de periodos anteriores [resumen]  </t>
  </si>
  <si>
    <t>Gasto (ingreso) por impuesto corriente  [Número]</t>
  </si>
  <si>
    <t>Ajustes por impuestos corrientes de periodos anteriores  [Número]</t>
  </si>
  <si>
    <t>Gasto (ingreso) por impuestos corriente y ajustes por impuestos corrientes de periodos anteriores  [Número]</t>
  </si>
  <si>
    <t>Gasto (ingreso) por impuestos diferidos relacionado con el nacimiento y reversión de diferencias temporarias  [Número]</t>
  </si>
  <si>
    <t>Gasto (ingreso) por impuestos diferidos relacionado con cambios en las tasas fiscales o con la imposición de nuevos impuestos  [Número]</t>
  </si>
  <si>
    <t>Beneficios de carácter fiscal, procedentes de pérdidas fiscales, créditos fiscales o diferencias temporarias no reconocidos en periodos anteriores utilizadas para reducir el gasto por impuestos del periodo corriente  [Número]</t>
  </si>
  <si>
    <t>Beneficios de carácter fiscal, procedentes de pérdidas fiscales, créditos fiscales o diferencias temporarias no reconocidos en periodos anteriores utilizadas para reducir el gasto por impuestos diferido  [Número]</t>
  </si>
  <si>
    <t>Gasto por impuestos diferidos surgido de la baja o la reversión de la baja de activos por impuestos diferidos  [Número]</t>
  </si>
  <si>
    <t>Gasto (ingreso) por impuestos relacionado con cambios en políticas contables y errores incluidos en el resultado del periodo  [Número]</t>
  </si>
  <si>
    <t>Ajustes por impuestos diferidos de periodos anteriores  [Número]</t>
  </si>
  <si>
    <t>Otros componentes del gasto (ingreso) por impuestos diferido  [Número]</t>
  </si>
  <si>
    <t>Gasto por impuestos a las ganancias, operaciones continuadas  [Número]</t>
  </si>
  <si>
    <t>Principales componentes del gasto (ingreso) por impuestos [tabla]</t>
  </si>
  <si>
    <t>Periodo Anterior</t>
  </si>
  <si>
    <t>Periodo Actual</t>
  </si>
  <si>
    <t>cl-ci_cor_2019-01-02.xsd#cl-ci_ImpuestosCorrientesYDiferidosRelativosAPartidasCargadasOAcreditadasDirectamenteAPatrimonioTabla</t>
  </si>
  <si>
    <t>Impuestos corrientes y diferidos, relativos a partidas cargadas o acreditadas directamente a patrimonio [tabla]</t>
  </si>
  <si>
    <t>Impuestos corrientes y diferidos, relativos a partidas cargadas o acreditadas directamente a patrimonio [miembro]</t>
  </si>
  <si>
    <t>cl-ci_cor_2019-01-02.xsd#cl-ci_ImpuestosCorrientesYDiferidosRelativosAPartidasCargadasOAcreditadasDirectamenteAPatrimonioMiembro</t>
  </si>
  <si>
    <t>cl-ci_cor_2019-01-02.xsd#cl-ci_ImpuestosCorrientesYDiferidosRelativosAPartidasCargadasOAcreditadasDirectamenteAPatrimonioEje</t>
  </si>
  <si>
    <t>Impuestos corrientes relacionados con partidas acreditadas (cargadas) directamente a patrimonio  [Número]</t>
  </si>
  <si>
    <t>Impuestos diferidos relacionados con partidas acreditadas (cargadas) directamente a patrimonio  [Número]</t>
  </si>
  <si>
    <t>Impuestos corrientes y diferidos relacionados con partidas acreditadas (cargadas) directamente a patrimonio  [Número]</t>
  </si>
  <si>
    <t>Impuestos corrientes y diferidos, relativos a partidas cargadas o acreditadas directamente a patrimonio [partidas]</t>
  </si>
  <si>
    <t>Impuesto a las ganancias relacionado con otro resultado integral [tabla]</t>
  </si>
  <si>
    <t>Impuesto a las ganancias relacionado con diferencias de cambio de conversión de otro resultado integral  [Número]</t>
  </si>
  <si>
    <t>Impuesto a las ganancias relacionadas con activos financieros disponibles para la venta de otro resultado integral  [Número]</t>
  </si>
  <si>
    <t>Impuesto a las ganancias relacionado con coberturas de flujos de efectivo de otro resultado integral  [Número]</t>
  </si>
  <si>
    <t>Impuesto a las ganancias relacionado con cambios en el superávit de revaluación de otro resultado integral  [Número]</t>
  </si>
  <si>
    <t>Impuesto a las ganancias relativo a nuevas mediciones de planes de beneficios definidos de otro resultado integral  [Número]</t>
  </si>
  <si>
    <t>Impuesto a las ganancias relativos a inversiones en instrumentos de patrimonio de otro resultado integral  [Número]</t>
  </si>
  <si>
    <t>Impuesto a las ganancias relativos a coberturas de inversiones netas en negocios en el extranjero de otro resultado integral  [Número]</t>
  </si>
  <si>
    <t>Impuesto a las ganancias relacionado con cambios en el valor razonable de pasivos financieros atribuibles a cambios en el riesgo de crédito del pasivo de otro resultado integral  [Número]</t>
  </si>
  <si>
    <t>Impuesto a las ganancias relacionado con cambios en el valor temporal del dinero de opciones de otro resultado integral [Número]</t>
  </si>
  <si>
    <t>Impuesto a las ganancias relacionado con cambios en el valor de los elementos a término de contratos a término de otro resultado integral [Número]</t>
  </si>
  <si>
    <t>Impuesto a las ganancias relacionado con componentes de otro resultado integral  [Número]</t>
  </si>
  <si>
    <t>Impuesto a las ganancias relacionados con coberturas de inversiones en instrumentos de patrimonio de otro resultado integral [Número]</t>
  </si>
  <si>
    <t>Impuesto a las ganancias relacionado con otro resultado integral [partidas]</t>
  </si>
  <si>
    <t>Principales componentes del gasto (ingreso) por impuestos [partidas]</t>
  </si>
  <si>
    <t>cl-ci_cor_2019-01-02.xsd#cl-ci_ConciliacionGananciaContableMultiplicadaPorTasasImpositivasAplicablesTabla</t>
  </si>
  <si>
    <t>cl-ci_cor_2019-01-02.xsd#cl-ci_ConciliacionGananciaContableMultiplicadaPorTasasImpositivasAplicablesEje</t>
  </si>
  <si>
    <t>cl-ci_cor_2019-01-02.xsd#cl-ci_ConciliacionGananciaContableMultiplicadaPorTasasImpositivasAplicablesMiembro</t>
  </si>
  <si>
    <t>Conciliación de la ganancia contable multiplicada por las tasas impositivas aplicables [miembro]</t>
  </si>
  <si>
    <t>Conciliación de la ganancia contable multiplicada por las tasas impositivas aplicables [tabla]</t>
  </si>
  <si>
    <t>Ganancia contable  [Número]</t>
  </si>
  <si>
    <t>Total de gasto (ingreso) por impuestos a la tasa impositiva aplicable  [Número]</t>
  </si>
  <si>
    <t>Efecto fiscal de ingresos de actividades ordinarias exentos de tributación  [Número]</t>
  </si>
  <si>
    <t>Efecto fiscal de gastos no deducibles para la determinación de la ganancia (pérdida) tributable  [Número]</t>
  </si>
  <si>
    <t>Efecto fiscal del deterioro del valor de la plusvalía  [Número]</t>
  </si>
  <si>
    <t>Efecto fiscal de pérdidas fiscales  [Número]</t>
  </si>
  <si>
    <t>Efecto fiscal de tasas impositivas soportadas en el extranjero  [Número]</t>
  </si>
  <si>
    <t>Efecto fiscal procedente de cambios en las tasas impositivas  [Número]</t>
  </si>
  <si>
    <t>Otros efectos fiscales por conciliación entre la ganancia contable y gasto por impuestos (ingreso)  [Número]</t>
  </si>
  <si>
    <t>Conciliación de la ganancia contable multiplicada por las tasas impositivas aplicables [partidas]</t>
  </si>
  <si>
    <t>cl-ci_cor_2019-01-02.xsd#cl-ci_ConciliacionTasaImpositivaMediaEfectivaYTasaImpositivaAplicableTabla</t>
  </si>
  <si>
    <t>cl-ci_cor_2019-01-02.xsd#cl-ci_ConciliacionTasaImpositivaMediaEfectivaYTasaImpositivaAplicableEje</t>
  </si>
  <si>
    <t>Conciliación de la tasa impositiva media efectiva y la tasa impositiva aplicable [miembro]</t>
  </si>
  <si>
    <t>Tasa impositiva aplicable  [Decimal entre 0 y 1]</t>
  </si>
  <si>
    <t>Efecto de la tasa impositiva de ingresos de actividades ordinarias exentos de tributación  [Decimal entre 0 y 1]</t>
  </si>
  <si>
    <t>Efecto de la tasa impositiva de gastos no deducibles para la determinación de la ganancia (pérdida) tributable  [Decimal entre 0 y 1]</t>
  </si>
  <si>
    <t>Efecto en la tasa impositiva del deterioro del valor de la plusvalía  [Decimal entre 0 y 1]</t>
  </si>
  <si>
    <t>Efecto de la tasa impositiva de pérdidas fiscales  [Decimal entre 0 y 1]</t>
  </si>
  <si>
    <t>Efecto de la tasa impositiva de tasas impositivas soportadas en el extranjero  [Decimal entre 0 y 1]</t>
  </si>
  <si>
    <t>Efecto de la tasa impositiva procedente de cambios en la tasa impositiva  [Decimal entre 0 y 1]</t>
  </si>
  <si>
    <t>Efecto de la tasa impositiva de ajustes a impuestos corrientes de periodos anteriores  [Decimal entre 0 y 1]</t>
  </si>
  <si>
    <t>Otros efectos de la tasa impositiva por conciliación entre la ganancia contable y gasto por impuestos (ingreso)  [Decimal entre 0 y 1]</t>
  </si>
  <si>
    <t>Tasa impositiva media efectiva  [Decimal entre 0 y 1]</t>
  </si>
  <si>
    <t>Conciliación de la tasa impositiva media efectiva y la tasa impositiva aplicable [tabla]</t>
  </si>
  <si>
    <t>cl-ci_cor_2019-01-02.xsd#cl-ci_ImpuestoGananciasRelacionadoOtroResultadoIntegralTabla</t>
  </si>
  <si>
    <t>cl-ci_cor_2019-01-02.xsd#cl-ci_ImpuestoGananciasRelacionadoOtroResultadoIntegralEje</t>
  </si>
  <si>
    <t>cl-ci_cor_2019-01-02.xsd#cl-ci_ImpuestoGananciasRelacionadoOtroResultadoIntegralMiembro</t>
  </si>
  <si>
    <t>Diferencia 1</t>
  </si>
  <si>
    <t>Diferencia 2</t>
  </si>
  <si>
    <t>Credito 1</t>
  </si>
  <si>
    <t>Credito 2</t>
  </si>
  <si>
    <t>Perdidas 1</t>
  </si>
  <si>
    <t>Perdidas 2</t>
  </si>
  <si>
    <t xml:space="preserve">              Pasivo (activo) por impuestos diferidos [Número]</t>
  </si>
  <si>
    <t xml:space="preserve">              Pasivo (activo) por impuestos diferidos - Saldo Inicial [Número]</t>
  </si>
  <si>
    <t xml:space="preserve">              Pasivo (activo) por impuestos diferidos - Saldo Inicial   [Número]</t>
  </si>
  <si>
    <t>12.0</t>
  </si>
  <si>
    <t>full_ifrs-cor_2021-03-24.xsd#ifrs-full_IncomeTaxRelatingToExchangeDifferencesOnTranslationOtherThanTranslationOfForeignOperationsIncludedInOtherComprehensiveIncome</t>
  </si>
  <si>
    <t>Impuesto a las ganancias relativo a diferencias de cambio distintas a las diferencias por conversión incluidas en otro resultado integral  [Número]</t>
  </si>
  <si>
    <t>pre_cl-ci_ias-12_2021-03-24_role-835110</t>
  </si>
  <si>
    <t>ppre_cl-ci_ias-12_2021-03-24_role-835110</t>
  </si>
  <si>
    <t>A</t>
  </si>
  <si>
    <t>B</t>
  </si>
  <si>
    <t>C</t>
  </si>
  <si>
    <t>D</t>
  </si>
  <si>
    <t>E</t>
  </si>
  <si>
    <t>F</t>
  </si>
  <si>
    <t>G</t>
  </si>
  <si>
    <t>H</t>
  </si>
  <si>
    <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</si>
</sst>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25">
    <font>
      <sz val="11"/>
      <color theme="1"/>
      <name val="Calibri"/>
      <family val="2"/>
      <scheme val="minor"/>
    </font>
    <font>
      <sz val="8"/>
      <name val="ＭＳ Ｐゴシック"/>
      <family val="3"/>
      <charset val="128"/>
    </font>
    <font>
      <sz val="9"/>
      <name val="Calibri"/>
      <family val="2"/>
      <scheme val="minor"/>
    </font>
    <font>
      <sz val="9"/>
      <name val="Verdana"/>
      <family val="2"/>
    </font>
    <font>
      <b/>
      <sz val="9"/>
      <name val="Verdana"/>
      <family val="2"/>
    </font>
    <font>
      <sz val="11"/>
      <color indexed="9"/>
      <name val="Czcionka tekstu podstawowego"/>
      <family val="2"/>
      <charset val="238"/>
    </font>
    <font>
      <sz val="9"/>
      <color rgb="FFFF0000"/>
      <name val="Verdana"/>
      <family val="2"/>
    </font>
    <font>
      <sz val="9"/>
      <color indexed="9"/>
      <name val="Verdana"/>
      <family val="2"/>
    </font>
    <font>
      <b/>
      <sz val="9"/>
      <color indexed="9"/>
      <name val="Verdana"/>
      <family val="2"/>
    </font>
    <font>
      <b/>
      <sz val="9"/>
      <color rgb="FFFF0000"/>
      <name val="Verdana"/>
      <family val="2"/>
    </font>
    <font>
      <sz val="11"/>
      <name val="Calibri"/>
      <family val="2"/>
      <scheme val="minor"/>
    </font>
    <font>
      <sz val="9"/>
      <color theme="1"/>
      <name val="Verdana"/>
      <family val="2"/>
    </font>
    <font>
      <b/>
      <sz val="18"/>
      <name val="Calibri"/>
      <family val="2"/>
      <scheme val="minor"/>
    </font>
    <font>
      <sz val="10"/>
      <name val="Calibri"/>
      <family val="2"/>
    </font>
    <font>
      <sz val="10"/>
      <color indexed="10"/>
      <name val="Calibri"/>
      <family val="2"/>
    </font>
    <font>
      <b/>
      <sz val="10"/>
      <color indexed="10"/>
      <name val="Calibri"/>
      <family val="2"/>
    </font>
    <font>
      <b/>
      <sz val="10"/>
      <name val="Calibri"/>
      <family val="2"/>
    </font>
    <font>
      <u/>
      <sz val="11"/>
      <color theme="10"/>
      <name val="Calibri"/>
      <family val="2"/>
      <scheme val="minor"/>
    </font>
    <font>
      <sz val="8"/>
      <color indexed="81"/>
      <name val="Tahoma"/>
      <family val="2"/>
    </font>
    <font>
      <b/>
      <sz val="8"/>
      <color indexed="81"/>
      <name val="Tahoma"/>
      <family val="2"/>
    </font>
    <font>
      <b/>
      <sz val="9"/>
      <color indexed="9"/>
      <name val="Calibri"/>
      <family val="2"/>
      <scheme val="minor"/>
    </font>
    <font>
      <b/>
      <sz val="9"/>
      <color theme="1"/>
      <name val="Calibri"/>
      <family val="2"/>
      <scheme val="minor"/>
    </font>
    <font>
      <b/>
      <sz val="12"/>
      <name val="Calibri"/>
      <family val="2"/>
      <scheme val="minor"/>
    </font>
    <font>
      <sz val="9"/>
      <color indexed="81"/>
      <name val="Tahoma"/>
      <family val="2"/>
    </font>
    <font>
      <b/>
      <sz val="9"/>
      <color indexed="81"/>
      <name val="Tahoma"/>
      <family val="2"/>
    </font>
  </fonts>
  <fills count="17">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rgb="FFFFC000"/>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4" tint="0.59996337778862885"/>
        <bgColor indexed="64"/>
      </patternFill>
    </fill>
    <fill>
      <patternFill patternType="solid">
        <fgColor rgb="FFFFFFCC"/>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399975585192419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Dashed">
        <color rgb="FFFF0000"/>
      </left>
      <right style="mediumDashed">
        <color rgb="FFFF0000"/>
      </right>
      <top style="mediumDashed">
        <color rgb="FFFF0000"/>
      </top>
      <bottom style="thin">
        <color indexed="64"/>
      </bottom>
      <diagonal/>
    </border>
    <border>
      <left style="mediumDashed">
        <color rgb="FFFF0000"/>
      </left>
      <right style="mediumDashed">
        <color rgb="FFFF0000"/>
      </right>
      <top style="thin">
        <color indexed="64"/>
      </top>
      <bottom style="thin">
        <color indexed="64"/>
      </bottom>
      <diagonal/>
    </border>
    <border>
      <left style="mediumDashed">
        <color rgb="FFFF0000"/>
      </left>
      <right style="mediumDashed">
        <color rgb="FFFF0000"/>
      </right>
      <top style="thin">
        <color indexed="64"/>
      </top>
      <bottom/>
      <diagonal/>
    </border>
    <border>
      <left style="medium">
        <color indexed="64"/>
      </left>
      <right style="medium">
        <color indexed="64"/>
      </right>
      <top style="medium">
        <color indexed="64"/>
      </top>
      <bottom style="medium">
        <color indexed="64"/>
      </bottom>
      <diagonal/>
    </border>
    <border>
      <left style="mediumDashed">
        <color rgb="FFFF0000"/>
      </left>
      <right style="mediumDashed">
        <color rgb="FFFF0000"/>
      </right>
      <top/>
      <bottom/>
      <diagonal/>
    </border>
    <border>
      <left/>
      <right style="medium">
        <color indexed="64"/>
      </right>
      <top style="medium">
        <color indexed="64"/>
      </top>
      <bottom style="medium">
        <color indexed="64"/>
      </bottom>
      <diagonal/>
    </border>
    <border>
      <left/>
      <right style="mediumDashed">
        <color rgb="FFFF0000"/>
      </right>
      <top/>
      <bottom style="thin">
        <color indexed="64"/>
      </bottom>
      <diagonal/>
    </border>
    <border>
      <left/>
      <right style="mediumDashed">
        <color rgb="FFFF0000"/>
      </right>
      <top/>
      <bottom/>
      <diagonal/>
    </border>
    <border>
      <left/>
      <right style="mediumDashed">
        <color rgb="FFFF0000"/>
      </right>
      <top style="thin">
        <color indexed="64"/>
      </top>
      <bottom/>
      <diagonal/>
    </border>
    <border>
      <left style="mediumDashed">
        <color rgb="FFFF0000"/>
      </left>
      <right style="mediumDashed">
        <color rgb="FFFF0000"/>
      </right>
      <top style="thin">
        <color indexed="64"/>
      </top>
      <bottom style="mediumDashed">
        <color rgb="FFFF0000"/>
      </bottom>
      <diagonal/>
    </border>
  </borders>
  <cellStyleXfs count="6">
    <xf numFmtId="0" fontId="0" fillId="0" borderId="0"/>
    <xf numFmtId="0" fontId="1" fillId="0" borderId="0" applyNumberFormat="0" applyFill="0" applyBorder="0">
      <alignment vertical="center"/>
    </xf>
    <xf numFmtId="0" fontId="5" fillId="4" borderId="0" applyNumberFormat="0" applyBorder="0" applyAlignment="0" applyProtection="0"/>
    <xf numFmtId="0" fontId="1" fillId="0" borderId="0" applyNumberFormat="0" applyFill="0" applyBorder="0">
      <alignment vertical="center"/>
    </xf>
    <xf numFmtId="0" fontId="17" fillId="0" borderId="0" applyNumberFormat="0" applyFill="0" applyBorder="0" applyAlignment="0" applyProtection="0"/>
    <xf numFmtId="0" fontId="1" fillId="0" borderId="0" applyNumberFormat="0" applyFill="0" applyBorder="0">
      <alignment vertical="center"/>
    </xf>
  </cellStyleXfs>
  <cellXfs count="150">
    <xf numFmtId="0" fontId="0" fillId="0" borderId="0" xfId="0"/>
    <xf numFmtId="3" fontId="2" fillId="2" borderId="0" xfId="1" applyNumberFormat="1" applyFont="1" applyFill="1" applyBorder="1">
      <alignment vertical="center"/>
    </xf>
    <xf numFmtId="0" fontId="3" fillId="2" borderId="0" xfId="0" applyFont="1" applyFill="1" applyBorder="1" applyAlignment="1">
      <alignment horizontal="left" vertical="center" indent="3"/>
    </xf>
    <xf numFmtId="0" fontId="4" fillId="2" borderId="0" xfId="0" applyFont="1" applyFill="1" applyBorder="1" applyAlignment="1">
      <alignment horizontal="left" vertical="center" wrapText="1" indent="3"/>
    </xf>
    <xf numFmtId="3" fontId="2" fillId="3" borderId="1"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6" xfId="1" applyNumberFormat="1" applyFont="1" applyFill="1" applyBorder="1">
      <alignment vertical="center"/>
    </xf>
    <xf numFmtId="3" fontId="2" fillId="2" borderId="7" xfId="1" applyNumberFormat="1" applyFont="1" applyFill="1" applyBorder="1">
      <alignment vertical="center"/>
    </xf>
    <xf numFmtId="3" fontId="2" fillId="2" borderId="8" xfId="1" applyNumberFormat="1" applyFont="1" applyFill="1" applyBorder="1">
      <alignment vertical="center"/>
    </xf>
    <xf numFmtId="3" fontId="2" fillId="2" borderId="9" xfId="1" applyNumberFormat="1" applyFont="1" applyFill="1" applyBorder="1">
      <alignment vertical="center"/>
    </xf>
    <xf numFmtId="0" fontId="3" fillId="2" borderId="9" xfId="0" applyFont="1" applyFill="1" applyBorder="1" applyAlignment="1">
      <alignment horizontal="left" vertical="center" indent="3"/>
    </xf>
    <xf numFmtId="3" fontId="2" fillId="2" borderId="10" xfId="1" applyNumberFormat="1" applyFont="1" applyFill="1" applyBorder="1">
      <alignment vertical="center"/>
    </xf>
    <xf numFmtId="0" fontId="6" fillId="0" borderId="0" xfId="0" applyNumberFormat="1" applyFont="1" applyBorder="1" applyAlignment="1">
      <alignment horizontal="center" vertical="center"/>
    </xf>
    <xf numFmtId="0" fontId="6" fillId="6" borderId="11" xfId="2" applyNumberFormat="1" applyFont="1" applyFill="1" applyBorder="1" applyAlignment="1">
      <alignment horizontal="center" vertical="center" wrapText="1"/>
    </xf>
    <xf numFmtId="0" fontId="6" fillId="6" borderId="13" xfId="2" applyNumberFormat="1" applyFont="1" applyFill="1" applyBorder="1" applyAlignment="1">
      <alignment horizontal="center" vertical="center" wrapText="1"/>
    </xf>
    <xf numFmtId="0" fontId="7" fillId="6" borderId="13" xfId="2" applyNumberFormat="1" applyFont="1" applyFill="1" applyBorder="1" applyAlignment="1">
      <alignment horizontal="center" vertical="center" wrapText="1"/>
    </xf>
    <xf numFmtId="0" fontId="8" fillId="6" borderId="13" xfId="2" applyNumberFormat="1" applyFont="1" applyFill="1" applyBorder="1" applyAlignment="1">
      <alignment horizontal="center" vertical="center" wrapText="1"/>
    </xf>
    <xf numFmtId="0" fontId="9" fillId="7" borderId="14" xfId="2" applyNumberFormat="1" applyFont="1" applyFill="1" applyBorder="1" applyAlignment="1">
      <alignment horizontal="center" vertical="center" wrapText="1"/>
    </xf>
    <xf numFmtId="0" fontId="7" fillId="6" borderId="12" xfId="2" applyNumberFormat="1" applyFont="1" applyFill="1" applyBorder="1" applyAlignment="1">
      <alignment horizontal="center" vertical="center" wrapText="1"/>
    </xf>
    <xf numFmtId="0" fontId="3" fillId="0" borderId="0" xfId="0" applyFont="1" applyAlignment="1">
      <alignment horizontal="center" vertical="center" wrapText="1"/>
    </xf>
    <xf numFmtId="0" fontId="3" fillId="8" borderId="6" xfId="3" applyFont="1" applyFill="1" applyBorder="1">
      <alignment vertical="center"/>
    </xf>
    <xf numFmtId="0" fontId="4" fillId="8" borderId="0" xfId="3" applyFont="1" applyFill="1" applyBorder="1" applyAlignment="1">
      <alignment vertical="center"/>
    </xf>
    <xf numFmtId="0" fontId="3" fillId="8" borderId="0" xfId="3" applyFont="1" applyFill="1" applyBorder="1">
      <alignment vertical="center"/>
    </xf>
    <xf numFmtId="0" fontId="0" fillId="2" borderId="0" xfId="0" applyFill="1"/>
    <xf numFmtId="0" fontId="3" fillId="8" borderId="5" xfId="3" applyFont="1" applyFill="1" applyBorder="1" applyAlignment="1">
      <alignment vertical="center" wrapText="1"/>
    </xf>
    <xf numFmtId="0" fontId="3" fillId="0" borderId="0" xfId="0" applyFont="1" applyAlignment="1"/>
    <xf numFmtId="0" fontId="3" fillId="2" borderId="6" xfId="0" applyFont="1" applyFill="1" applyBorder="1" applyAlignment="1">
      <alignment horizontal="left" vertical="center"/>
    </xf>
    <xf numFmtId="0" fontId="3" fillId="2" borderId="0" xfId="0" applyFont="1" applyFill="1" applyBorder="1" applyAlignment="1">
      <alignment horizontal="left" vertical="center"/>
    </xf>
    <xf numFmtId="0" fontId="3" fillId="2" borderId="0" xfId="2" applyNumberFormat="1" applyFont="1" applyFill="1" applyBorder="1" applyAlignment="1">
      <alignment horizontal="left" vertical="center"/>
    </xf>
    <xf numFmtId="0" fontId="11" fillId="2" borderId="0" xfId="0" applyFont="1" applyFill="1" applyBorder="1" applyAlignment="1">
      <alignment horizontal="left" vertical="center"/>
    </xf>
    <xf numFmtId="3" fontId="3" fillId="3" borderId="12" xfId="0" applyNumberFormat="1" applyFont="1" applyFill="1" applyBorder="1" applyAlignment="1" applyProtection="1"/>
    <xf numFmtId="0" fontId="10" fillId="7" borderId="16" xfId="3" applyFont="1" applyFill="1" applyBorder="1" applyAlignment="1">
      <alignment horizontal="center" vertical="center" wrapText="1"/>
    </xf>
    <xf numFmtId="0" fontId="3" fillId="2" borderId="3" xfId="0" applyFont="1" applyFill="1" applyBorder="1" applyAlignment="1"/>
    <xf numFmtId="0" fontId="3" fillId="2" borderId="4" xfId="0" applyFont="1" applyFill="1" applyBorder="1" applyAlignment="1"/>
    <xf numFmtId="0" fontId="11" fillId="2" borderId="4" xfId="0" applyFont="1" applyFill="1" applyBorder="1" applyAlignment="1"/>
    <xf numFmtId="0" fontId="3" fillId="8" borderId="4" xfId="3" applyFont="1" applyFill="1" applyBorder="1" applyAlignment="1">
      <alignment vertical="center"/>
    </xf>
    <xf numFmtId="0" fontId="4" fillId="8" borderId="4" xfId="3" applyFont="1" applyFill="1" applyBorder="1" applyAlignment="1">
      <alignment vertical="center" wrapText="1"/>
    </xf>
    <xf numFmtId="0" fontId="3" fillId="2" borderId="8" xfId="0" applyFont="1" applyFill="1" applyBorder="1" applyAlignment="1">
      <alignment horizontal="left" vertical="center"/>
    </xf>
    <xf numFmtId="0" fontId="3" fillId="2" borderId="9" xfId="0" applyFont="1" applyFill="1" applyBorder="1" applyAlignment="1">
      <alignment horizontal="left" vertical="center"/>
    </xf>
    <xf numFmtId="0" fontId="3" fillId="2" borderId="12" xfId="0" applyFont="1" applyFill="1" applyBorder="1" applyAlignment="1">
      <alignment horizontal="left" vertical="center"/>
    </xf>
    <xf numFmtId="0" fontId="12" fillId="9" borderId="17" xfId="0" applyFont="1" applyFill="1" applyBorder="1" applyAlignment="1">
      <alignment horizontal="center" vertical="center" wrapText="1"/>
    </xf>
    <xf numFmtId="0" fontId="3" fillId="8" borderId="16" xfId="3" applyFont="1" applyFill="1" applyBorder="1" applyAlignment="1">
      <alignment vertical="center"/>
    </xf>
    <xf numFmtId="0" fontId="3" fillId="2" borderId="18" xfId="0" applyFont="1" applyFill="1" applyBorder="1" applyAlignment="1">
      <alignment horizontal="left" vertical="center"/>
    </xf>
    <xf numFmtId="0" fontId="3" fillId="8" borderId="5" xfId="3" applyFont="1" applyFill="1" applyBorder="1" applyAlignment="1">
      <alignment vertical="center"/>
    </xf>
    <xf numFmtId="0" fontId="3" fillId="2" borderId="10" xfId="0" applyFont="1" applyFill="1" applyBorder="1" applyAlignment="1">
      <alignment horizontal="left" vertical="center"/>
    </xf>
    <xf numFmtId="0" fontId="3" fillId="2" borderId="16" xfId="3" applyFont="1" applyFill="1" applyBorder="1" applyAlignment="1">
      <alignment vertical="center"/>
    </xf>
    <xf numFmtId="3" fontId="3" fillId="10" borderId="12" xfId="0" applyNumberFormat="1" applyFont="1" applyFill="1" applyBorder="1" applyAlignment="1" applyProtection="1"/>
    <xf numFmtId="3" fontId="3" fillId="10" borderId="15" xfId="0" applyNumberFormat="1" applyFont="1" applyFill="1" applyBorder="1" applyAlignment="1" applyProtection="1">
      <protection locked="0"/>
    </xf>
    <xf numFmtId="3" fontId="3" fillId="3" borderId="15" xfId="0" applyNumberFormat="1" applyFont="1" applyFill="1" applyBorder="1" applyAlignment="1" applyProtection="1">
      <protection locked="0"/>
    </xf>
    <xf numFmtId="3" fontId="3" fillId="2" borderId="18" xfId="0" applyNumberFormat="1" applyFont="1" applyFill="1" applyBorder="1" applyAlignment="1">
      <alignment horizontal="left" vertical="center"/>
    </xf>
    <xf numFmtId="3" fontId="3" fillId="2" borderId="0" xfId="0" applyNumberFormat="1" applyFont="1" applyFill="1" applyBorder="1" applyAlignment="1">
      <alignment horizontal="left" vertical="center"/>
    </xf>
    <xf numFmtId="3" fontId="3" fillId="2" borderId="7" xfId="0" applyNumberFormat="1" applyFont="1" applyFill="1" applyBorder="1" applyAlignment="1">
      <alignment horizontal="left" vertical="center"/>
    </xf>
    <xf numFmtId="0" fontId="7" fillId="6" borderId="1" xfId="2" applyNumberFormat="1" applyFont="1" applyFill="1" applyBorder="1" applyAlignment="1">
      <alignment horizontal="center" vertical="center" wrapText="1"/>
    </xf>
    <xf numFmtId="0" fontId="4" fillId="2" borderId="0" xfId="0" applyFont="1" applyFill="1" applyBorder="1" applyAlignment="1">
      <alignment horizontal="left" vertical="center"/>
    </xf>
    <xf numFmtId="0" fontId="3" fillId="2" borderId="0" xfId="0" applyFont="1" applyFill="1" applyBorder="1" applyAlignment="1">
      <alignment horizontal="left" vertical="center" wrapText="1"/>
    </xf>
    <xf numFmtId="3" fontId="3" fillId="3" borderId="1" xfId="0" applyNumberFormat="1" applyFont="1" applyFill="1" applyBorder="1" applyAlignment="1" applyProtection="1"/>
    <xf numFmtId="3" fontId="3" fillId="10" borderId="1" xfId="0" applyNumberFormat="1" applyFont="1" applyFill="1" applyBorder="1" applyAlignment="1" applyProtection="1"/>
    <xf numFmtId="0" fontId="2" fillId="3" borderId="1" xfId="1" applyNumberFormat="1" applyFont="1" applyFill="1" applyBorder="1" applyAlignment="1">
      <alignment horizontal="left" vertical="center"/>
    </xf>
    <xf numFmtId="3" fontId="3" fillId="5" borderId="1" xfId="3" applyNumberFormat="1" applyFont="1" applyFill="1" applyBorder="1" applyAlignment="1">
      <alignment vertical="center"/>
    </xf>
    <xf numFmtId="0" fontId="20" fillId="6" borderId="2" xfId="2" applyFont="1" applyFill="1" applyBorder="1" applyAlignment="1">
      <alignment horizontal="center" vertical="center" wrapText="1"/>
    </xf>
    <xf numFmtId="0" fontId="22" fillId="0" borderId="0" xfId="0" applyFont="1" applyFill="1" applyBorder="1" applyAlignment="1">
      <alignment horizontal="center" vertical="center" wrapText="1"/>
    </xf>
    <xf numFmtId="0" fontId="22" fillId="11" borderId="17" xfId="0" applyFont="1" applyFill="1" applyBorder="1" applyAlignment="1">
      <alignment horizontal="right" vertical="center" wrapText="1"/>
    </xf>
    <xf numFmtId="0" fontId="0" fillId="11" borderId="19" xfId="0" applyFill="1" applyBorder="1" applyAlignment="1">
      <alignment vertical="center"/>
    </xf>
    <xf numFmtId="0" fontId="0" fillId="0" borderId="0" xfId="0" applyFill="1"/>
    <xf numFmtId="3" fontId="3" fillId="2" borderId="0" xfId="1" applyNumberFormat="1" applyFont="1" applyFill="1" applyBorder="1">
      <alignment vertical="center"/>
    </xf>
    <xf numFmtId="3" fontId="3" fillId="3" borderId="1" xfId="1" applyNumberFormat="1" applyFont="1" applyFill="1" applyBorder="1">
      <alignment vertical="center"/>
    </xf>
    <xf numFmtId="0" fontId="3" fillId="8" borderId="4" xfId="3" applyFont="1" applyFill="1" applyBorder="1" applyAlignment="1">
      <alignment horizontal="center" vertical="center"/>
    </xf>
    <xf numFmtId="3" fontId="3" fillId="3" borderId="1" xfId="0" applyNumberFormat="1" applyFont="1" applyFill="1" applyBorder="1" applyAlignment="1">
      <alignment horizontal="left" vertical="center"/>
    </xf>
    <xf numFmtId="0" fontId="3" fillId="2" borderId="7" xfId="0" applyFont="1" applyFill="1" applyBorder="1" applyAlignment="1">
      <alignment horizontal="left" vertical="center"/>
    </xf>
    <xf numFmtId="3" fontId="4" fillId="10" borderId="12" xfId="1" applyNumberFormat="1" applyFont="1" applyFill="1" applyBorder="1">
      <alignment vertical="center"/>
    </xf>
    <xf numFmtId="3" fontId="4" fillId="10" borderId="12" xfId="0" applyNumberFormat="1" applyFont="1" applyFill="1" applyBorder="1" applyAlignment="1" applyProtection="1">
      <alignment vertical="center"/>
      <protection locked="0"/>
    </xf>
    <xf numFmtId="0" fontId="4" fillId="2" borderId="21" xfId="0" applyFont="1" applyFill="1" applyBorder="1" applyAlignment="1">
      <alignment horizontal="left" vertical="center" wrapText="1" indent="3"/>
    </xf>
    <xf numFmtId="0" fontId="3" fillId="2" borderId="21" xfId="0" applyFont="1" applyFill="1" applyBorder="1" applyAlignment="1">
      <alignment horizontal="left" vertical="center" indent="3"/>
    </xf>
    <xf numFmtId="0" fontId="3" fillId="2" borderId="21" xfId="0" applyFont="1" applyFill="1" applyBorder="1" applyAlignment="1">
      <alignment horizontal="left" vertical="center" wrapText="1" indent="3"/>
    </xf>
    <xf numFmtId="0" fontId="4" fillId="2" borderId="21" xfId="0" applyFont="1" applyFill="1" applyBorder="1" applyAlignment="1">
      <alignment horizontal="left" vertical="center" indent="3"/>
    </xf>
    <xf numFmtId="0" fontId="3" fillId="2" borderId="20" xfId="0" applyFont="1" applyFill="1" applyBorder="1" applyAlignment="1">
      <alignment horizontal="left" vertical="center"/>
    </xf>
    <xf numFmtId="0" fontId="4" fillId="2" borderId="21" xfId="0" applyFont="1" applyFill="1" applyBorder="1" applyAlignment="1">
      <alignment horizontal="left" vertical="center"/>
    </xf>
    <xf numFmtId="0" fontId="3" fillId="2" borderId="21" xfId="0" applyFont="1" applyFill="1" applyBorder="1" applyAlignment="1">
      <alignment horizontal="left" vertical="center"/>
    </xf>
    <xf numFmtId="0" fontId="3" fillId="2" borderId="21" xfId="0" applyFont="1" applyFill="1" applyBorder="1" applyAlignment="1">
      <alignment horizontal="left" vertical="center" wrapText="1"/>
    </xf>
    <xf numFmtId="0" fontId="10" fillId="7" borderId="22" xfId="3" applyFont="1" applyFill="1" applyBorder="1" applyAlignment="1">
      <alignment horizontal="center" vertical="center" wrapText="1"/>
    </xf>
    <xf numFmtId="0" fontId="3" fillId="8" borderId="22" xfId="3" applyFont="1" applyFill="1" applyBorder="1" applyAlignment="1">
      <alignment vertical="center"/>
    </xf>
    <xf numFmtId="3" fontId="2" fillId="2" borderId="18" xfId="1" applyNumberFormat="1" applyFont="1" applyFill="1" applyBorder="1">
      <alignment vertical="center"/>
    </xf>
    <xf numFmtId="3" fontId="3" fillId="3" borderId="15" xfId="1" applyNumberFormat="1" applyFont="1" applyFill="1" applyBorder="1">
      <alignment vertical="center"/>
    </xf>
    <xf numFmtId="3" fontId="4" fillId="10" borderId="15" xfId="1" applyNumberFormat="1" applyFont="1" applyFill="1" applyBorder="1">
      <alignment vertical="center"/>
    </xf>
    <xf numFmtId="3" fontId="4" fillId="10" borderId="15" xfId="0" applyNumberFormat="1" applyFont="1" applyFill="1" applyBorder="1" applyAlignment="1" applyProtection="1">
      <alignment vertical="center"/>
      <protection locked="0"/>
    </xf>
    <xf numFmtId="0" fontId="3" fillId="2" borderId="21" xfId="0" applyFont="1" applyFill="1" applyBorder="1" applyAlignment="1">
      <alignment horizontal="left" vertical="center" indent="4"/>
    </xf>
    <xf numFmtId="3" fontId="4" fillId="2" borderId="15" xfId="1" applyNumberFormat="1" applyFont="1" applyFill="1" applyBorder="1">
      <alignment vertical="center"/>
    </xf>
    <xf numFmtId="3" fontId="4" fillId="2" borderId="12" xfId="1" applyNumberFormat="1" applyFont="1" applyFill="1" applyBorder="1">
      <alignment vertical="center"/>
    </xf>
    <xf numFmtId="0" fontId="3" fillId="2" borderId="6" xfId="0" applyFont="1" applyFill="1" applyBorder="1" applyAlignment="1"/>
    <xf numFmtId="0" fontId="3" fillId="2" borderId="0" xfId="0" applyFont="1" applyFill="1" applyBorder="1" applyAlignment="1"/>
    <xf numFmtId="0" fontId="11" fillId="2" borderId="0" xfId="0" applyFont="1" applyFill="1" applyBorder="1" applyAlignment="1"/>
    <xf numFmtId="0" fontId="3" fillId="8" borderId="0" xfId="3" applyFont="1" applyFill="1" applyBorder="1" applyAlignment="1">
      <alignment vertical="center"/>
    </xf>
    <xf numFmtId="0" fontId="3" fillId="8" borderId="18" xfId="3" applyFont="1" applyFill="1" applyBorder="1" applyAlignment="1">
      <alignment vertical="center"/>
    </xf>
    <xf numFmtId="3" fontId="3" fillId="2" borderId="15" xfId="3" applyNumberFormat="1" applyFont="1" applyFill="1" applyBorder="1" applyAlignment="1">
      <alignment vertical="center"/>
    </xf>
    <xf numFmtId="3" fontId="3" fillId="2" borderId="12" xfId="3" applyNumberFormat="1" applyFont="1" applyFill="1" applyBorder="1" applyAlignment="1">
      <alignment vertical="center"/>
    </xf>
    <xf numFmtId="0" fontId="4" fillId="8" borderId="20" xfId="3" applyFont="1" applyFill="1" applyBorder="1" applyAlignment="1">
      <alignment vertical="center" wrapText="1"/>
    </xf>
    <xf numFmtId="0" fontId="3" fillId="8" borderId="21" xfId="3" applyFont="1" applyFill="1" applyBorder="1" applyAlignment="1">
      <alignment vertical="center"/>
    </xf>
    <xf numFmtId="0" fontId="3" fillId="8" borderId="7" xfId="3" applyFont="1" applyFill="1" applyBorder="1" applyAlignment="1">
      <alignment vertical="center"/>
    </xf>
    <xf numFmtId="15" fontId="3" fillId="8" borderId="0" xfId="3" applyNumberFormat="1" applyFont="1" applyFill="1" applyBorder="1">
      <alignment vertical="center"/>
    </xf>
    <xf numFmtId="0" fontId="17" fillId="5" borderId="0" xfId="4" applyFill="1" applyBorder="1" applyAlignment="1">
      <alignment horizontal="left" vertical="center" indent="3"/>
    </xf>
    <xf numFmtId="0" fontId="3" fillId="2" borderId="0" xfId="0" applyFont="1" applyFill="1" applyBorder="1" applyAlignment="1">
      <alignment horizontal="left" vertical="center" wrapText="1" indent="4"/>
    </xf>
    <xf numFmtId="0" fontId="17" fillId="12" borderId="0" xfId="4" applyFill="1" applyBorder="1" applyAlignment="1">
      <alignment horizontal="left" vertical="center" wrapText="1" indent="3"/>
    </xf>
    <xf numFmtId="0" fontId="4" fillId="2" borderId="21" xfId="0" applyFont="1" applyFill="1" applyBorder="1" applyAlignment="1">
      <alignment horizontal="left" vertical="center" wrapText="1"/>
    </xf>
    <xf numFmtId="0" fontId="3" fillId="2" borderId="21" xfId="0" applyFont="1" applyFill="1" applyBorder="1" applyAlignment="1">
      <alignment horizontal="left" vertical="center" wrapText="1" indent="1"/>
    </xf>
    <xf numFmtId="0" fontId="4" fillId="2" borderId="21" xfId="0" applyFont="1" applyFill="1" applyBorder="1" applyAlignment="1">
      <alignment horizontal="left" vertical="center" wrapText="1" indent="2"/>
    </xf>
    <xf numFmtId="0" fontId="4" fillId="2" borderId="21" xfId="0" applyFont="1" applyFill="1" applyBorder="1" applyAlignment="1">
      <alignment horizontal="left" vertical="center" wrapText="1" indent="1"/>
    </xf>
    <xf numFmtId="0" fontId="3" fillId="8" borderId="0" xfId="3" applyFont="1" applyFill="1" applyBorder="1" applyAlignment="1">
      <alignment horizontal="left" vertical="center"/>
    </xf>
    <xf numFmtId="0" fontId="3" fillId="8" borderId="4" xfId="3" applyFont="1" applyFill="1" applyBorder="1" applyAlignment="1">
      <alignment horizontal="left" vertical="center"/>
    </xf>
    <xf numFmtId="0" fontId="4" fillId="8" borderId="21" xfId="3" applyFont="1" applyFill="1" applyBorder="1" applyAlignment="1">
      <alignment horizontal="left" vertical="center" wrapText="1" indent="1"/>
    </xf>
    <xf numFmtId="0" fontId="17" fillId="13" borderId="0" xfId="4" applyFill="1" applyBorder="1" applyAlignment="1">
      <alignment horizontal="left" vertical="center" indent="3"/>
    </xf>
    <xf numFmtId="0" fontId="17" fillId="14" borderId="0" xfId="4" applyFill="1" applyBorder="1" applyAlignment="1">
      <alignment horizontal="left" vertical="center" wrapText="1" indent="3"/>
    </xf>
    <xf numFmtId="164" fontId="3" fillId="3" borderId="12" xfId="1" applyNumberFormat="1" applyFont="1" applyFill="1" applyBorder="1">
      <alignment vertical="center"/>
    </xf>
    <xf numFmtId="164" fontId="4" fillId="10" borderId="12" xfId="1" applyNumberFormat="1" applyFont="1" applyFill="1" applyBorder="1">
      <alignment vertical="center"/>
    </xf>
    <xf numFmtId="3" fontId="2" fillId="2" borderId="21" xfId="1" applyNumberFormat="1" applyFont="1" applyFill="1" applyBorder="1">
      <alignment vertical="center"/>
    </xf>
    <xf numFmtId="164" fontId="3" fillId="3" borderId="15" xfId="1" applyNumberFormat="1" applyFont="1" applyFill="1" applyBorder="1">
      <alignment vertical="center"/>
    </xf>
    <xf numFmtId="164" fontId="4" fillId="10" borderId="15" xfId="1" applyNumberFormat="1" applyFont="1" applyFill="1" applyBorder="1">
      <alignment vertical="center"/>
    </xf>
    <xf numFmtId="0" fontId="17" fillId="11" borderId="0" xfId="4" applyFill="1" applyBorder="1" applyAlignment="1">
      <alignment horizontal="left" vertical="center" wrapText="1" indent="3"/>
    </xf>
    <xf numFmtId="0" fontId="3" fillId="8" borderId="4" xfId="3" applyFont="1" applyFill="1" applyBorder="1" applyAlignment="1">
      <alignment vertical="center" wrapText="1"/>
    </xf>
    <xf numFmtId="3" fontId="3" fillId="10" borderId="13" xfId="0" applyNumberFormat="1" applyFont="1" applyFill="1" applyBorder="1" applyAlignment="1" applyProtection="1"/>
    <xf numFmtId="3" fontId="3" fillId="10" borderId="11" xfId="0" applyNumberFormat="1" applyFont="1" applyFill="1" applyBorder="1" applyAlignment="1" applyProtection="1"/>
    <xf numFmtId="3" fontId="3" fillId="5" borderId="11" xfId="3" applyNumberFormat="1" applyFont="1" applyFill="1" applyBorder="1" applyAlignment="1">
      <alignment vertical="center"/>
    </xf>
    <xf numFmtId="3" fontId="3" fillId="5" borderId="12" xfId="3" applyNumberFormat="1" applyFont="1" applyFill="1" applyBorder="1" applyAlignment="1">
      <alignment vertical="center"/>
    </xf>
    <xf numFmtId="3" fontId="3" fillId="10" borderId="15" xfId="0" applyNumberFormat="1" applyFont="1" applyFill="1" applyBorder="1" applyAlignment="1" applyProtection="1"/>
    <xf numFmtId="3" fontId="3" fillId="5" borderId="15" xfId="3" applyNumberFormat="1" applyFont="1" applyFill="1" applyBorder="1" applyAlignment="1">
      <alignment vertical="center"/>
    </xf>
    <xf numFmtId="0" fontId="0" fillId="0" borderId="18" xfId="0" applyBorder="1"/>
    <xf numFmtId="0" fontId="7" fillId="6" borderId="15" xfId="2" applyNumberFormat="1" applyFont="1" applyFill="1" applyBorder="1" applyAlignment="1">
      <alignment horizontal="center" vertical="center" wrapText="1"/>
    </xf>
    <xf numFmtId="3" fontId="3" fillId="5" borderId="23" xfId="3" applyNumberFormat="1" applyFont="1" applyFill="1" applyBorder="1" applyAlignment="1">
      <alignment vertical="center"/>
    </xf>
    <xf numFmtId="3" fontId="3" fillId="5" borderId="13" xfId="3" applyNumberFormat="1" applyFont="1" applyFill="1" applyBorder="1" applyAlignment="1">
      <alignment vertical="center"/>
    </xf>
    <xf numFmtId="3" fontId="4" fillId="10" borderId="13" xfId="0" applyNumberFormat="1" applyFont="1" applyFill="1" applyBorder="1" applyAlignment="1" applyProtection="1"/>
    <xf numFmtId="0" fontId="21" fillId="15" borderId="12" xfId="0" applyFont="1" applyFill="1" applyBorder="1"/>
    <xf numFmtId="0" fontId="0" fillId="15" borderId="11" xfId="0" applyFill="1" applyBorder="1"/>
    <xf numFmtId="0" fontId="3" fillId="15" borderId="6" xfId="0" applyFont="1" applyFill="1" applyBorder="1" applyAlignment="1">
      <alignment horizontal="left" vertical="center"/>
    </xf>
    <xf numFmtId="3" fontId="2" fillId="15" borderId="0" xfId="1" applyNumberFormat="1" applyFont="1" applyFill="1" applyBorder="1">
      <alignment vertical="center"/>
    </xf>
    <xf numFmtId="0" fontId="3" fillId="15" borderId="21" xfId="0" applyFont="1" applyFill="1" applyBorder="1" applyAlignment="1">
      <alignment horizontal="left" vertical="center" wrapText="1" indent="1"/>
    </xf>
    <xf numFmtId="3" fontId="4" fillId="15" borderId="13" xfId="0" applyNumberFormat="1" applyFont="1" applyFill="1" applyBorder="1" applyAlignment="1" applyProtection="1"/>
    <xf numFmtId="0" fontId="3" fillId="3" borderId="1" xfId="0" applyFont="1" applyFill="1" applyBorder="1" applyAlignment="1">
      <alignment horizontal="left" vertical="center" indent="3"/>
    </xf>
    <xf numFmtId="0" fontId="4" fillId="2" borderId="0" xfId="0" applyFont="1" applyFill="1" applyAlignment="1">
      <alignment horizontal="left" vertical="center" indent="3"/>
    </xf>
    <xf numFmtId="0" fontId="3" fillId="2" borderId="0" xfId="0" applyFont="1" applyFill="1" applyAlignment="1">
      <alignment horizontal="left" vertical="center" indent="3"/>
    </xf>
    <xf numFmtId="0" fontId="4" fillId="2" borderId="0" xfId="0" applyFont="1" applyFill="1" applyAlignment="1">
      <alignment horizontal="left" vertical="center" wrapText="1" indent="3"/>
    </xf>
    <xf numFmtId="0" fontId="3" fillId="2" borderId="0" xfId="0" applyFont="1" applyFill="1" applyAlignment="1">
      <alignment horizontal="left" vertical="center" wrapText="1" indent="3"/>
    </xf>
    <xf numFmtId="3" fontId="2" fillId="16" borderId="0" xfId="1" applyNumberFormat="1" applyFont="1" applyFill="1" applyBorder="1">
      <alignment vertical="center"/>
    </xf>
    <xf numFmtId="0" fontId="3" fillId="8" borderId="18" xfId="3" applyFont="1" applyFill="1" applyBorder="1">
      <alignment vertical="center"/>
    </xf>
    <xf numFmtId="3" fontId="3" fillId="3" borderId="12" xfId="0" applyNumberFormat="1" applyFont="1" applyFill="1" applyBorder="1"/>
    <xf numFmtId="3" fontId="3" fillId="10" borderId="13" xfId="0" applyNumberFormat="1" applyFont="1" applyFill="1" applyBorder="1"/>
    <xf numFmtId="0" fontId="3" fillId="2" borderId="0" xfId="0" applyFont="1" applyFill="1" applyAlignment="1">
      <alignment horizontal="left" vertical="center"/>
    </xf>
    <xf numFmtId="3" fontId="3" fillId="3" borderId="13" xfId="0" applyNumberFormat="1" applyFont="1" applyFill="1" applyBorder="1"/>
    <xf numFmtId="3" fontId="3" fillId="2" borderId="0" xfId="0" applyNumberFormat="1" applyFont="1" applyFill="1" applyAlignment="1">
      <alignment horizontal="left" vertical="center"/>
    </xf>
    <xf numFmtId="3" fontId="3" fillId="10" borderId="11" xfId="0" applyNumberFormat="1" applyFont="1" applyFill="1" applyBorder="1"/>
  </cellXfs>
  <cellStyles count="6">
    <cellStyle name="60% - akcent 1" xfId="2"/>
    <cellStyle name="Hipervínculo" xfId="4" builtinId="8"/>
    <cellStyle name="Normal" xfId="0" builtinId="0"/>
    <cellStyle name="Normal 10" xfId="1"/>
    <cellStyle name="Normal 12" xfId="3"/>
    <cellStyle name="Normal 8" xfId="5"/>
  </cellStyles>
  <dxfs count="8">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1966383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100-000002000000}"/>
            </a:ext>
          </a:extLst>
        </xdr:cNvPr>
        <xdr:cNvSpPr/>
      </xdr:nvSpPr>
      <xdr:spPr>
        <a:xfrm>
          <a:off x="361950"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4757738</xdr:colOff>
      <xdr:row>0</xdr:row>
      <xdr:rowOff>154782</xdr:rowOff>
    </xdr:from>
    <xdr:to>
      <xdr:col>5</xdr:col>
      <xdr:colOff>6010275</xdr:colOff>
      <xdr:row>0</xdr:row>
      <xdr:rowOff>547688</xdr:rowOff>
    </xdr:to>
    <xdr:sp macro="[0]!Copiar_columna" textlink="">
      <xdr:nvSpPr>
        <xdr:cNvPr id="3" name="2 Rectángulo redondeado">
          <a:extLst>
            <a:ext uri="{FF2B5EF4-FFF2-40B4-BE49-F238E27FC236}">
              <a16:creationId xmlns:a16="http://schemas.microsoft.com/office/drawing/2014/main" id="{00000000-0008-0000-0100-000003000000}"/>
            </a:ext>
          </a:extLst>
        </xdr:cNvPr>
        <xdr:cNvSpPr>
          <a:spLocks/>
        </xdr:cNvSpPr>
      </xdr:nvSpPr>
      <xdr:spPr>
        <a:xfrm>
          <a:off x="5815013" y="154782"/>
          <a:ext cx="125253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1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254234</xdr:colOff>
      <xdr:row>1</xdr:row>
      <xdr:rowOff>1227045</xdr:rowOff>
    </xdr:from>
    <xdr:to>
      <xdr:col>7</xdr:col>
      <xdr:colOff>601617</xdr:colOff>
      <xdr:row>1</xdr:row>
      <xdr:rowOff>2145927</xdr:rowOff>
    </xdr:to>
    <xdr:sp macro="" textlink="">
      <xdr:nvSpPr>
        <xdr:cNvPr id="5" name="6 Flecha abajo">
          <a:extLst>
            <a:ext uri="{FF2B5EF4-FFF2-40B4-BE49-F238E27FC236}">
              <a16:creationId xmlns:a16="http://schemas.microsoft.com/office/drawing/2014/main" id="{00000000-0008-0000-0100-000005000000}"/>
            </a:ext>
          </a:extLst>
        </xdr:cNvPr>
        <xdr:cNvSpPr/>
      </xdr:nvSpPr>
      <xdr:spPr>
        <a:xfrm>
          <a:off x="8207609" y="1917608"/>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607219</xdr:colOff>
      <xdr:row>1</xdr:row>
      <xdr:rowOff>476250</xdr:rowOff>
    </xdr:from>
    <xdr:to>
      <xdr:col>7</xdr:col>
      <xdr:colOff>835819</xdr:colOff>
      <xdr:row>1</xdr:row>
      <xdr:rowOff>1148603</xdr:rowOff>
    </xdr:to>
    <xdr:sp macro="" textlink="">
      <xdr:nvSpPr>
        <xdr:cNvPr id="6" name="7 Rectángulo redondeado">
          <a:extLst>
            <a:ext uri="{FF2B5EF4-FFF2-40B4-BE49-F238E27FC236}">
              <a16:creationId xmlns:a16="http://schemas.microsoft.com/office/drawing/2014/main" id="{00000000-0008-0000-0100-000006000000}"/>
            </a:ext>
          </a:extLst>
        </xdr:cNvPr>
        <xdr:cNvSpPr/>
      </xdr:nvSpPr>
      <xdr:spPr>
        <a:xfrm>
          <a:off x="7703344" y="1166813"/>
          <a:ext cx="1085850"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200-000002000000}"/>
            </a:ext>
          </a:extLst>
        </xdr:cNvPr>
        <xdr:cNvSpPr/>
      </xdr:nvSpPr>
      <xdr:spPr>
        <a:xfrm>
          <a:off x="361950"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4757738</xdr:colOff>
      <xdr:row>0</xdr:row>
      <xdr:rowOff>154782</xdr:rowOff>
    </xdr:from>
    <xdr:to>
      <xdr:col>5</xdr:col>
      <xdr:colOff>6010275</xdr:colOff>
      <xdr:row>0</xdr:row>
      <xdr:rowOff>547688</xdr:rowOff>
    </xdr:to>
    <xdr:sp macro="[0]!Copiar_columna" textlink="">
      <xdr:nvSpPr>
        <xdr:cNvPr id="3" name="2 Rectángulo redondeado">
          <a:extLst>
            <a:ext uri="{FF2B5EF4-FFF2-40B4-BE49-F238E27FC236}">
              <a16:creationId xmlns:a16="http://schemas.microsoft.com/office/drawing/2014/main" id="{00000000-0008-0000-0200-000003000000}"/>
            </a:ext>
          </a:extLst>
        </xdr:cNvPr>
        <xdr:cNvSpPr>
          <a:spLocks/>
        </xdr:cNvSpPr>
      </xdr:nvSpPr>
      <xdr:spPr>
        <a:xfrm>
          <a:off x="5815013" y="154782"/>
          <a:ext cx="125253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2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301858</xdr:colOff>
      <xdr:row>1</xdr:row>
      <xdr:rowOff>1048451</xdr:rowOff>
    </xdr:from>
    <xdr:to>
      <xdr:col>7</xdr:col>
      <xdr:colOff>649241</xdr:colOff>
      <xdr:row>1</xdr:row>
      <xdr:rowOff>1967333</xdr:rowOff>
    </xdr:to>
    <xdr:sp macro="" textlink="">
      <xdr:nvSpPr>
        <xdr:cNvPr id="5" name="6 Flecha abajo">
          <a:extLst>
            <a:ext uri="{FF2B5EF4-FFF2-40B4-BE49-F238E27FC236}">
              <a16:creationId xmlns:a16="http://schemas.microsoft.com/office/drawing/2014/main" id="{00000000-0008-0000-0200-000005000000}"/>
            </a:ext>
          </a:extLst>
        </xdr:cNvPr>
        <xdr:cNvSpPr/>
      </xdr:nvSpPr>
      <xdr:spPr>
        <a:xfrm>
          <a:off x="8255233" y="1739014"/>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654843</xdr:colOff>
      <xdr:row>1</xdr:row>
      <xdr:rowOff>297656</xdr:rowOff>
    </xdr:from>
    <xdr:to>
      <xdr:col>8</xdr:col>
      <xdr:colOff>2380</xdr:colOff>
      <xdr:row>1</xdr:row>
      <xdr:rowOff>970009</xdr:rowOff>
    </xdr:to>
    <xdr:sp macro="" textlink="">
      <xdr:nvSpPr>
        <xdr:cNvPr id="6" name="7 Rectángulo redondeado">
          <a:extLst>
            <a:ext uri="{FF2B5EF4-FFF2-40B4-BE49-F238E27FC236}">
              <a16:creationId xmlns:a16="http://schemas.microsoft.com/office/drawing/2014/main" id="{00000000-0008-0000-0200-000006000000}"/>
            </a:ext>
          </a:extLst>
        </xdr:cNvPr>
        <xdr:cNvSpPr/>
      </xdr:nvSpPr>
      <xdr:spPr>
        <a:xfrm>
          <a:off x="7750968" y="988219"/>
          <a:ext cx="1085850"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300-000002000000}"/>
            </a:ext>
          </a:extLst>
        </xdr:cNvPr>
        <xdr:cNvSpPr/>
      </xdr:nvSpPr>
      <xdr:spPr>
        <a:xfrm>
          <a:off x="361950"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4757738</xdr:colOff>
      <xdr:row>0</xdr:row>
      <xdr:rowOff>154782</xdr:rowOff>
    </xdr:from>
    <xdr:to>
      <xdr:col>5</xdr:col>
      <xdr:colOff>6010275</xdr:colOff>
      <xdr:row>0</xdr:row>
      <xdr:rowOff>547688</xdr:rowOff>
    </xdr:to>
    <xdr:sp macro="[0]!Copiar_columna" textlink="">
      <xdr:nvSpPr>
        <xdr:cNvPr id="3" name="2 Rectángulo redondeado">
          <a:extLst>
            <a:ext uri="{FF2B5EF4-FFF2-40B4-BE49-F238E27FC236}">
              <a16:creationId xmlns:a16="http://schemas.microsoft.com/office/drawing/2014/main" id="{00000000-0008-0000-0300-000003000000}"/>
            </a:ext>
          </a:extLst>
        </xdr:cNvPr>
        <xdr:cNvSpPr>
          <a:spLocks/>
        </xdr:cNvSpPr>
      </xdr:nvSpPr>
      <xdr:spPr>
        <a:xfrm>
          <a:off x="5815013" y="154782"/>
          <a:ext cx="125253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3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289952</xdr:colOff>
      <xdr:row>1</xdr:row>
      <xdr:rowOff>1238951</xdr:rowOff>
    </xdr:from>
    <xdr:to>
      <xdr:col>7</xdr:col>
      <xdr:colOff>637335</xdr:colOff>
      <xdr:row>1</xdr:row>
      <xdr:rowOff>2157833</xdr:rowOff>
    </xdr:to>
    <xdr:sp macro="" textlink="">
      <xdr:nvSpPr>
        <xdr:cNvPr id="5" name="6 Flecha abajo">
          <a:extLst>
            <a:ext uri="{FF2B5EF4-FFF2-40B4-BE49-F238E27FC236}">
              <a16:creationId xmlns:a16="http://schemas.microsoft.com/office/drawing/2014/main" id="{00000000-0008-0000-0300-000005000000}"/>
            </a:ext>
          </a:extLst>
        </xdr:cNvPr>
        <xdr:cNvSpPr/>
      </xdr:nvSpPr>
      <xdr:spPr>
        <a:xfrm>
          <a:off x="8243327" y="1929514"/>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642937</xdr:colOff>
      <xdr:row>1</xdr:row>
      <xdr:rowOff>488156</xdr:rowOff>
    </xdr:from>
    <xdr:to>
      <xdr:col>7</xdr:col>
      <xdr:colOff>871537</xdr:colOff>
      <xdr:row>1</xdr:row>
      <xdr:rowOff>1160509</xdr:rowOff>
    </xdr:to>
    <xdr:sp macro="" textlink="">
      <xdr:nvSpPr>
        <xdr:cNvPr id="6" name="7 Rectángulo redondeado">
          <a:extLst>
            <a:ext uri="{FF2B5EF4-FFF2-40B4-BE49-F238E27FC236}">
              <a16:creationId xmlns:a16="http://schemas.microsoft.com/office/drawing/2014/main" id="{00000000-0008-0000-0300-000006000000}"/>
            </a:ext>
          </a:extLst>
        </xdr:cNvPr>
        <xdr:cNvSpPr/>
      </xdr:nvSpPr>
      <xdr:spPr>
        <a:xfrm>
          <a:off x="7739062" y="1178719"/>
          <a:ext cx="1085850"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400-000002000000}"/>
            </a:ext>
          </a:extLst>
        </xdr:cNvPr>
        <xdr:cNvSpPr/>
      </xdr:nvSpPr>
      <xdr:spPr>
        <a:xfrm>
          <a:off x="361950"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4757738</xdr:colOff>
      <xdr:row>0</xdr:row>
      <xdr:rowOff>154782</xdr:rowOff>
    </xdr:from>
    <xdr:to>
      <xdr:col>5</xdr:col>
      <xdr:colOff>6010275</xdr:colOff>
      <xdr:row>0</xdr:row>
      <xdr:rowOff>547688</xdr:rowOff>
    </xdr:to>
    <xdr:sp macro="[0]!Copiar_columna" textlink="">
      <xdr:nvSpPr>
        <xdr:cNvPr id="3" name="2 Rectángulo redondeado">
          <a:extLst>
            <a:ext uri="{FF2B5EF4-FFF2-40B4-BE49-F238E27FC236}">
              <a16:creationId xmlns:a16="http://schemas.microsoft.com/office/drawing/2014/main" id="{00000000-0008-0000-0400-000003000000}"/>
            </a:ext>
          </a:extLst>
        </xdr:cNvPr>
        <xdr:cNvSpPr>
          <a:spLocks/>
        </xdr:cNvSpPr>
      </xdr:nvSpPr>
      <xdr:spPr>
        <a:xfrm>
          <a:off x="5815013" y="154782"/>
          <a:ext cx="125253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4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10</xdr:col>
      <xdr:colOff>180415</xdr:colOff>
      <xdr:row>1</xdr:row>
      <xdr:rowOff>1293720</xdr:rowOff>
    </xdr:from>
    <xdr:to>
      <xdr:col>10</xdr:col>
      <xdr:colOff>527798</xdr:colOff>
      <xdr:row>1</xdr:row>
      <xdr:rowOff>2212602</xdr:rowOff>
    </xdr:to>
    <xdr:sp macro="" textlink="">
      <xdr:nvSpPr>
        <xdr:cNvPr id="19" name="6 Flecha abajo">
          <a:extLst>
            <a:ext uri="{FF2B5EF4-FFF2-40B4-BE49-F238E27FC236}">
              <a16:creationId xmlns:a16="http://schemas.microsoft.com/office/drawing/2014/main" id="{00000000-0008-0000-0400-000013000000}"/>
            </a:ext>
          </a:extLst>
        </xdr:cNvPr>
        <xdr:cNvSpPr/>
      </xdr:nvSpPr>
      <xdr:spPr>
        <a:xfrm>
          <a:off x="15202701" y="1987684"/>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9</xdr:col>
      <xdr:colOff>438150</xdr:colOff>
      <xdr:row>1</xdr:row>
      <xdr:rowOff>542925</xdr:rowOff>
    </xdr:from>
    <xdr:to>
      <xdr:col>11</xdr:col>
      <xdr:colOff>0</xdr:colOff>
      <xdr:row>1</xdr:row>
      <xdr:rowOff>1215278</xdr:rowOff>
    </xdr:to>
    <xdr:sp macro="" textlink="">
      <xdr:nvSpPr>
        <xdr:cNvPr id="20" name="7 Rectángulo redondeado">
          <a:extLst>
            <a:ext uri="{FF2B5EF4-FFF2-40B4-BE49-F238E27FC236}">
              <a16:creationId xmlns:a16="http://schemas.microsoft.com/office/drawing/2014/main" id="{00000000-0008-0000-0400-000014000000}"/>
            </a:ext>
          </a:extLst>
        </xdr:cNvPr>
        <xdr:cNvSpPr/>
      </xdr:nvSpPr>
      <xdr:spPr>
        <a:xfrm>
          <a:off x="14698436" y="1236889"/>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12</xdr:col>
      <xdr:colOff>438150</xdr:colOff>
      <xdr:row>1</xdr:row>
      <xdr:rowOff>542925</xdr:rowOff>
    </xdr:from>
    <xdr:to>
      <xdr:col>13</xdr:col>
      <xdr:colOff>382121</xdr:colOff>
      <xdr:row>1</xdr:row>
      <xdr:rowOff>1215278</xdr:rowOff>
    </xdr:to>
    <xdr:sp macro="" textlink="">
      <xdr:nvSpPr>
        <xdr:cNvPr id="22" name="9 Rectángulo redondeado">
          <a:extLst>
            <a:ext uri="{FF2B5EF4-FFF2-40B4-BE49-F238E27FC236}">
              <a16:creationId xmlns:a16="http://schemas.microsoft.com/office/drawing/2014/main" id="{00000000-0008-0000-0400-000016000000}"/>
            </a:ext>
          </a:extLst>
        </xdr:cNvPr>
        <xdr:cNvSpPr/>
      </xdr:nvSpPr>
      <xdr:spPr>
        <a:xfrm>
          <a:off x="13188043" y="1236889"/>
          <a:ext cx="705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12</xdr:col>
      <xdr:colOff>54429</xdr:colOff>
      <xdr:row>1</xdr:row>
      <xdr:rowOff>542925</xdr:rowOff>
    </xdr:from>
    <xdr:to>
      <xdr:col>13</xdr:col>
      <xdr:colOff>598714</xdr:colOff>
      <xdr:row>1</xdr:row>
      <xdr:rowOff>1215278</xdr:rowOff>
    </xdr:to>
    <xdr:sp macro="" textlink="">
      <xdr:nvSpPr>
        <xdr:cNvPr id="23" name="9 Rectángulo redondeado">
          <a:extLst>
            <a:ext uri="{FF2B5EF4-FFF2-40B4-BE49-F238E27FC236}">
              <a16:creationId xmlns:a16="http://schemas.microsoft.com/office/drawing/2014/main" id="{00000000-0008-0000-0400-000017000000}"/>
            </a:ext>
          </a:extLst>
        </xdr:cNvPr>
        <xdr:cNvSpPr/>
      </xdr:nvSpPr>
      <xdr:spPr>
        <a:xfrm>
          <a:off x="12001500" y="1236889"/>
          <a:ext cx="1306285"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15</xdr:col>
      <xdr:colOff>261257</xdr:colOff>
      <xdr:row>1</xdr:row>
      <xdr:rowOff>542925</xdr:rowOff>
    </xdr:from>
    <xdr:to>
      <xdr:col>16</xdr:col>
      <xdr:colOff>734786</xdr:colOff>
      <xdr:row>1</xdr:row>
      <xdr:rowOff>1215278</xdr:rowOff>
    </xdr:to>
    <xdr:sp macro="" textlink="">
      <xdr:nvSpPr>
        <xdr:cNvPr id="24" name="5 Rectángulo redondeado">
          <a:extLst>
            <a:ext uri="{FF2B5EF4-FFF2-40B4-BE49-F238E27FC236}">
              <a16:creationId xmlns:a16="http://schemas.microsoft.com/office/drawing/2014/main" id="{00000000-0008-0000-0400-000018000000}"/>
            </a:ext>
          </a:extLst>
        </xdr:cNvPr>
        <xdr:cNvSpPr/>
      </xdr:nvSpPr>
      <xdr:spPr>
        <a:xfrm>
          <a:off x="14494328" y="1236889"/>
          <a:ext cx="1235529"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13</xdr:col>
      <xdr:colOff>153201</xdr:colOff>
      <xdr:row>1</xdr:row>
      <xdr:rowOff>1334541</xdr:rowOff>
    </xdr:from>
    <xdr:to>
      <xdr:col>13</xdr:col>
      <xdr:colOff>500584</xdr:colOff>
      <xdr:row>2</xdr:row>
      <xdr:rowOff>8244</xdr:rowOff>
    </xdr:to>
    <xdr:sp macro="" textlink="">
      <xdr:nvSpPr>
        <xdr:cNvPr id="25" name="6 Flecha abajo">
          <a:extLst>
            <a:ext uri="{FF2B5EF4-FFF2-40B4-BE49-F238E27FC236}">
              <a16:creationId xmlns:a16="http://schemas.microsoft.com/office/drawing/2014/main" id="{00000000-0008-0000-0400-000019000000}"/>
            </a:ext>
          </a:extLst>
        </xdr:cNvPr>
        <xdr:cNvSpPr/>
      </xdr:nvSpPr>
      <xdr:spPr>
        <a:xfrm>
          <a:off x="12862272" y="202850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16</xdr:col>
      <xdr:colOff>312964</xdr:colOff>
      <xdr:row>1</xdr:row>
      <xdr:rowOff>1306285</xdr:rowOff>
    </xdr:from>
    <xdr:to>
      <xdr:col>16</xdr:col>
      <xdr:colOff>660347</xdr:colOff>
      <xdr:row>1</xdr:row>
      <xdr:rowOff>2225167</xdr:rowOff>
    </xdr:to>
    <xdr:sp macro="" textlink="">
      <xdr:nvSpPr>
        <xdr:cNvPr id="26" name="6 Flecha abajo">
          <a:extLst>
            <a:ext uri="{FF2B5EF4-FFF2-40B4-BE49-F238E27FC236}">
              <a16:creationId xmlns:a16="http://schemas.microsoft.com/office/drawing/2014/main" id="{00000000-0008-0000-0400-00001A000000}"/>
            </a:ext>
          </a:extLst>
        </xdr:cNvPr>
        <xdr:cNvSpPr/>
      </xdr:nvSpPr>
      <xdr:spPr>
        <a:xfrm>
          <a:off x="15308035" y="2000249"/>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500-000002000000}"/>
            </a:ext>
          </a:extLst>
        </xdr:cNvPr>
        <xdr:cNvSpPr/>
      </xdr:nvSpPr>
      <xdr:spPr>
        <a:xfrm>
          <a:off x="361950"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4757738</xdr:colOff>
      <xdr:row>0</xdr:row>
      <xdr:rowOff>154782</xdr:rowOff>
    </xdr:from>
    <xdr:to>
      <xdr:col>5</xdr:col>
      <xdr:colOff>6010275</xdr:colOff>
      <xdr:row>0</xdr:row>
      <xdr:rowOff>547688</xdr:rowOff>
    </xdr:to>
    <xdr:sp macro="[0]!Copiar_columna" textlink="">
      <xdr:nvSpPr>
        <xdr:cNvPr id="3" name="2 Rectángulo redondeado">
          <a:extLst>
            <a:ext uri="{FF2B5EF4-FFF2-40B4-BE49-F238E27FC236}">
              <a16:creationId xmlns:a16="http://schemas.microsoft.com/office/drawing/2014/main" id="{00000000-0008-0000-0500-000003000000}"/>
            </a:ext>
          </a:extLst>
        </xdr:cNvPr>
        <xdr:cNvSpPr>
          <a:spLocks/>
        </xdr:cNvSpPr>
      </xdr:nvSpPr>
      <xdr:spPr>
        <a:xfrm>
          <a:off x="5815013" y="154782"/>
          <a:ext cx="125253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5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600-000002000000}"/>
            </a:ext>
          </a:extLst>
        </xdr:cNvPr>
        <xdr:cNvSpPr/>
      </xdr:nvSpPr>
      <xdr:spPr>
        <a:xfrm>
          <a:off x="361950"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4757738</xdr:colOff>
      <xdr:row>0</xdr:row>
      <xdr:rowOff>154782</xdr:rowOff>
    </xdr:from>
    <xdr:to>
      <xdr:col>5</xdr:col>
      <xdr:colOff>6010275</xdr:colOff>
      <xdr:row>0</xdr:row>
      <xdr:rowOff>547688</xdr:rowOff>
    </xdr:to>
    <xdr:sp macro="[0]!Copiar_columna" textlink="">
      <xdr:nvSpPr>
        <xdr:cNvPr id="3" name="2 Rectángulo redondeado">
          <a:extLst>
            <a:ext uri="{FF2B5EF4-FFF2-40B4-BE49-F238E27FC236}">
              <a16:creationId xmlns:a16="http://schemas.microsoft.com/office/drawing/2014/main" id="{00000000-0008-0000-0600-000003000000}"/>
            </a:ext>
          </a:extLst>
        </xdr:cNvPr>
        <xdr:cNvSpPr>
          <a:spLocks/>
        </xdr:cNvSpPr>
      </xdr:nvSpPr>
      <xdr:spPr>
        <a:xfrm>
          <a:off x="5815013" y="154782"/>
          <a:ext cx="125253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6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V59"/>
  <sheetViews>
    <sheetView tabSelected="1" zoomScale="80" zoomScaleNormal="80" workbookViewId="0">
      <selection activeCell="I15" sqref="I15"/>
    </sheetView>
  </sheetViews>
  <sheetFormatPr baseColWidth="10" defaultRowHeight="14.4"/>
  <cols>
    <col min="1" max="5" width="2.6640625" customWidth="1"/>
    <col min="6" max="6" width="90.6640625" customWidth="1"/>
    <col min="7" max="7" width="2.6640625" customWidth="1"/>
    <col min="8" max="11" width="16.6640625" customWidth="1"/>
    <col min="13" max="22" width="11.44140625" style="65"/>
  </cols>
  <sheetData>
    <row r="1" spans="1:12" ht="105" customHeight="1">
      <c r="A1" t="s">
        <v>0</v>
      </c>
    </row>
    <row r="2" spans="1:12">
      <c r="G2" s="132" t="s">
        <v>0</v>
      </c>
      <c r="H2" s="131" t="s">
        <v>242</v>
      </c>
    </row>
    <row r="3" spans="1:12">
      <c r="B3" s="5"/>
      <c r="C3" s="6"/>
      <c r="D3" s="6"/>
      <c r="E3" s="6"/>
      <c r="F3" s="6"/>
      <c r="G3" s="6"/>
      <c r="H3" s="6"/>
      <c r="I3" s="6"/>
      <c r="J3" s="6"/>
      <c r="K3" s="6"/>
      <c r="L3" s="7"/>
    </row>
    <row r="4" spans="1:12">
      <c r="B4" s="8"/>
      <c r="C4" s="1"/>
      <c r="D4" s="1" t="s">
        <v>0</v>
      </c>
      <c r="E4" s="1" t="s">
        <v>0</v>
      </c>
      <c r="F4" s="2" t="s">
        <v>1</v>
      </c>
      <c r="G4" s="1" t="s">
        <v>0</v>
      </c>
      <c r="H4" s="1"/>
      <c r="I4" s="1"/>
      <c r="J4" s="1"/>
      <c r="K4" s="1"/>
      <c r="L4" s="9"/>
    </row>
    <row r="5" spans="1:12">
      <c r="B5" s="8" t="s">
        <v>245</v>
      </c>
      <c r="C5" s="1" t="s">
        <v>67</v>
      </c>
      <c r="D5" s="1" t="s">
        <v>0</v>
      </c>
      <c r="E5" s="1" t="s">
        <v>0</v>
      </c>
      <c r="F5" s="137" t="s">
        <v>247</v>
      </c>
      <c r="G5" s="1" t="s">
        <v>0</v>
      </c>
      <c r="H5" s="1"/>
      <c r="I5" s="1"/>
      <c r="J5" s="1"/>
      <c r="K5" s="1"/>
      <c r="L5" s="9"/>
    </row>
    <row r="6" spans="1:12">
      <c r="B6" s="8"/>
      <c r="C6" s="1"/>
      <c r="D6" s="1" t="s">
        <v>0</v>
      </c>
      <c r="E6" s="1" t="s">
        <v>0</v>
      </c>
      <c r="F6" s="138" t="s">
        <v>2</v>
      </c>
      <c r="G6" s="1" t="s">
        <v>0</v>
      </c>
      <c r="H6" s="1"/>
      <c r="I6" s="1"/>
      <c r="J6" s="1"/>
      <c r="K6" s="1"/>
      <c r="L6" s="9"/>
    </row>
    <row r="7" spans="1:12">
      <c r="B7" s="8"/>
      <c r="C7" s="1"/>
      <c r="D7" s="1"/>
      <c r="E7" s="1"/>
      <c r="F7" s="138"/>
      <c r="G7" s="1"/>
      <c r="H7" s="1"/>
      <c r="I7" s="1"/>
      <c r="J7" s="1"/>
      <c r="K7" s="1"/>
      <c r="L7" s="9"/>
    </row>
    <row r="8" spans="1:12">
      <c r="B8" s="8"/>
      <c r="C8" s="1"/>
      <c r="D8" s="1"/>
      <c r="E8" s="1"/>
      <c r="F8" s="101" t="s">
        <v>174</v>
      </c>
      <c r="G8" s="1"/>
      <c r="H8" s="1"/>
      <c r="I8" s="1"/>
      <c r="J8" s="1"/>
      <c r="K8" s="1"/>
      <c r="L8" s="9"/>
    </row>
    <row r="9" spans="1:12">
      <c r="B9" s="8"/>
      <c r="C9" s="1"/>
      <c r="D9" s="1"/>
      <c r="E9" s="1"/>
      <c r="F9" s="139"/>
      <c r="G9" s="1"/>
      <c r="H9" s="66"/>
      <c r="I9" s="66"/>
      <c r="J9" s="66"/>
      <c r="K9" s="66"/>
      <c r="L9" s="9"/>
    </row>
    <row r="10" spans="1:12" ht="28.8">
      <c r="B10" s="8"/>
      <c r="C10" s="1"/>
      <c r="D10" s="1" t="s">
        <v>0</v>
      </c>
      <c r="E10" s="1" t="s">
        <v>0</v>
      </c>
      <c r="F10" s="103" t="s">
        <v>178</v>
      </c>
      <c r="G10" s="1" t="s">
        <v>0</v>
      </c>
      <c r="H10" s="66"/>
      <c r="I10" s="66"/>
      <c r="J10" s="66"/>
      <c r="K10" s="66"/>
      <c r="L10" s="9"/>
    </row>
    <row r="11" spans="1:12">
      <c r="B11" s="8"/>
      <c r="C11" s="1"/>
      <c r="D11" s="1"/>
      <c r="E11" s="1"/>
      <c r="F11" s="140"/>
      <c r="G11" s="140"/>
      <c r="H11" s="140"/>
      <c r="I11" s="140"/>
      <c r="J11" s="3"/>
      <c r="K11" s="3"/>
      <c r="L11" s="9"/>
    </row>
    <row r="12" spans="1:12">
      <c r="B12" s="8"/>
      <c r="C12" s="1"/>
      <c r="D12" s="1" t="s">
        <v>0</v>
      </c>
      <c r="E12" s="1" t="s">
        <v>0</v>
      </c>
      <c r="F12" s="111" t="s">
        <v>186</v>
      </c>
      <c r="G12" s="1" t="s">
        <v>0</v>
      </c>
      <c r="H12" s="66"/>
      <c r="I12" s="66"/>
      <c r="J12" s="66"/>
      <c r="K12" s="66"/>
      <c r="L12" s="9"/>
    </row>
    <row r="13" spans="1:12">
      <c r="B13" s="8"/>
      <c r="C13" s="1"/>
      <c r="D13" s="1"/>
      <c r="E13" s="1"/>
      <c r="F13" s="141"/>
      <c r="G13" s="1"/>
      <c r="H13" s="66"/>
      <c r="I13" s="66"/>
      <c r="J13" s="66"/>
      <c r="K13" s="66"/>
      <c r="L13" s="9"/>
    </row>
    <row r="14" spans="1:12" ht="34.200000000000003">
      <c r="B14" s="8" t="s">
        <v>245</v>
      </c>
      <c r="C14" s="1" t="s">
        <v>96</v>
      </c>
      <c r="D14" s="1" t="s">
        <v>0</v>
      </c>
      <c r="E14" s="1" t="s">
        <v>0</v>
      </c>
      <c r="F14" s="141" t="s">
        <v>3</v>
      </c>
      <c r="G14" s="1" t="s">
        <v>0</v>
      </c>
      <c r="H14" s="67">
        <v>1111</v>
      </c>
      <c r="I14" s="67">
        <v>2222</v>
      </c>
      <c r="J14" s="67"/>
      <c r="K14" s="67"/>
      <c r="L14" s="9"/>
    </row>
    <row r="15" spans="1:12">
      <c r="B15" s="8"/>
      <c r="C15" s="1"/>
      <c r="D15" s="1"/>
      <c r="E15" s="1"/>
      <c r="F15" s="141"/>
      <c r="G15" s="1"/>
      <c r="H15" s="66"/>
      <c r="I15" s="66"/>
      <c r="J15" s="66"/>
      <c r="K15" s="66"/>
      <c r="L15" s="9"/>
    </row>
    <row r="16" spans="1:12">
      <c r="B16" s="8"/>
      <c r="C16" s="1"/>
      <c r="D16" s="1" t="s">
        <v>0</v>
      </c>
      <c r="E16" s="1" t="s">
        <v>0</v>
      </c>
      <c r="F16" s="138" t="s">
        <v>4</v>
      </c>
      <c r="G16" s="1" t="s">
        <v>0</v>
      </c>
      <c r="H16" s="66"/>
      <c r="I16" s="66"/>
      <c r="J16" s="66"/>
      <c r="K16" s="66"/>
      <c r="L16" s="9"/>
    </row>
    <row r="17" spans="2:12" ht="22.8">
      <c r="B17" s="8" t="s">
        <v>245</v>
      </c>
      <c r="C17" s="1" t="s">
        <v>97</v>
      </c>
      <c r="D17" s="1" t="s">
        <v>0</v>
      </c>
      <c r="E17" s="1" t="s">
        <v>0</v>
      </c>
      <c r="F17" s="141" t="s">
        <v>5</v>
      </c>
      <c r="G17" s="1" t="s">
        <v>0</v>
      </c>
      <c r="H17" s="67">
        <v>110000</v>
      </c>
      <c r="I17" s="67">
        <v>120000</v>
      </c>
      <c r="J17" s="67"/>
      <c r="K17" s="67"/>
      <c r="L17" s="9"/>
    </row>
    <row r="18" spans="2:12" ht="22.8">
      <c r="B18" s="8" t="s">
        <v>245</v>
      </c>
      <c r="C18" s="1" t="s">
        <v>98</v>
      </c>
      <c r="D18" s="1" t="s">
        <v>0</v>
      </c>
      <c r="E18" s="1" t="s">
        <v>0</v>
      </c>
      <c r="F18" s="141" t="s">
        <v>6</v>
      </c>
      <c r="G18" s="1" t="s">
        <v>0</v>
      </c>
      <c r="H18" s="67">
        <v>70000</v>
      </c>
      <c r="I18" s="67">
        <v>80000</v>
      </c>
      <c r="J18" s="67"/>
      <c r="K18" s="67"/>
      <c r="L18" s="9"/>
    </row>
    <row r="19" spans="2:12">
      <c r="B19" s="8" t="s">
        <v>0</v>
      </c>
      <c r="C19" s="1" t="s">
        <v>0</v>
      </c>
      <c r="D19" s="1" t="s">
        <v>0</v>
      </c>
      <c r="E19" s="1" t="s">
        <v>0</v>
      </c>
      <c r="F19" s="139"/>
      <c r="G19" s="1" t="s">
        <v>0</v>
      </c>
      <c r="H19" s="1"/>
      <c r="I19" s="1"/>
      <c r="J19" s="1"/>
      <c r="K19" s="1"/>
      <c r="L19" s="9"/>
    </row>
    <row r="20" spans="2:12" ht="22.8">
      <c r="B20" s="8"/>
      <c r="C20" s="1"/>
      <c r="D20" s="1" t="s">
        <v>0</v>
      </c>
      <c r="E20" s="1" t="s">
        <v>0</v>
      </c>
      <c r="F20" s="141" t="s">
        <v>7</v>
      </c>
      <c r="G20" s="1" t="s">
        <v>0</v>
      </c>
      <c r="H20" s="1"/>
      <c r="I20" s="1"/>
      <c r="J20" s="1"/>
      <c r="K20" s="1"/>
      <c r="L20" s="9"/>
    </row>
    <row r="21" spans="2:12">
      <c r="B21" s="8" t="s">
        <v>245</v>
      </c>
      <c r="C21" s="1" t="s">
        <v>99</v>
      </c>
      <c r="D21" s="1" t="s">
        <v>0</v>
      </c>
      <c r="E21" s="1" t="s">
        <v>0</v>
      </c>
      <c r="F21" s="137" t="s">
        <v>248</v>
      </c>
      <c r="G21" s="1" t="s">
        <v>0</v>
      </c>
      <c r="H21" s="1"/>
      <c r="I21" s="1"/>
      <c r="J21" s="1"/>
      <c r="K21" s="1"/>
      <c r="L21" s="9"/>
    </row>
    <row r="22" spans="2:12">
      <c r="B22" s="8" t="s">
        <v>0</v>
      </c>
      <c r="C22" s="1" t="s">
        <v>0</v>
      </c>
      <c r="D22" s="1" t="s">
        <v>0</v>
      </c>
      <c r="E22" s="1" t="s">
        <v>0</v>
      </c>
      <c r="F22" s="139"/>
      <c r="G22" s="1" t="s">
        <v>0</v>
      </c>
      <c r="H22" s="1"/>
      <c r="I22" s="1"/>
      <c r="J22" s="1"/>
      <c r="K22" s="1"/>
      <c r="L22" s="9"/>
    </row>
    <row r="23" spans="2:12" ht="22.8">
      <c r="B23" s="8"/>
      <c r="C23" s="1"/>
      <c r="D23" s="1" t="s">
        <v>0</v>
      </c>
      <c r="E23" s="1" t="s">
        <v>0</v>
      </c>
      <c r="F23" s="141" t="s">
        <v>8</v>
      </c>
      <c r="G23" s="1" t="s">
        <v>0</v>
      </c>
      <c r="H23" s="1"/>
      <c r="I23" s="1"/>
      <c r="J23" s="1"/>
      <c r="K23" s="1"/>
      <c r="L23" s="9"/>
    </row>
    <row r="24" spans="2:12">
      <c r="B24" s="8" t="s">
        <v>245</v>
      </c>
      <c r="C24" s="1" t="s">
        <v>100</v>
      </c>
      <c r="D24" s="1" t="s">
        <v>0</v>
      </c>
      <c r="E24" s="1" t="s">
        <v>0</v>
      </c>
      <c r="F24" s="137" t="s">
        <v>249</v>
      </c>
      <c r="G24" s="1" t="s">
        <v>0</v>
      </c>
      <c r="H24" s="1"/>
      <c r="I24" s="1"/>
      <c r="J24" s="1"/>
      <c r="K24" s="1"/>
      <c r="L24" s="9"/>
    </row>
    <row r="25" spans="2:12" ht="24">
      <c r="B25" s="8"/>
      <c r="C25" s="1"/>
      <c r="D25" s="1"/>
      <c r="E25" s="1"/>
      <c r="F25" s="1"/>
      <c r="G25" s="1"/>
      <c r="H25" s="61" t="s">
        <v>60</v>
      </c>
      <c r="I25" s="61" t="s">
        <v>61</v>
      </c>
      <c r="J25" s="1"/>
      <c r="K25" s="1"/>
      <c r="L25" s="9"/>
    </row>
    <row r="26" spans="2:12" ht="22.8">
      <c r="B26" s="8" t="s">
        <v>245</v>
      </c>
      <c r="C26" s="1" t="s">
        <v>101</v>
      </c>
      <c r="D26" s="1" t="s">
        <v>0</v>
      </c>
      <c r="E26" s="1" t="s">
        <v>0</v>
      </c>
      <c r="F26" s="141" t="s">
        <v>9</v>
      </c>
      <c r="G26" s="1" t="s">
        <v>0</v>
      </c>
      <c r="H26" s="69">
        <v>0</v>
      </c>
      <c r="I26" s="69">
        <v>0</v>
      </c>
      <c r="J26" s="1"/>
      <c r="K26" s="1"/>
      <c r="L26" s="9"/>
    </row>
    <row r="27" spans="2:12" ht="22.8">
      <c r="B27" s="8" t="s">
        <v>245</v>
      </c>
      <c r="C27" s="1" t="s">
        <v>102</v>
      </c>
      <c r="D27" s="1" t="s">
        <v>0</v>
      </c>
      <c r="E27" s="1" t="s">
        <v>0</v>
      </c>
      <c r="F27" s="141" t="s">
        <v>10</v>
      </c>
      <c r="G27" s="1" t="s">
        <v>0</v>
      </c>
      <c r="H27" s="4">
        <v>1000</v>
      </c>
      <c r="I27" s="4">
        <v>4000</v>
      </c>
      <c r="J27" s="1"/>
      <c r="K27" s="1"/>
      <c r="L27" s="9"/>
    </row>
    <row r="28" spans="2:12" ht="22.8">
      <c r="B28" s="8" t="s">
        <v>245</v>
      </c>
      <c r="C28" s="1" t="s">
        <v>103</v>
      </c>
      <c r="D28" s="1" t="s">
        <v>0</v>
      </c>
      <c r="E28" s="1" t="s">
        <v>0</v>
      </c>
      <c r="F28" s="141" t="s">
        <v>11</v>
      </c>
      <c r="G28" s="1" t="s">
        <v>0</v>
      </c>
      <c r="H28" s="4">
        <v>2000</v>
      </c>
      <c r="I28" s="4">
        <v>5000</v>
      </c>
      <c r="J28" s="1"/>
      <c r="K28" s="1"/>
      <c r="L28" s="9"/>
    </row>
    <row r="29" spans="2:12" ht="34.200000000000003">
      <c r="B29" s="8" t="s">
        <v>245</v>
      </c>
      <c r="C29" s="1" t="s">
        <v>104</v>
      </c>
      <c r="D29" s="1" t="s">
        <v>0</v>
      </c>
      <c r="E29" s="1" t="s">
        <v>0</v>
      </c>
      <c r="F29" s="141" t="s">
        <v>12</v>
      </c>
      <c r="G29" s="1" t="s">
        <v>0</v>
      </c>
      <c r="H29" s="4">
        <v>3000</v>
      </c>
      <c r="I29" s="4">
        <v>6000</v>
      </c>
      <c r="J29" s="1"/>
      <c r="K29" s="1"/>
      <c r="L29" s="9"/>
    </row>
    <row r="30" spans="2:12">
      <c r="B30" s="8" t="s">
        <v>0</v>
      </c>
      <c r="C30" s="1" t="s">
        <v>0</v>
      </c>
      <c r="D30" s="1" t="s">
        <v>0</v>
      </c>
      <c r="E30" s="1" t="s">
        <v>0</v>
      </c>
      <c r="F30" s="139"/>
      <c r="G30" s="1" t="s">
        <v>0</v>
      </c>
      <c r="H30" s="1"/>
      <c r="I30" s="1"/>
      <c r="J30" s="1"/>
      <c r="K30" s="1"/>
      <c r="L30" s="9"/>
    </row>
    <row r="31" spans="2:12" ht="22.8">
      <c r="B31" s="8"/>
      <c r="C31" s="1"/>
      <c r="D31" s="1" t="s">
        <v>0</v>
      </c>
      <c r="E31" s="1" t="s">
        <v>0</v>
      </c>
      <c r="F31" s="141" t="s">
        <v>13</v>
      </c>
      <c r="G31" s="1" t="s">
        <v>0</v>
      </c>
      <c r="H31" s="1"/>
      <c r="I31" s="1"/>
      <c r="J31" s="1"/>
      <c r="K31" s="1"/>
      <c r="L31" s="9"/>
    </row>
    <row r="32" spans="2:12">
      <c r="B32" s="8" t="s">
        <v>245</v>
      </c>
      <c r="C32" s="1" t="s">
        <v>105</v>
      </c>
      <c r="D32" s="1" t="s">
        <v>0</v>
      </c>
      <c r="E32" s="1" t="s">
        <v>0</v>
      </c>
      <c r="F32" s="59" t="s">
        <v>250</v>
      </c>
      <c r="G32" s="1" t="s">
        <v>0</v>
      </c>
      <c r="H32" s="1"/>
      <c r="I32" s="1"/>
      <c r="J32" s="1"/>
      <c r="K32" s="1"/>
      <c r="L32" s="9"/>
    </row>
    <row r="33" spans="2:12">
      <c r="B33" s="8"/>
      <c r="C33" s="1"/>
      <c r="D33" s="1"/>
      <c r="E33" s="1"/>
      <c r="F33" s="1"/>
      <c r="G33" s="1"/>
      <c r="H33" s="1"/>
      <c r="I33" s="1"/>
      <c r="J33" s="1"/>
      <c r="K33" s="1"/>
      <c r="L33" s="9"/>
    </row>
    <row r="34" spans="2:12">
      <c r="B34" s="8"/>
      <c r="C34" s="1"/>
      <c r="D34" s="1"/>
      <c r="E34" s="1"/>
      <c r="F34" s="142" t="s">
        <v>39</v>
      </c>
      <c r="G34" s="1"/>
      <c r="H34" s="1"/>
      <c r="I34" s="1"/>
      <c r="J34" s="1"/>
      <c r="K34" s="1"/>
      <c r="L34" s="9"/>
    </row>
    <row r="35" spans="2:12" ht="24">
      <c r="B35" s="8"/>
      <c r="C35" s="1"/>
      <c r="D35" s="1"/>
      <c r="E35" s="1"/>
      <c r="F35" s="1"/>
      <c r="G35" s="1"/>
      <c r="H35" s="61" t="s">
        <v>56</v>
      </c>
      <c r="I35" s="61" t="s">
        <v>57</v>
      </c>
      <c r="J35" s="61" t="s">
        <v>58</v>
      </c>
      <c r="K35" s="61" t="s">
        <v>59</v>
      </c>
      <c r="L35" s="9"/>
    </row>
    <row r="36" spans="2:12" ht="34.200000000000003">
      <c r="B36" s="8" t="s">
        <v>245</v>
      </c>
      <c r="C36" s="1" t="s">
        <v>106</v>
      </c>
      <c r="D36" s="1" t="s">
        <v>0</v>
      </c>
      <c r="E36" s="1" t="s">
        <v>0</v>
      </c>
      <c r="F36" s="141" t="s">
        <v>14</v>
      </c>
      <c r="G36" s="1" t="s">
        <v>0</v>
      </c>
      <c r="H36" s="4">
        <v>1000</v>
      </c>
      <c r="I36" s="4">
        <v>3000</v>
      </c>
      <c r="J36" s="4"/>
      <c r="K36" s="4"/>
      <c r="L36" s="9"/>
    </row>
    <row r="37" spans="2:12" ht="22.8">
      <c r="B37" s="8" t="s">
        <v>245</v>
      </c>
      <c r="C37" s="1" t="s">
        <v>107</v>
      </c>
      <c r="D37" s="1" t="s">
        <v>0</v>
      </c>
      <c r="E37" s="1" t="s">
        <v>0</v>
      </c>
      <c r="F37" s="141" t="s">
        <v>15</v>
      </c>
      <c r="G37" s="1" t="s">
        <v>0</v>
      </c>
      <c r="H37" s="4">
        <v>2000</v>
      </c>
      <c r="I37" s="4">
        <v>4000</v>
      </c>
      <c r="J37" s="4"/>
      <c r="K37" s="4"/>
      <c r="L37" s="9"/>
    </row>
    <row r="38" spans="2:12">
      <c r="B38" s="8" t="s">
        <v>0</v>
      </c>
      <c r="C38" s="1" t="s">
        <v>0</v>
      </c>
      <c r="D38" s="1" t="s">
        <v>0</v>
      </c>
      <c r="E38" s="1" t="s">
        <v>0</v>
      </c>
      <c r="F38" s="139"/>
      <c r="G38" s="1" t="s">
        <v>0</v>
      </c>
      <c r="H38" s="1"/>
      <c r="I38" s="1"/>
      <c r="J38" s="1"/>
      <c r="K38" s="1"/>
      <c r="L38" s="9"/>
    </row>
    <row r="39" spans="2:12" ht="34.200000000000003">
      <c r="B39" s="8"/>
      <c r="C39" s="1"/>
      <c r="D39" s="1" t="s">
        <v>0</v>
      </c>
      <c r="E39" s="1" t="s">
        <v>0</v>
      </c>
      <c r="F39" s="141" t="s">
        <v>16</v>
      </c>
      <c r="G39" s="1" t="s">
        <v>0</v>
      </c>
      <c r="H39" s="1"/>
      <c r="I39" s="1"/>
      <c r="J39" s="1"/>
      <c r="K39" s="1"/>
      <c r="L39" s="9"/>
    </row>
    <row r="40" spans="2:12">
      <c r="B40" s="8" t="s">
        <v>245</v>
      </c>
      <c r="C40" s="1" t="s">
        <v>108</v>
      </c>
      <c r="D40" s="1" t="s">
        <v>0</v>
      </c>
      <c r="E40" s="1" t="s">
        <v>0</v>
      </c>
      <c r="F40" s="137" t="s">
        <v>251</v>
      </c>
      <c r="G40" s="1" t="s">
        <v>0</v>
      </c>
      <c r="H40" s="1"/>
      <c r="I40" s="1"/>
      <c r="J40" s="1"/>
      <c r="K40" s="1"/>
      <c r="L40" s="9"/>
    </row>
    <row r="41" spans="2:12">
      <c r="B41" s="8" t="s">
        <v>0</v>
      </c>
      <c r="C41" s="1" t="s">
        <v>0</v>
      </c>
      <c r="D41" s="1" t="s">
        <v>0</v>
      </c>
      <c r="E41" s="1" t="s">
        <v>0</v>
      </c>
      <c r="F41" s="139"/>
      <c r="G41" s="1" t="s">
        <v>0</v>
      </c>
      <c r="H41" s="1"/>
      <c r="I41" s="1"/>
      <c r="J41" s="1"/>
      <c r="K41" s="1"/>
      <c r="L41" s="9"/>
    </row>
    <row r="42" spans="2:12" ht="45.6">
      <c r="B42" s="8"/>
      <c r="C42" s="1"/>
      <c r="D42" s="1" t="s">
        <v>0</v>
      </c>
      <c r="E42" s="1" t="s">
        <v>0</v>
      </c>
      <c r="F42" s="141" t="s">
        <v>17</v>
      </c>
      <c r="G42" s="1" t="s">
        <v>0</v>
      </c>
      <c r="H42" s="1"/>
      <c r="I42" s="1"/>
      <c r="J42" s="1"/>
      <c r="K42" s="1"/>
      <c r="L42" s="9"/>
    </row>
    <row r="43" spans="2:12">
      <c r="B43" s="8" t="s">
        <v>245</v>
      </c>
      <c r="C43" s="1" t="s">
        <v>109</v>
      </c>
      <c r="D43" s="1" t="s">
        <v>0</v>
      </c>
      <c r="E43" s="1" t="s">
        <v>0</v>
      </c>
      <c r="F43" s="137" t="s">
        <v>252</v>
      </c>
      <c r="G43" s="1" t="s">
        <v>0</v>
      </c>
      <c r="H43" s="1"/>
      <c r="I43" s="1"/>
      <c r="J43" s="1"/>
      <c r="K43" s="1"/>
      <c r="L43" s="9"/>
    </row>
    <row r="44" spans="2:12" ht="24">
      <c r="B44" s="8"/>
      <c r="C44" s="1"/>
      <c r="D44" s="1"/>
      <c r="E44" s="1"/>
      <c r="F44" s="1"/>
      <c r="G44" s="1"/>
      <c r="H44" s="61" t="s">
        <v>60</v>
      </c>
      <c r="I44" s="61" t="s">
        <v>61</v>
      </c>
      <c r="J44" s="1"/>
      <c r="K44" s="1"/>
      <c r="L44" s="9"/>
    </row>
    <row r="45" spans="2:12" ht="45.6">
      <c r="B45" s="8" t="s">
        <v>245</v>
      </c>
      <c r="C45" s="1" t="s">
        <v>110</v>
      </c>
      <c r="D45" s="1" t="s">
        <v>0</v>
      </c>
      <c r="E45" s="1" t="s">
        <v>0</v>
      </c>
      <c r="F45" s="141" t="s">
        <v>18</v>
      </c>
      <c r="G45" s="1" t="s">
        <v>0</v>
      </c>
      <c r="H45" s="4">
        <v>1000</v>
      </c>
      <c r="I45" s="4">
        <v>2000</v>
      </c>
      <c r="J45" s="1"/>
      <c r="K45" s="1"/>
      <c r="L45" s="9"/>
    </row>
    <row r="46" spans="2:12">
      <c r="B46" s="8"/>
      <c r="C46" s="1"/>
      <c r="D46" s="1"/>
      <c r="E46" s="1"/>
      <c r="F46" s="141"/>
      <c r="G46" s="1"/>
      <c r="H46" s="1"/>
      <c r="I46" s="1"/>
      <c r="J46" s="1"/>
      <c r="K46" s="1"/>
      <c r="L46" s="9"/>
    </row>
    <row r="47" spans="2:12" ht="22.8">
      <c r="B47" s="8"/>
      <c r="C47" s="1"/>
      <c r="D47" s="1" t="s">
        <v>0</v>
      </c>
      <c r="E47" s="1" t="s">
        <v>0</v>
      </c>
      <c r="F47" s="141" t="s">
        <v>19</v>
      </c>
      <c r="G47" s="1" t="s">
        <v>0</v>
      </c>
      <c r="H47" s="1"/>
      <c r="I47" s="1"/>
      <c r="J47" s="1"/>
      <c r="K47" s="1"/>
      <c r="L47" s="9"/>
    </row>
    <row r="48" spans="2:12">
      <c r="B48" s="8" t="s">
        <v>245</v>
      </c>
      <c r="C48" s="1" t="s">
        <v>111</v>
      </c>
      <c r="D48" s="1" t="s">
        <v>0</v>
      </c>
      <c r="E48" s="1" t="s">
        <v>0</v>
      </c>
      <c r="F48" s="137" t="s">
        <v>253</v>
      </c>
      <c r="G48" s="1" t="s">
        <v>0</v>
      </c>
      <c r="H48" s="1"/>
      <c r="I48" s="1"/>
      <c r="J48" s="1"/>
      <c r="K48" s="1"/>
      <c r="L48" s="9"/>
    </row>
    <row r="49" spans="2:12">
      <c r="B49" s="8" t="s">
        <v>0</v>
      </c>
      <c r="C49" s="1" t="s">
        <v>0</v>
      </c>
      <c r="D49" s="1" t="s">
        <v>0</v>
      </c>
      <c r="E49" s="1" t="s">
        <v>0</v>
      </c>
      <c r="F49" s="139"/>
      <c r="G49" s="1" t="s">
        <v>0</v>
      </c>
      <c r="H49" s="1"/>
      <c r="I49" s="1"/>
      <c r="J49" s="1"/>
      <c r="K49" s="1"/>
      <c r="L49" s="9"/>
    </row>
    <row r="50" spans="2:12" ht="22.8">
      <c r="B50" s="8"/>
      <c r="C50" s="1"/>
      <c r="D50" s="1" t="s">
        <v>0</v>
      </c>
      <c r="E50" s="1" t="s">
        <v>0</v>
      </c>
      <c r="F50" s="141" t="s">
        <v>20</v>
      </c>
      <c r="G50" s="1" t="s">
        <v>0</v>
      </c>
      <c r="H50" s="1"/>
      <c r="I50" s="1"/>
      <c r="J50" s="1"/>
      <c r="K50" s="1"/>
      <c r="L50" s="9"/>
    </row>
    <row r="51" spans="2:12">
      <c r="B51" s="8" t="s">
        <v>245</v>
      </c>
      <c r="C51" s="1" t="s">
        <v>112</v>
      </c>
      <c r="D51" s="1" t="s">
        <v>0</v>
      </c>
      <c r="E51" s="1" t="s">
        <v>0</v>
      </c>
      <c r="F51" s="137" t="s">
        <v>254</v>
      </c>
      <c r="G51" s="1" t="s">
        <v>0</v>
      </c>
      <c r="H51" s="1"/>
      <c r="I51" s="1"/>
      <c r="J51" s="1"/>
      <c r="K51" s="1"/>
      <c r="L51" s="9"/>
    </row>
    <row r="52" spans="2:12">
      <c r="B52" s="8"/>
      <c r="C52" s="1"/>
      <c r="D52" s="1"/>
      <c r="E52" s="1"/>
      <c r="F52" s="1"/>
      <c r="G52" s="1"/>
      <c r="H52" s="1"/>
      <c r="I52" s="1"/>
      <c r="J52" s="1"/>
      <c r="K52" s="1"/>
      <c r="L52" s="9"/>
    </row>
    <row r="53" spans="2:12" ht="22.8">
      <c r="B53" s="8"/>
      <c r="C53" s="1"/>
      <c r="D53" s="1" t="s">
        <v>0</v>
      </c>
      <c r="E53" s="1" t="s">
        <v>0</v>
      </c>
      <c r="F53" s="141" t="s">
        <v>55</v>
      </c>
      <c r="G53" s="1"/>
      <c r="H53" s="1"/>
      <c r="I53" s="1"/>
      <c r="J53" s="1"/>
      <c r="K53" s="1"/>
      <c r="L53" s="9"/>
    </row>
    <row r="54" spans="2:12">
      <c r="B54" s="8" t="s">
        <v>245</v>
      </c>
      <c r="C54" s="1" t="s">
        <v>113</v>
      </c>
      <c r="D54" s="1" t="s">
        <v>0</v>
      </c>
      <c r="E54" s="1" t="s">
        <v>0</v>
      </c>
      <c r="F54" s="137" t="s">
        <v>255</v>
      </c>
      <c r="G54" s="1"/>
      <c r="H54" s="1"/>
      <c r="I54" s="1"/>
      <c r="J54" s="1"/>
      <c r="K54" s="1"/>
      <c r="L54" s="9"/>
    </row>
    <row r="55" spans="2:12">
      <c r="B55" s="8"/>
      <c r="C55" s="1"/>
      <c r="D55" s="1"/>
      <c r="E55" s="1"/>
      <c r="F55" s="1"/>
      <c r="G55" s="1"/>
      <c r="H55" s="1"/>
      <c r="I55" s="1"/>
      <c r="J55" s="1"/>
      <c r="K55" s="1"/>
      <c r="L55" s="9"/>
    </row>
    <row r="56" spans="2:12" ht="26.25" customHeight="1">
      <c r="B56" s="8"/>
      <c r="C56" s="1"/>
      <c r="D56" s="1" t="s">
        <v>0</v>
      </c>
      <c r="E56" s="1" t="s">
        <v>0</v>
      </c>
      <c r="F56" s="112" t="s">
        <v>205</v>
      </c>
      <c r="G56" s="1" t="s">
        <v>0</v>
      </c>
      <c r="H56" s="1"/>
      <c r="I56" s="1"/>
      <c r="J56" s="1"/>
      <c r="K56" s="1"/>
      <c r="L56" s="9"/>
    </row>
    <row r="57" spans="2:12">
      <c r="B57" s="8"/>
      <c r="C57" s="1"/>
      <c r="D57" s="1"/>
      <c r="E57" s="1"/>
      <c r="F57" s="3"/>
      <c r="G57" s="1"/>
      <c r="H57" s="1"/>
      <c r="I57" s="1"/>
      <c r="J57" s="1"/>
      <c r="K57" s="1"/>
      <c r="L57" s="9"/>
    </row>
    <row r="58" spans="2:12">
      <c r="B58" s="8" t="s">
        <v>245</v>
      </c>
      <c r="C58" s="1" t="s">
        <v>123</v>
      </c>
      <c r="D58" s="1" t="s">
        <v>0</v>
      </c>
      <c r="E58" s="1" t="s">
        <v>0</v>
      </c>
      <c r="F58" s="118" t="s">
        <v>229</v>
      </c>
      <c r="G58" s="1" t="s">
        <v>0</v>
      </c>
      <c r="H58" s="66"/>
      <c r="I58" s="66"/>
      <c r="J58" s="66"/>
      <c r="K58" s="66"/>
      <c r="L58" s="9"/>
    </row>
    <row r="59" spans="2:12">
      <c r="B59" s="10"/>
      <c r="C59" s="11"/>
      <c r="D59" s="11"/>
      <c r="E59" s="11"/>
      <c r="F59" s="12"/>
      <c r="G59" s="11"/>
      <c r="H59" s="11"/>
      <c r="I59" s="11"/>
      <c r="J59" s="11"/>
      <c r="K59" s="11"/>
      <c r="L59" s="13"/>
    </row>
  </sheetData>
  <conditionalFormatting sqref="H26">
    <cfRule type="expression" dxfId="7" priority="2">
      <formula>H26=""</formula>
    </cfRule>
  </conditionalFormatting>
  <conditionalFormatting sqref="I26">
    <cfRule type="expression" dxfId="6" priority="1">
      <formula>I26=""</formula>
    </cfRule>
  </conditionalFormatting>
  <hyperlinks>
    <hyperlink ref="F56" location="'IAS12-ConcGanaCont'!A1" display="Conciliación de la ganancia contable multiplicada por las tasas impositivas aplicables [tabla]"/>
    <hyperlink ref="F58" location="'IAS12-ConcTasaImpo'!A1" display="Conciliación de la tasa impositiva media efectiva y la tasa impositiva aplicable [tabla]"/>
    <hyperlink ref="F34" location="'IAS12-InfoDifeTemp'!A1" display="Información a revelar sobre diferencias temporarias, pérdidas y créditos fiscales no utilizados"/>
    <hyperlink ref="F8" location="'IAS12-CompGastImpu'!A1" display="Principales componentes del gasto (ingreso) por impuestos [tabla]"/>
    <hyperlink ref="F10" location="'IAS12-ImpuCorrDife'!A1" display="Impuestos corrientes y diferidos, relativos a partidas cargadas o acreditadas directamente a patrimonio [tabla]"/>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rgb="FFFFC000"/>
  </sheetPr>
  <dimension ref="A1:I43"/>
  <sheetViews>
    <sheetView zoomScale="80" zoomScaleNormal="80" workbookViewId="0">
      <selection activeCell="G2" sqref="G2"/>
    </sheetView>
  </sheetViews>
  <sheetFormatPr baseColWidth="10" defaultRowHeight="14.4"/>
  <cols>
    <col min="1" max="3" width="2.6640625" customWidth="1"/>
    <col min="4" max="4" width="5" customWidth="1"/>
    <col min="5" max="5" width="2.6640625" customWidth="1"/>
    <col min="6" max="6" width="90.6640625" customWidth="1"/>
    <col min="7" max="7" width="12.88671875" customWidth="1"/>
    <col min="8" max="8" width="13.33203125" customWidth="1"/>
    <col min="9" max="9" width="15.33203125" customWidth="1"/>
  </cols>
  <sheetData>
    <row r="1" spans="1:9" ht="54.9" customHeight="1" thickBot="1"/>
    <row r="2" spans="1:9" ht="177" customHeight="1" thickBot="1">
      <c r="F2" s="42" t="s">
        <v>47</v>
      </c>
    </row>
    <row r="3" spans="1:9" ht="16.2" thickBot="1">
      <c r="F3" s="62"/>
    </row>
    <row r="4" spans="1:9" ht="16.2" thickBot="1">
      <c r="F4" s="63" t="s">
        <v>63</v>
      </c>
      <c r="G4" s="64" t="s">
        <v>64</v>
      </c>
    </row>
    <row r="5" spans="1:9" ht="15.6">
      <c r="F5" s="62"/>
    </row>
    <row r="6" spans="1:9" ht="15" thickBot="1"/>
    <row r="7" spans="1:9" ht="90" customHeight="1">
      <c r="A7" s="14" t="s">
        <v>152</v>
      </c>
      <c r="B7" s="15"/>
      <c r="C7" s="16"/>
      <c r="D7" s="16"/>
      <c r="E7" s="17"/>
      <c r="F7" s="18" t="s">
        <v>174</v>
      </c>
      <c r="G7" s="19" t="s">
        <v>38</v>
      </c>
      <c r="H7" s="19" t="s">
        <v>38</v>
      </c>
      <c r="I7" s="20" t="s">
        <v>160</v>
      </c>
    </row>
    <row r="8" spans="1:9" ht="300" hidden="1" customHeight="1">
      <c r="A8" s="21" t="s">
        <v>153</v>
      </c>
      <c r="B8" s="22"/>
      <c r="C8" s="23"/>
      <c r="D8" s="24" t="s">
        <v>157</v>
      </c>
      <c r="E8" s="68" t="s">
        <v>158</v>
      </c>
      <c r="F8" s="25"/>
      <c r="G8" s="33" t="str">
        <f>SUBSTITUTE(CONCATENATE("IAS12-CompGastImpu_",TRIM(G7),"_",COLUMN(G8),"|",G7)," ","")</f>
        <v>IAS12-CompGastImpu_Agregarcolumnaopcional_7|Agregarcolumnaopcional</v>
      </c>
      <c r="H8" s="81" t="str">
        <f>SUBSTITUTE(CONCATENATE("IAS12-CompGastImpu_",TRIM(H7),"_",COLUMN(H8),"|",H7)," ","")</f>
        <v>IAS12-CompGastImpu_Agregarcolumnaopcional_8|Agregarcolumnaopcional</v>
      </c>
      <c r="I8" s="26" t="s">
        <v>159</v>
      </c>
    </row>
    <row r="9" spans="1:9">
      <c r="A9" s="27"/>
      <c r="B9" s="34"/>
      <c r="C9" s="35"/>
      <c r="D9" s="36"/>
      <c r="E9" s="37"/>
      <c r="F9" s="38"/>
      <c r="G9" s="43"/>
      <c r="H9" s="82"/>
      <c r="I9" s="45"/>
    </row>
    <row r="10" spans="1:9">
      <c r="A10" s="27"/>
      <c r="B10" s="90"/>
      <c r="C10" s="91"/>
      <c r="D10" s="92"/>
      <c r="E10" s="93"/>
      <c r="F10" s="97" t="s">
        <v>176</v>
      </c>
      <c r="G10" s="94"/>
      <c r="H10" s="98"/>
      <c r="I10" s="99"/>
    </row>
    <row r="11" spans="1:9">
      <c r="A11" s="27"/>
      <c r="B11" s="90"/>
      <c r="C11" s="91"/>
      <c r="D11" s="92"/>
      <c r="E11" s="93"/>
      <c r="F11" s="110" t="s">
        <v>200</v>
      </c>
      <c r="G11" s="94"/>
      <c r="H11" s="98"/>
      <c r="I11" s="99"/>
    </row>
    <row r="12" spans="1:9" ht="22.8">
      <c r="A12" s="27"/>
      <c r="B12" s="28"/>
      <c r="C12" s="1"/>
      <c r="D12" s="1" t="s">
        <v>0</v>
      </c>
      <c r="E12" s="1" t="s">
        <v>0</v>
      </c>
      <c r="F12" s="73" t="s">
        <v>161</v>
      </c>
      <c r="G12" s="83" t="s">
        <v>0</v>
      </c>
      <c r="H12" s="83"/>
      <c r="I12" s="70"/>
    </row>
    <row r="13" spans="1:9">
      <c r="A13" s="27"/>
      <c r="B13" s="28"/>
      <c r="C13" s="1" t="s">
        <v>68</v>
      </c>
      <c r="D13" s="1" t="s">
        <v>48</v>
      </c>
      <c r="E13" s="1" t="s">
        <v>0</v>
      </c>
      <c r="F13" s="87" t="s">
        <v>162</v>
      </c>
      <c r="G13" s="67">
        <v>8564330000</v>
      </c>
      <c r="H13" s="84"/>
      <c r="I13" s="71">
        <f>SUM(G13:H13)</f>
        <v>8564330000</v>
      </c>
    </row>
    <row r="14" spans="1:9">
      <c r="A14" s="27"/>
      <c r="B14" s="28"/>
      <c r="C14" s="1" t="s">
        <v>69</v>
      </c>
      <c r="D14" s="1" t="s">
        <v>48</v>
      </c>
      <c r="E14" s="1" t="s">
        <v>0</v>
      </c>
      <c r="F14" s="87" t="s">
        <v>163</v>
      </c>
      <c r="G14" s="84">
        <v>1000</v>
      </c>
      <c r="H14" s="84"/>
      <c r="I14" s="71">
        <f t="shared" ref="I14:I15" si="0">SUM(G14:H14)</f>
        <v>1000</v>
      </c>
    </row>
    <row r="15" spans="1:9" ht="22.8">
      <c r="A15" s="27"/>
      <c r="B15" s="28"/>
      <c r="C15" s="1" t="s">
        <v>70</v>
      </c>
      <c r="D15" s="1" t="s">
        <v>48</v>
      </c>
      <c r="E15" s="1" t="s">
        <v>0</v>
      </c>
      <c r="F15" s="73" t="s">
        <v>164</v>
      </c>
      <c r="G15" s="85">
        <f>G13+G14</f>
        <v>8564331000</v>
      </c>
      <c r="H15" s="85">
        <f>H13+H14</f>
        <v>0</v>
      </c>
      <c r="I15" s="71">
        <f t="shared" si="0"/>
        <v>8564331000</v>
      </c>
    </row>
    <row r="16" spans="1:9">
      <c r="A16" s="27"/>
      <c r="B16" s="28"/>
      <c r="C16" s="1"/>
      <c r="D16" s="1"/>
      <c r="E16" s="1"/>
      <c r="F16" s="73"/>
      <c r="G16" s="88"/>
      <c r="H16" s="88"/>
      <c r="I16" s="89"/>
    </row>
    <row r="17" spans="1:9" ht="22.8">
      <c r="B17" s="28"/>
      <c r="C17" s="1" t="s">
        <v>71</v>
      </c>
      <c r="D17" s="1" t="s">
        <v>48</v>
      </c>
      <c r="E17" s="1" t="s">
        <v>0</v>
      </c>
      <c r="F17" s="75" t="s">
        <v>165</v>
      </c>
      <c r="G17" s="67">
        <v>9749917000</v>
      </c>
      <c r="H17" s="84"/>
      <c r="I17" s="71">
        <f t="shared" ref="I17:I25" si="1">SUM(G17:H17)</f>
        <v>9749917000</v>
      </c>
    </row>
    <row r="18" spans="1:9" ht="22.8">
      <c r="B18" s="28"/>
      <c r="C18" s="1" t="s">
        <v>72</v>
      </c>
      <c r="D18" s="1" t="s">
        <v>48</v>
      </c>
      <c r="E18" s="1" t="s">
        <v>0</v>
      </c>
      <c r="F18" s="75" t="s">
        <v>166</v>
      </c>
      <c r="G18" s="67">
        <v>3000</v>
      </c>
      <c r="H18" s="84"/>
      <c r="I18" s="71">
        <f t="shared" si="1"/>
        <v>3000</v>
      </c>
    </row>
    <row r="19" spans="1:9" ht="34.200000000000003">
      <c r="B19" s="28"/>
      <c r="C19" s="1" t="s">
        <v>73</v>
      </c>
      <c r="D19" s="1" t="s">
        <v>48</v>
      </c>
      <c r="E19" s="1" t="s">
        <v>0</v>
      </c>
      <c r="F19" s="75" t="s">
        <v>167</v>
      </c>
      <c r="G19" s="67">
        <v>18383908000</v>
      </c>
      <c r="H19" s="84"/>
      <c r="I19" s="71">
        <f t="shared" si="1"/>
        <v>18383908000</v>
      </c>
    </row>
    <row r="20" spans="1:9" ht="34.200000000000003">
      <c r="B20" s="28"/>
      <c r="C20" s="1" t="s">
        <v>74</v>
      </c>
      <c r="D20" s="1" t="s">
        <v>48</v>
      </c>
      <c r="E20" s="1" t="s">
        <v>0</v>
      </c>
      <c r="F20" s="75" t="s">
        <v>168</v>
      </c>
      <c r="G20" s="67">
        <v>5000</v>
      </c>
      <c r="H20" s="84"/>
      <c r="I20" s="71">
        <f t="shared" si="1"/>
        <v>5000</v>
      </c>
    </row>
    <row r="21" spans="1:9" ht="22.8">
      <c r="B21" s="28"/>
      <c r="C21" s="1" t="s">
        <v>75</v>
      </c>
      <c r="D21" s="1" t="s">
        <v>48</v>
      </c>
      <c r="E21" s="1" t="s">
        <v>0</v>
      </c>
      <c r="F21" s="75" t="s">
        <v>169</v>
      </c>
      <c r="G21" s="67">
        <v>6000</v>
      </c>
      <c r="H21" s="84"/>
      <c r="I21" s="71">
        <f t="shared" si="1"/>
        <v>6000</v>
      </c>
    </row>
    <row r="22" spans="1:9" ht="22.8">
      <c r="B22" s="28"/>
      <c r="C22" s="1" t="s">
        <v>76</v>
      </c>
      <c r="D22" s="1" t="s">
        <v>48</v>
      </c>
      <c r="E22" s="1" t="s">
        <v>0</v>
      </c>
      <c r="F22" s="75" t="s">
        <v>170</v>
      </c>
      <c r="G22" s="67">
        <v>7000</v>
      </c>
      <c r="H22" s="84"/>
      <c r="I22" s="71">
        <f t="shared" si="1"/>
        <v>7000</v>
      </c>
    </row>
    <row r="23" spans="1:9">
      <c r="B23" s="28"/>
      <c r="C23" s="1" t="s">
        <v>77</v>
      </c>
      <c r="D23" s="1" t="s">
        <v>48</v>
      </c>
      <c r="E23" s="1" t="s">
        <v>0</v>
      </c>
      <c r="F23" s="74" t="s">
        <v>171</v>
      </c>
      <c r="G23" s="67">
        <v>69649000</v>
      </c>
      <c r="H23" s="84"/>
      <c r="I23" s="71">
        <f t="shared" si="1"/>
        <v>69649000</v>
      </c>
    </row>
    <row r="24" spans="1:9">
      <c r="B24" s="28"/>
      <c r="C24" s="1" t="s">
        <v>78</v>
      </c>
      <c r="D24" s="1" t="s">
        <v>48</v>
      </c>
      <c r="E24" s="1" t="s">
        <v>0</v>
      </c>
      <c r="F24" s="74" t="s">
        <v>172</v>
      </c>
      <c r="G24" s="84">
        <v>18083655000</v>
      </c>
      <c r="H24" s="84"/>
      <c r="I24" s="71">
        <f t="shared" si="1"/>
        <v>18083655000</v>
      </c>
    </row>
    <row r="25" spans="1:9">
      <c r="B25" s="28"/>
      <c r="C25" s="1" t="s">
        <v>79</v>
      </c>
      <c r="D25" s="1" t="s">
        <v>48</v>
      </c>
      <c r="E25" s="1" t="s">
        <v>0</v>
      </c>
      <c r="F25" s="76" t="s">
        <v>173</v>
      </c>
      <c r="G25" s="86">
        <f>G15+G17+G18-G19-G20+G21+G22+G23+G24</f>
        <v>18083655000</v>
      </c>
      <c r="H25" s="86">
        <f>H15+H17+H18-H19-H20+H21+H22+H23+H24</f>
        <v>0</v>
      </c>
      <c r="I25" s="72">
        <f t="shared" si="1"/>
        <v>18083655000</v>
      </c>
    </row>
    <row r="26" spans="1:9">
      <c r="B26" s="28"/>
      <c r="C26" s="29"/>
      <c r="D26" s="29"/>
      <c r="E26" s="29"/>
      <c r="F26" s="79"/>
      <c r="G26" s="83" t="s">
        <v>0</v>
      </c>
      <c r="H26" s="83" t="s">
        <v>0</v>
      </c>
      <c r="I26" s="9" t="s">
        <v>0</v>
      </c>
    </row>
    <row r="27" spans="1:9">
      <c r="A27" s="27"/>
      <c r="B27" s="90"/>
      <c r="C27" s="91"/>
      <c r="D27" s="92"/>
      <c r="E27" s="93"/>
      <c r="F27" s="97" t="s">
        <v>175</v>
      </c>
      <c r="G27" s="143"/>
      <c r="H27" s="94"/>
      <c r="I27" s="9" t="s">
        <v>0</v>
      </c>
    </row>
    <row r="28" spans="1:9">
      <c r="A28" s="27"/>
      <c r="B28" s="90"/>
      <c r="C28" s="91"/>
      <c r="D28" s="92"/>
      <c r="E28" s="93"/>
      <c r="F28" s="110" t="s">
        <v>200</v>
      </c>
      <c r="G28" s="143"/>
      <c r="H28" s="94"/>
      <c r="I28" s="9"/>
    </row>
    <row r="29" spans="1:9" ht="22.8">
      <c r="A29" s="27"/>
      <c r="B29" s="28"/>
      <c r="C29" s="1"/>
      <c r="D29" s="1" t="s">
        <v>0</v>
      </c>
      <c r="E29" s="1" t="s">
        <v>0</v>
      </c>
      <c r="F29" s="73" t="s">
        <v>161</v>
      </c>
      <c r="G29" s="83" t="s">
        <v>0</v>
      </c>
      <c r="H29" s="83"/>
      <c r="I29" s="70"/>
    </row>
    <row r="30" spans="1:9">
      <c r="A30" s="27"/>
      <c r="B30" s="28"/>
      <c r="C30" s="1" t="s">
        <v>68</v>
      </c>
      <c r="D30" s="1" t="s">
        <v>50</v>
      </c>
      <c r="E30" s="1" t="s">
        <v>0</v>
      </c>
      <c r="F30" s="87" t="s">
        <v>162</v>
      </c>
      <c r="G30" s="84">
        <v>1000</v>
      </c>
      <c r="H30" s="84"/>
      <c r="I30" s="71">
        <f t="shared" ref="I30:I41" si="2">SUM(G30:H30)</f>
        <v>1000</v>
      </c>
    </row>
    <row r="31" spans="1:9">
      <c r="A31" s="27"/>
      <c r="B31" s="28"/>
      <c r="C31" s="1" t="s">
        <v>69</v>
      </c>
      <c r="D31" s="1" t="s">
        <v>50</v>
      </c>
      <c r="E31" s="1" t="s">
        <v>0</v>
      </c>
      <c r="F31" s="87" t="s">
        <v>163</v>
      </c>
      <c r="G31" s="84">
        <v>2000</v>
      </c>
      <c r="H31" s="84"/>
      <c r="I31" s="71">
        <f t="shared" si="2"/>
        <v>2000</v>
      </c>
    </row>
    <row r="32" spans="1:9" ht="22.8">
      <c r="A32" s="27"/>
      <c r="B32" s="28"/>
      <c r="C32" s="1" t="s">
        <v>70</v>
      </c>
      <c r="D32" s="1" t="s">
        <v>50</v>
      </c>
      <c r="E32" s="1" t="s">
        <v>0</v>
      </c>
      <c r="F32" s="73" t="s">
        <v>164</v>
      </c>
      <c r="G32" s="85">
        <f>G30+G31</f>
        <v>3000</v>
      </c>
      <c r="H32" s="85">
        <f>H30+H31</f>
        <v>0</v>
      </c>
      <c r="I32" s="71">
        <f t="shared" si="2"/>
        <v>3000</v>
      </c>
    </row>
    <row r="33" spans="1:9">
      <c r="A33" s="27"/>
      <c r="B33" s="28"/>
      <c r="C33" s="1"/>
      <c r="D33" s="1"/>
      <c r="E33" s="1"/>
      <c r="F33" s="73"/>
      <c r="G33" s="88"/>
      <c r="H33" s="88"/>
      <c r="I33" s="89"/>
    </row>
    <row r="34" spans="1:9" ht="22.8">
      <c r="B34" s="28"/>
      <c r="C34" s="1" t="s">
        <v>71</v>
      </c>
      <c r="D34" s="1" t="s">
        <v>50</v>
      </c>
      <c r="E34" s="1" t="s">
        <v>0</v>
      </c>
      <c r="F34" s="75" t="s">
        <v>165</v>
      </c>
      <c r="G34" s="84">
        <v>3000</v>
      </c>
      <c r="H34" s="84"/>
      <c r="I34" s="71">
        <f t="shared" si="2"/>
        <v>3000</v>
      </c>
    </row>
    <row r="35" spans="1:9" ht="22.8">
      <c r="B35" s="28"/>
      <c r="C35" s="1" t="s">
        <v>72</v>
      </c>
      <c r="D35" s="1" t="s">
        <v>50</v>
      </c>
      <c r="E35" s="1" t="s">
        <v>0</v>
      </c>
      <c r="F35" s="75" t="s">
        <v>166</v>
      </c>
      <c r="G35" s="84">
        <v>4000</v>
      </c>
      <c r="H35" s="84"/>
      <c r="I35" s="71">
        <f t="shared" si="2"/>
        <v>4000</v>
      </c>
    </row>
    <row r="36" spans="1:9" ht="34.200000000000003">
      <c r="B36" s="28"/>
      <c r="C36" s="1" t="s">
        <v>73</v>
      </c>
      <c r="D36" s="1" t="s">
        <v>50</v>
      </c>
      <c r="E36" s="1" t="s">
        <v>0</v>
      </c>
      <c r="F36" s="75" t="s">
        <v>167</v>
      </c>
      <c r="G36" s="84">
        <v>28000</v>
      </c>
      <c r="H36" s="84"/>
      <c r="I36" s="71">
        <f t="shared" si="2"/>
        <v>28000</v>
      </c>
    </row>
    <row r="37" spans="1:9" ht="34.200000000000003">
      <c r="B37" s="28"/>
      <c r="C37" s="1" t="s">
        <v>74</v>
      </c>
      <c r="D37" s="1" t="s">
        <v>50</v>
      </c>
      <c r="E37" s="1" t="s">
        <v>0</v>
      </c>
      <c r="F37" s="75" t="s">
        <v>168</v>
      </c>
      <c r="G37" s="84">
        <v>6000</v>
      </c>
      <c r="H37" s="84"/>
      <c r="I37" s="71">
        <f t="shared" si="2"/>
        <v>6000</v>
      </c>
    </row>
    <row r="38" spans="1:9" ht="22.8">
      <c r="B38" s="28"/>
      <c r="C38" s="1" t="s">
        <v>75</v>
      </c>
      <c r="D38" s="1" t="s">
        <v>50</v>
      </c>
      <c r="E38" s="1" t="s">
        <v>0</v>
      </c>
      <c r="F38" s="75" t="s">
        <v>169</v>
      </c>
      <c r="G38" s="84">
        <v>7000</v>
      </c>
      <c r="H38" s="84"/>
      <c r="I38" s="71">
        <f t="shared" si="2"/>
        <v>7000</v>
      </c>
    </row>
    <row r="39" spans="1:9" ht="22.8">
      <c r="B39" s="28"/>
      <c r="C39" s="1" t="s">
        <v>76</v>
      </c>
      <c r="D39" s="1" t="s">
        <v>50</v>
      </c>
      <c r="E39" s="1" t="s">
        <v>0</v>
      </c>
      <c r="F39" s="75" t="s">
        <v>170</v>
      </c>
      <c r="G39" s="84">
        <v>8000</v>
      </c>
      <c r="H39" s="84"/>
      <c r="I39" s="71">
        <f t="shared" si="2"/>
        <v>8000</v>
      </c>
    </row>
    <row r="40" spans="1:9">
      <c r="B40" s="28"/>
      <c r="C40" s="1" t="s">
        <v>77</v>
      </c>
      <c r="D40" s="1" t="s">
        <v>50</v>
      </c>
      <c r="E40" s="1" t="s">
        <v>0</v>
      </c>
      <c r="F40" s="74" t="s">
        <v>171</v>
      </c>
      <c r="G40" s="84">
        <v>9000</v>
      </c>
      <c r="H40" s="84"/>
      <c r="I40" s="71">
        <f t="shared" si="2"/>
        <v>9000</v>
      </c>
    </row>
    <row r="41" spans="1:9">
      <c r="B41" s="28"/>
      <c r="C41" s="1" t="s">
        <v>78</v>
      </c>
      <c r="D41" s="1" t="s">
        <v>50</v>
      </c>
      <c r="E41" s="1" t="s">
        <v>0</v>
      </c>
      <c r="F41" s="74" t="s">
        <v>172</v>
      </c>
      <c r="G41" s="84">
        <v>11744400000</v>
      </c>
      <c r="H41" s="84"/>
      <c r="I41" s="71">
        <f t="shared" si="2"/>
        <v>11744400000</v>
      </c>
    </row>
    <row r="42" spans="1:9">
      <c r="B42" s="28"/>
      <c r="C42" s="1" t="s">
        <v>79</v>
      </c>
      <c r="D42" s="1" t="s">
        <v>50</v>
      </c>
      <c r="E42" s="1" t="s">
        <v>0</v>
      </c>
      <c r="F42" s="76" t="s">
        <v>173</v>
      </c>
      <c r="G42" s="86">
        <f>G32+G34+G35-G36-G37+G38+G39+G40+G41</f>
        <v>11744400000</v>
      </c>
      <c r="H42" s="86">
        <f>H32+H34+H35-H36-H37+H38+H39+H40+H41</f>
        <v>0</v>
      </c>
      <c r="I42" s="72">
        <f>I32+I34+I35-I36-I37+I38+I39+I40+I41</f>
        <v>11744400000</v>
      </c>
    </row>
    <row r="43" spans="1:9">
      <c r="B43" s="39"/>
      <c r="C43" s="40"/>
      <c r="D43" s="40"/>
      <c r="E43" s="40"/>
      <c r="F43" s="77"/>
      <c r="G43" s="95"/>
      <c r="H43" s="95"/>
      <c r="I43" s="96"/>
    </row>
  </sheetData>
  <conditionalFormatting sqref="H25">
    <cfRule type="expression" dxfId="5" priority="6">
      <formula>OR(IF(OR(NOT(ISERROR(FIND("ERR",M25)&gt;1)),NOT(ISERROR(FIND("ERR",Q25)&gt;1))),TRUE,FALSE),IF(NOT(ISERR(FIND("ERR",U25)))=TRUE,TRUE,FALSE))</formula>
    </cfRule>
  </conditionalFormatting>
  <conditionalFormatting sqref="I25">
    <cfRule type="expression" dxfId="4" priority="5">
      <formula>OR(IF(OR(NOT(ISERROR(FIND("ERR",N25)&gt;1)),NOT(ISERROR(FIND("ERR",R25)&gt;1))),TRUE,FALSE),IF(NOT(ISERR(FIND("ERR",V25)))=TRUE,TRUE,FALSE))</formula>
    </cfRule>
  </conditionalFormatting>
  <conditionalFormatting sqref="H42">
    <cfRule type="expression" dxfId="3" priority="3">
      <formula>OR(IF(OR(NOT(ISERROR(FIND("ERR",M42)&gt;1)),NOT(ISERROR(FIND("ERR",Q42)&gt;1))),TRUE,FALSE),IF(NOT(ISERR(FIND("ERR",U42)))=TRUE,TRUE,FALSE))</formula>
    </cfRule>
  </conditionalFormatting>
  <conditionalFormatting sqref="G42">
    <cfRule type="expression" dxfId="2" priority="4">
      <formula>OR(IF(OR(NOT(ISERROR(FIND("ERR",L42)&gt;1)),NOT(ISERROR(FIND("ERR",P42)&gt;1))),TRUE,FALSE),IF(NOT(ISERR(FIND("ERR",T42)))=TRUE,TRUE,FALSE))</formula>
    </cfRule>
  </conditionalFormatting>
  <conditionalFormatting sqref="I42">
    <cfRule type="expression" dxfId="1" priority="2">
      <formula>OR(IF(OR(NOT(ISERROR(FIND("ERR",N42)&gt;1)),NOT(ISERROR(FIND("ERR",R42)&gt;1))),TRUE,FALSE),IF(NOT(ISERR(FIND("ERR",V42)))=TRUE,TRUE,FALSE))</formula>
    </cfRule>
  </conditionalFormatting>
  <conditionalFormatting sqref="G25">
    <cfRule type="expression" dxfId="0" priority="1">
      <formula>OR(IF(OR(NOT(ISERROR(FIND("ERR",L25)&gt;1)),NOT(ISERROR(FIND("ERR",P25)&gt;1))),TRUE,FALSE),IF(NOT(ISERR(FIND("ERR",T25)))=TRUE,TRUE,FALSE))</formula>
    </cfRule>
  </conditionalFormatting>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codigos!$A$1:$A$2</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rgb="FFFFFF00"/>
  </sheetPr>
  <dimension ref="A1:I21"/>
  <sheetViews>
    <sheetView topLeftCell="A5" zoomScale="80" zoomScaleNormal="80" workbookViewId="0">
      <selection activeCell="G12" sqref="G12:G19"/>
    </sheetView>
  </sheetViews>
  <sheetFormatPr baseColWidth="10" defaultRowHeight="14.4"/>
  <cols>
    <col min="1" max="3" width="2.6640625" customWidth="1"/>
    <col min="4" max="4" width="5" customWidth="1"/>
    <col min="5" max="5" width="2.6640625" customWidth="1"/>
    <col min="6" max="6" width="90.6640625" customWidth="1"/>
    <col min="7" max="7" width="12.88671875" customWidth="1"/>
    <col min="8" max="8" width="13.33203125" customWidth="1"/>
    <col min="9" max="9" width="11.6640625" customWidth="1"/>
  </cols>
  <sheetData>
    <row r="1" spans="1:9" ht="54.9" customHeight="1" thickBot="1"/>
    <row r="2" spans="1:9" ht="177" customHeight="1" thickBot="1">
      <c r="F2" s="42" t="s">
        <v>47</v>
      </c>
    </row>
    <row r="3" spans="1:9" ht="16.2" thickBot="1">
      <c r="F3" s="62"/>
    </row>
    <row r="4" spans="1:9" ht="16.2" thickBot="1">
      <c r="F4" s="63" t="s">
        <v>63</v>
      </c>
      <c r="G4" s="64" t="s">
        <v>64</v>
      </c>
    </row>
    <row r="5" spans="1:9" ht="15.6">
      <c r="F5" s="62"/>
    </row>
    <row r="6" spans="1:9" ht="15" thickBot="1"/>
    <row r="7" spans="1:9" ht="90" customHeight="1">
      <c r="A7" s="14" t="s">
        <v>152</v>
      </c>
      <c r="B7" s="15"/>
      <c r="C7" s="16"/>
      <c r="D7" s="16"/>
      <c r="E7" s="17"/>
      <c r="F7" s="18" t="s">
        <v>178</v>
      </c>
      <c r="G7" s="19" t="s">
        <v>38</v>
      </c>
      <c r="H7" s="19" t="s">
        <v>38</v>
      </c>
      <c r="I7" s="20" t="s">
        <v>179</v>
      </c>
    </row>
    <row r="8" spans="1:9" ht="300" hidden="1" customHeight="1">
      <c r="A8" s="21" t="s">
        <v>153</v>
      </c>
      <c r="B8" s="22"/>
      <c r="C8" s="23"/>
      <c r="D8" s="100" t="s">
        <v>177</v>
      </c>
      <c r="E8" s="68" t="s">
        <v>181</v>
      </c>
      <c r="F8" s="25"/>
      <c r="G8" s="33" t="str">
        <f>SUBSTITUTE(CONCATENATE("IAS12-ImpuCorrDife_",TRIM(G7),"_",COLUMN(G8),"|",G7)," ","")</f>
        <v>IAS12-ImpuCorrDife_Agregarcolumnaopcional_7|Agregarcolumnaopcional</v>
      </c>
      <c r="H8" s="81" t="str">
        <f>SUBSTITUTE(CONCATENATE("IAS12-ImpuCorrDife_",TRIM(H7),"_",COLUMN(H8),"|",H7)," ","")</f>
        <v>IAS12-ImpuCorrDife_Agregarcolumnaopcional_8|Agregarcolumnaopcional</v>
      </c>
      <c r="I8" s="26" t="s">
        <v>180</v>
      </c>
    </row>
    <row r="9" spans="1:9">
      <c r="A9" s="27"/>
      <c r="B9" s="34"/>
      <c r="C9" s="35"/>
      <c r="D9" s="36"/>
      <c r="E9" s="37"/>
      <c r="F9" s="38"/>
      <c r="G9" s="43"/>
      <c r="H9" s="82"/>
      <c r="I9" s="45"/>
    </row>
    <row r="10" spans="1:9">
      <c r="A10" s="27"/>
      <c r="B10" s="90"/>
      <c r="C10" s="91"/>
      <c r="D10" s="92"/>
      <c r="E10" s="93"/>
      <c r="F10" s="97" t="s">
        <v>176</v>
      </c>
      <c r="G10" s="94"/>
      <c r="H10" s="98"/>
      <c r="I10" s="99"/>
    </row>
    <row r="11" spans="1:9" ht="22.8">
      <c r="A11" s="27"/>
      <c r="B11" s="28"/>
      <c r="C11" s="1"/>
      <c r="D11" s="1" t="s">
        <v>0</v>
      </c>
      <c r="E11" s="1" t="s">
        <v>0</v>
      </c>
      <c r="F11" s="106" t="s">
        <v>185</v>
      </c>
      <c r="G11" s="83" t="s">
        <v>0</v>
      </c>
      <c r="H11" s="83"/>
      <c r="I11" s="70"/>
    </row>
    <row r="12" spans="1:9" ht="22.8">
      <c r="B12" s="28"/>
      <c r="C12" s="1" t="s">
        <v>80</v>
      </c>
      <c r="D12" s="1" t="s">
        <v>48</v>
      </c>
      <c r="E12" s="1" t="s">
        <v>0</v>
      </c>
      <c r="F12" s="102" t="s">
        <v>182</v>
      </c>
      <c r="G12" s="84">
        <v>1000</v>
      </c>
      <c r="H12" s="84"/>
      <c r="I12" s="71">
        <f>SUM(G12:H12)</f>
        <v>1000</v>
      </c>
    </row>
    <row r="13" spans="1:9" ht="22.8">
      <c r="B13" s="28"/>
      <c r="C13" s="1" t="s">
        <v>81</v>
      </c>
      <c r="D13" s="1" t="s">
        <v>48</v>
      </c>
      <c r="E13" s="1" t="s">
        <v>0</v>
      </c>
      <c r="F13" s="102" t="s">
        <v>183</v>
      </c>
      <c r="G13" s="84"/>
      <c r="H13" s="84"/>
      <c r="I13" s="71">
        <f>SUM(G13:H13)</f>
        <v>0</v>
      </c>
    </row>
    <row r="14" spans="1:9" ht="22.8">
      <c r="B14" s="28"/>
      <c r="C14" s="1" t="s">
        <v>82</v>
      </c>
      <c r="D14" s="1" t="s">
        <v>48</v>
      </c>
      <c r="E14" s="1" t="s">
        <v>0</v>
      </c>
      <c r="F14" s="3" t="s">
        <v>184</v>
      </c>
      <c r="G14" s="85">
        <f>G12+G13</f>
        <v>1000</v>
      </c>
      <c r="H14" s="85">
        <f t="shared" ref="H14:I14" si="0">H12+H13</f>
        <v>0</v>
      </c>
      <c r="I14" s="71">
        <f t="shared" si="0"/>
        <v>1000</v>
      </c>
    </row>
    <row r="15" spans="1:9">
      <c r="B15" s="28"/>
      <c r="C15" s="29"/>
      <c r="D15" s="29"/>
      <c r="E15" s="29"/>
      <c r="F15" s="79"/>
      <c r="G15" s="83" t="s">
        <v>0</v>
      </c>
      <c r="H15" s="83" t="s">
        <v>0</v>
      </c>
      <c r="I15" s="9" t="s">
        <v>0</v>
      </c>
    </row>
    <row r="16" spans="1:9">
      <c r="A16" s="27"/>
      <c r="B16" s="90"/>
      <c r="C16" s="91"/>
      <c r="D16" s="92"/>
      <c r="E16" s="93"/>
      <c r="F16" s="97" t="s">
        <v>175</v>
      </c>
      <c r="G16" s="143"/>
      <c r="H16" s="94"/>
      <c r="I16" s="9" t="s">
        <v>0</v>
      </c>
    </row>
    <row r="17" spans="1:9" ht="22.8">
      <c r="A17" s="27"/>
      <c r="B17" s="28"/>
      <c r="C17" s="1"/>
      <c r="D17" s="1" t="s">
        <v>0</v>
      </c>
      <c r="E17" s="1" t="s">
        <v>0</v>
      </c>
      <c r="F17" s="106" t="s">
        <v>185</v>
      </c>
      <c r="G17" s="83" t="s">
        <v>0</v>
      </c>
      <c r="H17" s="83"/>
      <c r="I17" s="70"/>
    </row>
    <row r="18" spans="1:9" ht="22.8">
      <c r="A18" s="27"/>
      <c r="B18" s="28"/>
      <c r="C18" s="1" t="s">
        <v>80</v>
      </c>
      <c r="D18" s="1" t="s">
        <v>50</v>
      </c>
      <c r="E18" s="1" t="s">
        <v>0</v>
      </c>
      <c r="F18" s="102" t="s">
        <v>182</v>
      </c>
      <c r="G18" s="84">
        <v>3000</v>
      </c>
      <c r="H18" s="84"/>
      <c r="I18" s="71">
        <f t="shared" ref="I18:I19" si="1">SUM(G18:H18)</f>
        <v>3000</v>
      </c>
    </row>
    <row r="19" spans="1:9" ht="22.8">
      <c r="A19" s="27"/>
      <c r="B19" s="28"/>
      <c r="C19" s="1" t="s">
        <v>81</v>
      </c>
      <c r="D19" s="1" t="s">
        <v>50</v>
      </c>
      <c r="E19" s="1" t="s">
        <v>0</v>
      </c>
      <c r="F19" s="102" t="s">
        <v>183</v>
      </c>
      <c r="G19" s="84"/>
      <c r="H19" s="84"/>
      <c r="I19" s="71">
        <f t="shared" si="1"/>
        <v>0</v>
      </c>
    </row>
    <row r="20" spans="1:9" ht="22.8">
      <c r="A20" s="27"/>
      <c r="B20" s="28"/>
      <c r="C20" s="1" t="s">
        <v>82</v>
      </c>
      <c r="D20" s="1" t="s">
        <v>50</v>
      </c>
      <c r="E20" s="1" t="s">
        <v>0</v>
      </c>
      <c r="F20" s="3" t="s">
        <v>184</v>
      </c>
      <c r="G20" s="85">
        <f>G18+G19</f>
        <v>3000</v>
      </c>
      <c r="H20" s="85">
        <f t="shared" ref="H20" si="2">H18+H19</f>
        <v>0</v>
      </c>
      <c r="I20" s="71">
        <f t="shared" ref="I20" si="3">I18+I19</f>
        <v>3000</v>
      </c>
    </row>
    <row r="21" spans="1:9">
      <c r="B21" s="39"/>
      <c r="C21" s="40"/>
      <c r="D21" s="40"/>
      <c r="E21" s="40"/>
      <c r="F21" s="77"/>
      <c r="G21" s="95"/>
      <c r="H21" s="95"/>
      <c r="I21" s="96"/>
    </row>
  </sheetData>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codigos!$A$1:$A$2</xm:f>
          </x14:formula1>
          <xm:sqref>G4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rgb="FF92D050"/>
  </sheetPr>
  <dimension ref="A1:I43"/>
  <sheetViews>
    <sheetView topLeftCell="A3" zoomScale="80" zoomScaleNormal="80" workbookViewId="0">
      <selection activeCell="G19" sqref="G19"/>
    </sheetView>
  </sheetViews>
  <sheetFormatPr baseColWidth="10" defaultRowHeight="14.4"/>
  <cols>
    <col min="1" max="3" width="2.6640625" customWidth="1"/>
    <col min="4" max="4" width="5" customWidth="1"/>
    <col min="5" max="5" width="2.6640625" customWidth="1"/>
    <col min="6" max="6" width="90.6640625" customWidth="1"/>
    <col min="7" max="7" width="20.6640625" customWidth="1"/>
    <col min="8" max="8" width="13.33203125" customWidth="1"/>
    <col min="9" max="9" width="11.6640625" customWidth="1"/>
  </cols>
  <sheetData>
    <row r="1" spans="1:9" ht="54.9" customHeight="1" thickBot="1"/>
    <row r="2" spans="1:9" ht="177" customHeight="1" thickBot="1">
      <c r="F2" s="42" t="s">
        <v>47</v>
      </c>
    </row>
    <row r="3" spans="1:9" ht="16.2" thickBot="1">
      <c r="F3" s="62"/>
    </row>
    <row r="4" spans="1:9" ht="16.2" thickBot="1">
      <c r="F4" s="63" t="s">
        <v>63</v>
      </c>
      <c r="G4" s="64" t="s">
        <v>64</v>
      </c>
    </row>
    <row r="5" spans="1:9" ht="90" customHeight="1">
      <c r="A5" s="14" t="s">
        <v>152</v>
      </c>
      <c r="B5" s="15"/>
      <c r="C5" s="16"/>
      <c r="D5" s="16"/>
      <c r="E5" s="17"/>
      <c r="F5" s="18" t="s">
        <v>186</v>
      </c>
      <c r="G5" s="19" t="s">
        <v>38</v>
      </c>
      <c r="H5" s="19" t="s">
        <v>38</v>
      </c>
      <c r="I5" s="20" t="s">
        <v>160</v>
      </c>
    </row>
    <row r="6" spans="1:9" ht="179.25" hidden="1" customHeight="1">
      <c r="A6" s="21" t="s">
        <v>153</v>
      </c>
      <c r="B6" s="22"/>
      <c r="C6" s="23"/>
      <c r="D6" s="108" t="s">
        <v>230</v>
      </c>
      <c r="E6" s="109" t="s">
        <v>231</v>
      </c>
      <c r="F6" s="25"/>
      <c r="G6" s="33" t="str">
        <f>SUBSTITUTE(CONCATENATE("IAS12-ImpuResuInte_",TRIM(G5),"_",COLUMN(G6),"|",G5)," ","")</f>
        <v>IAS12-ImpuResuInte_Agregarcolumnaopcional_7|Agregarcolumnaopcional</v>
      </c>
      <c r="H6" s="81" t="str">
        <f>SUBSTITUTE(CONCATENATE("IAS12-ImpuResuInte_",TRIM(H5),"_",COLUMN(H6),"|",H5)," ","")</f>
        <v>IAS12-ImpuResuInte_Agregarcolumnaopcional_8|Agregarcolumnaopcional</v>
      </c>
      <c r="I6" s="26" t="s">
        <v>232</v>
      </c>
    </row>
    <row r="7" spans="1:9">
      <c r="A7" s="27"/>
      <c r="B7" s="34"/>
      <c r="C7" s="35"/>
      <c r="D7" s="36"/>
      <c r="E7" s="37"/>
      <c r="F7" s="38"/>
      <c r="G7" s="43"/>
      <c r="H7" s="82"/>
      <c r="I7" s="45"/>
    </row>
    <row r="8" spans="1:9">
      <c r="A8" s="27"/>
      <c r="B8" s="90"/>
      <c r="C8" s="91"/>
      <c r="D8" s="92"/>
      <c r="E8" s="93"/>
      <c r="F8" s="97" t="s">
        <v>176</v>
      </c>
      <c r="G8" s="94"/>
      <c r="H8" s="98"/>
      <c r="I8" s="99"/>
    </row>
    <row r="9" spans="1:9">
      <c r="A9" s="27"/>
      <c r="B9" s="28"/>
      <c r="C9" s="1"/>
      <c r="D9" s="1" t="s">
        <v>0</v>
      </c>
      <c r="E9" s="1" t="s">
        <v>0</v>
      </c>
      <c r="F9" s="104" t="s">
        <v>199</v>
      </c>
      <c r="G9" s="83" t="s">
        <v>0</v>
      </c>
      <c r="H9" s="83"/>
      <c r="I9" s="70"/>
    </row>
    <row r="10" spans="1:9" ht="22.8">
      <c r="A10" s="27"/>
      <c r="B10" s="28"/>
      <c r="C10" s="1" t="s">
        <v>83</v>
      </c>
      <c r="D10" s="1" t="s">
        <v>48</v>
      </c>
      <c r="E10" s="1" t="s">
        <v>0</v>
      </c>
      <c r="F10" s="105" t="s">
        <v>187</v>
      </c>
      <c r="G10" s="84">
        <v>1000</v>
      </c>
      <c r="H10" s="84"/>
      <c r="I10" s="130">
        <f>SUM(G10:H10)</f>
        <v>1000</v>
      </c>
    </row>
    <row r="11" spans="1:9" ht="22.8">
      <c r="A11" s="27"/>
      <c r="B11" s="133"/>
      <c r="C11" s="134" t="s">
        <v>243</v>
      </c>
      <c r="D11" s="134" t="s">
        <v>48</v>
      </c>
      <c r="E11" s="134" t="s">
        <v>0</v>
      </c>
      <c r="F11" s="135" t="s">
        <v>244</v>
      </c>
      <c r="G11" s="84">
        <v>1000</v>
      </c>
      <c r="H11" s="84"/>
      <c r="I11" s="136">
        <f t="shared" ref="I11" si="0">SUM(G11:H11)</f>
        <v>1000</v>
      </c>
    </row>
    <row r="12" spans="1:9" ht="22.8">
      <c r="A12" s="27"/>
      <c r="B12" s="28"/>
      <c r="C12" s="1" t="s">
        <v>84</v>
      </c>
      <c r="D12" s="1" t="s">
        <v>48</v>
      </c>
      <c r="E12" s="1" t="s">
        <v>0</v>
      </c>
      <c r="F12" s="105" t="s">
        <v>188</v>
      </c>
      <c r="G12" s="84"/>
      <c r="H12" s="84"/>
      <c r="I12" s="130">
        <f t="shared" ref="I12:I23" si="1">SUM(G12:H12)</f>
        <v>0</v>
      </c>
    </row>
    <row r="13" spans="1:9" ht="22.8">
      <c r="A13" s="27"/>
      <c r="B13" s="28"/>
      <c r="C13" s="1" t="s">
        <v>85</v>
      </c>
      <c r="D13" s="1" t="s">
        <v>48</v>
      </c>
      <c r="E13" s="1" t="s">
        <v>0</v>
      </c>
      <c r="F13" s="105" t="s">
        <v>189</v>
      </c>
      <c r="G13" s="84">
        <v>261083000</v>
      </c>
      <c r="H13" s="84"/>
      <c r="I13" s="130">
        <f t="shared" si="1"/>
        <v>261083000</v>
      </c>
    </row>
    <row r="14" spans="1:9" ht="22.8">
      <c r="A14" s="27"/>
      <c r="B14" s="28"/>
      <c r="C14" s="1" t="s">
        <v>86</v>
      </c>
      <c r="D14" s="1" t="s">
        <v>48</v>
      </c>
      <c r="E14" s="1" t="s">
        <v>0</v>
      </c>
      <c r="F14" s="105" t="s">
        <v>190</v>
      </c>
      <c r="G14" s="84"/>
      <c r="H14" s="84"/>
      <c r="I14" s="130">
        <f t="shared" si="1"/>
        <v>0</v>
      </c>
    </row>
    <row r="15" spans="1:9" ht="22.8">
      <c r="B15" s="28"/>
      <c r="C15" s="1" t="s">
        <v>87</v>
      </c>
      <c r="D15" s="1" t="s">
        <v>48</v>
      </c>
      <c r="E15" s="1" t="s">
        <v>0</v>
      </c>
      <c r="F15" s="105" t="s">
        <v>191</v>
      </c>
      <c r="G15" s="84"/>
      <c r="H15" s="84"/>
      <c r="I15" s="130">
        <f t="shared" si="1"/>
        <v>0</v>
      </c>
    </row>
    <row r="16" spans="1:9" ht="22.8">
      <c r="B16" s="28"/>
      <c r="C16" s="1" t="s">
        <v>88</v>
      </c>
      <c r="D16" s="1" t="s">
        <v>48</v>
      </c>
      <c r="E16" s="1" t="s">
        <v>0</v>
      </c>
      <c r="F16" s="105" t="s">
        <v>192</v>
      </c>
      <c r="G16" s="84"/>
      <c r="H16" s="84"/>
      <c r="I16" s="130">
        <f t="shared" si="1"/>
        <v>0</v>
      </c>
    </row>
    <row r="17" spans="1:9" ht="22.8">
      <c r="B17" s="28"/>
      <c r="C17" s="1" t="s">
        <v>89</v>
      </c>
      <c r="D17" s="1" t="s">
        <v>48</v>
      </c>
      <c r="E17" s="1" t="s">
        <v>0</v>
      </c>
      <c r="F17" s="105" t="s">
        <v>193</v>
      </c>
      <c r="G17" s="84">
        <v>-1000</v>
      </c>
      <c r="H17" s="84"/>
      <c r="I17" s="130">
        <f t="shared" si="1"/>
        <v>-1000</v>
      </c>
    </row>
    <row r="18" spans="1:9" ht="22.8">
      <c r="B18" s="28"/>
      <c r="C18" s="1" t="s">
        <v>90</v>
      </c>
      <c r="D18" s="1" t="s">
        <v>48</v>
      </c>
      <c r="E18" s="1" t="s">
        <v>0</v>
      </c>
      <c r="F18" s="105" t="s">
        <v>194</v>
      </c>
      <c r="G18" s="84"/>
      <c r="H18" s="84"/>
      <c r="I18" s="130">
        <f t="shared" si="1"/>
        <v>0</v>
      </c>
    </row>
    <row r="19" spans="1:9" ht="22.8">
      <c r="B19" s="28"/>
      <c r="C19" s="1" t="s">
        <v>91</v>
      </c>
      <c r="D19" s="1" t="s">
        <v>48</v>
      </c>
      <c r="E19" s="1" t="s">
        <v>0</v>
      </c>
      <c r="F19" s="105" t="s">
        <v>198</v>
      </c>
      <c r="G19" s="84"/>
      <c r="H19" s="84"/>
      <c r="I19" s="130">
        <f t="shared" si="1"/>
        <v>0</v>
      </c>
    </row>
    <row r="20" spans="1:9" ht="22.8">
      <c r="B20" s="28"/>
      <c r="C20" s="1" t="s">
        <v>92</v>
      </c>
      <c r="D20" s="1" t="s">
        <v>48</v>
      </c>
      <c r="E20" s="1" t="s">
        <v>0</v>
      </c>
      <c r="F20" s="105" t="s">
        <v>195</v>
      </c>
      <c r="G20" s="84"/>
      <c r="H20" s="84"/>
      <c r="I20" s="130">
        <f t="shared" si="1"/>
        <v>0</v>
      </c>
    </row>
    <row r="21" spans="1:9" ht="22.8">
      <c r="B21" s="28"/>
      <c r="C21" s="1" t="s">
        <v>93</v>
      </c>
      <c r="D21" s="1" t="s">
        <v>48</v>
      </c>
      <c r="E21" s="1" t="s">
        <v>0</v>
      </c>
      <c r="F21" s="105" t="s">
        <v>196</v>
      </c>
      <c r="G21" s="84"/>
      <c r="H21" s="84"/>
      <c r="I21" s="130">
        <f t="shared" si="1"/>
        <v>0</v>
      </c>
    </row>
    <row r="22" spans="1:9" ht="22.8">
      <c r="B22" s="28"/>
      <c r="C22" s="1" t="s">
        <v>94</v>
      </c>
      <c r="D22" s="1" t="s">
        <v>48</v>
      </c>
      <c r="E22" s="1"/>
      <c r="F22" s="105" t="s">
        <v>62</v>
      </c>
      <c r="G22" s="84">
        <v>-1000</v>
      </c>
      <c r="H22" s="84"/>
      <c r="I22" s="130">
        <f t="shared" si="1"/>
        <v>-1000</v>
      </c>
    </row>
    <row r="23" spans="1:9" ht="22.8">
      <c r="B23" s="28"/>
      <c r="C23" s="1" t="s">
        <v>66</v>
      </c>
      <c r="D23" s="1" t="s">
        <v>48</v>
      </c>
      <c r="E23" s="1"/>
      <c r="F23" s="105" t="s">
        <v>156</v>
      </c>
      <c r="G23" s="84">
        <v>1000</v>
      </c>
      <c r="H23" s="84"/>
      <c r="I23" s="130">
        <f t="shared" si="1"/>
        <v>1000</v>
      </c>
    </row>
    <row r="24" spans="1:9">
      <c r="B24" s="28"/>
      <c r="C24" s="29" t="s">
        <v>95</v>
      </c>
      <c r="D24" s="1" t="s">
        <v>48</v>
      </c>
      <c r="E24" s="29" t="s">
        <v>0</v>
      </c>
      <c r="F24" s="107" t="s">
        <v>197</v>
      </c>
      <c r="G24" s="85">
        <f>G18+G20+G12+G13+G15+G14+G19+G21+G10+G16+G17+G22+G23+G11</f>
        <v>261084000</v>
      </c>
      <c r="H24" s="71">
        <f>H18+H20+H12+H13+H15+H14+H19+H21+H10+H16+H17+H22+H23+H11</f>
        <v>0</v>
      </c>
      <c r="I24" s="71">
        <f>I18+I20+I12+I13+I15+I14+I19+I21+I10+I16+I17+I22+I23+I11</f>
        <v>261084000</v>
      </c>
    </row>
    <row r="25" spans="1:9">
      <c r="B25" s="28"/>
      <c r="C25" s="29"/>
      <c r="D25" s="29"/>
      <c r="E25" s="29"/>
      <c r="F25" s="80"/>
      <c r="G25" s="83"/>
      <c r="H25" s="83"/>
      <c r="I25" s="9"/>
    </row>
    <row r="26" spans="1:9">
      <c r="A26" s="27"/>
      <c r="B26" s="90"/>
      <c r="C26" s="91"/>
      <c r="D26" s="92"/>
      <c r="E26" s="93"/>
      <c r="F26" s="97" t="s">
        <v>175</v>
      </c>
      <c r="G26" s="94"/>
      <c r="H26" s="94"/>
      <c r="I26" s="9" t="s">
        <v>0</v>
      </c>
    </row>
    <row r="27" spans="1:9">
      <c r="A27" s="27"/>
      <c r="B27" s="28"/>
      <c r="C27" s="1"/>
      <c r="D27" s="1" t="s">
        <v>0</v>
      </c>
      <c r="E27" s="1" t="s">
        <v>0</v>
      </c>
      <c r="F27" s="104" t="s">
        <v>199</v>
      </c>
      <c r="G27" s="83" t="s">
        <v>0</v>
      </c>
      <c r="H27" s="83"/>
      <c r="I27" s="70"/>
    </row>
    <row r="28" spans="1:9" ht="22.8">
      <c r="A28" s="27"/>
      <c r="B28" s="28"/>
      <c r="C28" s="1" t="s">
        <v>83</v>
      </c>
      <c r="D28" s="1" t="s">
        <v>50</v>
      </c>
      <c r="E28" s="1" t="s">
        <v>0</v>
      </c>
      <c r="F28" s="105" t="s">
        <v>187</v>
      </c>
      <c r="G28" s="84">
        <v>3000</v>
      </c>
      <c r="H28" s="84"/>
      <c r="I28" s="130">
        <f>SUM(G28:H28)</f>
        <v>3000</v>
      </c>
    </row>
    <row r="29" spans="1:9" ht="22.8">
      <c r="A29" s="27"/>
      <c r="B29" s="133"/>
      <c r="C29" s="134" t="s">
        <v>243</v>
      </c>
      <c r="D29" s="134" t="s">
        <v>50</v>
      </c>
      <c r="E29" s="134" t="s">
        <v>0</v>
      </c>
      <c r="F29" s="135" t="s">
        <v>244</v>
      </c>
      <c r="G29" s="84">
        <v>2000</v>
      </c>
      <c r="H29" s="84"/>
      <c r="I29" s="136">
        <f t="shared" ref="I29" si="2">SUM(G29:H29)</f>
        <v>2000</v>
      </c>
    </row>
    <row r="30" spans="1:9" ht="22.8">
      <c r="A30" s="27"/>
      <c r="B30" s="28"/>
      <c r="C30" s="1" t="s">
        <v>84</v>
      </c>
      <c r="D30" s="1" t="s">
        <v>50</v>
      </c>
      <c r="E30" s="1" t="s">
        <v>0</v>
      </c>
      <c r="F30" s="105" t="s">
        <v>188</v>
      </c>
      <c r="G30" s="84"/>
      <c r="H30" s="84"/>
      <c r="I30" s="130">
        <f t="shared" ref="I30:I41" si="3">SUM(G30:H30)</f>
        <v>0</v>
      </c>
    </row>
    <row r="31" spans="1:9" ht="22.8">
      <c r="A31" s="27"/>
      <c r="B31" s="28"/>
      <c r="C31" s="1" t="s">
        <v>85</v>
      </c>
      <c r="D31" s="1" t="s">
        <v>50</v>
      </c>
      <c r="E31" s="1" t="s">
        <v>0</v>
      </c>
      <c r="F31" s="105" t="s">
        <v>189</v>
      </c>
      <c r="G31" s="84">
        <v>-577470000</v>
      </c>
      <c r="H31" s="84"/>
      <c r="I31" s="130">
        <f t="shared" si="3"/>
        <v>-577470000</v>
      </c>
    </row>
    <row r="32" spans="1:9" ht="22.8">
      <c r="A32" s="27"/>
      <c r="B32" s="28"/>
      <c r="C32" s="1" t="s">
        <v>86</v>
      </c>
      <c r="D32" s="1" t="s">
        <v>50</v>
      </c>
      <c r="E32" s="1" t="s">
        <v>0</v>
      </c>
      <c r="F32" s="105" t="s">
        <v>190</v>
      </c>
      <c r="G32" s="84"/>
      <c r="H32" s="84"/>
      <c r="I32" s="130">
        <f t="shared" si="3"/>
        <v>0</v>
      </c>
    </row>
    <row r="33" spans="2:9" ht="22.8">
      <c r="B33" s="28"/>
      <c r="C33" s="1" t="s">
        <v>87</v>
      </c>
      <c r="D33" s="1" t="s">
        <v>50</v>
      </c>
      <c r="E33" s="1" t="s">
        <v>0</v>
      </c>
      <c r="F33" s="105" t="s">
        <v>191</v>
      </c>
      <c r="G33" s="84"/>
      <c r="H33" s="84"/>
      <c r="I33" s="130">
        <f t="shared" si="3"/>
        <v>0</v>
      </c>
    </row>
    <row r="34" spans="2:9" ht="22.8">
      <c r="B34" s="28"/>
      <c r="C34" s="1" t="s">
        <v>88</v>
      </c>
      <c r="D34" s="1" t="s">
        <v>50</v>
      </c>
      <c r="E34" s="1" t="s">
        <v>0</v>
      </c>
      <c r="F34" s="105" t="s">
        <v>192</v>
      </c>
      <c r="G34" s="84"/>
      <c r="H34" s="84"/>
      <c r="I34" s="130">
        <f t="shared" si="3"/>
        <v>0</v>
      </c>
    </row>
    <row r="35" spans="2:9" ht="22.8">
      <c r="B35" s="28"/>
      <c r="C35" s="1" t="s">
        <v>89</v>
      </c>
      <c r="D35" s="1" t="s">
        <v>50</v>
      </c>
      <c r="E35" s="1" t="s">
        <v>0</v>
      </c>
      <c r="F35" s="105" t="s">
        <v>193</v>
      </c>
      <c r="G35" s="84">
        <v>-2000</v>
      </c>
      <c r="H35" s="84"/>
      <c r="I35" s="130">
        <f t="shared" si="3"/>
        <v>-2000</v>
      </c>
    </row>
    <row r="36" spans="2:9" ht="22.8">
      <c r="B36" s="28"/>
      <c r="C36" s="1" t="s">
        <v>90</v>
      </c>
      <c r="D36" s="1" t="s">
        <v>50</v>
      </c>
      <c r="E36" s="1" t="s">
        <v>0</v>
      </c>
      <c r="F36" s="105" t="s">
        <v>194</v>
      </c>
      <c r="G36" s="84"/>
      <c r="H36" s="84"/>
      <c r="I36" s="130">
        <f t="shared" si="3"/>
        <v>0</v>
      </c>
    </row>
    <row r="37" spans="2:9" ht="22.8">
      <c r="B37" s="28"/>
      <c r="C37" s="1" t="s">
        <v>91</v>
      </c>
      <c r="D37" s="1" t="s">
        <v>50</v>
      </c>
      <c r="E37" s="1" t="s">
        <v>0</v>
      </c>
      <c r="F37" s="105" t="s">
        <v>198</v>
      </c>
      <c r="G37" s="84"/>
      <c r="H37" s="84"/>
      <c r="I37" s="130">
        <f t="shared" si="3"/>
        <v>0</v>
      </c>
    </row>
    <row r="38" spans="2:9" ht="22.8">
      <c r="B38" s="28"/>
      <c r="C38" s="1" t="s">
        <v>92</v>
      </c>
      <c r="D38" s="1" t="s">
        <v>50</v>
      </c>
      <c r="E38" s="1" t="s">
        <v>0</v>
      </c>
      <c r="F38" s="105" t="s">
        <v>195</v>
      </c>
      <c r="G38" s="84"/>
      <c r="H38" s="84"/>
      <c r="I38" s="130">
        <f t="shared" si="3"/>
        <v>0</v>
      </c>
    </row>
    <row r="39" spans="2:9" ht="22.8">
      <c r="B39" s="28"/>
      <c r="C39" s="1" t="s">
        <v>93</v>
      </c>
      <c r="D39" s="1" t="s">
        <v>50</v>
      </c>
      <c r="E39" s="1" t="s">
        <v>0</v>
      </c>
      <c r="F39" s="105" t="s">
        <v>196</v>
      </c>
      <c r="G39" s="84"/>
      <c r="H39" s="84"/>
      <c r="I39" s="130">
        <f t="shared" si="3"/>
        <v>0</v>
      </c>
    </row>
    <row r="40" spans="2:9" ht="22.8">
      <c r="B40" s="28"/>
      <c r="C40" s="1" t="s">
        <v>94</v>
      </c>
      <c r="D40" s="1" t="s">
        <v>50</v>
      </c>
      <c r="E40" s="1"/>
      <c r="F40" s="105" t="s">
        <v>62</v>
      </c>
      <c r="G40" s="84">
        <v>-3000</v>
      </c>
      <c r="H40" s="84"/>
      <c r="I40" s="130">
        <f t="shared" si="3"/>
        <v>-3000</v>
      </c>
    </row>
    <row r="41" spans="2:9" ht="22.8">
      <c r="B41" s="28"/>
      <c r="C41" s="1" t="s">
        <v>66</v>
      </c>
      <c r="D41" s="1" t="s">
        <v>50</v>
      </c>
      <c r="E41" s="1"/>
      <c r="F41" s="105" t="s">
        <v>156</v>
      </c>
      <c r="G41" s="84">
        <v>2000</v>
      </c>
      <c r="H41" s="84"/>
      <c r="I41" s="130">
        <f t="shared" si="3"/>
        <v>2000</v>
      </c>
    </row>
    <row r="42" spans="2:9">
      <c r="B42" s="28"/>
      <c r="C42" s="29" t="s">
        <v>95</v>
      </c>
      <c r="D42" s="1" t="s">
        <v>50</v>
      </c>
      <c r="E42" s="29" t="s">
        <v>0</v>
      </c>
      <c r="F42" s="107" t="s">
        <v>197</v>
      </c>
      <c r="G42" s="85">
        <f>G36+G38+G30+G31+G33+G32+G37+G39+G28+G34+G35+G40+G41+G29</f>
        <v>-577468000</v>
      </c>
      <c r="H42" s="85">
        <f>H36+H38+H30+H31+H33+H32+H37+H39+H28+H34+H35+H40+H41+H29</f>
        <v>0</v>
      </c>
      <c r="I42" s="85">
        <f>I36+I38+I30+I31+I33+I32+I37+I39+I28+I34+I35+I40+I41+I29</f>
        <v>-577468000</v>
      </c>
    </row>
    <row r="43" spans="2:9">
      <c r="B43" s="39"/>
      <c r="C43" s="40"/>
      <c r="D43" s="40"/>
      <c r="E43" s="40"/>
      <c r="F43" s="77"/>
      <c r="G43" s="95"/>
      <c r="H43" s="95"/>
      <c r="I43" s="96"/>
    </row>
  </sheetData>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codigos!$A$1:$A$2</xm:f>
          </x14:formula1>
          <xm:sqref>G4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8" tint="0.39997558519241921"/>
  </sheetPr>
  <dimension ref="A1:S54"/>
  <sheetViews>
    <sheetView topLeftCell="A8" zoomScale="70" zoomScaleNormal="70" workbookViewId="0">
      <selection activeCell="I27" sqref="I27"/>
    </sheetView>
  </sheetViews>
  <sheetFormatPr baseColWidth="10" defaultRowHeight="14.4"/>
  <cols>
    <col min="1" max="3" width="2.6640625" customWidth="1"/>
    <col min="4" max="4" width="5" customWidth="1"/>
    <col min="5" max="5" width="2.6640625" customWidth="1"/>
    <col min="6" max="6" width="90.6640625" customWidth="1"/>
    <col min="7" max="7" width="12.88671875" customWidth="1"/>
    <col min="8" max="8" width="13.33203125" customWidth="1"/>
    <col min="9" max="9" width="15.44140625" customWidth="1"/>
    <col min="12" max="12" width="12" customWidth="1"/>
    <col min="19" max="19" width="12.109375" customWidth="1"/>
  </cols>
  <sheetData>
    <row r="1" spans="1:19" ht="54.9" customHeight="1" thickBot="1"/>
    <row r="2" spans="1:19" ht="177" customHeight="1" thickBot="1">
      <c r="F2" s="42" t="s">
        <v>47</v>
      </c>
    </row>
    <row r="3" spans="1:19" ht="16.2" thickBot="1">
      <c r="F3" s="62"/>
    </row>
    <row r="4" spans="1:19" ht="16.2" thickBot="1">
      <c r="F4" s="63" t="s">
        <v>63</v>
      </c>
      <c r="G4" s="64" t="s">
        <v>64</v>
      </c>
    </row>
    <row r="5" spans="1:19" ht="90" customHeight="1">
      <c r="A5" s="14" t="s">
        <v>152</v>
      </c>
      <c r="B5" s="15"/>
      <c r="C5" s="16"/>
      <c r="D5" s="16"/>
      <c r="E5" s="17"/>
      <c r="F5" s="18" t="s">
        <v>53</v>
      </c>
      <c r="G5" s="54" t="s">
        <v>42</v>
      </c>
      <c r="H5" s="20" t="s">
        <v>43</v>
      </c>
      <c r="I5" s="17" t="s">
        <v>44</v>
      </c>
      <c r="J5" s="19" t="s">
        <v>233</v>
      </c>
      <c r="K5" s="19" t="s">
        <v>234</v>
      </c>
      <c r="L5" s="17" t="s">
        <v>41</v>
      </c>
      <c r="M5" s="19" t="s">
        <v>237</v>
      </c>
      <c r="N5" s="19" t="s">
        <v>238</v>
      </c>
      <c r="O5" s="17" t="s">
        <v>45</v>
      </c>
      <c r="P5" s="19" t="s">
        <v>235</v>
      </c>
      <c r="Q5" s="19" t="s">
        <v>236</v>
      </c>
      <c r="R5" s="20" t="s">
        <v>46</v>
      </c>
      <c r="S5" s="20" t="s">
        <v>40</v>
      </c>
    </row>
    <row r="6" spans="1:19" ht="300" hidden="1" customHeight="1">
      <c r="A6" s="21" t="s">
        <v>153</v>
      </c>
      <c r="B6" s="22"/>
      <c r="C6" s="23"/>
      <c r="D6" s="24" t="s">
        <v>155</v>
      </c>
      <c r="E6" s="68" t="s">
        <v>154</v>
      </c>
      <c r="F6" s="25"/>
      <c r="G6" s="26" t="s">
        <v>134</v>
      </c>
      <c r="H6" s="26" t="s">
        <v>135</v>
      </c>
      <c r="I6" s="119" t="s">
        <v>136</v>
      </c>
      <c r="J6" s="33" t="str">
        <f t="shared" ref="J6:K6" si="0">SUBSTITUTE(CONCATENATE("IAS12-InfoDifeTemp_",TRIM(J5),"_",COLUMN(J6),"|",J5)," ","")</f>
        <v>IAS12-InfoDifeTemp_Diferencia1_10|Diferencia1</v>
      </c>
      <c r="K6" s="33" t="str">
        <f t="shared" si="0"/>
        <v>IAS12-InfoDifeTemp_Diferencia2_11|Diferencia2</v>
      </c>
      <c r="L6" s="119" t="s">
        <v>137</v>
      </c>
      <c r="M6" s="33" t="str">
        <f>SUBSTITUTE(CONCATENATE("IAS12-InfoDifeTemp_",TRIM(M5),"_",COLUMN(M6),"|",M5)," ","")</f>
        <v>IAS12-InfoDifeTemp_Perdidas1_13|Perdidas1</v>
      </c>
      <c r="N6" s="33" t="str">
        <f>SUBSTITUTE(CONCATENATE("IAS12-InfoDifeTemp_",TRIM(N5),"_",COLUMN(N6),"|",N5)," ","")</f>
        <v>IAS12-InfoDifeTemp_Perdidas2_14|Perdidas2</v>
      </c>
      <c r="O6" s="119" t="s">
        <v>138</v>
      </c>
      <c r="P6" s="33" t="str">
        <f>SUBSTITUTE(CONCATENATE("IAS12-InfoDifeTemp_",TRIM(P5),"_",COLUMN(P6),"|",P5)," ","")</f>
        <v>IAS12-InfoDifeTemp_Credito1_16|Credito1</v>
      </c>
      <c r="Q6" s="33" t="str">
        <f>SUBSTITUTE(CONCATENATE("IAS12-InfoDifeTemp_",TRIM(Q5),"_",COLUMN(Q6),"|",Q5)," ","")</f>
        <v>IAS12-InfoDifeTemp_Credito2_17|Credito2</v>
      </c>
      <c r="R6" s="26" t="s">
        <v>139</v>
      </c>
      <c r="S6" s="26" t="s">
        <v>140</v>
      </c>
    </row>
    <row r="7" spans="1:19">
      <c r="A7" s="27"/>
      <c r="B7" s="34"/>
      <c r="C7" s="35"/>
      <c r="D7" s="36"/>
      <c r="E7" s="37"/>
      <c r="F7" s="38"/>
      <c r="G7" s="37"/>
      <c r="H7" s="37"/>
      <c r="I7" s="37"/>
      <c r="J7" s="43"/>
      <c r="K7" s="43"/>
      <c r="L7" s="37"/>
      <c r="M7" s="43"/>
      <c r="N7" s="43"/>
      <c r="O7" s="37"/>
      <c r="P7" s="43"/>
      <c r="Q7" s="43"/>
      <c r="R7" s="37"/>
      <c r="S7" s="45"/>
    </row>
    <row r="8" spans="1:19">
      <c r="A8" s="27"/>
      <c r="B8" s="28"/>
      <c r="C8" s="29"/>
      <c r="D8" s="30" t="s">
        <v>0</v>
      </c>
      <c r="E8" s="31" t="s">
        <v>0</v>
      </c>
      <c r="F8" s="55" t="s">
        <v>21</v>
      </c>
      <c r="G8" s="29"/>
      <c r="H8" s="29"/>
      <c r="I8" s="29"/>
      <c r="J8" s="44"/>
      <c r="K8" s="44"/>
      <c r="L8" s="29"/>
      <c r="M8" s="44"/>
      <c r="N8" s="44"/>
      <c r="O8" s="29"/>
      <c r="P8" s="44"/>
      <c r="Q8" s="44"/>
      <c r="R8" s="29"/>
      <c r="S8" s="46"/>
    </row>
    <row r="9" spans="1:19">
      <c r="A9" s="27"/>
      <c r="B9" s="28" t="s">
        <v>246</v>
      </c>
      <c r="C9" s="29" t="s">
        <v>150</v>
      </c>
      <c r="D9" s="30" t="s">
        <v>48</v>
      </c>
      <c r="E9" s="29" t="s">
        <v>0</v>
      </c>
      <c r="F9" s="29" t="s">
        <v>22</v>
      </c>
      <c r="G9" s="57"/>
      <c r="H9" s="32"/>
      <c r="I9" s="144">
        <v>43516148000</v>
      </c>
      <c r="J9" s="50"/>
      <c r="K9" s="50"/>
      <c r="L9" s="120">
        <f>+G9+H9+I9+SUM(J9:K9)</f>
        <v>43516148000</v>
      </c>
      <c r="M9" s="50"/>
      <c r="N9" s="50"/>
      <c r="O9" s="120">
        <f>SUM(M9:N9)</f>
        <v>0</v>
      </c>
      <c r="P9" s="50"/>
      <c r="Q9" s="50"/>
      <c r="R9" s="48">
        <f>SUM(P9:Q9)</f>
        <v>0</v>
      </c>
      <c r="S9" s="48">
        <f>+L9+O9+R9</f>
        <v>43516148000</v>
      </c>
    </row>
    <row r="10" spans="1:19">
      <c r="A10" s="27"/>
      <c r="B10" s="28" t="s">
        <v>246</v>
      </c>
      <c r="C10" s="29" t="s">
        <v>151</v>
      </c>
      <c r="D10" s="30" t="s">
        <v>48</v>
      </c>
      <c r="E10" s="29" t="s">
        <v>0</v>
      </c>
      <c r="F10" s="29" t="s">
        <v>23</v>
      </c>
      <c r="G10" s="57"/>
      <c r="H10" s="32"/>
      <c r="I10" s="144">
        <v>130050387000</v>
      </c>
      <c r="J10" s="50"/>
      <c r="K10" s="50"/>
      <c r="L10" s="120">
        <f>+G10+H10+I10+SUM(J10:K10)</f>
        <v>130050387000</v>
      </c>
      <c r="M10" s="50"/>
      <c r="N10" s="50"/>
      <c r="O10" s="120">
        <f t="shared" ref="O10" si="1">SUM(M10:N10)</f>
        <v>0</v>
      </c>
      <c r="P10" s="50"/>
      <c r="Q10" s="50"/>
      <c r="R10" s="48">
        <f t="shared" ref="R10" si="2">SUM(P10:Q10)</f>
        <v>0</v>
      </c>
      <c r="S10" s="48">
        <f>+L10+O10+R10</f>
        <v>130050387000</v>
      </c>
    </row>
    <row r="11" spans="1:19">
      <c r="A11" s="27"/>
      <c r="B11" s="28" t="s">
        <v>246</v>
      </c>
      <c r="C11" s="29" t="s">
        <v>141</v>
      </c>
      <c r="D11" s="30" t="s">
        <v>48</v>
      </c>
      <c r="E11" s="29" t="s">
        <v>0</v>
      </c>
      <c r="F11" s="55" t="s">
        <v>24</v>
      </c>
      <c r="G11" s="58">
        <f>G10-G9</f>
        <v>0</v>
      </c>
      <c r="H11" s="48">
        <f>H10-H9</f>
        <v>0</v>
      </c>
      <c r="I11" s="145">
        <f t="shared" ref="I11" si="3">I10-I9</f>
        <v>86534239000</v>
      </c>
      <c r="J11" s="49">
        <f t="shared" ref="J11:K11" si="4">J10-J9</f>
        <v>0</v>
      </c>
      <c r="K11" s="49">
        <f t="shared" si="4"/>
        <v>0</v>
      </c>
      <c r="L11" s="120">
        <f t="shared" ref="L11" si="5">L10-L9</f>
        <v>86534239000</v>
      </c>
      <c r="M11" s="49">
        <f>M10-M9</f>
        <v>0</v>
      </c>
      <c r="N11" s="49">
        <f>N10-N9</f>
        <v>0</v>
      </c>
      <c r="O11" s="120">
        <f t="shared" ref="O11:S11" si="6">O10-O9</f>
        <v>0</v>
      </c>
      <c r="P11" s="49">
        <f>P10-P9</f>
        <v>0</v>
      </c>
      <c r="Q11" s="49">
        <f>Q10-Q9</f>
        <v>0</v>
      </c>
      <c r="R11" s="48">
        <f t="shared" ref="R11" si="7">R10-R9</f>
        <v>0</v>
      </c>
      <c r="S11" s="48">
        <f t="shared" si="6"/>
        <v>86534239000</v>
      </c>
    </row>
    <row r="12" spans="1:19">
      <c r="B12" s="28"/>
      <c r="C12" s="29"/>
      <c r="D12" s="29" t="s">
        <v>0</v>
      </c>
      <c r="E12" s="29" t="s">
        <v>0</v>
      </c>
      <c r="F12" s="55" t="s">
        <v>25</v>
      </c>
      <c r="G12" s="29"/>
      <c r="H12" s="29"/>
      <c r="I12" s="146"/>
      <c r="J12" s="44"/>
      <c r="K12" s="44"/>
      <c r="L12" s="29"/>
      <c r="M12" s="44"/>
      <c r="N12" s="44"/>
      <c r="O12" s="29"/>
      <c r="P12" s="44"/>
      <c r="Q12" s="44"/>
      <c r="R12" s="29"/>
      <c r="S12" s="41"/>
    </row>
    <row r="13" spans="1:19">
      <c r="B13" s="28" t="s">
        <v>246</v>
      </c>
      <c r="C13" s="29" t="s">
        <v>142</v>
      </c>
      <c r="D13" s="30" t="s">
        <v>48</v>
      </c>
      <c r="E13" s="29" t="s">
        <v>0</v>
      </c>
      <c r="F13" s="29" t="s">
        <v>26</v>
      </c>
      <c r="G13" s="57"/>
      <c r="H13" s="32"/>
      <c r="I13" s="147"/>
      <c r="J13" s="50"/>
      <c r="K13" s="50"/>
      <c r="L13" s="120">
        <f>+G13+H13+I13+SUM(J13:K13)</f>
        <v>0</v>
      </c>
      <c r="M13" s="50"/>
      <c r="N13" s="50"/>
      <c r="O13" s="120">
        <f t="shared" ref="O13:O14" si="8">SUM(M13:N13)</f>
        <v>0</v>
      </c>
      <c r="P13" s="50"/>
      <c r="Q13" s="50"/>
      <c r="R13" s="48">
        <f t="shared" ref="R13:R14" si="9">SUM(P13:Q13)</f>
        <v>0</v>
      </c>
      <c r="S13" s="48">
        <f>+L13+O13+R13</f>
        <v>0</v>
      </c>
    </row>
    <row r="14" spans="1:19">
      <c r="B14" s="28" t="s">
        <v>246</v>
      </c>
      <c r="C14" s="29" t="s">
        <v>143</v>
      </c>
      <c r="D14" s="30" t="s">
        <v>48</v>
      </c>
      <c r="E14" s="29" t="s">
        <v>0</v>
      </c>
      <c r="F14" s="29" t="s">
        <v>27</v>
      </c>
      <c r="G14" s="57"/>
      <c r="H14" s="32"/>
      <c r="I14" s="147"/>
      <c r="J14" s="50"/>
      <c r="K14" s="50"/>
      <c r="L14" s="120">
        <f>+G14+H14+I14+SUM(J14:K14)</f>
        <v>0</v>
      </c>
      <c r="M14" s="50"/>
      <c r="N14" s="50"/>
      <c r="O14" s="120">
        <f t="shared" si="8"/>
        <v>0</v>
      </c>
      <c r="P14" s="50"/>
      <c r="Q14" s="50"/>
      <c r="R14" s="48">
        <f t="shared" si="9"/>
        <v>0</v>
      </c>
      <c r="S14" s="48">
        <f>+L14+O14+R14</f>
        <v>0</v>
      </c>
    </row>
    <row r="15" spans="1:19">
      <c r="B15" s="28"/>
      <c r="C15" s="29"/>
      <c r="D15" s="29" t="s">
        <v>0</v>
      </c>
      <c r="E15" s="29" t="s">
        <v>0</v>
      </c>
      <c r="F15" s="55" t="s">
        <v>28</v>
      </c>
      <c r="G15" s="52"/>
      <c r="H15" s="52"/>
      <c r="I15" s="148"/>
      <c r="J15" s="51"/>
      <c r="K15" s="51"/>
      <c r="L15" s="52"/>
      <c r="M15" s="51"/>
      <c r="N15" s="51"/>
      <c r="O15" s="52"/>
      <c r="P15" s="51"/>
      <c r="Q15" s="51"/>
      <c r="R15" s="52"/>
      <c r="S15" s="53"/>
    </row>
    <row r="16" spans="1:19">
      <c r="B16" s="28" t="s">
        <v>246</v>
      </c>
      <c r="C16" s="29" t="s">
        <v>144</v>
      </c>
      <c r="D16" s="30" t="s">
        <v>48</v>
      </c>
      <c r="E16" s="29" t="s">
        <v>0</v>
      </c>
      <c r="F16" s="29" t="s">
        <v>29</v>
      </c>
      <c r="G16" s="57"/>
      <c r="H16" s="32"/>
      <c r="I16" s="144">
        <v>9749917000</v>
      </c>
      <c r="J16" s="50"/>
      <c r="K16" s="50"/>
      <c r="L16" s="120">
        <f>+G16+H16+I16+SUM(J16:K16)</f>
        <v>9749917000</v>
      </c>
      <c r="M16" s="50"/>
      <c r="N16" s="50"/>
      <c r="O16" s="120">
        <f t="shared" ref="O16:O17" si="10">SUM(M16:N16)</f>
        <v>0</v>
      </c>
      <c r="P16" s="50"/>
      <c r="Q16" s="50"/>
      <c r="R16" s="48">
        <f t="shared" ref="R16:R17" si="11">SUM(P16:Q16)</f>
        <v>0</v>
      </c>
      <c r="S16" s="48">
        <f>+L16+O16+R16</f>
        <v>9749917000</v>
      </c>
    </row>
    <row r="17" spans="1:19">
      <c r="B17" s="28" t="s">
        <v>246</v>
      </c>
      <c r="C17" s="29" t="s">
        <v>145</v>
      </c>
      <c r="D17" s="30" t="s">
        <v>48</v>
      </c>
      <c r="E17" s="29" t="s">
        <v>0</v>
      </c>
      <c r="F17" s="29" t="s">
        <v>30</v>
      </c>
      <c r="G17" s="57"/>
      <c r="H17" s="32"/>
      <c r="I17" s="144">
        <v>18083655000</v>
      </c>
      <c r="J17" s="50"/>
      <c r="K17" s="50"/>
      <c r="L17" s="120">
        <f>+G17+H17+I17+SUM(J17:K17)</f>
        <v>18083655000</v>
      </c>
      <c r="M17" s="50"/>
      <c r="N17" s="50"/>
      <c r="O17" s="120">
        <f t="shared" si="10"/>
        <v>0</v>
      </c>
      <c r="P17" s="50"/>
      <c r="Q17" s="50"/>
      <c r="R17" s="48">
        <f t="shared" si="11"/>
        <v>0</v>
      </c>
      <c r="S17" s="48">
        <f>+L17+O17+R17</f>
        <v>18083655000</v>
      </c>
    </row>
    <row r="18" spans="1:19">
      <c r="B18" s="28"/>
      <c r="C18" s="29"/>
      <c r="D18" s="29" t="s">
        <v>0</v>
      </c>
      <c r="E18" s="29" t="s">
        <v>0</v>
      </c>
      <c r="F18" s="55" t="s">
        <v>31</v>
      </c>
      <c r="G18" s="52"/>
      <c r="H18" s="52"/>
      <c r="I18" s="148"/>
      <c r="J18" s="51"/>
      <c r="K18" s="51"/>
      <c r="L18" s="52"/>
      <c r="M18" s="51"/>
      <c r="N18" s="51"/>
      <c r="O18" s="52"/>
      <c r="P18" s="51"/>
      <c r="Q18" s="51"/>
      <c r="R18" s="52"/>
      <c r="S18" s="53"/>
    </row>
    <row r="19" spans="1:19">
      <c r="A19" t="s">
        <v>49</v>
      </c>
      <c r="B19" s="28" t="s">
        <v>246</v>
      </c>
      <c r="C19" s="29" t="s">
        <v>141</v>
      </c>
      <c r="D19" s="30" t="s">
        <v>48</v>
      </c>
      <c r="E19" s="29" t="s">
        <v>0</v>
      </c>
      <c r="F19" s="29" t="s">
        <v>241</v>
      </c>
      <c r="G19" s="57"/>
      <c r="H19" s="32"/>
      <c r="I19" s="144">
        <v>64583210000</v>
      </c>
      <c r="J19" s="50"/>
      <c r="K19" s="50"/>
      <c r="L19" s="120">
        <f>+G19+H19+I19+SUM(J19:K19)</f>
        <v>64583210000</v>
      </c>
      <c r="M19" s="50"/>
      <c r="N19" s="50"/>
      <c r="O19" s="120">
        <f>SUM(M19:N19)</f>
        <v>0</v>
      </c>
      <c r="P19" s="50"/>
      <c r="Q19" s="50"/>
      <c r="R19" s="48">
        <f>SUM(P19:Q19)</f>
        <v>0</v>
      </c>
      <c r="S19" s="48">
        <f>+L19+O19+R19</f>
        <v>64583210000</v>
      </c>
    </row>
    <row r="20" spans="1:19">
      <c r="B20" s="28"/>
      <c r="C20" s="29"/>
      <c r="D20" s="29" t="s">
        <v>0</v>
      </c>
      <c r="E20" s="29" t="s">
        <v>0</v>
      </c>
      <c r="F20" s="55" t="s">
        <v>32</v>
      </c>
      <c r="G20" s="52"/>
      <c r="H20" s="52"/>
      <c r="I20" s="148"/>
      <c r="J20" s="51"/>
      <c r="K20" s="51"/>
      <c r="L20" s="52"/>
      <c r="M20" s="51"/>
      <c r="N20" s="51"/>
      <c r="O20" s="52"/>
      <c r="P20" s="51"/>
      <c r="Q20" s="51"/>
      <c r="R20" s="52"/>
      <c r="S20" s="53"/>
    </row>
    <row r="21" spans="1:19">
      <c r="B21" s="28" t="s">
        <v>246</v>
      </c>
      <c r="C21" s="29" t="s">
        <v>145</v>
      </c>
      <c r="D21" s="30" t="s">
        <v>48</v>
      </c>
      <c r="E21" s="29" t="s">
        <v>0</v>
      </c>
      <c r="F21" s="29" t="s">
        <v>30</v>
      </c>
      <c r="G21" s="58">
        <f>G17</f>
        <v>0</v>
      </c>
      <c r="H21" s="58">
        <f t="shared" ref="H21:Q21" si="12">H17</f>
        <v>0</v>
      </c>
      <c r="I21" s="149">
        <f t="shared" si="12"/>
        <v>18083655000</v>
      </c>
      <c r="J21" s="124">
        <f t="shared" ref="J21:K21" si="13">J17</f>
        <v>0</v>
      </c>
      <c r="K21" s="124">
        <f t="shared" si="13"/>
        <v>0</v>
      </c>
      <c r="L21" s="120">
        <f t="shared" ref="L21:L26" si="14">+G21+H21+I21+SUM(J21:K21)</f>
        <v>18083655000</v>
      </c>
      <c r="M21" s="49">
        <f t="shared" ref="M21" si="15">M17</f>
        <v>0</v>
      </c>
      <c r="N21" s="49">
        <f t="shared" si="12"/>
        <v>0</v>
      </c>
      <c r="O21" s="120">
        <f t="shared" ref="O21" si="16">SUM(N21:N21)</f>
        <v>0</v>
      </c>
      <c r="P21" s="49">
        <f t="shared" ref="P21" si="17">P17</f>
        <v>0</v>
      </c>
      <c r="Q21" s="49">
        <f t="shared" si="12"/>
        <v>0</v>
      </c>
      <c r="R21" s="48">
        <f t="shared" ref="R21" si="18">SUM(Q21:Q21)</f>
        <v>0</v>
      </c>
      <c r="S21" s="48">
        <f t="shared" ref="S21:S26" si="19">+L21+O21+R21</f>
        <v>18083655000</v>
      </c>
    </row>
    <row r="22" spans="1:19" ht="22.8">
      <c r="B22" s="28" t="s">
        <v>246</v>
      </c>
      <c r="C22" s="29" t="s">
        <v>81</v>
      </c>
      <c r="D22" s="30" t="s">
        <v>48</v>
      </c>
      <c r="E22" s="29" t="s">
        <v>0</v>
      </c>
      <c r="F22" s="56" t="s">
        <v>51</v>
      </c>
      <c r="G22" s="57"/>
      <c r="H22" s="32"/>
      <c r="I22" s="147"/>
      <c r="J22" s="50"/>
      <c r="K22" s="50"/>
      <c r="L22" s="120">
        <f t="shared" si="14"/>
        <v>0</v>
      </c>
      <c r="M22" s="50"/>
      <c r="N22" s="50"/>
      <c r="O22" s="120">
        <f t="shared" ref="O22:O28" si="20">SUM(M22:N22)</f>
        <v>0</v>
      </c>
      <c r="P22" s="50"/>
      <c r="Q22" s="50"/>
      <c r="R22" s="48">
        <f t="shared" ref="R22:R28" si="21">SUM(P22:Q22)</f>
        <v>0</v>
      </c>
      <c r="S22" s="48">
        <f t="shared" si="19"/>
        <v>0</v>
      </c>
    </row>
    <row r="23" spans="1:19">
      <c r="B23" s="28" t="s">
        <v>246</v>
      </c>
      <c r="C23" s="29" t="s">
        <v>95</v>
      </c>
      <c r="D23" s="30" t="s">
        <v>48</v>
      </c>
      <c r="E23" s="29" t="s">
        <v>0</v>
      </c>
      <c r="F23" s="56" t="s">
        <v>33</v>
      </c>
      <c r="G23" s="57"/>
      <c r="H23" s="32"/>
      <c r="I23" s="144">
        <v>261084000</v>
      </c>
      <c r="J23" s="50"/>
      <c r="K23" s="50"/>
      <c r="L23" s="120">
        <f t="shared" si="14"/>
        <v>261084000</v>
      </c>
      <c r="M23" s="50"/>
      <c r="N23" s="50"/>
      <c r="O23" s="120">
        <f t="shared" si="20"/>
        <v>0</v>
      </c>
      <c r="P23" s="50"/>
      <c r="Q23" s="50"/>
      <c r="R23" s="48">
        <f t="shared" si="21"/>
        <v>0</v>
      </c>
      <c r="S23" s="48">
        <f t="shared" si="19"/>
        <v>261084000</v>
      </c>
    </row>
    <row r="24" spans="1:19" ht="22.8">
      <c r="B24" s="28" t="s">
        <v>246</v>
      </c>
      <c r="C24" s="29" t="s">
        <v>146</v>
      </c>
      <c r="D24" s="30" t="s">
        <v>48</v>
      </c>
      <c r="E24" s="29" t="s">
        <v>0</v>
      </c>
      <c r="F24" s="56" t="s">
        <v>34</v>
      </c>
      <c r="G24" s="57"/>
      <c r="H24" s="32"/>
      <c r="I24" s="144"/>
      <c r="J24" s="50"/>
      <c r="K24" s="50"/>
      <c r="L24" s="120">
        <f t="shared" si="14"/>
        <v>0</v>
      </c>
      <c r="M24" s="50"/>
      <c r="N24" s="50"/>
      <c r="O24" s="120">
        <f t="shared" si="20"/>
        <v>0</v>
      </c>
      <c r="P24" s="50"/>
      <c r="Q24" s="50"/>
      <c r="R24" s="48">
        <f t="shared" si="21"/>
        <v>0</v>
      </c>
      <c r="S24" s="48">
        <f t="shared" si="19"/>
        <v>0</v>
      </c>
    </row>
    <row r="25" spans="1:19" ht="22.8">
      <c r="B25" s="28" t="s">
        <v>246</v>
      </c>
      <c r="C25" s="29" t="s">
        <v>147</v>
      </c>
      <c r="D25" s="30" t="s">
        <v>48</v>
      </c>
      <c r="E25" s="29" t="s">
        <v>0</v>
      </c>
      <c r="F25" s="56" t="s">
        <v>35</v>
      </c>
      <c r="G25" s="57"/>
      <c r="H25" s="32"/>
      <c r="I25" s="144"/>
      <c r="J25" s="50"/>
      <c r="K25" s="50"/>
      <c r="L25" s="120">
        <f t="shared" si="14"/>
        <v>0</v>
      </c>
      <c r="M25" s="50"/>
      <c r="N25" s="50"/>
      <c r="O25" s="120">
        <f t="shared" si="20"/>
        <v>0</v>
      </c>
      <c r="P25" s="50"/>
      <c r="Q25" s="50"/>
      <c r="R25" s="48">
        <f t="shared" si="21"/>
        <v>0</v>
      </c>
      <c r="S25" s="48">
        <f t="shared" si="19"/>
        <v>0</v>
      </c>
    </row>
    <row r="26" spans="1:19" ht="22.8">
      <c r="B26" s="28" t="s">
        <v>246</v>
      </c>
      <c r="C26" s="29" t="s">
        <v>148</v>
      </c>
      <c r="D26" s="30" t="s">
        <v>48</v>
      </c>
      <c r="E26" s="29" t="s">
        <v>0</v>
      </c>
      <c r="F26" s="56" t="s">
        <v>36</v>
      </c>
      <c r="G26" s="57"/>
      <c r="H26" s="32"/>
      <c r="I26" s="144">
        <v>3606290000</v>
      </c>
      <c r="J26" s="50"/>
      <c r="K26" s="50"/>
      <c r="L26" s="120">
        <f t="shared" si="14"/>
        <v>3606290000</v>
      </c>
      <c r="M26" s="50"/>
      <c r="N26" s="50"/>
      <c r="O26" s="120">
        <f t="shared" si="20"/>
        <v>0</v>
      </c>
      <c r="P26" s="50"/>
      <c r="Q26" s="50"/>
      <c r="R26" s="48">
        <f t="shared" si="21"/>
        <v>0</v>
      </c>
      <c r="S26" s="48">
        <f t="shared" si="19"/>
        <v>3606290000</v>
      </c>
    </row>
    <row r="27" spans="1:19">
      <c r="B27" s="28" t="s">
        <v>246</v>
      </c>
      <c r="C27" s="29" t="s">
        <v>149</v>
      </c>
      <c r="D27" s="30" t="s">
        <v>48</v>
      </c>
      <c r="E27" s="29" t="s">
        <v>0</v>
      </c>
      <c r="F27" s="55" t="s">
        <v>37</v>
      </c>
      <c r="G27" s="58">
        <f>G21+G22+G23+G24+G25+G26</f>
        <v>0</v>
      </c>
      <c r="H27" s="58">
        <f t="shared" ref="H27:S27" si="22">H21+H22+H23+H24+H25+H26</f>
        <v>0</v>
      </c>
      <c r="I27" s="121">
        <f t="shared" si="22"/>
        <v>21951029000</v>
      </c>
      <c r="J27" s="124">
        <f t="shared" ref="J27:K27" si="23">J21+J22+J23+J24+J25+J26</f>
        <v>0</v>
      </c>
      <c r="K27" s="124">
        <f t="shared" si="23"/>
        <v>0</v>
      </c>
      <c r="L27" s="120">
        <f t="shared" si="22"/>
        <v>21951029000</v>
      </c>
      <c r="M27" s="124">
        <f t="shared" ref="M27" si="24">M21+M22+M23+M24+M25+M26</f>
        <v>0</v>
      </c>
      <c r="N27" s="124">
        <f t="shared" si="22"/>
        <v>0</v>
      </c>
      <c r="O27" s="120">
        <f t="shared" si="22"/>
        <v>0</v>
      </c>
      <c r="P27" s="124">
        <f t="shared" ref="P27" si="25">P21+P22+P23+P24+P25+P26</f>
        <v>0</v>
      </c>
      <c r="Q27" s="124">
        <f t="shared" si="22"/>
        <v>0</v>
      </c>
      <c r="R27" s="48">
        <f t="shared" si="22"/>
        <v>0</v>
      </c>
      <c r="S27" s="58">
        <f t="shared" si="22"/>
        <v>21951029000</v>
      </c>
    </row>
    <row r="28" spans="1:19">
      <c r="B28" s="28" t="s">
        <v>246</v>
      </c>
      <c r="C28" s="29" t="s">
        <v>141</v>
      </c>
      <c r="D28" s="30" t="s">
        <v>48</v>
      </c>
      <c r="E28" s="29" t="s">
        <v>0</v>
      </c>
      <c r="F28" s="29" t="s">
        <v>24</v>
      </c>
      <c r="G28" s="58">
        <f t="shared" ref="G28:K28" si="26">G19+G27</f>
        <v>0</v>
      </c>
      <c r="H28" s="58">
        <f t="shared" si="26"/>
        <v>0</v>
      </c>
      <c r="I28" s="121">
        <f t="shared" si="26"/>
        <v>86534239000</v>
      </c>
      <c r="J28" s="124">
        <f t="shared" si="26"/>
        <v>0</v>
      </c>
      <c r="K28" s="124">
        <f t="shared" si="26"/>
        <v>0</v>
      </c>
      <c r="L28" s="120">
        <f>+G28+H28+I28+SUM(J28:K28)</f>
        <v>86534239000</v>
      </c>
      <c r="M28" s="124">
        <f>M19+M27</f>
        <v>0</v>
      </c>
      <c r="N28" s="124">
        <f>N19+N27</f>
        <v>0</v>
      </c>
      <c r="O28" s="120">
        <f t="shared" si="20"/>
        <v>0</v>
      </c>
      <c r="P28" s="124">
        <f>P19+P27</f>
        <v>0</v>
      </c>
      <c r="Q28" s="124">
        <f>Q19+Q27</f>
        <v>0</v>
      </c>
      <c r="R28" s="48">
        <f t="shared" si="21"/>
        <v>0</v>
      </c>
      <c r="S28" s="58">
        <f>+L28+O28+R28</f>
        <v>86534239000</v>
      </c>
    </row>
    <row r="29" spans="1:19">
      <c r="B29" s="39"/>
      <c r="C29" s="40"/>
      <c r="D29" s="40"/>
      <c r="E29" s="40"/>
      <c r="F29" s="40"/>
      <c r="G29" s="60">
        <f t="shared" ref="G29:S29" si="27">G11-G28</f>
        <v>0</v>
      </c>
      <c r="H29" s="60">
        <f t="shared" si="27"/>
        <v>0</v>
      </c>
      <c r="I29" s="122">
        <f t="shared" si="27"/>
        <v>0</v>
      </c>
      <c r="J29" s="125">
        <f t="shared" ref="J29:K29" si="28">J11-J28</f>
        <v>0</v>
      </c>
      <c r="K29" s="125">
        <f t="shared" si="28"/>
        <v>0</v>
      </c>
      <c r="L29" s="129">
        <f t="shared" si="27"/>
        <v>0</v>
      </c>
      <c r="M29" s="125">
        <f t="shared" ref="M29" si="29">M11-M28</f>
        <v>0</v>
      </c>
      <c r="N29" s="125">
        <f t="shared" si="27"/>
        <v>0</v>
      </c>
      <c r="O29" s="129">
        <f t="shared" si="27"/>
        <v>0</v>
      </c>
      <c r="P29" s="125">
        <f t="shared" ref="P29" si="30">P11-P28</f>
        <v>0</v>
      </c>
      <c r="Q29" s="125">
        <f t="shared" si="27"/>
        <v>0</v>
      </c>
      <c r="R29" s="123">
        <f t="shared" si="27"/>
        <v>0</v>
      </c>
      <c r="S29" s="60">
        <f t="shared" si="27"/>
        <v>0</v>
      </c>
    </row>
    <row r="30" spans="1:19">
      <c r="J30" s="126"/>
      <c r="K30" s="126"/>
      <c r="M30" s="126"/>
      <c r="N30" s="126"/>
      <c r="P30" s="126"/>
      <c r="Q30" s="126"/>
    </row>
    <row r="31" spans="1:19" ht="90" customHeight="1">
      <c r="A31" s="14"/>
      <c r="B31" s="15"/>
      <c r="C31" s="16"/>
      <c r="D31" s="16"/>
      <c r="E31" s="17"/>
      <c r="F31" s="18" t="s">
        <v>54</v>
      </c>
      <c r="G31" s="20" t="s">
        <v>42</v>
      </c>
      <c r="H31" s="20" t="s">
        <v>43</v>
      </c>
      <c r="I31" s="17" t="s">
        <v>44</v>
      </c>
      <c r="J31" s="127" t="str">
        <f t="shared" ref="J31:K31" si="31">IF(J5="Agregar columna opcional","",J5)</f>
        <v>Diferencia 1</v>
      </c>
      <c r="K31" s="127" t="str">
        <f t="shared" si="31"/>
        <v>Diferencia 2</v>
      </c>
      <c r="L31" s="17" t="s">
        <v>41</v>
      </c>
      <c r="M31" s="127" t="str">
        <f>IF(M5="Agregar columna opcional","",M5)</f>
        <v>Perdidas 1</v>
      </c>
      <c r="N31" s="127" t="str">
        <f>IF(N5="Agregar columna opcional","",N5)</f>
        <v>Perdidas 2</v>
      </c>
      <c r="O31" s="17" t="s">
        <v>45</v>
      </c>
      <c r="P31" s="127" t="str">
        <f>IF(P5="Agregar columna opcional","",P5)</f>
        <v>Credito 1</v>
      </c>
      <c r="Q31" s="127" t="str">
        <f>IF(Q5="Agregar columna opcional","",Q5)</f>
        <v>Credito 2</v>
      </c>
      <c r="R31" s="20" t="s">
        <v>46</v>
      </c>
      <c r="S31" s="20" t="s">
        <v>40</v>
      </c>
    </row>
    <row r="32" spans="1:19">
      <c r="A32" s="27"/>
      <c r="B32" s="34"/>
      <c r="C32" s="35"/>
      <c r="D32" s="36"/>
      <c r="E32" s="37"/>
      <c r="F32" s="38"/>
      <c r="G32" s="37"/>
      <c r="H32" s="37"/>
      <c r="I32" s="37"/>
      <c r="J32" s="47"/>
      <c r="K32" s="47"/>
      <c r="L32" s="37"/>
      <c r="M32" s="47"/>
      <c r="N32" s="47"/>
      <c r="O32" s="37"/>
      <c r="P32" s="47"/>
      <c r="Q32" s="47"/>
      <c r="R32" s="37"/>
      <c r="S32" s="37"/>
    </row>
    <row r="33" spans="1:19">
      <c r="A33" s="27"/>
      <c r="B33" s="28"/>
      <c r="C33" s="29"/>
      <c r="D33" s="30" t="s">
        <v>0</v>
      </c>
      <c r="E33" s="31" t="s">
        <v>0</v>
      </c>
      <c r="F33" s="55" t="s">
        <v>21</v>
      </c>
      <c r="G33" s="29"/>
      <c r="H33" s="29"/>
      <c r="I33" s="29"/>
      <c r="J33" s="44"/>
      <c r="K33" s="44"/>
      <c r="L33" s="29"/>
      <c r="M33" s="44"/>
      <c r="N33" s="44"/>
      <c r="O33" s="29"/>
      <c r="P33" s="44"/>
      <c r="Q33" s="44"/>
      <c r="R33" s="29"/>
      <c r="S33" s="46"/>
    </row>
    <row r="34" spans="1:19">
      <c r="A34" s="27" t="s">
        <v>49</v>
      </c>
      <c r="B34" s="28" t="s">
        <v>246</v>
      </c>
      <c r="C34" s="29" t="s">
        <v>150</v>
      </c>
      <c r="D34" s="30" t="s">
        <v>48</v>
      </c>
      <c r="E34" s="29" t="s">
        <v>0</v>
      </c>
      <c r="F34" s="29" t="s">
        <v>22</v>
      </c>
      <c r="G34" s="57"/>
      <c r="H34" s="32"/>
      <c r="I34" s="144">
        <v>41795417000</v>
      </c>
      <c r="J34" s="50"/>
      <c r="K34" s="50"/>
      <c r="L34" s="120">
        <f>+G34+H34+I34+SUM(J34:K34)</f>
        <v>41795417000</v>
      </c>
      <c r="M34" s="50"/>
      <c r="N34" s="50"/>
      <c r="O34" s="120">
        <f>SUM(M34:N34)</f>
        <v>0</v>
      </c>
      <c r="P34" s="50"/>
      <c r="Q34" s="50"/>
      <c r="R34" s="48">
        <f>SUM(P34:Q34)</f>
        <v>0</v>
      </c>
      <c r="S34" s="48">
        <f>+L34+O34+R34</f>
        <v>41795417000</v>
      </c>
    </row>
    <row r="35" spans="1:19">
      <c r="A35" s="27" t="s">
        <v>49</v>
      </c>
      <c r="B35" s="28" t="s">
        <v>246</v>
      </c>
      <c r="C35" s="29" t="s">
        <v>151</v>
      </c>
      <c r="D35" s="30" t="s">
        <v>48</v>
      </c>
      <c r="E35" s="29" t="s">
        <v>0</v>
      </c>
      <c r="F35" s="29" t="s">
        <v>23</v>
      </c>
      <c r="G35" s="57"/>
      <c r="H35" s="32"/>
      <c r="I35" s="144">
        <v>106378627000</v>
      </c>
      <c r="J35" s="50"/>
      <c r="K35" s="50"/>
      <c r="L35" s="120">
        <f>+G35+H35+I35+SUM(J35:K35)</f>
        <v>106378627000</v>
      </c>
      <c r="M35" s="50"/>
      <c r="N35" s="50"/>
      <c r="O35" s="120">
        <f t="shared" ref="O35" si="32">SUM(M35:N35)</f>
        <v>0</v>
      </c>
      <c r="P35" s="50"/>
      <c r="Q35" s="50"/>
      <c r="R35" s="48">
        <f t="shared" ref="R35" si="33">SUM(P35:Q35)</f>
        <v>0</v>
      </c>
      <c r="S35" s="48">
        <f>+L35+O35+R35</f>
        <v>106378627000</v>
      </c>
    </row>
    <row r="36" spans="1:19">
      <c r="A36" s="27" t="s">
        <v>49</v>
      </c>
      <c r="B36" s="28" t="s">
        <v>246</v>
      </c>
      <c r="C36" s="29" t="s">
        <v>141</v>
      </c>
      <c r="D36" s="30" t="s">
        <v>48</v>
      </c>
      <c r="E36" s="29" t="s">
        <v>0</v>
      </c>
      <c r="F36" s="55" t="s">
        <v>24</v>
      </c>
      <c r="G36" s="58">
        <f>G35-G34</f>
        <v>0</v>
      </c>
      <c r="H36" s="48">
        <f>H35-H34</f>
        <v>0</v>
      </c>
      <c r="I36" s="145">
        <f t="shared" ref="I36" si="34">I35-I34</f>
        <v>64583210000</v>
      </c>
      <c r="J36" s="49">
        <f t="shared" ref="J36:L36" si="35">J35-J34</f>
        <v>0</v>
      </c>
      <c r="K36" s="49">
        <f t="shared" si="35"/>
        <v>0</v>
      </c>
      <c r="L36" s="120">
        <f t="shared" si="35"/>
        <v>64583210000</v>
      </c>
      <c r="M36" s="49">
        <f>M35-M34</f>
        <v>0</v>
      </c>
      <c r="N36" s="49">
        <f>N35-N34</f>
        <v>0</v>
      </c>
      <c r="O36" s="120">
        <f t="shared" ref="O36" si="36">O35-O34</f>
        <v>0</v>
      </c>
      <c r="P36" s="49">
        <f>P35-P34</f>
        <v>0</v>
      </c>
      <c r="Q36" s="49">
        <f>Q35-Q34</f>
        <v>0</v>
      </c>
      <c r="R36" s="48">
        <f t="shared" ref="R36:S36" si="37">R35-R34</f>
        <v>0</v>
      </c>
      <c r="S36" s="48">
        <f t="shared" si="37"/>
        <v>64583210000</v>
      </c>
    </row>
    <row r="37" spans="1:19">
      <c r="B37" s="28"/>
      <c r="C37" s="29"/>
      <c r="D37" s="30"/>
      <c r="E37" s="29" t="s">
        <v>0</v>
      </c>
      <c r="F37" s="55" t="s">
        <v>25</v>
      </c>
      <c r="G37" s="29"/>
      <c r="H37" s="29"/>
      <c r="I37" s="146"/>
      <c r="J37" s="44"/>
      <c r="K37" s="44"/>
      <c r="L37" s="29"/>
      <c r="M37" s="44"/>
      <c r="N37" s="44"/>
      <c r="O37" s="29"/>
      <c r="P37" s="44"/>
      <c r="Q37" s="44"/>
      <c r="R37" s="29"/>
      <c r="S37" s="41"/>
    </row>
    <row r="38" spans="1:19">
      <c r="A38" s="27" t="s">
        <v>49</v>
      </c>
      <c r="B38" s="28" t="s">
        <v>246</v>
      </c>
      <c r="C38" s="29" t="s">
        <v>142</v>
      </c>
      <c r="D38" s="30" t="s">
        <v>48</v>
      </c>
      <c r="E38" s="29" t="s">
        <v>0</v>
      </c>
      <c r="F38" s="29" t="s">
        <v>26</v>
      </c>
      <c r="G38" s="57"/>
      <c r="H38" s="32"/>
      <c r="I38" s="147"/>
      <c r="J38" s="50"/>
      <c r="K38" s="50"/>
      <c r="L38" s="120">
        <f>+G38+H38+I38+SUM(J38:K38)</f>
        <v>0</v>
      </c>
      <c r="M38" s="50"/>
      <c r="N38" s="50"/>
      <c r="O38" s="120">
        <f t="shared" ref="O38:O39" si="38">SUM(M38:N38)</f>
        <v>0</v>
      </c>
      <c r="P38" s="50"/>
      <c r="Q38" s="50"/>
      <c r="R38" s="48">
        <f t="shared" ref="R38:R39" si="39">SUM(P38:Q38)</f>
        <v>0</v>
      </c>
      <c r="S38" s="48">
        <f>+L38+O38+R38</f>
        <v>0</v>
      </c>
    </row>
    <row r="39" spans="1:19">
      <c r="A39" s="27" t="s">
        <v>49</v>
      </c>
      <c r="B39" s="28" t="s">
        <v>246</v>
      </c>
      <c r="C39" s="29" t="s">
        <v>143</v>
      </c>
      <c r="D39" s="30" t="s">
        <v>48</v>
      </c>
      <c r="E39" s="29" t="s">
        <v>0</v>
      </c>
      <c r="F39" s="29" t="s">
        <v>27</v>
      </c>
      <c r="G39" s="57"/>
      <c r="H39" s="32"/>
      <c r="I39" s="147"/>
      <c r="J39" s="50"/>
      <c r="K39" s="50"/>
      <c r="L39" s="120">
        <f>+G39+H39+I39+SUM(J39:K39)</f>
        <v>0</v>
      </c>
      <c r="M39" s="50"/>
      <c r="N39" s="50"/>
      <c r="O39" s="120">
        <f t="shared" si="38"/>
        <v>0</v>
      </c>
      <c r="P39" s="50"/>
      <c r="Q39" s="50"/>
      <c r="R39" s="48">
        <f t="shared" si="39"/>
        <v>0</v>
      </c>
      <c r="S39" s="48">
        <f>+L39+O39+R39</f>
        <v>0</v>
      </c>
    </row>
    <row r="40" spans="1:19">
      <c r="B40" s="28"/>
      <c r="C40" s="29"/>
      <c r="D40" s="29" t="s">
        <v>0</v>
      </c>
      <c r="E40" s="29" t="s">
        <v>0</v>
      </c>
      <c r="F40" s="55" t="s">
        <v>28</v>
      </c>
      <c r="G40" s="52"/>
      <c r="H40" s="52"/>
      <c r="I40" s="148"/>
      <c r="J40" s="51"/>
      <c r="K40" s="51"/>
      <c r="L40" s="52"/>
      <c r="M40" s="51"/>
      <c r="N40" s="51"/>
      <c r="O40" s="52"/>
      <c r="P40" s="51"/>
      <c r="Q40" s="51"/>
      <c r="R40" s="52"/>
      <c r="S40" s="53"/>
    </row>
    <row r="41" spans="1:19">
      <c r="A41" s="27"/>
      <c r="B41" s="28" t="s">
        <v>246</v>
      </c>
      <c r="C41" s="29" t="s">
        <v>144</v>
      </c>
      <c r="D41" s="30" t="s">
        <v>52</v>
      </c>
      <c r="E41" s="29" t="s">
        <v>0</v>
      </c>
      <c r="F41" s="29" t="s">
        <v>29</v>
      </c>
      <c r="G41" s="57"/>
      <c r="H41" s="32"/>
      <c r="I41" s="144">
        <v>2741759000</v>
      </c>
      <c r="J41" s="50"/>
      <c r="K41" s="50"/>
      <c r="L41" s="120">
        <f>+G41+H41+I41+SUM(J41:K41)</f>
        <v>2741759000</v>
      </c>
      <c r="M41" s="50"/>
      <c r="N41" s="50"/>
      <c r="O41" s="120">
        <f t="shared" ref="O41:O42" si="40">SUM(M41:N41)</f>
        <v>0</v>
      </c>
      <c r="P41" s="50"/>
      <c r="Q41" s="50"/>
      <c r="R41" s="48">
        <f t="shared" ref="R41:R42" si="41">SUM(P41:Q41)</f>
        <v>0</v>
      </c>
      <c r="S41" s="48">
        <f>+L41+O41+R41</f>
        <v>2741759000</v>
      </c>
    </row>
    <row r="42" spans="1:19">
      <c r="A42" s="27"/>
      <c r="B42" s="28" t="s">
        <v>246</v>
      </c>
      <c r="C42" s="29" t="s">
        <v>145</v>
      </c>
      <c r="D42" s="30" t="s">
        <v>52</v>
      </c>
      <c r="E42" s="29" t="s">
        <v>0</v>
      </c>
      <c r="F42" s="29" t="s">
        <v>30</v>
      </c>
      <c r="G42" s="57"/>
      <c r="H42" s="32"/>
      <c r="I42" s="144">
        <v>11744400000</v>
      </c>
      <c r="J42" s="50"/>
      <c r="K42" s="50"/>
      <c r="L42" s="120">
        <f>+G42+H42+I42+SUM(J42:K42)</f>
        <v>11744400000</v>
      </c>
      <c r="M42" s="50"/>
      <c r="N42" s="50"/>
      <c r="O42" s="120">
        <f t="shared" si="40"/>
        <v>0</v>
      </c>
      <c r="P42" s="50"/>
      <c r="Q42" s="50"/>
      <c r="R42" s="48">
        <f t="shared" si="41"/>
        <v>0</v>
      </c>
      <c r="S42" s="48">
        <f>+L42+O42+R42</f>
        <v>11744400000</v>
      </c>
    </row>
    <row r="43" spans="1:19">
      <c r="B43" s="28"/>
      <c r="C43" s="29"/>
      <c r="D43" s="29" t="s">
        <v>0</v>
      </c>
      <c r="E43" s="29" t="s">
        <v>0</v>
      </c>
      <c r="F43" s="55" t="s">
        <v>31</v>
      </c>
      <c r="G43" s="52"/>
      <c r="H43" s="52"/>
      <c r="I43" s="148"/>
      <c r="J43" s="51"/>
      <c r="K43" s="51"/>
      <c r="L43" s="52"/>
      <c r="M43" s="51"/>
      <c r="N43" s="51"/>
      <c r="O43" s="52"/>
      <c r="P43" s="51"/>
      <c r="Q43" s="51"/>
      <c r="R43" s="52"/>
      <c r="S43" s="53"/>
    </row>
    <row r="44" spans="1:19">
      <c r="A44" t="s">
        <v>49</v>
      </c>
      <c r="B44" s="28" t="s">
        <v>246</v>
      </c>
      <c r="C44" s="29" t="s">
        <v>141</v>
      </c>
      <c r="D44" s="30" t="s">
        <v>50</v>
      </c>
      <c r="E44" s="29" t="s">
        <v>0</v>
      </c>
      <c r="F44" s="29" t="s">
        <v>240</v>
      </c>
      <c r="G44" s="57"/>
      <c r="H44" s="32"/>
      <c r="I44" s="144">
        <v>49774552000</v>
      </c>
      <c r="J44" s="50"/>
      <c r="K44" s="50"/>
      <c r="L44" s="120">
        <f>+G44+H44+I44+SUM(J44:K44)</f>
        <v>49774552000</v>
      </c>
      <c r="M44" s="50"/>
      <c r="N44" s="50"/>
      <c r="O44" s="120">
        <f>SUM(M44:N44)</f>
        <v>0</v>
      </c>
      <c r="P44" s="50"/>
      <c r="Q44" s="50"/>
      <c r="R44" s="48">
        <f>SUM(P44:Q44)</f>
        <v>0</v>
      </c>
      <c r="S44" s="48">
        <f>+L44+O44+R44</f>
        <v>49774552000</v>
      </c>
    </row>
    <row r="45" spans="1:19">
      <c r="B45" s="28"/>
      <c r="C45" s="29"/>
      <c r="D45" s="29" t="s">
        <v>0</v>
      </c>
      <c r="E45" s="29" t="s">
        <v>0</v>
      </c>
      <c r="F45" s="55" t="s">
        <v>32</v>
      </c>
      <c r="G45" s="52"/>
      <c r="H45" s="52"/>
      <c r="I45" s="148"/>
      <c r="J45" s="51"/>
      <c r="K45" s="51"/>
      <c r="L45" s="52"/>
      <c r="M45" s="51"/>
      <c r="N45" s="51"/>
      <c r="O45" s="52"/>
      <c r="P45" s="51"/>
      <c r="Q45" s="51"/>
      <c r="R45" s="52"/>
      <c r="S45" s="53"/>
    </row>
    <row r="46" spans="1:19">
      <c r="A46" s="27"/>
      <c r="B46" s="28" t="s">
        <v>246</v>
      </c>
      <c r="C46" s="29" t="s">
        <v>145</v>
      </c>
      <c r="D46" s="30" t="s">
        <v>52</v>
      </c>
      <c r="E46" s="29" t="s">
        <v>0</v>
      </c>
      <c r="F46" s="29" t="s">
        <v>30</v>
      </c>
      <c r="G46" s="58">
        <f>G42</f>
        <v>0</v>
      </c>
      <c r="H46" s="58">
        <f t="shared" ref="H46:K46" si="42">H42</f>
        <v>0</v>
      </c>
      <c r="I46" s="149">
        <f>I42</f>
        <v>11744400000</v>
      </c>
      <c r="J46" s="124">
        <f t="shared" si="42"/>
        <v>0</v>
      </c>
      <c r="K46" s="124">
        <f t="shared" si="42"/>
        <v>0</v>
      </c>
      <c r="L46" s="120">
        <f t="shared" ref="L46:L51" si="43">+G46+H46+I46+SUM(J46:K46)</f>
        <v>11744400000</v>
      </c>
      <c r="M46" s="124">
        <f t="shared" ref="M46:N46" si="44">M42</f>
        <v>0</v>
      </c>
      <c r="N46" s="124">
        <f t="shared" si="44"/>
        <v>0</v>
      </c>
      <c r="O46" s="120">
        <f t="shared" ref="O46" si="45">SUM(N46:N46)</f>
        <v>0</v>
      </c>
      <c r="P46" s="124">
        <f t="shared" ref="P46:Q46" si="46">P42</f>
        <v>0</v>
      </c>
      <c r="Q46" s="124">
        <f t="shared" si="46"/>
        <v>0</v>
      </c>
      <c r="R46" s="48">
        <f t="shared" ref="R46" si="47">SUM(Q46:Q46)</f>
        <v>0</v>
      </c>
      <c r="S46" s="48">
        <f t="shared" ref="S46:S51" si="48">+L46+O46+R46</f>
        <v>11744400000</v>
      </c>
    </row>
    <row r="47" spans="1:19" ht="22.8">
      <c r="A47" s="27"/>
      <c r="B47" s="28" t="s">
        <v>246</v>
      </c>
      <c r="C47" s="29" t="s">
        <v>81</v>
      </c>
      <c r="D47" s="30" t="s">
        <v>52</v>
      </c>
      <c r="E47" s="29" t="s">
        <v>0</v>
      </c>
      <c r="F47" s="56" t="s">
        <v>51</v>
      </c>
      <c r="G47" s="57"/>
      <c r="H47" s="32"/>
      <c r="I47" s="147"/>
      <c r="J47" s="50"/>
      <c r="K47" s="50"/>
      <c r="L47" s="120">
        <f t="shared" si="43"/>
        <v>0</v>
      </c>
      <c r="M47" s="50"/>
      <c r="N47" s="50"/>
      <c r="O47" s="120">
        <f t="shared" ref="O47:O51" si="49">SUM(M47:N47)</f>
        <v>0</v>
      </c>
      <c r="P47" s="50"/>
      <c r="Q47" s="50"/>
      <c r="R47" s="48">
        <f t="shared" ref="R47:R51" si="50">SUM(P47:Q47)</f>
        <v>0</v>
      </c>
      <c r="S47" s="48">
        <f t="shared" si="48"/>
        <v>0</v>
      </c>
    </row>
    <row r="48" spans="1:19">
      <c r="A48" s="27"/>
      <c r="B48" s="28" t="s">
        <v>246</v>
      </c>
      <c r="C48" s="29" t="s">
        <v>95</v>
      </c>
      <c r="D48" s="30" t="s">
        <v>52</v>
      </c>
      <c r="E48" s="29" t="s">
        <v>0</v>
      </c>
      <c r="F48" s="56" t="s">
        <v>33</v>
      </c>
      <c r="G48" s="57"/>
      <c r="H48" s="32"/>
      <c r="I48" s="144">
        <v>-577470000</v>
      </c>
      <c r="J48" s="50"/>
      <c r="K48" s="50"/>
      <c r="L48" s="120">
        <f t="shared" si="43"/>
        <v>-577470000</v>
      </c>
      <c r="M48" s="50"/>
      <c r="N48" s="50"/>
      <c r="O48" s="120">
        <f t="shared" si="49"/>
        <v>0</v>
      </c>
      <c r="P48" s="50"/>
      <c r="Q48" s="50"/>
      <c r="R48" s="48">
        <f t="shared" si="50"/>
        <v>0</v>
      </c>
      <c r="S48" s="48">
        <f t="shared" si="48"/>
        <v>-577470000</v>
      </c>
    </row>
    <row r="49" spans="1:19" ht="22.8">
      <c r="A49" s="27"/>
      <c r="B49" s="28" t="s">
        <v>246</v>
      </c>
      <c r="C49" s="29" t="s">
        <v>146</v>
      </c>
      <c r="D49" s="30" t="s">
        <v>52</v>
      </c>
      <c r="E49" s="29" t="s">
        <v>0</v>
      </c>
      <c r="F49" s="56" t="s">
        <v>34</v>
      </c>
      <c r="G49" s="57"/>
      <c r="H49" s="32"/>
      <c r="I49" s="144"/>
      <c r="J49" s="50"/>
      <c r="K49" s="50"/>
      <c r="L49" s="120">
        <f t="shared" si="43"/>
        <v>0</v>
      </c>
      <c r="M49" s="50"/>
      <c r="N49" s="50"/>
      <c r="O49" s="120">
        <f t="shared" si="49"/>
        <v>0</v>
      </c>
      <c r="P49" s="50"/>
      <c r="Q49" s="50"/>
      <c r="R49" s="48">
        <f t="shared" si="50"/>
        <v>0</v>
      </c>
      <c r="S49" s="48">
        <f t="shared" si="48"/>
        <v>0</v>
      </c>
    </row>
    <row r="50" spans="1:19" ht="22.8">
      <c r="A50" s="27"/>
      <c r="B50" s="28" t="s">
        <v>246</v>
      </c>
      <c r="C50" s="29" t="s">
        <v>147</v>
      </c>
      <c r="D50" s="30" t="s">
        <v>52</v>
      </c>
      <c r="E50" s="29" t="s">
        <v>0</v>
      </c>
      <c r="F50" s="56" t="s">
        <v>35</v>
      </c>
      <c r="G50" s="57"/>
      <c r="H50" s="32"/>
      <c r="I50" s="144"/>
      <c r="J50" s="50"/>
      <c r="K50" s="50"/>
      <c r="L50" s="120">
        <f t="shared" si="43"/>
        <v>0</v>
      </c>
      <c r="M50" s="50"/>
      <c r="N50" s="50"/>
      <c r="O50" s="120">
        <f t="shared" si="49"/>
        <v>0</v>
      </c>
      <c r="P50" s="50"/>
      <c r="Q50" s="50"/>
      <c r="R50" s="48">
        <f t="shared" si="50"/>
        <v>0</v>
      </c>
      <c r="S50" s="48">
        <f t="shared" si="48"/>
        <v>0</v>
      </c>
    </row>
    <row r="51" spans="1:19" ht="22.8">
      <c r="A51" s="27"/>
      <c r="B51" s="28" t="s">
        <v>246</v>
      </c>
      <c r="C51" s="29" t="s">
        <v>148</v>
      </c>
      <c r="D51" s="30" t="s">
        <v>52</v>
      </c>
      <c r="E51" s="29" t="s">
        <v>0</v>
      </c>
      <c r="F51" s="56" t="s">
        <v>36</v>
      </c>
      <c r="G51" s="57"/>
      <c r="H51" s="32"/>
      <c r="I51" s="144">
        <v>3641728000</v>
      </c>
      <c r="J51" s="50"/>
      <c r="K51" s="50"/>
      <c r="L51" s="120">
        <f t="shared" si="43"/>
        <v>3641728000</v>
      </c>
      <c r="M51" s="50"/>
      <c r="N51" s="50"/>
      <c r="O51" s="120">
        <f t="shared" si="49"/>
        <v>0</v>
      </c>
      <c r="P51" s="50"/>
      <c r="Q51" s="50"/>
      <c r="R51" s="48">
        <f t="shared" si="50"/>
        <v>0</v>
      </c>
      <c r="S51" s="48">
        <f t="shared" si="48"/>
        <v>3641728000</v>
      </c>
    </row>
    <row r="52" spans="1:19">
      <c r="A52" s="27"/>
      <c r="B52" s="28" t="s">
        <v>246</v>
      </c>
      <c r="C52" s="29" t="s">
        <v>149</v>
      </c>
      <c r="D52" s="30" t="s">
        <v>52</v>
      </c>
      <c r="E52" s="29" t="s">
        <v>0</v>
      </c>
      <c r="F52" s="55" t="s">
        <v>37</v>
      </c>
      <c r="G52" s="58">
        <f>G46+G47+G48+G49+G50+G51</f>
        <v>0</v>
      </c>
      <c r="H52" s="58">
        <f t="shared" ref="H52:S52" si="51">H46+H47+H48+H49+H50+H51</f>
        <v>0</v>
      </c>
      <c r="I52" s="121">
        <f t="shared" si="51"/>
        <v>14808658000</v>
      </c>
      <c r="J52" s="124">
        <f t="shared" si="51"/>
        <v>0</v>
      </c>
      <c r="K52" s="124">
        <f t="shared" si="51"/>
        <v>0</v>
      </c>
      <c r="L52" s="120">
        <f t="shared" si="51"/>
        <v>14808658000</v>
      </c>
      <c r="M52" s="124">
        <f t="shared" si="51"/>
        <v>0</v>
      </c>
      <c r="N52" s="124">
        <f t="shared" si="51"/>
        <v>0</v>
      </c>
      <c r="O52" s="120">
        <f t="shared" si="51"/>
        <v>0</v>
      </c>
      <c r="P52" s="124">
        <f t="shared" si="51"/>
        <v>0</v>
      </c>
      <c r="Q52" s="124">
        <f t="shared" si="51"/>
        <v>0</v>
      </c>
      <c r="R52" s="48">
        <f t="shared" si="51"/>
        <v>0</v>
      </c>
      <c r="S52" s="58">
        <f t="shared" si="51"/>
        <v>14808658000</v>
      </c>
    </row>
    <row r="53" spans="1:19">
      <c r="A53" s="27" t="s">
        <v>49</v>
      </c>
      <c r="B53" s="28" t="s">
        <v>246</v>
      </c>
      <c r="C53" s="29" t="s">
        <v>141</v>
      </c>
      <c r="D53" s="30" t="s">
        <v>48</v>
      </c>
      <c r="E53" s="29" t="s">
        <v>0</v>
      </c>
      <c r="F53" s="55" t="s">
        <v>239</v>
      </c>
      <c r="G53" s="58">
        <f t="shared" ref="G53:K53" si="52">G44+G52</f>
        <v>0</v>
      </c>
      <c r="H53" s="58">
        <f t="shared" si="52"/>
        <v>0</v>
      </c>
      <c r="I53" s="121">
        <f t="shared" si="52"/>
        <v>64583210000</v>
      </c>
      <c r="J53" s="124">
        <f t="shared" si="52"/>
        <v>0</v>
      </c>
      <c r="K53" s="124">
        <f t="shared" si="52"/>
        <v>0</v>
      </c>
      <c r="L53" s="120">
        <f>+G53+H53+I53+SUM(J53:K53)</f>
        <v>64583210000</v>
      </c>
      <c r="M53" s="124">
        <f>M44+M52</f>
        <v>0</v>
      </c>
      <c r="N53" s="124">
        <f>N44+N52</f>
        <v>0</v>
      </c>
      <c r="O53" s="120">
        <f>SUM(N53:N53)</f>
        <v>0</v>
      </c>
      <c r="P53" s="124">
        <f>P44+P52</f>
        <v>0</v>
      </c>
      <c r="Q53" s="124">
        <f>Q44+Q52</f>
        <v>0</v>
      </c>
      <c r="R53" s="48">
        <f>SUM(Q53:Q53)</f>
        <v>0</v>
      </c>
      <c r="S53" s="58">
        <f>+L53+O53+R53</f>
        <v>64583210000</v>
      </c>
    </row>
    <row r="54" spans="1:19" ht="15" thickBot="1">
      <c r="B54" s="39"/>
      <c r="C54" s="40"/>
      <c r="D54" s="40"/>
      <c r="E54" s="40"/>
      <c r="F54" s="40"/>
      <c r="G54" s="60">
        <f t="shared" ref="G54:S54" si="53">G36-G53</f>
        <v>0</v>
      </c>
      <c r="H54" s="60">
        <f t="shared" si="53"/>
        <v>0</v>
      </c>
      <c r="I54" s="122">
        <f t="shared" si="53"/>
        <v>0</v>
      </c>
      <c r="J54" s="128">
        <f t="shared" ref="J54:K54" si="54">J36-J53</f>
        <v>0</v>
      </c>
      <c r="K54" s="128">
        <f t="shared" si="54"/>
        <v>0</v>
      </c>
      <c r="L54" s="129">
        <f t="shared" si="53"/>
        <v>0</v>
      </c>
      <c r="M54" s="128">
        <f t="shared" ref="M54" si="55">M36-M53</f>
        <v>0</v>
      </c>
      <c r="N54" s="128">
        <f t="shared" si="53"/>
        <v>0</v>
      </c>
      <c r="O54" s="129">
        <f t="shared" si="53"/>
        <v>0</v>
      </c>
      <c r="P54" s="128">
        <f t="shared" ref="P54" si="56">P36-P53</f>
        <v>0</v>
      </c>
      <c r="Q54" s="128">
        <f t="shared" si="53"/>
        <v>0</v>
      </c>
      <c r="R54" s="123">
        <f t="shared" si="53"/>
        <v>0</v>
      </c>
      <c r="S54" s="60">
        <f t="shared" si="53"/>
        <v>0</v>
      </c>
    </row>
  </sheetData>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codigos!$A$1:$A$2</xm:f>
          </x14:formula1>
          <xm:sqref>G4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7" tint="-0.249977111117893"/>
  </sheetPr>
  <dimension ref="A1:I35"/>
  <sheetViews>
    <sheetView topLeftCell="A16" zoomScale="80" zoomScaleNormal="80" workbookViewId="0">
      <selection activeCell="G12" sqref="G12:G33"/>
    </sheetView>
  </sheetViews>
  <sheetFormatPr baseColWidth="10" defaultRowHeight="14.4"/>
  <cols>
    <col min="1" max="3" width="2.6640625" customWidth="1"/>
    <col min="4" max="4" width="5" customWidth="1"/>
    <col min="5" max="5" width="2.6640625" customWidth="1"/>
    <col min="6" max="6" width="90.6640625" customWidth="1"/>
    <col min="7" max="7" width="12.88671875" customWidth="1"/>
    <col min="8" max="8" width="13.33203125" customWidth="1"/>
    <col min="9" max="9" width="14.44140625" customWidth="1"/>
  </cols>
  <sheetData>
    <row r="1" spans="1:9" ht="54.9" customHeight="1" thickBot="1"/>
    <row r="2" spans="1:9" ht="177" customHeight="1" thickBot="1">
      <c r="F2" s="42" t="s">
        <v>47</v>
      </c>
    </row>
    <row r="3" spans="1:9" ht="16.2" thickBot="1">
      <c r="F3" s="62"/>
    </row>
    <row r="4" spans="1:9" ht="16.2" thickBot="1">
      <c r="F4" s="63" t="s">
        <v>63</v>
      </c>
      <c r="G4" s="64" t="s">
        <v>64</v>
      </c>
    </row>
    <row r="5" spans="1:9" ht="15.6">
      <c r="F5" s="62"/>
    </row>
    <row r="6" spans="1:9" ht="15" thickBot="1"/>
    <row r="7" spans="1:9" ht="111" customHeight="1">
      <c r="A7" s="14" t="s">
        <v>152</v>
      </c>
      <c r="B7" s="15"/>
      <c r="C7" s="16"/>
      <c r="D7" s="16"/>
      <c r="E7" s="17"/>
      <c r="F7" s="18" t="s">
        <v>205</v>
      </c>
      <c r="G7" s="19" t="s">
        <v>38</v>
      </c>
      <c r="H7" s="19" t="s">
        <v>38</v>
      </c>
      <c r="I7" s="20" t="s">
        <v>204</v>
      </c>
    </row>
    <row r="8" spans="1:9" ht="300" hidden="1" customHeight="1">
      <c r="A8" s="21" t="s">
        <v>153</v>
      </c>
      <c r="B8" s="22"/>
      <c r="C8" s="23"/>
      <c r="D8" s="108" t="s">
        <v>201</v>
      </c>
      <c r="E8" s="109" t="s">
        <v>202</v>
      </c>
      <c r="F8" s="25"/>
      <c r="G8" s="33" t="str">
        <f>SUBSTITUTE(CONCATENATE("IAS12-ConcGanaCont_",TRIM(G7),"_",COLUMN(G8),"|",G7)," ","")</f>
        <v>IAS12-ConcGanaCont_Agregarcolumnaopcional_7|Agregarcolumnaopcional</v>
      </c>
      <c r="H8" s="81" t="str">
        <f>SUBSTITUTE(CONCATENATE("IAS12-ConcGanaCont_",TRIM(H7),"_",COLUMN(H8),"|",H7)," ","")</f>
        <v>IAS12-ConcGanaCont_Agregarcolumnaopcional_8|Agregarcolumnaopcional</v>
      </c>
      <c r="I8" s="26" t="s">
        <v>203</v>
      </c>
    </row>
    <row r="9" spans="1:9">
      <c r="A9" s="27"/>
      <c r="B9" s="34"/>
      <c r="C9" s="35"/>
      <c r="D9" s="36"/>
      <c r="E9" s="37"/>
      <c r="F9" s="38"/>
      <c r="G9" s="43"/>
      <c r="H9" s="82"/>
      <c r="I9" s="45"/>
    </row>
    <row r="10" spans="1:9">
      <c r="A10" s="27"/>
      <c r="B10" s="90"/>
      <c r="C10" s="91"/>
      <c r="D10" s="92"/>
      <c r="E10" s="93"/>
      <c r="F10" s="97" t="s">
        <v>176</v>
      </c>
      <c r="G10" s="94"/>
      <c r="H10" s="98"/>
      <c r="I10" s="99"/>
    </row>
    <row r="11" spans="1:9">
      <c r="A11" s="27"/>
      <c r="B11" s="28"/>
      <c r="C11" s="1"/>
      <c r="D11" s="1" t="s">
        <v>0</v>
      </c>
      <c r="E11" s="1" t="s">
        <v>0</v>
      </c>
      <c r="F11" s="104" t="s">
        <v>215</v>
      </c>
      <c r="G11" s="83" t="s">
        <v>0</v>
      </c>
      <c r="H11" s="83"/>
      <c r="I11" s="70"/>
    </row>
    <row r="12" spans="1:9">
      <c r="A12" s="27"/>
      <c r="B12" s="8"/>
      <c r="C12" s="1" t="s">
        <v>114</v>
      </c>
      <c r="D12" s="1" t="s">
        <v>48</v>
      </c>
      <c r="E12" s="1" t="s">
        <v>0</v>
      </c>
      <c r="F12" s="29" t="s">
        <v>206</v>
      </c>
      <c r="G12" s="84">
        <v>9000</v>
      </c>
      <c r="H12" s="84"/>
      <c r="I12" s="71">
        <f>SUM(G12:H12)</f>
        <v>9000</v>
      </c>
    </row>
    <row r="13" spans="1:9">
      <c r="A13" s="27"/>
      <c r="B13" s="8"/>
      <c r="C13" s="1" t="s">
        <v>115</v>
      </c>
      <c r="D13" s="1" t="s">
        <v>48</v>
      </c>
      <c r="E13" s="1" t="s">
        <v>0</v>
      </c>
      <c r="F13" s="29" t="s">
        <v>207</v>
      </c>
      <c r="G13" s="84">
        <v>2000</v>
      </c>
      <c r="H13" s="84"/>
      <c r="I13" s="71">
        <f t="shared" ref="I13:I20" si="0">SUM(G13:H13)</f>
        <v>2000</v>
      </c>
    </row>
    <row r="14" spans="1:9">
      <c r="A14" s="27"/>
      <c r="B14" s="8"/>
      <c r="C14" s="1" t="s">
        <v>116</v>
      </c>
      <c r="D14" s="1" t="s">
        <v>48</v>
      </c>
      <c r="E14" s="1" t="s">
        <v>0</v>
      </c>
      <c r="F14" s="29" t="s">
        <v>208</v>
      </c>
      <c r="G14" s="84">
        <v>32000</v>
      </c>
      <c r="H14" s="84"/>
      <c r="I14" s="71">
        <f t="shared" si="0"/>
        <v>32000</v>
      </c>
    </row>
    <row r="15" spans="1:9">
      <c r="A15" s="27"/>
      <c r="B15" s="8"/>
      <c r="C15" s="1" t="s">
        <v>117</v>
      </c>
      <c r="D15" s="1" t="s">
        <v>48</v>
      </c>
      <c r="E15" s="1" t="s">
        <v>0</v>
      </c>
      <c r="F15" s="56" t="s">
        <v>209</v>
      </c>
      <c r="G15" s="84">
        <v>4000</v>
      </c>
      <c r="H15" s="84"/>
      <c r="I15" s="71">
        <f t="shared" si="0"/>
        <v>4000</v>
      </c>
    </row>
    <row r="16" spans="1:9">
      <c r="B16" s="8"/>
      <c r="C16" s="1" t="s">
        <v>118</v>
      </c>
      <c r="D16" s="1" t="s">
        <v>48</v>
      </c>
      <c r="E16" s="1" t="s">
        <v>0</v>
      </c>
      <c r="F16" s="29" t="s">
        <v>210</v>
      </c>
      <c r="G16" s="84">
        <v>5000</v>
      </c>
      <c r="H16" s="84"/>
      <c r="I16" s="71">
        <f t="shared" si="0"/>
        <v>5000</v>
      </c>
    </row>
    <row r="17" spans="1:9">
      <c r="B17" s="8"/>
      <c r="C17" s="1" t="s">
        <v>119</v>
      </c>
      <c r="D17" s="1" t="s">
        <v>48</v>
      </c>
      <c r="E17" s="1" t="s">
        <v>0</v>
      </c>
      <c r="F17" s="29" t="s">
        <v>211</v>
      </c>
      <c r="G17" s="84">
        <v>6000</v>
      </c>
      <c r="H17" s="84"/>
      <c r="I17" s="71">
        <f t="shared" si="0"/>
        <v>6000</v>
      </c>
    </row>
    <row r="18" spans="1:9">
      <c r="B18" s="8"/>
      <c r="C18" s="1" t="s">
        <v>120</v>
      </c>
      <c r="D18" s="1" t="s">
        <v>48</v>
      </c>
      <c r="E18" s="1" t="s">
        <v>0</v>
      </c>
      <c r="F18" s="29" t="s">
        <v>212</v>
      </c>
      <c r="G18" s="84">
        <v>7000</v>
      </c>
      <c r="H18" s="84"/>
      <c r="I18" s="71">
        <f t="shared" si="0"/>
        <v>7000</v>
      </c>
    </row>
    <row r="19" spans="1:9">
      <c r="B19" s="8"/>
      <c r="C19" s="1" t="s">
        <v>121</v>
      </c>
      <c r="D19" s="1" t="s">
        <v>48</v>
      </c>
      <c r="E19" s="1" t="s">
        <v>0</v>
      </c>
      <c r="F19" s="29" t="s">
        <v>213</v>
      </c>
      <c r="G19" s="84">
        <v>8000</v>
      </c>
      <c r="H19" s="84"/>
      <c r="I19" s="71">
        <f t="shared" si="0"/>
        <v>8000</v>
      </c>
    </row>
    <row r="20" spans="1:9" ht="22.8">
      <c r="B20" s="8"/>
      <c r="C20" s="1" t="s">
        <v>122</v>
      </c>
      <c r="D20" s="1" t="s">
        <v>48</v>
      </c>
      <c r="E20" s="1" t="s">
        <v>0</v>
      </c>
      <c r="F20" s="56" t="s">
        <v>214</v>
      </c>
      <c r="G20" s="84">
        <v>18083655000</v>
      </c>
      <c r="H20" s="84"/>
      <c r="I20" s="71">
        <f t="shared" si="0"/>
        <v>18083655000</v>
      </c>
    </row>
    <row r="21" spans="1:9">
      <c r="B21" s="8"/>
      <c r="C21" s="1" t="s">
        <v>79</v>
      </c>
      <c r="D21" s="1" t="s">
        <v>48</v>
      </c>
      <c r="E21" s="1" t="s">
        <v>0</v>
      </c>
      <c r="F21" s="55" t="s">
        <v>173</v>
      </c>
      <c r="G21" s="85">
        <f>G13-G14+G15+G16+G17+G18+G19+G20</f>
        <v>18083655000</v>
      </c>
      <c r="H21" s="85">
        <f t="shared" ref="H21:I21" si="1">H13-H14+H15+H16+H17+H18+H19+H20</f>
        <v>0</v>
      </c>
      <c r="I21" s="71">
        <f t="shared" si="1"/>
        <v>18083655000</v>
      </c>
    </row>
    <row r="22" spans="1:9">
      <c r="B22" s="28"/>
      <c r="C22" s="29"/>
      <c r="D22" s="29"/>
      <c r="E22" s="29"/>
      <c r="F22" s="80"/>
      <c r="G22" s="83"/>
      <c r="H22" s="83"/>
      <c r="I22" s="9"/>
    </row>
    <row r="23" spans="1:9">
      <c r="A23" s="27"/>
      <c r="B23" s="90"/>
      <c r="C23" s="91"/>
      <c r="D23" s="92"/>
      <c r="E23" s="93"/>
      <c r="F23" s="97" t="s">
        <v>175</v>
      </c>
      <c r="G23" s="143"/>
      <c r="H23" s="94"/>
      <c r="I23" s="9" t="s">
        <v>0</v>
      </c>
    </row>
    <row r="24" spans="1:9">
      <c r="A24" s="27"/>
      <c r="B24" s="28"/>
      <c r="C24" s="1"/>
      <c r="D24" s="1" t="s">
        <v>0</v>
      </c>
      <c r="E24" s="1" t="s">
        <v>0</v>
      </c>
      <c r="F24" s="104" t="s">
        <v>215</v>
      </c>
      <c r="G24" s="83" t="s">
        <v>0</v>
      </c>
      <c r="H24" s="83"/>
      <c r="I24" s="70"/>
    </row>
    <row r="25" spans="1:9">
      <c r="A25" s="27"/>
      <c r="B25" s="8"/>
      <c r="C25" s="1" t="s">
        <v>114</v>
      </c>
      <c r="D25" s="1" t="s">
        <v>50</v>
      </c>
      <c r="E25" s="1" t="s">
        <v>0</v>
      </c>
      <c r="F25" s="29" t="s">
        <v>206</v>
      </c>
      <c r="G25" s="84">
        <v>9000</v>
      </c>
      <c r="H25" s="84"/>
      <c r="I25" s="71">
        <f>SUM(G25:H25)</f>
        <v>9000</v>
      </c>
    </row>
    <row r="26" spans="1:9">
      <c r="A26" s="27"/>
      <c r="B26" s="8"/>
      <c r="C26" s="1" t="s">
        <v>115</v>
      </c>
      <c r="D26" s="1" t="s">
        <v>50</v>
      </c>
      <c r="E26" s="1" t="s">
        <v>0</v>
      </c>
      <c r="F26" s="29" t="s">
        <v>207</v>
      </c>
      <c r="G26" s="84">
        <v>8000</v>
      </c>
      <c r="H26" s="84"/>
      <c r="I26" s="71">
        <f t="shared" ref="I26:I33" si="2">SUM(G26:H26)</f>
        <v>8000</v>
      </c>
    </row>
    <row r="27" spans="1:9">
      <c r="A27" s="27"/>
      <c r="B27" s="8"/>
      <c r="C27" s="1" t="s">
        <v>116</v>
      </c>
      <c r="D27" s="1" t="s">
        <v>50</v>
      </c>
      <c r="E27" s="1" t="s">
        <v>0</v>
      </c>
      <c r="F27" s="29" t="s">
        <v>208</v>
      </c>
      <c r="G27" s="84">
        <v>32000</v>
      </c>
      <c r="H27" s="84"/>
      <c r="I27" s="71">
        <f t="shared" si="2"/>
        <v>32000</v>
      </c>
    </row>
    <row r="28" spans="1:9">
      <c r="A28" s="27"/>
      <c r="B28" s="8"/>
      <c r="C28" s="1" t="s">
        <v>117</v>
      </c>
      <c r="D28" s="1" t="s">
        <v>50</v>
      </c>
      <c r="E28" s="1" t="s">
        <v>0</v>
      </c>
      <c r="F28" s="56" t="s">
        <v>209</v>
      </c>
      <c r="G28" s="84">
        <v>6000</v>
      </c>
      <c r="H28" s="84"/>
      <c r="I28" s="71">
        <f t="shared" si="2"/>
        <v>6000</v>
      </c>
    </row>
    <row r="29" spans="1:9">
      <c r="B29" s="8"/>
      <c r="C29" s="1" t="s">
        <v>118</v>
      </c>
      <c r="D29" s="1" t="s">
        <v>50</v>
      </c>
      <c r="E29" s="1" t="s">
        <v>0</v>
      </c>
      <c r="F29" s="29" t="s">
        <v>210</v>
      </c>
      <c r="G29" s="84">
        <v>6000</v>
      </c>
      <c r="H29" s="84"/>
      <c r="I29" s="71">
        <f t="shared" si="2"/>
        <v>6000</v>
      </c>
    </row>
    <row r="30" spans="1:9">
      <c r="B30" s="8"/>
      <c r="C30" s="1" t="s">
        <v>119</v>
      </c>
      <c r="D30" s="1" t="s">
        <v>50</v>
      </c>
      <c r="E30" s="1" t="s">
        <v>0</v>
      </c>
      <c r="F30" s="29" t="s">
        <v>211</v>
      </c>
      <c r="G30" s="84">
        <v>4000</v>
      </c>
      <c r="H30" s="84"/>
      <c r="I30" s="71">
        <f t="shared" si="2"/>
        <v>4000</v>
      </c>
    </row>
    <row r="31" spans="1:9">
      <c r="B31" s="8"/>
      <c r="C31" s="1" t="s">
        <v>120</v>
      </c>
      <c r="D31" s="1" t="s">
        <v>50</v>
      </c>
      <c r="E31" s="1" t="s">
        <v>0</v>
      </c>
      <c r="F31" s="29" t="s">
        <v>212</v>
      </c>
      <c r="G31" s="84">
        <v>3000</v>
      </c>
      <c r="H31" s="84"/>
      <c r="I31" s="71">
        <f t="shared" si="2"/>
        <v>3000</v>
      </c>
    </row>
    <row r="32" spans="1:9">
      <c r="B32" s="8"/>
      <c r="C32" s="1" t="s">
        <v>121</v>
      </c>
      <c r="D32" s="1" t="s">
        <v>50</v>
      </c>
      <c r="E32" s="1" t="s">
        <v>0</v>
      </c>
      <c r="F32" s="29" t="s">
        <v>213</v>
      </c>
      <c r="G32" s="84">
        <v>5000</v>
      </c>
      <c r="H32" s="84"/>
      <c r="I32" s="71">
        <f t="shared" si="2"/>
        <v>5000</v>
      </c>
    </row>
    <row r="33" spans="2:9" ht="22.8">
      <c r="B33" s="8"/>
      <c r="C33" s="1" t="s">
        <v>122</v>
      </c>
      <c r="D33" s="1" t="s">
        <v>50</v>
      </c>
      <c r="E33" s="1" t="s">
        <v>0</v>
      </c>
      <c r="F33" s="56" t="s">
        <v>214</v>
      </c>
      <c r="G33" s="84">
        <v>11744400000</v>
      </c>
      <c r="H33" s="84"/>
      <c r="I33" s="71">
        <f t="shared" si="2"/>
        <v>11744400000</v>
      </c>
    </row>
    <row r="34" spans="2:9">
      <c r="B34" s="8"/>
      <c r="C34" s="1" t="s">
        <v>79</v>
      </c>
      <c r="D34" s="1" t="s">
        <v>50</v>
      </c>
      <c r="E34" s="1" t="s">
        <v>0</v>
      </c>
      <c r="F34" s="55" t="s">
        <v>173</v>
      </c>
      <c r="G34" s="85">
        <f t="shared" ref="G34" si="3">G26-G27+G28+G29+G30+G31+G32+G33</f>
        <v>11744400000</v>
      </c>
      <c r="H34" s="85">
        <f t="shared" ref="H34" si="4">H26-H27+H28+H29+H30+H31+H32+H33</f>
        <v>0</v>
      </c>
      <c r="I34" s="71">
        <f t="shared" ref="I34" si="5">I26-I27+I28+I29+I30+I31+I32+I33</f>
        <v>11744400000</v>
      </c>
    </row>
    <row r="35" spans="2:9">
      <c r="B35" s="39"/>
      <c r="C35" s="40"/>
      <c r="D35" s="40"/>
      <c r="E35" s="40"/>
      <c r="F35" s="77"/>
      <c r="G35" s="95"/>
      <c r="H35" s="95"/>
      <c r="I35" s="96"/>
    </row>
  </sheetData>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codigos!$A$1:$A$2</xm:f>
          </x14:formula1>
          <xm:sqref>G4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0" tint="-0.14999847407452621"/>
  </sheetPr>
  <dimension ref="A1:I38"/>
  <sheetViews>
    <sheetView zoomScale="80" zoomScaleNormal="80" workbookViewId="0">
      <selection activeCell="K2" sqref="K2"/>
    </sheetView>
  </sheetViews>
  <sheetFormatPr baseColWidth="10" defaultRowHeight="14.4"/>
  <cols>
    <col min="1" max="3" width="2.6640625" customWidth="1"/>
    <col min="4" max="4" width="5" customWidth="1"/>
    <col min="5" max="5" width="2.6640625" customWidth="1"/>
    <col min="6" max="6" width="90.6640625" customWidth="1"/>
    <col min="7" max="7" width="12.88671875" customWidth="1"/>
    <col min="8" max="8" width="13.33203125" customWidth="1"/>
    <col min="9" max="9" width="14.6640625" customWidth="1"/>
  </cols>
  <sheetData>
    <row r="1" spans="1:9" ht="54.9" customHeight="1" thickBot="1"/>
    <row r="2" spans="1:9" ht="177" customHeight="1" thickBot="1">
      <c r="F2" s="42" t="s">
        <v>47</v>
      </c>
    </row>
    <row r="3" spans="1:9" ht="16.2" thickBot="1">
      <c r="F3" s="62"/>
    </row>
    <row r="4" spans="1:9" ht="16.2" thickBot="1">
      <c r="F4" s="63" t="s">
        <v>63</v>
      </c>
      <c r="G4" s="64" t="s">
        <v>64</v>
      </c>
    </row>
    <row r="5" spans="1:9" ht="15.6">
      <c r="F5" s="62"/>
    </row>
    <row r="6" spans="1:9" ht="15" thickBot="1"/>
    <row r="7" spans="1:9" ht="111" customHeight="1">
      <c r="A7" s="14" t="s">
        <v>152</v>
      </c>
      <c r="B7" s="15"/>
      <c r="C7" s="16"/>
      <c r="D7" s="16"/>
      <c r="E7" s="17"/>
      <c r="F7" s="18" t="s">
        <v>229</v>
      </c>
      <c r="G7" s="19" t="s">
        <v>38</v>
      </c>
      <c r="H7" s="19" t="s">
        <v>38</v>
      </c>
      <c r="I7" s="20" t="s">
        <v>218</v>
      </c>
    </row>
    <row r="8" spans="1:9" ht="300" hidden="1" customHeight="1">
      <c r="A8" s="21" t="s">
        <v>153</v>
      </c>
      <c r="B8" s="22"/>
      <c r="C8" s="23"/>
      <c r="D8" s="108" t="s">
        <v>216</v>
      </c>
      <c r="E8" s="109" t="s">
        <v>217</v>
      </c>
      <c r="F8" s="25"/>
      <c r="G8" s="33" t="str">
        <f>SUBSTITUTE(CONCATENATE("IAS12-ConcTasaImpo_",TRIM(G7),"_",COLUMN(G8),"|",G7)," ","")</f>
        <v>IAS12-ConcTasaImpo_Agregarcolumnaopcional_7|Agregarcolumnaopcional</v>
      </c>
      <c r="H8" s="81" t="str">
        <f>SUBSTITUTE(CONCATENATE("IAS12-ConcTasaImpo_",TRIM(H7),"_",COLUMN(H8),"|",H7)," ","")</f>
        <v>IAS12-ConcTasaImpo_Agregarcolumnaopcional_8|Agregarcolumnaopcional</v>
      </c>
      <c r="I8" s="26" t="s">
        <v>203</v>
      </c>
    </row>
    <row r="9" spans="1:9">
      <c r="A9" s="27"/>
      <c r="B9" s="34"/>
      <c r="C9" s="35"/>
      <c r="D9" s="36"/>
      <c r="E9" s="37"/>
      <c r="F9" s="38"/>
      <c r="G9" s="43"/>
      <c r="H9" s="82"/>
      <c r="I9" s="45"/>
    </row>
    <row r="10" spans="1:9">
      <c r="A10" s="27"/>
      <c r="B10" s="90"/>
      <c r="C10" s="91"/>
      <c r="D10" s="92"/>
      <c r="E10" s="93"/>
      <c r="F10" s="97" t="s">
        <v>176</v>
      </c>
      <c r="G10" s="94"/>
      <c r="H10" s="98"/>
      <c r="I10" s="99"/>
    </row>
    <row r="11" spans="1:9">
      <c r="A11" s="27"/>
      <c r="B11" s="28"/>
      <c r="C11" s="1"/>
      <c r="D11" s="1" t="s">
        <v>0</v>
      </c>
      <c r="E11" s="1" t="s">
        <v>0</v>
      </c>
      <c r="F11" s="104" t="s">
        <v>215</v>
      </c>
      <c r="G11" s="83" t="s">
        <v>0</v>
      </c>
      <c r="H11" s="83"/>
      <c r="I11" s="70"/>
    </row>
    <row r="12" spans="1:9">
      <c r="A12" s="27"/>
      <c r="B12" s="28"/>
      <c r="C12" s="1" t="s">
        <v>114</v>
      </c>
      <c r="D12" s="1" t="s">
        <v>48</v>
      </c>
      <c r="E12" s="1" t="s">
        <v>0</v>
      </c>
      <c r="F12" s="29" t="s">
        <v>206</v>
      </c>
      <c r="G12" s="84">
        <v>9000</v>
      </c>
      <c r="H12" s="84"/>
      <c r="I12" s="71">
        <f>SUM(G12:H12)</f>
        <v>9000</v>
      </c>
    </row>
    <row r="13" spans="1:9">
      <c r="A13" s="27"/>
      <c r="B13" s="8"/>
      <c r="C13" s="1" t="s">
        <v>124</v>
      </c>
      <c r="D13" s="1" t="s">
        <v>48</v>
      </c>
      <c r="E13" s="1" t="s">
        <v>0</v>
      </c>
      <c r="F13" s="79" t="s">
        <v>219</v>
      </c>
      <c r="G13" s="116">
        <v>0.1</v>
      </c>
      <c r="H13" s="116"/>
      <c r="I13" s="113"/>
    </row>
    <row r="14" spans="1:9" ht="22.8">
      <c r="A14" s="27"/>
      <c r="B14" s="8"/>
      <c r="C14" s="1" t="s">
        <v>125</v>
      </c>
      <c r="D14" s="1" t="s">
        <v>48</v>
      </c>
      <c r="E14" s="1" t="s">
        <v>0</v>
      </c>
      <c r="F14" s="80" t="s">
        <v>220</v>
      </c>
      <c r="G14" s="116">
        <v>0.2</v>
      </c>
      <c r="H14" s="116"/>
      <c r="I14" s="113"/>
    </row>
    <row r="15" spans="1:9" ht="22.8">
      <c r="A15" s="27"/>
      <c r="B15" s="8"/>
      <c r="C15" s="1" t="s">
        <v>126</v>
      </c>
      <c r="D15" s="1" t="s">
        <v>48</v>
      </c>
      <c r="E15" s="1" t="s">
        <v>0</v>
      </c>
      <c r="F15" s="80" t="s">
        <v>221</v>
      </c>
      <c r="G15" s="116">
        <v>0.3</v>
      </c>
      <c r="H15" s="116"/>
      <c r="I15" s="113"/>
    </row>
    <row r="16" spans="1:9">
      <c r="A16" s="27"/>
      <c r="B16" s="8"/>
      <c r="C16" s="1" t="s">
        <v>127</v>
      </c>
      <c r="D16" s="1" t="s">
        <v>48</v>
      </c>
      <c r="E16" s="1" t="s">
        <v>0</v>
      </c>
      <c r="F16" s="79" t="s">
        <v>222</v>
      </c>
      <c r="G16" s="116">
        <v>0.4</v>
      </c>
      <c r="H16" s="116"/>
      <c r="I16" s="113"/>
    </row>
    <row r="17" spans="1:9">
      <c r="B17" s="8"/>
      <c r="C17" s="1" t="s">
        <v>128</v>
      </c>
      <c r="D17" s="1" t="s">
        <v>48</v>
      </c>
      <c r="E17" s="1" t="s">
        <v>0</v>
      </c>
      <c r="F17" s="79" t="s">
        <v>223</v>
      </c>
      <c r="G17" s="116">
        <v>0.01</v>
      </c>
      <c r="H17" s="116"/>
      <c r="I17" s="113"/>
    </row>
    <row r="18" spans="1:9">
      <c r="B18" s="8"/>
      <c r="C18" s="1" t="s">
        <v>129</v>
      </c>
      <c r="D18" s="1" t="s">
        <v>48</v>
      </c>
      <c r="E18" s="1" t="s">
        <v>0</v>
      </c>
      <c r="F18" s="80" t="s">
        <v>224</v>
      </c>
      <c r="G18" s="116">
        <v>0.1</v>
      </c>
      <c r="H18" s="116"/>
      <c r="I18" s="113"/>
    </row>
    <row r="19" spans="1:9">
      <c r="B19" s="8"/>
      <c r="C19" s="1" t="s">
        <v>130</v>
      </c>
      <c r="D19" s="1" t="s">
        <v>48</v>
      </c>
      <c r="E19" s="1" t="s">
        <v>0</v>
      </c>
      <c r="F19" s="80" t="s">
        <v>225</v>
      </c>
      <c r="G19" s="116">
        <v>0.01</v>
      </c>
      <c r="H19" s="116"/>
      <c r="I19" s="113"/>
    </row>
    <row r="20" spans="1:9" ht="22.8">
      <c r="B20" s="8"/>
      <c r="C20" s="1" t="s">
        <v>131</v>
      </c>
      <c r="D20" s="1" t="s">
        <v>48</v>
      </c>
      <c r="E20" s="1" t="s">
        <v>0</v>
      </c>
      <c r="F20" s="80" t="s">
        <v>226</v>
      </c>
      <c r="G20" s="116">
        <v>0.1</v>
      </c>
      <c r="H20" s="116"/>
      <c r="I20" s="113"/>
    </row>
    <row r="21" spans="1:9" ht="22.8">
      <c r="B21" s="8"/>
      <c r="C21" s="1" t="s">
        <v>132</v>
      </c>
      <c r="D21" s="1" t="s">
        <v>48</v>
      </c>
      <c r="E21" s="1" t="s">
        <v>0</v>
      </c>
      <c r="F21" s="80" t="s">
        <v>227</v>
      </c>
      <c r="G21" s="116">
        <v>0.1</v>
      </c>
      <c r="H21" s="116"/>
      <c r="I21" s="113"/>
    </row>
    <row r="22" spans="1:9">
      <c r="B22" s="8"/>
      <c r="C22" s="1" t="s">
        <v>133</v>
      </c>
      <c r="D22" s="1" t="s">
        <v>48</v>
      </c>
      <c r="E22" s="1" t="s">
        <v>0</v>
      </c>
      <c r="F22" s="78" t="s">
        <v>228</v>
      </c>
      <c r="G22" s="117">
        <f>G13-G14+G15+G16+G17+G18+G19+G20+G21</f>
        <v>0.91999999999999993</v>
      </c>
      <c r="H22" s="117">
        <f t="shared" ref="H22:I22" si="0">H13-H14+H15+H16+H17+H18+H19+H20+H21</f>
        <v>0</v>
      </c>
      <c r="I22" s="114">
        <f t="shared" si="0"/>
        <v>0</v>
      </c>
    </row>
    <row r="23" spans="1:9">
      <c r="B23" s="28"/>
      <c r="C23" s="29"/>
      <c r="D23" s="29"/>
      <c r="E23" s="29"/>
      <c r="F23" s="80"/>
      <c r="G23" s="115"/>
      <c r="H23" s="83"/>
      <c r="I23" s="9"/>
    </row>
    <row r="24" spans="1:9">
      <c r="A24" s="27"/>
      <c r="B24" s="90"/>
      <c r="C24" s="91"/>
      <c r="D24" s="92"/>
      <c r="E24" s="93"/>
      <c r="F24" s="97" t="s">
        <v>175</v>
      </c>
      <c r="G24" s="143"/>
      <c r="H24" s="94"/>
      <c r="I24" s="9" t="s">
        <v>0</v>
      </c>
    </row>
    <row r="25" spans="1:9">
      <c r="A25" s="27"/>
      <c r="B25" s="28"/>
      <c r="C25" s="1"/>
      <c r="D25" s="1" t="s">
        <v>0</v>
      </c>
      <c r="E25" s="1" t="s">
        <v>0</v>
      </c>
      <c r="F25" s="104" t="s">
        <v>215</v>
      </c>
      <c r="G25" s="83" t="s">
        <v>0</v>
      </c>
      <c r="H25" s="83"/>
      <c r="I25" s="70"/>
    </row>
    <row r="26" spans="1:9">
      <c r="A26" s="27"/>
      <c r="B26" s="28"/>
      <c r="C26" s="1"/>
      <c r="D26" s="1"/>
      <c r="E26" s="1"/>
      <c r="F26" s="104"/>
      <c r="G26" s="83"/>
      <c r="H26" s="83"/>
      <c r="I26" s="70"/>
    </row>
    <row r="27" spans="1:9">
      <c r="A27" s="27"/>
      <c r="B27" s="28"/>
      <c r="C27" s="1" t="s">
        <v>114</v>
      </c>
      <c r="D27" s="1" t="s">
        <v>50</v>
      </c>
      <c r="E27" s="1" t="s">
        <v>0</v>
      </c>
      <c r="F27" s="29" t="s">
        <v>206</v>
      </c>
      <c r="G27" s="84">
        <v>9000</v>
      </c>
      <c r="H27" s="84"/>
      <c r="I27" s="71">
        <f>SUM(G27:H27)</f>
        <v>9000</v>
      </c>
    </row>
    <row r="28" spans="1:9">
      <c r="A28" s="27"/>
      <c r="B28" s="8"/>
      <c r="C28" s="1" t="s">
        <v>124</v>
      </c>
      <c r="D28" s="1" t="s">
        <v>50</v>
      </c>
      <c r="E28" s="1" t="s">
        <v>0</v>
      </c>
      <c r="F28" s="79" t="s">
        <v>219</v>
      </c>
      <c r="G28" s="116">
        <v>0.1</v>
      </c>
      <c r="H28" s="116"/>
      <c r="I28" s="113"/>
    </row>
    <row r="29" spans="1:9" ht="22.8">
      <c r="A29" s="27"/>
      <c r="B29" s="8"/>
      <c r="C29" s="1" t="s">
        <v>125</v>
      </c>
      <c r="D29" s="1" t="s">
        <v>50</v>
      </c>
      <c r="E29" s="1" t="s">
        <v>0</v>
      </c>
      <c r="F29" s="80" t="s">
        <v>220</v>
      </c>
      <c r="G29" s="116">
        <v>0.2</v>
      </c>
      <c r="H29" s="116"/>
      <c r="I29" s="113"/>
    </row>
    <row r="30" spans="1:9" ht="22.8">
      <c r="A30" s="27"/>
      <c r="B30" s="8"/>
      <c r="C30" s="1" t="s">
        <v>126</v>
      </c>
      <c r="D30" s="1" t="s">
        <v>50</v>
      </c>
      <c r="E30" s="1" t="s">
        <v>0</v>
      </c>
      <c r="F30" s="80" t="s">
        <v>221</v>
      </c>
      <c r="G30" s="116">
        <v>0.3</v>
      </c>
      <c r="H30" s="116"/>
      <c r="I30" s="113"/>
    </row>
    <row r="31" spans="1:9">
      <c r="A31" s="27"/>
      <c r="B31" s="8"/>
      <c r="C31" s="1" t="s">
        <v>127</v>
      </c>
      <c r="D31" s="1" t="s">
        <v>50</v>
      </c>
      <c r="E31" s="1" t="s">
        <v>0</v>
      </c>
      <c r="F31" s="79" t="s">
        <v>222</v>
      </c>
      <c r="G31" s="116">
        <v>0.4</v>
      </c>
      <c r="H31" s="116"/>
      <c r="I31" s="113"/>
    </row>
    <row r="32" spans="1:9">
      <c r="B32" s="8"/>
      <c r="C32" s="1" t="s">
        <v>128</v>
      </c>
      <c r="D32" s="1" t="s">
        <v>50</v>
      </c>
      <c r="E32" s="1" t="s">
        <v>0</v>
      </c>
      <c r="F32" s="79" t="s">
        <v>223</v>
      </c>
      <c r="G32" s="116">
        <v>0.01</v>
      </c>
      <c r="H32" s="116"/>
      <c r="I32" s="113"/>
    </row>
    <row r="33" spans="2:9">
      <c r="B33" s="8"/>
      <c r="C33" s="1" t="s">
        <v>129</v>
      </c>
      <c r="D33" s="1" t="s">
        <v>50</v>
      </c>
      <c r="E33" s="1" t="s">
        <v>0</v>
      </c>
      <c r="F33" s="80" t="s">
        <v>224</v>
      </c>
      <c r="G33" s="116">
        <v>0.1</v>
      </c>
      <c r="H33" s="116"/>
      <c r="I33" s="113"/>
    </row>
    <row r="34" spans="2:9">
      <c r="B34" s="8"/>
      <c r="C34" s="1" t="s">
        <v>130</v>
      </c>
      <c r="D34" s="1" t="s">
        <v>50</v>
      </c>
      <c r="E34" s="1" t="s">
        <v>0</v>
      </c>
      <c r="F34" s="80" t="s">
        <v>225</v>
      </c>
      <c r="G34" s="116">
        <v>0.01</v>
      </c>
      <c r="H34" s="116"/>
      <c r="I34" s="113"/>
    </row>
    <row r="35" spans="2:9" ht="22.8">
      <c r="B35" s="8"/>
      <c r="C35" s="1" t="s">
        <v>131</v>
      </c>
      <c r="D35" s="1" t="s">
        <v>50</v>
      </c>
      <c r="E35" s="1" t="s">
        <v>0</v>
      </c>
      <c r="F35" s="80" t="s">
        <v>226</v>
      </c>
      <c r="G35" s="116">
        <v>0.1</v>
      </c>
      <c r="H35" s="116"/>
      <c r="I35" s="113"/>
    </row>
    <row r="36" spans="2:9" ht="22.8">
      <c r="B36" s="8"/>
      <c r="C36" s="1" t="s">
        <v>132</v>
      </c>
      <c r="D36" s="1" t="s">
        <v>50</v>
      </c>
      <c r="E36" s="1" t="s">
        <v>0</v>
      </c>
      <c r="F36" s="80" t="s">
        <v>227</v>
      </c>
      <c r="G36" s="116">
        <v>0.1</v>
      </c>
      <c r="H36" s="116"/>
      <c r="I36" s="113"/>
    </row>
    <row r="37" spans="2:9">
      <c r="B37" s="8"/>
      <c r="C37" s="1" t="s">
        <v>133</v>
      </c>
      <c r="D37" s="1" t="s">
        <v>50</v>
      </c>
      <c r="E37" s="1" t="s">
        <v>0</v>
      </c>
      <c r="F37" s="78" t="s">
        <v>228</v>
      </c>
      <c r="G37" s="117">
        <f>G28-G29+G30+G31+G32+G33+G34+G35+G36</f>
        <v>0.91999999999999993</v>
      </c>
      <c r="H37" s="117">
        <f t="shared" ref="H37" si="1">H28-H29+H30+H31+H32+H33+H34+H35+H36</f>
        <v>0</v>
      </c>
      <c r="I37" s="114">
        <f t="shared" ref="I37" si="2">I28-I29+I30+I31+I32+I33+I34+I35+I36</f>
        <v>0</v>
      </c>
    </row>
    <row r="38" spans="2:9">
      <c r="B38" s="39"/>
      <c r="C38" s="40"/>
      <c r="D38" s="40"/>
      <c r="E38" s="40"/>
      <c r="F38" s="77"/>
      <c r="G38" s="95"/>
      <c r="H38" s="95"/>
      <c r="I38" s="96"/>
    </row>
  </sheetData>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codigos!$A$1:$A$2</xm:f>
          </x14:formula1>
          <xm:sqref>G4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2"/>
  <sheetViews>
    <sheetView workbookViewId="0">
      <selection activeCell="A3" sqref="A3"/>
    </sheetView>
  </sheetViews>
  <sheetFormatPr baseColWidth="10" defaultRowHeight="14.4"/>
  <sheetData>
    <row r="1" spans="1:1">
      <c r="A1" t="s">
        <v>64</v>
      </c>
    </row>
    <row r="2" spans="1:1">
      <c r="A2" t="s">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IAS12-Cuadros</vt:lpstr>
      <vt:lpstr>IAS12-CompGastImpu</vt:lpstr>
      <vt:lpstr>IAS12-ImpuCorrDife</vt:lpstr>
      <vt:lpstr>IAS12-ImpuResuInte</vt:lpstr>
      <vt:lpstr>IAS12-InfoDifeTemp</vt:lpstr>
      <vt:lpstr>IAS12-ConcGanaCont</vt:lpstr>
      <vt:lpstr>IAS12-ConcTasaImpo</vt:lpstr>
      <vt:lpstr>codigos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Waldo Byron Gonzalez Serrano</cp:lastModifiedBy>
  <dcterms:created xsi:type="dcterms:W3CDTF">2013-03-21T17:58:38Z</dcterms:created>
  <dcterms:modified xsi:type="dcterms:W3CDTF">2024-06-12T16:51:18Z</dcterms:modified>
</cp:coreProperties>
</file>