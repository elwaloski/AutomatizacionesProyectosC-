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jaime\Desktop\Jaime\TESTING\Testing CI 2023\svs-cl-ci-2023-01-02\"/>
    </mc:Choice>
  </mc:AlternateContent>
  <xr:revisionPtr revIDLastSave="0" documentId="13_ncr:1_{FA6E6E6F-0C5F-4A89-9352-2FBCD56F2BF6}" xr6:coauthVersionLast="47" xr6:coauthVersionMax="47" xr10:uidLastSave="{00000000-0000-0000-0000-000000000000}"/>
  <bookViews>
    <workbookView xWindow="-120" yWindow="-120" windowWidth="20730" windowHeight="11160" firstSheet="6" activeTab="9" xr2:uid="{00000000-000D-0000-FFFF-FFFF00000000}"/>
  </bookViews>
  <sheets>
    <sheet name="IFRS15-Cuadros" sheetId="1" r:id="rId1"/>
    <sheet name="IFRS15-AnteInveTabl" sheetId="2" r:id="rId2"/>
    <sheet name="IFRS15-DesaProdServ" sheetId="4" r:id="rId3"/>
    <sheet name="IFRS15-DesaAreaGeog" sheetId="5" r:id="rId4"/>
    <sheet name="IFRS15-DesaSegmOper" sheetId="6" r:id="rId5"/>
    <sheet name="IFRS15-SaldDelCont" sheetId="8" r:id="rId6"/>
    <sheet name="IFRS15-CambSignSald" sheetId="10" r:id="rId7"/>
    <sheet name="IFRS15-InfoReveDese" sheetId="11" r:id="rId8"/>
    <sheet name="IFRS15-PrecTranAsig" sheetId="12" r:id="rId9"/>
    <sheet name="IFRS15-InfoActiCost" sheetId="13" r:id="rId10"/>
    <sheet name="codigo" sheetId="7" state="hidden"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4" i="13" l="1"/>
  <c r="J10" i="13"/>
  <c r="I40" i="2"/>
  <c r="I39" i="2"/>
  <c r="I37" i="2"/>
  <c r="I36" i="2"/>
  <c r="I33" i="2"/>
  <c r="I32" i="2"/>
  <c r="I29" i="2"/>
  <c r="I28" i="2"/>
  <c r="I23" i="2"/>
  <c r="I22" i="2"/>
  <c r="I20" i="2"/>
  <c r="I19" i="2"/>
  <c r="I16" i="2"/>
  <c r="I15" i="2"/>
  <c r="I12" i="2"/>
  <c r="I11" i="2"/>
  <c r="I28" i="8"/>
  <c r="I27" i="8"/>
  <c r="I26" i="8"/>
  <c r="I24" i="8"/>
  <c r="I22" i="8"/>
  <c r="I17" i="8"/>
  <c r="I16" i="8"/>
  <c r="I15" i="8"/>
  <c r="I14" i="8"/>
  <c r="I25" i="8" s="1"/>
  <c r="I13" i="8"/>
  <c r="I12" i="8"/>
  <c r="I23" i="8" s="1"/>
  <c r="I11" i="8"/>
  <c r="I10" i="8"/>
  <c r="I21" i="8" s="1"/>
  <c r="I38" i="10"/>
  <c r="I37" i="10"/>
  <c r="I36" i="10"/>
  <c r="I35" i="10"/>
  <c r="I34" i="10"/>
  <c r="I33" i="10"/>
  <c r="I32" i="10"/>
  <c r="I31" i="10"/>
  <c r="I30" i="10"/>
  <c r="I29" i="10"/>
  <c r="I28" i="10"/>
  <c r="I27" i="10"/>
  <c r="I26" i="10"/>
  <c r="I22" i="10"/>
  <c r="I21" i="10"/>
  <c r="I20" i="10"/>
  <c r="I19" i="10"/>
  <c r="I18" i="10"/>
  <c r="I17" i="10"/>
  <c r="I16" i="10"/>
  <c r="I15" i="10"/>
  <c r="I14" i="10"/>
  <c r="I13" i="10"/>
  <c r="I12" i="10"/>
  <c r="I11" i="10"/>
  <c r="I10" i="10"/>
  <c r="I14" i="12"/>
  <c r="I10" i="12"/>
  <c r="H6" i="12"/>
  <c r="G6" i="12"/>
  <c r="H6" i="10"/>
  <c r="G6" i="10"/>
  <c r="H25" i="8"/>
  <c r="G25" i="8"/>
  <c r="H23" i="8"/>
  <c r="G23" i="8"/>
  <c r="H21" i="8"/>
  <c r="G21" i="8"/>
  <c r="H6" i="8"/>
  <c r="G6" i="8"/>
  <c r="H8" i="6" l="1"/>
  <c r="H32" i="6" s="1"/>
  <c r="G8" i="6"/>
  <c r="G32" i="6" s="1"/>
  <c r="I75" i="6"/>
  <c r="I65" i="6"/>
  <c r="I57" i="6"/>
  <c r="I56" i="6"/>
  <c r="H56" i="6"/>
  <c r="G56" i="6"/>
  <c r="I50" i="6"/>
  <c r="I40" i="6"/>
  <c r="I32" i="6"/>
  <c r="I31" i="6"/>
  <c r="H31" i="6"/>
  <c r="G31" i="6"/>
  <c r="I26" i="6"/>
  <c r="I16" i="6"/>
  <c r="I30" i="5"/>
  <c r="H30" i="5"/>
  <c r="G30" i="5"/>
  <c r="H8" i="5"/>
  <c r="H57" i="5" s="1"/>
  <c r="G8" i="5"/>
  <c r="G57" i="5" s="1"/>
  <c r="I6" i="5"/>
  <c r="H6" i="5"/>
  <c r="G6" i="5"/>
  <c r="I75" i="5"/>
  <c r="I65" i="5"/>
  <c r="I57" i="5"/>
  <c r="I56" i="5"/>
  <c r="H56" i="5"/>
  <c r="G56" i="5"/>
  <c r="I50" i="5"/>
  <c r="I40" i="5"/>
  <c r="I32" i="5"/>
  <c r="I31" i="5"/>
  <c r="H31" i="5"/>
  <c r="G31" i="5"/>
  <c r="I26" i="5"/>
  <c r="I16" i="5"/>
  <c r="H56" i="4"/>
  <c r="G56" i="4"/>
  <c r="I57" i="4"/>
  <c r="I56" i="4"/>
  <c r="I32" i="4"/>
  <c r="I31" i="4"/>
  <c r="H31" i="4"/>
  <c r="G31" i="4"/>
  <c r="I75" i="4"/>
  <c r="I65" i="4"/>
  <c r="I50" i="4"/>
  <c r="I40" i="4"/>
  <c r="I30" i="4"/>
  <c r="H30" i="4"/>
  <c r="G30" i="4"/>
  <c r="H8" i="4"/>
  <c r="H32" i="4" s="1"/>
  <c r="G8" i="4"/>
  <c r="G32" i="4" s="1"/>
  <c r="I6" i="4"/>
  <c r="H6" i="4"/>
  <c r="G6" i="4"/>
  <c r="I26" i="4"/>
  <c r="I16" i="4"/>
  <c r="G57" i="4" l="1"/>
  <c r="H57" i="4"/>
  <c r="H57" i="6"/>
  <c r="G57" i="6"/>
  <c r="G32" i="5"/>
  <c r="H32" i="5"/>
  <c r="H38" i="2"/>
  <c r="G38" i="2"/>
  <c r="I38" i="2" s="1"/>
  <c r="H34" i="2"/>
  <c r="G34" i="2"/>
  <c r="H30" i="2"/>
  <c r="G30" i="2"/>
  <c r="I30" i="2" s="1"/>
  <c r="H21" i="2"/>
  <c r="G21" i="2"/>
  <c r="H17" i="2"/>
  <c r="G17" i="2"/>
  <c r="I17" i="2" s="1"/>
  <c r="H13" i="2"/>
  <c r="G13" i="2"/>
  <c r="H6" i="2"/>
  <c r="G6" i="2"/>
  <c r="I21" i="2" l="1"/>
  <c r="I13" i="2"/>
  <c r="I34" i="2"/>
</calcChain>
</file>

<file path=xl/sharedStrings.xml><?xml version="1.0" encoding="utf-8"?>
<sst xmlns="http://schemas.openxmlformats.org/spreadsheetml/2006/main" count="1279" uniqueCount="309">
  <si>
    <t xml:space="preserve"> </t>
  </si>
  <si>
    <t>full_ifrs-cor_2015-03-11.xsd#ifrs-full_DisclosureOfRevenueFromContractsWithCustomersExplanatory</t>
  </si>
  <si>
    <t>Ingresos provenientes de contratos con clientes [sinopsis]</t>
  </si>
  <si>
    <t>Información a revelar sobre los ingresos de actividades ordinarias de contratos con clientes [bloque de texto]</t>
  </si>
  <si>
    <r>
      <t xml:space="preserve">INSTRUCCIONES DE LLENADO
</t>
    </r>
    <r>
      <rPr>
        <sz val="10"/>
        <rFont val="Calibri"/>
        <family val="2"/>
      </rPr>
      <t xml:space="preserve">Esta dimensión puede ser extendida agregando columnas (miembros) adicionales a las definidas por taxonomía.
-Las columnas marcadas con línea punteada roja y con fondo verde indican las posiciones donde es posible agregar elementos.                                                                                                                                                                                                                                                                                             </t>
    </r>
    <r>
      <rPr>
        <sz val="10"/>
        <color indexed="10"/>
        <rFont val="Calibri"/>
        <family val="2"/>
      </rPr>
      <t xml:space="preserve">-Si se presiona el botón </t>
    </r>
    <r>
      <rPr>
        <b/>
        <sz val="10"/>
        <color indexed="10"/>
        <rFont val="Calibri"/>
        <family val="2"/>
      </rPr>
      <t>'Copiar Columna'</t>
    </r>
    <r>
      <rPr>
        <sz val="10"/>
        <color indexed="10"/>
        <rFont val="Calibri"/>
        <family val="2"/>
      </rPr>
      <t xml:space="preserve"> se copiará una columna  a la derecha de la columna actualmente seleccionada. </t>
    </r>
    <r>
      <rPr>
        <sz val="10"/>
        <rFont val="Calibri"/>
        <family val="2"/>
      </rPr>
      <t xml:space="preserve">
-Edite las columnas</t>
    </r>
    <r>
      <rPr>
        <b/>
        <sz val="10"/>
        <rFont val="Calibri"/>
        <family val="2"/>
      </rPr>
      <t xml:space="preserve"> coloreadas verde </t>
    </r>
    <r>
      <rPr>
        <sz val="10"/>
        <rFont val="Calibri"/>
        <family val="2"/>
      </rPr>
      <t xml:space="preserve">de acuerdo a sus necesidades.
-Las columnas verdes pueden ser editadas, eliminadas o duplicadas, así puede agregar mas detalle donde corresponda. Asegúrese de copiar la columna completa si desea duplicar un elemento (Se recomienda utilizar el botón 'Copiar Columna').
-Las columnas marcadas en plomo </t>
    </r>
    <r>
      <rPr>
        <b/>
        <sz val="10"/>
        <rFont val="Calibri"/>
        <family val="2"/>
      </rPr>
      <t>no deben ser editadas, eliminadas ni movidas.</t>
    </r>
  </si>
  <si>
    <t>Elimine la(s) columnas en verde que no apliquen para usted</t>
  </si>
  <si>
    <t>Cargar hoja:</t>
  </si>
  <si>
    <t>SI</t>
  </si>
  <si>
    <t>DIMENUE</t>
  </si>
  <si>
    <t>Agregar columna opcional</t>
  </si>
  <si>
    <t>DIMEAVA</t>
  </si>
  <si>
    <t>ACT</t>
  </si>
  <si>
    <t>INI</t>
  </si>
  <si>
    <t>AAN</t>
  </si>
  <si>
    <t>cl-ci_cor_2019-01-02.xsd#cl-ci_ActivosPasivosIngresosYPerdidasDeterioroTabla</t>
  </si>
  <si>
    <t>cl-ci_cor_2019-01-02.xsd#cl-ci_ActivosPasivosIngresosYPerdidasDeterioroEje</t>
  </si>
  <si>
    <t>cl-ci_cor_2019-01-02.xsd#cl-ci_ActivosPasivosIngresosYPerdidasDeterioroMiembro</t>
  </si>
  <si>
    <t>Activos, pasivos, ingresos y pérdidas por deterioro [miembro]</t>
  </si>
  <si>
    <t>Activos, pasivos, ingresos y pérdidas por deterioro [tabla]</t>
  </si>
  <si>
    <t>full_ifrs-cor_2018-03-16.xsd#ifrs-full_NoncurrentContractAssets</t>
  </si>
  <si>
    <t>full_ifrs-cor_2018-03-16.xsd#ifrs-full_CurrentContractAssets</t>
  </si>
  <si>
    <t>full_ifrs-cor_2018-03-16.xsd#ifrs-full_ContractAssets</t>
  </si>
  <si>
    <t>full_ifrs-cor_2018-03-16.xsd#ifrs-full_NoncurrentContractLiabilities</t>
  </si>
  <si>
    <t>full_ifrs-cor_2018-03-16.xsd#ifrs-full_CurrentContractLiabilities</t>
  </si>
  <si>
    <t>full_ifrs-cor_2018-03-16.xsd#ifrs-full_ContractLiabilities</t>
  </si>
  <si>
    <t>full_ifrs-cor_2018-03-16.xsd#ifrs-full_NoncurrentReceivablesFromContractsWithCustomers</t>
  </si>
  <si>
    <t>full_ifrs-cor_2018-03-16.xsd#ifrs-full_CurrentReceivablesFromContractsWithCustomers</t>
  </si>
  <si>
    <t>full_ifrs-cor_2018-03-16.xsd#ifrs-full_ReceivablesFromContractsWithCustomers</t>
  </si>
  <si>
    <t>full_ifrs-cor_2018-03-16.xsd#ifrs-full_RevenueFromContractsWithCustomers</t>
  </si>
  <si>
    <t>full_ifrs-cor_2018-03-16.xsd#ifrs-full_ImpairmentLossOnReceivablesOrContractAssetsArisingFromContractsWithCustomers</t>
  </si>
  <si>
    <t>Activos del contrato [resumen]</t>
  </si>
  <si>
    <t>Pasivos del contrato [resumen]</t>
  </si>
  <si>
    <t>Cuentas por cobrar de contratos con clientes [resumen]</t>
  </si>
  <si>
    <t>Activos, pasivos, ingresos y pérdidas por deterioro [partidas]</t>
  </si>
  <si>
    <r>
      <t xml:space="preserve">INSTRUCCIONES DE LLENADO
</t>
    </r>
    <r>
      <rPr>
        <sz val="10"/>
        <rFont val="Calibri"/>
        <family val="2"/>
      </rPr>
      <t xml:space="preserve">Esta dimensión puede ser extendida agregando columnas (miembros) adicionales a las definidas por taxonomía.
-Las tabla  marcada con línea punteada roja y con fondo verde indican las posiciones donde es posible agregar elementos. Esta tabla puede ser copiada  debajo de este cuadro si se desean agregar mas columnas.
-Para cada columna creada (verde) debe escribirse una descripción (en rojo).
-Las tablas marcadas en plomo </t>
    </r>
    <r>
      <rPr>
        <b/>
        <sz val="10"/>
        <rFont val="Calibri"/>
        <family val="2"/>
      </rPr>
      <t>no deben ser editadas, eliminadas ni movidas.</t>
    </r>
  </si>
  <si>
    <t>full_ifrs-cor_2015-03-11.xsd#ifrs-full_ProductsAndServicesAxis</t>
  </si>
  <si>
    <t>cl-ci_cor_2019-01-02.xsd#cl-ci_DesagregacionPorProductosYServiciosDeIngresosContratosClientesTabla</t>
  </si>
  <si>
    <t>full_ifrs-cor_2018-03-16.xsd#ifrs-full_MarketsOfCustomersAxis</t>
  </si>
  <si>
    <t>full_ifrs-cor_2018-03-16.xsd#ifrs-full_MarketsOfCustomersMember</t>
  </si>
  <si>
    <t>Mercados de clientes [miembro]</t>
  </si>
  <si>
    <t>Producto 1</t>
  </si>
  <si>
    <t>Mercado 1</t>
  </si>
  <si>
    <t>Mercado 2</t>
  </si>
  <si>
    <t>Desagregación por productos y servicios de ingresos de contratos con clientes [partidas]</t>
  </si>
  <si>
    <t>cl-ci_cor_2019-01-02.xsd#cl-ci_TiposClientes</t>
  </si>
  <si>
    <t>cl-ci_cor_2019-01-02.xsd#cl-ci_TiposContratos</t>
  </si>
  <si>
    <t>cl-ci_cor_2019-01-02.xsd#cl-ci_DuracionContrato</t>
  </si>
  <si>
    <t>cl-ci_cor_2019-01-02.xsd#cl-ci_CalendarioTransferenciasBienesServicios</t>
  </si>
  <si>
    <t>cl-ci_cor_2019-01-02.xsd#cl-ci_CanalesDeVentas</t>
  </si>
  <si>
    <t>Producto 2</t>
  </si>
  <si>
    <t>Periodo actual</t>
  </si>
  <si>
    <t>Periodo anual anterior</t>
  </si>
  <si>
    <t>full_ifrs-cor_2015-03-11.xsd#ifrs-full_ProductsAndServicesMember</t>
  </si>
  <si>
    <t>Productos y servicios [miembro]</t>
  </si>
  <si>
    <t>Desagregación por productos y servicios de ingresos de contratos con clientes [tabla]</t>
  </si>
  <si>
    <t>cl-ci_cor_2019-01-02.xsd#cl-ci_DesagregacionPorAreasGeograficasDeIngresosContratosClientesTabla</t>
  </si>
  <si>
    <t>full_ifrs-cor_2015-03-11.xsd#ifrs-full_GeographicalAreasAxis</t>
  </si>
  <si>
    <t>Area geografica 1</t>
  </si>
  <si>
    <t>Area geografica 2</t>
  </si>
  <si>
    <t>full_ifrs-cor_2015-03-11.xsd#ifrs-full_GeographicalAreasMember</t>
  </si>
  <si>
    <t>Áreas geográficas [miembro]</t>
  </si>
  <si>
    <t>Desagregación por áreas geográficas de ingresos de contratos con clientes [tabla]</t>
  </si>
  <si>
    <t>cl-ci_cor_2019-01-02.xsd#cl-ci_DesagregacionPorSegmentosOperacionDeIngresosContratosClientesTabla</t>
  </si>
  <si>
    <t>cl-ci_cor_2016-01-11.xsd#cl-ci_OperatingSegmentsAxis</t>
  </si>
  <si>
    <t>full_ifrs-cor_2015-03-11.xsd#ifrs-full_ReportableSegmentsMember</t>
  </si>
  <si>
    <t>Segmentos sobre los que debe informarse [miembro]</t>
  </si>
  <si>
    <t>full_ifrs-cor_2015-03-11.xsd#ifrs-full_AllOtherSegmentsMember</t>
  </si>
  <si>
    <t>Todos los demás segmentos [miembro]</t>
  </si>
  <si>
    <t>Segmentos de operación [miembro]</t>
  </si>
  <si>
    <t>full_ifrs-cor_2015-03-11.xsd#ifrs-full_OperatingSegmentsMember</t>
  </si>
  <si>
    <t>NO</t>
  </si>
  <si>
    <t>cl-ci_cor_2019-01-02.xsd#cl-ci_SaldosDelContratoTabla</t>
  </si>
  <si>
    <t>cl-ci_cor_2019-01-02.xsd#cl-ci_SaldosDelContratoEje</t>
  </si>
  <si>
    <t>cl-ci_cor_2019-01-02.xsd#cl-ci_SaldosDelContratoMiembro</t>
  </si>
  <si>
    <t>Saldos del contrato [miembro]</t>
  </si>
  <si>
    <t>Saldos del contrato [tabla]</t>
  </si>
  <si>
    <t>full_ifrs-cor_2018-03-16.xsd#ifrs-full_RevenueThatWasIncludedInContractLiabilityBalanceAtBeginningOfPeriod</t>
  </si>
  <si>
    <t>full_ifrs-cor_2018-03-16.xsd#ifrs-full_RevenueFromPerformanceObligationsSatisfiedOrPartiallySatisfiedInPreviousPeriods</t>
  </si>
  <si>
    <t>Saldos del contrato [partidas]</t>
  </si>
  <si>
    <t>ANT</t>
  </si>
  <si>
    <t>cl-ci_cor_2019-01-02.xsd#cl-ci_CambiosSignificativosEnSaldosDelContratoTabla</t>
  </si>
  <si>
    <t>cl-ci_cor_2019-01-02.xsd#cl-ci_CambiosSignificativosEnSaldosDelContratoEje</t>
  </si>
  <si>
    <t>cl-ci_cor_2019-01-02.xsd#cl-ci_CambiosSignificativosEnSaldosDelContratoMiembro</t>
  </si>
  <si>
    <t>Cambios significativos en los saldos del contrato [miembro]</t>
  </si>
  <si>
    <t>Cambios significativos en los saldos del contrato [tabla]</t>
  </si>
  <si>
    <t>full_ifrs-cor_2018-03-16.xsd#ifrs-full_IncreaseThroughBusinessCombinationsContractAssets</t>
  </si>
  <si>
    <t>full_ifrs-cor_2018-03-16.xsd#ifrs-full_IncreaseDecreaseThroughCumulativeCatchupAdjustmentsToRevenueContractAssets</t>
  </si>
  <si>
    <t>full_ifrs-cor_2018-03-16.xsd#ifrs-full_IncreaseDecreaseThroughCumulativeCatchupAdjustmentsToRevenueArisingFromChangeInMeasureOfProgressContractAssets</t>
  </si>
  <si>
    <t>full_ifrs-cor_2018-03-16.xsd#ifrs-full_IncreaseDecreaseThroughCumulativeCatchupAdjustmentsToRevenueArisingFromChangeInEstimateOfTransactionPriceContractAssets</t>
  </si>
  <si>
    <t>full_ifrs-cor_2018-03-16.xsd#ifrs-full_IncreaseDecreaseThroughCumulativeCatchupAdjustmentsToRevenueArisingFromContractModificationContractAssets</t>
  </si>
  <si>
    <t>full_ifrs-cor_2018-03-16.xsd#ifrs-full_DecreaseThroughImpairmentContractAssets</t>
  </si>
  <si>
    <t>full_ifrs-cor_2018-03-16.xsd#ifrs-full_DecreaseThroughRightToConsiderationBecomingUnconditionalContractAssets</t>
  </si>
  <si>
    <t>full_ifrs-cor_2018-03-16.xsd#ifrs-full_IncreaseThroughBusinessCombinationsContractLiabilities</t>
  </si>
  <si>
    <t>full_ifrs-cor_2018-03-16.xsd#ifrs-full_IncreaseDecreaseThroughCumulativeCatchupAdjustmentsToRevenueContractLiabilities</t>
  </si>
  <si>
    <t>full_ifrs-cor_2018-03-16.xsd#ifrs-full_IncreaseDecreaseThroughCumulativeCatchupAdjustmentsToRevenueArisingFromChangeInMeasureOfProgressContractLiabilities</t>
  </si>
  <si>
    <t>full_ifrs-cor_2018-03-16.xsd#ifrs-full_IncreaseDecreaseThroughCumulativeCatchupAdjustmentsToRevenueArisingFromChangeInEstimateOfTransactionPriceContractLiabilities</t>
  </si>
  <si>
    <t>full_ifrs-cor_2018-03-16.xsd#ifrs-full_IncreaseDecreaseThroughCumulativeCatchupAdjustmentsToRevenueArisingFromContractModificationContractLiabilities</t>
  </si>
  <si>
    <t>full_ifrs-cor_2018-03-16.xsd#ifrs-full_DecreaseThroughPerformanceObligationBeingSatisfiedContractLiabilities</t>
  </si>
  <si>
    <t>Cambios significativos en los saldos del contrato [partidas]</t>
  </si>
  <si>
    <t>Activos, pasivos, ingresos y pérdidas por deterioro [tabla] (a)</t>
  </si>
  <si>
    <t>Desagregación por productos y servicios de ingresos de contratos con clientes [tabla] (b)</t>
  </si>
  <si>
    <t xml:space="preserve">Desagregación por áreas geográficas de ingresos de contratos con clientes [tabla] (c) </t>
  </si>
  <si>
    <t>Desagregación por áreas geográficas de ingresos de contratos con clientes [tabla] (d)</t>
  </si>
  <si>
    <t xml:space="preserve">Saldos del contrato [tabla] (e) </t>
  </si>
  <si>
    <t>Cambios significativos en los saldos del contrato [tabla] (f)</t>
  </si>
  <si>
    <t>Información a revelar sobre obligaciones de desempeño [tabla]</t>
  </si>
  <si>
    <t>full_ifrs-cor_2018-03-16.xsd#ifrs-full_DisclosureOfPerformanceObligationsTable</t>
  </si>
  <si>
    <t>full_ifrs-cor_2018-03-16.xsd#ifrs-full_PerformanceObligationsAxis</t>
  </si>
  <si>
    <t>Obligaciones de desempeño que se satisfacen a lo largo del tiempo [miembro]</t>
  </si>
  <si>
    <t>Obligaciones de desempeño que se satisfacen en un determinado momento [miembro]</t>
  </si>
  <si>
    <t>Obligaciones de desempeño [miembro]</t>
  </si>
  <si>
    <t>full_ifrs-cor_2018-03-16.xsd#ifrs-full_PerformanceObligationsSatisfiedOverTimeMember</t>
  </si>
  <si>
    <t>full_ifrs-cor_2018-03-16.xsd#ifrs-full_PerformanceObligationsSatisfiedAtPointInTimeMember</t>
  </si>
  <si>
    <t>full_ifrs-cor_2018-03-16.xsd#ifrs-full_PerformanceObligationsMember</t>
  </si>
  <si>
    <t>Información a revelar sobre obligaciones de desempeño [partidas de los estados financieros]</t>
  </si>
  <si>
    <t>Información a revelar sobre obligaciones de desempeño [tabla] (g)</t>
  </si>
  <si>
    <t>full_ifrs-cor_2018-03-16.xsd#ifrs-full_DescriptionOfWhenEntityTypicallySatisfiesPerformanceObligations</t>
  </si>
  <si>
    <t>full_ifrs-cor_2018-03-16.xsd#ifrs-full_DescriptionOfSignificantPaymentTermsInContractsWithCustomers</t>
  </si>
  <si>
    <t>full_ifrs-cor_2018-03-16.xsd#ifrs-full_DescriptionOfNatureOfGoodsOrServicesThatEntityHasPromisedToTransfer</t>
  </si>
  <si>
    <t>full_ifrs-cor_2018-03-16.xsd#ifrs-full_DescriptionOfPerformanceObligationsToArrangeForAnotherPartyToTransferGoodsOrServices</t>
  </si>
  <si>
    <t>full_ifrs-cor_2018-03-16.xsd#ifrs-full_DescriptionOfObligationsForReturnsRefundsAndOtherSimilarObligations</t>
  </si>
  <si>
    <t>full_ifrs-cor_2018-03-16.xsd#ifrs-full_DescriptionOfTypesOfWarrantiesAndRelatedObligations</t>
  </si>
  <si>
    <t>full_ifrs-cor_2018-03-16.xsd#ifrs-full_DescriptionOfMethodsUsedToRecogniseRevenueFromContractsWithCustomers</t>
  </si>
  <si>
    <t>full_ifrs-cor_2018-03-16.xsd#ifrs-full_ExplanationOfWhyMethodsUsedToRecogniseRevenueProvideFaithfulDepictionOfTransferOfGoodsOrServices</t>
  </si>
  <si>
    <t>full_ifrs-cor_2018-03-16.xsd#ifrs-full_DescriptionOfSignificantJudgementsMadeInEvaluatingWhenCustomerObtainsControlOfPromisedGoodsOrServices</t>
  </si>
  <si>
    <t>full_ifrs-cor_2018-03-16.xsd#ifrs-full_DisclosureOfTransactionPriceAllocatedToRemainingPerformanceObligationsTable</t>
  </si>
  <si>
    <t>full_ifrs-cor_2016-03-31.xsd#ifrs-full_MaturityAxis</t>
  </si>
  <si>
    <t>Información a revelar sobre el precio de la transacción asignado a las obligaciones de desempeño pendientes [tabla]</t>
  </si>
  <si>
    <t>Información a revelar sobre el precio de la transacción asignado a las obligaciones de desempeño pendientes [tabla] (h)</t>
  </si>
  <si>
    <t>Bandas de tiempo acumuladas [miembro]</t>
  </si>
  <si>
    <t>full_ifrs-cor_2016-03-31.xsd#ifrs-full_AggregatedTimeBandsMember</t>
  </si>
  <si>
    <t>Información a revelar sobre el precio de la transacción asignado a las obligaciones de desempeño pendientes [partidas de los estados financieros]</t>
  </si>
  <si>
    <t>full_ifrs-cor_2018-03-16.xsd#ifrs-full_AssetsRecognisedFromCostsToObtainOrFulfilContractsWithCustomers</t>
  </si>
  <si>
    <t>full_ifrs-cor_2018-03-16.xsd#ifrs-full_TransactionPriceAllocatedToRemainingPerformanceObligations</t>
  </si>
  <si>
    <t>TipoCliente</t>
  </si>
  <si>
    <t>Clientes del gobierno</t>
  </si>
  <si>
    <t>Clientes que no son del gobierno</t>
  </si>
  <si>
    <t>TipoContrato</t>
  </si>
  <si>
    <t>Contratos a precio fijo</t>
  </si>
  <si>
    <t>Contratos por tiempo</t>
  </si>
  <si>
    <t>Contratos por materiales</t>
  </si>
  <si>
    <t>DuracionContrato</t>
  </si>
  <si>
    <t>Contratos a corto plazo</t>
  </si>
  <si>
    <t>Contratos a largo plazo</t>
  </si>
  <si>
    <t>CalendarioTransferencia</t>
  </si>
  <si>
    <t>Bienes o servicios transferidos en un momento determinado</t>
  </si>
  <si>
    <t>Bienes o servicios transferidos a lo largo del tiempo</t>
  </si>
  <si>
    <t>CanalesVenta</t>
  </si>
  <si>
    <t>Bienes vendidos directamente a los consumidores</t>
  </si>
  <si>
    <t>Bienes vendidos a través de intermediarios</t>
  </si>
  <si>
    <t>Información a revelar de activos reconocidos por costos para obtener o cumplir contratos con clientes [tabla]</t>
  </si>
  <si>
    <t>full_ifrs-cor_2018-03-16.xsd#ifrs-full_DisclosureOfAssetsRecognisedFromCostsToObtainOrFulfilContractsWithCustomersTable</t>
  </si>
  <si>
    <t>full_ifrs-cor_2018-03-16.xsd#ifrs-full_CategoriesOfAssetsRecognisedFromCostsToObtainOrFulfilContractsWithCustomersAxis</t>
  </si>
  <si>
    <t>full_ifrs-cor_2018-03-16.xsd#ifrs-full_CostsToObtainContractsWithCustomersMember</t>
  </si>
  <si>
    <t>Costos de obtener contratos con clientes [miembro]</t>
  </si>
  <si>
    <t>Costos previos al contrato [miembro]</t>
  </si>
  <si>
    <t>full_ifrs-cor_2018-03-16.xsd#ifrs-full_PrecontractCostsMember</t>
  </si>
  <si>
    <t>Costos de establecimiento [miembro]</t>
  </si>
  <si>
    <t>full_ifrs-cor_2018-03-16.xsd#ifrs-full_SetupCostsMember</t>
  </si>
  <si>
    <t>full_ifrs-cor_2018-03-16.xsd#ifrs-full_CategoriesOfAssetsRecognisedFromCostsToObtainOrFulfilContractsWithCustomersMember</t>
  </si>
  <si>
    <t>Categorías de activos reconocidos por costos para obtener o cumplir contratos con clientes [miembro]</t>
  </si>
  <si>
    <t>Información a revelar de activos reconocidos por costos para obtener o cumplir contratos con clientes [partida de los estados financieros]</t>
  </si>
  <si>
    <t>9.0</t>
  </si>
  <si>
    <t>Información a revelar sobre la desagregación de ingresos de actividades ordinarias de contratos con clientes [bloque de texto]</t>
  </si>
  <si>
    <t>Información sobre la relación entre la revelación de los ingresos de actividades ordinarias desagregados de contratos con clientes e información sobre ingresos de actividades ordinarias para segmentos sobre los que debe informarse [bloque de texto]</t>
  </si>
  <si>
    <t>Explicación del efecto que el calendario de satisfacción de las obligaciones de desempeño y el calendario habitual de pagos tienen sobre los activos del contrato y pasivos del contrato [bloque de texto]</t>
  </si>
  <si>
    <t>full_ifrs-cor_2018-03-16.xsd#ifrs-full_DisclosureOfDisaggregationOfRevenueFromContractsWithCustomersExplanatory</t>
  </si>
  <si>
    <t>full_ifrs-cor_2018-03-16.xsd#ifrs-full_InformationAboutRelationshipBetweenDisclosureOfDisaggregatedRevenueFromContractsWithCustomersAndRevenueInformationForReportableSegmentsExplanatory</t>
  </si>
  <si>
    <t>full_ifrs-cor_2018-03-16.xsd#ifrs-full_ExplanationOfHowTimingOfSatisfactionOfPerformanceObligationsRelatesToTypicalTimingOfPayment</t>
  </si>
  <si>
    <t>full_ifrs-cor_2018-03-16.xsd#ifrs-full_ExplanationOfEffectThatTimingOfSatisfactionOfPerformanceObligationsAndTypicalTimingOfPaymentHaveOnContractAssetsAndContractLiabilitiesExplanatory</t>
  </si>
  <si>
    <t>full_ifrs-cor_2018-03-16.xsd#ifrs-full_ExplanationOfSignificantChangesInContractAssetsAndContractLiabilitiesExplanatory</t>
  </si>
  <si>
    <t>Explicación de las razones de cambios significativos en activos del contrato y pasivos del contrato [bloque de texto]</t>
  </si>
  <si>
    <t>Información a revelar sobre obligaciones de desempeño [bloque de texto]</t>
  </si>
  <si>
    <t>full_ifrs-cor_2018-03-16.xsd#ifrs-full_DisclosureOfPerformanceObligationsExplanatory</t>
  </si>
  <si>
    <t>full_ifrs-cor_2018-03-16.xsd#ifrs-full_ExplanationOfWhenEntityExpectsToRecogniseTransactionPriceAllocatedToRemainingPerformanceObligationsAsRevenue</t>
  </si>
  <si>
    <t>Información a revelar sobre el precio de la transacción asignado a las obligaciones de desempeño pendientes [bloque de texto]</t>
  </si>
  <si>
    <t>full_ifrs-cor_2018-03-16.xsd#ifrs-full_DisclosureOfTransactionPriceAllocatedToRemainingPerformanceObligationsExplanatory</t>
  </si>
  <si>
    <t>Desagregación por segmentos de operación de ingresos de contratos con clientes [tabla]</t>
  </si>
  <si>
    <t>Información a revelar sobre métodos, datos de entradas y suposiciones usadas para determinar el precio de transacción [bloque de texto]</t>
  </si>
  <si>
    <t>Información a revelar sobre métodos, datos de entradas y suposiciones usadas para evaluar si la estimación de la contraprestación variable está restringida [bloque de texto]</t>
  </si>
  <si>
    <t>Información a revelar sobre métodos, datos de entradas y suposiciones usadas para asignar el precio de transacción [bloque de texto]</t>
  </si>
  <si>
    <t>Información a revelar sobre métodos, datos de entradas y suposiciones usadas para medir las obligaciones de devolución, reembolso y otras obligaciones similares.[bloque de texto]</t>
  </si>
  <si>
    <t>Información a revelar de activos reconocidos por costos para obtener o cumplir contratos con clientes [bloque de texto]</t>
  </si>
  <si>
    <t>Información a revelar de activos reconocidos por costos para obtener o cumplir contratos con clientes [resumen]</t>
  </si>
  <si>
    <t>full_ifrs-cor_2018-03-16.xsd#ifrs-full_AmortisationAssetsRecognisedFromCostsIncurredToObtainOrFulfilContractsWithCustomers</t>
  </si>
  <si>
    <t>full_ifrs-cor_2018-03-16.xsd#ifrs-full_ImpairmentLossAssetsRecognisedFromCostsIncurredToObtainOrFulfilContractsWithCustomers</t>
  </si>
  <si>
    <t>full_ifrs-cor_2018-03-16.xsd#ifrs-full_StatementThatPracticalExpedientAboutExistenceOfSignificantFinancingComponentHasBeenUsed</t>
  </si>
  <si>
    <t>full_ifrs-cor_2018-03-16.xsd#ifrs-full_StatementThatPracticalExpedientAboutIncrementalCostsOfObtainingContractHasBeenUsed</t>
  </si>
  <si>
    <t>full_ifrs-cor_2018-03-16.xsd#ifrs-full_DescriptionOfPracticalExpedientsUsedWhenApplyingIFRS15Retrospectively</t>
  </si>
  <si>
    <t>full_ifrs-cor_2018-03-16.xsd#ifrs-full_QualitativeAssessmentOfEstimatedEffectOfPracticalExpedientsUsedWhenApplyingIFRS15Retrospectively</t>
  </si>
  <si>
    <t>full_ifrs-cor_2018-03-16.xsd#ifrs-full_ExplanationOfReasonsForSignificantChangesInFinancialStatementLineItemsDueToApplicationOfIFRS15</t>
  </si>
  <si>
    <t>Trimestre acumulado año actual</t>
  </si>
  <si>
    <t>Trimestre acumulado año anterior</t>
  </si>
  <si>
    <t>Último trimestre año actual</t>
  </si>
  <si>
    <t>Último trimestre año anterior</t>
  </si>
  <si>
    <t>pre_cl-ci_ifrs-15_2018-03-16_role-831150</t>
  </si>
  <si>
    <t>full_ifrs-cor_2018-03-16.xsd#ifrs-full_ExplanationOfWhetherPracticalExpedientIsAppliedForDisclosureOfTransactionPriceAllocatedToRemainingPerformanceObligations</t>
  </si>
  <si>
    <t>full_ifrs-cor_2018-03-16.xsd#ifrs-full_ExplanationOfWhetherAnyConsiderationFromContractsWithCustomersIsNotIncludedInDisclosureOfTransactionPriceAllocatedToRemainingPerformanceObligations</t>
  </si>
  <si>
    <t>full_ifrs-cor_2018-03-16.xsd#ifrs-full_DescriptionOfJudgementsAndChangesInJudgementsThatSignificantlyAffectDeterminationOfAmountAndTimingOfRevenueFromContractsWithCustomers</t>
  </si>
  <si>
    <t>full_ifrs-cor_2018-03-16.xsd#ifrs-full_DisclosureOfInformationAboutMethodsInputsAndAssumptionsUsedForDeterminingTransactionPriceExplanatory</t>
  </si>
  <si>
    <t>full_ifrs-cor_2018-03-16.xsd#ifrs-full_DisclosureOfInformationAboutMethodsInputsAndAssumptionsUsedForAssessingWhetherEstimateOfVariableConsiderationIsConstrainedExplanatory</t>
  </si>
  <si>
    <t>full_ifrs-cor_2018-03-16.xsd#ifrs-full_DisclosureOfInformationAboutMethodsInputsAndAssumptionsUsedForAllocatingTransactionPriceExplanatory</t>
  </si>
  <si>
    <t>full_ifrs-cor_2018-03-16.xsd#ifrs-full_DisclosureOfInformationAboutMethodsInputsAndAssumptionsUsedForMeasuringObligationsForReturnsRefundsAndOtherSimilarObligationsExplanatory</t>
  </si>
  <si>
    <t>full_ifrs-cor_2018-03-16.xsd#ifrs-full_DescriptionOfJudgementsMadeInDeterminingAmountOfCostsToObtainOrFulfilContractsWithCustomers</t>
  </si>
  <si>
    <t>full_ifrs-cor_2018-03-16.xsd#ifrs-full_DescriptionOfMethodUsedToDetermineAmortisationOfAssetsRecognisedFromCostsToObtainOrFulfilContractsWithCustomers</t>
  </si>
  <si>
    <t>full_ifrs-cor_2018-03-16.xsd#ifrs-full_DisclosureOfAssetsRecognisedFromCostsToObtainOrFulfilContractsWithCustomersExplanatory</t>
  </si>
  <si>
    <t>full_ifrs-cor_2018-03-16.xsd#ifrs-full_DisclosureOfAssetsRecognisedFromCostsToObtainOrFulfilContractsWithCustomersAbstract</t>
  </si>
  <si>
    <t>Activos del contrato no corrientes [Número]</t>
  </si>
  <si>
    <t>Activos del contrato corrientes [Número]</t>
  </si>
  <si>
    <t>Total activos del contrato [Número]</t>
  </si>
  <si>
    <t>Pasivos del contrato no corrientes [Número]</t>
  </si>
  <si>
    <t>Pasivos del contrato corrientes [Número]</t>
  </si>
  <si>
    <t>Total pasivos del contrato [Número]</t>
  </si>
  <si>
    <t>Cuentas por cobrar no corrientes de contratos con clientes [Número]</t>
  </si>
  <si>
    <t>Disminución de cuentas por cobrar corrientes de contratos con clientes [Número]</t>
  </si>
  <si>
    <t>Total cuentas por cobrar de contratos con clientes [Número]</t>
  </si>
  <si>
    <t>Ingresos de actividades ordinarias procedentes de contratos con clientes [Número]</t>
  </si>
  <si>
    <t>Pérdidas por deterioro de valor sobre cuentas por cobrar o activos del contrato que surgen de contratos con clientes [Número]</t>
  </si>
  <si>
    <t>Tipos de clientes [Lista]</t>
  </si>
  <si>
    <t>Tipos de contratos [Lista]</t>
  </si>
  <si>
    <t>Duración del contrato [Lista]</t>
  </si>
  <si>
    <t>Calendario de transferencias de bienes y servicios [Lista]</t>
  </si>
  <si>
    <t>Canales de ventas [Lista]</t>
  </si>
  <si>
    <t>Tipos de clientes [Lista] [Lista]</t>
  </si>
  <si>
    <t>Tipos de contratos [Lista] [Lista]</t>
  </si>
  <si>
    <t>Duración del contrato [Lista] [Lista]</t>
  </si>
  <si>
    <t>Calendario de transferencias de bienes y servicios [Lista] [Lista]</t>
  </si>
  <si>
    <t>Canales de ventas [Lista] [Lista]</t>
  </si>
  <si>
    <t>Ingresos de actividades ordinarias procedentes de contratos con clientes [Número] [Número]</t>
  </si>
  <si>
    <t>Activos del contrato al comienzo del periodo [Concatenar] [Numérico]</t>
  </si>
  <si>
    <t>Activos del contrato al final del periodo [Concatenar] [Numérico]</t>
  </si>
  <si>
    <t>Pasivos del contrato al comienzo del periodo [Concatenar] [Numérico]</t>
  </si>
  <si>
    <t>Pasivos del contrato al final del periodo [Concatenar] [Numérico]</t>
  </si>
  <si>
    <t>Cuentas por cobrar de contratos con clientes al comienzo del periodo [Concatenar] [Numérico]</t>
  </si>
  <si>
    <t>Cuentas por cobrar de contratos con clientes al final del periodo [Concatenar] [Numérico]</t>
  </si>
  <si>
    <t>Ingresos de actividades ordinarias que fueron incluidos en el saldo de pasivos del contrato al comienzo del periodo [Concatenar] [Numérico]</t>
  </si>
  <si>
    <t>Ingresos de actividades ordinarias procedentes de obligaciones de desempeño satisfechas o parcialmente satisfechas en periodos anteriores [Concatenar] [Numérico]</t>
  </si>
  <si>
    <t>Ingresos de actividades ordinarias procedentes de contratos con clientes [Lista]</t>
  </si>
  <si>
    <t>Incremento a través de combinaciones de negocios, activos del contrato [Numérico]</t>
  </si>
  <si>
    <t>Incremento (disminución) a través de ajustes a los ingresos de actividades ordinarias sobre una base de recuperación de las diferencias con las cifras acumuladas, activos del contrato [Numérico]</t>
  </si>
  <si>
    <t>Incremento (disminución) a través de ajustes a los ingresos de actividades ordinarias sobre una base de recuperación de las diferencias con las cifras acumuladas que surgen del cambio en la medición del progreso, activos del contrato [Numérico]</t>
  </si>
  <si>
    <t>Incremento (disminución) a través de ajustes a los ingresos de actividades ordinarias sobre una base de recuperación de las diferencias con las cifras acumuladas que surgen del cambio en la estimación del precio de transacción, activos del contrato [Numérico]</t>
  </si>
  <si>
    <t>Incremento (disminución) a través de ajustes a los ingresos de actividades ordinarias sobre una base de recuperación de las diferencias con las cifras acumuladas que surgen de la modificación del contrato, activos del contrato [Numérico]</t>
  </si>
  <si>
    <t>Disminución a través del deterioro de valor, activos del contrato [Numérico]</t>
  </si>
  <si>
    <t>Disminución a través del derecho a contraprestaciones que pasa a ser no condicionado, activos del contrato [Numérico]</t>
  </si>
  <si>
    <t>Incremento a través de combinaciones de negocios, pasivos del contrato [Numérico]</t>
  </si>
  <si>
    <t>Incremento (disminución) a través de ajustes a los ingresos de actividades ordinarias sobre una base de recuperación de las diferencias con las cifras acumuladas, pasivos del contrato [Numérico]</t>
  </si>
  <si>
    <t>Incremento (disminución) a través de ajustes a los ingresos de actividades ordinarias sobre una base de recuperación de las diferencias con las cifras acumuladas que surgen del cambio en la medición del progreso, pasivos del contrato [Numérico]</t>
  </si>
  <si>
    <t>Incremento (disminución) a través de ajustes a los ingresos de actividades ordinarias sobre una base de recuperación de las diferencias con las cifras acumuladas que surgen del cambio en la estimación del precio de transacción, pasivos del contrato [Numérico]</t>
  </si>
  <si>
    <t>Incremento (disminución) a través de ajustes a los ingresos de actividades ordinarias sobre una base de recuperación de las diferencias con las cifras acumuladas que surgen de la modificación del contrato, pasivos del contrato [Numérico]</t>
  </si>
  <si>
    <t>Disminución a través de obligaciones de desempeño que están siendo satisfechas, pasivos del contrato [Numérico]</t>
  </si>
  <si>
    <t>Descripción de cuándo la entidad satisface habitualmente las obligaciones de desempeño [Texto]</t>
  </si>
  <si>
    <t>Descripción de los términos de pagos significativos en contratos con clientes [Texto]</t>
  </si>
  <si>
    <t>Descripción de la naturaleza de los bienes o servicios que la entidad se ha comprometido a transferir [Texto]</t>
  </si>
  <si>
    <t>Descripción de las obligaciones de desempeño a acordar para un tercero de transferir bienes o servicios [Texto]</t>
  </si>
  <si>
    <t>Descripción de las obligaciones de devolución, reembolso y otras obligaciones similares [Texto]</t>
  </si>
  <si>
    <t>Descripción de los tipos de garantías y obligaciones relacionadas [Texto]</t>
  </si>
  <si>
    <t>Descripción del método usado para reconocer los ingresos de actividades ordinarias de contratos con clientes [Texto]</t>
  </si>
  <si>
    <t>Explicación de porqué los métodos usados para reconocer los ingresos de actividades ordinarias proporcionan una descripción fiel de la transferencia de bienes o servicios [Texto]</t>
  </si>
  <si>
    <t>Descripción de los juicios significativos realizados para evaluar cuándo el cliente obtiene el control de los bienes o servicios comprometidos [Texto]</t>
  </si>
  <si>
    <t>Descripción de cuándo la entidad satisface habitualmente las obligaciones de desempeño [Texto] [Texto]</t>
  </si>
  <si>
    <t>Descripción de los términos de pagos significativos en contratos con clientes [Texto] [Texto]</t>
  </si>
  <si>
    <t>Descripción de la naturaleza de los bienes o servicios que la entidad se ha comprometido a transferir [Texto] [Texto]</t>
  </si>
  <si>
    <t>Descripción de las obligaciones de desempeño a acordar para un tercero de transferir bienes o servicios [Texto] [Texto]</t>
  </si>
  <si>
    <t>Descripción de las obligaciones de devolución, reembolso y otras obligaciones similares [Texto] [Texto]</t>
  </si>
  <si>
    <t>Descripción de los tipos de garantías y obligaciones relacionadas [Texto] [Texto]</t>
  </si>
  <si>
    <t>Descripción del método usado para reconocer los ingresos de actividades ordinarias de contratos con clientes [Texto] [Texto]</t>
  </si>
  <si>
    <t>Explicación de porqué los métodos usados para reconocer los ingresos de actividades ordinarias proporcionan una descripción fiel de la transferencia de bienes o servicios [Texto] [Texto]</t>
  </si>
  <si>
    <t>Descripción de los juicios significativos realizados para evaluar cuándo el cliente obtiene el control de los bienes o servicios comprometidos [Texto] [Texto]</t>
  </si>
  <si>
    <t>Precio de transacción asignado a las obligaciones de desempeño pendientes [Número]</t>
  </si>
  <si>
    <t>Activos reconocidos por costos para obtener o cumplir contratos con clientes [Número]</t>
  </si>
  <si>
    <t>Explicación de cómo el calendario de satisfacción de las obligaciones de desempeño se relaciona con el calendario habitual de pagos [Texto]</t>
  </si>
  <si>
    <t>Explicación de cuándo la entidad espera reconocer el precio de transacción asignado a las obligaciones de desempeño restantes como ingresos de actividades ordinarias [Texto]</t>
  </si>
  <si>
    <t>Explicación de si se aplica la solución práctica a la información a revelar sobre el precio de transacción asignado a las obligaciones de desempeño restantes [Texto]</t>
  </si>
  <si>
    <t>Amortización, activos reconocidos por costos incurridos para obtener o cumplir contratos con clientes [Numérico]</t>
  </si>
  <si>
    <t>Pérdidas por deterioro de valor, activos reconocidos por costos incurridos para obtener o cumplir contratos con clientes [Numerico]</t>
  </si>
  <si>
    <t>Declaración de que se ha usado una solución práctica sobre la existencia de componentes de financiación significativos [Texto]</t>
  </si>
  <si>
    <t>A</t>
  </si>
  <si>
    <t>B</t>
  </si>
  <si>
    <t>C</t>
  </si>
  <si>
    <t>D</t>
  </si>
  <si>
    <t>E</t>
  </si>
  <si>
    <t>F</t>
  </si>
  <si>
    <t>G</t>
  </si>
  <si>
    <t>H</t>
  </si>
  <si>
    <t>I</t>
  </si>
  <si>
    <t>J</t>
  </si>
  <si>
    <t>Explicación de si las contraprestaciones por contratos con clientes no se incluyen en la información a revelar sobre el precio de transacción asignado a las obligaciones de desempeño restantes</t>
  </si>
  <si>
    <t>K</t>
  </si>
  <si>
    <t>Descripción de los juicios, y cambios en los juicios, que afectan de forma significativa la determinación del importe y calendario de los ingresos de actividades ordinarias de contratos con clientes</t>
  </si>
  <si>
    <t>Y</t>
  </si>
  <si>
    <t>R</t>
  </si>
  <si>
    <t>Descripción de los juicios realizados para determinar el importede los costos de obtener o cumplir contratos con clientes</t>
  </si>
  <si>
    <t>W</t>
  </si>
  <si>
    <t>Descripción del método usado para determinar la amortización de activos reconocidos de los costos de obtener o cumplir contratos con clientes</t>
  </si>
  <si>
    <t>S</t>
  </si>
  <si>
    <t>Declaración de que se ha usado una solución práctica sobre los costos incrementales de obtener un contrato</t>
  </si>
  <si>
    <t>Descripción de las soluciones prácticas usadas al aplicar la NIIF 15 de forma retroactiva</t>
  </si>
  <si>
    <t>T</t>
  </si>
  <si>
    <t>Evaluación cualitativa del efecto estimado de las soluciones prácticas usadas al aplicar la NIIF 15 de forma retroactiva</t>
  </si>
  <si>
    <t>Explicación de las razones de cambios significativos en partidas de los estados financieros debidos a la aplicación de la NIIF 15</t>
  </si>
  <si>
    <t>U</t>
  </si>
  <si>
    <t>P</t>
  </si>
  <si>
    <t>Q</t>
  </si>
  <si>
    <t>L</t>
  </si>
  <si>
    <t>M</t>
  </si>
  <si>
    <t>N</t>
  </si>
  <si>
    <t>O</t>
  </si>
  <si>
    <t>RF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</si>
</sst>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Calibri"/>
      <family val="2"/>
      <scheme val="minor"/>
    </font>
    <font>
      <sz val="8"/>
      <name val="ＭＳ Ｐゴシック"/>
      <family val="3"/>
      <charset val="128"/>
    </font>
    <font>
      <sz val="9"/>
      <name val="Calibri"/>
      <family val="2"/>
      <scheme val="minor"/>
    </font>
    <font>
      <sz val="9"/>
      <name val="Verdana"/>
      <family val="2"/>
    </font>
    <font>
      <sz val="11"/>
      <color indexed="9"/>
      <name val="Czcionka tekstu podstawowego"/>
      <family val="2"/>
      <charset val="238"/>
    </font>
    <font>
      <sz val="9"/>
      <color theme="1"/>
      <name val="Calibri"/>
      <family val="2"/>
      <scheme val="minor"/>
    </font>
    <font>
      <b/>
      <sz val="9"/>
      <name val="Calibri"/>
      <family val="2"/>
      <scheme val="minor"/>
    </font>
    <font>
      <b/>
      <sz val="18"/>
      <name val="Calibri"/>
      <family val="2"/>
      <scheme val="minor"/>
    </font>
    <font>
      <sz val="10"/>
      <name val="Calibri"/>
      <family val="2"/>
    </font>
    <font>
      <sz val="10"/>
      <color indexed="10"/>
      <name val="Calibri"/>
      <family val="2"/>
    </font>
    <font>
      <b/>
      <sz val="10"/>
      <color indexed="10"/>
      <name val="Calibri"/>
      <family val="2"/>
    </font>
    <font>
      <b/>
      <sz val="10"/>
      <name val="Calibri"/>
      <family val="2"/>
    </font>
    <font>
      <b/>
      <sz val="12"/>
      <name val="Calibri"/>
      <family val="2"/>
      <scheme val="minor"/>
    </font>
    <font>
      <sz val="9"/>
      <color rgb="FFFF0000"/>
      <name val="Verdana"/>
      <family val="2"/>
    </font>
    <font>
      <sz val="9"/>
      <color indexed="9"/>
      <name val="Verdana"/>
      <family val="2"/>
    </font>
    <font>
      <b/>
      <sz val="9"/>
      <color indexed="9"/>
      <name val="Verdana"/>
      <family val="2"/>
    </font>
    <font>
      <b/>
      <sz val="9"/>
      <color rgb="FFFF0000"/>
      <name val="Verdana"/>
      <family val="2"/>
    </font>
    <font>
      <b/>
      <sz val="9"/>
      <name val="Verdana"/>
      <family val="2"/>
    </font>
    <font>
      <sz val="11"/>
      <name val="Calibri"/>
      <family val="2"/>
      <scheme val="minor"/>
    </font>
    <font>
      <sz val="9"/>
      <color theme="1"/>
      <name val="Verdana"/>
      <family val="2"/>
    </font>
    <font>
      <sz val="9"/>
      <color indexed="8"/>
      <name val="Verdana"/>
      <family val="2"/>
    </font>
    <font>
      <b/>
      <sz val="9"/>
      <color indexed="8"/>
      <name val="Verdana"/>
      <family val="2"/>
    </font>
    <font>
      <b/>
      <sz val="18"/>
      <name val="Calibri"/>
      <family val="2"/>
    </font>
    <font>
      <sz val="9"/>
      <color indexed="10"/>
      <name val="Verdana"/>
      <family val="2"/>
    </font>
    <font>
      <b/>
      <sz val="9"/>
      <color indexed="10"/>
      <name val="Verdana"/>
      <family val="2"/>
    </font>
    <font>
      <sz val="9"/>
      <color theme="0"/>
      <name val="Verdana"/>
      <family val="2"/>
    </font>
    <font>
      <sz val="8"/>
      <color indexed="8"/>
      <name val="Calibri"/>
      <family val="2"/>
    </font>
    <font>
      <sz val="8"/>
      <name val="Verdana"/>
      <family val="2"/>
    </font>
    <font>
      <b/>
      <sz val="9"/>
      <color theme="0"/>
      <name val="Verdana"/>
      <family val="2"/>
    </font>
    <font>
      <u/>
      <sz val="11"/>
      <color theme="10"/>
      <name val="Calibri"/>
      <family val="2"/>
      <scheme val="minor"/>
    </font>
    <font>
      <b/>
      <sz val="9"/>
      <color indexed="9"/>
      <name val="Calibri"/>
      <family val="2"/>
      <scheme val="minor"/>
    </font>
    <font>
      <sz val="11"/>
      <color indexed="8"/>
      <name val="Verdana"/>
      <family val="2"/>
    </font>
  </fonts>
  <fills count="23">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indexed="30"/>
      </patternFill>
    </fill>
    <fill>
      <patternFill patternType="solid">
        <fgColor rgb="FFFFC000"/>
        <bgColor indexed="64"/>
      </patternFill>
    </fill>
    <fill>
      <patternFill patternType="solid">
        <fgColor rgb="FFFFFFCC"/>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4" tint="0.59996337778862885"/>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indexed="26"/>
        <bgColor indexed="64"/>
      </patternFill>
    </fill>
    <fill>
      <patternFill patternType="solid">
        <fgColor indexed="9"/>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0070C0"/>
        <bgColor indexed="64"/>
      </patternFill>
    </fill>
    <fill>
      <patternFill patternType="solid">
        <fgColor theme="7" tint="0.39997558519241921"/>
        <bgColor indexed="64"/>
      </patternFill>
    </fill>
    <fill>
      <patternFill patternType="solid">
        <fgColor rgb="FFFBA1EE"/>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mediumDashed">
        <color rgb="FFFF0000"/>
      </left>
      <right style="mediumDashed">
        <color rgb="FFFF0000"/>
      </right>
      <top style="medium">
        <color indexed="64"/>
      </top>
      <bottom style="thin">
        <color indexed="64"/>
      </bottom>
      <diagonal/>
    </border>
    <border>
      <left/>
      <right style="mediumDashed">
        <color rgb="FFFF0000"/>
      </right>
      <top style="mediumDashed">
        <color rgb="FFFF0000"/>
      </top>
      <bottom style="thin">
        <color indexed="64"/>
      </bottom>
      <diagonal/>
    </border>
    <border>
      <left style="mediumDashed">
        <color rgb="FFFF0000"/>
      </left>
      <right style="mediumDashed">
        <color rgb="FFFF0000"/>
      </right>
      <top style="thin">
        <color indexed="64"/>
      </top>
      <bottom/>
      <diagonal/>
    </border>
    <border>
      <left/>
      <right style="mediumDashed">
        <color rgb="FFFF0000"/>
      </right>
      <top style="thin">
        <color indexed="64"/>
      </top>
      <bottom/>
      <diagonal/>
    </border>
    <border>
      <left/>
      <right style="mediumDashed">
        <color rgb="FFFF0000"/>
      </right>
      <top/>
      <bottom/>
      <diagonal/>
    </border>
    <border>
      <left style="mediumDashed">
        <color rgb="FFFF0000"/>
      </left>
      <right style="mediumDashed">
        <color rgb="FFFF0000"/>
      </right>
      <top/>
      <bottom/>
      <diagonal/>
    </border>
    <border>
      <left style="mediumDashed">
        <color rgb="FFFF0000"/>
      </left>
      <right style="mediumDashed">
        <color rgb="FFFF0000"/>
      </right>
      <top style="thin">
        <color indexed="64"/>
      </top>
      <bottom style="thin">
        <color indexed="64"/>
      </bottom>
      <diagonal/>
    </border>
    <border>
      <left/>
      <right style="mediumDashed">
        <color rgb="FFFF0000"/>
      </right>
      <top/>
      <bottom style="thin">
        <color indexed="64"/>
      </bottom>
      <diagonal/>
    </border>
    <border>
      <left/>
      <right style="mediumDashed">
        <color rgb="FFFF0000"/>
      </right>
      <top style="thin">
        <color indexed="64"/>
      </top>
      <bottom style="thin">
        <color indexed="64"/>
      </bottom>
      <diagonal/>
    </border>
    <border>
      <left style="medium">
        <color indexed="64"/>
      </left>
      <right/>
      <top/>
      <bottom style="thin">
        <color indexed="64"/>
      </bottom>
      <diagonal/>
    </border>
    <border>
      <left style="medium">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Dashed">
        <color rgb="FFFF0000"/>
      </top>
      <bottom/>
      <diagonal/>
    </border>
    <border>
      <left/>
      <right style="thin">
        <color indexed="64"/>
      </right>
      <top style="mediumDashed">
        <color rgb="FFFF0000"/>
      </top>
      <bottom style="thin">
        <color indexed="64"/>
      </bottom>
      <diagonal/>
    </border>
    <border>
      <left style="thin">
        <color indexed="64"/>
      </left>
      <right/>
      <top style="mediumDashed">
        <color rgb="FFFF0000"/>
      </top>
      <bottom style="thin">
        <color indexed="64"/>
      </bottom>
      <diagonal/>
    </border>
    <border>
      <left/>
      <right/>
      <top style="mediumDashed">
        <color rgb="FFFF0000"/>
      </top>
      <bottom style="thin">
        <color indexed="64"/>
      </bottom>
      <diagonal/>
    </border>
    <border>
      <left style="mediumDashed">
        <color rgb="FFFF0000"/>
      </left>
      <right style="medium">
        <color indexed="64"/>
      </right>
      <top/>
      <bottom/>
      <diagonal/>
    </border>
    <border>
      <left style="thin">
        <color indexed="64"/>
      </left>
      <right style="mediumDashed">
        <color rgb="FFFF0000"/>
      </right>
      <top/>
      <bottom style="thin">
        <color indexed="64"/>
      </bottom>
      <diagonal/>
    </border>
    <border>
      <left style="mediumDashed">
        <color rgb="FFFF0000"/>
      </left>
      <right/>
      <top/>
      <bottom/>
      <diagonal/>
    </border>
    <border>
      <left style="mediumDashed">
        <color rgb="FFFF0000"/>
      </left>
      <right/>
      <top/>
      <bottom style="mediumDashed">
        <color rgb="FFFF0000"/>
      </bottom>
      <diagonal/>
    </border>
    <border>
      <left/>
      <right/>
      <top/>
      <bottom style="mediumDashed">
        <color rgb="FFFF0000"/>
      </bottom>
      <diagonal/>
    </border>
    <border>
      <left/>
      <right style="mediumDashed">
        <color rgb="FFFF0000"/>
      </right>
      <top/>
      <bottom style="mediumDashed">
        <color rgb="FFFF0000"/>
      </bottom>
      <diagonal/>
    </border>
    <border>
      <left style="mediumDashed">
        <color rgb="FFFF0000"/>
      </left>
      <right style="mediumDashed">
        <color rgb="FFFF0000"/>
      </right>
      <top style="mediumDashed">
        <color rgb="FFFF0000"/>
      </top>
      <bottom style="thin">
        <color indexed="64"/>
      </bottom>
      <diagonal/>
    </border>
    <border>
      <left style="mediumDashed">
        <color rgb="FFFF0000"/>
      </left>
      <right style="mediumDashed">
        <color rgb="FFFF0000"/>
      </right>
      <top/>
      <bottom style="mediumDashed">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right/>
      <top style="medium">
        <color indexed="64"/>
      </top>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Dashed">
        <color rgb="FFFF0000"/>
      </left>
      <right style="mediumDashed">
        <color rgb="FFFF0000"/>
      </right>
      <top/>
      <bottom style="medium">
        <color indexed="64"/>
      </bottom>
      <diagonal/>
    </border>
    <border>
      <left/>
      <right style="mediumDashed">
        <color rgb="FFFF0000"/>
      </right>
      <top style="medium">
        <color indexed="64"/>
      </top>
      <bottom style="thin">
        <color indexed="64"/>
      </bottom>
      <diagonal/>
    </border>
    <border>
      <left style="medium">
        <color indexed="64"/>
      </left>
      <right/>
      <top style="thin">
        <color indexed="64"/>
      </top>
      <bottom/>
      <diagonal/>
    </border>
    <border>
      <left/>
      <right style="mediumDashed">
        <color rgb="FFFF0000"/>
      </right>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Dashed">
        <color rgb="FFFF0000"/>
      </left>
      <right/>
      <top style="mediumDashed">
        <color rgb="FFFF0000"/>
      </top>
      <bottom/>
      <diagonal/>
    </border>
    <border>
      <left style="mediumDashed">
        <color rgb="FFFF0000"/>
      </left>
      <right/>
      <top/>
      <bottom style="thin">
        <color indexed="64"/>
      </bottom>
      <diagonal/>
    </border>
    <border>
      <left style="thin">
        <color indexed="64"/>
      </left>
      <right style="thin">
        <color indexed="64"/>
      </right>
      <top style="medium">
        <color indexed="64"/>
      </top>
      <bottom style="thin">
        <color indexed="64"/>
      </bottom>
      <diagonal/>
    </border>
  </borders>
  <cellStyleXfs count="5">
    <xf numFmtId="0" fontId="0" fillId="0" borderId="0"/>
    <xf numFmtId="0" fontId="1" fillId="0" borderId="0" applyNumberFormat="0" applyFill="0" applyBorder="0">
      <alignment vertical="center"/>
    </xf>
    <xf numFmtId="0" fontId="4" fillId="4" borderId="0" applyNumberFormat="0" applyBorder="0" applyAlignment="0" applyProtection="0"/>
    <xf numFmtId="0" fontId="1" fillId="0" borderId="0" applyNumberFormat="0" applyFill="0" applyBorder="0">
      <alignment vertical="center"/>
    </xf>
    <xf numFmtId="0" fontId="29" fillId="0" borderId="0" applyNumberFormat="0" applyFill="0" applyBorder="0" applyAlignment="0" applyProtection="0"/>
  </cellStyleXfs>
  <cellXfs count="207">
    <xf numFmtId="0" fontId="0" fillId="0" borderId="0" xfId="0"/>
    <xf numFmtId="3" fontId="2" fillId="2" borderId="0" xfId="1" applyNumberFormat="1" applyFont="1" applyFill="1" applyBorder="1">
      <alignment vertical="center"/>
    </xf>
    <xf numFmtId="3" fontId="2" fillId="2" borderId="2" xfId="1" applyNumberFormat="1" applyFont="1" applyFill="1" applyBorder="1">
      <alignment vertical="center"/>
    </xf>
    <xf numFmtId="3" fontId="2" fillId="2" borderId="3" xfId="1" applyNumberFormat="1" applyFont="1" applyFill="1" applyBorder="1">
      <alignment vertical="center"/>
    </xf>
    <xf numFmtId="3" fontId="2" fillId="2" borderId="4" xfId="1" applyNumberFormat="1" applyFont="1" applyFill="1" applyBorder="1">
      <alignment vertical="center"/>
    </xf>
    <xf numFmtId="3" fontId="2" fillId="2" borderId="5" xfId="1" applyNumberFormat="1" applyFont="1" applyFill="1" applyBorder="1">
      <alignment vertical="center"/>
    </xf>
    <xf numFmtId="3" fontId="2" fillId="2" borderId="6" xfId="1" applyNumberFormat="1" applyFont="1" applyFill="1" applyBorder="1">
      <alignment vertical="center"/>
    </xf>
    <xf numFmtId="3" fontId="2" fillId="2" borderId="7" xfId="1" applyNumberFormat="1" applyFont="1" applyFill="1" applyBorder="1">
      <alignment vertical="center"/>
    </xf>
    <xf numFmtId="3" fontId="2" fillId="2" borderId="8" xfId="1" applyNumberFormat="1" applyFont="1" applyFill="1" applyBorder="1">
      <alignment vertical="center"/>
    </xf>
    <xf numFmtId="0" fontId="3" fillId="2" borderId="8" xfId="0" applyFont="1" applyFill="1" applyBorder="1" applyAlignment="1">
      <alignment horizontal="left" vertical="center" indent="3"/>
    </xf>
    <xf numFmtId="3" fontId="2" fillId="2" borderId="9" xfId="1" applyNumberFormat="1" applyFont="1" applyFill="1" applyBorder="1">
      <alignment vertical="center"/>
    </xf>
    <xf numFmtId="3" fontId="2" fillId="3" borderId="1" xfId="1" applyNumberFormat="1" applyFont="1" applyFill="1" applyBorder="1">
      <alignment vertical="center"/>
    </xf>
    <xf numFmtId="3" fontId="6" fillId="2" borderId="0" xfId="1" applyNumberFormat="1" applyFont="1" applyFill="1" applyBorder="1">
      <alignment vertical="center"/>
    </xf>
    <xf numFmtId="0" fontId="7" fillId="6" borderId="12" xfId="0" applyFont="1" applyFill="1" applyBorder="1" applyAlignment="1">
      <alignment horizontal="center" vertical="center" wrapText="1"/>
    </xf>
    <xf numFmtId="0" fontId="12" fillId="6" borderId="12" xfId="0" applyFont="1" applyFill="1" applyBorder="1" applyAlignment="1">
      <alignment horizontal="center" vertical="center" wrapText="1"/>
    </xf>
    <xf numFmtId="0" fontId="13" fillId="0" borderId="0" xfId="0" applyFont="1" applyAlignment="1">
      <alignment horizontal="center" vertical="center"/>
    </xf>
    <xf numFmtId="0" fontId="16" fillId="9" borderId="14" xfId="2" applyNumberFormat="1" applyFont="1" applyFill="1" applyBorder="1" applyAlignment="1">
      <alignment horizontal="center" vertical="center" wrapText="1"/>
    </xf>
    <xf numFmtId="0" fontId="3" fillId="0" borderId="0" xfId="0" applyFont="1" applyAlignment="1">
      <alignment horizontal="center" vertical="center" wrapText="1"/>
    </xf>
    <xf numFmtId="0" fontId="17" fillId="10" borderId="0" xfId="3" applyFont="1" applyFill="1" applyBorder="1">
      <alignment vertical="center"/>
    </xf>
    <xf numFmtId="0" fontId="18" fillId="9" borderId="16" xfId="3" applyFont="1" applyFill="1" applyBorder="1" applyAlignment="1">
      <alignment horizontal="center" vertical="center" wrapText="1"/>
    </xf>
    <xf numFmtId="0" fontId="18" fillId="9" borderId="17" xfId="3" applyFont="1" applyFill="1" applyBorder="1" applyAlignment="1">
      <alignment horizontal="center" vertical="center" wrapText="1"/>
    </xf>
    <xf numFmtId="0" fontId="3" fillId="0" borderId="0" xfId="0" applyFont="1"/>
    <xf numFmtId="0" fontId="3" fillId="2" borderId="3" xfId="0" applyFont="1" applyFill="1" applyBorder="1"/>
    <xf numFmtId="0" fontId="19" fillId="2" borderId="3" xfId="0" applyFont="1" applyFill="1" applyBorder="1"/>
    <xf numFmtId="0" fontId="3" fillId="10" borderId="3" xfId="3" applyFont="1" applyFill="1" applyBorder="1">
      <alignment vertical="center"/>
    </xf>
    <xf numFmtId="0" fontId="17" fillId="10" borderId="17" xfId="3" applyFont="1" applyFill="1" applyBorder="1" applyAlignment="1">
      <alignment vertical="center" wrapText="1"/>
    </xf>
    <xf numFmtId="0" fontId="3" fillId="10" borderId="16" xfId="3" applyFont="1" applyFill="1" applyBorder="1">
      <alignment vertical="center"/>
    </xf>
    <xf numFmtId="0" fontId="3" fillId="2" borderId="0" xfId="0" applyFont="1" applyFill="1" applyAlignment="1">
      <alignment horizontal="left" vertical="center"/>
    </xf>
    <xf numFmtId="0" fontId="3" fillId="2" borderId="0" xfId="2" applyNumberFormat="1" applyFont="1" applyFill="1" applyBorder="1" applyAlignment="1">
      <alignment horizontal="left" vertical="center"/>
    </xf>
    <xf numFmtId="0" fontId="19" fillId="2" borderId="0" xfId="0" applyFont="1" applyFill="1" applyAlignment="1">
      <alignment horizontal="left" vertical="center"/>
    </xf>
    <xf numFmtId="0" fontId="3" fillId="2" borderId="19" xfId="0" applyFont="1" applyFill="1" applyBorder="1" applyAlignment="1">
      <alignment horizontal="left" vertical="center"/>
    </xf>
    <xf numFmtId="3" fontId="20" fillId="0" borderId="20" xfId="0" applyNumberFormat="1" applyFont="1" applyBorder="1" applyProtection="1">
      <protection locked="0"/>
    </xf>
    <xf numFmtId="3" fontId="20" fillId="14" borderId="20" xfId="0" applyNumberFormat="1" applyFont="1" applyFill="1" applyBorder="1" applyProtection="1">
      <protection locked="0"/>
    </xf>
    <xf numFmtId="3" fontId="21" fillId="15" borderId="20" xfId="0" applyNumberFormat="1" applyFont="1" applyFill="1" applyBorder="1" applyProtection="1">
      <protection locked="0"/>
    </xf>
    <xf numFmtId="0" fontId="3" fillId="2" borderId="0" xfId="0" applyFont="1" applyFill="1"/>
    <xf numFmtId="0" fontId="19" fillId="2" borderId="0" xfId="0" applyFont="1" applyFill="1"/>
    <xf numFmtId="0" fontId="3" fillId="10" borderId="0" xfId="3" applyFont="1" applyFill="1" applyBorder="1">
      <alignment vertical="center"/>
    </xf>
    <xf numFmtId="0" fontId="17" fillId="10" borderId="18" xfId="3" applyFont="1" applyFill="1" applyBorder="1" applyAlignment="1">
      <alignment vertical="center" wrapText="1"/>
    </xf>
    <xf numFmtId="0" fontId="3" fillId="10" borderId="19" xfId="3" applyFont="1" applyFill="1" applyBorder="1">
      <alignment vertical="center"/>
    </xf>
    <xf numFmtId="3" fontId="2" fillId="2" borderId="18" xfId="1" applyNumberFormat="1" applyFont="1" applyFill="1" applyBorder="1" applyAlignment="1">
      <alignment horizontal="left" vertical="center" wrapText="1" indent="2"/>
    </xf>
    <xf numFmtId="0" fontId="22" fillId="16" borderId="12" xfId="0" applyFont="1" applyFill="1" applyBorder="1" applyAlignment="1">
      <alignment horizontal="center" vertical="center" wrapText="1"/>
    </xf>
    <xf numFmtId="0" fontId="3" fillId="9" borderId="0" xfId="2" applyNumberFormat="1" applyFont="1" applyFill="1" applyBorder="1" applyAlignment="1">
      <alignment horizontal="center" vertical="center" wrapText="1"/>
    </xf>
    <xf numFmtId="0" fontId="3" fillId="9" borderId="9" xfId="2" applyNumberFormat="1" applyFont="1" applyFill="1" applyBorder="1" applyAlignment="1">
      <alignment horizontal="center" vertical="center" wrapText="1"/>
    </xf>
    <xf numFmtId="0" fontId="3" fillId="9" borderId="8" xfId="2" applyNumberFormat="1" applyFont="1" applyFill="1" applyBorder="1" applyAlignment="1">
      <alignment horizontal="center" vertical="center" wrapText="1"/>
    </xf>
    <xf numFmtId="0" fontId="3" fillId="2" borderId="24" xfId="3" applyFont="1" applyFill="1" applyBorder="1">
      <alignment vertical="center"/>
    </xf>
    <xf numFmtId="0" fontId="17" fillId="2" borderId="0" xfId="3" applyFont="1" applyFill="1" applyBorder="1">
      <alignment vertical="center"/>
    </xf>
    <xf numFmtId="0" fontId="3" fillId="2" borderId="0" xfId="3" applyFont="1" applyFill="1" applyBorder="1" applyAlignment="1">
      <alignment vertical="center" wrapText="1"/>
    </xf>
    <xf numFmtId="0" fontId="0" fillId="2" borderId="3" xfId="0" applyFill="1" applyBorder="1"/>
    <xf numFmtId="0" fontId="3" fillId="2" borderId="17" xfId="0" applyFont="1" applyFill="1" applyBorder="1" applyAlignment="1">
      <alignment horizontal="left" wrapText="1"/>
    </xf>
    <xf numFmtId="0" fontId="3" fillId="2" borderId="24" xfId="0" applyFont="1" applyFill="1" applyBorder="1"/>
    <xf numFmtId="0" fontId="20" fillId="2" borderId="0" xfId="0" applyFont="1" applyFill="1"/>
    <xf numFmtId="0" fontId="3" fillId="2" borderId="0" xfId="3" applyFont="1" applyFill="1" applyBorder="1">
      <alignment vertical="center"/>
    </xf>
    <xf numFmtId="0" fontId="26" fillId="0" borderId="24" xfId="0" applyFont="1" applyBorder="1" applyAlignment="1">
      <alignment wrapText="1"/>
    </xf>
    <xf numFmtId="0" fontId="3" fillId="2" borderId="0" xfId="3" applyFont="1" applyFill="1" applyBorder="1" applyAlignment="1">
      <alignment horizontal="left" vertical="center" wrapText="1" indent="1"/>
    </xf>
    <xf numFmtId="0" fontId="0" fillId="0" borderId="0" xfId="0" applyAlignment="1">
      <alignment wrapText="1"/>
    </xf>
    <xf numFmtId="0" fontId="27" fillId="10" borderId="19" xfId="3" applyFont="1" applyFill="1" applyBorder="1" applyAlignment="1">
      <alignment vertical="center" wrapText="1"/>
    </xf>
    <xf numFmtId="0" fontId="3" fillId="9" borderId="34" xfId="2" applyNumberFormat="1" applyFont="1" applyFill="1" applyBorder="1" applyAlignment="1">
      <alignment horizontal="center" vertical="center" wrapText="1"/>
    </xf>
    <xf numFmtId="0" fontId="24" fillId="9" borderId="39" xfId="2" applyNumberFormat="1" applyFont="1" applyFill="1" applyBorder="1" applyAlignment="1">
      <alignment horizontal="left" vertical="center" wrapText="1"/>
    </xf>
    <xf numFmtId="0" fontId="26" fillId="0" borderId="40" xfId="0" applyFont="1" applyBorder="1" applyAlignment="1">
      <alignment wrapText="1"/>
    </xf>
    <xf numFmtId="0" fontId="3" fillId="0" borderId="40" xfId="0" applyFont="1" applyBorder="1"/>
    <xf numFmtId="0" fontId="3" fillId="2" borderId="18" xfId="0" applyFont="1" applyFill="1" applyBorder="1"/>
    <xf numFmtId="0" fontId="3" fillId="2" borderId="42" xfId="0" applyFont="1" applyFill="1" applyBorder="1"/>
    <xf numFmtId="0" fontId="3" fillId="2" borderId="43" xfId="0" applyFont="1" applyFill="1" applyBorder="1"/>
    <xf numFmtId="0" fontId="25" fillId="8" borderId="13" xfId="2" applyNumberFormat="1" applyFont="1" applyFill="1" applyBorder="1" applyAlignment="1">
      <alignment horizontal="center" vertical="center" wrapText="1"/>
    </xf>
    <xf numFmtId="0" fontId="24" fillId="9" borderId="5" xfId="2" applyNumberFormat="1" applyFont="1" applyFill="1" applyBorder="1" applyAlignment="1">
      <alignment horizontal="left" vertical="center" wrapText="1"/>
    </xf>
    <xf numFmtId="0" fontId="16" fillId="9" borderId="44" xfId="2" applyNumberFormat="1" applyFont="1" applyFill="1" applyBorder="1" applyAlignment="1">
      <alignment horizontal="center" vertical="center" wrapText="1"/>
    </xf>
    <xf numFmtId="0" fontId="3" fillId="2" borderId="19" xfId="3" applyFont="1" applyFill="1" applyBorder="1">
      <alignment vertical="center"/>
    </xf>
    <xf numFmtId="3" fontId="27" fillId="17" borderId="20" xfId="3" applyNumberFormat="1" applyFont="1" applyFill="1" applyBorder="1" applyProtection="1">
      <alignment vertical="center"/>
      <protection locked="0"/>
    </xf>
    <xf numFmtId="0" fontId="3" fillId="2" borderId="19" xfId="0" applyFont="1" applyFill="1" applyBorder="1"/>
    <xf numFmtId="0" fontId="3" fillId="2" borderId="45" xfId="0" applyFont="1" applyFill="1" applyBorder="1"/>
    <xf numFmtId="3" fontId="17" fillId="14" borderId="22" xfId="0" applyNumberFormat="1" applyFont="1" applyFill="1" applyBorder="1" applyProtection="1">
      <protection locked="0"/>
    </xf>
    <xf numFmtId="0" fontId="3" fillId="2" borderId="0" xfId="3" applyFont="1" applyFill="1" applyBorder="1" applyAlignment="1">
      <alignment horizontal="left" vertical="center" wrapText="1" indent="2"/>
    </xf>
    <xf numFmtId="0" fontId="0" fillId="2" borderId="0" xfId="0" applyFill="1"/>
    <xf numFmtId="0" fontId="3" fillId="2" borderId="18" xfId="0" applyFont="1" applyFill="1" applyBorder="1" applyAlignment="1">
      <alignment horizontal="left" wrapText="1"/>
    </xf>
    <xf numFmtId="0" fontId="3" fillId="9" borderId="0" xfId="2" applyNumberFormat="1" applyFont="1" applyFill="1" applyBorder="1" applyAlignment="1">
      <alignment horizontal="center" vertical="center"/>
    </xf>
    <xf numFmtId="0" fontId="0" fillId="2" borderId="21" xfId="0" applyFill="1" applyBorder="1"/>
    <xf numFmtId="0" fontId="17" fillId="2" borderId="18" xfId="3" applyFont="1" applyFill="1" applyBorder="1" applyAlignment="1">
      <alignment horizontal="left" vertical="center" wrapText="1" indent="1"/>
    </xf>
    <xf numFmtId="0" fontId="3" fillId="2" borderId="18" xfId="3" applyFont="1" applyFill="1" applyBorder="1" applyAlignment="1">
      <alignment horizontal="left" vertical="center" wrapText="1" indent="1"/>
    </xf>
    <xf numFmtId="0" fontId="3" fillId="2" borderId="6" xfId="0" applyFont="1" applyFill="1" applyBorder="1"/>
    <xf numFmtId="0" fontId="0" fillId="2" borderId="4" xfId="0" applyFill="1" applyBorder="1"/>
    <xf numFmtId="0" fontId="0" fillId="2" borderId="9" xfId="0" applyFill="1" applyBorder="1"/>
    <xf numFmtId="0" fontId="17" fillId="2" borderId="6" xfId="3" applyFont="1" applyFill="1" applyBorder="1" applyAlignment="1">
      <alignment horizontal="left" vertical="center" wrapText="1" indent="1"/>
    </xf>
    <xf numFmtId="0" fontId="3" fillId="2" borderId="6" xfId="3" applyFont="1" applyFill="1" applyBorder="1" applyAlignment="1">
      <alignment horizontal="left" vertical="center" wrapText="1" indent="1"/>
    </xf>
    <xf numFmtId="0" fontId="23" fillId="0" borderId="51" xfId="0" applyFont="1" applyBorder="1" applyAlignment="1">
      <alignment horizontal="center" vertical="center"/>
    </xf>
    <xf numFmtId="0" fontId="3" fillId="2" borderId="54" xfId="0" applyFont="1" applyFill="1" applyBorder="1" applyAlignment="1">
      <alignment horizontal="left" wrapText="1"/>
    </xf>
    <xf numFmtId="0" fontId="3" fillId="2" borderId="30" xfId="0" applyFont="1" applyFill="1" applyBorder="1" applyAlignment="1">
      <alignment horizontal="left" wrapText="1"/>
    </xf>
    <xf numFmtId="0" fontId="3" fillId="0" borderId="24" xfId="0" applyFont="1" applyBorder="1"/>
    <xf numFmtId="0" fontId="3" fillId="2" borderId="30" xfId="0" applyFont="1" applyFill="1" applyBorder="1"/>
    <xf numFmtId="3" fontId="17" fillId="14" borderId="53" xfId="0" applyNumberFormat="1" applyFont="1" applyFill="1" applyBorder="1" applyProtection="1">
      <protection locked="0"/>
    </xf>
    <xf numFmtId="0" fontId="3" fillId="2" borderId="31" xfId="0" applyFont="1" applyFill="1" applyBorder="1"/>
    <xf numFmtId="0" fontId="3" fillId="2" borderId="32" xfId="0" applyFont="1" applyFill="1" applyBorder="1"/>
    <xf numFmtId="0" fontId="3" fillId="2" borderId="55" xfId="0" applyFont="1" applyFill="1" applyBorder="1"/>
    <xf numFmtId="0" fontId="3" fillId="2" borderId="33" xfId="0" applyFont="1" applyFill="1" applyBorder="1"/>
    <xf numFmtId="0" fontId="3" fillId="19" borderId="9" xfId="2" applyNumberFormat="1" applyFont="1" applyFill="1" applyBorder="1" applyAlignment="1">
      <alignment horizontal="center" vertical="center" wrapText="1"/>
    </xf>
    <xf numFmtId="0" fontId="3" fillId="19" borderId="8" xfId="2" applyNumberFormat="1" applyFont="1" applyFill="1" applyBorder="1" applyAlignment="1">
      <alignment horizontal="center" vertical="center" wrapText="1"/>
    </xf>
    <xf numFmtId="0" fontId="25" fillId="19" borderId="11" xfId="2" applyNumberFormat="1" applyFont="1" applyFill="1" applyBorder="1" applyAlignment="1">
      <alignment horizontal="center" vertical="center" wrapText="1"/>
    </xf>
    <xf numFmtId="0" fontId="25" fillId="19" borderId="49" xfId="2" applyNumberFormat="1" applyFont="1" applyFill="1" applyBorder="1" applyAlignment="1">
      <alignment horizontal="center" vertical="center" wrapText="1"/>
    </xf>
    <xf numFmtId="0" fontId="25" fillId="19" borderId="0" xfId="2" applyNumberFormat="1" applyFont="1" applyFill="1" applyBorder="1" applyAlignment="1">
      <alignment horizontal="center" vertical="center" wrapText="1"/>
    </xf>
    <xf numFmtId="0" fontId="25" fillId="19" borderId="0" xfId="2" applyNumberFormat="1" applyFont="1" applyFill="1" applyBorder="1" applyAlignment="1">
      <alignment horizontal="center" vertical="center"/>
    </xf>
    <xf numFmtId="0" fontId="25" fillId="19" borderId="9" xfId="2" applyNumberFormat="1" applyFont="1" applyFill="1" applyBorder="1" applyAlignment="1">
      <alignment horizontal="center" vertical="center" wrapText="1"/>
    </xf>
    <xf numFmtId="0" fontId="28" fillId="19" borderId="46" xfId="2" applyNumberFormat="1" applyFont="1" applyFill="1" applyBorder="1" applyAlignment="1">
      <alignment horizontal="left" vertical="center" wrapText="1"/>
    </xf>
    <xf numFmtId="0" fontId="28" fillId="19" borderId="0" xfId="2" applyNumberFormat="1" applyFont="1" applyFill="1" applyBorder="1" applyAlignment="1">
      <alignment horizontal="left" vertical="center" wrapText="1"/>
    </xf>
    <xf numFmtId="0" fontId="28" fillId="19" borderId="52" xfId="2" applyNumberFormat="1" applyFont="1" applyFill="1" applyBorder="1" applyAlignment="1">
      <alignment horizontal="left" vertical="center" wrapText="1"/>
    </xf>
    <xf numFmtId="0" fontId="25" fillId="19" borderId="8" xfId="2" applyNumberFormat="1" applyFont="1" applyFill="1" applyBorder="1" applyAlignment="1">
      <alignment horizontal="center" vertical="center" wrapText="1"/>
    </xf>
    <xf numFmtId="0" fontId="25" fillId="19" borderId="23" xfId="2" applyNumberFormat="1" applyFont="1" applyFill="1" applyBorder="1" applyAlignment="1">
      <alignment horizontal="center" vertical="center" wrapText="1"/>
    </xf>
    <xf numFmtId="0" fontId="3" fillId="2" borderId="57" xfId="0" applyFont="1" applyFill="1" applyBorder="1"/>
    <xf numFmtId="0" fontId="13" fillId="8" borderId="25" xfId="2" applyNumberFormat="1" applyFont="1" applyFill="1" applyBorder="1" applyAlignment="1">
      <alignment horizontal="center" vertical="center" wrapText="1"/>
    </xf>
    <xf numFmtId="0" fontId="13" fillId="8" borderId="26" xfId="2" applyNumberFormat="1" applyFont="1" applyFill="1" applyBorder="1" applyAlignment="1">
      <alignment horizontal="center" vertical="center" wrapText="1"/>
    </xf>
    <xf numFmtId="0" fontId="14" fillId="8" borderId="26" xfId="2" applyNumberFormat="1" applyFont="1" applyFill="1" applyBorder="1" applyAlignment="1">
      <alignment horizontal="center" vertical="center" wrapText="1"/>
    </xf>
    <xf numFmtId="0" fontId="14" fillId="8" borderId="28" xfId="2" applyNumberFormat="1" applyFont="1" applyFill="1" applyBorder="1" applyAlignment="1">
      <alignment horizontal="center" vertical="center" wrapText="1"/>
    </xf>
    <xf numFmtId="0" fontId="3" fillId="2" borderId="59" xfId="0" applyFont="1" applyFill="1" applyBorder="1"/>
    <xf numFmtId="0" fontId="3" fillId="10" borderId="54" xfId="3" applyFont="1" applyFill="1" applyBorder="1">
      <alignment vertical="center"/>
    </xf>
    <xf numFmtId="0" fontId="3" fillId="2" borderId="24" xfId="0" applyFont="1" applyFill="1" applyBorder="1" applyAlignment="1">
      <alignment horizontal="left" vertical="center"/>
    </xf>
    <xf numFmtId="0" fontId="3" fillId="2" borderId="38" xfId="0" applyFont="1" applyFill="1" applyBorder="1" applyAlignment="1">
      <alignment horizontal="left" vertical="center"/>
    </xf>
    <xf numFmtId="0" fontId="3" fillId="2" borderId="24" xfId="2" applyNumberFormat="1" applyFont="1" applyFill="1" applyBorder="1" applyAlignment="1">
      <alignment horizontal="left" vertical="center"/>
    </xf>
    <xf numFmtId="0" fontId="3" fillId="2" borderId="29" xfId="0" applyFont="1" applyFill="1" applyBorder="1" applyAlignment="1">
      <alignment horizontal="left" vertical="center"/>
    </xf>
    <xf numFmtId="3" fontId="21" fillId="15" borderId="53" xfId="0" applyNumberFormat="1" applyFont="1" applyFill="1" applyBorder="1" applyProtection="1">
      <protection locked="0"/>
    </xf>
    <xf numFmtId="0" fontId="3" fillId="2" borderId="31" xfId="0" applyFont="1" applyFill="1" applyBorder="1" applyAlignment="1">
      <alignment horizontal="left" vertical="center"/>
    </xf>
    <xf numFmtId="0" fontId="3" fillId="2" borderId="32" xfId="0" applyFont="1" applyFill="1" applyBorder="1" applyAlignment="1">
      <alignment horizontal="left" vertical="center"/>
    </xf>
    <xf numFmtId="0" fontId="3" fillId="2" borderId="32" xfId="2" applyNumberFormat="1" applyFont="1" applyFill="1" applyBorder="1" applyAlignment="1">
      <alignment horizontal="left" vertical="center"/>
    </xf>
    <xf numFmtId="0" fontId="3" fillId="2" borderId="60" xfId="0" applyFont="1" applyFill="1" applyBorder="1" applyAlignment="1">
      <alignment horizontal="left" vertical="center"/>
    </xf>
    <xf numFmtId="0" fontId="3" fillId="2" borderId="57" xfId="0" applyFont="1" applyFill="1" applyBorder="1" applyAlignment="1">
      <alignment horizontal="left" vertical="center"/>
    </xf>
    <xf numFmtId="0" fontId="3" fillId="2" borderId="61" xfId="0" applyFont="1" applyFill="1" applyBorder="1" applyAlignment="1">
      <alignment horizontal="left" vertical="center"/>
    </xf>
    <xf numFmtId="0" fontId="12" fillId="7" borderId="48" xfId="0" applyFont="1" applyFill="1" applyBorder="1" applyAlignment="1">
      <alignment horizontal="right" vertical="center" wrapText="1"/>
    </xf>
    <xf numFmtId="0" fontId="0" fillId="7" borderId="62" xfId="0" applyFill="1" applyBorder="1" applyAlignment="1">
      <alignment vertical="center"/>
    </xf>
    <xf numFmtId="0" fontId="15" fillId="8" borderId="26" xfId="2" applyNumberFormat="1" applyFont="1" applyFill="1" applyBorder="1" applyAlignment="1">
      <alignment horizontal="center" vertical="center" wrapText="1"/>
    </xf>
    <xf numFmtId="0" fontId="16" fillId="9" borderId="58" xfId="2" applyNumberFormat="1" applyFont="1" applyFill="1" applyBorder="1" applyAlignment="1">
      <alignment horizontal="center" vertical="center" wrapText="1"/>
    </xf>
    <xf numFmtId="0" fontId="3" fillId="10" borderId="24" xfId="3" applyFont="1" applyFill="1" applyBorder="1">
      <alignment vertical="center"/>
    </xf>
    <xf numFmtId="0" fontId="0" fillId="11" borderId="0" xfId="0" applyFill="1" applyAlignment="1">
      <alignment vertical="center"/>
    </xf>
    <xf numFmtId="0" fontId="0" fillId="11" borderId="30" xfId="0" applyFill="1" applyBorder="1" applyAlignment="1">
      <alignment vertical="center"/>
    </xf>
    <xf numFmtId="0" fontId="25" fillId="19" borderId="63" xfId="2" applyNumberFormat="1" applyFont="1" applyFill="1" applyBorder="1" applyAlignment="1">
      <alignment horizontal="center" vertical="center" wrapText="1"/>
    </xf>
    <xf numFmtId="0" fontId="25" fillId="19" borderId="24" xfId="2" applyNumberFormat="1" applyFont="1" applyFill="1" applyBorder="1" applyAlignment="1">
      <alignment horizontal="center" vertical="center" wrapText="1"/>
    </xf>
    <xf numFmtId="0" fontId="23" fillId="0" borderId="51" xfId="0" applyFont="1" applyBorder="1" applyAlignment="1">
      <alignment wrapText="1"/>
    </xf>
    <xf numFmtId="0" fontId="3" fillId="2" borderId="24" xfId="3" applyFont="1" applyFill="1" applyBorder="1" applyAlignment="1">
      <alignment vertical="center" wrapText="1"/>
    </xf>
    <xf numFmtId="0" fontId="23" fillId="0" borderId="40" xfId="0" applyFont="1" applyBorder="1" applyAlignment="1">
      <alignment wrapText="1"/>
    </xf>
    <xf numFmtId="0" fontId="23" fillId="0" borderId="40" xfId="0" applyFont="1" applyBorder="1" applyAlignment="1">
      <alignment horizontal="center" vertical="center" wrapText="1"/>
    </xf>
    <xf numFmtId="0" fontId="3" fillId="9" borderId="64" xfId="2" applyNumberFormat="1" applyFont="1" applyFill="1" applyBorder="1" applyAlignment="1">
      <alignment horizontal="center" vertical="center" wrapText="1"/>
    </xf>
    <xf numFmtId="0" fontId="3" fillId="9" borderId="40" xfId="2" applyNumberFormat="1" applyFont="1" applyFill="1" applyBorder="1" applyAlignment="1">
      <alignment horizontal="center" vertical="center" wrapText="1"/>
    </xf>
    <xf numFmtId="0" fontId="3" fillId="9" borderId="65" xfId="2" applyNumberFormat="1" applyFont="1" applyFill="1" applyBorder="1" applyAlignment="1">
      <alignment horizontal="center" vertical="center" wrapText="1"/>
    </xf>
    <xf numFmtId="0" fontId="3" fillId="2" borderId="40" xfId="3" applyFont="1" applyFill="1" applyBorder="1">
      <alignment vertical="center"/>
    </xf>
    <xf numFmtId="0" fontId="3" fillId="2" borderId="40" xfId="0" applyFont="1" applyFill="1" applyBorder="1"/>
    <xf numFmtId="0" fontId="3" fillId="2" borderId="41" xfId="0" applyFont="1" applyFill="1" applyBorder="1"/>
    <xf numFmtId="0" fontId="3" fillId="2" borderId="40" xfId="3" applyFont="1" applyFill="1" applyBorder="1" applyAlignment="1">
      <alignment vertical="center" wrapText="1"/>
    </xf>
    <xf numFmtId="0" fontId="17" fillId="9" borderId="35" xfId="2" applyNumberFormat="1" applyFont="1" applyFill="1" applyBorder="1" applyAlignment="1">
      <alignment horizontal="center" vertical="center" wrapText="1"/>
    </xf>
    <xf numFmtId="0" fontId="28" fillId="19" borderId="50" xfId="2" applyNumberFormat="1" applyFont="1" applyFill="1" applyBorder="1" applyAlignment="1">
      <alignment horizontal="center" vertical="center" wrapText="1"/>
    </xf>
    <xf numFmtId="0" fontId="3" fillId="9" borderId="0" xfId="2" applyNumberFormat="1" applyFont="1" applyFill="1" applyBorder="1" applyAlignment="1">
      <alignment horizontal="left" vertical="center"/>
    </xf>
    <xf numFmtId="0" fontId="28" fillId="19" borderId="53" xfId="2" applyNumberFormat="1" applyFont="1" applyFill="1" applyBorder="1" applyAlignment="1">
      <alignment horizontal="center" vertical="center" wrapText="1"/>
    </xf>
    <xf numFmtId="0" fontId="28" fillId="8" borderId="22" xfId="2" applyNumberFormat="1" applyFont="1" applyFill="1" applyBorder="1" applyAlignment="1">
      <alignment horizontal="center" vertical="center" wrapText="1"/>
    </xf>
    <xf numFmtId="0" fontId="25" fillId="19" borderId="0" xfId="2" applyNumberFormat="1" applyFont="1" applyFill="1" applyBorder="1" applyAlignment="1">
      <alignment horizontal="left" vertical="center"/>
    </xf>
    <xf numFmtId="0" fontId="28" fillId="19" borderId="5" xfId="2" applyNumberFormat="1" applyFont="1" applyFill="1" applyBorder="1" applyAlignment="1">
      <alignment horizontal="left" vertical="center" wrapText="1"/>
    </xf>
    <xf numFmtId="0" fontId="3" fillId="19" borderId="23" xfId="2" applyNumberFormat="1" applyFont="1" applyFill="1" applyBorder="1" applyAlignment="1">
      <alignment horizontal="center" vertical="center" wrapText="1"/>
    </xf>
    <xf numFmtId="0" fontId="28" fillId="8" borderId="53" xfId="2" applyNumberFormat="1" applyFont="1" applyFill="1" applyBorder="1" applyAlignment="1">
      <alignment horizontal="center" vertical="center" wrapText="1"/>
    </xf>
    <xf numFmtId="0" fontId="3" fillId="10" borderId="30" xfId="3" applyFont="1" applyFill="1" applyBorder="1">
      <alignment vertical="center"/>
    </xf>
    <xf numFmtId="0" fontId="17" fillId="10" borderId="60" xfId="3" applyFont="1" applyFill="1" applyBorder="1" applyAlignment="1">
      <alignment vertical="center" wrapText="1"/>
    </xf>
    <xf numFmtId="0" fontId="17" fillId="2" borderId="18" xfId="0" applyFont="1" applyFill="1" applyBorder="1" applyAlignment="1">
      <alignment horizontal="left" vertical="center" indent="1"/>
    </xf>
    <xf numFmtId="0" fontId="17" fillId="2" borderId="18" xfId="0" applyFont="1" applyFill="1" applyBorder="1" applyAlignment="1">
      <alignment horizontal="left" vertical="center" wrapText="1" indent="1"/>
    </xf>
    <xf numFmtId="3" fontId="6" fillId="2" borderId="18" xfId="1" applyNumberFormat="1" applyFont="1" applyFill="1" applyBorder="1" applyAlignment="1">
      <alignment horizontal="left" vertical="center" wrapText="1" indent="2"/>
    </xf>
    <xf numFmtId="3" fontId="2" fillId="2" borderId="18" xfId="1" applyNumberFormat="1" applyFont="1" applyFill="1" applyBorder="1" applyAlignment="1">
      <alignment horizontal="left" vertical="center" wrapText="1" indent="3"/>
    </xf>
    <xf numFmtId="0" fontId="13" fillId="0" borderId="0" xfId="0" applyFont="1" applyAlignment="1">
      <alignment horizontal="center" vertical="center" wrapText="1"/>
    </xf>
    <xf numFmtId="0" fontId="0" fillId="11" borderId="30" xfId="0" applyFill="1" applyBorder="1" applyAlignment="1">
      <alignment vertical="center" wrapText="1"/>
    </xf>
    <xf numFmtId="0" fontId="3" fillId="2" borderId="30" xfId="0" applyFont="1" applyFill="1" applyBorder="1" applyAlignment="1">
      <alignment horizontal="left" vertical="center"/>
    </xf>
    <xf numFmtId="0" fontId="15" fillId="8" borderId="50" xfId="2" applyNumberFormat="1" applyFont="1" applyFill="1" applyBorder="1" applyAlignment="1">
      <alignment horizontal="center" vertical="center" wrapText="1"/>
    </xf>
    <xf numFmtId="0" fontId="0" fillId="2" borderId="6" xfId="0" applyFill="1" applyBorder="1"/>
    <xf numFmtId="0" fontId="17" fillId="10" borderId="4" xfId="3" applyFont="1" applyFill="1" applyBorder="1" applyAlignment="1">
      <alignment vertical="center" wrapText="1"/>
    </xf>
    <xf numFmtId="0" fontId="17" fillId="10" borderId="55" xfId="3" applyFont="1" applyFill="1" applyBorder="1" applyAlignment="1">
      <alignment vertical="center" wrapText="1"/>
    </xf>
    <xf numFmtId="0" fontId="17" fillId="2" borderId="6" xfId="0" applyFont="1" applyFill="1" applyBorder="1" applyAlignment="1">
      <alignment horizontal="left" vertical="center" indent="1"/>
    </xf>
    <xf numFmtId="3" fontId="2" fillId="2" borderId="6" xfId="1" applyNumberFormat="1" applyFont="1" applyFill="1" applyBorder="1" applyAlignment="1">
      <alignment horizontal="left" vertical="center" wrapText="1" indent="2"/>
    </xf>
    <xf numFmtId="3" fontId="2" fillId="2" borderId="6" xfId="1" applyNumberFormat="1" applyFont="1" applyFill="1" applyBorder="1" applyAlignment="1">
      <alignment horizontal="left" vertical="center" wrapText="1" indent="3"/>
    </xf>
    <xf numFmtId="0" fontId="17" fillId="10" borderId="6" xfId="3" applyFont="1" applyFill="1" applyBorder="1" applyAlignment="1">
      <alignment vertical="center" wrapText="1"/>
    </xf>
    <xf numFmtId="0" fontId="3" fillId="2" borderId="55" xfId="0" applyFont="1" applyFill="1" applyBorder="1" applyAlignment="1">
      <alignment horizontal="left" vertical="center"/>
    </xf>
    <xf numFmtId="0" fontId="3" fillId="10" borderId="46" xfId="3" applyFont="1" applyFill="1" applyBorder="1">
      <alignment vertical="center"/>
    </xf>
    <xf numFmtId="0" fontId="3" fillId="10" borderId="47" xfId="3" applyFont="1" applyFill="1" applyBorder="1">
      <alignment vertical="center"/>
    </xf>
    <xf numFmtId="0" fontId="3" fillId="2" borderId="47" xfId="0" applyFont="1" applyFill="1" applyBorder="1" applyAlignment="1">
      <alignment horizontal="left" vertical="center"/>
    </xf>
    <xf numFmtId="3" fontId="20" fillId="0" borderId="1" xfId="0" applyNumberFormat="1" applyFont="1" applyBorder="1" applyProtection="1">
      <protection locked="0"/>
    </xf>
    <xf numFmtId="0" fontId="3" fillId="2" borderId="56" xfId="0" applyFont="1" applyFill="1" applyBorder="1" applyAlignment="1">
      <alignment horizontal="left" vertical="center"/>
    </xf>
    <xf numFmtId="0" fontId="25" fillId="8" borderId="66" xfId="2" applyNumberFormat="1" applyFont="1" applyFill="1" applyBorder="1" applyAlignment="1">
      <alignment horizontal="center" vertical="center" wrapText="1"/>
    </xf>
    <xf numFmtId="0" fontId="3" fillId="2" borderId="18" xfId="3" applyFont="1" applyFill="1" applyBorder="1" applyAlignment="1">
      <alignment horizontal="left" vertical="center" wrapText="1" indent="2"/>
    </xf>
    <xf numFmtId="3" fontId="17" fillId="8" borderId="22" xfId="0" applyNumberFormat="1" applyFont="1" applyFill="1" applyBorder="1" applyProtection="1">
      <protection locked="0"/>
    </xf>
    <xf numFmtId="3" fontId="17" fillId="8" borderId="53" xfId="0" applyNumberFormat="1" applyFont="1" applyFill="1" applyBorder="1" applyProtection="1">
      <protection locked="0"/>
    </xf>
    <xf numFmtId="3" fontId="27" fillId="12" borderId="20" xfId="3" applyNumberFormat="1" applyFont="1" applyFill="1" applyBorder="1" applyProtection="1">
      <alignment vertical="center"/>
      <protection locked="0"/>
    </xf>
    <xf numFmtId="3" fontId="27" fillId="12" borderId="20" xfId="3" applyNumberFormat="1" applyFont="1" applyFill="1" applyBorder="1" applyAlignment="1" applyProtection="1">
      <alignment vertical="center" wrapText="1"/>
      <protection locked="0"/>
    </xf>
    <xf numFmtId="0" fontId="0" fillId="2" borderId="6" xfId="0" applyFill="1" applyBorder="1" applyAlignment="1">
      <alignment vertical="center" wrapText="1"/>
    </xf>
    <xf numFmtId="0" fontId="3" fillId="10" borderId="0" xfId="3" applyFont="1" applyFill="1" applyBorder="1" applyAlignment="1">
      <alignment vertical="center" wrapText="1"/>
    </xf>
    <xf numFmtId="0" fontId="17" fillId="2" borderId="6" xfId="0" applyFont="1" applyFill="1" applyBorder="1" applyAlignment="1">
      <alignment horizontal="left" vertical="center" wrapText="1" indent="1"/>
    </xf>
    <xf numFmtId="0" fontId="0" fillId="11" borderId="10" xfId="0" applyFill="1" applyBorder="1"/>
    <xf numFmtId="0" fontId="5" fillId="11" borderId="11" xfId="0" applyFont="1" applyFill="1" applyBorder="1"/>
    <xf numFmtId="3" fontId="2" fillId="2" borderId="0" xfId="1" applyNumberFormat="1" applyFont="1" applyFill="1" applyBorder="1" applyAlignment="1">
      <alignment vertical="center" wrapText="1"/>
    </xf>
    <xf numFmtId="0" fontId="0" fillId="2" borderId="0" xfId="0" applyFill="1" applyAlignment="1">
      <alignment vertical="center"/>
    </xf>
    <xf numFmtId="3" fontId="29" fillId="12" borderId="0" xfId="4" applyNumberFormat="1" applyFill="1" applyBorder="1" applyAlignment="1">
      <alignment vertical="center"/>
    </xf>
    <xf numFmtId="3" fontId="29" fillId="11" borderId="0" xfId="4" applyNumberFormat="1" applyFill="1" applyBorder="1" applyAlignment="1">
      <alignment vertical="center"/>
    </xf>
    <xf numFmtId="3" fontId="29" fillId="5" borderId="0" xfId="4" applyNumberFormat="1" applyFill="1" applyBorder="1" applyAlignment="1">
      <alignment vertical="center"/>
    </xf>
    <xf numFmtId="3" fontId="29" fillId="22" borderId="0" xfId="4" applyNumberFormat="1" applyFill="1" applyBorder="1" applyAlignment="1">
      <alignment vertical="center"/>
    </xf>
    <xf numFmtId="3" fontId="29" fillId="13" borderId="0" xfId="4" applyNumberFormat="1" applyFill="1" applyBorder="1" applyAlignment="1">
      <alignment vertical="center"/>
    </xf>
    <xf numFmtId="3" fontId="29" fillId="20" borderId="0" xfId="4" applyNumberFormat="1" applyFill="1" applyBorder="1" applyAlignment="1">
      <alignment vertical="center"/>
    </xf>
    <xf numFmtId="3" fontId="29" fillId="21" borderId="0" xfId="4" applyNumberFormat="1" applyFill="1" applyBorder="1" applyAlignment="1">
      <alignment vertical="center"/>
    </xf>
    <xf numFmtId="0" fontId="5" fillId="0" borderId="0" xfId="0" applyFont="1"/>
    <xf numFmtId="0" fontId="30" fillId="8" borderId="46" xfId="2" applyFont="1" applyFill="1" applyBorder="1" applyAlignment="1">
      <alignment horizontal="center" vertical="center" wrapText="1"/>
    </xf>
    <xf numFmtId="3" fontId="31" fillId="0" borderId="1" xfId="0" applyNumberFormat="1" applyFont="1" applyBorder="1"/>
    <xf numFmtId="3" fontId="29" fillId="18" borderId="0" xfId="4" applyNumberFormat="1" applyFill="1" applyBorder="1" applyAlignment="1">
      <alignment vertical="center" wrapText="1"/>
    </xf>
    <xf numFmtId="49" fontId="20" fillId="0" borderId="1" xfId="0" applyNumberFormat="1" applyFont="1" applyBorder="1" applyProtection="1">
      <protection locked="0"/>
    </xf>
    <xf numFmtId="49" fontId="20" fillId="0" borderId="53" xfId="0" applyNumberFormat="1" applyFont="1" applyBorder="1" applyProtection="1">
      <protection locked="0"/>
    </xf>
    <xf numFmtId="0" fontId="24" fillId="9" borderId="36" xfId="2" applyNumberFormat="1" applyFont="1" applyFill="1" applyBorder="1" applyAlignment="1">
      <alignment horizontal="center" vertical="center"/>
    </xf>
    <xf numFmtId="0" fontId="24" fillId="9" borderId="37" xfId="2" applyNumberFormat="1" applyFont="1" applyFill="1" applyBorder="1" applyAlignment="1">
      <alignment horizontal="center" vertical="center"/>
    </xf>
    <xf numFmtId="0" fontId="24" fillId="9" borderId="15" xfId="2" applyNumberFormat="1" applyFont="1" applyFill="1" applyBorder="1" applyAlignment="1">
      <alignment horizontal="center" vertical="center"/>
    </xf>
    <xf numFmtId="0" fontId="28" fillId="19" borderId="27" xfId="2" applyNumberFormat="1" applyFont="1" applyFill="1" applyBorder="1" applyAlignment="1">
      <alignment horizontal="center" vertical="center"/>
    </xf>
    <xf numFmtId="0" fontId="28" fillId="19" borderId="26" xfId="2" applyNumberFormat="1" applyFont="1" applyFill="1" applyBorder="1" applyAlignment="1">
      <alignment horizontal="center" vertical="center"/>
    </xf>
    <xf numFmtId="0" fontId="28" fillId="19" borderId="28" xfId="2" applyNumberFormat="1" applyFont="1" applyFill="1" applyBorder="1" applyAlignment="1">
      <alignment horizontal="center" vertical="center"/>
    </xf>
  </cellXfs>
  <cellStyles count="5">
    <cellStyle name="60% - akcent 1" xfId="2" xr:uid="{00000000-0005-0000-0000-000000000000}"/>
    <cellStyle name="Hipervínculo" xfId="4" builtinId="8"/>
    <cellStyle name="Normal" xfId="0" builtinId="0"/>
    <cellStyle name="Normal 10" xfId="1" xr:uid="{00000000-0005-0000-0000-000003000000}"/>
    <cellStyle name="Normal 12" xfId="3" xr:uid="{00000000-0005-0000-0000-000004000000}"/>
  </cellStyles>
  <dxfs count="13">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s>
  <tableStyles count="0" defaultTableStyle="TableStyleMedium2" defaultPivotStyle="PivotStyleLight16"/>
  <colors>
    <mruColors>
      <color rgb="FFFBA1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1966383</xdr:colOff>
      <xdr:row>0</xdr:row>
      <xdr:rowOff>809625</xdr:rowOff>
    </xdr:to>
    <xdr:pic>
      <xdr:nvPicPr>
        <xdr:cNvPr id="6" name="4 Imagen">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871258"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2328333</xdr:colOff>
      <xdr:row>0</xdr:row>
      <xdr:rowOff>83608</xdr:rowOff>
    </xdr:from>
    <xdr:to>
      <xdr:col>5</xdr:col>
      <xdr:colOff>5936737</xdr:colOff>
      <xdr:row>1</xdr:row>
      <xdr:rowOff>10108</xdr:rowOff>
    </xdr:to>
    <xdr:sp macro="" textlink="">
      <xdr:nvSpPr>
        <xdr:cNvPr id="7" name="6 CuadroTexto">
          <a:extLst>
            <a:ext uri="{FF2B5EF4-FFF2-40B4-BE49-F238E27FC236}">
              <a16:creationId xmlns:a16="http://schemas.microsoft.com/office/drawing/2014/main" id="{00000000-0008-0000-0000-000007000000}"/>
            </a:ext>
          </a:extLst>
        </xdr:cNvPr>
        <xdr:cNvSpPr txBox="1"/>
      </xdr:nvSpPr>
      <xdr:spPr>
        <a:xfrm>
          <a:off x="3233208" y="83608"/>
          <a:ext cx="3608404" cy="1260000"/>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s-CL" sz="1100" b="1" i="0">
              <a:solidFill>
                <a:schemeClr val="tx1"/>
              </a:solidFill>
              <a:effectLst/>
              <a:latin typeface="+mn-lt"/>
              <a:ea typeface="+mn-ea"/>
              <a:cs typeface="+mn-cs"/>
            </a:rPr>
            <a:t>IMPORTANTE</a:t>
          </a:r>
          <a:r>
            <a:rPr lang="es-CL" sz="1100" b="0" i="0">
              <a:solidFill>
                <a:schemeClr val="tx1"/>
              </a:solidFill>
              <a:effectLst/>
              <a:latin typeface="+mn-lt"/>
              <a:ea typeface="+mn-ea"/>
              <a:cs typeface="+mn-cs"/>
            </a:rPr>
            <a:t>: El presente documento esta protegido por el registro de </a:t>
          </a:r>
          <a:r>
            <a:rPr lang="es-CL" sz="1100" b="0" i="0" u="none">
              <a:solidFill>
                <a:schemeClr val="tx1"/>
              </a:solidFill>
              <a:effectLst/>
              <a:latin typeface="+mn-lt"/>
              <a:ea typeface="+mn-ea"/>
              <a:cs typeface="+mn-cs"/>
            </a:rPr>
            <a:t>propiedad</a:t>
          </a:r>
          <a:r>
            <a:rPr lang="es-CL" sz="1100" b="0" i="0" u="none" baseline="0">
              <a:solidFill>
                <a:schemeClr val="tx1"/>
              </a:solidFill>
              <a:effectLst/>
              <a:latin typeface="+mn-lt"/>
              <a:ea typeface="+mn-ea"/>
              <a:cs typeface="+mn-cs"/>
            </a:rPr>
            <a:t> </a:t>
          </a:r>
          <a:r>
            <a:rPr lang="es-CL" sz="1100" b="0" i="0" u="none">
              <a:solidFill>
                <a:schemeClr val="tx1"/>
              </a:solidFill>
              <a:effectLst/>
              <a:latin typeface="+mn-lt"/>
              <a:ea typeface="+mn-ea"/>
              <a:cs typeface="+mn-cs"/>
            </a:rPr>
            <a:t>intelectual </a:t>
          </a:r>
          <a:r>
            <a:rPr lang="es-CL" sz="1100" b="0" i="0">
              <a:solidFill>
                <a:schemeClr val="tx1"/>
              </a:solidFill>
              <a:effectLst/>
              <a:latin typeface="+mn-lt"/>
              <a:ea typeface="+mn-ea"/>
              <a:cs typeface="+mn-cs"/>
            </a:rPr>
            <a:t> No. 132.246, del Departamento de Derechos Intelectuales de Chile.  Este documento no puede ser utilizado por personas no autorizadas ni distribuido sin autorización expresa y por escrito de DBNeT S.A.</a:t>
          </a:r>
          <a:endParaRPr lang="es-CL" sz="1100">
            <a:solidFill>
              <a:schemeClr val="tx1"/>
            </a:solidFill>
          </a:endParaRPr>
        </a:p>
      </xdr:txBody>
    </xdr:sp>
    <xdr:clientData/>
  </xdr:twoCellAnchor>
  <xdr:twoCellAnchor>
    <xdr:from>
      <xdr:col>1</xdr:col>
      <xdr:colOff>122767</xdr:colOff>
      <xdr:row>0</xdr:row>
      <xdr:rowOff>1000124</xdr:rowOff>
    </xdr:from>
    <xdr:to>
      <xdr:col>5</xdr:col>
      <xdr:colOff>474633</xdr:colOff>
      <xdr:row>1</xdr:row>
      <xdr:rowOff>98624</xdr:rowOff>
    </xdr:to>
    <xdr:sp macro="[0]!Guarda_Hojas_CSV" textlink="">
      <xdr:nvSpPr>
        <xdr:cNvPr id="8" name="7 Rectángulo redondeado">
          <a:extLst>
            <a:ext uri="{FF2B5EF4-FFF2-40B4-BE49-F238E27FC236}">
              <a16:creationId xmlns:a16="http://schemas.microsoft.com/office/drawing/2014/main" id="{00000000-0008-0000-0000-000008000000}"/>
            </a:ext>
          </a:extLst>
        </xdr:cNvPr>
        <xdr:cNvSpPr/>
      </xdr:nvSpPr>
      <xdr:spPr>
        <a:xfrm>
          <a:off x="303742" y="1000124"/>
          <a:ext cx="1075766"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642408</xdr:colOff>
      <xdr:row>0</xdr:row>
      <xdr:rowOff>1000124</xdr:rowOff>
    </xdr:from>
    <xdr:to>
      <xdr:col>5</xdr:col>
      <xdr:colOff>1722408</xdr:colOff>
      <xdr:row>1</xdr:row>
      <xdr:rowOff>98624</xdr:rowOff>
    </xdr:to>
    <xdr:sp macro="[0]!Guarda_Hojas_ZIP" textlink="">
      <xdr:nvSpPr>
        <xdr:cNvPr id="9" name="8 Rectángulo redondeado">
          <a:extLst>
            <a:ext uri="{FF2B5EF4-FFF2-40B4-BE49-F238E27FC236}">
              <a16:creationId xmlns:a16="http://schemas.microsoft.com/office/drawing/2014/main" id="{00000000-0008-0000-0000-000009000000}"/>
            </a:ext>
          </a:extLst>
        </xdr:cNvPr>
        <xdr:cNvSpPr/>
      </xdr:nvSpPr>
      <xdr:spPr>
        <a:xfrm>
          <a:off x="1547283" y="1000124"/>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0</xdr:row>
      <xdr:rowOff>142876</xdr:rowOff>
    </xdr:from>
    <xdr:to>
      <xdr:col>5</xdr:col>
      <xdr:colOff>518318</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100-000002000000}"/>
            </a:ext>
          </a:extLst>
        </xdr:cNvPr>
        <xdr:cNvSpPr/>
      </xdr:nvSpPr>
      <xdr:spPr>
        <a:xfrm>
          <a:off x="295275" y="14287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683419</xdr:colOff>
      <xdr:row>0</xdr:row>
      <xdr:rowOff>142875</xdr:rowOff>
    </xdr:from>
    <xdr:to>
      <xdr:col>5</xdr:col>
      <xdr:colOff>1703652</xdr:colOff>
      <xdr:row>0</xdr:row>
      <xdr:rowOff>535781</xdr:rowOff>
    </xdr:to>
    <xdr:sp macro="[0]!Guarda_Hojas_ZIP" textlink="">
      <xdr:nvSpPr>
        <xdr:cNvPr id="3" name="2 Rectángulo redondeado">
          <a:extLst>
            <a:ext uri="{FF2B5EF4-FFF2-40B4-BE49-F238E27FC236}">
              <a16:creationId xmlns:a16="http://schemas.microsoft.com/office/drawing/2014/main" id="{00000000-0008-0000-0100-000003000000}"/>
            </a:ext>
          </a:extLst>
        </xdr:cNvPr>
        <xdr:cNvSpPr/>
      </xdr:nvSpPr>
      <xdr:spPr>
        <a:xfrm>
          <a:off x="181689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170890</xdr:colOff>
      <xdr:row>1</xdr:row>
      <xdr:rowOff>1236570</xdr:rowOff>
    </xdr:from>
    <xdr:to>
      <xdr:col>7</xdr:col>
      <xdr:colOff>518273</xdr:colOff>
      <xdr:row>1</xdr:row>
      <xdr:rowOff>2155452</xdr:rowOff>
    </xdr:to>
    <xdr:sp macro="" textlink="">
      <xdr:nvSpPr>
        <xdr:cNvPr id="4" name="3 Flecha abajo">
          <a:extLst>
            <a:ext uri="{FF2B5EF4-FFF2-40B4-BE49-F238E27FC236}">
              <a16:creationId xmlns:a16="http://schemas.microsoft.com/office/drawing/2014/main" id="{00000000-0008-0000-0100-000004000000}"/>
            </a:ext>
          </a:extLst>
        </xdr:cNvPr>
        <xdr:cNvSpPr/>
      </xdr:nvSpPr>
      <xdr:spPr>
        <a:xfrm>
          <a:off x="8162365" y="1931895"/>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552450</xdr:colOff>
      <xdr:row>1</xdr:row>
      <xdr:rowOff>485775</xdr:rowOff>
    </xdr:from>
    <xdr:to>
      <xdr:col>8</xdr:col>
      <xdr:colOff>353546</xdr:colOff>
      <xdr:row>1</xdr:row>
      <xdr:rowOff>1158128</xdr:rowOff>
    </xdr:to>
    <xdr:sp macro="" textlink="">
      <xdr:nvSpPr>
        <xdr:cNvPr id="5" name="4 Rectángulo redondeado">
          <a:extLst>
            <a:ext uri="{FF2B5EF4-FFF2-40B4-BE49-F238E27FC236}">
              <a16:creationId xmlns:a16="http://schemas.microsoft.com/office/drawing/2014/main" id="{00000000-0008-0000-0100-000005000000}"/>
            </a:ext>
          </a:extLst>
        </xdr:cNvPr>
        <xdr:cNvSpPr/>
      </xdr:nvSpPr>
      <xdr:spPr>
        <a:xfrm>
          <a:off x="7658100" y="1181100"/>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5</xdr:col>
      <xdr:colOff>4533900</xdr:colOff>
      <xdr:row>0</xdr:row>
      <xdr:rowOff>152401</xdr:rowOff>
    </xdr:from>
    <xdr:to>
      <xdr:col>5</xdr:col>
      <xdr:colOff>5890418</xdr:colOff>
      <xdr:row>0</xdr:row>
      <xdr:rowOff>533401</xdr:rowOff>
    </xdr:to>
    <xdr:sp macro="[0]!Copiar_columna" textlink="">
      <xdr:nvSpPr>
        <xdr:cNvPr id="6" name="5 Rectángulo redondeado">
          <a:extLst>
            <a:ext uri="{FF2B5EF4-FFF2-40B4-BE49-F238E27FC236}">
              <a16:creationId xmlns:a16="http://schemas.microsoft.com/office/drawing/2014/main" id="{00000000-0008-0000-0100-000006000000}"/>
            </a:ext>
          </a:extLst>
        </xdr:cNvPr>
        <xdr:cNvSpPr/>
      </xdr:nvSpPr>
      <xdr:spPr>
        <a:xfrm>
          <a:off x="5667375" y="152401"/>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a:t>
          </a:r>
          <a:r>
            <a:rPr lang="es-ES" sz="1100" baseline="0"/>
            <a:t> Columna</a:t>
          </a:r>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437030</xdr:colOff>
      <xdr:row>1</xdr:row>
      <xdr:rowOff>1243854</xdr:rowOff>
    </xdr:from>
    <xdr:to>
      <xdr:col>7</xdr:col>
      <xdr:colOff>784413</xdr:colOff>
      <xdr:row>1</xdr:row>
      <xdr:rowOff>2162736</xdr:rowOff>
    </xdr:to>
    <xdr:sp macro="" textlink="">
      <xdr:nvSpPr>
        <xdr:cNvPr id="4" name="3 Flecha abajo">
          <a:extLst>
            <a:ext uri="{FF2B5EF4-FFF2-40B4-BE49-F238E27FC236}">
              <a16:creationId xmlns:a16="http://schemas.microsoft.com/office/drawing/2014/main" id="{00000000-0008-0000-0200-000004000000}"/>
            </a:ext>
          </a:extLst>
        </xdr:cNvPr>
        <xdr:cNvSpPr/>
      </xdr:nvSpPr>
      <xdr:spPr>
        <a:xfrm>
          <a:off x="8964706" y="1938619"/>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1288676</xdr:colOff>
      <xdr:row>1</xdr:row>
      <xdr:rowOff>493059</xdr:rowOff>
    </xdr:from>
    <xdr:to>
      <xdr:col>8</xdr:col>
      <xdr:colOff>44824</xdr:colOff>
      <xdr:row>1</xdr:row>
      <xdr:rowOff>1165412</xdr:rowOff>
    </xdr:to>
    <xdr:sp macro="" textlink="">
      <xdr:nvSpPr>
        <xdr:cNvPr id="5" name="4 Rectángulo redondeado">
          <a:extLst>
            <a:ext uri="{FF2B5EF4-FFF2-40B4-BE49-F238E27FC236}">
              <a16:creationId xmlns:a16="http://schemas.microsoft.com/office/drawing/2014/main" id="{00000000-0008-0000-0200-000005000000}"/>
            </a:ext>
          </a:extLst>
        </xdr:cNvPr>
        <xdr:cNvSpPr/>
      </xdr:nvSpPr>
      <xdr:spPr>
        <a:xfrm>
          <a:off x="8460441" y="1187824"/>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xdr:col>
      <xdr:colOff>33617</xdr:colOff>
      <xdr:row>0</xdr:row>
      <xdr:rowOff>168090</xdr:rowOff>
    </xdr:from>
    <xdr:to>
      <xdr:col>5</xdr:col>
      <xdr:colOff>448841</xdr:colOff>
      <xdr:row>0</xdr:row>
      <xdr:rowOff>549090</xdr:rowOff>
    </xdr:to>
    <xdr:sp macro="[0]!Guarda_Hojas_CSV" textlink="">
      <xdr:nvSpPr>
        <xdr:cNvPr id="7" name="1 Rectángulo redondeado">
          <a:extLst>
            <a:ext uri="{FF2B5EF4-FFF2-40B4-BE49-F238E27FC236}">
              <a16:creationId xmlns:a16="http://schemas.microsoft.com/office/drawing/2014/main" id="{00000000-0008-0000-0200-000007000000}"/>
            </a:ext>
          </a:extLst>
        </xdr:cNvPr>
        <xdr:cNvSpPr/>
      </xdr:nvSpPr>
      <xdr:spPr>
        <a:xfrm>
          <a:off x="212911" y="168090"/>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613942</xdr:colOff>
      <xdr:row>0</xdr:row>
      <xdr:rowOff>168089</xdr:rowOff>
    </xdr:from>
    <xdr:to>
      <xdr:col>5</xdr:col>
      <xdr:colOff>1634175</xdr:colOff>
      <xdr:row>0</xdr:row>
      <xdr:rowOff>560995</xdr:rowOff>
    </xdr:to>
    <xdr:sp macro="[0]!Guarda_Hojas_ZIP" textlink="">
      <xdr:nvSpPr>
        <xdr:cNvPr id="8" name="2 Rectángulo redondeado">
          <a:extLst>
            <a:ext uri="{FF2B5EF4-FFF2-40B4-BE49-F238E27FC236}">
              <a16:creationId xmlns:a16="http://schemas.microsoft.com/office/drawing/2014/main" id="{00000000-0008-0000-0200-000008000000}"/>
            </a:ext>
          </a:extLst>
        </xdr:cNvPr>
        <xdr:cNvSpPr/>
      </xdr:nvSpPr>
      <xdr:spPr>
        <a:xfrm>
          <a:off x="1734530" y="168089"/>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5</xdr:col>
      <xdr:colOff>4464423</xdr:colOff>
      <xdr:row>0</xdr:row>
      <xdr:rowOff>177615</xdr:rowOff>
    </xdr:from>
    <xdr:to>
      <xdr:col>5</xdr:col>
      <xdr:colOff>5820941</xdr:colOff>
      <xdr:row>0</xdr:row>
      <xdr:rowOff>558615</xdr:rowOff>
    </xdr:to>
    <xdr:sp macro="[0]!Copiar_columna" textlink="">
      <xdr:nvSpPr>
        <xdr:cNvPr id="9" name="5 Rectángulo redondeado">
          <a:extLst>
            <a:ext uri="{FF2B5EF4-FFF2-40B4-BE49-F238E27FC236}">
              <a16:creationId xmlns:a16="http://schemas.microsoft.com/office/drawing/2014/main" id="{00000000-0008-0000-0200-000009000000}"/>
            </a:ext>
          </a:extLst>
        </xdr:cNvPr>
        <xdr:cNvSpPr/>
      </xdr:nvSpPr>
      <xdr:spPr>
        <a:xfrm>
          <a:off x="5585011" y="177615"/>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a:t>
          </a:r>
          <a:r>
            <a:rPr lang="es-ES" sz="1100" baseline="0"/>
            <a:t> Columna</a:t>
          </a:r>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477052</xdr:colOff>
      <xdr:row>1</xdr:row>
      <xdr:rowOff>1077367</xdr:rowOff>
    </xdr:from>
    <xdr:to>
      <xdr:col>7</xdr:col>
      <xdr:colOff>824435</xdr:colOff>
      <xdr:row>1</xdr:row>
      <xdr:rowOff>1996249</xdr:rowOff>
    </xdr:to>
    <xdr:sp macro="" textlink="">
      <xdr:nvSpPr>
        <xdr:cNvPr id="4" name="3 Flecha abajo">
          <a:extLst>
            <a:ext uri="{FF2B5EF4-FFF2-40B4-BE49-F238E27FC236}">
              <a16:creationId xmlns:a16="http://schemas.microsoft.com/office/drawing/2014/main" id="{00000000-0008-0000-0300-000004000000}"/>
            </a:ext>
          </a:extLst>
        </xdr:cNvPr>
        <xdr:cNvSpPr/>
      </xdr:nvSpPr>
      <xdr:spPr>
        <a:xfrm>
          <a:off x="8995123" y="1771331"/>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1319894</xdr:colOff>
      <xdr:row>1</xdr:row>
      <xdr:rowOff>326572</xdr:rowOff>
    </xdr:from>
    <xdr:to>
      <xdr:col>8</xdr:col>
      <xdr:colOff>93650</xdr:colOff>
      <xdr:row>1</xdr:row>
      <xdr:rowOff>998925</xdr:rowOff>
    </xdr:to>
    <xdr:sp macro="" textlink="">
      <xdr:nvSpPr>
        <xdr:cNvPr id="5" name="4 Rectángulo redondeado">
          <a:extLst>
            <a:ext uri="{FF2B5EF4-FFF2-40B4-BE49-F238E27FC236}">
              <a16:creationId xmlns:a16="http://schemas.microsoft.com/office/drawing/2014/main" id="{00000000-0008-0000-0300-000005000000}"/>
            </a:ext>
          </a:extLst>
        </xdr:cNvPr>
        <xdr:cNvSpPr/>
      </xdr:nvSpPr>
      <xdr:spPr>
        <a:xfrm>
          <a:off x="8490858" y="1020536"/>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xdr:col>
      <xdr:colOff>27214</xdr:colOff>
      <xdr:row>0</xdr:row>
      <xdr:rowOff>163286</xdr:rowOff>
    </xdr:from>
    <xdr:to>
      <xdr:col>5</xdr:col>
      <xdr:colOff>444839</xdr:colOff>
      <xdr:row>0</xdr:row>
      <xdr:rowOff>544286</xdr:rowOff>
    </xdr:to>
    <xdr:sp macro="[0]!Guarda_Hojas_CSV" textlink="">
      <xdr:nvSpPr>
        <xdr:cNvPr id="7" name="1 Rectángulo redondeado">
          <a:extLst>
            <a:ext uri="{FF2B5EF4-FFF2-40B4-BE49-F238E27FC236}">
              <a16:creationId xmlns:a16="http://schemas.microsoft.com/office/drawing/2014/main" id="{00000000-0008-0000-0300-000007000000}"/>
            </a:ext>
          </a:extLst>
        </xdr:cNvPr>
        <xdr:cNvSpPr/>
      </xdr:nvSpPr>
      <xdr:spPr>
        <a:xfrm>
          <a:off x="204107" y="16328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609940</xdr:colOff>
      <xdr:row>0</xdr:row>
      <xdr:rowOff>163285</xdr:rowOff>
    </xdr:from>
    <xdr:to>
      <xdr:col>5</xdr:col>
      <xdr:colOff>1630173</xdr:colOff>
      <xdr:row>0</xdr:row>
      <xdr:rowOff>556191</xdr:rowOff>
    </xdr:to>
    <xdr:sp macro="[0]!Guarda_Hojas_ZIP" textlink="">
      <xdr:nvSpPr>
        <xdr:cNvPr id="8" name="2 Rectángulo redondeado">
          <a:extLst>
            <a:ext uri="{FF2B5EF4-FFF2-40B4-BE49-F238E27FC236}">
              <a16:creationId xmlns:a16="http://schemas.microsoft.com/office/drawing/2014/main" id="{00000000-0008-0000-0300-000008000000}"/>
            </a:ext>
          </a:extLst>
        </xdr:cNvPr>
        <xdr:cNvSpPr/>
      </xdr:nvSpPr>
      <xdr:spPr>
        <a:xfrm>
          <a:off x="1725726" y="16328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5</xdr:col>
      <xdr:colOff>4460421</xdr:colOff>
      <xdr:row>0</xdr:row>
      <xdr:rowOff>172811</xdr:rowOff>
    </xdr:from>
    <xdr:to>
      <xdr:col>5</xdr:col>
      <xdr:colOff>5816939</xdr:colOff>
      <xdr:row>0</xdr:row>
      <xdr:rowOff>553811</xdr:rowOff>
    </xdr:to>
    <xdr:sp macro="[0]!Copiar_columna" textlink="">
      <xdr:nvSpPr>
        <xdr:cNvPr id="9" name="5 Rectángulo redondeado">
          <a:extLst>
            <a:ext uri="{FF2B5EF4-FFF2-40B4-BE49-F238E27FC236}">
              <a16:creationId xmlns:a16="http://schemas.microsoft.com/office/drawing/2014/main" id="{00000000-0008-0000-0300-000009000000}"/>
            </a:ext>
          </a:extLst>
        </xdr:cNvPr>
        <xdr:cNvSpPr/>
      </xdr:nvSpPr>
      <xdr:spPr>
        <a:xfrm>
          <a:off x="5576207" y="172811"/>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a:t>
          </a:r>
          <a:r>
            <a:rPr lang="es-ES" sz="1100" baseline="0"/>
            <a:t> Columna</a:t>
          </a:r>
          <a:endParaRPr lang="es-E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463443</xdr:colOff>
      <xdr:row>1</xdr:row>
      <xdr:rowOff>1213438</xdr:rowOff>
    </xdr:from>
    <xdr:to>
      <xdr:col>7</xdr:col>
      <xdr:colOff>810826</xdr:colOff>
      <xdr:row>1</xdr:row>
      <xdr:rowOff>2132320</xdr:rowOff>
    </xdr:to>
    <xdr:sp macro="" textlink="">
      <xdr:nvSpPr>
        <xdr:cNvPr id="4" name="3 Flecha abajo">
          <a:extLst>
            <a:ext uri="{FF2B5EF4-FFF2-40B4-BE49-F238E27FC236}">
              <a16:creationId xmlns:a16="http://schemas.microsoft.com/office/drawing/2014/main" id="{00000000-0008-0000-0400-000004000000}"/>
            </a:ext>
          </a:extLst>
        </xdr:cNvPr>
        <xdr:cNvSpPr/>
      </xdr:nvSpPr>
      <xdr:spPr>
        <a:xfrm>
          <a:off x="8981514" y="1907402"/>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1306285</xdr:colOff>
      <xdr:row>1</xdr:row>
      <xdr:rowOff>462643</xdr:rowOff>
    </xdr:from>
    <xdr:to>
      <xdr:col>8</xdr:col>
      <xdr:colOff>80041</xdr:colOff>
      <xdr:row>1</xdr:row>
      <xdr:rowOff>1134996</xdr:rowOff>
    </xdr:to>
    <xdr:sp macro="" textlink="">
      <xdr:nvSpPr>
        <xdr:cNvPr id="5" name="4 Rectángulo redondeado">
          <a:extLst>
            <a:ext uri="{FF2B5EF4-FFF2-40B4-BE49-F238E27FC236}">
              <a16:creationId xmlns:a16="http://schemas.microsoft.com/office/drawing/2014/main" id="{00000000-0008-0000-0400-000005000000}"/>
            </a:ext>
          </a:extLst>
        </xdr:cNvPr>
        <xdr:cNvSpPr/>
      </xdr:nvSpPr>
      <xdr:spPr>
        <a:xfrm>
          <a:off x="8477249" y="1156607"/>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xdr:col>
      <xdr:colOff>27214</xdr:colOff>
      <xdr:row>0</xdr:row>
      <xdr:rowOff>149679</xdr:rowOff>
    </xdr:from>
    <xdr:to>
      <xdr:col>5</xdr:col>
      <xdr:colOff>444839</xdr:colOff>
      <xdr:row>0</xdr:row>
      <xdr:rowOff>530679</xdr:rowOff>
    </xdr:to>
    <xdr:sp macro="[0]!Guarda_Hojas_CSV" textlink="">
      <xdr:nvSpPr>
        <xdr:cNvPr id="7" name="1 Rectángulo redondeado">
          <a:extLst>
            <a:ext uri="{FF2B5EF4-FFF2-40B4-BE49-F238E27FC236}">
              <a16:creationId xmlns:a16="http://schemas.microsoft.com/office/drawing/2014/main" id="{00000000-0008-0000-0400-000007000000}"/>
            </a:ext>
          </a:extLst>
        </xdr:cNvPr>
        <xdr:cNvSpPr/>
      </xdr:nvSpPr>
      <xdr:spPr>
        <a:xfrm>
          <a:off x="204107" y="149679"/>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609940</xdr:colOff>
      <xdr:row>0</xdr:row>
      <xdr:rowOff>149678</xdr:rowOff>
    </xdr:from>
    <xdr:to>
      <xdr:col>5</xdr:col>
      <xdr:colOff>1630173</xdr:colOff>
      <xdr:row>0</xdr:row>
      <xdr:rowOff>542584</xdr:rowOff>
    </xdr:to>
    <xdr:sp macro="[0]!Guarda_Hojas_ZIP" textlink="">
      <xdr:nvSpPr>
        <xdr:cNvPr id="8" name="2 Rectángulo redondeado">
          <a:extLst>
            <a:ext uri="{FF2B5EF4-FFF2-40B4-BE49-F238E27FC236}">
              <a16:creationId xmlns:a16="http://schemas.microsoft.com/office/drawing/2014/main" id="{00000000-0008-0000-0400-000008000000}"/>
            </a:ext>
          </a:extLst>
        </xdr:cNvPr>
        <xdr:cNvSpPr/>
      </xdr:nvSpPr>
      <xdr:spPr>
        <a:xfrm>
          <a:off x="1725726" y="149678"/>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5</xdr:col>
      <xdr:colOff>4460421</xdr:colOff>
      <xdr:row>0</xdr:row>
      <xdr:rowOff>159204</xdr:rowOff>
    </xdr:from>
    <xdr:to>
      <xdr:col>5</xdr:col>
      <xdr:colOff>5816939</xdr:colOff>
      <xdr:row>0</xdr:row>
      <xdr:rowOff>540204</xdr:rowOff>
    </xdr:to>
    <xdr:sp macro="[0]!Copiar_columna" textlink="">
      <xdr:nvSpPr>
        <xdr:cNvPr id="9" name="5 Rectángulo redondeado">
          <a:extLst>
            <a:ext uri="{FF2B5EF4-FFF2-40B4-BE49-F238E27FC236}">
              <a16:creationId xmlns:a16="http://schemas.microsoft.com/office/drawing/2014/main" id="{00000000-0008-0000-0400-000009000000}"/>
            </a:ext>
          </a:extLst>
        </xdr:cNvPr>
        <xdr:cNvSpPr/>
      </xdr:nvSpPr>
      <xdr:spPr>
        <a:xfrm>
          <a:off x="5576207" y="159204"/>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a:t>
          </a:r>
          <a:r>
            <a:rPr lang="es-ES" sz="1100" baseline="0"/>
            <a:t> Columna</a:t>
          </a:r>
          <a:endParaRPr lang="es-E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170890</xdr:colOff>
      <xdr:row>1</xdr:row>
      <xdr:rowOff>1236570</xdr:rowOff>
    </xdr:from>
    <xdr:to>
      <xdr:col>7</xdr:col>
      <xdr:colOff>518273</xdr:colOff>
      <xdr:row>1</xdr:row>
      <xdr:rowOff>2155452</xdr:rowOff>
    </xdr:to>
    <xdr:sp macro="" textlink="">
      <xdr:nvSpPr>
        <xdr:cNvPr id="4" name="3 Flecha abajo">
          <a:extLst>
            <a:ext uri="{FF2B5EF4-FFF2-40B4-BE49-F238E27FC236}">
              <a16:creationId xmlns:a16="http://schemas.microsoft.com/office/drawing/2014/main" id="{00000000-0008-0000-0500-000004000000}"/>
            </a:ext>
          </a:extLst>
        </xdr:cNvPr>
        <xdr:cNvSpPr/>
      </xdr:nvSpPr>
      <xdr:spPr>
        <a:xfrm>
          <a:off x="8162365" y="1931895"/>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552450</xdr:colOff>
      <xdr:row>1</xdr:row>
      <xdr:rowOff>485775</xdr:rowOff>
    </xdr:from>
    <xdr:to>
      <xdr:col>8</xdr:col>
      <xdr:colOff>353546</xdr:colOff>
      <xdr:row>1</xdr:row>
      <xdr:rowOff>1158128</xdr:rowOff>
    </xdr:to>
    <xdr:sp macro="" textlink="">
      <xdr:nvSpPr>
        <xdr:cNvPr id="5" name="4 Rectángulo redondeado">
          <a:extLst>
            <a:ext uri="{FF2B5EF4-FFF2-40B4-BE49-F238E27FC236}">
              <a16:creationId xmlns:a16="http://schemas.microsoft.com/office/drawing/2014/main" id="{00000000-0008-0000-0500-000005000000}"/>
            </a:ext>
          </a:extLst>
        </xdr:cNvPr>
        <xdr:cNvSpPr/>
      </xdr:nvSpPr>
      <xdr:spPr>
        <a:xfrm>
          <a:off x="7658100" y="1181100"/>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xdr:col>
      <xdr:colOff>38100</xdr:colOff>
      <xdr:row>0</xdr:row>
      <xdr:rowOff>152401</xdr:rowOff>
    </xdr:from>
    <xdr:to>
      <xdr:col>5</xdr:col>
      <xdr:colOff>518318</xdr:colOff>
      <xdr:row>0</xdr:row>
      <xdr:rowOff>533401</xdr:rowOff>
    </xdr:to>
    <xdr:sp macro="[0]!Guarda_Hojas_CSV" textlink="">
      <xdr:nvSpPr>
        <xdr:cNvPr id="7" name="1 Rectángulo redondeado">
          <a:extLst>
            <a:ext uri="{FF2B5EF4-FFF2-40B4-BE49-F238E27FC236}">
              <a16:creationId xmlns:a16="http://schemas.microsoft.com/office/drawing/2014/main" id="{00000000-0008-0000-0500-000007000000}"/>
            </a:ext>
          </a:extLst>
        </xdr:cNvPr>
        <xdr:cNvSpPr/>
      </xdr:nvSpPr>
      <xdr:spPr>
        <a:xfrm>
          <a:off x="219075" y="152401"/>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683419</xdr:colOff>
      <xdr:row>0</xdr:row>
      <xdr:rowOff>152400</xdr:rowOff>
    </xdr:from>
    <xdr:to>
      <xdr:col>5</xdr:col>
      <xdr:colOff>1703652</xdr:colOff>
      <xdr:row>0</xdr:row>
      <xdr:rowOff>545306</xdr:rowOff>
    </xdr:to>
    <xdr:sp macro="[0]!Guarda_Hojas_ZIP" textlink="">
      <xdr:nvSpPr>
        <xdr:cNvPr id="8" name="2 Rectángulo redondeado">
          <a:extLst>
            <a:ext uri="{FF2B5EF4-FFF2-40B4-BE49-F238E27FC236}">
              <a16:creationId xmlns:a16="http://schemas.microsoft.com/office/drawing/2014/main" id="{00000000-0008-0000-0500-000008000000}"/>
            </a:ext>
          </a:extLst>
        </xdr:cNvPr>
        <xdr:cNvSpPr/>
      </xdr:nvSpPr>
      <xdr:spPr>
        <a:xfrm>
          <a:off x="1740694" y="152400"/>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5</xdr:col>
      <xdr:colOff>4533900</xdr:colOff>
      <xdr:row>0</xdr:row>
      <xdr:rowOff>161926</xdr:rowOff>
    </xdr:from>
    <xdr:to>
      <xdr:col>5</xdr:col>
      <xdr:colOff>5890418</xdr:colOff>
      <xdr:row>0</xdr:row>
      <xdr:rowOff>542926</xdr:rowOff>
    </xdr:to>
    <xdr:sp macro="[0]!Copiar_columna" textlink="">
      <xdr:nvSpPr>
        <xdr:cNvPr id="9" name="5 Rectángulo redondeado">
          <a:extLst>
            <a:ext uri="{FF2B5EF4-FFF2-40B4-BE49-F238E27FC236}">
              <a16:creationId xmlns:a16="http://schemas.microsoft.com/office/drawing/2014/main" id="{00000000-0008-0000-0500-000009000000}"/>
            </a:ext>
          </a:extLst>
        </xdr:cNvPr>
        <xdr:cNvSpPr/>
      </xdr:nvSpPr>
      <xdr:spPr>
        <a:xfrm>
          <a:off x="5591175" y="16192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a:t>
          </a:r>
          <a:r>
            <a:rPr lang="es-ES" sz="1100" baseline="0"/>
            <a:t> Columna</a:t>
          </a:r>
          <a:endParaRPr lang="es-E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170890</xdr:colOff>
      <xdr:row>1</xdr:row>
      <xdr:rowOff>1236570</xdr:rowOff>
    </xdr:from>
    <xdr:to>
      <xdr:col>7</xdr:col>
      <xdr:colOff>518273</xdr:colOff>
      <xdr:row>1</xdr:row>
      <xdr:rowOff>2155452</xdr:rowOff>
    </xdr:to>
    <xdr:sp macro="" textlink="">
      <xdr:nvSpPr>
        <xdr:cNvPr id="4" name="3 Flecha abajo">
          <a:extLst>
            <a:ext uri="{FF2B5EF4-FFF2-40B4-BE49-F238E27FC236}">
              <a16:creationId xmlns:a16="http://schemas.microsoft.com/office/drawing/2014/main" id="{00000000-0008-0000-0600-000004000000}"/>
            </a:ext>
          </a:extLst>
        </xdr:cNvPr>
        <xdr:cNvSpPr/>
      </xdr:nvSpPr>
      <xdr:spPr>
        <a:xfrm>
          <a:off x="8162365" y="1931895"/>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552450</xdr:colOff>
      <xdr:row>1</xdr:row>
      <xdr:rowOff>485775</xdr:rowOff>
    </xdr:from>
    <xdr:to>
      <xdr:col>8</xdr:col>
      <xdr:colOff>353546</xdr:colOff>
      <xdr:row>1</xdr:row>
      <xdr:rowOff>1158128</xdr:rowOff>
    </xdr:to>
    <xdr:sp macro="" textlink="">
      <xdr:nvSpPr>
        <xdr:cNvPr id="5" name="4 Rectángulo redondeado">
          <a:extLst>
            <a:ext uri="{FF2B5EF4-FFF2-40B4-BE49-F238E27FC236}">
              <a16:creationId xmlns:a16="http://schemas.microsoft.com/office/drawing/2014/main" id="{00000000-0008-0000-0600-000005000000}"/>
            </a:ext>
          </a:extLst>
        </xdr:cNvPr>
        <xdr:cNvSpPr/>
      </xdr:nvSpPr>
      <xdr:spPr>
        <a:xfrm>
          <a:off x="7658100" y="1181100"/>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xdr:col>
      <xdr:colOff>38100</xdr:colOff>
      <xdr:row>0</xdr:row>
      <xdr:rowOff>161926</xdr:rowOff>
    </xdr:from>
    <xdr:to>
      <xdr:col>5</xdr:col>
      <xdr:colOff>518318</xdr:colOff>
      <xdr:row>0</xdr:row>
      <xdr:rowOff>542926</xdr:rowOff>
    </xdr:to>
    <xdr:sp macro="[0]!Guarda_Hojas_CSV" textlink="">
      <xdr:nvSpPr>
        <xdr:cNvPr id="7" name="1 Rectángulo redondeado">
          <a:extLst>
            <a:ext uri="{FF2B5EF4-FFF2-40B4-BE49-F238E27FC236}">
              <a16:creationId xmlns:a16="http://schemas.microsoft.com/office/drawing/2014/main" id="{00000000-0008-0000-0600-000007000000}"/>
            </a:ext>
          </a:extLst>
        </xdr:cNvPr>
        <xdr:cNvSpPr/>
      </xdr:nvSpPr>
      <xdr:spPr>
        <a:xfrm>
          <a:off x="219075" y="16192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683419</xdr:colOff>
      <xdr:row>0</xdr:row>
      <xdr:rowOff>161925</xdr:rowOff>
    </xdr:from>
    <xdr:to>
      <xdr:col>5</xdr:col>
      <xdr:colOff>1703652</xdr:colOff>
      <xdr:row>0</xdr:row>
      <xdr:rowOff>554831</xdr:rowOff>
    </xdr:to>
    <xdr:sp macro="[0]!Guarda_Hojas_ZIP" textlink="">
      <xdr:nvSpPr>
        <xdr:cNvPr id="8" name="2 Rectángulo redondeado">
          <a:extLst>
            <a:ext uri="{FF2B5EF4-FFF2-40B4-BE49-F238E27FC236}">
              <a16:creationId xmlns:a16="http://schemas.microsoft.com/office/drawing/2014/main" id="{00000000-0008-0000-0600-000008000000}"/>
            </a:ext>
          </a:extLst>
        </xdr:cNvPr>
        <xdr:cNvSpPr/>
      </xdr:nvSpPr>
      <xdr:spPr>
        <a:xfrm>
          <a:off x="1740694" y="16192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5</xdr:col>
      <xdr:colOff>4533900</xdr:colOff>
      <xdr:row>0</xdr:row>
      <xdr:rowOff>171451</xdr:rowOff>
    </xdr:from>
    <xdr:to>
      <xdr:col>5</xdr:col>
      <xdr:colOff>5890418</xdr:colOff>
      <xdr:row>0</xdr:row>
      <xdr:rowOff>552451</xdr:rowOff>
    </xdr:to>
    <xdr:sp macro="[0]!Copiar_columna" textlink="">
      <xdr:nvSpPr>
        <xdr:cNvPr id="9" name="5 Rectángulo redondeado">
          <a:extLst>
            <a:ext uri="{FF2B5EF4-FFF2-40B4-BE49-F238E27FC236}">
              <a16:creationId xmlns:a16="http://schemas.microsoft.com/office/drawing/2014/main" id="{00000000-0008-0000-0600-000009000000}"/>
            </a:ext>
          </a:extLst>
        </xdr:cNvPr>
        <xdr:cNvSpPr/>
      </xdr:nvSpPr>
      <xdr:spPr>
        <a:xfrm>
          <a:off x="5591175" y="171451"/>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a:t>
          </a:r>
          <a:r>
            <a:rPr lang="es-ES" sz="1100" baseline="0"/>
            <a:t> Columna</a:t>
          </a:r>
          <a:endParaRPr lang="es-E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170890</xdr:colOff>
      <xdr:row>1</xdr:row>
      <xdr:rowOff>1236570</xdr:rowOff>
    </xdr:from>
    <xdr:to>
      <xdr:col>7</xdr:col>
      <xdr:colOff>518273</xdr:colOff>
      <xdr:row>1</xdr:row>
      <xdr:rowOff>2155452</xdr:rowOff>
    </xdr:to>
    <xdr:sp macro="" textlink="">
      <xdr:nvSpPr>
        <xdr:cNvPr id="4" name="3 Flecha abajo">
          <a:extLst>
            <a:ext uri="{FF2B5EF4-FFF2-40B4-BE49-F238E27FC236}">
              <a16:creationId xmlns:a16="http://schemas.microsoft.com/office/drawing/2014/main" id="{00000000-0008-0000-0700-000004000000}"/>
            </a:ext>
          </a:extLst>
        </xdr:cNvPr>
        <xdr:cNvSpPr/>
      </xdr:nvSpPr>
      <xdr:spPr>
        <a:xfrm>
          <a:off x="8162365" y="1931895"/>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552450</xdr:colOff>
      <xdr:row>1</xdr:row>
      <xdr:rowOff>485775</xdr:rowOff>
    </xdr:from>
    <xdr:to>
      <xdr:col>8</xdr:col>
      <xdr:colOff>353546</xdr:colOff>
      <xdr:row>1</xdr:row>
      <xdr:rowOff>1158128</xdr:rowOff>
    </xdr:to>
    <xdr:sp macro="" textlink="">
      <xdr:nvSpPr>
        <xdr:cNvPr id="5" name="4 Rectángulo redondeado">
          <a:extLst>
            <a:ext uri="{FF2B5EF4-FFF2-40B4-BE49-F238E27FC236}">
              <a16:creationId xmlns:a16="http://schemas.microsoft.com/office/drawing/2014/main" id="{00000000-0008-0000-0700-000005000000}"/>
            </a:ext>
          </a:extLst>
        </xdr:cNvPr>
        <xdr:cNvSpPr/>
      </xdr:nvSpPr>
      <xdr:spPr>
        <a:xfrm>
          <a:off x="7658100" y="1181100"/>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xdr:col>
      <xdr:colOff>47625</xdr:colOff>
      <xdr:row>0</xdr:row>
      <xdr:rowOff>161926</xdr:rowOff>
    </xdr:from>
    <xdr:to>
      <xdr:col>5</xdr:col>
      <xdr:colOff>527843</xdr:colOff>
      <xdr:row>0</xdr:row>
      <xdr:rowOff>542926</xdr:rowOff>
    </xdr:to>
    <xdr:sp macro="[0]!Guarda_Hojas_CSV" textlink="">
      <xdr:nvSpPr>
        <xdr:cNvPr id="7" name="1 Rectángulo redondeado">
          <a:extLst>
            <a:ext uri="{FF2B5EF4-FFF2-40B4-BE49-F238E27FC236}">
              <a16:creationId xmlns:a16="http://schemas.microsoft.com/office/drawing/2014/main" id="{00000000-0008-0000-0700-000007000000}"/>
            </a:ext>
          </a:extLst>
        </xdr:cNvPr>
        <xdr:cNvSpPr/>
      </xdr:nvSpPr>
      <xdr:spPr>
        <a:xfrm>
          <a:off x="228600" y="16192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692944</xdr:colOff>
      <xdr:row>0</xdr:row>
      <xdr:rowOff>161925</xdr:rowOff>
    </xdr:from>
    <xdr:to>
      <xdr:col>5</xdr:col>
      <xdr:colOff>1713177</xdr:colOff>
      <xdr:row>0</xdr:row>
      <xdr:rowOff>554831</xdr:rowOff>
    </xdr:to>
    <xdr:sp macro="[0]!Guarda_Hojas_ZIP" textlink="">
      <xdr:nvSpPr>
        <xdr:cNvPr id="8" name="2 Rectángulo redondeado">
          <a:extLst>
            <a:ext uri="{FF2B5EF4-FFF2-40B4-BE49-F238E27FC236}">
              <a16:creationId xmlns:a16="http://schemas.microsoft.com/office/drawing/2014/main" id="{00000000-0008-0000-0700-000008000000}"/>
            </a:ext>
          </a:extLst>
        </xdr:cNvPr>
        <xdr:cNvSpPr/>
      </xdr:nvSpPr>
      <xdr:spPr>
        <a:xfrm>
          <a:off x="1750219" y="16192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5</xdr:col>
      <xdr:colOff>4543425</xdr:colOff>
      <xdr:row>0</xdr:row>
      <xdr:rowOff>171451</xdr:rowOff>
    </xdr:from>
    <xdr:to>
      <xdr:col>5</xdr:col>
      <xdr:colOff>5899943</xdr:colOff>
      <xdr:row>0</xdr:row>
      <xdr:rowOff>552451</xdr:rowOff>
    </xdr:to>
    <xdr:sp macro="[0]!Copiar_columna" textlink="">
      <xdr:nvSpPr>
        <xdr:cNvPr id="9" name="5 Rectángulo redondeado">
          <a:extLst>
            <a:ext uri="{FF2B5EF4-FFF2-40B4-BE49-F238E27FC236}">
              <a16:creationId xmlns:a16="http://schemas.microsoft.com/office/drawing/2014/main" id="{00000000-0008-0000-0700-000009000000}"/>
            </a:ext>
          </a:extLst>
        </xdr:cNvPr>
        <xdr:cNvSpPr/>
      </xdr:nvSpPr>
      <xdr:spPr>
        <a:xfrm>
          <a:off x="5600700" y="171451"/>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a:t>
          </a:r>
          <a:r>
            <a:rPr lang="es-ES" sz="1100" baseline="0"/>
            <a:t> Columna</a:t>
          </a:r>
          <a:endParaRPr lang="es-E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170890</xdr:colOff>
      <xdr:row>1</xdr:row>
      <xdr:rowOff>1236570</xdr:rowOff>
    </xdr:from>
    <xdr:to>
      <xdr:col>7</xdr:col>
      <xdr:colOff>518273</xdr:colOff>
      <xdr:row>1</xdr:row>
      <xdr:rowOff>2155452</xdr:rowOff>
    </xdr:to>
    <xdr:sp macro="" textlink="">
      <xdr:nvSpPr>
        <xdr:cNvPr id="4" name="3 Flecha abajo">
          <a:extLst>
            <a:ext uri="{FF2B5EF4-FFF2-40B4-BE49-F238E27FC236}">
              <a16:creationId xmlns:a16="http://schemas.microsoft.com/office/drawing/2014/main" id="{00000000-0008-0000-0800-000004000000}"/>
            </a:ext>
          </a:extLst>
        </xdr:cNvPr>
        <xdr:cNvSpPr/>
      </xdr:nvSpPr>
      <xdr:spPr>
        <a:xfrm>
          <a:off x="8162365" y="1931895"/>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552450</xdr:colOff>
      <xdr:row>1</xdr:row>
      <xdr:rowOff>485775</xdr:rowOff>
    </xdr:from>
    <xdr:to>
      <xdr:col>8</xdr:col>
      <xdr:colOff>353546</xdr:colOff>
      <xdr:row>1</xdr:row>
      <xdr:rowOff>1158128</xdr:rowOff>
    </xdr:to>
    <xdr:sp macro="" textlink="">
      <xdr:nvSpPr>
        <xdr:cNvPr id="5" name="4 Rectángulo redondeado">
          <a:extLst>
            <a:ext uri="{FF2B5EF4-FFF2-40B4-BE49-F238E27FC236}">
              <a16:creationId xmlns:a16="http://schemas.microsoft.com/office/drawing/2014/main" id="{00000000-0008-0000-0800-000005000000}"/>
            </a:ext>
          </a:extLst>
        </xdr:cNvPr>
        <xdr:cNvSpPr/>
      </xdr:nvSpPr>
      <xdr:spPr>
        <a:xfrm>
          <a:off x="7658100" y="1181100"/>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xdr:col>
      <xdr:colOff>38100</xdr:colOff>
      <xdr:row>0</xdr:row>
      <xdr:rowOff>161926</xdr:rowOff>
    </xdr:from>
    <xdr:to>
      <xdr:col>5</xdr:col>
      <xdr:colOff>518318</xdr:colOff>
      <xdr:row>0</xdr:row>
      <xdr:rowOff>542926</xdr:rowOff>
    </xdr:to>
    <xdr:sp macro="[0]!Guarda_Hojas_CSV" textlink="">
      <xdr:nvSpPr>
        <xdr:cNvPr id="7" name="1 Rectángulo redondeado">
          <a:extLst>
            <a:ext uri="{FF2B5EF4-FFF2-40B4-BE49-F238E27FC236}">
              <a16:creationId xmlns:a16="http://schemas.microsoft.com/office/drawing/2014/main" id="{00000000-0008-0000-0800-000007000000}"/>
            </a:ext>
          </a:extLst>
        </xdr:cNvPr>
        <xdr:cNvSpPr/>
      </xdr:nvSpPr>
      <xdr:spPr>
        <a:xfrm>
          <a:off x="219075" y="16192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683419</xdr:colOff>
      <xdr:row>0</xdr:row>
      <xdr:rowOff>161925</xdr:rowOff>
    </xdr:from>
    <xdr:to>
      <xdr:col>5</xdr:col>
      <xdr:colOff>1703652</xdr:colOff>
      <xdr:row>0</xdr:row>
      <xdr:rowOff>554831</xdr:rowOff>
    </xdr:to>
    <xdr:sp macro="[0]!Guarda_Hojas_ZIP" textlink="">
      <xdr:nvSpPr>
        <xdr:cNvPr id="8" name="2 Rectángulo redondeado">
          <a:extLst>
            <a:ext uri="{FF2B5EF4-FFF2-40B4-BE49-F238E27FC236}">
              <a16:creationId xmlns:a16="http://schemas.microsoft.com/office/drawing/2014/main" id="{00000000-0008-0000-0800-000008000000}"/>
            </a:ext>
          </a:extLst>
        </xdr:cNvPr>
        <xdr:cNvSpPr/>
      </xdr:nvSpPr>
      <xdr:spPr>
        <a:xfrm>
          <a:off x="1740694" y="16192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5</xdr:col>
      <xdr:colOff>4533900</xdr:colOff>
      <xdr:row>0</xdr:row>
      <xdr:rowOff>171451</xdr:rowOff>
    </xdr:from>
    <xdr:to>
      <xdr:col>5</xdr:col>
      <xdr:colOff>5890418</xdr:colOff>
      <xdr:row>0</xdr:row>
      <xdr:rowOff>552451</xdr:rowOff>
    </xdr:to>
    <xdr:sp macro="[0]!Copiar_columna" textlink="">
      <xdr:nvSpPr>
        <xdr:cNvPr id="9" name="5 Rectángulo redondeado">
          <a:extLst>
            <a:ext uri="{FF2B5EF4-FFF2-40B4-BE49-F238E27FC236}">
              <a16:creationId xmlns:a16="http://schemas.microsoft.com/office/drawing/2014/main" id="{00000000-0008-0000-0800-000009000000}"/>
            </a:ext>
          </a:extLst>
        </xdr:cNvPr>
        <xdr:cNvSpPr/>
      </xdr:nvSpPr>
      <xdr:spPr>
        <a:xfrm>
          <a:off x="5591175" y="171451"/>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a:t>
          </a:r>
          <a:r>
            <a:rPr lang="es-ES" sz="1100" baseline="0"/>
            <a:t> Columna</a:t>
          </a:r>
          <a:endParaRPr lang="es-E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170890</xdr:colOff>
      <xdr:row>1</xdr:row>
      <xdr:rowOff>1236570</xdr:rowOff>
    </xdr:from>
    <xdr:to>
      <xdr:col>8</xdr:col>
      <xdr:colOff>518273</xdr:colOff>
      <xdr:row>1</xdr:row>
      <xdr:rowOff>2155452</xdr:rowOff>
    </xdr:to>
    <xdr:sp macro="" textlink="">
      <xdr:nvSpPr>
        <xdr:cNvPr id="4" name="3 Flecha abajo">
          <a:extLst>
            <a:ext uri="{FF2B5EF4-FFF2-40B4-BE49-F238E27FC236}">
              <a16:creationId xmlns:a16="http://schemas.microsoft.com/office/drawing/2014/main" id="{00000000-0008-0000-0900-000004000000}"/>
            </a:ext>
          </a:extLst>
        </xdr:cNvPr>
        <xdr:cNvSpPr/>
      </xdr:nvSpPr>
      <xdr:spPr>
        <a:xfrm>
          <a:off x="8162365" y="1931895"/>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552450</xdr:colOff>
      <xdr:row>1</xdr:row>
      <xdr:rowOff>485775</xdr:rowOff>
    </xdr:from>
    <xdr:to>
      <xdr:col>9</xdr:col>
      <xdr:colOff>353546</xdr:colOff>
      <xdr:row>1</xdr:row>
      <xdr:rowOff>1158128</xdr:rowOff>
    </xdr:to>
    <xdr:sp macro="" textlink="">
      <xdr:nvSpPr>
        <xdr:cNvPr id="5" name="4 Rectángulo redondeado">
          <a:extLst>
            <a:ext uri="{FF2B5EF4-FFF2-40B4-BE49-F238E27FC236}">
              <a16:creationId xmlns:a16="http://schemas.microsoft.com/office/drawing/2014/main" id="{00000000-0008-0000-0900-000005000000}"/>
            </a:ext>
          </a:extLst>
        </xdr:cNvPr>
        <xdr:cNvSpPr/>
      </xdr:nvSpPr>
      <xdr:spPr>
        <a:xfrm>
          <a:off x="7658100" y="1181100"/>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7</xdr:col>
      <xdr:colOff>170890</xdr:colOff>
      <xdr:row>1</xdr:row>
      <xdr:rowOff>1236570</xdr:rowOff>
    </xdr:from>
    <xdr:to>
      <xdr:col>7</xdr:col>
      <xdr:colOff>518273</xdr:colOff>
      <xdr:row>1</xdr:row>
      <xdr:rowOff>2155452</xdr:rowOff>
    </xdr:to>
    <xdr:sp macro="" textlink="">
      <xdr:nvSpPr>
        <xdr:cNvPr id="9" name="3 Flecha abajo">
          <a:extLst>
            <a:ext uri="{FF2B5EF4-FFF2-40B4-BE49-F238E27FC236}">
              <a16:creationId xmlns:a16="http://schemas.microsoft.com/office/drawing/2014/main" id="{00000000-0008-0000-0900-000009000000}"/>
            </a:ext>
          </a:extLst>
        </xdr:cNvPr>
        <xdr:cNvSpPr/>
      </xdr:nvSpPr>
      <xdr:spPr>
        <a:xfrm>
          <a:off x="9048190" y="1931895"/>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1</xdr:col>
      <xdr:colOff>28575</xdr:colOff>
      <xdr:row>0</xdr:row>
      <xdr:rowOff>161926</xdr:rowOff>
    </xdr:from>
    <xdr:to>
      <xdr:col>5</xdr:col>
      <xdr:colOff>508793</xdr:colOff>
      <xdr:row>0</xdr:row>
      <xdr:rowOff>542926</xdr:rowOff>
    </xdr:to>
    <xdr:sp macro="[0]!Guarda_Hojas_CSV" textlink="">
      <xdr:nvSpPr>
        <xdr:cNvPr id="8" name="1 Rectángulo redondeado">
          <a:extLst>
            <a:ext uri="{FF2B5EF4-FFF2-40B4-BE49-F238E27FC236}">
              <a16:creationId xmlns:a16="http://schemas.microsoft.com/office/drawing/2014/main" id="{00000000-0008-0000-0900-000008000000}"/>
            </a:ext>
          </a:extLst>
        </xdr:cNvPr>
        <xdr:cNvSpPr/>
      </xdr:nvSpPr>
      <xdr:spPr>
        <a:xfrm>
          <a:off x="209550" y="16192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673894</xdr:colOff>
      <xdr:row>0</xdr:row>
      <xdr:rowOff>161925</xdr:rowOff>
    </xdr:from>
    <xdr:to>
      <xdr:col>5</xdr:col>
      <xdr:colOff>1694127</xdr:colOff>
      <xdr:row>0</xdr:row>
      <xdr:rowOff>554831</xdr:rowOff>
    </xdr:to>
    <xdr:sp macro="[0]!Guarda_Hojas_ZIP" textlink="">
      <xdr:nvSpPr>
        <xdr:cNvPr id="10" name="2 Rectángulo redondeado">
          <a:extLst>
            <a:ext uri="{FF2B5EF4-FFF2-40B4-BE49-F238E27FC236}">
              <a16:creationId xmlns:a16="http://schemas.microsoft.com/office/drawing/2014/main" id="{00000000-0008-0000-0900-00000A000000}"/>
            </a:ext>
          </a:extLst>
        </xdr:cNvPr>
        <xdr:cNvSpPr/>
      </xdr:nvSpPr>
      <xdr:spPr>
        <a:xfrm>
          <a:off x="1731169" y="16192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5</xdr:col>
      <xdr:colOff>4524375</xdr:colOff>
      <xdr:row>0</xdr:row>
      <xdr:rowOff>171451</xdr:rowOff>
    </xdr:from>
    <xdr:to>
      <xdr:col>5</xdr:col>
      <xdr:colOff>5880893</xdr:colOff>
      <xdr:row>0</xdr:row>
      <xdr:rowOff>552451</xdr:rowOff>
    </xdr:to>
    <xdr:sp macro="[0]!Copiar_columna" textlink="">
      <xdr:nvSpPr>
        <xdr:cNvPr id="11" name="5 Rectángulo redondeado">
          <a:extLst>
            <a:ext uri="{FF2B5EF4-FFF2-40B4-BE49-F238E27FC236}">
              <a16:creationId xmlns:a16="http://schemas.microsoft.com/office/drawing/2014/main" id="{00000000-0008-0000-0900-00000B000000}"/>
            </a:ext>
          </a:extLst>
        </xdr:cNvPr>
        <xdr:cNvSpPr/>
      </xdr:nvSpPr>
      <xdr:spPr>
        <a:xfrm>
          <a:off x="5581650" y="171451"/>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a:t>
          </a:r>
          <a:r>
            <a:rPr lang="es-ES" sz="1100" baseline="0"/>
            <a:t> Columna</a:t>
          </a:r>
          <a:endParaRPr lang="es-ES" sz="1100"/>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9"/>
  </sheetPr>
  <dimension ref="A1:L100"/>
  <sheetViews>
    <sheetView topLeftCell="A89" zoomScaleNormal="100" workbookViewId="0">
      <selection activeCell="F87" sqref="F87:F99"/>
    </sheetView>
  </sheetViews>
  <sheetFormatPr baseColWidth="10" defaultRowHeight="15"/>
  <cols>
    <col min="1" max="5" width="2.7109375" customWidth="1"/>
    <col min="6" max="6" width="101.85546875" bestFit="1" customWidth="1"/>
    <col min="7" max="7" width="2.7109375" customWidth="1"/>
    <col min="8" max="11" width="16.7109375" customWidth="1"/>
  </cols>
  <sheetData>
    <row r="1" spans="1:12" ht="105" customHeight="1">
      <c r="A1" t="s">
        <v>0</v>
      </c>
    </row>
    <row r="2" spans="1:12">
      <c r="G2" s="184" t="s">
        <v>0</v>
      </c>
      <c r="H2" s="185" t="s">
        <v>162</v>
      </c>
      <c r="I2" s="195"/>
      <c r="J2" s="195"/>
      <c r="K2" s="195"/>
    </row>
    <row r="3" spans="1:12">
      <c r="B3" s="2" t="s">
        <v>0</v>
      </c>
      <c r="C3" s="3" t="s">
        <v>0</v>
      </c>
      <c r="D3" s="3" t="s">
        <v>0</v>
      </c>
      <c r="E3" s="3" t="s">
        <v>0</v>
      </c>
      <c r="F3" s="3"/>
      <c r="G3" s="3" t="s">
        <v>0</v>
      </c>
      <c r="H3" s="3"/>
      <c r="I3" s="3"/>
      <c r="J3" s="3"/>
      <c r="K3" s="3"/>
      <c r="L3" s="4"/>
    </row>
    <row r="4" spans="1:12">
      <c r="B4" s="5"/>
      <c r="C4" s="1"/>
      <c r="D4" s="1"/>
      <c r="E4" s="1"/>
      <c r="F4" s="12" t="s">
        <v>2</v>
      </c>
      <c r="G4" s="1"/>
      <c r="H4" s="1"/>
      <c r="I4" s="1"/>
      <c r="J4" s="1"/>
      <c r="K4" s="1"/>
      <c r="L4" s="6"/>
    </row>
    <row r="5" spans="1:12">
      <c r="B5" s="5"/>
      <c r="C5" s="1"/>
      <c r="D5" s="1" t="s">
        <v>0</v>
      </c>
      <c r="E5" s="1" t="s">
        <v>0</v>
      </c>
      <c r="F5" s="186" t="s">
        <v>3</v>
      </c>
      <c r="G5" s="1"/>
      <c r="H5" s="1"/>
      <c r="I5" s="1"/>
      <c r="J5" s="1"/>
      <c r="K5" s="1"/>
      <c r="L5" s="6"/>
    </row>
    <row r="6" spans="1:12">
      <c r="B6" s="5" t="s">
        <v>195</v>
      </c>
      <c r="C6" s="1" t="s">
        <v>1</v>
      </c>
      <c r="D6" s="1" t="s">
        <v>0</v>
      </c>
      <c r="E6" s="1" t="s">
        <v>0</v>
      </c>
      <c r="F6" s="11" t="s">
        <v>277</v>
      </c>
      <c r="G6" s="1"/>
      <c r="H6" s="1"/>
      <c r="I6" s="1"/>
      <c r="J6" s="1"/>
      <c r="K6" s="1"/>
      <c r="L6" s="6"/>
    </row>
    <row r="7" spans="1:12">
      <c r="B7" s="5"/>
      <c r="C7" s="1"/>
      <c r="D7" s="1"/>
      <c r="E7" s="1"/>
      <c r="F7" s="1"/>
      <c r="G7" s="1"/>
      <c r="H7" s="1"/>
      <c r="I7" s="1"/>
      <c r="J7" s="1"/>
      <c r="K7" s="1"/>
      <c r="L7" s="6"/>
    </row>
    <row r="8" spans="1:12">
      <c r="B8" s="5"/>
      <c r="C8" s="1"/>
      <c r="D8" s="1"/>
      <c r="E8" s="1"/>
      <c r="F8" s="189" t="s">
        <v>18</v>
      </c>
      <c r="G8" s="1"/>
      <c r="H8" s="1"/>
      <c r="I8" s="1"/>
      <c r="J8" s="1"/>
      <c r="K8" s="1"/>
      <c r="L8" s="6"/>
    </row>
    <row r="9" spans="1:12">
      <c r="B9" s="5"/>
      <c r="C9" s="1"/>
      <c r="D9" s="1"/>
      <c r="E9" s="1"/>
      <c r="F9" s="1"/>
      <c r="G9" s="1"/>
      <c r="H9" s="1"/>
      <c r="I9" s="1"/>
      <c r="J9" s="1"/>
      <c r="K9" s="1"/>
      <c r="L9" s="6"/>
    </row>
    <row r="10" spans="1:12" ht="24">
      <c r="B10" s="5"/>
      <c r="C10" s="1"/>
      <c r="D10" s="1"/>
      <c r="E10" s="1"/>
      <c r="F10" s="186" t="s">
        <v>163</v>
      </c>
      <c r="G10" s="1"/>
      <c r="H10" s="1"/>
      <c r="I10" s="1"/>
      <c r="J10" s="1"/>
      <c r="K10" s="1"/>
      <c r="L10" s="6"/>
    </row>
    <row r="11" spans="1:12">
      <c r="B11" s="5" t="s">
        <v>195</v>
      </c>
      <c r="C11" s="1" t="s">
        <v>166</v>
      </c>
      <c r="D11" s="1" t="s">
        <v>0</v>
      </c>
      <c r="E11" s="1"/>
      <c r="F11" s="11" t="s">
        <v>278</v>
      </c>
      <c r="G11" s="1"/>
      <c r="H11" s="1"/>
      <c r="I11" s="1"/>
      <c r="J11" s="1"/>
      <c r="K11" s="1"/>
      <c r="L11" s="6"/>
    </row>
    <row r="12" spans="1:12">
      <c r="B12" s="5"/>
      <c r="C12" s="1"/>
      <c r="D12" s="1"/>
      <c r="E12" s="1"/>
      <c r="F12" s="1"/>
      <c r="G12" s="1"/>
      <c r="H12" s="1"/>
      <c r="I12" s="1"/>
      <c r="J12" s="1"/>
      <c r="K12" s="1"/>
      <c r="L12" s="6"/>
    </row>
    <row r="13" spans="1:12">
      <c r="B13" s="5"/>
      <c r="C13" s="1"/>
      <c r="D13" s="1"/>
      <c r="E13" s="1"/>
      <c r="F13" s="190" t="s">
        <v>54</v>
      </c>
      <c r="G13" s="1"/>
      <c r="H13" s="1"/>
      <c r="I13" s="1"/>
      <c r="J13" s="1"/>
      <c r="K13" s="1"/>
      <c r="L13" s="6"/>
    </row>
    <row r="14" spans="1:12">
      <c r="B14" s="5"/>
      <c r="C14" s="1"/>
      <c r="D14" s="1"/>
      <c r="E14" s="1"/>
      <c r="F14" s="1"/>
      <c r="G14" s="1"/>
      <c r="H14" s="1"/>
      <c r="I14" s="1"/>
      <c r="J14" s="1"/>
      <c r="K14" s="1"/>
      <c r="L14" s="6"/>
    </row>
    <row r="15" spans="1:12">
      <c r="B15" s="5"/>
      <c r="C15" s="1"/>
      <c r="D15" s="1"/>
      <c r="E15" s="1"/>
      <c r="F15" s="191" t="s">
        <v>61</v>
      </c>
      <c r="G15" s="1"/>
      <c r="H15" s="1"/>
      <c r="I15" s="1"/>
      <c r="J15" s="1"/>
      <c r="K15" s="1"/>
      <c r="L15" s="6"/>
    </row>
    <row r="16" spans="1:12">
      <c r="B16" s="5"/>
      <c r="C16" s="1"/>
      <c r="D16" s="1"/>
      <c r="E16" s="1"/>
      <c r="F16" s="1"/>
      <c r="G16" s="1"/>
      <c r="H16" s="1"/>
      <c r="I16" s="1"/>
      <c r="J16" s="1"/>
      <c r="K16" s="1"/>
      <c r="L16" s="6"/>
    </row>
    <row r="17" spans="2:12">
      <c r="B17" s="5"/>
      <c r="C17" s="1"/>
      <c r="D17" s="1"/>
      <c r="E17" s="1"/>
      <c r="F17" s="192" t="s">
        <v>177</v>
      </c>
      <c r="G17" s="1"/>
      <c r="H17" s="1"/>
      <c r="I17" s="1"/>
      <c r="J17" s="1"/>
      <c r="K17" s="1"/>
      <c r="L17" s="6"/>
    </row>
    <row r="18" spans="2:12">
      <c r="B18" s="5"/>
      <c r="C18" s="1"/>
      <c r="D18" s="1"/>
      <c r="E18" s="1"/>
      <c r="F18" s="1"/>
      <c r="G18" s="1"/>
      <c r="H18" s="1"/>
      <c r="I18" s="1"/>
      <c r="J18" s="1"/>
      <c r="K18" s="1"/>
      <c r="L18" s="6"/>
    </row>
    <row r="19" spans="2:12" ht="36">
      <c r="B19" s="5"/>
      <c r="C19" s="1"/>
      <c r="D19" s="1"/>
      <c r="E19" s="1"/>
      <c r="F19" s="186" t="s">
        <v>164</v>
      </c>
      <c r="G19" s="1"/>
      <c r="H19" s="1"/>
      <c r="I19" s="1"/>
      <c r="J19" s="1"/>
      <c r="K19" s="1"/>
      <c r="L19" s="6"/>
    </row>
    <row r="20" spans="2:12">
      <c r="B20" s="5" t="s">
        <v>195</v>
      </c>
      <c r="C20" s="1" t="s">
        <v>167</v>
      </c>
      <c r="D20" s="1" t="s">
        <v>0</v>
      </c>
      <c r="E20" s="1"/>
      <c r="F20" s="11" t="s">
        <v>279</v>
      </c>
      <c r="G20" s="1"/>
      <c r="H20" s="1"/>
      <c r="I20" s="1"/>
      <c r="J20" s="1"/>
      <c r="K20" s="1"/>
      <c r="L20" s="6"/>
    </row>
    <row r="21" spans="2:12">
      <c r="B21" s="5"/>
      <c r="C21" s="1"/>
      <c r="D21" s="1"/>
      <c r="E21" s="1"/>
      <c r="F21" s="1"/>
      <c r="G21" s="1"/>
      <c r="H21" s="1"/>
      <c r="I21" s="1"/>
      <c r="J21" s="1"/>
      <c r="K21" s="1"/>
      <c r="L21" s="6"/>
    </row>
    <row r="22" spans="2:12">
      <c r="B22" s="5"/>
      <c r="C22" s="1"/>
      <c r="D22" s="1"/>
      <c r="E22" s="1"/>
      <c r="F22" s="188" t="s">
        <v>75</v>
      </c>
      <c r="G22" s="1"/>
      <c r="H22" s="1"/>
      <c r="I22" s="1"/>
      <c r="J22" s="1"/>
      <c r="K22" s="1"/>
      <c r="L22" s="6"/>
    </row>
    <row r="23" spans="2:12">
      <c r="B23" s="5"/>
      <c r="C23" s="1"/>
      <c r="D23" s="1"/>
      <c r="E23" s="1"/>
      <c r="F23" s="1"/>
      <c r="G23" s="1"/>
      <c r="H23" s="1"/>
      <c r="I23" s="1"/>
      <c r="J23" s="1"/>
      <c r="K23" s="1"/>
      <c r="L23" s="6"/>
    </row>
    <row r="24" spans="2:12" ht="24">
      <c r="B24" s="5"/>
      <c r="C24" s="1"/>
      <c r="D24" s="1"/>
      <c r="E24" s="1"/>
      <c r="F24" s="186" t="s">
        <v>271</v>
      </c>
      <c r="G24" s="1"/>
      <c r="H24" s="1"/>
      <c r="I24" s="1"/>
      <c r="J24" s="1"/>
      <c r="K24" s="1"/>
      <c r="L24" s="6"/>
    </row>
    <row r="25" spans="2:12">
      <c r="B25" s="5" t="s">
        <v>195</v>
      </c>
      <c r="C25" s="1" t="s">
        <v>168</v>
      </c>
      <c r="D25" s="1" t="s">
        <v>0</v>
      </c>
      <c r="E25" s="1"/>
      <c r="F25" s="11" t="s">
        <v>280</v>
      </c>
      <c r="G25" s="1"/>
      <c r="H25" s="1"/>
      <c r="I25" s="1"/>
      <c r="J25" s="1"/>
      <c r="K25" s="1"/>
      <c r="L25" s="6"/>
    </row>
    <row r="26" spans="2:12">
      <c r="B26" s="5"/>
      <c r="C26" s="1"/>
      <c r="D26" s="1"/>
      <c r="E26" s="1"/>
      <c r="F26" s="1"/>
      <c r="G26" s="1"/>
      <c r="H26" s="1"/>
      <c r="I26" s="1"/>
      <c r="J26" s="1"/>
      <c r="K26" s="1"/>
      <c r="L26" s="6"/>
    </row>
    <row r="27" spans="2:12" ht="24">
      <c r="B27" s="5"/>
      <c r="C27" s="1"/>
      <c r="D27" s="1"/>
      <c r="E27" s="1"/>
      <c r="F27" s="186" t="s">
        <v>165</v>
      </c>
      <c r="G27" s="1"/>
      <c r="H27" s="1"/>
      <c r="I27" s="1"/>
      <c r="J27" s="1"/>
      <c r="K27" s="1"/>
      <c r="L27" s="6"/>
    </row>
    <row r="28" spans="2:12">
      <c r="B28" s="5" t="s">
        <v>195</v>
      </c>
      <c r="C28" s="1" t="s">
        <v>169</v>
      </c>
      <c r="D28" s="1" t="s">
        <v>0</v>
      </c>
      <c r="E28" s="1"/>
      <c r="F28" s="11" t="s">
        <v>281</v>
      </c>
      <c r="G28" s="1"/>
      <c r="H28" s="1"/>
      <c r="I28" s="1"/>
      <c r="J28" s="1"/>
      <c r="K28" s="1"/>
      <c r="L28" s="6"/>
    </row>
    <row r="29" spans="2:12">
      <c r="B29" s="5"/>
      <c r="C29" s="1"/>
      <c r="D29" s="1"/>
      <c r="E29" s="1"/>
      <c r="F29" s="1"/>
      <c r="G29" s="1"/>
      <c r="H29" s="1"/>
      <c r="I29" s="1"/>
      <c r="J29" s="1"/>
      <c r="K29" s="1"/>
      <c r="L29" s="6"/>
    </row>
    <row r="30" spans="2:12">
      <c r="B30" s="5"/>
      <c r="C30" s="1"/>
      <c r="D30" s="1"/>
      <c r="E30" s="1"/>
      <c r="F30" s="186" t="s">
        <v>171</v>
      </c>
      <c r="G30" s="1"/>
      <c r="H30" s="1"/>
      <c r="I30" s="1"/>
      <c r="J30" s="1"/>
      <c r="K30" s="1"/>
      <c r="L30" s="6"/>
    </row>
    <row r="31" spans="2:12">
      <c r="B31" s="5" t="s">
        <v>195</v>
      </c>
      <c r="C31" s="1" t="s">
        <v>170</v>
      </c>
      <c r="D31" s="1" t="s">
        <v>0</v>
      </c>
      <c r="E31" s="1"/>
      <c r="F31" s="11" t="s">
        <v>282</v>
      </c>
      <c r="G31" s="1"/>
      <c r="H31" s="1"/>
      <c r="I31" s="1"/>
      <c r="J31" s="1"/>
      <c r="K31" s="1"/>
      <c r="L31" s="6"/>
    </row>
    <row r="32" spans="2:12">
      <c r="B32" s="5"/>
      <c r="C32" s="1"/>
      <c r="D32" s="1"/>
      <c r="E32" s="1"/>
      <c r="F32" s="1"/>
      <c r="G32" s="1"/>
      <c r="H32" s="1"/>
      <c r="I32" s="1"/>
      <c r="J32" s="1"/>
      <c r="K32" s="1"/>
      <c r="L32" s="6"/>
    </row>
    <row r="33" spans="2:12">
      <c r="B33" s="5"/>
      <c r="C33" s="1"/>
      <c r="D33" s="1"/>
      <c r="E33" s="1"/>
      <c r="F33" s="193" t="s">
        <v>84</v>
      </c>
      <c r="G33" s="1"/>
      <c r="H33" s="1"/>
      <c r="I33" s="1"/>
      <c r="J33" s="1"/>
      <c r="K33" s="1"/>
      <c r="L33" s="6"/>
    </row>
    <row r="34" spans="2:12">
      <c r="B34" s="5"/>
      <c r="C34" s="1"/>
      <c r="D34" s="1"/>
      <c r="E34" s="1"/>
      <c r="F34" s="1"/>
      <c r="G34" s="1"/>
      <c r="H34" s="1"/>
      <c r="I34" s="1"/>
      <c r="J34" s="1"/>
      <c r="K34" s="1"/>
      <c r="L34" s="6"/>
    </row>
    <row r="35" spans="2:12">
      <c r="B35" s="5"/>
      <c r="C35" s="1"/>
      <c r="D35" s="1"/>
      <c r="E35" s="1"/>
      <c r="F35" s="1" t="s">
        <v>172</v>
      </c>
      <c r="G35" s="1"/>
      <c r="H35" s="1"/>
      <c r="I35" s="1"/>
      <c r="J35" s="1"/>
      <c r="K35" s="1"/>
      <c r="L35" s="6"/>
    </row>
    <row r="36" spans="2:12">
      <c r="B36" s="5" t="s">
        <v>195</v>
      </c>
      <c r="C36" s="187" t="s">
        <v>173</v>
      </c>
      <c r="D36" s="1" t="s">
        <v>0</v>
      </c>
      <c r="E36" s="1"/>
      <c r="F36" s="11" t="s">
        <v>283</v>
      </c>
      <c r="G36" s="1"/>
      <c r="H36" s="1"/>
      <c r="I36" s="1"/>
      <c r="J36" s="1"/>
      <c r="K36" s="1"/>
      <c r="L36" s="6"/>
    </row>
    <row r="37" spans="2:12">
      <c r="B37" s="5"/>
      <c r="C37" s="1"/>
      <c r="D37" s="1"/>
      <c r="E37" s="1"/>
      <c r="F37" s="1"/>
      <c r="G37" s="1"/>
      <c r="H37" s="1"/>
      <c r="I37" s="1"/>
      <c r="J37" s="1"/>
      <c r="K37" s="1"/>
      <c r="L37" s="6"/>
    </row>
    <row r="38" spans="2:12">
      <c r="B38" s="5"/>
      <c r="C38" s="1"/>
      <c r="D38" s="1"/>
      <c r="E38" s="1"/>
      <c r="F38" s="194" t="s">
        <v>105</v>
      </c>
      <c r="G38" s="1"/>
      <c r="H38" s="1"/>
      <c r="I38" s="1"/>
      <c r="J38" s="1"/>
      <c r="K38" s="1"/>
      <c r="L38" s="6"/>
    </row>
    <row r="39" spans="2:12">
      <c r="B39" s="5"/>
      <c r="C39" s="1"/>
      <c r="D39" s="1"/>
      <c r="E39" s="1"/>
      <c r="F39" s="1"/>
      <c r="G39" s="1"/>
      <c r="H39" s="1"/>
      <c r="I39" s="1"/>
      <c r="J39" s="1"/>
      <c r="K39" s="1"/>
      <c r="L39" s="6"/>
    </row>
    <row r="40" spans="2:12" ht="24">
      <c r="B40" s="5"/>
      <c r="C40" s="1"/>
      <c r="D40" s="1"/>
      <c r="E40" s="1"/>
      <c r="F40" s="186" t="s">
        <v>272</v>
      </c>
      <c r="G40" s="1"/>
      <c r="H40" s="1"/>
      <c r="I40" s="1"/>
      <c r="J40" s="1"/>
      <c r="K40" s="1"/>
      <c r="L40" s="6"/>
    </row>
    <row r="41" spans="2:12">
      <c r="B41" s="5" t="s">
        <v>195</v>
      </c>
      <c r="C41" s="1" t="s">
        <v>174</v>
      </c>
      <c r="D41" s="1" t="s">
        <v>0</v>
      </c>
      <c r="E41" s="1"/>
      <c r="F41" s="11" t="s">
        <v>284</v>
      </c>
      <c r="G41" s="1"/>
      <c r="H41" s="1"/>
      <c r="I41" s="1"/>
      <c r="J41" s="1"/>
      <c r="K41" s="1"/>
      <c r="L41" s="6"/>
    </row>
    <row r="42" spans="2:12">
      <c r="B42" s="5"/>
      <c r="C42" s="1"/>
      <c r="D42" s="1"/>
      <c r="E42" s="1"/>
      <c r="F42" s="1"/>
      <c r="G42" s="1"/>
      <c r="H42" s="1"/>
      <c r="I42" s="1"/>
      <c r="J42" s="1"/>
      <c r="K42" s="1"/>
      <c r="L42" s="6"/>
    </row>
    <row r="43" spans="2:12" ht="24">
      <c r="B43" s="5"/>
      <c r="C43" s="1"/>
      <c r="D43" s="1"/>
      <c r="E43" s="1"/>
      <c r="F43" s="186" t="s">
        <v>175</v>
      </c>
      <c r="G43" s="1"/>
      <c r="H43" s="1"/>
      <c r="I43" s="1"/>
      <c r="J43" s="1"/>
      <c r="K43" s="1"/>
      <c r="L43" s="6"/>
    </row>
    <row r="44" spans="2:12">
      <c r="B44" s="5" t="s">
        <v>195</v>
      </c>
      <c r="C44" s="1" t="s">
        <v>176</v>
      </c>
      <c r="D44" s="1" t="s">
        <v>0</v>
      </c>
      <c r="E44" s="1"/>
      <c r="F44" s="11" t="s">
        <v>285</v>
      </c>
      <c r="G44" s="1"/>
      <c r="H44" s="1"/>
      <c r="I44" s="1"/>
      <c r="J44" s="1"/>
      <c r="K44" s="1"/>
      <c r="L44" s="6"/>
    </row>
    <row r="45" spans="2:12">
      <c r="B45" s="5"/>
      <c r="C45" s="1"/>
      <c r="D45" s="1"/>
      <c r="E45" s="1"/>
      <c r="F45" s="1"/>
      <c r="G45" s="1"/>
      <c r="H45" s="1"/>
      <c r="I45" s="1"/>
      <c r="J45" s="1"/>
      <c r="K45" s="1"/>
      <c r="L45" s="6"/>
    </row>
    <row r="46" spans="2:12" ht="30">
      <c r="B46" s="5"/>
      <c r="C46" s="1"/>
      <c r="D46" s="1"/>
      <c r="E46" s="1"/>
      <c r="F46" s="198" t="s">
        <v>127</v>
      </c>
      <c r="G46" s="1"/>
      <c r="H46" s="1"/>
      <c r="I46" s="1"/>
      <c r="J46" s="1"/>
      <c r="K46" s="1"/>
      <c r="L46" s="6"/>
    </row>
    <row r="47" spans="2:12">
      <c r="B47" s="5"/>
      <c r="C47" s="1"/>
      <c r="D47" s="1"/>
      <c r="E47" s="1"/>
      <c r="F47" s="1"/>
      <c r="G47" s="1"/>
      <c r="H47" s="1"/>
      <c r="I47" s="1"/>
      <c r="J47" s="1"/>
      <c r="K47" s="1"/>
      <c r="L47" s="6"/>
    </row>
    <row r="48" spans="2:12" ht="24">
      <c r="B48" s="5"/>
      <c r="C48" s="1"/>
      <c r="D48" s="1"/>
      <c r="E48" s="1"/>
      <c r="F48" s="186" t="s">
        <v>273</v>
      </c>
      <c r="G48" s="1"/>
      <c r="H48" s="1"/>
      <c r="I48" s="1"/>
      <c r="J48" s="1"/>
      <c r="K48" s="1"/>
      <c r="L48" s="6"/>
    </row>
    <row r="49" spans="2:12">
      <c r="B49" s="5" t="s">
        <v>195</v>
      </c>
      <c r="C49" s="1" t="s">
        <v>196</v>
      </c>
      <c r="D49" s="1" t="s">
        <v>0</v>
      </c>
      <c r="E49" s="1"/>
      <c r="F49" s="11" t="s">
        <v>286</v>
      </c>
      <c r="G49" s="1"/>
      <c r="H49" s="1"/>
      <c r="I49" s="1"/>
      <c r="J49" s="1"/>
      <c r="K49" s="1"/>
      <c r="L49" s="6"/>
    </row>
    <row r="50" spans="2:12">
      <c r="B50" s="5"/>
      <c r="C50" s="1"/>
      <c r="D50" s="1"/>
      <c r="E50" s="1"/>
      <c r="F50" s="1"/>
      <c r="G50" s="1"/>
      <c r="H50" s="1"/>
      <c r="I50" s="1"/>
      <c r="J50" s="1"/>
      <c r="K50" s="1"/>
      <c r="L50" s="6"/>
    </row>
    <row r="51" spans="2:12" ht="24">
      <c r="B51" s="5"/>
      <c r="C51" s="1"/>
      <c r="D51" s="1"/>
      <c r="E51" s="1"/>
      <c r="F51" s="186" t="s">
        <v>287</v>
      </c>
      <c r="G51" s="1"/>
      <c r="H51" s="1"/>
      <c r="I51" s="1"/>
      <c r="J51" s="1"/>
      <c r="K51" s="1"/>
      <c r="L51" s="6"/>
    </row>
    <row r="52" spans="2:12">
      <c r="B52" s="5" t="s">
        <v>195</v>
      </c>
      <c r="C52" s="1" t="s">
        <v>197</v>
      </c>
      <c r="D52" s="1" t="s">
        <v>0</v>
      </c>
      <c r="E52" s="1"/>
      <c r="F52" s="11" t="s">
        <v>288</v>
      </c>
      <c r="G52" s="1"/>
      <c r="H52" s="1"/>
      <c r="I52" s="1"/>
      <c r="J52" s="1"/>
      <c r="K52" s="1"/>
      <c r="L52" s="6"/>
    </row>
    <row r="53" spans="2:12">
      <c r="B53" s="5"/>
      <c r="C53" s="1"/>
      <c r="D53" s="1"/>
      <c r="E53" s="1"/>
      <c r="F53" s="1"/>
      <c r="G53" s="1"/>
      <c r="H53" s="1"/>
      <c r="I53" s="1"/>
      <c r="J53" s="1"/>
      <c r="K53" s="1"/>
      <c r="L53" s="6"/>
    </row>
    <row r="54" spans="2:12" ht="24">
      <c r="B54" s="5"/>
      <c r="C54" s="1"/>
      <c r="D54" s="1"/>
      <c r="E54" s="1"/>
      <c r="F54" s="186" t="s">
        <v>289</v>
      </c>
      <c r="G54" s="1"/>
      <c r="H54" s="1"/>
      <c r="I54" s="1"/>
      <c r="J54" s="1"/>
      <c r="K54" s="1"/>
      <c r="L54" s="6"/>
    </row>
    <row r="55" spans="2:12">
      <c r="B55" s="5" t="s">
        <v>195</v>
      </c>
      <c r="C55" s="1" t="s">
        <v>198</v>
      </c>
      <c r="D55" s="1" t="s">
        <v>0</v>
      </c>
      <c r="E55" s="1"/>
      <c r="F55" s="11" t="s">
        <v>282</v>
      </c>
      <c r="G55" s="1"/>
      <c r="H55" s="1"/>
      <c r="I55" s="1"/>
      <c r="J55" s="1"/>
      <c r="K55" s="1"/>
      <c r="L55" s="6"/>
    </row>
    <row r="56" spans="2:12">
      <c r="B56" s="5"/>
      <c r="C56" s="1"/>
      <c r="D56" s="1"/>
      <c r="E56" s="1"/>
      <c r="F56" s="1"/>
      <c r="G56" s="1"/>
      <c r="H56" s="1"/>
      <c r="I56" s="1"/>
      <c r="J56" s="1"/>
      <c r="K56" s="1"/>
      <c r="L56" s="6"/>
    </row>
    <row r="57" spans="2:12" ht="24">
      <c r="B57" s="5"/>
      <c r="C57" s="1"/>
      <c r="D57" s="1"/>
      <c r="E57" s="1"/>
      <c r="F57" s="186" t="s">
        <v>178</v>
      </c>
      <c r="G57" s="1"/>
      <c r="H57" s="1"/>
      <c r="I57" s="1"/>
      <c r="J57" s="1"/>
      <c r="K57" s="1"/>
      <c r="L57" s="6"/>
    </row>
    <row r="58" spans="2:12">
      <c r="B58" s="5" t="s">
        <v>195</v>
      </c>
      <c r="C58" s="1" t="s">
        <v>199</v>
      </c>
      <c r="D58" s="1" t="s">
        <v>0</v>
      </c>
      <c r="E58" s="1"/>
      <c r="F58" s="11" t="s">
        <v>284</v>
      </c>
      <c r="G58" s="1"/>
      <c r="H58" s="1"/>
      <c r="I58" s="1"/>
      <c r="J58" s="1"/>
      <c r="K58" s="1"/>
      <c r="L58" s="6"/>
    </row>
    <row r="59" spans="2:12">
      <c r="B59" s="5"/>
      <c r="C59" s="1"/>
      <c r="D59" s="1"/>
      <c r="E59" s="1"/>
      <c r="F59" s="1"/>
      <c r="G59" s="1"/>
      <c r="H59" s="1"/>
      <c r="I59" s="1"/>
      <c r="J59" s="1"/>
      <c r="K59" s="1"/>
      <c r="L59" s="6"/>
    </row>
    <row r="60" spans="2:12" ht="24">
      <c r="B60" s="5"/>
      <c r="C60" s="1"/>
      <c r="D60" s="1"/>
      <c r="E60" s="1"/>
      <c r="F60" s="186" t="s">
        <v>179</v>
      </c>
      <c r="G60" s="1"/>
      <c r="H60" s="1"/>
      <c r="I60" s="1"/>
      <c r="J60" s="1"/>
      <c r="K60" s="1"/>
      <c r="L60" s="6"/>
    </row>
    <row r="61" spans="2:12">
      <c r="B61" s="5" t="s">
        <v>195</v>
      </c>
      <c r="C61" s="1" t="s">
        <v>200</v>
      </c>
      <c r="D61" s="1" t="s">
        <v>0</v>
      </c>
      <c r="E61" s="1"/>
      <c r="F61" s="11" t="s">
        <v>290</v>
      </c>
      <c r="G61" s="1"/>
      <c r="H61" s="1"/>
      <c r="I61" s="1"/>
      <c r="J61" s="1"/>
      <c r="K61" s="1"/>
      <c r="L61" s="6"/>
    </row>
    <row r="62" spans="2:12">
      <c r="B62" s="5"/>
      <c r="C62" s="1"/>
      <c r="D62" s="1"/>
      <c r="E62" s="1"/>
      <c r="F62" s="1"/>
      <c r="G62" s="1"/>
      <c r="H62" s="1"/>
      <c r="I62" s="1"/>
      <c r="J62" s="1"/>
      <c r="K62" s="1"/>
      <c r="L62" s="6"/>
    </row>
    <row r="63" spans="2:12" ht="24">
      <c r="B63" s="5"/>
      <c r="C63" s="1"/>
      <c r="D63" s="1"/>
      <c r="E63" s="1"/>
      <c r="F63" s="186" t="s">
        <v>180</v>
      </c>
      <c r="G63" s="1"/>
      <c r="H63" s="1"/>
      <c r="I63" s="1"/>
      <c r="J63" s="1"/>
      <c r="K63" s="1"/>
      <c r="L63" s="6"/>
    </row>
    <row r="64" spans="2:12">
      <c r="B64" s="5" t="s">
        <v>195</v>
      </c>
      <c r="C64" s="1" t="s">
        <v>201</v>
      </c>
      <c r="D64" s="1" t="s">
        <v>0</v>
      </c>
      <c r="E64" s="1"/>
      <c r="F64" s="11" t="s">
        <v>290</v>
      </c>
      <c r="G64" s="1"/>
      <c r="H64" s="1"/>
      <c r="I64" s="1"/>
      <c r="J64" s="1"/>
      <c r="K64" s="1"/>
      <c r="L64" s="6"/>
    </row>
    <row r="65" spans="2:12">
      <c r="B65" s="5"/>
      <c r="C65" s="1"/>
      <c r="D65" s="1"/>
      <c r="E65" s="1"/>
      <c r="F65" s="1"/>
      <c r="G65" s="1"/>
      <c r="H65" s="1"/>
      <c r="I65" s="1"/>
      <c r="J65" s="1"/>
      <c r="K65" s="1"/>
      <c r="L65" s="6"/>
    </row>
    <row r="66" spans="2:12" ht="24">
      <c r="B66" s="5"/>
      <c r="C66" s="1"/>
      <c r="D66" s="1"/>
      <c r="E66" s="1"/>
      <c r="F66" s="186" t="s">
        <v>181</v>
      </c>
      <c r="G66" s="1"/>
      <c r="H66" s="1"/>
      <c r="I66" s="1"/>
      <c r="J66" s="1"/>
      <c r="K66" s="1"/>
      <c r="L66" s="6"/>
    </row>
    <row r="67" spans="2:12">
      <c r="B67" s="5" t="s">
        <v>195</v>
      </c>
      <c r="C67" s="1" t="s">
        <v>202</v>
      </c>
      <c r="D67" s="1" t="s">
        <v>0</v>
      </c>
      <c r="E67" s="1"/>
      <c r="F67" s="11" t="s">
        <v>291</v>
      </c>
      <c r="G67" s="1"/>
      <c r="H67" s="1"/>
      <c r="I67" s="1"/>
      <c r="J67" s="1"/>
      <c r="K67" s="1"/>
      <c r="L67" s="6"/>
    </row>
    <row r="68" spans="2:12">
      <c r="B68" s="5"/>
      <c r="C68" s="1"/>
      <c r="D68" s="1"/>
      <c r="E68" s="1"/>
      <c r="F68" s="1"/>
      <c r="G68" s="1"/>
      <c r="H68" s="1"/>
      <c r="I68" s="1"/>
      <c r="J68" s="1"/>
      <c r="K68" s="1"/>
      <c r="L68" s="6"/>
    </row>
    <row r="69" spans="2:12">
      <c r="B69" s="5"/>
      <c r="C69" s="1"/>
      <c r="D69" s="1"/>
      <c r="E69" s="1"/>
      <c r="F69" s="186" t="s">
        <v>292</v>
      </c>
      <c r="G69" s="1"/>
      <c r="H69" s="1"/>
      <c r="I69" s="1"/>
      <c r="J69" s="1"/>
      <c r="K69" s="1"/>
      <c r="L69" s="6"/>
    </row>
    <row r="70" spans="2:12">
      <c r="B70" s="5" t="s">
        <v>195</v>
      </c>
      <c r="C70" s="1" t="s">
        <v>203</v>
      </c>
      <c r="D70" s="1" t="s">
        <v>0</v>
      </c>
      <c r="E70" s="1"/>
      <c r="F70" s="11" t="s">
        <v>293</v>
      </c>
      <c r="G70" s="1"/>
      <c r="H70" s="1"/>
      <c r="I70" s="1"/>
      <c r="J70" s="1"/>
      <c r="K70" s="1"/>
      <c r="L70" s="6"/>
    </row>
    <row r="71" spans="2:12">
      <c r="B71" s="5"/>
      <c r="C71" s="1"/>
      <c r="D71" s="1"/>
      <c r="E71" s="1"/>
      <c r="F71" s="1"/>
      <c r="G71" s="1"/>
      <c r="H71" s="1"/>
      <c r="I71" s="1"/>
      <c r="J71" s="1"/>
      <c r="K71" s="1"/>
      <c r="L71" s="6"/>
    </row>
    <row r="72" spans="2:12" ht="24">
      <c r="B72" s="5"/>
      <c r="C72" s="1"/>
      <c r="D72" s="1"/>
      <c r="E72" s="1"/>
      <c r="F72" s="186" t="s">
        <v>294</v>
      </c>
      <c r="G72" s="1"/>
      <c r="H72" s="1"/>
      <c r="I72" s="1"/>
      <c r="J72" s="1"/>
      <c r="K72" s="1"/>
      <c r="L72" s="6"/>
    </row>
    <row r="73" spans="2:12">
      <c r="B73" s="5" t="s">
        <v>195</v>
      </c>
      <c r="C73" s="1" t="s">
        <v>204</v>
      </c>
      <c r="D73" s="1" t="s">
        <v>0</v>
      </c>
      <c r="E73" s="1"/>
      <c r="F73" s="11" t="s">
        <v>293</v>
      </c>
      <c r="G73" s="1"/>
      <c r="H73" s="1"/>
      <c r="I73" s="1"/>
      <c r="J73" s="1"/>
      <c r="K73" s="1"/>
      <c r="L73" s="6"/>
    </row>
    <row r="74" spans="2:12">
      <c r="B74" s="5"/>
      <c r="C74" s="1"/>
      <c r="D74" s="1"/>
      <c r="E74" s="1"/>
      <c r="F74" s="1"/>
      <c r="G74" s="1"/>
      <c r="H74" s="1"/>
      <c r="I74" s="1"/>
      <c r="J74" s="1"/>
      <c r="K74" s="1"/>
      <c r="L74" s="6"/>
    </row>
    <row r="75" spans="2:12">
      <c r="B75" s="5"/>
      <c r="C75" s="1"/>
      <c r="D75" s="1"/>
      <c r="E75" s="1"/>
      <c r="F75" s="186" t="s">
        <v>182</v>
      </c>
      <c r="G75" s="1"/>
      <c r="H75" s="1"/>
      <c r="I75" s="1"/>
      <c r="J75" s="1"/>
      <c r="K75" s="1"/>
      <c r="L75" s="6"/>
    </row>
    <row r="76" spans="2:12">
      <c r="B76" s="5" t="s">
        <v>195</v>
      </c>
      <c r="C76" s="1" t="s">
        <v>205</v>
      </c>
      <c r="D76" s="1" t="s">
        <v>0</v>
      </c>
      <c r="E76" s="1"/>
      <c r="F76" s="11" t="s">
        <v>277</v>
      </c>
      <c r="G76" s="1"/>
      <c r="H76" s="1"/>
      <c r="I76" s="1"/>
      <c r="J76" s="1"/>
      <c r="K76" s="1"/>
      <c r="L76" s="6"/>
    </row>
    <row r="77" spans="2:12">
      <c r="B77" s="5"/>
      <c r="C77" s="1"/>
      <c r="D77" s="1"/>
      <c r="E77" s="1"/>
      <c r="F77" s="1"/>
      <c r="G77" s="1"/>
      <c r="H77" s="1"/>
      <c r="I77" s="1"/>
      <c r="J77" s="1"/>
      <c r="K77" s="1"/>
      <c r="L77" s="6"/>
    </row>
    <row r="78" spans="2:12">
      <c r="B78" s="5"/>
      <c r="C78" s="1"/>
      <c r="D78" s="1"/>
      <c r="E78" s="1"/>
      <c r="F78" s="186" t="s">
        <v>183</v>
      </c>
      <c r="G78" s="1"/>
      <c r="H78" s="1"/>
      <c r="I78" s="1"/>
      <c r="J78" s="1"/>
      <c r="K78" s="1"/>
      <c r="L78" s="6"/>
    </row>
    <row r="79" spans="2:12">
      <c r="B79" s="5" t="s">
        <v>195</v>
      </c>
      <c r="C79" s="1" t="s">
        <v>206</v>
      </c>
      <c r="D79" s="1" t="s">
        <v>0</v>
      </c>
      <c r="E79" s="1"/>
      <c r="F79" s="11" t="s">
        <v>295</v>
      </c>
      <c r="G79" s="1"/>
      <c r="H79" s="1"/>
      <c r="I79" s="1"/>
      <c r="J79" s="1"/>
      <c r="K79" s="1"/>
      <c r="L79" s="6"/>
    </row>
    <row r="80" spans="2:12">
      <c r="B80" s="5"/>
      <c r="C80" s="1"/>
      <c r="D80" s="1"/>
      <c r="E80" s="1"/>
      <c r="F80" s="1"/>
      <c r="G80" s="1"/>
      <c r="H80" s="1"/>
      <c r="I80" s="1"/>
      <c r="J80" s="1"/>
      <c r="K80" s="1"/>
      <c r="L80" s="6"/>
    </row>
    <row r="81" spans="2:12">
      <c r="B81" s="5"/>
      <c r="C81" s="1"/>
      <c r="D81" s="1"/>
      <c r="E81" s="1"/>
      <c r="F81" s="189" t="s">
        <v>150</v>
      </c>
      <c r="G81" s="1"/>
      <c r="H81" s="1"/>
      <c r="I81" s="1"/>
      <c r="J81" s="1"/>
      <c r="K81" s="1"/>
      <c r="L81" s="6"/>
    </row>
    <row r="82" spans="2:12" ht="24">
      <c r="B82" s="5"/>
      <c r="C82" s="1"/>
      <c r="D82" s="1"/>
      <c r="E82" s="1"/>
      <c r="F82" s="1"/>
      <c r="G82" s="1"/>
      <c r="H82" s="196" t="s">
        <v>191</v>
      </c>
      <c r="I82" s="196" t="s">
        <v>192</v>
      </c>
      <c r="J82" s="196" t="s">
        <v>193</v>
      </c>
      <c r="K82" s="196" t="s">
        <v>194</v>
      </c>
      <c r="L82" s="6"/>
    </row>
    <row r="83" spans="2:12">
      <c r="B83" s="5" t="s">
        <v>195</v>
      </c>
      <c r="C83" s="1" t="s">
        <v>184</v>
      </c>
      <c r="D83" s="1" t="s">
        <v>0</v>
      </c>
      <c r="E83" s="1"/>
      <c r="F83" s="1" t="s">
        <v>274</v>
      </c>
      <c r="G83" s="1"/>
      <c r="H83" s="197">
        <v>1000</v>
      </c>
      <c r="I83" s="197">
        <v>3000</v>
      </c>
      <c r="J83" s="197"/>
      <c r="K83" s="197"/>
      <c r="L83" s="6"/>
    </row>
    <row r="84" spans="2:12">
      <c r="B84" s="5" t="s">
        <v>195</v>
      </c>
      <c r="C84" s="1" t="s">
        <v>185</v>
      </c>
      <c r="D84" s="1" t="s">
        <v>0</v>
      </c>
      <c r="E84" s="1"/>
      <c r="F84" s="1" t="s">
        <v>275</v>
      </c>
      <c r="G84" s="1"/>
      <c r="H84" s="197">
        <v>2000</v>
      </c>
      <c r="I84" s="197">
        <v>4000</v>
      </c>
      <c r="J84" s="197"/>
      <c r="K84" s="197"/>
      <c r="L84" s="6"/>
    </row>
    <row r="85" spans="2:12">
      <c r="B85" s="5"/>
      <c r="C85" s="1"/>
      <c r="D85" s="1"/>
      <c r="E85" s="1"/>
      <c r="F85" s="1"/>
      <c r="G85" s="1"/>
      <c r="H85" s="1"/>
      <c r="I85" s="1"/>
      <c r="J85" s="1"/>
      <c r="K85" s="1"/>
      <c r="L85" s="6"/>
    </row>
    <row r="86" spans="2:12">
      <c r="B86" s="5"/>
      <c r="C86" s="1"/>
      <c r="D86" s="1"/>
      <c r="E86" s="1"/>
      <c r="F86" s="1" t="s">
        <v>276</v>
      </c>
      <c r="G86" s="1"/>
      <c r="H86" s="1"/>
      <c r="I86" s="1"/>
      <c r="J86" s="1"/>
      <c r="K86" s="1"/>
      <c r="L86" s="6"/>
    </row>
    <row r="87" spans="2:12">
      <c r="B87" s="5" t="s">
        <v>195</v>
      </c>
      <c r="C87" s="1" t="s">
        <v>186</v>
      </c>
      <c r="D87" s="1" t="s">
        <v>0</v>
      </c>
      <c r="E87" s="1"/>
      <c r="F87" s="11" t="s">
        <v>281</v>
      </c>
      <c r="G87" s="1"/>
      <c r="H87" s="1"/>
      <c r="I87" s="1"/>
      <c r="J87" s="1"/>
      <c r="K87" s="1"/>
      <c r="L87" s="6"/>
    </row>
    <row r="88" spans="2:12">
      <c r="B88" s="5"/>
      <c r="C88" s="1"/>
      <c r="D88" s="1"/>
      <c r="E88" s="1"/>
      <c r="F88" s="1"/>
      <c r="G88" s="1"/>
      <c r="H88" s="1"/>
      <c r="I88" s="1"/>
      <c r="J88" s="1"/>
      <c r="K88" s="1"/>
      <c r="L88" s="6"/>
    </row>
    <row r="89" spans="2:12">
      <c r="B89" s="5"/>
      <c r="C89" s="1"/>
      <c r="D89" s="1"/>
      <c r="E89" s="1"/>
      <c r="F89" s="1" t="s">
        <v>296</v>
      </c>
      <c r="G89" s="1"/>
      <c r="H89" s="1"/>
      <c r="I89" s="1"/>
      <c r="J89" s="1"/>
      <c r="K89" s="1"/>
      <c r="L89" s="6"/>
    </row>
    <row r="90" spans="2:12">
      <c r="B90" s="5" t="s">
        <v>195</v>
      </c>
      <c r="C90" s="1" t="s">
        <v>187</v>
      </c>
      <c r="D90" s="1" t="s">
        <v>0</v>
      </c>
      <c r="E90" s="1"/>
      <c r="F90" s="11" t="s">
        <v>291</v>
      </c>
      <c r="G90" s="1"/>
      <c r="H90" s="1"/>
      <c r="I90" s="1"/>
      <c r="J90" s="1"/>
      <c r="K90" s="1"/>
      <c r="L90" s="6"/>
    </row>
    <row r="91" spans="2:12">
      <c r="B91" s="5"/>
      <c r="C91" s="1"/>
      <c r="D91" s="1"/>
      <c r="E91" s="1"/>
      <c r="F91" s="1"/>
      <c r="G91" s="1"/>
      <c r="H91" s="1"/>
      <c r="I91" s="1"/>
      <c r="J91" s="1"/>
      <c r="K91" s="1"/>
      <c r="L91" s="6"/>
    </row>
    <row r="92" spans="2:12">
      <c r="B92" s="5"/>
      <c r="C92" s="1"/>
      <c r="D92" s="1"/>
      <c r="E92" s="1"/>
      <c r="F92" s="1" t="s">
        <v>297</v>
      </c>
      <c r="G92" s="1"/>
      <c r="H92" s="1"/>
      <c r="I92" s="1"/>
      <c r="J92" s="1"/>
      <c r="K92" s="1"/>
      <c r="L92" s="6"/>
    </row>
    <row r="93" spans="2:12">
      <c r="B93" s="5" t="s">
        <v>195</v>
      </c>
      <c r="C93" s="1" t="s">
        <v>188</v>
      </c>
      <c r="D93" s="1" t="s">
        <v>0</v>
      </c>
      <c r="E93" s="1"/>
      <c r="F93" s="11" t="s">
        <v>298</v>
      </c>
      <c r="G93" s="1"/>
      <c r="H93" s="1"/>
      <c r="I93" s="1"/>
      <c r="J93" s="1"/>
      <c r="K93" s="1"/>
      <c r="L93" s="6"/>
    </row>
    <row r="94" spans="2:12">
      <c r="B94" s="5"/>
      <c r="C94" s="1"/>
      <c r="D94" s="1"/>
      <c r="E94" s="1"/>
      <c r="F94" s="1"/>
      <c r="G94" s="1"/>
      <c r="H94" s="1"/>
      <c r="I94" s="1"/>
      <c r="J94" s="1"/>
      <c r="K94" s="1"/>
      <c r="L94" s="6"/>
    </row>
    <row r="95" spans="2:12">
      <c r="B95" s="5"/>
      <c r="C95" s="1"/>
      <c r="D95" s="1"/>
      <c r="E95" s="1"/>
      <c r="F95" s="1" t="s">
        <v>299</v>
      </c>
      <c r="G95" s="1"/>
      <c r="H95" s="1"/>
      <c r="I95" s="1"/>
      <c r="J95" s="1"/>
      <c r="K95" s="1"/>
      <c r="L95" s="6"/>
    </row>
    <row r="96" spans="2:12">
      <c r="B96" s="5" t="s">
        <v>195</v>
      </c>
      <c r="C96" s="1" t="s">
        <v>189</v>
      </c>
      <c r="D96" s="1" t="s">
        <v>0</v>
      </c>
      <c r="E96" s="1"/>
      <c r="F96" s="11" t="s">
        <v>290</v>
      </c>
      <c r="G96" s="1"/>
      <c r="H96" s="1"/>
      <c r="I96" s="1"/>
      <c r="J96" s="1"/>
      <c r="K96" s="1"/>
      <c r="L96" s="6"/>
    </row>
    <row r="97" spans="2:12">
      <c r="B97" s="5"/>
      <c r="C97" s="1"/>
      <c r="D97" s="1"/>
      <c r="E97" s="1"/>
      <c r="F97" s="1"/>
      <c r="G97" s="1"/>
      <c r="H97" s="1"/>
      <c r="I97" s="1"/>
      <c r="J97" s="1"/>
      <c r="K97" s="1"/>
      <c r="L97" s="6"/>
    </row>
    <row r="98" spans="2:12" ht="24">
      <c r="B98" s="5"/>
      <c r="C98" s="1"/>
      <c r="D98" s="1"/>
      <c r="E98" s="1"/>
      <c r="F98" s="186" t="s">
        <v>300</v>
      </c>
      <c r="G98" s="1"/>
      <c r="H98" s="1"/>
      <c r="I98" s="1"/>
      <c r="J98" s="1"/>
      <c r="K98" s="1"/>
      <c r="L98" s="6"/>
    </row>
    <row r="99" spans="2:12">
      <c r="B99" s="5" t="s">
        <v>195</v>
      </c>
      <c r="C99" s="1" t="s">
        <v>190</v>
      </c>
      <c r="D99" s="1" t="s">
        <v>0</v>
      </c>
      <c r="E99" s="1"/>
      <c r="F99" s="11" t="s">
        <v>301</v>
      </c>
      <c r="G99" s="1"/>
      <c r="H99" s="1"/>
      <c r="I99" s="1"/>
      <c r="J99" s="1"/>
      <c r="K99" s="1"/>
      <c r="L99" s="6"/>
    </row>
    <row r="100" spans="2:12">
      <c r="B100" s="7"/>
      <c r="C100" s="8"/>
      <c r="D100" s="8"/>
      <c r="E100" s="8"/>
      <c r="F100" s="9"/>
      <c r="G100" s="8"/>
      <c r="H100" s="8"/>
      <c r="I100" s="8"/>
      <c r="J100" s="8"/>
      <c r="K100" s="8"/>
      <c r="L100" s="10"/>
    </row>
  </sheetData>
  <conditionalFormatting sqref="C36">
    <cfRule type="containsBlanks" dxfId="12" priority="12">
      <formula>LEN(TRIM(C36))=0</formula>
    </cfRule>
  </conditionalFormatting>
  <hyperlinks>
    <hyperlink ref="F8" location="'IFRS15-AnteInveTabl'!A1" display="Activos, pasivos, ingresos y pérdidas por deterioro [tabla]" xr:uid="{00000000-0004-0000-0000-000000000000}"/>
    <hyperlink ref="F13" location="'IFRS15-DesaProdServ'!A1" display="Desagregación por productos y servicios de ingresos de contratos con clientes [tabla]" xr:uid="{00000000-0004-0000-0000-000001000000}"/>
    <hyperlink ref="F15" location="'IFRS15-DesaAreaGeog'!A1" display="Desagregación por áreas geográficas de ingresos de contratos con clientes [tabla]" xr:uid="{00000000-0004-0000-0000-000002000000}"/>
    <hyperlink ref="F17" location="'IFRS15-DesaSegmOper'!A1" display="Desagregación por segmentos de operación de ingresos de contratos con clientes [tabla]" xr:uid="{00000000-0004-0000-0000-000003000000}"/>
    <hyperlink ref="F22" location="'IFRS15-SaldDelCont'!A1" display="Saldos del contrato [tabla]" xr:uid="{00000000-0004-0000-0000-000004000000}"/>
    <hyperlink ref="F33" location="'IFRS15-CambSignSald'!A1" display="Cambios significativos en los saldos del contrato [tabla]" xr:uid="{00000000-0004-0000-0000-000005000000}"/>
    <hyperlink ref="F38" location="'IFRS15-InfoReveDese'!A1" display="Información a revelar sobre obligaciones de desempeño [tabla]" xr:uid="{00000000-0004-0000-0000-000006000000}"/>
    <hyperlink ref="F46" location="'IFRS15-PrecTranAsig'!A1" display="Información a revelar sobre el precio de la transacción asignado a las obligaciones de desempeño pendientes [tabla]" xr:uid="{00000000-0004-0000-0000-000007000000}"/>
    <hyperlink ref="F81" location="'IFRS15-InfoActiCost'!A1" display="Información a revelar de activos reconocidos por costos para obtener o cumplir contratos con clientes [tabla]" xr:uid="{00000000-0004-0000-0000-000008000000}"/>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rgb="FF00B0F0"/>
  </sheetPr>
  <dimension ref="A1:I41"/>
  <sheetViews>
    <sheetView topLeftCell="A9" workbookViewId="0">
      <selection activeCell="G39" sqref="G39:G40"/>
    </sheetView>
  </sheetViews>
  <sheetFormatPr baseColWidth="10" defaultRowHeight="15"/>
  <cols>
    <col min="1" max="1" width="3.85546875" customWidth="1"/>
    <col min="2" max="3" width="2.7109375" customWidth="1"/>
    <col min="4" max="4" width="5" customWidth="1"/>
    <col min="5" max="5" width="2.7109375" customWidth="1"/>
    <col min="6" max="6" width="90.7109375" customWidth="1"/>
    <col min="7" max="7" width="13.28515625" customWidth="1"/>
    <col min="8" max="8" width="11.7109375" customWidth="1"/>
    <col min="9" max="9" width="12" customWidth="1"/>
  </cols>
  <sheetData>
    <row r="1" spans="1:9" ht="54.95" customHeight="1" thickBot="1"/>
    <row r="2" spans="1:9" ht="177" customHeight="1" thickBot="1">
      <c r="F2" s="13" t="s">
        <v>4</v>
      </c>
    </row>
    <row r="3" spans="1:9" ht="16.5" thickBot="1">
      <c r="F3" s="14" t="s">
        <v>5</v>
      </c>
    </row>
    <row r="4" spans="1:9" ht="16.5" thickBot="1">
      <c r="F4" s="123" t="s">
        <v>6</v>
      </c>
      <c r="G4" s="124" t="s">
        <v>7</v>
      </c>
    </row>
    <row r="5" spans="1:9" ht="101.25" customHeight="1">
      <c r="A5" s="158" t="s">
        <v>8</v>
      </c>
      <c r="B5" s="106"/>
      <c r="C5" s="107"/>
      <c r="D5" s="107"/>
      <c r="E5" s="108"/>
      <c r="F5" s="125" t="s">
        <v>99</v>
      </c>
      <c r="G5" s="16" t="s">
        <v>9</v>
      </c>
      <c r="H5" s="126" t="s">
        <v>9</v>
      </c>
      <c r="I5" s="109" t="s">
        <v>17</v>
      </c>
    </row>
    <row r="6" spans="1:9" ht="114" hidden="1" customHeight="1">
      <c r="A6" s="17" t="s">
        <v>10</v>
      </c>
      <c r="B6" s="127"/>
      <c r="C6" s="18"/>
      <c r="D6" s="128" t="s">
        <v>14</v>
      </c>
      <c r="E6" s="128" t="s">
        <v>15</v>
      </c>
      <c r="F6" s="72"/>
      <c r="G6" s="19" t="str">
        <f>SUBSTITUTE(CONCATENATE("IFRS15-AnteInveTabl_",TRIM(G5),"_",COLUMN(G6),"|",G5)," ","")</f>
        <v>IFRS15-AnteInveTabl_Agregarcolumnaopcional_7|Agregarcolumnaopcional</v>
      </c>
      <c r="H6" s="20" t="str">
        <f>SUBSTITUTE(CONCATENATE("IFRS15-AnteInveTabl_",TRIM(H5),"_",COLUMN(H6),"|",H5)," ","")</f>
        <v>IFRS15-AnteInveTabl_Agregarcolumnaopcional_8|Agregarcolumnaopcional</v>
      </c>
      <c r="I6" s="159" t="s">
        <v>16</v>
      </c>
    </row>
    <row r="7" spans="1:9">
      <c r="A7" s="21"/>
      <c r="B7" s="110"/>
      <c r="C7" s="22"/>
      <c r="D7" s="23"/>
      <c r="E7" s="24"/>
      <c r="F7" s="25"/>
      <c r="G7" s="26"/>
      <c r="H7" s="26"/>
      <c r="I7" s="111"/>
    </row>
    <row r="8" spans="1:9" ht="15.75" thickBot="1">
      <c r="A8" s="21"/>
      <c r="B8" s="49"/>
      <c r="C8" s="34"/>
      <c r="D8" s="35"/>
      <c r="E8" s="36"/>
      <c r="F8" s="153" t="s">
        <v>50</v>
      </c>
      <c r="G8" s="38"/>
      <c r="H8" s="38"/>
      <c r="I8" s="152"/>
    </row>
    <row r="9" spans="1:9">
      <c r="A9" s="21"/>
      <c r="B9" s="112"/>
      <c r="C9" s="27"/>
      <c r="D9" s="28"/>
      <c r="E9" s="29"/>
      <c r="F9" s="154" t="s">
        <v>33</v>
      </c>
      <c r="G9" s="30"/>
      <c r="H9" s="30"/>
      <c r="I9" s="113"/>
    </row>
    <row r="10" spans="1:9">
      <c r="A10" s="21"/>
      <c r="B10" s="114"/>
      <c r="C10" s="1"/>
      <c r="D10" s="1"/>
      <c r="E10" s="1"/>
      <c r="F10" s="156" t="s">
        <v>30</v>
      </c>
      <c r="G10" s="30"/>
      <c r="H10" s="30"/>
      <c r="I10" s="115"/>
    </row>
    <row r="11" spans="1:9">
      <c r="A11" s="21"/>
      <c r="B11" s="114"/>
      <c r="C11" s="1" t="s">
        <v>19</v>
      </c>
      <c r="D11" s="1" t="s">
        <v>11</v>
      </c>
      <c r="E11" s="1"/>
      <c r="F11" s="157" t="s">
        <v>207</v>
      </c>
      <c r="G11" s="31">
        <v>1000</v>
      </c>
      <c r="H11" s="31"/>
      <c r="I11" s="116">
        <f>G11+H11</f>
        <v>1000</v>
      </c>
    </row>
    <row r="12" spans="1:9">
      <c r="A12" s="21"/>
      <c r="B12" s="114"/>
      <c r="C12" s="1" t="s">
        <v>20</v>
      </c>
      <c r="D12" s="1" t="s">
        <v>11</v>
      </c>
      <c r="E12" s="1"/>
      <c r="F12" s="157" t="s">
        <v>208</v>
      </c>
      <c r="G12" s="31">
        <v>2000</v>
      </c>
      <c r="H12" s="31"/>
      <c r="I12" s="116">
        <f t="shared" ref="I12:I13" si="0">G12+H12</f>
        <v>2000</v>
      </c>
    </row>
    <row r="13" spans="1:9">
      <c r="A13" s="21"/>
      <c r="B13" s="114"/>
      <c r="C13" s="1" t="s">
        <v>21</v>
      </c>
      <c r="D13" s="1" t="s">
        <v>11</v>
      </c>
      <c r="E13" s="1"/>
      <c r="F13" s="157" t="s">
        <v>209</v>
      </c>
      <c r="G13" s="33">
        <f>G11+G12</f>
        <v>3000</v>
      </c>
      <c r="H13" s="33">
        <f t="shared" ref="H13" si="1">H11+H12</f>
        <v>0</v>
      </c>
      <c r="I13" s="116">
        <f t="shared" si="0"/>
        <v>3000</v>
      </c>
    </row>
    <row r="14" spans="1:9">
      <c r="A14" s="21"/>
      <c r="B14" s="114"/>
      <c r="C14" s="1"/>
      <c r="D14" s="1"/>
      <c r="E14" s="1"/>
      <c r="F14" s="156" t="s">
        <v>31</v>
      </c>
      <c r="G14" s="30"/>
      <c r="H14" s="30"/>
      <c r="I14" s="115"/>
    </row>
    <row r="15" spans="1:9">
      <c r="A15" s="21"/>
      <c r="B15" s="114"/>
      <c r="C15" s="1" t="s">
        <v>22</v>
      </c>
      <c r="D15" s="1" t="s">
        <v>11</v>
      </c>
      <c r="E15" s="1"/>
      <c r="F15" s="157" t="s">
        <v>210</v>
      </c>
      <c r="G15" s="31">
        <v>3000</v>
      </c>
      <c r="H15" s="31"/>
      <c r="I15" s="116">
        <f>G15+H15</f>
        <v>3000</v>
      </c>
    </row>
    <row r="16" spans="1:9">
      <c r="A16" s="21"/>
      <c r="B16" s="114"/>
      <c r="C16" s="1" t="s">
        <v>23</v>
      </c>
      <c r="D16" s="1" t="s">
        <v>11</v>
      </c>
      <c r="E16" s="1"/>
      <c r="F16" s="157" t="s">
        <v>211</v>
      </c>
      <c r="G16" s="31">
        <v>4000</v>
      </c>
      <c r="H16" s="31"/>
      <c r="I16" s="116">
        <f t="shared" ref="I16:I17" si="2">G16+H16</f>
        <v>4000</v>
      </c>
    </row>
    <row r="17" spans="1:9">
      <c r="A17" s="21"/>
      <c r="B17" s="114"/>
      <c r="C17" s="1" t="s">
        <v>24</v>
      </c>
      <c r="D17" s="1" t="s">
        <v>11</v>
      </c>
      <c r="E17" s="1"/>
      <c r="F17" s="157" t="s">
        <v>212</v>
      </c>
      <c r="G17" s="33">
        <f>G15+G16</f>
        <v>7000</v>
      </c>
      <c r="H17" s="33">
        <f t="shared" ref="H17" si="3">H15+H16</f>
        <v>0</v>
      </c>
      <c r="I17" s="116">
        <f t="shared" si="2"/>
        <v>7000</v>
      </c>
    </row>
    <row r="18" spans="1:9">
      <c r="A18" s="21"/>
      <c r="B18" s="114"/>
      <c r="C18" s="1"/>
      <c r="D18" s="1"/>
      <c r="E18" s="1"/>
      <c r="F18" s="156" t="s">
        <v>32</v>
      </c>
      <c r="G18" s="30"/>
      <c r="H18" s="30"/>
      <c r="I18" s="115"/>
    </row>
    <row r="19" spans="1:9">
      <c r="A19" s="21"/>
      <c r="B19" s="114"/>
      <c r="C19" s="1" t="s">
        <v>25</v>
      </c>
      <c r="D19" s="1" t="s">
        <v>11</v>
      </c>
      <c r="E19" s="1"/>
      <c r="F19" s="157" t="s">
        <v>213</v>
      </c>
      <c r="G19" s="31">
        <v>5000</v>
      </c>
      <c r="H19" s="31"/>
      <c r="I19" s="116">
        <f>G19+H19</f>
        <v>5000</v>
      </c>
    </row>
    <row r="20" spans="1:9">
      <c r="A20" s="21"/>
      <c r="B20" s="114"/>
      <c r="C20" s="1" t="s">
        <v>26</v>
      </c>
      <c r="D20" s="1" t="s">
        <v>11</v>
      </c>
      <c r="E20" s="1"/>
      <c r="F20" s="157" t="s">
        <v>214</v>
      </c>
      <c r="G20" s="31">
        <v>6000</v>
      </c>
      <c r="H20" s="31"/>
      <c r="I20" s="116">
        <f t="shared" ref="I20:I23" si="4">G20+H20</f>
        <v>6000</v>
      </c>
    </row>
    <row r="21" spans="1:9">
      <c r="A21" s="21"/>
      <c r="B21" s="114"/>
      <c r="C21" s="1" t="s">
        <v>27</v>
      </c>
      <c r="D21" s="1" t="s">
        <v>11</v>
      </c>
      <c r="E21" s="1"/>
      <c r="F21" s="157" t="s">
        <v>215</v>
      </c>
      <c r="G21" s="33">
        <f>G19+G20</f>
        <v>11000</v>
      </c>
      <c r="H21" s="33">
        <f t="shared" ref="H21" si="5">H19+H20</f>
        <v>0</v>
      </c>
      <c r="I21" s="116">
        <f t="shared" si="4"/>
        <v>11000</v>
      </c>
    </row>
    <row r="22" spans="1:9">
      <c r="A22" s="21"/>
      <c r="B22" s="114"/>
      <c r="C22" s="1" t="s">
        <v>28</v>
      </c>
      <c r="D22" s="1" t="s">
        <v>11</v>
      </c>
      <c r="E22" s="1"/>
      <c r="F22" s="39" t="s">
        <v>216</v>
      </c>
      <c r="G22" s="31">
        <v>1000</v>
      </c>
      <c r="H22" s="31"/>
      <c r="I22" s="116">
        <f t="shared" si="4"/>
        <v>1000</v>
      </c>
    </row>
    <row r="23" spans="1:9" ht="24">
      <c r="A23" s="21"/>
      <c r="B23" s="114"/>
      <c r="C23" s="1" t="s">
        <v>29</v>
      </c>
      <c r="D23" s="1" t="s">
        <v>11</v>
      </c>
      <c r="E23" s="1"/>
      <c r="F23" s="39" t="s">
        <v>217</v>
      </c>
      <c r="G23" s="31">
        <v>2000</v>
      </c>
      <c r="H23" s="31"/>
      <c r="I23" s="116">
        <f t="shared" si="4"/>
        <v>2000</v>
      </c>
    </row>
    <row r="24" spans="1:9">
      <c r="A24" s="21"/>
      <c r="B24" s="49"/>
      <c r="C24" s="34"/>
      <c r="D24" s="35"/>
      <c r="E24" s="36"/>
      <c r="F24" s="37"/>
      <c r="G24" s="26"/>
      <c r="H24" s="26"/>
      <c r="I24" s="111"/>
    </row>
    <row r="25" spans="1:9" ht="15.75" thickBot="1">
      <c r="A25" s="21"/>
      <c r="B25" s="49"/>
      <c r="C25" s="34"/>
      <c r="D25" s="35"/>
      <c r="E25" s="36"/>
      <c r="F25" s="153" t="s">
        <v>51</v>
      </c>
      <c r="G25" s="38"/>
      <c r="H25" s="38"/>
      <c r="I25" s="152"/>
    </row>
    <row r="26" spans="1:9">
      <c r="A26" s="21"/>
      <c r="B26" s="112"/>
      <c r="C26" s="27"/>
      <c r="D26" s="28"/>
      <c r="E26" s="29"/>
      <c r="F26" s="155" t="s">
        <v>33</v>
      </c>
      <c r="G26" s="30"/>
      <c r="H26" s="30"/>
      <c r="I26" s="113"/>
    </row>
    <row r="27" spans="1:9">
      <c r="A27" s="21"/>
      <c r="B27" s="114"/>
      <c r="C27" s="1"/>
      <c r="D27" s="1"/>
      <c r="E27" s="1"/>
      <c r="F27" s="156" t="s">
        <v>30</v>
      </c>
      <c r="G27" s="30"/>
      <c r="H27" s="30"/>
      <c r="I27" s="115"/>
    </row>
    <row r="28" spans="1:9">
      <c r="A28" s="21" t="s">
        <v>12</v>
      </c>
      <c r="B28" s="114"/>
      <c r="C28" s="1" t="s">
        <v>19</v>
      </c>
      <c r="D28" s="1" t="s">
        <v>11</v>
      </c>
      <c r="E28" s="1"/>
      <c r="F28" s="157" t="s">
        <v>207</v>
      </c>
      <c r="G28" s="31">
        <v>1000</v>
      </c>
      <c r="H28" s="31"/>
      <c r="I28" s="116">
        <f>G28+H28</f>
        <v>1000</v>
      </c>
    </row>
    <row r="29" spans="1:9">
      <c r="A29" s="21" t="s">
        <v>12</v>
      </c>
      <c r="B29" s="114"/>
      <c r="C29" s="1" t="s">
        <v>20</v>
      </c>
      <c r="D29" s="1" t="s">
        <v>11</v>
      </c>
      <c r="E29" s="1"/>
      <c r="F29" s="157" t="s">
        <v>208</v>
      </c>
      <c r="G29" s="31">
        <v>1000</v>
      </c>
      <c r="H29" s="31"/>
      <c r="I29" s="116">
        <f t="shared" ref="I29:I30" si="6">G29+H29</f>
        <v>1000</v>
      </c>
    </row>
    <row r="30" spans="1:9">
      <c r="A30" s="21" t="s">
        <v>12</v>
      </c>
      <c r="B30" s="114"/>
      <c r="C30" s="1" t="s">
        <v>21</v>
      </c>
      <c r="D30" s="1" t="s">
        <v>11</v>
      </c>
      <c r="E30" s="1"/>
      <c r="F30" s="157" t="s">
        <v>209</v>
      </c>
      <c r="G30" s="33">
        <f>G28+G29</f>
        <v>2000</v>
      </c>
      <c r="H30" s="33">
        <f t="shared" ref="H30" si="7">H28+H29</f>
        <v>0</v>
      </c>
      <c r="I30" s="116">
        <f t="shared" si="6"/>
        <v>2000</v>
      </c>
    </row>
    <row r="31" spans="1:9">
      <c r="A31" s="21"/>
      <c r="B31" s="114"/>
      <c r="C31" s="1"/>
      <c r="D31" s="1"/>
      <c r="E31" s="1"/>
      <c r="F31" s="156" t="s">
        <v>31</v>
      </c>
      <c r="G31" s="30"/>
      <c r="H31" s="30"/>
      <c r="I31" s="115"/>
    </row>
    <row r="32" spans="1:9">
      <c r="A32" s="21" t="s">
        <v>12</v>
      </c>
      <c r="B32" s="114"/>
      <c r="C32" s="1" t="s">
        <v>22</v>
      </c>
      <c r="D32" s="1" t="s">
        <v>11</v>
      </c>
      <c r="E32" s="1"/>
      <c r="F32" s="157" t="s">
        <v>210</v>
      </c>
      <c r="G32" s="31">
        <v>3000</v>
      </c>
      <c r="H32" s="31"/>
      <c r="I32" s="116">
        <f>G32+H32</f>
        <v>3000</v>
      </c>
    </row>
    <row r="33" spans="1:9">
      <c r="A33" s="21" t="s">
        <v>12</v>
      </c>
      <c r="B33" s="114"/>
      <c r="C33" s="1" t="s">
        <v>23</v>
      </c>
      <c r="D33" s="1" t="s">
        <v>11</v>
      </c>
      <c r="E33" s="1"/>
      <c r="F33" s="157" t="s">
        <v>211</v>
      </c>
      <c r="G33" s="31">
        <v>4000</v>
      </c>
      <c r="H33" s="31"/>
      <c r="I33" s="116">
        <f t="shared" ref="I33:I34" si="8">G33+H33</f>
        <v>4000</v>
      </c>
    </row>
    <row r="34" spans="1:9">
      <c r="A34" s="21" t="s">
        <v>12</v>
      </c>
      <c r="B34" s="114"/>
      <c r="C34" s="1" t="s">
        <v>24</v>
      </c>
      <c r="D34" s="1" t="s">
        <v>11</v>
      </c>
      <c r="E34" s="1"/>
      <c r="F34" s="157" t="s">
        <v>212</v>
      </c>
      <c r="G34" s="33">
        <f>G32+G33</f>
        <v>7000</v>
      </c>
      <c r="H34" s="33">
        <f t="shared" ref="H34" si="9">H32+H33</f>
        <v>0</v>
      </c>
      <c r="I34" s="116">
        <f t="shared" si="8"/>
        <v>7000</v>
      </c>
    </row>
    <row r="35" spans="1:9">
      <c r="A35" s="21"/>
      <c r="B35" s="114"/>
      <c r="C35" s="1"/>
      <c r="D35" s="1"/>
      <c r="E35" s="1"/>
      <c r="F35" s="156" t="s">
        <v>32</v>
      </c>
      <c r="G35" s="30"/>
      <c r="H35" s="30"/>
      <c r="I35" s="115"/>
    </row>
    <row r="36" spans="1:9">
      <c r="A36" s="21" t="s">
        <v>12</v>
      </c>
      <c r="B36" s="114"/>
      <c r="C36" s="1" t="s">
        <v>25</v>
      </c>
      <c r="D36" s="1" t="s">
        <v>11</v>
      </c>
      <c r="E36" s="1"/>
      <c r="F36" s="157" t="s">
        <v>213</v>
      </c>
      <c r="G36" s="31">
        <v>5000</v>
      </c>
      <c r="H36" s="31"/>
      <c r="I36" s="116">
        <f>G36+H36</f>
        <v>5000</v>
      </c>
    </row>
    <row r="37" spans="1:9">
      <c r="A37" s="21" t="s">
        <v>12</v>
      </c>
      <c r="B37" s="114"/>
      <c r="C37" s="1" t="s">
        <v>26</v>
      </c>
      <c r="D37" s="1" t="s">
        <v>11</v>
      </c>
      <c r="E37" s="1"/>
      <c r="F37" s="157" t="s">
        <v>214</v>
      </c>
      <c r="G37" s="31">
        <v>6000</v>
      </c>
      <c r="H37" s="31"/>
      <c r="I37" s="116">
        <f t="shared" ref="I37:I40" si="10">G37+H37</f>
        <v>6000</v>
      </c>
    </row>
    <row r="38" spans="1:9">
      <c r="A38" s="21" t="s">
        <v>12</v>
      </c>
      <c r="B38" s="114"/>
      <c r="C38" s="1" t="s">
        <v>27</v>
      </c>
      <c r="D38" s="1" t="s">
        <v>11</v>
      </c>
      <c r="E38" s="1"/>
      <c r="F38" s="157" t="s">
        <v>215</v>
      </c>
      <c r="G38" s="33">
        <f>G36+G37</f>
        <v>11000</v>
      </c>
      <c r="H38" s="33">
        <f t="shared" ref="H38" si="11">H36+H37</f>
        <v>0</v>
      </c>
      <c r="I38" s="116">
        <f t="shared" si="10"/>
        <v>11000</v>
      </c>
    </row>
    <row r="39" spans="1:9">
      <c r="A39" s="21"/>
      <c r="B39" s="114"/>
      <c r="C39" s="1" t="s">
        <v>28</v>
      </c>
      <c r="D39" s="1" t="s">
        <v>13</v>
      </c>
      <c r="E39" s="1"/>
      <c r="F39" s="39" t="s">
        <v>216</v>
      </c>
      <c r="G39" s="31">
        <v>7000</v>
      </c>
      <c r="H39" s="31"/>
      <c r="I39" s="116">
        <f t="shared" si="10"/>
        <v>7000</v>
      </c>
    </row>
    <row r="40" spans="1:9" ht="24">
      <c r="A40" s="21"/>
      <c r="B40" s="114"/>
      <c r="C40" s="1" t="s">
        <v>29</v>
      </c>
      <c r="D40" s="1" t="s">
        <v>13</v>
      </c>
      <c r="E40" s="1"/>
      <c r="F40" s="39" t="s">
        <v>217</v>
      </c>
      <c r="G40" s="31">
        <v>8000</v>
      </c>
      <c r="H40" s="31"/>
      <c r="I40" s="116">
        <f t="shared" si="10"/>
        <v>8000</v>
      </c>
    </row>
    <row r="41" spans="1:9" ht="15.75" thickBot="1">
      <c r="B41" s="117"/>
      <c r="C41" s="118"/>
      <c r="D41" s="119"/>
      <c r="E41" s="118"/>
      <c r="F41" s="120"/>
      <c r="G41" s="121"/>
      <c r="H41" s="121"/>
      <c r="I41" s="122"/>
    </row>
  </sheetData>
  <conditionalFormatting sqref="I6">
    <cfRule type="containsBlanks" dxfId="11" priority="1">
      <formula>LEN(TRIM(I6))=0</formula>
    </cfRule>
  </conditionalFormatting>
  <conditionalFormatting sqref="D6">
    <cfRule type="containsBlanks" dxfId="10" priority="3">
      <formula>LEN(TRIM(D6))=0</formula>
    </cfRule>
  </conditionalFormatting>
  <conditionalFormatting sqref="E6">
    <cfRule type="containsBlanks" dxfId="9" priority="2">
      <formula>LEN(TRIM(E6))=0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0000000}">
          <x14:formula1>
            <xm:f>codigo!$A$2:$A$3</xm:f>
          </x14:formula1>
          <xm:sqref>G4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9">
    <tabColor rgb="FFFFC000"/>
  </sheetPr>
  <dimension ref="A1:J76"/>
  <sheetViews>
    <sheetView topLeftCell="A66" zoomScale="85" zoomScaleNormal="85" workbookViewId="0">
      <selection activeCell="G75" sqref="G75"/>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 min="7" max="9" width="20.28515625" customWidth="1"/>
  </cols>
  <sheetData>
    <row r="1" spans="1:10" ht="54.95" customHeight="1" thickBot="1"/>
    <row r="2" spans="1:10" ht="177" customHeight="1" thickBot="1">
      <c r="F2" s="40" t="s">
        <v>34</v>
      </c>
    </row>
    <row r="3" spans="1:10" ht="15.75" thickBot="1"/>
    <row r="4" spans="1:10" ht="16.5" thickBot="1">
      <c r="F4" s="123" t="s">
        <v>6</v>
      </c>
      <c r="G4" s="124" t="s">
        <v>7</v>
      </c>
    </row>
    <row r="5" spans="1:10" s="21" customFormat="1" ht="25.5" customHeight="1" thickBot="1">
      <c r="A5" s="134" t="s">
        <v>8</v>
      </c>
      <c r="B5" s="136"/>
      <c r="C5" s="56"/>
      <c r="D5" s="56"/>
      <c r="E5" s="56"/>
      <c r="F5" s="143" t="s">
        <v>100</v>
      </c>
      <c r="G5" s="201" t="s">
        <v>40</v>
      </c>
      <c r="H5" s="202"/>
      <c r="I5" s="203"/>
    </row>
    <row r="6" spans="1:10" s="21" customFormat="1" ht="158.25" hidden="1" customHeight="1" thickBot="1">
      <c r="A6" s="134" t="s">
        <v>10</v>
      </c>
      <c r="B6" s="137"/>
      <c r="C6" s="41"/>
      <c r="D6" s="41" t="s">
        <v>36</v>
      </c>
      <c r="E6" s="145" t="s">
        <v>35</v>
      </c>
      <c r="F6" s="42"/>
      <c r="G6" s="64" t="str">
        <f>CONCATENATE("IFRS15-DesaProdServ_",SUBSTITUTE($G5," ",""),"_",ROW($G5),"|",$G5)</f>
        <v>IFRS15-DesaProdServ_Producto1_5|Producto 1</v>
      </c>
      <c r="H6" s="64" t="str">
        <f t="shared" ref="H6:I6" si="0">CONCATENATE("IFRS15-DesaProdServ_",SUBSTITUTE($G5," ",""),"_",ROW($G5),"|",$G5)</f>
        <v>IFRS15-DesaProdServ_Producto1_5|Producto 1</v>
      </c>
      <c r="I6" s="57" t="str">
        <f t="shared" si="0"/>
        <v>IFRS15-DesaProdServ_Producto1_5|Producto 1</v>
      </c>
    </row>
    <row r="7" spans="1:10" s="21" customFormat="1" ht="78" customHeight="1">
      <c r="A7" s="135"/>
      <c r="B7" s="138"/>
      <c r="C7" s="43"/>
      <c r="D7" s="43"/>
      <c r="E7" s="42"/>
      <c r="F7" s="63"/>
      <c r="G7" s="65" t="s">
        <v>41</v>
      </c>
      <c r="H7" s="65" t="s">
        <v>42</v>
      </c>
      <c r="I7" s="147" t="s">
        <v>39</v>
      </c>
    </row>
    <row r="8" spans="1:10" s="21" customFormat="1" ht="57" hidden="1" customHeight="1">
      <c r="A8" s="58" t="s">
        <v>10</v>
      </c>
      <c r="B8" s="139"/>
      <c r="C8" s="45"/>
      <c r="D8" s="46"/>
      <c r="E8" s="51" t="s">
        <v>37</v>
      </c>
      <c r="F8" s="47"/>
      <c r="G8" s="55" t="str">
        <f>CONCATENATE(CONCATENATE("IFRS15-DesaProdServ_",SUBSTITUTE(TRIM(G7)," ",""),"_",COLUMN(G8),"|",G7))</f>
        <v>IFRS15-DesaProdServ_Mercado1_7|Mercado 1</v>
      </c>
      <c r="H8" s="55" t="str">
        <f>CONCATENATE(CONCATENATE("IFRS15-DesaProdServ_",SUBSTITUTE(TRIM(H7)," ",""),"_",COLUMN(H8),"|",H7))</f>
        <v>IFRS15-DesaProdServ_Mercado2_8|Mercado 2</v>
      </c>
      <c r="I8" s="48" t="s">
        <v>38</v>
      </c>
    </row>
    <row r="9" spans="1:10" s="21" customFormat="1" ht="22.5" customHeight="1">
      <c r="A9" s="58"/>
      <c r="B9" s="139"/>
      <c r="C9" s="45"/>
      <c r="D9" s="46"/>
      <c r="E9" s="46"/>
      <c r="F9" s="75" t="s">
        <v>50</v>
      </c>
      <c r="G9" s="55"/>
      <c r="H9" s="55"/>
      <c r="I9" s="73"/>
    </row>
    <row r="10" spans="1:10" s="21" customFormat="1" ht="15" customHeight="1">
      <c r="A10" s="59"/>
      <c r="B10" s="140"/>
      <c r="C10" s="34"/>
      <c r="D10" s="50"/>
      <c r="E10" s="51" t="s">
        <v>0</v>
      </c>
      <c r="F10" s="76" t="s">
        <v>43</v>
      </c>
      <c r="G10" s="66"/>
      <c r="H10" s="66"/>
      <c r="I10" s="60"/>
    </row>
    <row r="11" spans="1:10" s="21" customFormat="1" ht="21" customHeight="1">
      <c r="A11" s="59"/>
      <c r="B11" s="139"/>
      <c r="C11" s="51" t="s">
        <v>44</v>
      </c>
      <c r="D11" s="51" t="s">
        <v>11</v>
      </c>
      <c r="E11" s="51" t="s">
        <v>0</v>
      </c>
      <c r="F11" s="176" t="s">
        <v>218</v>
      </c>
      <c r="G11" s="179"/>
      <c r="H11" s="179"/>
      <c r="I11" s="177"/>
      <c r="J11"/>
    </row>
    <row r="12" spans="1:10" s="21" customFormat="1" ht="21.75" customHeight="1">
      <c r="A12" s="59"/>
      <c r="B12" s="139"/>
      <c r="C12" s="51" t="s">
        <v>45</v>
      </c>
      <c r="D12" s="51" t="s">
        <v>11</v>
      </c>
      <c r="E12" s="51" t="s">
        <v>0</v>
      </c>
      <c r="F12" s="71" t="s">
        <v>219</v>
      </c>
      <c r="G12" s="179"/>
      <c r="H12" s="179"/>
      <c r="I12" s="177"/>
      <c r="J12"/>
    </row>
    <row r="13" spans="1:10" s="21" customFormat="1" ht="25.5" customHeight="1">
      <c r="A13" s="59"/>
      <c r="B13" s="139"/>
      <c r="C13" s="51" t="s">
        <v>46</v>
      </c>
      <c r="D13" s="51" t="s">
        <v>11</v>
      </c>
      <c r="E13" s="51" t="s">
        <v>0</v>
      </c>
      <c r="F13" s="71" t="s">
        <v>220</v>
      </c>
      <c r="G13" s="179"/>
      <c r="H13" s="179"/>
      <c r="I13" s="177"/>
      <c r="J13"/>
    </row>
    <row r="14" spans="1:10" s="21" customFormat="1" ht="21" customHeight="1">
      <c r="A14" s="59"/>
      <c r="B14" s="139"/>
      <c r="C14" s="51" t="s">
        <v>47</v>
      </c>
      <c r="D14" s="51" t="s">
        <v>11</v>
      </c>
      <c r="E14" s="51" t="s">
        <v>0</v>
      </c>
      <c r="F14" s="176" t="s">
        <v>221</v>
      </c>
      <c r="G14" s="180"/>
      <c r="H14" s="180"/>
      <c r="I14" s="177"/>
      <c r="J14"/>
    </row>
    <row r="15" spans="1:10" s="21" customFormat="1" ht="21.75" customHeight="1">
      <c r="A15" s="59"/>
      <c r="B15" s="139"/>
      <c r="C15" s="51" t="s">
        <v>48</v>
      </c>
      <c r="D15" s="51" t="s">
        <v>11</v>
      </c>
      <c r="E15" s="51" t="s">
        <v>0</v>
      </c>
      <c r="F15" s="71" t="s">
        <v>222</v>
      </c>
      <c r="G15" s="180"/>
      <c r="H15" s="180"/>
      <c r="I15" s="177"/>
      <c r="J15"/>
    </row>
    <row r="16" spans="1:10" s="21" customFormat="1" ht="25.5" customHeight="1">
      <c r="A16" s="59"/>
      <c r="B16" s="139"/>
      <c r="C16" s="51" t="s">
        <v>28</v>
      </c>
      <c r="D16" s="51" t="s">
        <v>11</v>
      </c>
      <c r="E16" s="51" t="s">
        <v>0</v>
      </c>
      <c r="F16" s="71" t="s">
        <v>216</v>
      </c>
      <c r="G16" s="67">
        <v>100000</v>
      </c>
      <c r="H16" s="67"/>
      <c r="I16" s="70">
        <f>G16+H16</f>
        <v>100000</v>
      </c>
      <c r="J16"/>
    </row>
    <row r="17" spans="1:9" s="21" customFormat="1" ht="15" customHeight="1">
      <c r="A17" s="59"/>
      <c r="B17" s="140"/>
      <c r="C17" s="34"/>
      <c r="D17" s="34"/>
      <c r="E17" s="34" t="s">
        <v>0</v>
      </c>
      <c r="F17" s="34" t="s">
        <v>0</v>
      </c>
      <c r="G17" s="68"/>
      <c r="H17" s="68"/>
      <c r="I17" s="60"/>
    </row>
    <row r="18" spans="1:9" s="21" customFormat="1" ht="15" customHeight="1">
      <c r="A18" s="59"/>
      <c r="B18" s="140"/>
      <c r="C18" s="34"/>
      <c r="D18" s="34"/>
      <c r="E18" s="34"/>
      <c r="F18" s="34"/>
      <c r="G18" s="68"/>
      <c r="H18" s="68"/>
      <c r="I18" s="60"/>
    </row>
    <row r="19" spans="1:9" s="21" customFormat="1" ht="15" customHeight="1">
      <c r="A19" s="59"/>
      <c r="B19" s="139"/>
      <c r="C19" s="45"/>
      <c r="D19" s="51"/>
      <c r="E19" s="51"/>
      <c r="F19" s="75" t="s">
        <v>51</v>
      </c>
      <c r="G19" s="66" t="s">
        <v>0</v>
      </c>
      <c r="H19" s="66" t="s">
        <v>0</v>
      </c>
      <c r="I19" s="60" t="s">
        <v>0</v>
      </c>
    </row>
    <row r="20" spans="1:9" s="21" customFormat="1" ht="15" customHeight="1">
      <c r="A20" s="59"/>
      <c r="B20" s="140"/>
      <c r="C20" s="34"/>
      <c r="D20" s="50"/>
      <c r="E20" s="51" t="s">
        <v>0</v>
      </c>
      <c r="F20" s="76" t="s">
        <v>43</v>
      </c>
      <c r="G20" s="66"/>
      <c r="H20" s="66"/>
      <c r="I20" s="60"/>
    </row>
    <row r="21" spans="1:9" s="21" customFormat="1" ht="21" customHeight="1">
      <c r="A21" s="59"/>
      <c r="B21" s="139"/>
      <c r="C21" s="51" t="s">
        <v>44</v>
      </c>
      <c r="D21" s="51" t="s">
        <v>13</v>
      </c>
      <c r="E21" s="51" t="s">
        <v>0</v>
      </c>
      <c r="F21" s="176" t="s">
        <v>218</v>
      </c>
      <c r="G21" s="179"/>
      <c r="H21" s="179"/>
      <c r="I21" s="177"/>
    </row>
    <row r="22" spans="1:9" s="21" customFormat="1" ht="21.75" customHeight="1">
      <c r="A22" s="59"/>
      <c r="B22" s="139"/>
      <c r="C22" s="51" t="s">
        <v>45</v>
      </c>
      <c r="D22" s="51" t="s">
        <v>13</v>
      </c>
      <c r="E22" s="51" t="s">
        <v>0</v>
      </c>
      <c r="F22" s="71" t="s">
        <v>219</v>
      </c>
      <c r="G22" s="179"/>
      <c r="H22" s="179"/>
      <c r="I22" s="177"/>
    </row>
    <row r="23" spans="1:9" s="21" customFormat="1" ht="25.5" customHeight="1">
      <c r="A23" s="59"/>
      <c r="B23" s="139"/>
      <c r="C23" s="51" t="s">
        <v>46</v>
      </c>
      <c r="D23" s="51" t="s">
        <v>13</v>
      </c>
      <c r="E23" s="51" t="s">
        <v>0</v>
      </c>
      <c r="F23" s="71" t="s">
        <v>220</v>
      </c>
      <c r="G23" s="179"/>
      <c r="H23" s="179"/>
      <c r="I23" s="177"/>
    </row>
    <row r="24" spans="1:9" s="21" customFormat="1" ht="21" customHeight="1">
      <c r="A24" s="59"/>
      <c r="B24" s="139"/>
      <c r="C24" s="51" t="s">
        <v>47</v>
      </c>
      <c r="D24" s="51" t="s">
        <v>13</v>
      </c>
      <c r="E24" s="51" t="s">
        <v>0</v>
      </c>
      <c r="F24" s="176" t="s">
        <v>221</v>
      </c>
      <c r="G24" s="180"/>
      <c r="H24" s="180"/>
      <c r="I24" s="177"/>
    </row>
    <row r="25" spans="1:9" s="21" customFormat="1" ht="21.75" customHeight="1">
      <c r="A25" s="59"/>
      <c r="B25" s="139"/>
      <c r="C25" s="51" t="s">
        <v>48</v>
      </c>
      <c r="D25" s="51" t="s">
        <v>13</v>
      </c>
      <c r="E25" s="51" t="s">
        <v>0</v>
      </c>
      <c r="F25" s="71" t="s">
        <v>222</v>
      </c>
      <c r="G25" s="180"/>
      <c r="H25" s="180"/>
      <c r="I25" s="177"/>
    </row>
    <row r="26" spans="1:9" s="21" customFormat="1" ht="25.5" customHeight="1">
      <c r="A26" s="59"/>
      <c r="B26" s="139"/>
      <c r="C26" s="51" t="s">
        <v>28</v>
      </c>
      <c r="D26" s="51" t="s">
        <v>13</v>
      </c>
      <c r="E26" s="51" t="s">
        <v>0</v>
      </c>
      <c r="F26" s="71" t="s">
        <v>216</v>
      </c>
      <c r="G26" s="67">
        <v>100000</v>
      </c>
      <c r="H26" s="67"/>
      <c r="I26" s="70">
        <f>G26+H26</f>
        <v>100000</v>
      </c>
    </row>
    <row r="27" spans="1:9" ht="15.75" thickBot="1">
      <c r="A27" s="59"/>
      <c r="B27" s="141"/>
      <c r="C27" s="61"/>
      <c r="D27" s="61"/>
      <c r="E27" s="61" t="s">
        <v>0</v>
      </c>
      <c r="F27" s="61" t="s">
        <v>0</v>
      </c>
      <c r="G27" s="69"/>
      <c r="H27" s="69"/>
      <c r="I27" s="62"/>
    </row>
    <row r="28" spans="1:9" ht="15.75" thickBot="1"/>
    <row r="29" spans="1:9" s="21" customFormat="1" ht="25.5" customHeight="1" thickBot="1">
      <c r="A29" s="134" t="s">
        <v>8</v>
      </c>
      <c r="B29" s="136"/>
      <c r="C29" s="56"/>
      <c r="D29" s="56"/>
      <c r="E29" s="56"/>
      <c r="F29" s="143" t="s">
        <v>54</v>
      </c>
      <c r="G29" s="201" t="s">
        <v>49</v>
      </c>
      <c r="H29" s="202"/>
      <c r="I29" s="203"/>
    </row>
    <row r="30" spans="1:9" s="21" customFormat="1" ht="158.25" hidden="1" customHeight="1" thickBot="1">
      <c r="A30" s="134" t="s">
        <v>10</v>
      </c>
      <c r="B30" s="137"/>
      <c r="C30" s="41"/>
      <c r="D30" s="41" t="s">
        <v>36</v>
      </c>
      <c r="E30" s="74" t="s">
        <v>35</v>
      </c>
      <c r="F30" s="42"/>
      <c r="G30" s="64" t="str">
        <f>CONCATENATE("IFRS15-DesaProdServ_",SUBSTITUTE($G29," ",""),"_",ROW($G29),"|",$G29)</f>
        <v>IFRS15-DesaProdServ_Producto2_29|Producto 2</v>
      </c>
      <c r="H30" s="64" t="str">
        <f t="shared" ref="H30" si="1">CONCATENATE("IFRS15-DesaProdServ_",SUBSTITUTE($G29," ",""),"_",ROW($G29),"|",$G29)</f>
        <v>IFRS15-DesaProdServ_Producto2_29|Producto 2</v>
      </c>
      <c r="I30" s="57" t="str">
        <f t="shared" ref="I30" si="2">CONCATENATE("IFRS15-DesaProdServ_",SUBSTITUTE($G29," ",""),"_",ROW($G29),"|",$G29)</f>
        <v>IFRS15-DesaProdServ_Producto2_29|Producto 2</v>
      </c>
    </row>
    <row r="31" spans="1:9" s="21" customFormat="1" ht="78" customHeight="1">
      <c r="A31" s="135"/>
      <c r="B31" s="138"/>
      <c r="C31" s="43"/>
      <c r="D31" s="43"/>
      <c r="E31" s="42"/>
      <c r="F31" s="63"/>
      <c r="G31" s="65" t="str">
        <f>G$7</f>
        <v>Mercado 1</v>
      </c>
      <c r="H31" s="65" t="str">
        <f t="shared" ref="H31:I31" si="3">H$7</f>
        <v>Mercado 2</v>
      </c>
      <c r="I31" s="147" t="str">
        <f t="shared" si="3"/>
        <v>Mercados de clientes [miembro]</v>
      </c>
    </row>
    <row r="32" spans="1:9" s="21" customFormat="1" ht="57" hidden="1" customHeight="1">
      <c r="A32" s="58" t="s">
        <v>10</v>
      </c>
      <c r="B32" s="142"/>
      <c r="C32" s="45"/>
      <c r="D32" s="46"/>
      <c r="E32" s="51" t="s">
        <v>37</v>
      </c>
      <c r="F32" s="47"/>
      <c r="G32" s="55" t="str">
        <f>G$8</f>
        <v>IFRS15-DesaProdServ_Mercado1_7|Mercado 1</v>
      </c>
      <c r="H32" s="55" t="str">
        <f t="shared" ref="H32:I32" si="4">H$8</f>
        <v>IFRS15-DesaProdServ_Mercado2_8|Mercado 2</v>
      </c>
      <c r="I32" s="48" t="str">
        <f t="shared" si="4"/>
        <v>full_ifrs-cor_2018-03-16.xsd#ifrs-full_MarketsOfCustomersMember</v>
      </c>
    </row>
    <row r="33" spans="1:9" s="21" customFormat="1" ht="22.5" customHeight="1">
      <c r="A33" s="58"/>
      <c r="B33" s="139"/>
      <c r="C33" s="45"/>
      <c r="D33" s="46"/>
      <c r="E33" s="46"/>
      <c r="F33" s="75" t="s">
        <v>50</v>
      </c>
      <c r="G33" s="55"/>
      <c r="H33" s="55"/>
      <c r="I33" s="73"/>
    </row>
    <row r="34" spans="1:9" s="21" customFormat="1" ht="15" customHeight="1">
      <c r="A34" s="59"/>
      <c r="B34" s="140"/>
      <c r="C34" s="34"/>
      <c r="D34" s="50"/>
      <c r="E34" s="51" t="s">
        <v>0</v>
      </c>
      <c r="F34" s="76" t="s">
        <v>43</v>
      </c>
      <c r="G34" s="66"/>
      <c r="H34" s="66"/>
      <c r="I34" s="60"/>
    </row>
    <row r="35" spans="1:9" s="21" customFormat="1" ht="21" customHeight="1">
      <c r="A35" s="59"/>
      <c r="B35" s="139"/>
      <c r="C35" s="51" t="s">
        <v>44</v>
      </c>
      <c r="D35" s="51" t="s">
        <v>11</v>
      </c>
      <c r="E35" s="51" t="s">
        <v>0</v>
      </c>
      <c r="F35" s="176" t="s">
        <v>218</v>
      </c>
      <c r="G35" s="179"/>
      <c r="H35" s="179"/>
      <c r="I35" s="177"/>
    </row>
    <row r="36" spans="1:9" s="21" customFormat="1" ht="21.75" customHeight="1">
      <c r="A36" s="59"/>
      <c r="B36" s="139"/>
      <c r="C36" s="51" t="s">
        <v>45</v>
      </c>
      <c r="D36" s="51" t="s">
        <v>11</v>
      </c>
      <c r="E36" s="51" t="s">
        <v>0</v>
      </c>
      <c r="F36" s="71" t="s">
        <v>219</v>
      </c>
      <c r="G36" s="179"/>
      <c r="H36" s="179"/>
      <c r="I36" s="177"/>
    </row>
    <row r="37" spans="1:9" s="21" customFormat="1" ht="25.5" customHeight="1">
      <c r="A37" s="59"/>
      <c r="B37" s="139"/>
      <c r="C37" s="51" t="s">
        <v>46</v>
      </c>
      <c r="D37" s="51" t="s">
        <v>11</v>
      </c>
      <c r="E37" s="51" t="s">
        <v>0</v>
      </c>
      <c r="F37" s="71" t="s">
        <v>220</v>
      </c>
      <c r="G37" s="179"/>
      <c r="H37" s="179"/>
      <c r="I37" s="177"/>
    </row>
    <row r="38" spans="1:9" s="21" customFormat="1" ht="21" customHeight="1">
      <c r="A38" s="59"/>
      <c r="B38" s="139"/>
      <c r="C38" s="51" t="s">
        <v>47</v>
      </c>
      <c r="D38" s="51" t="s">
        <v>11</v>
      </c>
      <c r="E38" s="51" t="s">
        <v>0</v>
      </c>
      <c r="F38" s="176" t="s">
        <v>221</v>
      </c>
      <c r="G38" s="180"/>
      <c r="H38" s="180"/>
      <c r="I38" s="177"/>
    </row>
    <row r="39" spans="1:9" s="21" customFormat="1" ht="21.75" customHeight="1">
      <c r="A39" s="59"/>
      <c r="B39" s="139"/>
      <c r="C39" s="51" t="s">
        <v>48</v>
      </c>
      <c r="D39" s="51" t="s">
        <v>11</v>
      </c>
      <c r="E39" s="51" t="s">
        <v>0</v>
      </c>
      <c r="F39" s="71" t="s">
        <v>222</v>
      </c>
      <c r="G39" s="180"/>
      <c r="H39" s="180"/>
      <c r="I39" s="177"/>
    </row>
    <row r="40" spans="1:9" s="21" customFormat="1" ht="25.5" customHeight="1">
      <c r="A40" s="59"/>
      <c r="B40" s="139"/>
      <c r="C40" s="51" t="s">
        <v>28</v>
      </c>
      <c r="D40" s="51" t="s">
        <v>11</v>
      </c>
      <c r="E40" s="51" t="s">
        <v>0</v>
      </c>
      <c r="F40" s="71" t="s">
        <v>216</v>
      </c>
      <c r="G40" s="67">
        <v>1000</v>
      </c>
      <c r="H40" s="67"/>
      <c r="I40" s="70">
        <f>G40+H40</f>
        <v>1000</v>
      </c>
    </row>
    <row r="41" spans="1:9" s="21" customFormat="1" ht="15" customHeight="1">
      <c r="A41" s="59"/>
      <c r="B41" s="140"/>
      <c r="C41" s="34"/>
      <c r="D41" s="34"/>
      <c r="E41" s="34" t="s">
        <v>0</v>
      </c>
      <c r="F41" s="34" t="s">
        <v>0</v>
      </c>
      <c r="G41" s="68"/>
      <c r="H41" s="68"/>
      <c r="I41" s="60"/>
    </row>
    <row r="42" spans="1:9" s="21" customFormat="1" ht="15" customHeight="1">
      <c r="A42" s="59"/>
      <c r="B42" s="140"/>
      <c r="C42" s="34"/>
      <c r="D42" s="34"/>
      <c r="E42" s="34"/>
      <c r="F42" s="34"/>
      <c r="G42" s="68"/>
      <c r="H42" s="68"/>
      <c r="I42" s="60"/>
    </row>
    <row r="43" spans="1:9" s="21" customFormat="1" ht="15" customHeight="1">
      <c r="A43" s="59"/>
      <c r="B43" s="139"/>
      <c r="C43" s="45"/>
      <c r="D43" s="51"/>
      <c r="E43" s="51"/>
      <c r="F43" s="75" t="s">
        <v>51</v>
      </c>
      <c r="G43" s="66" t="s">
        <v>0</v>
      </c>
      <c r="H43" s="66" t="s">
        <v>0</v>
      </c>
      <c r="I43" s="60" t="s">
        <v>0</v>
      </c>
    </row>
    <row r="44" spans="1:9" s="21" customFormat="1" ht="15" customHeight="1">
      <c r="A44" s="59"/>
      <c r="B44" s="140"/>
      <c r="C44" s="34"/>
      <c r="D44" s="50"/>
      <c r="E44" s="51" t="s">
        <v>0</v>
      </c>
      <c r="F44" s="76" t="s">
        <v>43</v>
      </c>
      <c r="G44" s="66"/>
      <c r="H44" s="66"/>
      <c r="I44" s="60"/>
    </row>
    <row r="45" spans="1:9" s="21" customFormat="1" ht="21" customHeight="1">
      <c r="A45" s="59"/>
      <c r="B45" s="139"/>
      <c r="C45" s="51" t="s">
        <v>44</v>
      </c>
      <c r="D45" s="51" t="s">
        <v>13</v>
      </c>
      <c r="E45" s="51" t="s">
        <v>0</v>
      </c>
      <c r="F45" s="176" t="s">
        <v>218</v>
      </c>
      <c r="G45" s="179"/>
      <c r="H45" s="179"/>
      <c r="I45" s="177"/>
    </row>
    <row r="46" spans="1:9" s="21" customFormat="1" ht="21.75" customHeight="1">
      <c r="A46" s="59"/>
      <c r="B46" s="139"/>
      <c r="C46" s="51" t="s">
        <v>45</v>
      </c>
      <c r="D46" s="51" t="s">
        <v>13</v>
      </c>
      <c r="E46" s="51" t="s">
        <v>0</v>
      </c>
      <c r="F46" s="71" t="s">
        <v>219</v>
      </c>
      <c r="G46" s="179"/>
      <c r="H46" s="179"/>
      <c r="I46" s="177"/>
    </row>
    <row r="47" spans="1:9" s="21" customFormat="1" ht="25.5" customHeight="1">
      <c r="A47" s="59"/>
      <c r="B47" s="139"/>
      <c r="C47" s="51" t="s">
        <v>46</v>
      </c>
      <c r="D47" s="51" t="s">
        <v>13</v>
      </c>
      <c r="E47" s="51" t="s">
        <v>0</v>
      </c>
      <c r="F47" s="71" t="s">
        <v>220</v>
      </c>
      <c r="G47" s="179"/>
      <c r="H47" s="179"/>
      <c r="I47" s="177"/>
    </row>
    <row r="48" spans="1:9" s="21" customFormat="1" ht="21" customHeight="1">
      <c r="A48" s="59"/>
      <c r="B48" s="139"/>
      <c r="C48" s="51" t="s">
        <v>47</v>
      </c>
      <c r="D48" s="51" t="s">
        <v>13</v>
      </c>
      <c r="E48" s="51" t="s">
        <v>0</v>
      </c>
      <c r="F48" s="176" t="s">
        <v>221</v>
      </c>
      <c r="G48" s="180"/>
      <c r="H48" s="180"/>
      <c r="I48" s="177"/>
    </row>
    <row r="49" spans="1:9" s="21" customFormat="1" ht="21.75" customHeight="1">
      <c r="A49" s="59"/>
      <c r="B49" s="139"/>
      <c r="C49" s="51" t="s">
        <v>48</v>
      </c>
      <c r="D49" s="51" t="s">
        <v>13</v>
      </c>
      <c r="E49" s="51" t="s">
        <v>0</v>
      </c>
      <c r="F49" s="71" t="s">
        <v>222</v>
      </c>
      <c r="G49" s="180"/>
      <c r="H49" s="180"/>
      <c r="I49" s="177"/>
    </row>
    <row r="50" spans="1:9" s="21" customFormat="1" ht="25.5" customHeight="1">
      <c r="A50" s="59"/>
      <c r="B50" s="139"/>
      <c r="C50" s="51" t="s">
        <v>28</v>
      </c>
      <c r="D50" s="51" t="s">
        <v>13</v>
      </c>
      <c r="E50" s="51" t="s">
        <v>0</v>
      </c>
      <c r="F50" s="71" t="s">
        <v>216</v>
      </c>
      <c r="G50" s="67">
        <v>7000</v>
      </c>
      <c r="H50" s="67"/>
      <c r="I50" s="70">
        <f>G50+H50</f>
        <v>7000</v>
      </c>
    </row>
    <row r="51" spans="1:9" ht="15.75" thickBot="1">
      <c r="A51" s="59"/>
      <c r="B51" s="141"/>
      <c r="C51" s="61"/>
      <c r="D51" s="61"/>
      <c r="E51" s="61" t="s">
        <v>0</v>
      </c>
      <c r="F51" s="61" t="s">
        <v>0</v>
      </c>
      <c r="G51" s="69"/>
      <c r="H51" s="69"/>
      <c r="I51" s="62"/>
    </row>
    <row r="53" spans="1:9" ht="15.75" thickBot="1"/>
    <row r="54" spans="1:9" s="21" customFormat="1" ht="25.5" customHeight="1" thickBot="1">
      <c r="A54" s="132" t="s">
        <v>8</v>
      </c>
      <c r="B54" s="130"/>
      <c r="C54" s="96"/>
      <c r="D54" s="96"/>
      <c r="E54" s="96"/>
      <c r="F54" s="144" t="s">
        <v>54</v>
      </c>
      <c r="G54" s="204" t="s">
        <v>53</v>
      </c>
      <c r="H54" s="205"/>
      <c r="I54" s="206"/>
    </row>
    <row r="55" spans="1:9" s="21" customFormat="1" ht="158.25" hidden="1" customHeight="1" thickBot="1">
      <c r="A55" s="132" t="s">
        <v>10</v>
      </c>
      <c r="B55" s="131"/>
      <c r="C55" s="97"/>
      <c r="D55" s="97" t="s">
        <v>36</v>
      </c>
      <c r="E55" s="98" t="s">
        <v>35</v>
      </c>
      <c r="F55" s="99"/>
      <c r="G55" s="100" t="s">
        <v>52</v>
      </c>
      <c r="H55" s="101" t="s">
        <v>52</v>
      </c>
      <c r="I55" s="102" t="s">
        <v>52</v>
      </c>
    </row>
    <row r="56" spans="1:9" s="21" customFormat="1" ht="78" customHeight="1">
      <c r="A56" s="83"/>
      <c r="B56" s="104"/>
      <c r="C56" s="103"/>
      <c r="D56" s="103"/>
      <c r="E56" s="99"/>
      <c r="F56" s="95"/>
      <c r="G56" s="65" t="str">
        <f>G$7</f>
        <v>Mercado 1</v>
      </c>
      <c r="H56" s="65" t="str">
        <f t="shared" ref="H56" si="5">H$7</f>
        <v>Mercado 2</v>
      </c>
      <c r="I56" s="146" t="str">
        <f t="shared" ref="I56" si="6">I$7</f>
        <v>Mercados de clientes [miembro]</v>
      </c>
    </row>
    <row r="57" spans="1:9" s="21" customFormat="1" ht="57" hidden="1" customHeight="1">
      <c r="A57" s="52" t="s">
        <v>10</v>
      </c>
      <c r="B57" s="44"/>
      <c r="C57" s="45"/>
      <c r="D57" s="46"/>
      <c r="E57" s="51" t="s">
        <v>37</v>
      </c>
      <c r="F57" s="79"/>
      <c r="G57" s="55" t="str">
        <f>G$8</f>
        <v>IFRS15-DesaProdServ_Mercado1_7|Mercado 1</v>
      </c>
      <c r="H57" s="55" t="str">
        <f t="shared" ref="H57" si="7">H$8</f>
        <v>IFRS15-DesaProdServ_Mercado2_8|Mercado 2</v>
      </c>
      <c r="I57" s="84" t="str">
        <f t="shared" ref="I57" si="8">I$8</f>
        <v>full_ifrs-cor_2018-03-16.xsd#ifrs-full_MarketsOfCustomersMember</v>
      </c>
    </row>
    <row r="58" spans="1:9" s="21" customFormat="1" ht="22.5" customHeight="1">
      <c r="A58" s="52"/>
      <c r="B58" s="44"/>
      <c r="C58" s="45"/>
      <c r="D58" s="46"/>
      <c r="E58" s="46"/>
      <c r="F58" s="80" t="s">
        <v>50</v>
      </c>
      <c r="G58" s="55"/>
      <c r="H58" s="55"/>
      <c r="I58" s="85"/>
    </row>
    <row r="59" spans="1:9" s="21" customFormat="1" ht="15" customHeight="1">
      <c r="A59" s="86"/>
      <c r="B59" s="49"/>
      <c r="C59" s="34"/>
      <c r="D59" s="50"/>
      <c r="E59" s="51" t="s">
        <v>0</v>
      </c>
      <c r="F59" s="81" t="s">
        <v>43</v>
      </c>
      <c r="G59" s="66"/>
      <c r="H59" s="66"/>
      <c r="I59" s="87"/>
    </row>
    <row r="60" spans="1:9" s="21" customFormat="1" ht="21" customHeight="1">
      <c r="A60" s="86"/>
      <c r="B60" s="44"/>
      <c r="C60" s="51" t="s">
        <v>44</v>
      </c>
      <c r="D60" s="51" t="s">
        <v>11</v>
      </c>
      <c r="E60" s="51" t="s">
        <v>0</v>
      </c>
      <c r="F60" s="176" t="s">
        <v>218</v>
      </c>
      <c r="G60" s="179"/>
      <c r="H60" s="179"/>
      <c r="I60" s="178"/>
    </row>
    <row r="61" spans="1:9" s="21" customFormat="1" ht="21.75" customHeight="1">
      <c r="A61" s="86"/>
      <c r="B61" s="44"/>
      <c r="C61" s="51" t="s">
        <v>45</v>
      </c>
      <c r="D61" s="51" t="s">
        <v>11</v>
      </c>
      <c r="E61" s="51" t="s">
        <v>0</v>
      </c>
      <c r="F61" s="71" t="s">
        <v>219</v>
      </c>
      <c r="G61" s="179"/>
      <c r="H61" s="179"/>
      <c r="I61" s="178"/>
    </row>
    <row r="62" spans="1:9" s="21" customFormat="1" ht="25.5" customHeight="1">
      <c r="A62" s="86"/>
      <c r="B62" s="44"/>
      <c r="C62" s="51" t="s">
        <v>46</v>
      </c>
      <c r="D62" s="51" t="s">
        <v>11</v>
      </c>
      <c r="E62" s="51" t="s">
        <v>0</v>
      </c>
      <c r="F62" s="71" t="s">
        <v>220</v>
      </c>
      <c r="G62" s="179"/>
      <c r="H62" s="179"/>
      <c r="I62" s="178"/>
    </row>
    <row r="63" spans="1:9" s="21" customFormat="1" ht="21" customHeight="1">
      <c r="A63" s="86"/>
      <c r="B63" s="44"/>
      <c r="C63" s="51" t="s">
        <v>47</v>
      </c>
      <c r="D63" s="51" t="s">
        <v>11</v>
      </c>
      <c r="E63" s="51" t="s">
        <v>0</v>
      </c>
      <c r="F63" s="176" t="s">
        <v>221</v>
      </c>
      <c r="G63" s="180"/>
      <c r="H63" s="180"/>
      <c r="I63" s="178"/>
    </row>
    <row r="64" spans="1:9" s="21" customFormat="1" ht="21.75" customHeight="1">
      <c r="A64" s="86"/>
      <c r="B64" s="44"/>
      <c r="C64" s="51" t="s">
        <v>48</v>
      </c>
      <c r="D64" s="51" t="s">
        <v>11</v>
      </c>
      <c r="E64" s="51" t="s">
        <v>0</v>
      </c>
      <c r="F64" s="71" t="s">
        <v>222</v>
      </c>
      <c r="G64" s="180"/>
      <c r="H64" s="180"/>
      <c r="I64" s="178"/>
    </row>
    <row r="65" spans="1:9" s="21" customFormat="1" ht="25.5" customHeight="1">
      <c r="A65" s="86"/>
      <c r="B65" s="44"/>
      <c r="C65" s="51" t="s">
        <v>28</v>
      </c>
      <c r="D65" s="51" t="s">
        <v>11</v>
      </c>
      <c r="E65" s="51" t="s">
        <v>0</v>
      </c>
      <c r="F65" s="71" t="s">
        <v>216</v>
      </c>
      <c r="G65" s="67">
        <v>1000</v>
      </c>
      <c r="H65" s="67"/>
      <c r="I65" s="88">
        <f>G65+H65</f>
        <v>1000</v>
      </c>
    </row>
    <row r="66" spans="1:9" s="21" customFormat="1" ht="15" customHeight="1">
      <c r="A66" s="86"/>
      <c r="B66" s="49"/>
      <c r="C66" s="34"/>
      <c r="D66" s="34"/>
      <c r="E66" s="34" t="s">
        <v>0</v>
      </c>
      <c r="F66" s="34" t="s">
        <v>0</v>
      </c>
      <c r="G66" s="68"/>
      <c r="H66" s="68"/>
      <c r="I66" s="87"/>
    </row>
    <row r="67" spans="1:9" s="21" customFormat="1" ht="15" customHeight="1">
      <c r="A67" s="86"/>
      <c r="B67" s="49"/>
      <c r="C67" s="34"/>
      <c r="D67" s="34"/>
      <c r="E67" s="34"/>
      <c r="F67" s="34"/>
      <c r="G67" s="68"/>
      <c r="H67" s="68"/>
      <c r="I67" s="87"/>
    </row>
    <row r="68" spans="1:9" s="21" customFormat="1" ht="15" customHeight="1">
      <c r="A68" s="86"/>
      <c r="B68" s="44"/>
      <c r="C68" s="45"/>
      <c r="D68" s="51"/>
      <c r="E68" s="51"/>
      <c r="F68" s="75" t="s">
        <v>51</v>
      </c>
      <c r="G68" s="66" t="s">
        <v>0</v>
      </c>
      <c r="H68" s="66" t="s">
        <v>0</v>
      </c>
      <c r="I68" s="87" t="s">
        <v>0</v>
      </c>
    </row>
    <row r="69" spans="1:9" s="21" customFormat="1" ht="15" customHeight="1">
      <c r="A69" s="86"/>
      <c r="B69" s="49"/>
      <c r="C69" s="34"/>
      <c r="D69" s="50"/>
      <c r="E69" s="51" t="s">
        <v>0</v>
      </c>
      <c r="F69" s="76" t="s">
        <v>43</v>
      </c>
      <c r="G69" s="66"/>
      <c r="H69" s="66"/>
      <c r="I69" s="87"/>
    </row>
    <row r="70" spans="1:9" s="21" customFormat="1" ht="21" customHeight="1">
      <c r="A70" s="86"/>
      <c r="B70" s="44"/>
      <c r="C70" s="51" t="s">
        <v>44</v>
      </c>
      <c r="D70" s="51" t="s">
        <v>13</v>
      </c>
      <c r="E70" s="51" t="s">
        <v>0</v>
      </c>
      <c r="F70" s="176" t="s">
        <v>218</v>
      </c>
      <c r="G70" s="179"/>
      <c r="H70" s="179"/>
      <c r="I70" s="178"/>
    </row>
    <row r="71" spans="1:9" s="21" customFormat="1" ht="21.75" customHeight="1">
      <c r="A71" s="86"/>
      <c r="B71" s="44"/>
      <c r="C71" s="51" t="s">
        <v>45</v>
      </c>
      <c r="D71" s="51" t="s">
        <v>13</v>
      </c>
      <c r="E71" s="51" t="s">
        <v>0</v>
      </c>
      <c r="F71" s="71" t="s">
        <v>219</v>
      </c>
      <c r="G71" s="179"/>
      <c r="H71" s="179"/>
      <c r="I71" s="178"/>
    </row>
    <row r="72" spans="1:9" s="21" customFormat="1" ht="25.5" customHeight="1">
      <c r="A72" s="86"/>
      <c r="B72" s="44"/>
      <c r="C72" s="51" t="s">
        <v>46</v>
      </c>
      <c r="D72" s="51" t="s">
        <v>13</v>
      </c>
      <c r="E72" s="51" t="s">
        <v>0</v>
      </c>
      <c r="F72" s="71" t="s">
        <v>220</v>
      </c>
      <c r="G72" s="179"/>
      <c r="H72" s="179"/>
      <c r="I72" s="178"/>
    </row>
    <row r="73" spans="1:9" s="21" customFormat="1" ht="21" customHeight="1">
      <c r="A73" s="86"/>
      <c r="B73" s="44"/>
      <c r="C73" s="51" t="s">
        <v>47</v>
      </c>
      <c r="D73" s="51" t="s">
        <v>13</v>
      </c>
      <c r="E73" s="51" t="s">
        <v>0</v>
      </c>
      <c r="F73" s="176" t="s">
        <v>221</v>
      </c>
      <c r="G73" s="180"/>
      <c r="H73" s="180"/>
      <c r="I73" s="178"/>
    </row>
    <row r="74" spans="1:9" s="21" customFormat="1" ht="21.75" customHeight="1">
      <c r="A74" s="86"/>
      <c r="B74" s="44"/>
      <c r="C74" s="51" t="s">
        <v>48</v>
      </c>
      <c r="D74" s="51" t="s">
        <v>13</v>
      </c>
      <c r="E74" s="51" t="s">
        <v>0</v>
      </c>
      <c r="F74" s="71" t="s">
        <v>222</v>
      </c>
      <c r="G74" s="180"/>
      <c r="H74" s="180"/>
      <c r="I74" s="178"/>
    </row>
    <row r="75" spans="1:9" s="21" customFormat="1" ht="25.5" customHeight="1">
      <c r="A75" s="86"/>
      <c r="B75" s="44"/>
      <c r="C75" s="51" t="s">
        <v>28</v>
      </c>
      <c r="D75" s="51" t="s">
        <v>13</v>
      </c>
      <c r="E75" s="51" t="s">
        <v>0</v>
      </c>
      <c r="F75" s="71" t="s">
        <v>216</v>
      </c>
      <c r="G75" s="67">
        <v>7000</v>
      </c>
      <c r="H75" s="67"/>
      <c r="I75" s="88">
        <f>G75+H75</f>
        <v>7000</v>
      </c>
    </row>
    <row r="76" spans="1:9" ht="15.75" thickBot="1">
      <c r="A76" s="86"/>
      <c r="B76" s="89"/>
      <c r="C76" s="90"/>
      <c r="D76" s="90"/>
      <c r="E76" s="90" t="s">
        <v>0</v>
      </c>
      <c r="F76" s="91" t="s">
        <v>0</v>
      </c>
      <c r="G76" s="105"/>
      <c r="H76" s="105"/>
      <c r="I76" s="92"/>
    </row>
  </sheetData>
  <mergeCells count="3">
    <mergeCell ref="G29:I29"/>
    <mergeCell ref="G54:I54"/>
    <mergeCell ref="G5:I5"/>
  </mergeCells>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200-000000000000}">
          <x14:formula1>
            <xm:f>codigo!$A$2:$A$3</xm:f>
          </x14:formula1>
          <xm:sqref>G4</xm:sqref>
        </x14:dataValidation>
        <x14:dataValidation type="list" allowBlank="1" showInputMessage="1" showErrorMessage="1" xr:uid="{00000000-0002-0000-0200-000001000000}">
          <x14:formula1>
            <xm:f>codigo!$B$2:$B$3</xm:f>
          </x14:formula1>
          <xm:sqref>G60:H60 G70:H70 G11:H11 G21:H21 G35:H35 G45:H45</xm:sqref>
        </x14:dataValidation>
        <x14:dataValidation type="list" allowBlank="1" showInputMessage="1" showErrorMessage="1" xr:uid="{00000000-0002-0000-0200-000002000000}">
          <x14:formula1>
            <xm:f>codigo!$C$2:$C$4</xm:f>
          </x14:formula1>
          <xm:sqref>G61:H61 G71:H71 G12:H12 G22:H22 G36:H36 G46:H46</xm:sqref>
        </x14:dataValidation>
        <x14:dataValidation type="list" allowBlank="1" showInputMessage="1" showErrorMessage="1" xr:uid="{00000000-0002-0000-0200-000003000000}">
          <x14:formula1>
            <xm:f>codigo!$D$2:$D$3</xm:f>
          </x14:formula1>
          <xm:sqref>G62:H62 G72:H72 G13:H13 G23:H23 G37:H37 G47:H47</xm:sqref>
        </x14:dataValidation>
        <x14:dataValidation type="list" allowBlank="1" showInputMessage="1" showErrorMessage="1" xr:uid="{00000000-0002-0000-0200-000004000000}">
          <x14:formula1>
            <xm:f>codigo!$E$2:$E$3</xm:f>
          </x14:formula1>
          <xm:sqref>G63:H63 G73:H73 G14:H14 G24:H24 G38:H38 G48:H48</xm:sqref>
        </x14:dataValidation>
        <x14:dataValidation type="list" allowBlank="1" showInputMessage="1" showErrorMessage="1" xr:uid="{00000000-0002-0000-0200-000005000000}">
          <x14:formula1>
            <xm:f>codigo!$F$2:$F$3</xm:f>
          </x14:formula1>
          <xm:sqref>G64:H64 G74:H74 G15:H15 G25:H25 G39:H39 G49:H49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0">
    <tabColor rgb="FFFF99FF"/>
  </sheetPr>
  <dimension ref="A1:J76"/>
  <sheetViews>
    <sheetView topLeftCell="A60" zoomScale="70" zoomScaleNormal="70" workbookViewId="0">
      <selection activeCell="G75" sqref="G75"/>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 min="7" max="9" width="20.28515625" customWidth="1"/>
  </cols>
  <sheetData>
    <row r="1" spans="1:10" ht="54.95" customHeight="1" thickBot="1"/>
    <row r="2" spans="1:10" ht="177" customHeight="1" thickBot="1">
      <c r="F2" s="40" t="s">
        <v>34</v>
      </c>
    </row>
    <row r="3" spans="1:10" ht="15.75" thickBot="1"/>
    <row r="4" spans="1:10" ht="16.5" thickBot="1">
      <c r="F4" s="123" t="s">
        <v>6</v>
      </c>
      <c r="G4" s="124" t="s">
        <v>7</v>
      </c>
    </row>
    <row r="5" spans="1:10" s="21" customFormat="1" ht="25.5" customHeight="1" thickBot="1">
      <c r="A5" s="134" t="s">
        <v>8</v>
      </c>
      <c r="B5" s="136"/>
      <c r="C5" s="56"/>
      <c r="D5" s="56"/>
      <c r="E5" s="56"/>
      <c r="F5" s="143" t="s">
        <v>101</v>
      </c>
      <c r="G5" s="201" t="s">
        <v>57</v>
      </c>
      <c r="H5" s="202"/>
      <c r="I5" s="203"/>
    </row>
    <row r="6" spans="1:10" s="21" customFormat="1" ht="158.25" hidden="1" customHeight="1" thickBot="1">
      <c r="A6" s="134" t="s">
        <v>10</v>
      </c>
      <c r="B6" s="137"/>
      <c r="C6" s="41"/>
      <c r="D6" s="41" t="s">
        <v>55</v>
      </c>
      <c r="E6" s="145" t="s">
        <v>56</v>
      </c>
      <c r="F6" s="42"/>
      <c r="G6" s="64" t="str">
        <f>CONCATENATE("IFRS15-DesaAreaGeog_",SUBSTITUTE($G5," ",""),"_",ROW($G5),"|",$G5)</f>
        <v>IFRS15-DesaAreaGeog_Areageografica1_5|Area geografica 1</v>
      </c>
      <c r="H6" s="64" t="str">
        <f>CONCATENATE("IFRS15-DesaAreaGeog_",SUBSTITUTE($G5," ",""),"_",ROW($G5),"|",$G5)</f>
        <v>IFRS15-DesaAreaGeog_Areageografica1_5|Area geografica 1</v>
      </c>
      <c r="I6" s="57" t="str">
        <f>CONCATENATE("IFRS15-DesaAreaGeog_",SUBSTITUTE($G5," ",""),"_",ROW($G5),"|",$G5)</f>
        <v>IFRS15-DesaAreaGeog_Areageografica1_5|Area geografica 1</v>
      </c>
    </row>
    <row r="7" spans="1:10" s="21" customFormat="1" ht="78" customHeight="1">
      <c r="A7" s="135"/>
      <c r="B7" s="138"/>
      <c r="C7" s="43"/>
      <c r="D7" s="43"/>
      <c r="E7" s="42"/>
      <c r="F7" s="63"/>
      <c r="G7" s="65" t="s">
        <v>41</v>
      </c>
      <c r="H7" s="65" t="s">
        <v>42</v>
      </c>
      <c r="I7" s="147" t="s">
        <v>39</v>
      </c>
    </row>
    <row r="8" spans="1:10" s="21" customFormat="1" ht="57" hidden="1" customHeight="1">
      <c r="A8" s="58" t="s">
        <v>10</v>
      </c>
      <c r="B8" s="139"/>
      <c r="C8" s="45"/>
      <c r="D8" s="46"/>
      <c r="E8" s="51" t="s">
        <v>37</v>
      </c>
      <c r="F8" s="47"/>
      <c r="G8" s="55" t="str">
        <f>CONCATENATE(CONCATENATE("IFRS15-DesaAreaGeog_",SUBSTITUTE(TRIM(G7)," ",""),"_",COLUMN(G8),"|",G7))</f>
        <v>IFRS15-DesaAreaGeog_Mercado1_7|Mercado 1</v>
      </c>
      <c r="H8" s="55" t="str">
        <f>CONCATENATE(CONCATENATE("IFRS15-DesaAreaGeog_",SUBSTITUTE(TRIM(H7)," ",""),"_",COLUMN(H8),"|",H7))</f>
        <v>IFRS15-DesaAreaGeog_Mercado2_8|Mercado 2</v>
      </c>
      <c r="I8" s="48" t="s">
        <v>38</v>
      </c>
    </row>
    <row r="9" spans="1:10" s="21" customFormat="1" ht="22.5" customHeight="1">
      <c r="A9" s="58"/>
      <c r="B9" s="139"/>
      <c r="C9" s="45"/>
      <c r="D9" s="46"/>
      <c r="E9" s="46"/>
      <c r="F9" s="75" t="s">
        <v>50</v>
      </c>
      <c r="G9" s="55"/>
      <c r="H9" s="55"/>
      <c r="I9" s="73"/>
    </row>
    <row r="10" spans="1:10" s="21" customFormat="1" ht="15" customHeight="1">
      <c r="A10" s="59"/>
      <c r="B10" s="140"/>
      <c r="C10" s="34"/>
      <c r="D10" s="50"/>
      <c r="E10" s="51" t="s">
        <v>0</v>
      </c>
      <c r="F10" s="76" t="s">
        <v>43</v>
      </c>
      <c r="G10" s="66"/>
      <c r="H10" s="66"/>
      <c r="I10" s="60"/>
    </row>
    <row r="11" spans="1:10" s="21" customFormat="1" ht="21" customHeight="1">
      <c r="A11" s="59"/>
      <c r="B11" s="139"/>
      <c r="C11" s="51" t="s">
        <v>44</v>
      </c>
      <c r="D11" s="51" t="s">
        <v>11</v>
      </c>
      <c r="E11" s="51" t="s">
        <v>0</v>
      </c>
      <c r="F11" s="77" t="s">
        <v>218</v>
      </c>
      <c r="G11" s="179"/>
      <c r="H11" s="179"/>
      <c r="I11" s="177"/>
      <c r="J11"/>
    </row>
    <row r="12" spans="1:10" s="21" customFormat="1" ht="21.75" customHeight="1">
      <c r="A12" s="59"/>
      <c r="B12" s="139"/>
      <c r="C12" s="51" t="s">
        <v>45</v>
      </c>
      <c r="D12" s="51" t="s">
        <v>11</v>
      </c>
      <c r="E12" s="51" t="s">
        <v>0</v>
      </c>
      <c r="F12" s="53" t="s">
        <v>219</v>
      </c>
      <c r="G12" s="179"/>
      <c r="H12" s="179"/>
      <c r="I12" s="177"/>
      <c r="J12"/>
    </row>
    <row r="13" spans="1:10" s="21" customFormat="1" ht="25.5" customHeight="1">
      <c r="A13" s="59"/>
      <c r="B13" s="139"/>
      <c r="C13" s="51" t="s">
        <v>46</v>
      </c>
      <c r="D13" s="51" t="s">
        <v>11</v>
      </c>
      <c r="E13" s="51" t="s">
        <v>0</v>
      </c>
      <c r="F13" s="53" t="s">
        <v>220</v>
      </c>
      <c r="G13" s="179"/>
      <c r="H13" s="179"/>
      <c r="I13" s="177"/>
      <c r="J13"/>
    </row>
    <row r="14" spans="1:10" s="21" customFormat="1" ht="21" customHeight="1">
      <c r="A14" s="59"/>
      <c r="B14" s="139"/>
      <c r="C14" s="51" t="s">
        <v>47</v>
      </c>
      <c r="D14" s="51" t="s">
        <v>11</v>
      </c>
      <c r="E14" s="51" t="s">
        <v>0</v>
      </c>
      <c r="F14" s="77" t="s">
        <v>221</v>
      </c>
      <c r="G14" s="180"/>
      <c r="H14" s="180"/>
      <c r="I14" s="177"/>
      <c r="J14"/>
    </row>
    <row r="15" spans="1:10" s="21" customFormat="1" ht="21.75" customHeight="1">
      <c r="A15" s="59"/>
      <c r="B15" s="139"/>
      <c r="C15" s="51" t="s">
        <v>48</v>
      </c>
      <c r="D15" s="51" t="s">
        <v>11</v>
      </c>
      <c r="E15" s="51" t="s">
        <v>0</v>
      </c>
      <c r="F15" s="53" t="s">
        <v>222</v>
      </c>
      <c r="G15" s="180"/>
      <c r="H15" s="180"/>
      <c r="I15" s="177"/>
      <c r="J15"/>
    </row>
    <row r="16" spans="1:10" s="21" customFormat="1" ht="25.5" customHeight="1">
      <c r="A16" s="59"/>
      <c r="B16" s="139"/>
      <c r="C16" s="51" t="s">
        <v>28</v>
      </c>
      <c r="D16" s="51" t="s">
        <v>11</v>
      </c>
      <c r="E16" s="51" t="s">
        <v>0</v>
      </c>
      <c r="F16" s="53" t="s">
        <v>216</v>
      </c>
      <c r="G16" s="67">
        <v>1000</v>
      </c>
      <c r="H16" s="67"/>
      <c r="I16" s="70">
        <f>G16+H16</f>
        <v>1000</v>
      </c>
      <c r="J16"/>
    </row>
    <row r="17" spans="1:9" s="21" customFormat="1" ht="15" customHeight="1">
      <c r="A17" s="59"/>
      <c r="B17" s="140"/>
      <c r="C17" s="34"/>
      <c r="D17" s="34"/>
      <c r="E17" s="34" t="s">
        <v>0</v>
      </c>
      <c r="F17" s="34" t="s">
        <v>0</v>
      </c>
      <c r="G17" s="68"/>
      <c r="H17" s="68"/>
      <c r="I17" s="60"/>
    </row>
    <row r="18" spans="1:9" s="21" customFormat="1" ht="15" customHeight="1">
      <c r="A18" s="59"/>
      <c r="B18" s="140"/>
      <c r="C18" s="34"/>
      <c r="D18" s="34"/>
      <c r="E18" s="34"/>
      <c r="F18" s="34"/>
      <c r="G18" s="68"/>
      <c r="H18" s="68"/>
      <c r="I18" s="60"/>
    </row>
    <row r="19" spans="1:9" s="21" customFormat="1" ht="15" customHeight="1">
      <c r="A19" s="59"/>
      <c r="B19" s="139"/>
      <c r="C19" s="45"/>
      <c r="D19" s="51"/>
      <c r="E19" s="51"/>
      <c r="F19" s="75" t="s">
        <v>51</v>
      </c>
      <c r="G19" s="66" t="s">
        <v>0</v>
      </c>
      <c r="H19" s="66" t="s">
        <v>0</v>
      </c>
      <c r="I19" s="60" t="s">
        <v>0</v>
      </c>
    </row>
    <row r="20" spans="1:9" s="21" customFormat="1" ht="15" customHeight="1">
      <c r="A20" s="59"/>
      <c r="B20" s="140"/>
      <c r="C20" s="34"/>
      <c r="D20" s="50"/>
      <c r="E20" s="51" t="s">
        <v>0</v>
      </c>
      <c r="F20" s="76" t="s">
        <v>43</v>
      </c>
      <c r="G20" s="66"/>
      <c r="H20" s="66"/>
      <c r="I20" s="60"/>
    </row>
    <row r="21" spans="1:9" s="21" customFormat="1" ht="21" customHeight="1">
      <c r="A21" s="59"/>
      <c r="B21" s="139"/>
      <c r="C21" s="51" t="s">
        <v>44</v>
      </c>
      <c r="D21" s="51" t="s">
        <v>13</v>
      </c>
      <c r="E21" s="51" t="s">
        <v>0</v>
      </c>
      <c r="F21" s="77" t="s">
        <v>223</v>
      </c>
      <c r="G21" s="179"/>
      <c r="H21" s="179"/>
      <c r="I21" s="177"/>
    </row>
    <row r="22" spans="1:9" s="21" customFormat="1" ht="21.75" customHeight="1">
      <c r="A22" s="59"/>
      <c r="B22" s="139"/>
      <c r="C22" s="51" t="s">
        <v>45</v>
      </c>
      <c r="D22" s="51" t="s">
        <v>13</v>
      </c>
      <c r="E22" s="51" t="s">
        <v>0</v>
      </c>
      <c r="F22" s="53" t="s">
        <v>224</v>
      </c>
      <c r="G22" s="179"/>
      <c r="H22" s="179"/>
      <c r="I22" s="177"/>
    </row>
    <row r="23" spans="1:9" s="21" customFormat="1" ht="25.5" customHeight="1">
      <c r="A23" s="59"/>
      <c r="B23" s="139"/>
      <c r="C23" s="51" t="s">
        <v>46</v>
      </c>
      <c r="D23" s="51" t="s">
        <v>13</v>
      </c>
      <c r="E23" s="51" t="s">
        <v>0</v>
      </c>
      <c r="F23" s="53" t="s">
        <v>225</v>
      </c>
      <c r="G23" s="179"/>
      <c r="H23" s="179"/>
      <c r="I23" s="177"/>
    </row>
    <row r="24" spans="1:9" s="21" customFormat="1" ht="21" customHeight="1">
      <c r="A24" s="59"/>
      <c r="B24" s="139"/>
      <c r="C24" s="51" t="s">
        <v>47</v>
      </c>
      <c r="D24" s="51" t="s">
        <v>13</v>
      </c>
      <c r="E24" s="51" t="s">
        <v>0</v>
      </c>
      <c r="F24" s="77" t="s">
        <v>226</v>
      </c>
      <c r="G24" s="180"/>
      <c r="H24" s="180"/>
      <c r="I24" s="177"/>
    </row>
    <row r="25" spans="1:9" s="21" customFormat="1" ht="21.75" customHeight="1">
      <c r="A25" s="59"/>
      <c r="B25" s="139"/>
      <c r="C25" s="51" t="s">
        <v>48</v>
      </c>
      <c r="D25" s="51" t="s">
        <v>13</v>
      </c>
      <c r="E25" s="51" t="s">
        <v>0</v>
      </c>
      <c r="F25" s="53" t="s">
        <v>227</v>
      </c>
      <c r="G25" s="180"/>
      <c r="H25" s="180"/>
      <c r="I25" s="177"/>
    </row>
    <row r="26" spans="1:9" s="21" customFormat="1" ht="25.5" customHeight="1">
      <c r="A26" s="59"/>
      <c r="B26" s="139"/>
      <c r="C26" s="51" t="s">
        <v>28</v>
      </c>
      <c r="D26" s="51" t="s">
        <v>13</v>
      </c>
      <c r="E26" s="51" t="s">
        <v>0</v>
      </c>
      <c r="F26" s="53" t="s">
        <v>228</v>
      </c>
      <c r="G26" s="67">
        <v>3000</v>
      </c>
      <c r="H26" s="67"/>
      <c r="I26" s="70">
        <f>G26+H26</f>
        <v>3000</v>
      </c>
    </row>
    <row r="27" spans="1:9" ht="15.75" thickBot="1">
      <c r="A27" s="59"/>
      <c r="B27" s="141"/>
      <c r="C27" s="61"/>
      <c r="D27" s="61"/>
      <c r="E27" s="61" t="s">
        <v>0</v>
      </c>
      <c r="F27" s="61" t="s">
        <v>0</v>
      </c>
      <c r="G27" s="69"/>
      <c r="H27" s="69"/>
      <c r="I27" s="62"/>
    </row>
    <row r="28" spans="1:9" ht="15.75" thickBot="1"/>
    <row r="29" spans="1:9" s="21" customFormat="1" ht="25.5" customHeight="1" thickBot="1">
      <c r="A29" s="134" t="s">
        <v>8</v>
      </c>
      <c r="B29" s="136"/>
      <c r="C29" s="56"/>
      <c r="D29" s="56"/>
      <c r="E29" s="56"/>
      <c r="F29" s="143" t="s">
        <v>61</v>
      </c>
      <c r="G29" s="201" t="s">
        <v>58</v>
      </c>
      <c r="H29" s="202"/>
      <c r="I29" s="203"/>
    </row>
    <row r="30" spans="1:9" s="21" customFormat="1" ht="158.25" hidden="1" customHeight="1" thickBot="1">
      <c r="A30" s="134" t="s">
        <v>10</v>
      </c>
      <c r="B30" s="137"/>
      <c r="C30" s="41"/>
      <c r="D30" s="41" t="s">
        <v>55</v>
      </c>
      <c r="E30" s="74" t="s">
        <v>56</v>
      </c>
      <c r="F30" s="42"/>
      <c r="G30" s="64" t="str">
        <f>CONCATENATE("IFRS15-DesaAreaGeog_",SUBSTITUTE($G29," ",""),"_",ROW($G29),"|",$G29)</f>
        <v>IFRS15-DesaAreaGeog_Areageografica2_29|Area geografica 2</v>
      </c>
      <c r="H30" s="64" t="str">
        <f>CONCATENATE("IFRS15-DesaAreaGeog_",SUBSTITUTE($G29," ",""),"_",ROW($G29),"|",$G29)</f>
        <v>IFRS15-DesaAreaGeog_Areageografica2_29|Area geografica 2</v>
      </c>
      <c r="I30" s="57" t="str">
        <f>CONCATENATE("IFRS15-DesaAreaGeog_",SUBSTITUTE($G29," ",""),"_",ROW($G29),"|",$G29)</f>
        <v>IFRS15-DesaAreaGeog_Areageografica2_29|Area geografica 2</v>
      </c>
    </row>
    <row r="31" spans="1:9" s="21" customFormat="1" ht="78" customHeight="1">
      <c r="A31" s="135"/>
      <c r="B31" s="138"/>
      <c r="C31" s="43"/>
      <c r="D31" s="43"/>
      <c r="E31" s="42"/>
      <c r="F31" s="63"/>
      <c r="G31" s="65" t="str">
        <f>G$7</f>
        <v>Mercado 1</v>
      </c>
      <c r="H31" s="65" t="str">
        <f t="shared" ref="H31:I31" si="0">H$7</f>
        <v>Mercado 2</v>
      </c>
      <c r="I31" s="147" t="str">
        <f t="shared" si="0"/>
        <v>Mercados de clientes [miembro]</v>
      </c>
    </row>
    <row r="32" spans="1:9" s="21" customFormat="1" ht="57" hidden="1" customHeight="1">
      <c r="A32" s="58" t="s">
        <v>10</v>
      </c>
      <c r="B32" s="142"/>
      <c r="C32" s="45"/>
      <c r="D32" s="46"/>
      <c r="E32" s="51" t="s">
        <v>37</v>
      </c>
      <c r="F32" s="47"/>
      <c r="G32" s="55" t="str">
        <f>G$8</f>
        <v>IFRS15-DesaAreaGeog_Mercado1_7|Mercado 1</v>
      </c>
      <c r="H32" s="55" t="str">
        <f t="shared" ref="H32:I32" si="1">H$8</f>
        <v>IFRS15-DesaAreaGeog_Mercado2_8|Mercado 2</v>
      </c>
      <c r="I32" s="48" t="str">
        <f t="shared" si="1"/>
        <v>full_ifrs-cor_2018-03-16.xsd#ifrs-full_MarketsOfCustomersMember</v>
      </c>
    </row>
    <row r="33" spans="1:9" s="21" customFormat="1" ht="22.5" customHeight="1">
      <c r="A33" s="58"/>
      <c r="B33" s="139"/>
      <c r="C33" s="45"/>
      <c r="D33" s="46"/>
      <c r="E33" s="46"/>
      <c r="F33" s="75" t="s">
        <v>50</v>
      </c>
      <c r="G33" s="55"/>
      <c r="H33" s="55"/>
      <c r="I33" s="73"/>
    </row>
    <row r="34" spans="1:9" s="21" customFormat="1" ht="15" customHeight="1">
      <c r="A34" s="59"/>
      <c r="B34" s="140"/>
      <c r="C34" s="34"/>
      <c r="D34" s="50"/>
      <c r="E34" s="51" t="s">
        <v>0</v>
      </c>
      <c r="F34" s="76" t="s">
        <v>43</v>
      </c>
      <c r="G34" s="66"/>
      <c r="H34" s="66"/>
      <c r="I34" s="60"/>
    </row>
    <row r="35" spans="1:9" s="21" customFormat="1" ht="21" customHeight="1">
      <c r="A35" s="59"/>
      <c r="B35" s="139"/>
      <c r="C35" s="51" t="s">
        <v>44</v>
      </c>
      <c r="D35" s="51" t="s">
        <v>11</v>
      </c>
      <c r="E35" s="51" t="s">
        <v>0</v>
      </c>
      <c r="F35" s="77" t="s">
        <v>223</v>
      </c>
      <c r="G35" s="179"/>
      <c r="H35" s="179"/>
      <c r="I35" s="177"/>
    </row>
    <row r="36" spans="1:9" s="21" customFormat="1" ht="21.75" customHeight="1">
      <c r="A36" s="59"/>
      <c r="B36" s="139"/>
      <c r="C36" s="51" t="s">
        <v>45</v>
      </c>
      <c r="D36" s="51" t="s">
        <v>11</v>
      </c>
      <c r="E36" s="51" t="s">
        <v>0</v>
      </c>
      <c r="F36" s="53" t="s">
        <v>224</v>
      </c>
      <c r="G36" s="179"/>
      <c r="H36" s="179"/>
      <c r="I36" s="177"/>
    </row>
    <row r="37" spans="1:9" s="21" customFormat="1" ht="25.5" customHeight="1">
      <c r="A37" s="59"/>
      <c r="B37" s="139"/>
      <c r="C37" s="51" t="s">
        <v>46</v>
      </c>
      <c r="D37" s="51" t="s">
        <v>11</v>
      </c>
      <c r="E37" s="51" t="s">
        <v>0</v>
      </c>
      <c r="F37" s="53" t="s">
        <v>225</v>
      </c>
      <c r="G37" s="179"/>
      <c r="H37" s="179"/>
      <c r="I37" s="177"/>
    </row>
    <row r="38" spans="1:9" s="21" customFormat="1" ht="21" customHeight="1">
      <c r="A38" s="59"/>
      <c r="B38" s="139"/>
      <c r="C38" s="51" t="s">
        <v>47</v>
      </c>
      <c r="D38" s="51" t="s">
        <v>11</v>
      </c>
      <c r="E38" s="51" t="s">
        <v>0</v>
      </c>
      <c r="F38" s="77" t="s">
        <v>226</v>
      </c>
      <c r="G38" s="180"/>
      <c r="H38" s="180"/>
      <c r="I38" s="177"/>
    </row>
    <row r="39" spans="1:9" s="21" customFormat="1" ht="21.75" customHeight="1">
      <c r="A39" s="59"/>
      <c r="B39" s="139"/>
      <c r="C39" s="51" t="s">
        <v>48</v>
      </c>
      <c r="D39" s="51" t="s">
        <v>11</v>
      </c>
      <c r="E39" s="51" t="s">
        <v>0</v>
      </c>
      <c r="F39" s="53" t="s">
        <v>227</v>
      </c>
      <c r="G39" s="180"/>
      <c r="H39" s="180"/>
      <c r="I39" s="177"/>
    </row>
    <row r="40" spans="1:9" s="21" customFormat="1" ht="25.5" customHeight="1">
      <c r="A40" s="59"/>
      <c r="B40" s="139"/>
      <c r="C40" s="51" t="s">
        <v>28</v>
      </c>
      <c r="D40" s="51" t="s">
        <v>11</v>
      </c>
      <c r="E40" s="51" t="s">
        <v>0</v>
      </c>
      <c r="F40" s="53" t="s">
        <v>228</v>
      </c>
      <c r="G40" s="67">
        <v>0</v>
      </c>
      <c r="H40" s="67"/>
      <c r="I40" s="70">
        <f>G40+H40</f>
        <v>0</v>
      </c>
    </row>
    <row r="41" spans="1:9" s="21" customFormat="1" ht="15" customHeight="1">
      <c r="A41" s="59"/>
      <c r="B41" s="140"/>
      <c r="C41" s="34"/>
      <c r="D41" s="34"/>
      <c r="E41" s="34" t="s">
        <v>0</v>
      </c>
      <c r="F41" s="34" t="s">
        <v>0</v>
      </c>
      <c r="G41" s="68"/>
      <c r="H41" s="68"/>
      <c r="I41" s="60"/>
    </row>
    <row r="42" spans="1:9" s="21" customFormat="1" ht="15" customHeight="1">
      <c r="A42" s="59"/>
      <c r="B42" s="140"/>
      <c r="C42" s="34"/>
      <c r="D42" s="34"/>
      <c r="E42" s="34"/>
      <c r="F42" s="34"/>
      <c r="G42" s="68"/>
      <c r="H42" s="68"/>
      <c r="I42" s="60"/>
    </row>
    <row r="43" spans="1:9" s="21" customFormat="1" ht="15" customHeight="1">
      <c r="A43" s="59"/>
      <c r="B43" s="139"/>
      <c r="C43" s="45"/>
      <c r="D43" s="51"/>
      <c r="E43" s="51"/>
      <c r="F43" s="75" t="s">
        <v>51</v>
      </c>
      <c r="G43" s="66" t="s">
        <v>0</v>
      </c>
      <c r="H43" s="66" t="s">
        <v>0</v>
      </c>
      <c r="I43" s="60" t="s">
        <v>0</v>
      </c>
    </row>
    <row r="44" spans="1:9" s="21" customFormat="1" ht="15" customHeight="1">
      <c r="A44" s="59"/>
      <c r="B44" s="140"/>
      <c r="C44" s="34"/>
      <c r="D44" s="50"/>
      <c r="E44" s="51" t="s">
        <v>0</v>
      </c>
      <c r="F44" s="76" t="s">
        <v>43</v>
      </c>
      <c r="G44" s="66"/>
      <c r="H44" s="66"/>
      <c r="I44" s="60"/>
    </row>
    <row r="45" spans="1:9" s="21" customFormat="1" ht="21" customHeight="1">
      <c r="A45" s="59"/>
      <c r="B45" s="139"/>
      <c r="C45" s="51" t="s">
        <v>44</v>
      </c>
      <c r="D45" s="51" t="s">
        <v>13</v>
      </c>
      <c r="E45" s="51" t="s">
        <v>0</v>
      </c>
      <c r="F45" s="77" t="s">
        <v>223</v>
      </c>
      <c r="G45" s="179"/>
      <c r="H45" s="179"/>
      <c r="I45" s="177"/>
    </row>
    <row r="46" spans="1:9" s="21" customFormat="1" ht="21.75" customHeight="1">
      <c r="A46" s="59"/>
      <c r="B46" s="139"/>
      <c r="C46" s="51" t="s">
        <v>45</v>
      </c>
      <c r="D46" s="51" t="s">
        <v>13</v>
      </c>
      <c r="E46" s="51" t="s">
        <v>0</v>
      </c>
      <c r="F46" s="53" t="s">
        <v>224</v>
      </c>
      <c r="G46" s="179"/>
      <c r="H46" s="179"/>
      <c r="I46" s="177"/>
    </row>
    <row r="47" spans="1:9" s="21" customFormat="1" ht="25.5" customHeight="1">
      <c r="A47" s="59"/>
      <c r="B47" s="139"/>
      <c r="C47" s="51" t="s">
        <v>46</v>
      </c>
      <c r="D47" s="51" t="s">
        <v>13</v>
      </c>
      <c r="E47" s="51" t="s">
        <v>0</v>
      </c>
      <c r="F47" s="53" t="s">
        <v>225</v>
      </c>
      <c r="G47" s="179"/>
      <c r="H47" s="179"/>
      <c r="I47" s="177"/>
    </row>
    <row r="48" spans="1:9" s="21" customFormat="1" ht="21" customHeight="1">
      <c r="A48" s="59"/>
      <c r="B48" s="139"/>
      <c r="C48" s="51" t="s">
        <v>47</v>
      </c>
      <c r="D48" s="51" t="s">
        <v>13</v>
      </c>
      <c r="E48" s="51" t="s">
        <v>0</v>
      </c>
      <c r="F48" s="77" t="s">
        <v>226</v>
      </c>
      <c r="G48" s="180"/>
      <c r="H48" s="180"/>
      <c r="I48" s="177"/>
    </row>
    <row r="49" spans="1:9" s="21" customFormat="1" ht="21.75" customHeight="1">
      <c r="A49" s="59"/>
      <c r="B49" s="139"/>
      <c r="C49" s="51" t="s">
        <v>48</v>
      </c>
      <c r="D49" s="51" t="s">
        <v>13</v>
      </c>
      <c r="E49" s="51" t="s">
        <v>0</v>
      </c>
      <c r="F49" s="53" t="s">
        <v>227</v>
      </c>
      <c r="G49" s="180"/>
      <c r="H49" s="180"/>
      <c r="I49" s="177"/>
    </row>
    <row r="50" spans="1:9" s="21" customFormat="1" ht="25.5" customHeight="1">
      <c r="A50" s="59"/>
      <c r="B50" s="139"/>
      <c r="C50" s="51" t="s">
        <v>28</v>
      </c>
      <c r="D50" s="51" t="s">
        <v>13</v>
      </c>
      <c r="E50" s="51" t="s">
        <v>0</v>
      </c>
      <c r="F50" s="53" t="s">
        <v>228</v>
      </c>
      <c r="G50" s="67">
        <v>4000</v>
      </c>
      <c r="H50" s="67"/>
      <c r="I50" s="70">
        <f>G50+H50</f>
        <v>4000</v>
      </c>
    </row>
    <row r="51" spans="1:9" ht="15.75" thickBot="1">
      <c r="A51" s="59"/>
      <c r="B51" s="141"/>
      <c r="C51" s="61"/>
      <c r="D51" s="61"/>
      <c r="E51" s="61" t="s">
        <v>0</v>
      </c>
      <c r="F51" s="61" t="s">
        <v>0</v>
      </c>
      <c r="G51" s="69"/>
      <c r="H51" s="69"/>
      <c r="I51" s="62"/>
    </row>
    <row r="53" spans="1:9" ht="15.75" thickBot="1"/>
    <row r="54" spans="1:9" s="21" customFormat="1" ht="25.5" customHeight="1" thickBot="1">
      <c r="A54" s="132" t="s">
        <v>8</v>
      </c>
      <c r="B54" s="130"/>
      <c r="C54" s="96"/>
      <c r="D54" s="96"/>
      <c r="E54" s="96"/>
      <c r="F54" s="144" t="s">
        <v>61</v>
      </c>
      <c r="G54" s="204" t="s">
        <v>60</v>
      </c>
      <c r="H54" s="205"/>
      <c r="I54" s="206"/>
    </row>
    <row r="55" spans="1:9" s="21" customFormat="1" ht="158.25" hidden="1" customHeight="1" thickBot="1">
      <c r="A55" s="132" t="s">
        <v>10</v>
      </c>
      <c r="B55" s="131"/>
      <c r="C55" s="97"/>
      <c r="D55" s="97" t="s">
        <v>55</v>
      </c>
      <c r="E55" s="98" t="s">
        <v>56</v>
      </c>
      <c r="F55" s="99"/>
      <c r="G55" s="100" t="s">
        <v>59</v>
      </c>
      <c r="H55" s="101" t="s">
        <v>59</v>
      </c>
      <c r="I55" s="102" t="s">
        <v>59</v>
      </c>
    </row>
    <row r="56" spans="1:9" s="21" customFormat="1" ht="78" customHeight="1">
      <c r="A56" s="83"/>
      <c r="B56" s="104"/>
      <c r="C56" s="103"/>
      <c r="D56" s="103"/>
      <c r="E56" s="99"/>
      <c r="F56" s="95"/>
      <c r="G56" s="65" t="str">
        <f>G$7</f>
        <v>Mercado 1</v>
      </c>
      <c r="H56" s="65" t="str">
        <f t="shared" ref="H56:I56" si="2">H$7</f>
        <v>Mercado 2</v>
      </c>
      <c r="I56" s="146" t="str">
        <f t="shared" si="2"/>
        <v>Mercados de clientes [miembro]</v>
      </c>
    </row>
    <row r="57" spans="1:9" s="21" customFormat="1" ht="57" hidden="1" customHeight="1">
      <c r="A57" s="52" t="s">
        <v>10</v>
      </c>
      <c r="B57" s="44"/>
      <c r="C57" s="45"/>
      <c r="D57" s="46"/>
      <c r="E57" s="51" t="s">
        <v>37</v>
      </c>
      <c r="F57" s="79"/>
      <c r="G57" s="55" t="str">
        <f>G$8</f>
        <v>IFRS15-DesaAreaGeog_Mercado1_7|Mercado 1</v>
      </c>
      <c r="H57" s="55" t="str">
        <f t="shared" ref="H57:I57" si="3">H$8</f>
        <v>IFRS15-DesaAreaGeog_Mercado2_8|Mercado 2</v>
      </c>
      <c r="I57" s="84" t="str">
        <f t="shared" si="3"/>
        <v>full_ifrs-cor_2018-03-16.xsd#ifrs-full_MarketsOfCustomersMember</v>
      </c>
    </row>
    <row r="58" spans="1:9" s="21" customFormat="1" ht="22.5" customHeight="1">
      <c r="A58" s="52"/>
      <c r="B58" s="44"/>
      <c r="C58" s="45"/>
      <c r="D58" s="46"/>
      <c r="E58" s="46"/>
      <c r="F58" s="80" t="s">
        <v>50</v>
      </c>
      <c r="G58" s="55"/>
      <c r="H58" s="55"/>
      <c r="I58" s="85"/>
    </row>
    <row r="59" spans="1:9" s="21" customFormat="1" ht="15" customHeight="1">
      <c r="A59" s="86"/>
      <c r="B59" s="49"/>
      <c r="C59" s="34"/>
      <c r="D59" s="50"/>
      <c r="E59" s="51" t="s">
        <v>0</v>
      </c>
      <c r="F59" s="81" t="s">
        <v>43</v>
      </c>
      <c r="G59" s="66"/>
      <c r="H59" s="66"/>
      <c r="I59" s="87"/>
    </row>
    <row r="60" spans="1:9" s="21" customFormat="1" ht="21" customHeight="1">
      <c r="A60" s="86"/>
      <c r="B60" s="44"/>
      <c r="C60" s="51" t="s">
        <v>44</v>
      </c>
      <c r="D60" s="51" t="s">
        <v>11</v>
      </c>
      <c r="E60" s="51" t="s">
        <v>0</v>
      </c>
      <c r="F60" s="82" t="s">
        <v>223</v>
      </c>
      <c r="G60" s="179"/>
      <c r="H60" s="179"/>
      <c r="I60" s="177"/>
    </row>
    <row r="61" spans="1:9" s="21" customFormat="1" ht="21.75" customHeight="1">
      <c r="A61" s="86"/>
      <c r="B61" s="44"/>
      <c r="C61" s="51" t="s">
        <v>45</v>
      </c>
      <c r="D61" s="51" t="s">
        <v>11</v>
      </c>
      <c r="E61" s="51" t="s">
        <v>0</v>
      </c>
      <c r="F61" s="82" t="s">
        <v>224</v>
      </c>
      <c r="G61" s="179"/>
      <c r="H61" s="179"/>
      <c r="I61" s="177"/>
    </row>
    <row r="62" spans="1:9" s="21" customFormat="1" ht="25.5" customHeight="1">
      <c r="A62" s="86"/>
      <c r="B62" s="44"/>
      <c r="C62" s="51" t="s">
        <v>46</v>
      </c>
      <c r="D62" s="51" t="s">
        <v>11</v>
      </c>
      <c r="E62" s="51" t="s">
        <v>0</v>
      </c>
      <c r="F62" s="82" t="s">
        <v>225</v>
      </c>
      <c r="G62" s="179"/>
      <c r="H62" s="179"/>
      <c r="I62" s="177"/>
    </row>
    <row r="63" spans="1:9" s="21" customFormat="1" ht="21" customHeight="1">
      <c r="A63" s="86"/>
      <c r="B63" s="44"/>
      <c r="C63" s="51" t="s">
        <v>47</v>
      </c>
      <c r="D63" s="51" t="s">
        <v>11</v>
      </c>
      <c r="E63" s="51" t="s">
        <v>0</v>
      </c>
      <c r="F63" s="82" t="s">
        <v>226</v>
      </c>
      <c r="G63" s="180"/>
      <c r="H63" s="180"/>
      <c r="I63" s="177"/>
    </row>
    <row r="64" spans="1:9" s="21" customFormat="1" ht="21.75" customHeight="1">
      <c r="A64" s="86"/>
      <c r="B64" s="44"/>
      <c r="C64" s="51" t="s">
        <v>48</v>
      </c>
      <c r="D64" s="51" t="s">
        <v>11</v>
      </c>
      <c r="E64" s="51" t="s">
        <v>0</v>
      </c>
      <c r="F64" s="82" t="s">
        <v>227</v>
      </c>
      <c r="G64" s="180"/>
      <c r="H64" s="180"/>
      <c r="I64" s="177"/>
    </row>
    <row r="65" spans="1:9" s="21" customFormat="1" ht="25.5" customHeight="1">
      <c r="A65" s="86"/>
      <c r="B65" s="44"/>
      <c r="C65" s="51" t="s">
        <v>28</v>
      </c>
      <c r="D65" s="51" t="s">
        <v>11</v>
      </c>
      <c r="E65" s="51" t="s">
        <v>0</v>
      </c>
      <c r="F65" s="82" t="s">
        <v>228</v>
      </c>
      <c r="G65" s="67">
        <v>1000</v>
      </c>
      <c r="H65" s="67"/>
      <c r="I65" s="88">
        <f>G65+H65</f>
        <v>1000</v>
      </c>
    </row>
    <row r="66" spans="1:9" s="21" customFormat="1" ht="15" customHeight="1">
      <c r="A66" s="86"/>
      <c r="B66" s="49"/>
      <c r="C66" s="34"/>
      <c r="D66" s="34"/>
      <c r="E66" s="34" t="s">
        <v>0</v>
      </c>
      <c r="F66" s="78" t="s">
        <v>0</v>
      </c>
      <c r="G66" s="68"/>
      <c r="H66" s="68"/>
      <c r="I66" s="87"/>
    </row>
    <row r="67" spans="1:9" s="21" customFormat="1" ht="15" customHeight="1">
      <c r="A67" s="86"/>
      <c r="B67" s="49"/>
      <c r="C67" s="34"/>
      <c r="D67" s="34"/>
      <c r="E67" s="34"/>
      <c r="F67" s="78"/>
      <c r="G67" s="68"/>
      <c r="H67" s="68"/>
      <c r="I67" s="87"/>
    </row>
    <row r="68" spans="1:9" s="21" customFormat="1" ht="15" customHeight="1">
      <c r="A68" s="86"/>
      <c r="B68" s="44"/>
      <c r="C68" s="45"/>
      <c r="D68" s="51"/>
      <c r="E68" s="51"/>
      <c r="F68" s="80" t="s">
        <v>51</v>
      </c>
      <c r="G68" s="66" t="s">
        <v>0</v>
      </c>
      <c r="H68" s="66" t="s">
        <v>0</v>
      </c>
      <c r="I68" s="87" t="s">
        <v>0</v>
      </c>
    </row>
    <row r="69" spans="1:9" s="21" customFormat="1" ht="15" customHeight="1">
      <c r="A69" s="86"/>
      <c r="B69" s="49"/>
      <c r="C69" s="34"/>
      <c r="D69" s="50"/>
      <c r="E69" s="51" t="s">
        <v>0</v>
      </c>
      <c r="F69" s="81" t="s">
        <v>43</v>
      </c>
      <c r="G69" s="66"/>
      <c r="H69" s="66"/>
      <c r="I69" s="87"/>
    </row>
    <row r="70" spans="1:9" s="21" customFormat="1" ht="21" customHeight="1">
      <c r="A70" s="86"/>
      <c r="B70" s="44"/>
      <c r="C70" s="51" t="s">
        <v>44</v>
      </c>
      <c r="D70" s="51" t="s">
        <v>13</v>
      </c>
      <c r="E70" s="51" t="s">
        <v>0</v>
      </c>
      <c r="F70" s="82" t="s">
        <v>223</v>
      </c>
      <c r="G70" s="179"/>
      <c r="H70" s="179"/>
      <c r="I70" s="177"/>
    </row>
    <row r="71" spans="1:9" s="21" customFormat="1" ht="21.75" customHeight="1">
      <c r="A71" s="86"/>
      <c r="B71" s="44"/>
      <c r="C71" s="51" t="s">
        <v>45</v>
      </c>
      <c r="D71" s="51" t="s">
        <v>13</v>
      </c>
      <c r="E71" s="51" t="s">
        <v>0</v>
      </c>
      <c r="F71" s="82" t="s">
        <v>224</v>
      </c>
      <c r="G71" s="179"/>
      <c r="H71" s="179"/>
      <c r="I71" s="177"/>
    </row>
    <row r="72" spans="1:9" s="21" customFormat="1" ht="25.5" customHeight="1">
      <c r="A72" s="86"/>
      <c r="B72" s="44"/>
      <c r="C72" s="51" t="s">
        <v>46</v>
      </c>
      <c r="D72" s="51" t="s">
        <v>13</v>
      </c>
      <c r="E72" s="51" t="s">
        <v>0</v>
      </c>
      <c r="F72" s="82" t="s">
        <v>225</v>
      </c>
      <c r="G72" s="179"/>
      <c r="H72" s="179"/>
      <c r="I72" s="177"/>
    </row>
    <row r="73" spans="1:9" s="21" customFormat="1" ht="21" customHeight="1">
      <c r="A73" s="86"/>
      <c r="B73" s="44"/>
      <c r="C73" s="51" t="s">
        <v>47</v>
      </c>
      <c r="D73" s="51" t="s">
        <v>13</v>
      </c>
      <c r="E73" s="51" t="s">
        <v>0</v>
      </c>
      <c r="F73" s="82" t="s">
        <v>226</v>
      </c>
      <c r="G73" s="180"/>
      <c r="H73" s="180"/>
      <c r="I73" s="177"/>
    </row>
    <row r="74" spans="1:9" s="21" customFormat="1" ht="21.75" customHeight="1">
      <c r="A74" s="86"/>
      <c r="B74" s="44"/>
      <c r="C74" s="51" t="s">
        <v>48</v>
      </c>
      <c r="D74" s="51" t="s">
        <v>13</v>
      </c>
      <c r="E74" s="51" t="s">
        <v>0</v>
      </c>
      <c r="F74" s="82" t="s">
        <v>227</v>
      </c>
      <c r="G74" s="180"/>
      <c r="H74" s="180"/>
      <c r="I74" s="177"/>
    </row>
    <row r="75" spans="1:9" s="21" customFormat="1" ht="25.5" customHeight="1">
      <c r="A75" s="86"/>
      <c r="B75" s="44"/>
      <c r="C75" s="51" t="s">
        <v>28</v>
      </c>
      <c r="D75" s="51" t="s">
        <v>13</v>
      </c>
      <c r="E75" s="51" t="s">
        <v>0</v>
      </c>
      <c r="F75" s="82" t="s">
        <v>228</v>
      </c>
      <c r="G75" s="67">
        <v>7000</v>
      </c>
      <c r="H75" s="67"/>
      <c r="I75" s="88">
        <f>G75+H75</f>
        <v>7000</v>
      </c>
    </row>
    <row r="76" spans="1:9" ht="15.75" thickBot="1">
      <c r="A76" s="86"/>
      <c r="B76" s="89"/>
      <c r="C76" s="90"/>
      <c r="D76" s="90"/>
      <c r="E76" s="90" t="s">
        <v>0</v>
      </c>
      <c r="F76" s="91" t="s">
        <v>0</v>
      </c>
      <c r="G76" s="105"/>
      <c r="H76" s="105"/>
      <c r="I76" s="92"/>
    </row>
  </sheetData>
  <mergeCells count="3">
    <mergeCell ref="G5:I5"/>
    <mergeCell ref="G29:I29"/>
    <mergeCell ref="G54:I54"/>
  </mergeCells>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0000000}">
          <x14:formula1>
            <xm:f>codigo!$A$2:$A$3</xm:f>
          </x14:formula1>
          <xm:sqref>G4</xm:sqref>
        </x14:dataValidation>
        <x14:dataValidation type="list" allowBlank="1" showInputMessage="1" showErrorMessage="1" xr:uid="{00000000-0002-0000-0300-000001000000}">
          <x14:formula1>
            <xm:f>codigo!$F$2:$F$3</xm:f>
          </x14:formula1>
          <xm:sqref>G49:H49 G64:H64 G15:H15 G25:H25 G39:H39 G74:H74</xm:sqref>
        </x14:dataValidation>
        <x14:dataValidation type="list" allowBlank="1" showInputMessage="1" showErrorMessage="1" xr:uid="{00000000-0002-0000-0300-000002000000}">
          <x14:formula1>
            <xm:f>codigo!$E$2:$E$3</xm:f>
          </x14:formula1>
          <xm:sqref>G48:H48 G63:H63 G14:H14 G24:H24 G38:H38 G73:H73</xm:sqref>
        </x14:dataValidation>
        <x14:dataValidation type="list" allowBlank="1" showInputMessage="1" showErrorMessage="1" xr:uid="{00000000-0002-0000-0300-000003000000}">
          <x14:formula1>
            <xm:f>codigo!$D$2:$D$3</xm:f>
          </x14:formula1>
          <xm:sqref>G47:H47 G62:H62 G13:H13 G23:H23 G37:H37 G72:H72</xm:sqref>
        </x14:dataValidation>
        <x14:dataValidation type="list" allowBlank="1" showInputMessage="1" showErrorMessage="1" xr:uid="{00000000-0002-0000-0300-000004000000}">
          <x14:formula1>
            <xm:f>codigo!$C$2:$C$4</xm:f>
          </x14:formula1>
          <xm:sqref>G46:H46 G61:H61 G12:H12 G22:H22 G36:H36 G71:H71</xm:sqref>
        </x14:dataValidation>
        <x14:dataValidation type="list" allowBlank="1" showInputMessage="1" showErrorMessage="1" xr:uid="{00000000-0002-0000-0300-000005000000}">
          <x14:formula1>
            <xm:f>codigo!$B$2:$B$3</xm:f>
          </x14:formula1>
          <xm:sqref>G45:H45 G60:H60 G11:H11 G21:H21 G35:H35 G70:H70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1">
    <tabColor rgb="FFFFFF00"/>
  </sheetPr>
  <dimension ref="A1:J76"/>
  <sheetViews>
    <sheetView topLeftCell="A64" zoomScale="70" zoomScaleNormal="70" workbookViewId="0">
      <selection activeCell="K74" sqref="K74"/>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 min="7" max="9" width="20.28515625" customWidth="1"/>
  </cols>
  <sheetData>
    <row r="1" spans="1:10" ht="54.95" customHeight="1" thickBot="1"/>
    <row r="2" spans="1:10" ht="177" customHeight="1" thickBot="1">
      <c r="F2" s="40" t="s">
        <v>34</v>
      </c>
    </row>
    <row r="3" spans="1:10" ht="15.75" thickBot="1"/>
    <row r="4" spans="1:10" ht="16.5" thickBot="1">
      <c r="F4" s="123" t="s">
        <v>6</v>
      </c>
      <c r="G4" s="124" t="s">
        <v>7</v>
      </c>
    </row>
    <row r="5" spans="1:10" s="21" customFormat="1" ht="25.5" customHeight="1" thickBot="1">
      <c r="A5" s="134" t="s">
        <v>8</v>
      </c>
      <c r="B5" s="130"/>
      <c r="C5" s="96"/>
      <c r="D5" s="96"/>
      <c r="E5" s="96"/>
      <c r="F5" s="144" t="s">
        <v>102</v>
      </c>
      <c r="G5" s="204" t="s">
        <v>65</v>
      </c>
      <c r="H5" s="205"/>
      <c r="I5" s="206"/>
    </row>
    <row r="6" spans="1:10" s="21" customFormat="1" ht="158.25" hidden="1" customHeight="1" thickBot="1">
      <c r="A6" s="134" t="s">
        <v>10</v>
      </c>
      <c r="B6" s="131"/>
      <c r="C6" s="97"/>
      <c r="D6" s="97" t="s">
        <v>62</v>
      </c>
      <c r="E6" s="148" t="s">
        <v>63</v>
      </c>
      <c r="F6" s="99"/>
      <c r="G6" s="149" t="s">
        <v>64</v>
      </c>
      <c r="H6" s="149" t="s">
        <v>64</v>
      </c>
      <c r="I6" s="102" t="s">
        <v>64</v>
      </c>
    </row>
    <row r="7" spans="1:10" s="21" customFormat="1" ht="78" customHeight="1">
      <c r="A7" s="135"/>
      <c r="B7" s="150"/>
      <c r="C7" s="94"/>
      <c r="D7" s="94"/>
      <c r="E7" s="93"/>
      <c r="F7" s="63"/>
      <c r="G7" s="65" t="s">
        <v>41</v>
      </c>
      <c r="H7" s="65" t="s">
        <v>42</v>
      </c>
      <c r="I7" s="151" t="s">
        <v>39</v>
      </c>
    </row>
    <row r="8" spans="1:10" s="21" customFormat="1" ht="57" hidden="1" customHeight="1">
      <c r="A8" s="58" t="s">
        <v>10</v>
      </c>
      <c r="B8" s="44"/>
      <c r="C8" s="45"/>
      <c r="D8" s="46"/>
      <c r="E8" s="51" t="s">
        <v>37</v>
      </c>
      <c r="F8" s="47"/>
      <c r="G8" s="55" t="str">
        <f>CONCATENATE(CONCATENATE("IFRS15-DesaSegmOper_",SUBSTITUTE(TRIM(G7)," ",""),"_",COLUMN(G8),"|",G7))</f>
        <v>IFRS15-DesaSegmOper_Mercado1_7|Mercado 1</v>
      </c>
      <c r="H8" s="55" t="str">
        <f>CONCATENATE(CONCATENATE("IFRS15-DesaSegmOper_",SUBSTITUTE(TRIM(H7)," ",""),"_",COLUMN(H8),"|",H7))</f>
        <v>IFRS15-DesaSegmOper_Mercado2_8|Mercado 2</v>
      </c>
      <c r="I8" s="84" t="s">
        <v>38</v>
      </c>
    </row>
    <row r="9" spans="1:10" s="21" customFormat="1" ht="22.5" customHeight="1">
      <c r="A9" s="58"/>
      <c r="B9" s="44"/>
      <c r="C9" s="45"/>
      <c r="D9" s="46"/>
      <c r="E9" s="46"/>
      <c r="F9" s="75" t="s">
        <v>50</v>
      </c>
      <c r="G9" s="55"/>
      <c r="H9" s="55"/>
      <c r="I9" s="85"/>
    </row>
    <row r="10" spans="1:10" s="21" customFormat="1" ht="15" customHeight="1">
      <c r="A10" s="59"/>
      <c r="B10" s="49"/>
      <c r="C10" s="34"/>
      <c r="D10" s="50"/>
      <c r="E10" s="51" t="s">
        <v>0</v>
      </c>
      <c r="F10" s="76" t="s">
        <v>43</v>
      </c>
      <c r="G10" s="66"/>
      <c r="H10" s="66"/>
      <c r="I10" s="87"/>
    </row>
    <row r="11" spans="1:10" s="21" customFormat="1" ht="21" customHeight="1">
      <c r="A11" s="59"/>
      <c r="B11" s="44"/>
      <c r="C11" s="51" t="s">
        <v>44</v>
      </c>
      <c r="D11" s="51" t="s">
        <v>11</v>
      </c>
      <c r="E11" s="51" t="s">
        <v>0</v>
      </c>
      <c r="F11" s="77" t="s">
        <v>218</v>
      </c>
      <c r="G11" s="179"/>
      <c r="H11" s="179"/>
      <c r="I11" s="177"/>
      <c r="J11"/>
    </row>
    <row r="12" spans="1:10" s="21" customFormat="1" ht="21.75" customHeight="1">
      <c r="A12" s="59"/>
      <c r="B12" s="44"/>
      <c r="C12" s="51" t="s">
        <v>45</v>
      </c>
      <c r="D12" s="51" t="s">
        <v>11</v>
      </c>
      <c r="E12" s="51" t="s">
        <v>0</v>
      </c>
      <c r="F12" s="53" t="s">
        <v>219</v>
      </c>
      <c r="G12" s="179"/>
      <c r="H12" s="179"/>
      <c r="I12" s="177"/>
      <c r="J12"/>
    </row>
    <row r="13" spans="1:10" s="21" customFormat="1" ht="25.5" customHeight="1">
      <c r="A13" s="59"/>
      <c r="B13" s="44"/>
      <c r="C13" s="51" t="s">
        <v>46</v>
      </c>
      <c r="D13" s="51" t="s">
        <v>11</v>
      </c>
      <c r="E13" s="51" t="s">
        <v>0</v>
      </c>
      <c r="F13" s="53" t="s">
        <v>220</v>
      </c>
      <c r="G13" s="179"/>
      <c r="H13" s="179"/>
      <c r="I13" s="177"/>
      <c r="J13"/>
    </row>
    <row r="14" spans="1:10" s="21" customFormat="1" ht="21" customHeight="1">
      <c r="A14" s="59"/>
      <c r="B14" s="44"/>
      <c r="C14" s="51" t="s">
        <v>47</v>
      </c>
      <c r="D14" s="51" t="s">
        <v>11</v>
      </c>
      <c r="E14" s="51" t="s">
        <v>0</v>
      </c>
      <c r="F14" s="77" t="s">
        <v>221</v>
      </c>
      <c r="G14" s="180"/>
      <c r="H14" s="180"/>
      <c r="I14" s="177"/>
      <c r="J14"/>
    </row>
    <row r="15" spans="1:10" s="21" customFormat="1" ht="21.75" customHeight="1">
      <c r="A15" s="59"/>
      <c r="B15" s="44"/>
      <c r="C15" s="51" t="s">
        <v>48</v>
      </c>
      <c r="D15" s="51" t="s">
        <v>11</v>
      </c>
      <c r="E15" s="51" t="s">
        <v>0</v>
      </c>
      <c r="F15" s="53" t="s">
        <v>222</v>
      </c>
      <c r="G15" s="180"/>
      <c r="H15" s="180"/>
      <c r="I15" s="177"/>
      <c r="J15"/>
    </row>
    <row r="16" spans="1:10" s="21" customFormat="1" ht="25.5" customHeight="1">
      <c r="A16" s="59"/>
      <c r="B16" s="44"/>
      <c r="C16" s="51" t="s">
        <v>28</v>
      </c>
      <c r="D16" s="51" t="s">
        <v>11</v>
      </c>
      <c r="E16" s="51" t="s">
        <v>0</v>
      </c>
      <c r="F16" s="53" t="s">
        <v>237</v>
      </c>
      <c r="G16" s="67">
        <v>1000</v>
      </c>
      <c r="H16" s="67"/>
      <c r="I16" s="88">
        <f>G16+H16</f>
        <v>1000</v>
      </c>
      <c r="J16"/>
    </row>
    <row r="17" spans="1:9" s="21" customFormat="1" ht="15" customHeight="1">
      <c r="A17" s="59"/>
      <c r="B17" s="49"/>
      <c r="C17" s="34"/>
      <c r="D17" s="34"/>
      <c r="E17" s="34" t="s">
        <v>0</v>
      </c>
      <c r="F17" s="34" t="s">
        <v>0</v>
      </c>
      <c r="G17" s="68"/>
      <c r="H17" s="68"/>
      <c r="I17" s="87"/>
    </row>
    <row r="18" spans="1:9" s="21" customFormat="1" ht="15" customHeight="1">
      <c r="A18" s="59"/>
      <c r="B18" s="49"/>
      <c r="C18" s="34"/>
      <c r="D18" s="34"/>
      <c r="E18" s="34"/>
      <c r="F18" s="34"/>
      <c r="G18" s="68"/>
      <c r="H18" s="68"/>
      <c r="I18" s="87"/>
    </row>
    <row r="19" spans="1:9" s="21" customFormat="1" ht="15" customHeight="1">
      <c r="A19" s="59"/>
      <c r="B19" s="44"/>
      <c r="C19" s="45"/>
      <c r="D19" s="51"/>
      <c r="E19" s="51"/>
      <c r="F19" s="75" t="s">
        <v>51</v>
      </c>
      <c r="G19" s="66" t="s">
        <v>0</v>
      </c>
      <c r="H19" s="66" t="s">
        <v>0</v>
      </c>
      <c r="I19" s="87" t="s">
        <v>0</v>
      </c>
    </row>
    <row r="20" spans="1:9" s="21" customFormat="1" ht="15" customHeight="1">
      <c r="A20" s="59"/>
      <c r="B20" s="49"/>
      <c r="C20" s="34"/>
      <c r="D20" s="50"/>
      <c r="E20" s="51" t="s">
        <v>0</v>
      </c>
      <c r="F20" s="76" t="s">
        <v>43</v>
      </c>
      <c r="G20" s="66"/>
      <c r="H20" s="66"/>
      <c r="I20" s="87"/>
    </row>
    <row r="21" spans="1:9" s="21" customFormat="1" ht="21" customHeight="1">
      <c r="A21" s="59"/>
      <c r="B21" s="44"/>
      <c r="C21" s="51" t="s">
        <v>44</v>
      </c>
      <c r="D21" s="51" t="s">
        <v>13</v>
      </c>
      <c r="E21" s="51" t="s">
        <v>0</v>
      </c>
      <c r="F21" s="77" t="s">
        <v>218</v>
      </c>
      <c r="G21" s="179"/>
      <c r="H21" s="179"/>
      <c r="I21" s="177"/>
    </row>
    <row r="22" spans="1:9" s="21" customFormat="1" ht="21.75" customHeight="1">
      <c r="A22" s="59"/>
      <c r="B22" s="44"/>
      <c r="C22" s="51" t="s">
        <v>45</v>
      </c>
      <c r="D22" s="51" t="s">
        <v>13</v>
      </c>
      <c r="E22" s="51" t="s">
        <v>0</v>
      </c>
      <c r="F22" s="53" t="s">
        <v>219</v>
      </c>
      <c r="G22" s="179"/>
      <c r="H22" s="179"/>
      <c r="I22" s="177"/>
    </row>
    <row r="23" spans="1:9" s="21" customFormat="1" ht="25.5" customHeight="1">
      <c r="A23" s="59"/>
      <c r="B23" s="44"/>
      <c r="C23" s="51" t="s">
        <v>46</v>
      </c>
      <c r="D23" s="51" t="s">
        <v>13</v>
      </c>
      <c r="E23" s="51" t="s">
        <v>0</v>
      </c>
      <c r="F23" s="53" t="s">
        <v>220</v>
      </c>
      <c r="G23" s="179"/>
      <c r="H23" s="179"/>
      <c r="I23" s="177"/>
    </row>
    <row r="24" spans="1:9" s="21" customFormat="1" ht="21" customHeight="1">
      <c r="A24" s="59"/>
      <c r="B24" s="44"/>
      <c r="C24" s="51" t="s">
        <v>47</v>
      </c>
      <c r="D24" s="51" t="s">
        <v>13</v>
      </c>
      <c r="E24" s="51" t="s">
        <v>0</v>
      </c>
      <c r="F24" s="77" t="s">
        <v>221</v>
      </c>
      <c r="G24" s="180"/>
      <c r="H24" s="180"/>
      <c r="I24" s="177"/>
    </row>
    <row r="25" spans="1:9" s="21" customFormat="1" ht="21.75" customHeight="1">
      <c r="A25" s="59"/>
      <c r="B25" s="44"/>
      <c r="C25" s="51" t="s">
        <v>48</v>
      </c>
      <c r="D25" s="51" t="s">
        <v>13</v>
      </c>
      <c r="E25" s="51" t="s">
        <v>0</v>
      </c>
      <c r="F25" s="53" t="s">
        <v>222</v>
      </c>
      <c r="G25" s="180"/>
      <c r="H25" s="180"/>
      <c r="I25" s="177"/>
    </row>
    <row r="26" spans="1:9" s="21" customFormat="1" ht="25.5" customHeight="1">
      <c r="A26" s="59"/>
      <c r="B26" s="44"/>
      <c r="C26" s="51" t="s">
        <v>28</v>
      </c>
      <c r="D26" s="51" t="s">
        <v>13</v>
      </c>
      <c r="E26" s="51" t="s">
        <v>0</v>
      </c>
      <c r="F26" s="53" t="s">
        <v>237</v>
      </c>
      <c r="G26" s="67">
        <v>3000</v>
      </c>
      <c r="H26" s="67"/>
      <c r="I26" s="88">
        <f>G26+H26</f>
        <v>3000</v>
      </c>
    </row>
    <row r="27" spans="1:9" ht="15.75" thickBot="1">
      <c r="A27" s="59"/>
      <c r="B27" s="89"/>
      <c r="C27" s="90"/>
      <c r="D27" s="90"/>
      <c r="E27" s="90" t="s">
        <v>0</v>
      </c>
      <c r="F27" s="90" t="s">
        <v>0</v>
      </c>
      <c r="G27" s="105"/>
      <c r="H27" s="105"/>
      <c r="I27" s="92"/>
    </row>
    <row r="28" spans="1:9" ht="15.75" thickBot="1"/>
    <row r="29" spans="1:9" s="21" customFormat="1" ht="25.5" customHeight="1" thickBot="1">
      <c r="A29" s="134" t="s">
        <v>8</v>
      </c>
      <c r="B29" s="130"/>
      <c r="C29" s="96"/>
      <c r="D29" s="96"/>
      <c r="E29" s="96"/>
      <c r="F29" s="144" t="s">
        <v>61</v>
      </c>
      <c r="G29" s="204" t="s">
        <v>67</v>
      </c>
      <c r="H29" s="205"/>
      <c r="I29" s="206"/>
    </row>
    <row r="30" spans="1:9" s="21" customFormat="1" ht="158.25" hidden="1" customHeight="1" thickBot="1">
      <c r="A30" s="134" t="s">
        <v>10</v>
      </c>
      <c r="B30" s="131"/>
      <c r="C30" s="97"/>
      <c r="D30" s="97" t="s">
        <v>62</v>
      </c>
      <c r="E30" s="98" t="s">
        <v>63</v>
      </c>
      <c r="F30" s="99"/>
      <c r="G30" s="149" t="s">
        <v>66</v>
      </c>
      <c r="H30" s="149" t="s">
        <v>66</v>
      </c>
      <c r="I30" s="102" t="s">
        <v>66</v>
      </c>
    </row>
    <row r="31" spans="1:9" s="21" customFormat="1" ht="78" customHeight="1">
      <c r="A31" s="135"/>
      <c r="B31" s="150"/>
      <c r="C31" s="94"/>
      <c r="D31" s="94"/>
      <c r="E31" s="93"/>
      <c r="F31" s="63"/>
      <c r="G31" s="65" t="str">
        <f>G$7</f>
        <v>Mercado 1</v>
      </c>
      <c r="H31" s="65" t="str">
        <f t="shared" ref="H31:I31" si="0">H$7</f>
        <v>Mercado 2</v>
      </c>
      <c r="I31" s="151" t="str">
        <f t="shared" si="0"/>
        <v>Mercados de clientes [miembro]</v>
      </c>
    </row>
    <row r="32" spans="1:9" s="21" customFormat="1" ht="57" hidden="1" customHeight="1">
      <c r="A32" s="58" t="s">
        <v>10</v>
      </c>
      <c r="B32" s="133"/>
      <c r="C32" s="45"/>
      <c r="D32" s="46"/>
      <c r="E32" s="51" t="s">
        <v>37</v>
      </c>
      <c r="F32" s="47"/>
      <c r="G32" s="55" t="str">
        <f>G$8</f>
        <v>IFRS15-DesaSegmOper_Mercado1_7|Mercado 1</v>
      </c>
      <c r="H32" s="55" t="str">
        <f t="shared" ref="H32:I32" si="1">H$8</f>
        <v>IFRS15-DesaSegmOper_Mercado2_8|Mercado 2</v>
      </c>
      <c r="I32" s="84" t="str">
        <f t="shared" si="1"/>
        <v>full_ifrs-cor_2018-03-16.xsd#ifrs-full_MarketsOfCustomersMember</v>
      </c>
    </row>
    <row r="33" spans="1:9" s="21" customFormat="1" ht="22.5" customHeight="1">
      <c r="A33" s="58"/>
      <c r="B33" s="44"/>
      <c r="C33" s="45"/>
      <c r="D33" s="46"/>
      <c r="E33" s="46"/>
      <c r="F33" s="75" t="s">
        <v>50</v>
      </c>
      <c r="G33" s="55"/>
      <c r="H33" s="55"/>
      <c r="I33" s="85"/>
    </row>
    <row r="34" spans="1:9" s="21" customFormat="1" ht="15" customHeight="1">
      <c r="A34" s="59"/>
      <c r="B34" s="49"/>
      <c r="C34" s="34"/>
      <c r="D34" s="50"/>
      <c r="E34" s="51" t="s">
        <v>0</v>
      </c>
      <c r="F34" s="76" t="s">
        <v>43</v>
      </c>
      <c r="G34" s="66"/>
      <c r="H34" s="66"/>
      <c r="I34" s="87"/>
    </row>
    <row r="35" spans="1:9" s="21" customFormat="1" ht="21" customHeight="1">
      <c r="A35" s="59"/>
      <c r="B35" s="44"/>
      <c r="C35" s="51" t="s">
        <v>44</v>
      </c>
      <c r="D35" s="51" t="s">
        <v>11</v>
      </c>
      <c r="E35" s="51" t="s">
        <v>0</v>
      </c>
      <c r="F35" s="77" t="s">
        <v>218</v>
      </c>
      <c r="G35" s="179"/>
      <c r="H35" s="179"/>
      <c r="I35" s="177"/>
    </row>
    <row r="36" spans="1:9" s="21" customFormat="1" ht="21.75" customHeight="1">
      <c r="A36" s="59"/>
      <c r="B36" s="44"/>
      <c r="C36" s="51" t="s">
        <v>45</v>
      </c>
      <c r="D36" s="51" t="s">
        <v>11</v>
      </c>
      <c r="E36" s="51" t="s">
        <v>0</v>
      </c>
      <c r="F36" s="53" t="s">
        <v>219</v>
      </c>
      <c r="G36" s="179"/>
      <c r="H36" s="179"/>
      <c r="I36" s="177"/>
    </row>
    <row r="37" spans="1:9" s="21" customFormat="1" ht="25.5" customHeight="1">
      <c r="A37" s="59"/>
      <c r="B37" s="44"/>
      <c r="C37" s="51" t="s">
        <v>46</v>
      </c>
      <c r="D37" s="51" t="s">
        <v>11</v>
      </c>
      <c r="E37" s="51" t="s">
        <v>0</v>
      </c>
      <c r="F37" s="53" t="s">
        <v>220</v>
      </c>
      <c r="G37" s="179"/>
      <c r="H37" s="179"/>
      <c r="I37" s="177"/>
    </row>
    <row r="38" spans="1:9" s="21" customFormat="1" ht="21" customHeight="1">
      <c r="A38" s="59"/>
      <c r="B38" s="44"/>
      <c r="C38" s="51" t="s">
        <v>47</v>
      </c>
      <c r="D38" s="51" t="s">
        <v>11</v>
      </c>
      <c r="E38" s="51" t="s">
        <v>0</v>
      </c>
      <c r="F38" s="77" t="s">
        <v>221</v>
      </c>
      <c r="G38" s="180"/>
      <c r="H38" s="180"/>
      <c r="I38" s="177"/>
    </row>
    <row r="39" spans="1:9" s="21" customFormat="1" ht="21.75" customHeight="1">
      <c r="A39" s="59"/>
      <c r="B39" s="44"/>
      <c r="C39" s="51" t="s">
        <v>48</v>
      </c>
      <c r="D39" s="51" t="s">
        <v>11</v>
      </c>
      <c r="E39" s="51" t="s">
        <v>0</v>
      </c>
      <c r="F39" s="53" t="s">
        <v>222</v>
      </c>
      <c r="G39" s="180"/>
      <c r="H39" s="180"/>
      <c r="I39" s="177"/>
    </row>
    <row r="40" spans="1:9" s="21" customFormat="1" ht="25.5" customHeight="1">
      <c r="A40" s="59"/>
      <c r="B40" s="44"/>
      <c r="C40" s="51" t="s">
        <v>28</v>
      </c>
      <c r="D40" s="51" t="s">
        <v>11</v>
      </c>
      <c r="E40" s="51" t="s">
        <v>0</v>
      </c>
      <c r="F40" s="53" t="s">
        <v>237</v>
      </c>
      <c r="G40" s="67">
        <v>1000</v>
      </c>
      <c r="H40" s="67"/>
      <c r="I40" s="88">
        <f>G40+H40</f>
        <v>1000</v>
      </c>
    </row>
    <row r="41" spans="1:9" s="21" customFormat="1" ht="15" customHeight="1">
      <c r="A41" s="59"/>
      <c r="B41" s="49"/>
      <c r="C41" s="34"/>
      <c r="D41" s="34"/>
      <c r="E41" s="34" t="s">
        <v>0</v>
      </c>
      <c r="F41" s="34" t="s">
        <v>0</v>
      </c>
      <c r="G41" s="68"/>
      <c r="H41" s="68"/>
      <c r="I41" s="87"/>
    </row>
    <row r="42" spans="1:9" s="21" customFormat="1" ht="15" customHeight="1">
      <c r="A42" s="59"/>
      <c r="B42" s="49"/>
      <c r="C42" s="34"/>
      <c r="D42" s="34"/>
      <c r="E42" s="34"/>
      <c r="F42" s="34"/>
      <c r="G42" s="68"/>
      <c r="H42" s="68"/>
      <c r="I42" s="87"/>
    </row>
    <row r="43" spans="1:9" s="21" customFormat="1" ht="15" customHeight="1">
      <c r="A43" s="59"/>
      <c r="B43" s="44"/>
      <c r="C43" s="45"/>
      <c r="D43" s="51"/>
      <c r="E43" s="51"/>
      <c r="F43" s="75" t="s">
        <v>51</v>
      </c>
      <c r="G43" s="66" t="s">
        <v>0</v>
      </c>
      <c r="H43" s="66" t="s">
        <v>0</v>
      </c>
      <c r="I43" s="87" t="s">
        <v>0</v>
      </c>
    </row>
    <row r="44" spans="1:9" s="21" customFormat="1" ht="15" customHeight="1">
      <c r="A44" s="59"/>
      <c r="B44" s="49"/>
      <c r="C44" s="34"/>
      <c r="D44" s="50"/>
      <c r="E44" s="51" t="s">
        <v>0</v>
      </c>
      <c r="F44" s="76" t="s">
        <v>43</v>
      </c>
      <c r="G44" s="66"/>
      <c r="H44" s="66"/>
      <c r="I44" s="87"/>
    </row>
    <row r="45" spans="1:9" s="21" customFormat="1" ht="21" customHeight="1">
      <c r="A45" s="59"/>
      <c r="B45" s="44"/>
      <c r="C45" s="51" t="s">
        <v>44</v>
      </c>
      <c r="D45" s="51" t="s">
        <v>13</v>
      </c>
      <c r="E45" s="51" t="s">
        <v>0</v>
      </c>
      <c r="F45" s="77" t="s">
        <v>218</v>
      </c>
      <c r="G45" s="179"/>
      <c r="H45" s="179"/>
      <c r="I45" s="177"/>
    </row>
    <row r="46" spans="1:9" s="21" customFormat="1" ht="21.75" customHeight="1">
      <c r="A46" s="59"/>
      <c r="B46" s="44"/>
      <c r="C46" s="51" t="s">
        <v>45</v>
      </c>
      <c r="D46" s="51" t="s">
        <v>13</v>
      </c>
      <c r="E46" s="51" t="s">
        <v>0</v>
      </c>
      <c r="F46" s="53" t="s">
        <v>219</v>
      </c>
      <c r="G46" s="179"/>
      <c r="H46" s="179"/>
      <c r="I46" s="177"/>
    </row>
    <row r="47" spans="1:9" s="21" customFormat="1" ht="25.5" customHeight="1">
      <c r="A47" s="59"/>
      <c r="B47" s="44"/>
      <c r="C47" s="51" t="s">
        <v>46</v>
      </c>
      <c r="D47" s="51" t="s">
        <v>13</v>
      </c>
      <c r="E47" s="51" t="s">
        <v>0</v>
      </c>
      <c r="F47" s="53" t="s">
        <v>220</v>
      </c>
      <c r="G47" s="179"/>
      <c r="H47" s="179"/>
      <c r="I47" s="177"/>
    </row>
    <row r="48" spans="1:9" s="21" customFormat="1" ht="21" customHeight="1">
      <c r="A48" s="59"/>
      <c r="B48" s="44"/>
      <c r="C48" s="51" t="s">
        <v>47</v>
      </c>
      <c r="D48" s="51" t="s">
        <v>13</v>
      </c>
      <c r="E48" s="51" t="s">
        <v>0</v>
      </c>
      <c r="F48" s="77" t="s">
        <v>221</v>
      </c>
      <c r="G48" s="180"/>
      <c r="H48" s="180"/>
      <c r="I48" s="177"/>
    </row>
    <row r="49" spans="1:9" s="21" customFormat="1" ht="21.75" customHeight="1">
      <c r="A49" s="59"/>
      <c r="B49" s="44"/>
      <c r="C49" s="51" t="s">
        <v>48</v>
      </c>
      <c r="D49" s="51" t="s">
        <v>13</v>
      </c>
      <c r="E49" s="51" t="s">
        <v>0</v>
      </c>
      <c r="F49" s="53" t="s">
        <v>222</v>
      </c>
      <c r="G49" s="180"/>
      <c r="H49" s="180"/>
      <c r="I49" s="177"/>
    </row>
    <row r="50" spans="1:9" s="21" customFormat="1" ht="25.5" customHeight="1">
      <c r="A50" s="59"/>
      <c r="B50" s="44"/>
      <c r="C50" s="51" t="s">
        <v>28</v>
      </c>
      <c r="D50" s="51" t="s">
        <v>13</v>
      </c>
      <c r="E50" s="51" t="s">
        <v>0</v>
      </c>
      <c r="F50" s="53" t="s">
        <v>237</v>
      </c>
      <c r="G50" s="67">
        <v>4000</v>
      </c>
      <c r="H50" s="67"/>
      <c r="I50" s="88">
        <f>G50+H50</f>
        <v>4000</v>
      </c>
    </row>
    <row r="51" spans="1:9" ht="15.75" thickBot="1">
      <c r="A51" s="59"/>
      <c r="B51" s="89"/>
      <c r="C51" s="90"/>
      <c r="D51" s="90"/>
      <c r="E51" s="90" t="s">
        <v>0</v>
      </c>
      <c r="F51" s="90" t="s">
        <v>0</v>
      </c>
      <c r="G51" s="105"/>
      <c r="H51" s="105"/>
      <c r="I51" s="92"/>
    </row>
    <row r="53" spans="1:9" ht="15.75" thickBot="1"/>
    <row r="54" spans="1:9" s="21" customFormat="1" ht="25.5" customHeight="1" thickBot="1">
      <c r="A54" s="132" t="s">
        <v>8</v>
      </c>
      <c r="B54" s="130"/>
      <c r="C54" s="96"/>
      <c r="D54" s="96"/>
      <c r="E54" s="96"/>
      <c r="F54" s="144" t="s">
        <v>61</v>
      </c>
      <c r="G54" s="204" t="s">
        <v>68</v>
      </c>
      <c r="H54" s="205"/>
      <c r="I54" s="206"/>
    </row>
    <row r="55" spans="1:9" s="21" customFormat="1" ht="158.25" hidden="1" customHeight="1" thickBot="1">
      <c r="A55" s="132" t="s">
        <v>10</v>
      </c>
      <c r="B55" s="131"/>
      <c r="C55" s="97"/>
      <c r="D55" s="97" t="s">
        <v>62</v>
      </c>
      <c r="E55" s="98" t="s">
        <v>63</v>
      </c>
      <c r="F55" s="99"/>
      <c r="G55" s="100" t="s">
        <v>69</v>
      </c>
      <c r="H55" s="101" t="s">
        <v>69</v>
      </c>
      <c r="I55" s="102" t="s">
        <v>69</v>
      </c>
    </row>
    <row r="56" spans="1:9" s="21" customFormat="1" ht="78" customHeight="1">
      <c r="A56" s="83"/>
      <c r="B56" s="104"/>
      <c r="C56" s="103"/>
      <c r="D56" s="103"/>
      <c r="E56" s="99"/>
      <c r="F56" s="95"/>
      <c r="G56" s="65" t="str">
        <f>G$7</f>
        <v>Mercado 1</v>
      </c>
      <c r="H56" s="65" t="str">
        <f t="shared" ref="H56:I56" si="2">H$7</f>
        <v>Mercado 2</v>
      </c>
      <c r="I56" s="146" t="str">
        <f t="shared" si="2"/>
        <v>Mercados de clientes [miembro]</v>
      </c>
    </row>
    <row r="57" spans="1:9" s="21" customFormat="1" ht="57" hidden="1" customHeight="1">
      <c r="A57" s="52" t="s">
        <v>10</v>
      </c>
      <c r="B57" s="44"/>
      <c r="C57" s="45"/>
      <c r="D57" s="46"/>
      <c r="E57" s="51" t="s">
        <v>37</v>
      </c>
      <c r="F57" s="79"/>
      <c r="G57" s="55" t="str">
        <f>G$8</f>
        <v>IFRS15-DesaSegmOper_Mercado1_7|Mercado 1</v>
      </c>
      <c r="H57" s="55" t="str">
        <f t="shared" ref="H57:I57" si="3">H$8</f>
        <v>IFRS15-DesaSegmOper_Mercado2_8|Mercado 2</v>
      </c>
      <c r="I57" s="84" t="str">
        <f t="shared" si="3"/>
        <v>full_ifrs-cor_2018-03-16.xsd#ifrs-full_MarketsOfCustomersMember</v>
      </c>
    </row>
    <row r="58" spans="1:9" s="21" customFormat="1" ht="22.5" customHeight="1">
      <c r="A58" s="52"/>
      <c r="B58" s="44"/>
      <c r="C58" s="45"/>
      <c r="D58" s="46"/>
      <c r="E58" s="46"/>
      <c r="F58" s="80" t="s">
        <v>50</v>
      </c>
      <c r="G58" s="55"/>
      <c r="H58" s="55"/>
      <c r="I58" s="85"/>
    </row>
    <row r="59" spans="1:9" s="21" customFormat="1" ht="15" customHeight="1">
      <c r="A59" s="86"/>
      <c r="B59" s="49"/>
      <c r="C59" s="34"/>
      <c r="D59" s="50"/>
      <c r="E59" s="51" t="s">
        <v>0</v>
      </c>
      <c r="F59" s="81" t="s">
        <v>43</v>
      </c>
      <c r="G59" s="66"/>
      <c r="H59" s="66"/>
      <c r="I59" s="87"/>
    </row>
    <row r="60" spans="1:9" s="21" customFormat="1" ht="21" customHeight="1">
      <c r="A60" s="86"/>
      <c r="B60" s="44"/>
      <c r="C60" s="51" t="s">
        <v>44</v>
      </c>
      <c r="D60" s="51" t="s">
        <v>11</v>
      </c>
      <c r="E60" s="51" t="s">
        <v>0</v>
      </c>
      <c r="F60" s="77" t="s">
        <v>218</v>
      </c>
      <c r="G60" s="179"/>
      <c r="H60" s="179"/>
      <c r="I60" s="177"/>
    </row>
    <row r="61" spans="1:9" s="21" customFormat="1" ht="21.75" customHeight="1">
      <c r="A61" s="86"/>
      <c r="B61" s="44"/>
      <c r="C61" s="51" t="s">
        <v>45</v>
      </c>
      <c r="D61" s="51" t="s">
        <v>11</v>
      </c>
      <c r="E61" s="51" t="s">
        <v>0</v>
      </c>
      <c r="F61" s="53" t="s">
        <v>219</v>
      </c>
      <c r="G61" s="179"/>
      <c r="H61" s="179"/>
      <c r="I61" s="177"/>
    </row>
    <row r="62" spans="1:9" s="21" customFormat="1" ht="25.5" customHeight="1">
      <c r="A62" s="86"/>
      <c r="B62" s="44"/>
      <c r="C62" s="51" t="s">
        <v>46</v>
      </c>
      <c r="D62" s="51" t="s">
        <v>11</v>
      </c>
      <c r="E62" s="51" t="s">
        <v>0</v>
      </c>
      <c r="F62" s="53" t="s">
        <v>220</v>
      </c>
      <c r="G62" s="179"/>
      <c r="H62" s="179"/>
      <c r="I62" s="177"/>
    </row>
    <row r="63" spans="1:9" s="21" customFormat="1" ht="21" customHeight="1">
      <c r="A63" s="86"/>
      <c r="B63" s="44"/>
      <c r="C63" s="51" t="s">
        <v>47</v>
      </c>
      <c r="D63" s="51" t="s">
        <v>11</v>
      </c>
      <c r="E63" s="51" t="s">
        <v>0</v>
      </c>
      <c r="F63" s="77" t="s">
        <v>221</v>
      </c>
      <c r="G63" s="180"/>
      <c r="H63" s="180"/>
      <c r="I63" s="177"/>
    </row>
    <row r="64" spans="1:9" s="21" customFormat="1" ht="21.75" customHeight="1">
      <c r="A64" s="86"/>
      <c r="B64" s="44"/>
      <c r="C64" s="51" t="s">
        <v>48</v>
      </c>
      <c r="D64" s="51" t="s">
        <v>11</v>
      </c>
      <c r="E64" s="51" t="s">
        <v>0</v>
      </c>
      <c r="F64" s="53" t="s">
        <v>222</v>
      </c>
      <c r="G64" s="180"/>
      <c r="H64" s="180"/>
      <c r="I64" s="177"/>
    </row>
    <row r="65" spans="1:9" s="21" customFormat="1" ht="25.5" customHeight="1">
      <c r="A65" s="86"/>
      <c r="B65" s="44"/>
      <c r="C65" s="51" t="s">
        <v>28</v>
      </c>
      <c r="D65" s="51" t="s">
        <v>11</v>
      </c>
      <c r="E65" s="51" t="s">
        <v>0</v>
      </c>
      <c r="F65" s="53" t="s">
        <v>237</v>
      </c>
      <c r="G65" s="67">
        <v>1000</v>
      </c>
      <c r="H65" s="67"/>
      <c r="I65" s="88">
        <f>G65+H65</f>
        <v>1000</v>
      </c>
    </row>
    <row r="66" spans="1:9" s="21" customFormat="1" ht="15" customHeight="1">
      <c r="A66" s="86"/>
      <c r="B66" s="49"/>
      <c r="C66" s="34"/>
      <c r="D66" s="34"/>
      <c r="E66" s="34" t="s">
        <v>0</v>
      </c>
      <c r="F66" s="78" t="s">
        <v>0</v>
      </c>
      <c r="G66" s="68"/>
      <c r="H66" s="68"/>
      <c r="I66" s="87"/>
    </row>
    <row r="67" spans="1:9" s="21" customFormat="1" ht="15" customHeight="1">
      <c r="A67" s="86"/>
      <c r="B67" s="49"/>
      <c r="C67" s="34"/>
      <c r="D67" s="34"/>
      <c r="E67" s="34"/>
      <c r="F67" s="78"/>
      <c r="G67" s="68"/>
      <c r="H67" s="68"/>
      <c r="I67" s="87"/>
    </row>
    <row r="68" spans="1:9" s="21" customFormat="1" ht="15" customHeight="1">
      <c r="A68" s="86"/>
      <c r="B68" s="44"/>
      <c r="C68" s="45"/>
      <c r="D68" s="51"/>
      <c r="E68" s="51"/>
      <c r="F68" s="80" t="s">
        <v>51</v>
      </c>
      <c r="G68" s="66" t="s">
        <v>0</v>
      </c>
      <c r="H68" s="66" t="s">
        <v>0</v>
      </c>
      <c r="I68" s="87" t="s">
        <v>0</v>
      </c>
    </row>
    <row r="69" spans="1:9" s="21" customFormat="1" ht="15" customHeight="1">
      <c r="A69" s="86"/>
      <c r="B69" s="49"/>
      <c r="C69" s="34"/>
      <c r="D69" s="50"/>
      <c r="E69" s="51" t="s">
        <v>0</v>
      </c>
      <c r="F69" s="81" t="s">
        <v>43</v>
      </c>
      <c r="G69" s="66"/>
      <c r="H69" s="66"/>
      <c r="I69" s="87"/>
    </row>
    <row r="70" spans="1:9" s="21" customFormat="1" ht="21" customHeight="1">
      <c r="A70" s="86"/>
      <c r="B70" s="44"/>
      <c r="C70" s="51" t="s">
        <v>44</v>
      </c>
      <c r="D70" s="51" t="s">
        <v>13</v>
      </c>
      <c r="E70" s="51" t="s">
        <v>0</v>
      </c>
      <c r="F70" s="77" t="s">
        <v>218</v>
      </c>
      <c r="G70" s="179"/>
      <c r="H70" s="179"/>
      <c r="I70" s="177"/>
    </row>
    <row r="71" spans="1:9" s="21" customFormat="1" ht="21.75" customHeight="1">
      <c r="A71" s="86"/>
      <c r="B71" s="44"/>
      <c r="C71" s="51" t="s">
        <v>45</v>
      </c>
      <c r="D71" s="51" t="s">
        <v>13</v>
      </c>
      <c r="E71" s="51" t="s">
        <v>0</v>
      </c>
      <c r="F71" s="53" t="s">
        <v>219</v>
      </c>
      <c r="G71" s="179"/>
      <c r="H71" s="179"/>
      <c r="I71" s="177"/>
    </row>
    <row r="72" spans="1:9" s="21" customFormat="1" ht="25.5" customHeight="1">
      <c r="A72" s="86"/>
      <c r="B72" s="44"/>
      <c r="C72" s="51" t="s">
        <v>46</v>
      </c>
      <c r="D72" s="51" t="s">
        <v>13</v>
      </c>
      <c r="E72" s="51" t="s">
        <v>0</v>
      </c>
      <c r="F72" s="53" t="s">
        <v>220</v>
      </c>
      <c r="G72" s="179"/>
      <c r="H72" s="179"/>
      <c r="I72" s="177"/>
    </row>
    <row r="73" spans="1:9" s="21" customFormat="1" ht="21" customHeight="1">
      <c r="A73" s="86"/>
      <c r="B73" s="44"/>
      <c r="C73" s="51" t="s">
        <v>47</v>
      </c>
      <c r="D73" s="51" t="s">
        <v>13</v>
      </c>
      <c r="E73" s="51" t="s">
        <v>0</v>
      </c>
      <c r="F73" s="77" t="s">
        <v>221</v>
      </c>
      <c r="G73" s="180"/>
      <c r="H73" s="180"/>
      <c r="I73" s="177"/>
    </row>
    <row r="74" spans="1:9" s="21" customFormat="1" ht="21.75" customHeight="1">
      <c r="A74" s="86"/>
      <c r="B74" s="44"/>
      <c r="C74" s="51" t="s">
        <v>48</v>
      </c>
      <c r="D74" s="51" t="s">
        <v>13</v>
      </c>
      <c r="E74" s="51" t="s">
        <v>0</v>
      </c>
      <c r="F74" s="53" t="s">
        <v>222</v>
      </c>
      <c r="G74" s="180"/>
      <c r="H74" s="180"/>
      <c r="I74" s="177"/>
    </row>
    <row r="75" spans="1:9" s="21" customFormat="1" ht="25.5" customHeight="1">
      <c r="A75" s="86"/>
      <c r="B75" s="44"/>
      <c r="C75" s="51" t="s">
        <v>28</v>
      </c>
      <c r="D75" s="51" t="s">
        <v>13</v>
      </c>
      <c r="E75" s="51" t="s">
        <v>0</v>
      </c>
      <c r="F75" s="53" t="s">
        <v>237</v>
      </c>
      <c r="G75" s="67">
        <v>7000</v>
      </c>
      <c r="H75" s="67"/>
      <c r="I75" s="88">
        <f>G75+H75</f>
        <v>7000</v>
      </c>
    </row>
    <row r="76" spans="1:9" ht="15.75" thickBot="1">
      <c r="A76" s="86"/>
      <c r="B76" s="89"/>
      <c r="C76" s="90"/>
      <c r="D76" s="90"/>
      <c r="E76" s="90" t="s">
        <v>0</v>
      </c>
      <c r="F76" s="91" t="s">
        <v>0</v>
      </c>
      <c r="G76" s="105"/>
      <c r="H76" s="105"/>
      <c r="I76" s="92"/>
    </row>
  </sheetData>
  <mergeCells count="3">
    <mergeCell ref="G5:I5"/>
    <mergeCell ref="G29:I29"/>
    <mergeCell ref="G54:I54"/>
  </mergeCells>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codigo!$A$2:$A$3</xm:f>
          </x14:formula1>
          <xm:sqref>G4</xm:sqref>
        </x14:dataValidation>
        <x14:dataValidation type="list" allowBlank="1" showInputMessage="1" showErrorMessage="1" xr:uid="{00000000-0002-0000-0400-000001000000}">
          <x14:formula1>
            <xm:f>codigo!$B$2:$B$3</xm:f>
          </x14:formula1>
          <xm:sqref>G60:H60 G45:H45 G11:H11 G70:H70 G35:H35 G21:H21</xm:sqref>
        </x14:dataValidation>
        <x14:dataValidation type="list" allowBlank="1" showInputMessage="1" showErrorMessage="1" xr:uid="{00000000-0002-0000-0400-000002000000}">
          <x14:formula1>
            <xm:f>codigo!$C$2:$C$4</xm:f>
          </x14:formula1>
          <xm:sqref>G61:H61 G46:H46 G12:H12 G71:H71 G36:H36 G22:H22</xm:sqref>
        </x14:dataValidation>
        <x14:dataValidation type="list" allowBlank="1" showInputMessage="1" showErrorMessage="1" xr:uid="{00000000-0002-0000-0400-000003000000}">
          <x14:formula1>
            <xm:f>codigo!$D$2:$D$3</xm:f>
          </x14:formula1>
          <xm:sqref>G62:H62 G47:H47 G13:H13 G72:H72 G37:H37 G23:H23</xm:sqref>
        </x14:dataValidation>
        <x14:dataValidation type="list" allowBlank="1" showInputMessage="1" showErrorMessage="1" xr:uid="{00000000-0002-0000-0400-000004000000}">
          <x14:formula1>
            <xm:f>codigo!$E$2:$E$3</xm:f>
          </x14:formula1>
          <xm:sqref>G63:H63 G48:H48 G14:H14 G73:H73 G38:H38 G24:H24</xm:sqref>
        </x14:dataValidation>
        <x14:dataValidation type="list" allowBlank="1" showInputMessage="1" showErrorMessage="1" xr:uid="{00000000-0002-0000-0400-000005000000}">
          <x14:formula1>
            <xm:f>codigo!$F$2:$F$3</xm:f>
          </x14:formula1>
          <xm:sqref>G64:H64 G49:H49 G15:H15 G74:H74 G39:H39 G25:H25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rgb="FF92D050"/>
  </sheetPr>
  <dimension ref="A1:I29"/>
  <sheetViews>
    <sheetView topLeftCell="A15" workbookViewId="0">
      <selection activeCell="G26" sqref="G26:G28"/>
    </sheetView>
  </sheetViews>
  <sheetFormatPr baseColWidth="10" defaultRowHeight="15"/>
  <cols>
    <col min="1" max="3" width="2.7109375" customWidth="1"/>
    <col min="4" max="4" width="5" customWidth="1"/>
    <col min="5" max="5" width="2.7109375" customWidth="1"/>
    <col min="6" max="6" width="90.7109375" customWidth="1"/>
    <col min="7" max="7" width="13.28515625" customWidth="1"/>
    <col min="8" max="8" width="11.7109375" customWidth="1"/>
    <col min="9" max="9" width="12" customWidth="1"/>
  </cols>
  <sheetData>
    <row r="1" spans="1:9" ht="54.95" customHeight="1" thickBot="1"/>
    <row r="2" spans="1:9" ht="177" customHeight="1" thickBot="1">
      <c r="F2" s="13" t="s">
        <v>4</v>
      </c>
    </row>
    <row r="3" spans="1:9" ht="16.5" thickBot="1">
      <c r="F3" s="14" t="s">
        <v>5</v>
      </c>
    </row>
    <row r="4" spans="1:9" ht="16.5" thickBot="1">
      <c r="F4" s="123" t="s">
        <v>6</v>
      </c>
      <c r="G4" s="124" t="s">
        <v>7</v>
      </c>
    </row>
    <row r="5" spans="1:9" ht="101.25" customHeight="1">
      <c r="A5" s="15" t="s">
        <v>8</v>
      </c>
      <c r="B5" s="106"/>
      <c r="C5" s="107"/>
      <c r="D5" s="107"/>
      <c r="E5" s="108"/>
      <c r="F5" s="125" t="s">
        <v>103</v>
      </c>
      <c r="G5" s="16" t="s">
        <v>9</v>
      </c>
      <c r="H5" s="126" t="s">
        <v>9</v>
      </c>
      <c r="I5" s="109" t="s">
        <v>74</v>
      </c>
    </row>
    <row r="6" spans="1:9" ht="114" hidden="1" customHeight="1">
      <c r="A6" s="17" t="s">
        <v>10</v>
      </c>
      <c r="B6" s="127"/>
      <c r="C6" s="18"/>
      <c r="D6" s="128" t="s">
        <v>71</v>
      </c>
      <c r="E6" s="128" t="s">
        <v>72</v>
      </c>
      <c r="F6" s="72"/>
      <c r="G6" s="19" t="str">
        <f>SUBSTITUTE(CONCATENATE("IFRS15-SaldDelCont_",TRIM(G5),"_",COLUMN(G6),"|",G5)," ","")</f>
        <v>IFRS15-SaldDelCont_Agregarcolumnaopcional_7|Agregarcolumnaopcional</v>
      </c>
      <c r="H6" s="20" t="str">
        <f>SUBSTITUTE(CONCATENATE("IFRS15-SaldDelCont_",TRIM(H5),"_",COLUMN(H6),"|",H5)," ","")</f>
        <v>IFRS15-SaldDelCont_Agregarcolumnaopcional_8|Agregarcolumnaopcional</v>
      </c>
      <c r="I6" s="129" t="s">
        <v>73</v>
      </c>
    </row>
    <row r="7" spans="1:9">
      <c r="A7" s="21"/>
      <c r="B7" s="110"/>
      <c r="C7" s="22"/>
      <c r="D7" s="23"/>
      <c r="E7" s="24"/>
      <c r="F7" s="25"/>
      <c r="G7" s="26"/>
      <c r="H7" s="26"/>
      <c r="I7" s="111"/>
    </row>
    <row r="8" spans="1:9" ht="15.75" thickBot="1">
      <c r="A8" s="21"/>
      <c r="B8" s="49"/>
      <c r="C8" s="34"/>
      <c r="D8" s="35"/>
      <c r="E8" s="36"/>
      <c r="F8" s="153" t="s">
        <v>50</v>
      </c>
      <c r="G8" s="38"/>
      <c r="H8" s="38"/>
      <c r="I8" s="152"/>
    </row>
    <row r="9" spans="1:9">
      <c r="A9" s="21"/>
      <c r="B9" s="112"/>
      <c r="C9" s="27"/>
      <c r="D9" s="28"/>
      <c r="E9" s="29"/>
      <c r="F9" s="154" t="s">
        <v>78</v>
      </c>
      <c r="G9" s="30"/>
      <c r="H9" s="30"/>
      <c r="I9" s="113"/>
    </row>
    <row r="10" spans="1:9">
      <c r="A10" s="21" t="s">
        <v>12</v>
      </c>
      <c r="B10" s="114"/>
      <c r="C10" s="1" t="s">
        <v>21</v>
      </c>
      <c r="D10" s="1" t="s">
        <v>11</v>
      </c>
      <c r="E10" s="1"/>
      <c r="F10" s="39" t="s">
        <v>229</v>
      </c>
      <c r="G10" s="31">
        <v>2000</v>
      </c>
      <c r="H10" s="31"/>
      <c r="I10" s="88">
        <f t="shared" ref="I10:I17" si="0">G10+H10</f>
        <v>2000</v>
      </c>
    </row>
    <row r="11" spans="1:9">
      <c r="A11" s="21"/>
      <c r="B11" s="114"/>
      <c r="C11" s="1" t="s">
        <v>21</v>
      </c>
      <c r="D11" s="1" t="s">
        <v>11</v>
      </c>
      <c r="E11" s="1"/>
      <c r="F11" s="39" t="s">
        <v>230</v>
      </c>
      <c r="G11" s="31">
        <v>3000</v>
      </c>
      <c r="H11" s="31"/>
      <c r="I11" s="88">
        <f t="shared" si="0"/>
        <v>3000</v>
      </c>
    </row>
    <row r="12" spans="1:9">
      <c r="A12" s="21" t="s">
        <v>12</v>
      </c>
      <c r="B12" s="114"/>
      <c r="C12" s="1" t="s">
        <v>24</v>
      </c>
      <c r="D12" s="1" t="s">
        <v>11</v>
      </c>
      <c r="E12" s="1"/>
      <c r="F12" s="39" t="s">
        <v>231</v>
      </c>
      <c r="G12" s="31">
        <v>7000</v>
      </c>
      <c r="H12" s="31"/>
      <c r="I12" s="88">
        <f t="shared" si="0"/>
        <v>7000</v>
      </c>
    </row>
    <row r="13" spans="1:9">
      <c r="A13" s="21"/>
      <c r="B13" s="114"/>
      <c r="C13" s="1" t="s">
        <v>24</v>
      </c>
      <c r="D13" s="1" t="s">
        <v>11</v>
      </c>
      <c r="E13" s="1"/>
      <c r="F13" s="39" t="s">
        <v>232</v>
      </c>
      <c r="G13" s="31">
        <v>7000</v>
      </c>
      <c r="H13" s="31"/>
      <c r="I13" s="88">
        <f t="shared" si="0"/>
        <v>7000</v>
      </c>
    </row>
    <row r="14" spans="1:9">
      <c r="A14" s="21" t="s">
        <v>12</v>
      </c>
      <c r="B14" s="114"/>
      <c r="C14" s="1" t="s">
        <v>27</v>
      </c>
      <c r="D14" s="1" t="s">
        <v>11</v>
      </c>
      <c r="E14" s="1"/>
      <c r="F14" s="39" t="s">
        <v>233</v>
      </c>
      <c r="G14" s="31">
        <v>11000</v>
      </c>
      <c r="H14" s="31"/>
      <c r="I14" s="88">
        <f t="shared" si="0"/>
        <v>11000</v>
      </c>
    </row>
    <row r="15" spans="1:9">
      <c r="A15" s="21"/>
      <c r="B15" s="114"/>
      <c r="C15" s="1" t="s">
        <v>27</v>
      </c>
      <c r="D15" s="1" t="s">
        <v>11</v>
      </c>
      <c r="E15" s="1"/>
      <c r="F15" s="39" t="s">
        <v>234</v>
      </c>
      <c r="G15" s="31">
        <v>11000</v>
      </c>
      <c r="H15" s="31"/>
      <c r="I15" s="88">
        <f t="shared" si="0"/>
        <v>11000</v>
      </c>
    </row>
    <row r="16" spans="1:9" ht="24">
      <c r="A16" s="21"/>
      <c r="B16" s="114"/>
      <c r="C16" s="1" t="s">
        <v>76</v>
      </c>
      <c r="D16" s="1" t="s">
        <v>11</v>
      </c>
      <c r="E16" s="1"/>
      <c r="F16" s="39" t="s">
        <v>235</v>
      </c>
      <c r="G16" s="31">
        <v>7000</v>
      </c>
      <c r="H16" s="31"/>
      <c r="I16" s="88">
        <f t="shared" si="0"/>
        <v>7000</v>
      </c>
    </row>
    <row r="17" spans="1:9" ht="24">
      <c r="A17" s="21"/>
      <c r="B17" s="114"/>
      <c r="C17" s="1" t="s">
        <v>77</v>
      </c>
      <c r="D17" s="1" t="s">
        <v>11</v>
      </c>
      <c r="E17" s="1"/>
      <c r="F17" s="39" t="s">
        <v>236</v>
      </c>
      <c r="G17" s="31">
        <v>8000</v>
      </c>
      <c r="H17" s="31"/>
      <c r="I17" s="88">
        <f t="shared" si="0"/>
        <v>8000</v>
      </c>
    </row>
    <row r="18" spans="1:9">
      <c r="A18" s="21"/>
      <c r="B18" s="49"/>
      <c r="C18" s="34"/>
      <c r="D18" s="35"/>
      <c r="E18" s="36"/>
      <c r="F18" s="37"/>
      <c r="G18" s="26"/>
      <c r="H18" s="26"/>
      <c r="I18" s="111"/>
    </row>
    <row r="19" spans="1:9" ht="15.75" thickBot="1">
      <c r="A19" s="21"/>
      <c r="B19" s="49"/>
      <c r="C19" s="34"/>
      <c r="D19" s="35"/>
      <c r="E19" s="36"/>
      <c r="F19" s="153" t="s">
        <v>51</v>
      </c>
      <c r="G19" s="38"/>
      <c r="H19" s="38"/>
      <c r="I19" s="152"/>
    </row>
    <row r="20" spans="1:9">
      <c r="A20" s="21"/>
      <c r="B20" s="112"/>
      <c r="C20" s="27"/>
      <c r="D20" s="28"/>
      <c r="E20" s="29"/>
      <c r="F20" s="154" t="s">
        <v>78</v>
      </c>
      <c r="G20" s="30"/>
      <c r="H20" s="30"/>
      <c r="I20" s="113"/>
    </row>
    <row r="21" spans="1:9">
      <c r="A21" s="21" t="s">
        <v>12</v>
      </c>
      <c r="B21" s="114"/>
      <c r="C21" s="1" t="s">
        <v>21</v>
      </c>
      <c r="D21" s="1" t="s">
        <v>11</v>
      </c>
      <c r="E21" s="1"/>
      <c r="F21" s="39" t="s">
        <v>229</v>
      </c>
      <c r="G21" s="32">
        <f>IF(LEN(G10)&gt;0,G10,"")</f>
        <v>2000</v>
      </c>
      <c r="H21" s="32" t="str">
        <f t="shared" ref="H21:I25" si="1">IF(LEN(H10)&gt;0,H10,"")</f>
        <v/>
      </c>
      <c r="I21" s="88">
        <f t="shared" si="1"/>
        <v>2000</v>
      </c>
    </row>
    <row r="22" spans="1:9">
      <c r="A22" s="21" t="s">
        <v>12</v>
      </c>
      <c r="B22" s="114"/>
      <c r="C22" s="1" t="s">
        <v>21</v>
      </c>
      <c r="D22" s="1" t="s">
        <v>79</v>
      </c>
      <c r="E22" s="1"/>
      <c r="F22" s="39" t="s">
        <v>230</v>
      </c>
      <c r="G22" s="31">
        <v>1000</v>
      </c>
      <c r="H22" s="31"/>
      <c r="I22" s="88">
        <f t="shared" ref="I22:I28" si="2">G22+H22</f>
        <v>1000</v>
      </c>
    </row>
    <row r="23" spans="1:9">
      <c r="A23" s="21" t="s">
        <v>12</v>
      </c>
      <c r="B23" s="114"/>
      <c r="C23" s="1" t="s">
        <v>24</v>
      </c>
      <c r="D23" s="1" t="s">
        <v>11</v>
      </c>
      <c r="E23" s="1"/>
      <c r="F23" s="39" t="s">
        <v>231</v>
      </c>
      <c r="G23" s="32">
        <f t="shared" ref="G23:H23" si="3">IF(LEN(G12)&gt;0,G12,"")</f>
        <v>7000</v>
      </c>
      <c r="H23" s="32" t="str">
        <f t="shared" si="3"/>
        <v/>
      </c>
      <c r="I23" s="88">
        <f t="shared" si="1"/>
        <v>7000</v>
      </c>
    </row>
    <row r="24" spans="1:9">
      <c r="A24" s="21" t="s">
        <v>12</v>
      </c>
      <c r="B24" s="114"/>
      <c r="C24" s="1" t="s">
        <v>24</v>
      </c>
      <c r="D24" s="1" t="s">
        <v>79</v>
      </c>
      <c r="E24" s="1"/>
      <c r="F24" s="39" t="s">
        <v>232</v>
      </c>
      <c r="G24" s="31">
        <v>2000</v>
      </c>
      <c r="H24" s="31"/>
      <c r="I24" s="88">
        <f t="shared" si="2"/>
        <v>2000</v>
      </c>
    </row>
    <row r="25" spans="1:9">
      <c r="A25" s="21" t="s">
        <v>12</v>
      </c>
      <c r="B25" s="114"/>
      <c r="C25" s="1" t="s">
        <v>27</v>
      </c>
      <c r="D25" s="1" t="s">
        <v>11</v>
      </c>
      <c r="E25" s="1"/>
      <c r="F25" s="39" t="s">
        <v>233</v>
      </c>
      <c r="G25" s="32">
        <f t="shared" ref="G25:H25" si="4">IF(LEN(G14)&gt;0,G14,"")</f>
        <v>11000</v>
      </c>
      <c r="H25" s="32" t="str">
        <f t="shared" si="4"/>
        <v/>
      </c>
      <c r="I25" s="88">
        <f t="shared" si="1"/>
        <v>11000</v>
      </c>
    </row>
    <row r="26" spans="1:9">
      <c r="A26" s="21" t="s">
        <v>12</v>
      </c>
      <c r="B26" s="114"/>
      <c r="C26" s="1" t="s">
        <v>27</v>
      </c>
      <c r="D26" s="1" t="s">
        <v>79</v>
      </c>
      <c r="E26" s="1"/>
      <c r="F26" s="39" t="s">
        <v>234</v>
      </c>
      <c r="G26" s="31">
        <v>11000</v>
      </c>
      <c r="H26" s="31"/>
      <c r="I26" s="88">
        <f t="shared" si="2"/>
        <v>11000</v>
      </c>
    </row>
    <row r="27" spans="1:9" ht="24">
      <c r="A27" s="21"/>
      <c r="B27" s="114"/>
      <c r="C27" s="1" t="s">
        <v>76</v>
      </c>
      <c r="D27" s="1" t="s">
        <v>13</v>
      </c>
      <c r="E27" s="1"/>
      <c r="F27" s="39" t="s">
        <v>235</v>
      </c>
      <c r="G27" s="31">
        <v>4000</v>
      </c>
      <c r="H27" s="31"/>
      <c r="I27" s="88">
        <f t="shared" si="2"/>
        <v>4000</v>
      </c>
    </row>
    <row r="28" spans="1:9" ht="24">
      <c r="A28" s="21"/>
      <c r="B28" s="114"/>
      <c r="C28" s="1" t="s">
        <v>77</v>
      </c>
      <c r="D28" s="1" t="s">
        <v>13</v>
      </c>
      <c r="E28" s="1"/>
      <c r="F28" s="39" t="s">
        <v>236</v>
      </c>
      <c r="G28" s="31">
        <v>5000</v>
      </c>
      <c r="H28" s="31"/>
      <c r="I28" s="88">
        <f t="shared" si="2"/>
        <v>5000</v>
      </c>
    </row>
    <row r="29" spans="1:9" ht="15.75" thickBot="1">
      <c r="B29" s="117"/>
      <c r="C29" s="118"/>
      <c r="D29" s="119"/>
      <c r="E29" s="118"/>
      <c r="F29" s="120"/>
      <c r="G29" s="121"/>
      <c r="H29" s="121"/>
      <c r="I29" s="122"/>
    </row>
  </sheetData>
  <conditionalFormatting sqref="I6">
    <cfRule type="containsBlanks" dxfId="8" priority="1">
      <formula>LEN(TRIM(I6))=0</formula>
    </cfRule>
  </conditionalFormatting>
  <conditionalFormatting sqref="D6">
    <cfRule type="containsBlanks" dxfId="7" priority="3">
      <formula>LEN(TRIM(D6))=0</formula>
    </cfRule>
  </conditionalFormatting>
  <conditionalFormatting sqref="E6">
    <cfRule type="containsBlanks" dxfId="6" priority="2">
      <formula>LEN(TRIM(E6))=0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0000000}">
          <x14:formula1>
            <xm:f>codigo!$A$2:$A$3</xm:f>
          </x14:formula1>
          <xm:sqref>G4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tabColor rgb="FF002060"/>
  </sheetPr>
  <dimension ref="A1:I39"/>
  <sheetViews>
    <sheetView topLeftCell="A22" workbookViewId="0">
      <selection activeCell="G26" sqref="G26:G38"/>
    </sheetView>
  </sheetViews>
  <sheetFormatPr baseColWidth="10" defaultRowHeight="15"/>
  <cols>
    <col min="1" max="3" width="2.7109375" customWidth="1"/>
    <col min="4" max="4" width="5" customWidth="1"/>
    <col min="5" max="5" width="2.7109375" customWidth="1"/>
    <col min="6" max="6" width="90.7109375" customWidth="1"/>
    <col min="7" max="7" width="13.28515625" customWidth="1"/>
    <col min="8" max="8" width="11.7109375" customWidth="1"/>
    <col min="9" max="9" width="12.7109375" customWidth="1"/>
  </cols>
  <sheetData>
    <row r="1" spans="1:9" ht="54.95" customHeight="1" thickBot="1"/>
    <row r="2" spans="1:9" ht="177" customHeight="1" thickBot="1">
      <c r="F2" s="13" t="s">
        <v>4</v>
      </c>
    </row>
    <row r="3" spans="1:9" ht="16.5" thickBot="1">
      <c r="F3" s="14" t="s">
        <v>5</v>
      </c>
    </row>
    <row r="4" spans="1:9" ht="16.5" thickBot="1">
      <c r="F4" s="123" t="s">
        <v>6</v>
      </c>
      <c r="G4" s="124" t="s">
        <v>7</v>
      </c>
    </row>
    <row r="5" spans="1:9" ht="101.25" customHeight="1">
      <c r="A5" s="15" t="s">
        <v>8</v>
      </c>
      <c r="B5" s="106"/>
      <c r="C5" s="107"/>
      <c r="D5" s="107"/>
      <c r="E5" s="108"/>
      <c r="F5" s="125" t="s">
        <v>104</v>
      </c>
      <c r="G5" s="16" t="s">
        <v>9</v>
      </c>
      <c r="H5" s="126" t="s">
        <v>9</v>
      </c>
      <c r="I5" s="109" t="s">
        <v>83</v>
      </c>
    </row>
    <row r="6" spans="1:9" ht="114" hidden="1" customHeight="1">
      <c r="A6" s="17" t="s">
        <v>10</v>
      </c>
      <c r="B6" s="127"/>
      <c r="C6" s="18"/>
      <c r="D6" s="128" t="s">
        <v>80</v>
      </c>
      <c r="E6" s="128" t="s">
        <v>81</v>
      </c>
      <c r="F6" s="72"/>
      <c r="G6" s="19" t="str">
        <f>SUBSTITUTE(CONCATENATE("IFRS15-CambSignSald_",TRIM(G5),"_",COLUMN(G6),"|",G5)," ","")</f>
        <v>IFRS15-CambSignSald_Agregarcolumnaopcional_7|Agregarcolumnaopcional</v>
      </c>
      <c r="H6" s="20" t="str">
        <f>SUBSTITUTE(CONCATENATE("IFRS15-CambSignSald_",TRIM(H5),"_",COLUMN(H6),"|",H5)," ","")</f>
        <v>IFRS15-CambSignSald_Agregarcolumnaopcional_8|Agregarcolumnaopcional</v>
      </c>
      <c r="I6" s="129" t="s">
        <v>82</v>
      </c>
    </row>
    <row r="7" spans="1:9">
      <c r="A7" s="21"/>
      <c r="B7" s="110"/>
      <c r="C7" s="22"/>
      <c r="D7" s="23"/>
      <c r="E7" s="24"/>
      <c r="F7" s="25"/>
      <c r="G7" s="26"/>
      <c r="H7" s="26"/>
      <c r="I7" s="111"/>
    </row>
    <row r="8" spans="1:9" ht="15.75" thickBot="1">
      <c r="A8" s="21"/>
      <c r="B8" s="49"/>
      <c r="C8" s="34"/>
      <c r="D8" s="35"/>
      <c r="E8" s="36"/>
      <c r="F8" s="153" t="s">
        <v>50</v>
      </c>
      <c r="G8" s="38"/>
      <c r="H8" s="38"/>
      <c r="I8" s="152"/>
    </row>
    <row r="9" spans="1:9">
      <c r="A9" s="21"/>
      <c r="B9" s="112"/>
      <c r="C9" s="27"/>
      <c r="D9" s="28"/>
      <c r="E9" s="29"/>
      <c r="F9" s="154" t="s">
        <v>98</v>
      </c>
      <c r="G9" s="30"/>
      <c r="H9" s="30"/>
      <c r="I9" s="113"/>
    </row>
    <row r="10" spans="1:9">
      <c r="A10" s="21"/>
      <c r="B10" s="114"/>
      <c r="C10" s="1" t="s">
        <v>85</v>
      </c>
      <c r="D10" s="1" t="s">
        <v>11</v>
      </c>
      <c r="E10" s="1"/>
      <c r="F10" s="39" t="s">
        <v>238</v>
      </c>
      <c r="G10" s="31">
        <v>1000</v>
      </c>
      <c r="H10" s="31"/>
      <c r="I10" s="88">
        <f t="shared" ref="I10:I22" si="0">G10+H10</f>
        <v>1000</v>
      </c>
    </row>
    <row r="11" spans="1:9" ht="24">
      <c r="A11" s="21"/>
      <c r="B11" s="114"/>
      <c r="C11" s="1" t="s">
        <v>86</v>
      </c>
      <c r="D11" s="1" t="s">
        <v>11</v>
      </c>
      <c r="E11" s="1"/>
      <c r="F11" s="39" t="s">
        <v>239</v>
      </c>
      <c r="G11" s="31">
        <v>2000</v>
      </c>
      <c r="H11" s="31"/>
      <c r="I11" s="88">
        <f t="shared" si="0"/>
        <v>2000</v>
      </c>
    </row>
    <row r="12" spans="1:9" ht="36">
      <c r="A12" s="21"/>
      <c r="B12" s="114"/>
      <c r="C12" s="1" t="s">
        <v>87</v>
      </c>
      <c r="D12" s="1" t="s">
        <v>11</v>
      </c>
      <c r="E12" s="1"/>
      <c r="F12" s="157" t="s">
        <v>240</v>
      </c>
      <c r="G12" s="31">
        <v>3000</v>
      </c>
      <c r="H12" s="31"/>
      <c r="I12" s="88">
        <f t="shared" si="0"/>
        <v>3000</v>
      </c>
    </row>
    <row r="13" spans="1:9" ht="36">
      <c r="A13" s="21"/>
      <c r="B13" s="114"/>
      <c r="C13" s="1" t="s">
        <v>88</v>
      </c>
      <c r="D13" s="1" t="s">
        <v>11</v>
      </c>
      <c r="E13" s="1"/>
      <c r="F13" s="157" t="s">
        <v>241</v>
      </c>
      <c r="G13" s="31">
        <v>4000</v>
      </c>
      <c r="H13" s="31"/>
      <c r="I13" s="88">
        <f t="shared" si="0"/>
        <v>4000</v>
      </c>
    </row>
    <row r="14" spans="1:9" ht="36">
      <c r="A14" s="21"/>
      <c r="B14" s="114"/>
      <c r="C14" s="1" t="s">
        <v>89</v>
      </c>
      <c r="D14" s="1" t="s">
        <v>11</v>
      </c>
      <c r="E14" s="1"/>
      <c r="F14" s="157" t="s">
        <v>242</v>
      </c>
      <c r="G14" s="31">
        <v>5000</v>
      </c>
      <c r="H14" s="31"/>
      <c r="I14" s="88">
        <f t="shared" si="0"/>
        <v>5000</v>
      </c>
    </row>
    <row r="15" spans="1:9">
      <c r="A15" s="21"/>
      <c r="B15" s="114"/>
      <c r="C15" s="1" t="s">
        <v>90</v>
      </c>
      <c r="D15" s="1" t="s">
        <v>11</v>
      </c>
      <c r="E15" s="1"/>
      <c r="F15" s="39" t="s">
        <v>243</v>
      </c>
      <c r="G15" s="31">
        <v>6000</v>
      </c>
      <c r="H15" s="31"/>
      <c r="I15" s="88">
        <f t="shared" si="0"/>
        <v>6000</v>
      </c>
    </row>
    <row r="16" spans="1:9" ht="24">
      <c r="A16" s="21"/>
      <c r="B16" s="114"/>
      <c r="C16" s="1" t="s">
        <v>91</v>
      </c>
      <c r="D16" s="1" t="s">
        <v>11</v>
      </c>
      <c r="E16" s="1"/>
      <c r="F16" s="39" t="s">
        <v>244</v>
      </c>
      <c r="G16" s="31">
        <v>7000</v>
      </c>
      <c r="H16" s="31"/>
      <c r="I16" s="88">
        <f t="shared" si="0"/>
        <v>7000</v>
      </c>
    </row>
    <row r="17" spans="1:9">
      <c r="A17" s="21"/>
      <c r="B17" s="114"/>
      <c r="C17" s="1" t="s">
        <v>92</v>
      </c>
      <c r="D17" s="1" t="s">
        <v>11</v>
      </c>
      <c r="E17" s="1"/>
      <c r="F17" s="39" t="s">
        <v>245</v>
      </c>
      <c r="G17" s="31">
        <v>8000</v>
      </c>
      <c r="H17" s="31"/>
      <c r="I17" s="88">
        <f t="shared" si="0"/>
        <v>8000</v>
      </c>
    </row>
    <row r="18" spans="1:9" ht="24">
      <c r="A18" s="21"/>
      <c r="B18" s="114"/>
      <c r="C18" s="1" t="s">
        <v>93</v>
      </c>
      <c r="D18" s="1" t="s">
        <v>11</v>
      </c>
      <c r="E18" s="1"/>
      <c r="F18" s="39" t="s">
        <v>246</v>
      </c>
      <c r="G18" s="31">
        <v>9000</v>
      </c>
      <c r="H18" s="31"/>
      <c r="I18" s="88">
        <f t="shared" si="0"/>
        <v>9000</v>
      </c>
    </row>
    <row r="19" spans="1:9" ht="36">
      <c r="A19" s="21"/>
      <c r="B19" s="114"/>
      <c r="C19" s="1" t="s">
        <v>94</v>
      </c>
      <c r="D19" s="1" t="s">
        <v>11</v>
      </c>
      <c r="E19" s="1"/>
      <c r="F19" s="157" t="s">
        <v>247</v>
      </c>
      <c r="G19" s="31">
        <v>10000</v>
      </c>
      <c r="H19" s="31"/>
      <c r="I19" s="88">
        <f t="shared" si="0"/>
        <v>10000</v>
      </c>
    </row>
    <row r="20" spans="1:9" ht="36">
      <c r="A20" s="21"/>
      <c r="B20" s="114"/>
      <c r="C20" s="1" t="s">
        <v>95</v>
      </c>
      <c r="D20" s="1" t="s">
        <v>11</v>
      </c>
      <c r="E20" s="1"/>
      <c r="F20" s="157" t="s">
        <v>248</v>
      </c>
      <c r="G20" s="31">
        <v>11000</v>
      </c>
      <c r="H20" s="31"/>
      <c r="I20" s="88">
        <f t="shared" si="0"/>
        <v>11000</v>
      </c>
    </row>
    <row r="21" spans="1:9" ht="36">
      <c r="A21" s="21"/>
      <c r="B21" s="114"/>
      <c r="C21" s="1" t="s">
        <v>96</v>
      </c>
      <c r="D21" s="1" t="s">
        <v>11</v>
      </c>
      <c r="E21" s="1"/>
      <c r="F21" s="157" t="s">
        <v>249</v>
      </c>
      <c r="G21" s="31">
        <v>12000</v>
      </c>
      <c r="H21" s="31"/>
      <c r="I21" s="88">
        <f t="shared" si="0"/>
        <v>12000</v>
      </c>
    </row>
    <row r="22" spans="1:9" ht="24">
      <c r="A22" s="21"/>
      <c r="B22" s="114"/>
      <c r="C22" s="1" t="s">
        <v>97</v>
      </c>
      <c r="D22" s="1" t="s">
        <v>11</v>
      </c>
      <c r="E22" s="1"/>
      <c r="F22" s="39" t="s">
        <v>250</v>
      </c>
      <c r="G22" s="31">
        <v>13000</v>
      </c>
      <c r="H22" s="31"/>
      <c r="I22" s="88">
        <f t="shared" si="0"/>
        <v>13000</v>
      </c>
    </row>
    <row r="23" spans="1:9">
      <c r="A23" s="21"/>
      <c r="B23" s="49"/>
      <c r="C23" s="34"/>
      <c r="D23" s="35"/>
      <c r="E23" s="36"/>
      <c r="F23" s="37"/>
      <c r="G23" s="26"/>
      <c r="H23" s="26"/>
      <c r="I23" s="111"/>
    </row>
    <row r="24" spans="1:9" ht="15.75" thickBot="1">
      <c r="A24" s="21"/>
      <c r="B24" s="49"/>
      <c r="C24" s="34"/>
      <c r="D24" s="35"/>
      <c r="E24" s="36"/>
      <c r="F24" s="153" t="s">
        <v>51</v>
      </c>
      <c r="G24" s="38"/>
      <c r="H24" s="38"/>
      <c r="I24" s="152"/>
    </row>
    <row r="25" spans="1:9">
      <c r="A25" s="21"/>
      <c r="B25" s="112"/>
      <c r="C25" s="27"/>
      <c r="D25" s="28"/>
      <c r="E25" s="29"/>
      <c r="F25" s="154" t="s">
        <v>98</v>
      </c>
      <c r="G25" s="30"/>
      <c r="H25" s="30"/>
      <c r="I25" s="113"/>
    </row>
    <row r="26" spans="1:9">
      <c r="A26" s="21"/>
      <c r="B26" s="114"/>
      <c r="C26" s="1" t="s">
        <v>85</v>
      </c>
      <c r="D26" s="1" t="s">
        <v>13</v>
      </c>
      <c r="E26" s="1"/>
      <c r="F26" s="39" t="s">
        <v>238</v>
      </c>
      <c r="G26" s="31">
        <v>5000</v>
      </c>
      <c r="H26" s="31"/>
      <c r="I26" s="88">
        <f t="shared" ref="I26:I38" si="1">G26+H26</f>
        <v>5000</v>
      </c>
    </row>
    <row r="27" spans="1:9" ht="24">
      <c r="A27" s="21"/>
      <c r="B27" s="114"/>
      <c r="C27" s="1" t="s">
        <v>86</v>
      </c>
      <c r="D27" s="1" t="s">
        <v>13</v>
      </c>
      <c r="E27" s="1"/>
      <c r="F27" s="39" t="s">
        <v>239</v>
      </c>
      <c r="G27" s="31">
        <v>6000</v>
      </c>
      <c r="H27" s="31"/>
      <c r="I27" s="88">
        <f t="shared" si="1"/>
        <v>6000</v>
      </c>
    </row>
    <row r="28" spans="1:9" ht="36">
      <c r="A28" s="21"/>
      <c r="B28" s="114"/>
      <c r="C28" s="1" t="s">
        <v>87</v>
      </c>
      <c r="D28" s="1" t="s">
        <v>13</v>
      </c>
      <c r="E28" s="1"/>
      <c r="F28" s="157" t="s">
        <v>240</v>
      </c>
      <c r="G28" s="31">
        <v>7000</v>
      </c>
      <c r="H28" s="31"/>
      <c r="I28" s="88">
        <f t="shared" si="1"/>
        <v>7000</v>
      </c>
    </row>
    <row r="29" spans="1:9" ht="36">
      <c r="A29" s="21"/>
      <c r="B29" s="114"/>
      <c r="C29" s="1" t="s">
        <v>88</v>
      </c>
      <c r="D29" s="1" t="s">
        <v>13</v>
      </c>
      <c r="E29" s="1"/>
      <c r="F29" s="157" t="s">
        <v>241</v>
      </c>
      <c r="G29" s="31">
        <v>8000</v>
      </c>
      <c r="H29" s="31"/>
      <c r="I29" s="88">
        <f t="shared" si="1"/>
        <v>8000</v>
      </c>
    </row>
    <row r="30" spans="1:9" ht="36">
      <c r="A30" s="21"/>
      <c r="B30" s="114"/>
      <c r="C30" s="1" t="s">
        <v>89</v>
      </c>
      <c r="D30" s="1" t="s">
        <v>13</v>
      </c>
      <c r="E30" s="1"/>
      <c r="F30" s="157" t="s">
        <v>242</v>
      </c>
      <c r="G30" s="31">
        <v>9000</v>
      </c>
      <c r="H30" s="31"/>
      <c r="I30" s="88">
        <f t="shared" si="1"/>
        <v>9000</v>
      </c>
    </row>
    <row r="31" spans="1:9">
      <c r="A31" s="21"/>
      <c r="B31" s="114"/>
      <c r="C31" s="1" t="s">
        <v>90</v>
      </c>
      <c r="D31" s="1" t="s">
        <v>13</v>
      </c>
      <c r="E31" s="1"/>
      <c r="F31" s="39" t="s">
        <v>243</v>
      </c>
      <c r="G31" s="31">
        <v>10000</v>
      </c>
      <c r="H31" s="31"/>
      <c r="I31" s="88">
        <f t="shared" si="1"/>
        <v>10000</v>
      </c>
    </row>
    <row r="32" spans="1:9" ht="24">
      <c r="A32" s="21"/>
      <c r="B32" s="114"/>
      <c r="C32" s="1" t="s">
        <v>91</v>
      </c>
      <c r="D32" s="1" t="s">
        <v>13</v>
      </c>
      <c r="E32" s="1"/>
      <c r="F32" s="39" t="s">
        <v>244</v>
      </c>
      <c r="G32" s="31">
        <v>11000</v>
      </c>
      <c r="H32" s="31"/>
      <c r="I32" s="88">
        <f t="shared" si="1"/>
        <v>11000</v>
      </c>
    </row>
    <row r="33" spans="1:9">
      <c r="A33" s="21"/>
      <c r="B33" s="114"/>
      <c r="C33" s="1" t="s">
        <v>92</v>
      </c>
      <c r="D33" s="1" t="s">
        <v>13</v>
      </c>
      <c r="E33" s="1"/>
      <c r="F33" s="39" t="s">
        <v>245</v>
      </c>
      <c r="G33" s="31">
        <v>12000</v>
      </c>
      <c r="H33" s="31"/>
      <c r="I33" s="88">
        <f t="shared" si="1"/>
        <v>12000</v>
      </c>
    </row>
    <row r="34" spans="1:9" ht="24">
      <c r="A34" s="21"/>
      <c r="B34" s="114"/>
      <c r="C34" s="1" t="s">
        <v>93</v>
      </c>
      <c r="D34" s="1" t="s">
        <v>13</v>
      </c>
      <c r="E34" s="1"/>
      <c r="F34" s="39" t="s">
        <v>246</v>
      </c>
      <c r="G34" s="31">
        <v>13000</v>
      </c>
      <c r="H34" s="31"/>
      <c r="I34" s="88">
        <f t="shared" si="1"/>
        <v>13000</v>
      </c>
    </row>
    <row r="35" spans="1:9" ht="36">
      <c r="A35" s="21"/>
      <c r="B35" s="114"/>
      <c r="C35" s="1" t="s">
        <v>94</v>
      </c>
      <c r="D35" s="1" t="s">
        <v>13</v>
      </c>
      <c r="E35" s="1"/>
      <c r="F35" s="157" t="s">
        <v>247</v>
      </c>
      <c r="G35" s="31">
        <v>14000</v>
      </c>
      <c r="H35" s="31"/>
      <c r="I35" s="88">
        <f t="shared" si="1"/>
        <v>14000</v>
      </c>
    </row>
    <row r="36" spans="1:9" ht="36">
      <c r="A36" s="21"/>
      <c r="B36" s="114"/>
      <c r="C36" s="1" t="s">
        <v>95</v>
      </c>
      <c r="D36" s="1" t="s">
        <v>13</v>
      </c>
      <c r="E36" s="1"/>
      <c r="F36" s="157" t="s">
        <v>248</v>
      </c>
      <c r="G36" s="31">
        <v>15000</v>
      </c>
      <c r="H36" s="31"/>
      <c r="I36" s="88">
        <f t="shared" si="1"/>
        <v>15000</v>
      </c>
    </row>
    <row r="37" spans="1:9" ht="36">
      <c r="A37" s="21"/>
      <c r="B37" s="114"/>
      <c r="C37" s="1" t="s">
        <v>96</v>
      </c>
      <c r="D37" s="1" t="s">
        <v>13</v>
      </c>
      <c r="E37" s="1"/>
      <c r="F37" s="157" t="s">
        <v>249</v>
      </c>
      <c r="G37" s="31">
        <v>16000</v>
      </c>
      <c r="H37" s="31"/>
      <c r="I37" s="88">
        <f t="shared" si="1"/>
        <v>16000</v>
      </c>
    </row>
    <row r="38" spans="1:9" ht="24">
      <c r="A38" s="21"/>
      <c r="B38" s="114"/>
      <c r="C38" s="1" t="s">
        <v>97</v>
      </c>
      <c r="D38" s="1" t="s">
        <v>13</v>
      </c>
      <c r="E38" s="1"/>
      <c r="F38" s="39" t="s">
        <v>250</v>
      </c>
      <c r="G38" s="31">
        <v>17000</v>
      </c>
      <c r="H38" s="31"/>
      <c r="I38" s="88">
        <f t="shared" si="1"/>
        <v>17000</v>
      </c>
    </row>
    <row r="39" spans="1:9" ht="15.75" thickBot="1">
      <c r="B39" s="117"/>
      <c r="C39" s="118"/>
      <c r="D39" s="119"/>
      <c r="E39" s="118"/>
      <c r="F39" s="120"/>
      <c r="G39" s="121"/>
      <c r="H39" s="121"/>
      <c r="I39" s="122"/>
    </row>
  </sheetData>
  <conditionalFormatting sqref="I6">
    <cfRule type="containsBlanks" dxfId="5" priority="1">
      <formula>LEN(TRIM(I6))=0</formula>
    </cfRule>
  </conditionalFormatting>
  <conditionalFormatting sqref="D6">
    <cfRule type="containsBlanks" dxfId="4" priority="3">
      <formula>LEN(TRIM(D6))=0</formula>
    </cfRule>
  </conditionalFormatting>
  <conditionalFormatting sqref="E6">
    <cfRule type="containsBlanks" dxfId="3" priority="2">
      <formula>LEN(TRIM(E6))=0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codigo!$A$2:$A$3</xm:f>
          </x14:formula1>
          <xm:sqref>G4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tabColor theme="7" tint="0.39997558519241921"/>
  </sheetPr>
  <dimension ref="A1:I31"/>
  <sheetViews>
    <sheetView topLeftCell="A26" workbookViewId="0">
      <selection activeCell="G22" sqref="G22:I30"/>
    </sheetView>
  </sheetViews>
  <sheetFormatPr baseColWidth="10" defaultRowHeight="15"/>
  <cols>
    <col min="1" max="3" width="2.7109375" customWidth="1"/>
    <col min="4" max="4" width="5" customWidth="1"/>
    <col min="5" max="5" width="2.7109375" customWidth="1"/>
    <col min="6" max="6" width="90.7109375" customWidth="1"/>
    <col min="7" max="7" width="13.28515625" customWidth="1"/>
    <col min="8" max="8" width="11.7109375" customWidth="1"/>
    <col min="9" max="9" width="12.7109375" customWidth="1"/>
  </cols>
  <sheetData>
    <row r="1" spans="1:9" ht="54.95" customHeight="1" thickBot="1"/>
    <row r="2" spans="1:9" ht="177" customHeight="1" thickBot="1">
      <c r="F2" s="13" t="s">
        <v>4</v>
      </c>
    </row>
    <row r="3" spans="1:9" ht="16.5" thickBot="1">
      <c r="F3" s="14" t="s">
        <v>5</v>
      </c>
    </row>
    <row r="4" spans="1:9" ht="16.5" thickBot="1">
      <c r="F4" s="123" t="s">
        <v>6</v>
      </c>
      <c r="G4" s="124" t="s">
        <v>7</v>
      </c>
    </row>
    <row r="5" spans="1:9" ht="101.25" customHeight="1">
      <c r="A5" s="15" t="s">
        <v>8</v>
      </c>
      <c r="B5" s="106"/>
      <c r="C5" s="107"/>
      <c r="D5" s="107"/>
      <c r="E5" s="108"/>
      <c r="F5" s="161" t="s">
        <v>115</v>
      </c>
      <c r="G5" s="175" t="s">
        <v>108</v>
      </c>
      <c r="H5" s="175" t="s">
        <v>109</v>
      </c>
      <c r="I5" s="109" t="s">
        <v>110</v>
      </c>
    </row>
    <row r="6" spans="1:9" ht="114" hidden="1" customHeight="1">
      <c r="A6" s="17" t="s">
        <v>10</v>
      </c>
      <c r="B6" s="127"/>
      <c r="C6" s="18"/>
      <c r="D6" s="182" t="s">
        <v>106</v>
      </c>
      <c r="E6" s="36" t="s">
        <v>107</v>
      </c>
      <c r="F6" s="162"/>
      <c r="G6" s="181" t="s">
        <v>111</v>
      </c>
      <c r="H6" s="181" t="s">
        <v>112</v>
      </c>
      <c r="I6" s="181" t="s">
        <v>113</v>
      </c>
    </row>
    <row r="7" spans="1:9">
      <c r="A7" s="21"/>
      <c r="B7" s="110"/>
      <c r="C7" s="22"/>
      <c r="D7" s="23"/>
      <c r="E7" s="24"/>
      <c r="F7" s="163"/>
      <c r="G7" s="170"/>
      <c r="H7" s="170"/>
      <c r="I7" s="111"/>
    </row>
    <row r="8" spans="1:9" ht="15.75" thickBot="1">
      <c r="A8" s="21"/>
      <c r="B8" s="49"/>
      <c r="C8" s="34"/>
      <c r="D8" s="35"/>
      <c r="E8" s="36"/>
      <c r="F8" s="164" t="s">
        <v>50</v>
      </c>
      <c r="G8" s="171"/>
      <c r="H8" s="171"/>
      <c r="I8" s="152"/>
    </row>
    <row r="9" spans="1:9">
      <c r="A9" s="21"/>
      <c r="B9" s="112"/>
      <c r="C9" s="27"/>
      <c r="D9" s="28"/>
      <c r="E9" s="29"/>
      <c r="F9" s="165" t="s">
        <v>114</v>
      </c>
      <c r="G9" s="172"/>
      <c r="H9" s="172"/>
      <c r="I9" s="160"/>
    </row>
    <row r="10" spans="1:9">
      <c r="A10" s="21"/>
      <c r="B10" s="114"/>
      <c r="C10" s="1" t="s">
        <v>116</v>
      </c>
      <c r="D10" s="1" t="s">
        <v>11</v>
      </c>
      <c r="E10" s="1"/>
      <c r="F10" s="166" t="s">
        <v>251</v>
      </c>
      <c r="G10" s="199" t="s">
        <v>277</v>
      </c>
      <c r="H10" s="199" t="s">
        <v>278</v>
      </c>
      <c r="I10" s="200" t="s">
        <v>279</v>
      </c>
    </row>
    <row r="11" spans="1:9">
      <c r="A11" s="21"/>
      <c r="B11" s="114"/>
      <c r="C11" s="1" t="s">
        <v>117</v>
      </c>
      <c r="D11" s="1" t="s">
        <v>11</v>
      </c>
      <c r="E11" s="1"/>
      <c r="F11" s="166" t="s">
        <v>252</v>
      </c>
      <c r="G11" s="199" t="s">
        <v>280</v>
      </c>
      <c r="H11" s="199" t="s">
        <v>281</v>
      </c>
      <c r="I11" s="200" t="s">
        <v>282</v>
      </c>
    </row>
    <row r="12" spans="1:9" ht="24">
      <c r="A12" s="21"/>
      <c r="B12" s="114"/>
      <c r="C12" s="1" t="s">
        <v>118</v>
      </c>
      <c r="D12" s="1" t="s">
        <v>11</v>
      </c>
      <c r="E12" s="1"/>
      <c r="F12" s="166" t="s">
        <v>253</v>
      </c>
      <c r="G12" s="199" t="s">
        <v>283</v>
      </c>
      <c r="H12" s="199" t="s">
        <v>284</v>
      </c>
      <c r="I12" s="200" t="s">
        <v>285</v>
      </c>
    </row>
    <row r="13" spans="1:9" ht="24">
      <c r="A13" s="21"/>
      <c r="B13" s="114"/>
      <c r="C13" s="1" t="s">
        <v>119</v>
      </c>
      <c r="D13" s="1" t="s">
        <v>11</v>
      </c>
      <c r="E13" s="1"/>
      <c r="F13" s="167" t="s">
        <v>254</v>
      </c>
      <c r="G13" s="199" t="s">
        <v>286</v>
      </c>
      <c r="H13" s="199" t="s">
        <v>302</v>
      </c>
      <c r="I13" s="200" t="s">
        <v>282</v>
      </c>
    </row>
    <row r="14" spans="1:9">
      <c r="A14" s="21"/>
      <c r="B14" s="114"/>
      <c r="C14" s="1" t="s">
        <v>120</v>
      </c>
      <c r="D14" s="1" t="s">
        <v>11</v>
      </c>
      <c r="E14" s="1"/>
      <c r="F14" s="166" t="s">
        <v>255</v>
      </c>
      <c r="G14" s="199" t="s">
        <v>288</v>
      </c>
      <c r="H14" s="199" t="s">
        <v>303</v>
      </c>
      <c r="I14" s="200" t="s">
        <v>282</v>
      </c>
    </row>
    <row r="15" spans="1:9">
      <c r="A15" s="21"/>
      <c r="B15" s="114"/>
      <c r="C15" s="1" t="s">
        <v>121</v>
      </c>
      <c r="D15" s="1" t="s">
        <v>11</v>
      </c>
      <c r="E15" s="1"/>
      <c r="F15" s="166" t="s">
        <v>256</v>
      </c>
      <c r="G15" s="199" t="s">
        <v>304</v>
      </c>
      <c r="H15" s="199" t="s">
        <v>293</v>
      </c>
      <c r="I15" s="200" t="s">
        <v>283</v>
      </c>
    </row>
    <row r="16" spans="1:9" ht="24">
      <c r="A16" s="21"/>
      <c r="B16" s="114"/>
      <c r="C16" s="1" t="s">
        <v>122</v>
      </c>
      <c r="D16" s="1" t="s">
        <v>11</v>
      </c>
      <c r="E16" s="1"/>
      <c r="F16" s="166" t="s">
        <v>257</v>
      </c>
      <c r="G16" s="199" t="s">
        <v>305</v>
      </c>
      <c r="H16" s="199" t="s">
        <v>281</v>
      </c>
      <c r="I16" s="200" t="s">
        <v>280</v>
      </c>
    </row>
    <row r="17" spans="1:9" ht="24">
      <c r="A17" s="21"/>
      <c r="B17" s="114"/>
      <c r="C17" s="1" t="s">
        <v>123</v>
      </c>
      <c r="D17" s="1" t="s">
        <v>11</v>
      </c>
      <c r="E17" s="1"/>
      <c r="F17" s="166" t="s">
        <v>258</v>
      </c>
      <c r="G17" s="199" t="s">
        <v>306</v>
      </c>
      <c r="H17" s="199" t="s">
        <v>280</v>
      </c>
      <c r="I17" s="200" t="s">
        <v>298</v>
      </c>
    </row>
    <row r="18" spans="1:9" ht="24">
      <c r="A18" s="21"/>
      <c r="B18" s="114"/>
      <c r="C18" s="1" t="s">
        <v>124</v>
      </c>
      <c r="D18" s="1" t="s">
        <v>11</v>
      </c>
      <c r="E18" s="1"/>
      <c r="F18" s="166" t="s">
        <v>259</v>
      </c>
      <c r="G18" s="199" t="s">
        <v>307</v>
      </c>
      <c r="H18" s="199" t="s">
        <v>308</v>
      </c>
      <c r="I18" s="200" t="s">
        <v>283</v>
      </c>
    </row>
    <row r="19" spans="1:9">
      <c r="A19" s="21"/>
      <c r="B19" s="49"/>
      <c r="C19" s="34"/>
      <c r="D19" s="35"/>
      <c r="E19" s="36"/>
      <c r="F19" s="168"/>
      <c r="G19" s="170"/>
      <c r="H19" s="170"/>
      <c r="I19" s="111"/>
    </row>
    <row r="20" spans="1:9" ht="15.75" thickBot="1">
      <c r="A20" s="21"/>
      <c r="B20" s="49"/>
      <c r="C20" s="34"/>
      <c r="D20" s="35"/>
      <c r="E20" s="36"/>
      <c r="F20" s="164" t="s">
        <v>51</v>
      </c>
      <c r="G20" s="171"/>
      <c r="H20" s="171"/>
      <c r="I20" s="152"/>
    </row>
    <row r="21" spans="1:9">
      <c r="A21" s="21"/>
      <c r="B21" s="112"/>
      <c r="C21" s="27"/>
      <c r="D21" s="28"/>
      <c r="E21" s="29"/>
      <c r="F21" s="165" t="s">
        <v>114</v>
      </c>
      <c r="G21" s="172"/>
      <c r="H21" s="172"/>
      <c r="I21" s="160"/>
    </row>
    <row r="22" spans="1:9">
      <c r="A22" s="21"/>
      <c r="B22" s="114"/>
      <c r="C22" s="1" t="s">
        <v>116</v>
      </c>
      <c r="D22" s="1" t="s">
        <v>13</v>
      </c>
      <c r="E22" s="1"/>
      <c r="F22" s="166" t="s">
        <v>260</v>
      </c>
      <c r="G22" s="199" t="s">
        <v>277</v>
      </c>
      <c r="H22" s="199" t="s">
        <v>278</v>
      </c>
      <c r="I22" s="200" t="s">
        <v>279</v>
      </c>
    </row>
    <row r="23" spans="1:9">
      <c r="A23" s="21"/>
      <c r="B23" s="114"/>
      <c r="C23" s="1" t="s">
        <v>117</v>
      </c>
      <c r="D23" s="1" t="s">
        <v>13</v>
      </c>
      <c r="E23" s="1"/>
      <c r="F23" s="166" t="s">
        <v>261</v>
      </c>
      <c r="G23" s="199" t="s">
        <v>280</v>
      </c>
      <c r="H23" s="199" t="s">
        <v>281</v>
      </c>
      <c r="I23" s="200" t="s">
        <v>282</v>
      </c>
    </row>
    <row r="24" spans="1:9" ht="24">
      <c r="A24" s="21"/>
      <c r="B24" s="114"/>
      <c r="C24" s="1" t="s">
        <v>118</v>
      </c>
      <c r="D24" s="1" t="s">
        <v>13</v>
      </c>
      <c r="E24" s="1"/>
      <c r="F24" s="166" t="s">
        <v>262</v>
      </c>
      <c r="G24" s="199" t="s">
        <v>283</v>
      </c>
      <c r="H24" s="199" t="s">
        <v>284</v>
      </c>
      <c r="I24" s="200" t="s">
        <v>285</v>
      </c>
    </row>
    <row r="25" spans="1:9" ht="24">
      <c r="A25" s="21"/>
      <c r="B25" s="114"/>
      <c r="C25" s="1" t="s">
        <v>119</v>
      </c>
      <c r="D25" s="1" t="s">
        <v>13</v>
      </c>
      <c r="E25" s="1"/>
      <c r="F25" s="167" t="s">
        <v>263</v>
      </c>
      <c r="G25" s="199" t="s">
        <v>286</v>
      </c>
      <c r="H25" s="199" t="s">
        <v>302</v>
      </c>
      <c r="I25" s="200" t="s">
        <v>282</v>
      </c>
    </row>
    <row r="26" spans="1:9">
      <c r="A26" s="21"/>
      <c r="B26" s="114"/>
      <c r="C26" s="1" t="s">
        <v>120</v>
      </c>
      <c r="D26" s="1" t="s">
        <v>13</v>
      </c>
      <c r="E26" s="1"/>
      <c r="F26" s="166" t="s">
        <v>264</v>
      </c>
      <c r="G26" s="199" t="s">
        <v>288</v>
      </c>
      <c r="H26" s="199" t="s">
        <v>303</v>
      </c>
      <c r="I26" s="200" t="s">
        <v>282</v>
      </c>
    </row>
    <row r="27" spans="1:9">
      <c r="A27" s="21"/>
      <c r="B27" s="114"/>
      <c r="C27" s="1" t="s">
        <v>121</v>
      </c>
      <c r="D27" s="1" t="s">
        <v>13</v>
      </c>
      <c r="E27" s="1"/>
      <c r="F27" s="166" t="s">
        <v>265</v>
      </c>
      <c r="G27" s="199" t="s">
        <v>304</v>
      </c>
      <c r="H27" s="199" t="s">
        <v>293</v>
      </c>
      <c r="I27" s="200" t="s">
        <v>283</v>
      </c>
    </row>
    <row r="28" spans="1:9" ht="24">
      <c r="A28" s="21"/>
      <c r="B28" s="114"/>
      <c r="C28" s="1" t="s">
        <v>122</v>
      </c>
      <c r="D28" s="1" t="s">
        <v>13</v>
      </c>
      <c r="E28" s="1"/>
      <c r="F28" s="166" t="s">
        <v>266</v>
      </c>
      <c r="G28" s="199" t="s">
        <v>305</v>
      </c>
      <c r="H28" s="199" t="s">
        <v>281</v>
      </c>
      <c r="I28" s="200" t="s">
        <v>280</v>
      </c>
    </row>
    <row r="29" spans="1:9" ht="24">
      <c r="A29" s="21"/>
      <c r="B29" s="114"/>
      <c r="C29" s="1" t="s">
        <v>123</v>
      </c>
      <c r="D29" s="1" t="s">
        <v>13</v>
      </c>
      <c r="E29" s="1"/>
      <c r="F29" s="166" t="s">
        <v>267</v>
      </c>
      <c r="G29" s="199" t="s">
        <v>306</v>
      </c>
      <c r="H29" s="199" t="s">
        <v>280</v>
      </c>
      <c r="I29" s="200" t="s">
        <v>298</v>
      </c>
    </row>
    <row r="30" spans="1:9" ht="24">
      <c r="A30" s="21"/>
      <c r="B30" s="114"/>
      <c r="C30" s="1" t="s">
        <v>124</v>
      </c>
      <c r="D30" s="1" t="s">
        <v>13</v>
      </c>
      <c r="E30" s="1"/>
      <c r="F30" s="166" t="s">
        <v>268</v>
      </c>
      <c r="G30" s="199" t="s">
        <v>307</v>
      </c>
      <c r="H30" s="199" t="s">
        <v>308</v>
      </c>
      <c r="I30" s="200" t="s">
        <v>283</v>
      </c>
    </row>
    <row r="31" spans="1:9" ht="15.75" thickBot="1">
      <c r="B31" s="117"/>
      <c r="C31" s="118"/>
      <c r="D31" s="119"/>
      <c r="E31" s="118"/>
      <c r="F31" s="169"/>
      <c r="G31" s="174"/>
      <c r="H31" s="174"/>
      <c r="I31" s="122"/>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700-000000000000}">
          <x14:formula1>
            <xm:f>codigo!$A$2:$A$3</xm:f>
          </x14:formula1>
          <xm:sqref>G4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3">
    <tabColor theme="2" tint="-0.249977111117893"/>
  </sheetPr>
  <dimension ref="A1:I15"/>
  <sheetViews>
    <sheetView topLeftCell="A5" workbookViewId="0">
      <selection activeCell="G14" sqref="G14"/>
    </sheetView>
  </sheetViews>
  <sheetFormatPr baseColWidth="10" defaultRowHeight="15"/>
  <cols>
    <col min="1" max="3" width="2.7109375" customWidth="1"/>
    <col min="4" max="4" width="5" customWidth="1"/>
    <col min="5" max="5" width="2.7109375" customWidth="1"/>
    <col min="6" max="6" width="90.7109375" customWidth="1"/>
    <col min="7" max="7" width="13.28515625" customWidth="1"/>
    <col min="8" max="8" width="11.7109375" customWidth="1"/>
    <col min="9" max="9" width="12.7109375" customWidth="1"/>
  </cols>
  <sheetData>
    <row r="1" spans="1:9" ht="54.95" customHeight="1" thickBot="1"/>
    <row r="2" spans="1:9" ht="177" customHeight="1" thickBot="1">
      <c r="F2" s="13" t="s">
        <v>4</v>
      </c>
    </row>
    <row r="3" spans="1:9" ht="16.5" thickBot="1">
      <c r="F3" s="14" t="s">
        <v>5</v>
      </c>
    </row>
    <row r="4" spans="1:9" ht="16.5" thickBot="1">
      <c r="F4" s="123" t="s">
        <v>6</v>
      </c>
      <c r="G4" s="124" t="s">
        <v>7</v>
      </c>
    </row>
    <row r="5" spans="1:9" ht="101.25" customHeight="1">
      <c r="A5" s="15" t="s">
        <v>8</v>
      </c>
      <c r="B5" s="106"/>
      <c r="C5" s="107"/>
      <c r="D5" s="107"/>
      <c r="E5" s="108"/>
      <c r="F5" s="125" t="s">
        <v>128</v>
      </c>
      <c r="G5" s="16" t="s">
        <v>9</v>
      </c>
      <c r="H5" s="126" t="s">
        <v>9</v>
      </c>
      <c r="I5" s="109" t="s">
        <v>129</v>
      </c>
    </row>
    <row r="6" spans="1:9" ht="114" hidden="1" customHeight="1">
      <c r="A6" s="17" t="s">
        <v>10</v>
      </c>
      <c r="B6" s="127"/>
      <c r="C6" s="18"/>
      <c r="D6" s="128" t="s">
        <v>125</v>
      </c>
      <c r="E6" s="128" t="s">
        <v>126</v>
      </c>
      <c r="F6" s="72"/>
      <c r="G6" s="19" t="str">
        <f>SUBSTITUTE(CONCATENATE("IFRS15-PrecTranAsig_",TRIM(G5),"_",COLUMN(G6),"|",G5)," ","")</f>
        <v>IFRS15-PrecTranAsig_Agregarcolumnaopcional_7|Agregarcolumnaopcional</v>
      </c>
      <c r="H6" s="20" t="str">
        <f>SUBSTITUTE(CONCATENATE("IFRS15-PrecTranAsig_",TRIM(H5),"_",COLUMN(H6),"|",H5)," ","")</f>
        <v>IFRS15-PrecTranAsig_Agregarcolumnaopcional_8|Agregarcolumnaopcional</v>
      </c>
      <c r="I6" s="129" t="s">
        <v>130</v>
      </c>
    </row>
    <row r="7" spans="1:9">
      <c r="A7" s="21"/>
      <c r="B7" s="110"/>
      <c r="C7" s="22"/>
      <c r="D7" s="23"/>
      <c r="E7" s="24"/>
      <c r="F7" s="25"/>
      <c r="G7" s="26"/>
      <c r="H7" s="26"/>
      <c r="I7" s="111"/>
    </row>
    <row r="8" spans="1:9" ht="15.75" thickBot="1">
      <c r="A8" s="21"/>
      <c r="B8" s="49"/>
      <c r="C8" s="34"/>
      <c r="D8" s="35"/>
      <c r="E8" s="36"/>
      <c r="F8" s="153" t="s">
        <v>50</v>
      </c>
      <c r="G8" s="38"/>
      <c r="H8" s="38"/>
      <c r="I8" s="152"/>
    </row>
    <row r="9" spans="1:9" ht="22.5">
      <c r="A9" s="21"/>
      <c r="B9" s="112"/>
      <c r="C9" s="27"/>
      <c r="D9" s="28"/>
      <c r="E9" s="29"/>
      <c r="F9" s="155" t="s">
        <v>131</v>
      </c>
      <c r="G9" s="30"/>
      <c r="H9" s="30"/>
      <c r="I9" s="113"/>
    </row>
    <row r="10" spans="1:9">
      <c r="A10" s="21"/>
      <c r="B10" s="114"/>
      <c r="C10" s="1" t="s">
        <v>133</v>
      </c>
      <c r="D10" s="1" t="s">
        <v>11</v>
      </c>
      <c r="E10" s="1"/>
      <c r="F10" s="39" t="s">
        <v>269</v>
      </c>
      <c r="G10" s="31">
        <v>10000</v>
      </c>
      <c r="H10" s="31"/>
      <c r="I10" s="88">
        <f>G10+H10</f>
        <v>10000</v>
      </c>
    </row>
    <row r="11" spans="1:9">
      <c r="A11" s="21"/>
      <c r="B11" s="49"/>
      <c r="C11" s="34"/>
      <c r="D11" s="35"/>
      <c r="E11" s="36"/>
      <c r="F11" s="37"/>
      <c r="G11" s="26"/>
      <c r="H11" s="26"/>
      <c r="I11" s="111"/>
    </row>
    <row r="12" spans="1:9" ht="15.75" thickBot="1">
      <c r="A12" s="21"/>
      <c r="B12" s="49"/>
      <c r="C12" s="34"/>
      <c r="D12" s="35"/>
      <c r="E12" s="36"/>
      <c r="F12" s="153" t="s">
        <v>51</v>
      </c>
      <c r="G12" s="38"/>
      <c r="H12" s="38"/>
      <c r="I12" s="152"/>
    </row>
    <row r="13" spans="1:9" ht="22.5">
      <c r="A13" s="21"/>
      <c r="B13" s="112"/>
      <c r="C13" s="27"/>
      <c r="D13" s="28"/>
      <c r="E13" s="29"/>
      <c r="F13" s="155" t="s">
        <v>131</v>
      </c>
      <c r="G13" s="30"/>
      <c r="H13" s="30"/>
      <c r="I13" s="113"/>
    </row>
    <row r="14" spans="1:9">
      <c r="A14" s="21" t="s">
        <v>12</v>
      </c>
      <c r="B14" s="114"/>
      <c r="C14" s="1" t="s">
        <v>133</v>
      </c>
      <c r="D14" s="1" t="s">
        <v>11</v>
      </c>
      <c r="E14" s="1"/>
      <c r="F14" s="39" t="s">
        <v>269</v>
      </c>
      <c r="G14" s="31">
        <v>20000</v>
      </c>
      <c r="H14" s="31"/>
      <c r="I14" s="88">
        <f>G14+H14</f>
        <v>20000</v>
      </c>
    </row>
    <row r="15" spans="1:9" ht="15.75" thickBot="1">
      <c r="B15" s="117"/>
      <c r="C15" s="118"/>
      <c r="D15" s="119"/>
      <c r="E15" s="118"/>
      <c r="F15" s="120"/>
      <c r="G15" s="121"/>
      <c r="H15" s="121"/>
      <c r="I15" s="122"/>
    </row>
  </sheetData>
  <conditionalFormatting sqref="I6">
    <cfRule type="containsBlanks" dxfId="2" priority="1">
      <formula>LEN(TRIM(I6))=0</formula>
    </cfRule>
  </conditionalFormatting>
  <conditionalFormatting sqref="D6">
    <cfRule type="containsBlanks" dxfId="1" priority="3">
      <formula>LEN(TRIM(D6))=0</formula>
    </cfRule>
  </conditionalFormatting>
  <conditionalFormatting sqref="E6">
    <cfRule type="containsBlanks" dxfId="0" priority="2">
      <formula>LEN(TRIM(E6))=0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codigo!$A$2:$A$3</xm:f>
          </x14:formula1>
          <xm:sqref>G4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4">
    <tabColor rgb="FF00B0F0"/>
  </sheetPr>
  <dimension ref="A1:J15"/>
  <sheetViews>
    <sheetView tabSelected="1" topLeftCell="A5" workbookViewId="0">
      <selection activeCell="G14" sqref="G14:I14"/>
    </sheetView>
  </sheetViews>
  <sheetFormatPr baseColWidth="10" defaultRowHeight="15"/>
  <cols>
    <col min="1" max="3" width="2.7109375" customWidth="1"/>
    <col min="4" max="4" width="5" customWidth="1"/>
    <col min="5" max="5" width="2.7109375" customWidth="1"/>
    <col min="6" max="6" width="90.7109375" customWidth="1"/>
    <col min="7" max="7" width="13.28515625" customWidth="1"/>
    <col min="8" max="9" width="11.7109375" customWidth="1"/>
    <col min="10" max="10" width="12.7109375" customWidth="1"/>
  </cols>
  <sheetData>
    <row r="1" spans="1:10" ht="54.95" customHeight="1" thickBot="1"/>
    <row r="2" spans="1:10" ht="177" customHeight="1" thickBot="1">
      <c r="F2" s="13" t="s">
        <v>4</v>
      </c>
    </row>
    <row r="3" spans="1:10" ht="16.5" thickBot="1">
      <c r="F3" s="14" t="s">
        <v>5</v>
      </c>
    </row>
    <row r="4" spans="1:10" ht="16.5" thickBot="1">
      <c r="F4" s="123" t="s">
        <v>6</v>
      </c>
      <c r="G4" s="124" t="s">
        <v>7</v>
      </c>
    </row>
    <row r="5" spans="1:10" ht="101.25" customHeight="1">
      <c r="A5" s="15" t="s">
        <v>8</v>
      </c>
      <c r="B5" s="106"/>
      <c r="C5" s="107"/>
      <c r="D5" s="107"/>
      <c r="E5" s="108"/>
      <c r="F5" s="161" t="s">
        <v>150</v>
      </c>
      <c r="G5" s="175" t="s">
        <v>154</v>
      </c>
      <c r="H5" s="175" t="s">
        <v>155</v>
      </c>
      <c r="I5" s="175" t="s">
        <v>157</v>
      </c>
      <c r="J5" s="109" t="s">
        <v>160</v>
      </c>
    </row>
    <row r="6" spans="1:10" ht="114" hidden="1" customHeight="1">
      <c r="A6" s="17" t="s">
        <v>10</v>
      </c>
      <c r="B6" s="127"/>
      <c r="C6" s="18"/>
      <c r="D6" s="182" t="s">
        <v>151</v>
      </c>
      <c r="E6" s="36" t="s">
        <v>152</v>
      </c>
      <c r="F6" s="162"/>
      <c r="G6" s="181" t="s">
        <v>153</v>
      </c>
      <c r="H6" s="181" t="s">
        <v>156</v>
      </c>
      <c r="I6" s="181" t="s">
        <v>158</v>
      </c>
      <c r="J6" s="181" t="s">
        <v>159</v>
      </c>
    </row>
    <row r="7" spans="1:10">
      <c r="A7" s="21"/>
      <c r="B7" s="110"/>
      <c r="C7" s="22"/>
      <c r="D7" s="23"/>
      <c r="E7" s="24"/>
      <c r="F7" s="163"/>
      <c r="G7" s="170"/>
      <c r="H7" s="170"/>
      <c r="I7" s="170"/>
      <c r="J7" s="111"/>
    </row>
    <row r="8" spans="1:10" ht="15.75" thickBot="1">
      <c r="A8" s="21"/>
      <c r="B8" s="49"/>
      <c r="C8" s="34"/>
      <c r="D8" s="35"/>
      <c r="E8" s="36"/>
      <c r="F8" s="164" t="s">
        <v>50</v>
      </c>
      <c r="G8" s="171"/>
      <c r="H8" s="171"/>
      <c r="I8" s="171"/>
      <c r="J8" s="152"/>
    </row>
    <row r="9" spans="1:10" ht="22.5">
      <c r="A9" s="21"/>
      <c r="B9" s="112"/>
      <c r="C9" s="27"/>
      <c r="D9" s="28"/>
      <c r="E9" s="29"/>
      <c r="F9" s="183" t="s">
        <v>161</v>
      </c>
      <c r="G9" s="172"/>
      <c r="H9" s="172"/>
      <c r="I9" s="172"/>
      <c r="J9" s="160"/>
    </row>
    <row r="10" spans="1:10">
      <c r="A10" s="21"/>
      <c r="B10" s="114"/>
      <c r="C10" s="1" t="s">
        <v>132</v>
      </c>
      <c r="D10" s="1" t="s">
        <v>11</v>
      </c>
      <c r="E10" s="1"/>
      <c r="F10" s="166" t="s">
        <v>270</v>
      </c>
      <c r="G10" s="173">
        <v>1000</v>
      </c>
      <c r="H10" s="173">
        <v>2000</v>
      </c>
      <c r="I10" s="173">
        <v>3000</v>
      </c>
      <c r="J10" s="88">
        <f>G10+H10+I10</f>
        <v>6000</v>
      </c>
    </row>
    <row r="11" spans="1:10">
      <c r="A11" s="21"/>
      <c r="B11" s="49"/>
      <c r="C11" s="34"/>
      <c r="D11" s="35"/>
      <c r="E11" s="36"/>
      <c r="F11" s="168"/>
      <c r="G11" s="170"/>
      <c r="H11" s="170"/>
      <c r="I11" s="170"/>
      <c r="J11" s="111"/>
    </row>
    <row r="12" spans="1:10" ht="15.75" thickBot="1">
      <c r="A12" s="21"/>
      <c r="B12" s="49"/>
      <c r="C12" s="34"/>
      <c r="D12" s="35"/>
      <c r="E12" s="36"/>
      <c r="F12" s="164" t="s">
        <v>51</v>
      </c>
      <c r="G12" s="171"/>
      <c r="H12" s="171"/>
      <c r="I12" s="171"/>
      <c r="J12" s="152"/>
    </row>
    <row r="13" spans="1:10" ht="22.5">
      <c r="A13" s="21"/>
      <c r="B13" s="112"/>
      <c r="C13" s="27"/>
      <c r="D13" s="28"/>
      <c r="E13" s="29"/>
      <c r="F13" s="183" t="s">
        <v>161</v>
      </c>
      <c r="G13" s="172"/>
      <c r="H13" s="172"/>
      <c r="I13" s="172"/>
      <c r="J13" s="160"/>
    </row>
    <row r="14" spans="1:10">
      <c r="A14" s="21" t="s">
        <v>12</v>
      </c>
      <c r="B14" s="114"/>
      <c r="C14" s="1" t="s">
        <v>132</v>
      </c>
      <c r="D14" s="1" t="s">
        <v>11</v>
      </c>
      <c r="E14" s="1"/>
      <c r="F14" s="166" t="s">
        <v>270</v>
      </c>
      <c r="G14" s="173">
        <v>4000</v>
      </c>
      <c r="H14" s="173">
        <v>5000</v>
      </c>
      <c r="I14" s="173">
        <v>63000</v>
      </c>
      <c r="J14" s="88">
        <f>G14+H14+I14</f>
        <v>72000</v>
      </c>
    </row>
    <row r="15" spans="1:10" ht="15.75" thickBot="1">
      <c r="B15" s="117"/>
      <c r="C15" s="118"/>
      <c r="D15" s="119"/>
      <c r="E15" s="118"/>
      <c r="F15" s="169"/>
      <c r="G15" s="174"/>
      <c r="H15" s="174"/>
      <c r="I15" s="174"/>
      <c r="J15" s="122"/>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codigo!$A$2:$A$3</xm:f>
          </x14:formula1>
          <xm:sqref>G4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6"/>
  <dimension ref="A1:F4"/>
  <sheetViews>
    <sheetView workbookViewId="0">
      <selection activeCell="E12" sqref="E12"/>
    </sheetView>
  </sheetViews>
  <sheetFormatPr baseColWidth="10" defaultRowHeight="15"/>
  <cols>
    <col min="2" max="2" width="17.140625" customWidth="1"/>
    <col min="3" max="3" width="13.85546875" customWidth="1"/>
    <col min="4" max="4" width="17.85546875" customWidth="1"/>
    <col min="5" max="5" width="22.7109375" customWidth="1"/>
    <col min="6" max="6" width="14.5703125" customWidth="1"/>
  </cols>
  <sheetData>
    <row r="1" spans="1:6">
      <c r="B1" t="s">
        <v>134</v>
      </c>
      <c r="C1" t="s">
        <v>137</v>
      </c>
      <c r="D1" t="s">
        <v>141</v>
      </c>
      <c r="E1" t="s">
        <v>144</v>
      </c>
      <c r="F1" t="s">
        <v>147</v>
      </c>
    </row>
    <row r="2" spans="1:6" ht="75">
      <c r="A2" t="s">
        <v>7</v>
      </c>
      <c r="B2" s="54" t="s">
        <v>135</v>
      </c>
      <c r="C2" s="54" t="s">
        <v>138</v>
      </c>
      <c r="D2" s="54" t="s">
        <v>142</v>
      </c>
      <c r="E2" s="54" t="s">
        <v>145</v>
      </c>
      <c r="F2" s="54" t="s">
        <v>148</v>
      </c>
    </row>
    <row r="3" spans="1:6" ht="60">
      <c r="A3" t="s">
        <v>70</v>
      </c>
      <c r="B3" s="54" t="s">
        <v>136</v>
      </c>
      <c r="C3" s="54" t="s">
        <v>139</v>
      </c>
      <c r="D3" s="54" t="s">
        <v>143</v>
      </c>
      <c r="E3" s="54" t="s">
        <v>146</v>
      </c>
      <c r="F3" s="54" t="s">
        <v>149</v>
      </c>
    </row>
    <row r="4" spans="1:6" ht="30">
      <c r="C4" s="54" t="s">
        <v>140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IFRS15-Cuadros</vt:lpstr>
      <vt:lpstr>IFRS15-AnteInveTabl</vt:lpstr>
      <vt:lpstr>IFRS15-DesaProdServ</vt:lpstr>
      <vt:lpstr>IFRS15-DesaAreaGeog</vt:lpstr>
      <vt:lpstr>IFRS15-DesaSegmOper</vt:lpstr>
      <vt:lpstr>IFRS15-SaldDelCont</vt:lpstr>
      <vt:lpstr>IFRS15-CambSignSald</vt:lpstr>
      <vt:lpstr>IFRS15-InfoReveDese</vt:lpstr>
      <vt:lpstr>IFRS15-PrecTranAsig</vt:lpstr>
      <vt:lpstr>IFRS15-InfoActiCost</vt:lpstr>
      <vt:lpstr>codigo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San Martin (DBNeTCorp)</dc:creator>
  <cp:lastModifiedBy>jaime</cp:lastModifiedBy>
  <dcterms:created xsi:type="dcterms:W3CDTF">2013-03-21T17:58:38Z</dcterms:created>
  <dcterms:modified xsi:type="dcterms:W3CDTF">2023-02-14T21:01:07Z</dcterms:modified>
</cp:coreProperties>
</file>