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026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aime\Desktop\Jaime\TESTING\Testing CI 2023\svs-cl-ci-2023-01-02\"/>
    </mc:Choice>
  </mc:AlternateContent>
  <xr:revisionPtr revIDLastSave="0" documentId="13_ncr:1_{8794D87B-DCF1-439C-B6F6-8C74B9BC21CF}" xr6:coauthVersionLast="47" xr6:coauthVersionMax="47" xr10:uidLastSave="{00000000-0000-0000-0000-000000000000}"/>
  <bookViews>
    <workbookView xWindow="-120" yWindow="-120" windowWidth="20730" windowHeight="11160" firstSheet="1" activeTab="4" xr2:uid="{00000000-000D-0000-FFFF-FFFF00000000}"/>
  </bookViews>
  <sheets>
    <sheet name="IAS41-Cuadros" sheetId="2" r:id="rId1"/>
    <sheet name="IAS41-InfoReveDeta" sheetId="7" r:id="rId2"/>
    <sheet name="IAS41-InfoProdAgri" sheetId="10" r:id="rId3"/>
    <sheet name="IAS41-InfoActvBiol" sheetId="8" r:id="rId4"/>
    <sheet name="IAS41-OtraInfoAcBi" sheetId="11" r:id="rId5"/>
    <sheet name="Hoja2" sheetId="9" state="hidden" r:id="rId6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19" i="11" l="1"/>
  <c r="G19" i="11"/>
  <c r="H9" i="11"/>
  <c r="G9" i="11"/>
  <c r="I23" i="11" l="1"/>
  <c r="I22" i="11"/>
  <c r="I21" i="11"/>
  <c r="I20" i="11"/>
  <c r="I19" i="11"/>
  <c r="I13" i="11"/>
  <c r="I12" i="11"/>
  <c r="I11" i="11"/>
  <c r="I10" i="11"/>
  <c r="I9" i="11"/>
  <c r="H5" i="11" l="1"/>
  <c r="G5" i="11"/>
  <c r="AC26" i="7" l="1"/>
  <c r="AB26" i="7"/>
  <c r="Z26" i="7"/>
  <c r="Y26" i="7"/>
  <c r="W26" i="7"/>
  <c r="V26" i="7"/>
  <c r="U26" i="7"/>
  <c r="R26" i="7"/>
  <c r="X26" i="7" s="1"/>
  <c r="N26" i="7"/>
  <c r="M26" i="7"/>
  <c r="L26" i="7"/>
  <c r="I26" i="7"/>
  <c r="O26" i="7" s="1"/>
  <c r="AC25" i="7"/>
  <c r="AB25" i="7"/>
  <c r="Z25" i="7"/>
  <c r="Y25" i="7"/>
  <c r="W25" i="7"/>
  <c r="V25" i="7"/>
  <c r="U25" i="7"/>
  <c r="R25" i="7"/>
  <c r="X25" i="7" s="1"/>
  <c r="N25" i="7"/>
  <c r="M25" i="7"/>
  <c r="L25" i="7"/>
  <c r="I25" i="7"/>
  <c r="AA25" i="7" s="1"/>
  <c r="W17" i="7"/>
  <c r="V17" i="7"/>
  <c r="W16" i="7"/>
  <c r="V16" i="7"/>
  <c r="N17" i="7"/>
  <c r="M17" i="7"/>
  <c r="AE17" i="7" s="1"/>
  <c r="N16" i="7"/>
  <c r="M16" i="7"/>
  <c r="AC23" i="7"/>
  <c r="AB23" i="7"/>
  <c r="Z23" i="7"/>
  <c r="Y23" i="7"/>
  <c r="W23" i="7"/>
  <c r="V23" i="7"/>
  <c r="U23" i="7"/>
  <c r="R23" i="7"/>
  <c r="N23" i="7"/>
  <c r="M23" i="7"/>
  <c r="L23" i="7"/>
  <c r="I23" i="7"/>
  <c r="U17" i="7"/>
  <c r="U16" i="7"/>
  <c r="AD16" i="7" s="1"/>
  <c r="R17" i="7"/>
  <c r="X17" i="7" s="1"/>
  <c r="R16" i="7"/>
  <c r="AA16" i="7" s="1"/>
  <c r="L17" i="7"/>
  <c r="L16" i="7"/>
  <c r="I17" i="7"/>
  <c r="I16" i="7"/>
  <c r="O16" i="7" s="1"/>
  <c r="AC17" i="7"/>
  <c r="AB17" i="7"/>
  <c r="Z17" i="7"/>
  <c r="Y17" i="7"/>
  <c r="AC16" i="7"/>
  <c r="AB16" i="7"/>
  <c r="Z16" i="7"/>
  <c r="Y16" i="7"/>
  <c r="AC14" i="7"/>
  <c r="AB14" i="7"/>
  <c r="Z14" i="7"/>
  <c r="Y14" i="7"/>
  <c r="AF17" i="7" l="1"/>
  <c r="AD17" i="7"/>
  <c r="O17" i="7"/>
  <c r="AG17" i="7" s="1"/>
  <c r="X23" i="7"/>
  <c r="AA23" i="7"/>
  <c r="AE25" i="7"/>
  <c r="AD23" i="7"/>
  <c r="AF25" i="7"/>
  <c r="AE23" i="7"/>
  <c r="X16" i="7"/>
  <c r="AG16" i="7" s="1"/>
  <c r="AF23" i="7"/>
  <c r="AD25" i="7"/>
  <c r="AD26" i="7"/>
  <c r="AE26" i="7"/>
  <c r="AF26" i="7"/>
  <c r="AE16" i="7"/>
  <c r="AA17" i="7"/>
  <c r="AG26" i="7"/>
  <c r="AA26" i="7"/>
  <c r="O25" i="7"/>
  <c r="AG25" i="7" s="1"/>
  <c r="AF16" i="7"/>
  <c r="O23" i="7"/>
  <c r="AG23" i="7" s="1"/>
  <c r="S114" i="8" l="1"/>
  <c r="R114" i="8"/>
  <c r="Q114" i="8"/>
  <c r="O114" i="8"/>
  <c r="P114" i="8" s="1"/>
  <c r="J114" i="8"/>
  <c r="K114" i="8" s="1"/>
  <c r="S113" i="8"/>
  <c r="R113" i="8"/>
  <c r="Q113" i="8"/>
  <c r="O113" i="8"/>
  <c r="P113" i="8" s="1"/>
  <c r="J113" i="8"/>
  <c r="K113" i="8" s="1"/>
  <c r="S112" i="8"/>
  <c r="R112" i="8"/>
  <c r="Q112" i="8"/>
  <c r="O112" i="8"/>
  <c r="P112" i="8" s="1"/>
  <c r="J112" i="8"/>
  <c r="K112" i="8" s="1"/>
  <c r="S111" i="8"/>
  <c r="R111" i="8"/>
  <c r="Q111" i="8"/>
  <c r="O111" i="8"/>
  <c r="P111" i="8" s="1"/>
  <c r="J111" i="8"/>
  <c r="K111" i="8" s="1"/>
  <c r="N110" i="8"/>
  <c r="M110" i="8"/>
  <c r="L110" i="8"/>
  <c r="I110" i="8"/>
  <c r="H110" i="8"/>
  <c r="G110" i="8"/>
  <c r="S109" i="8"/>
  <c r="R109" i="8"/>
  <c r="Q109" i="8"/>
  <c r="O109" i="8"/>
  <c r="P109" i="8" s="1"/>
  <c r="J109" i="8"/>
  <c r="K109" i="8" s="1"/>
  <c r="S108" i="8"/>
  <c r="R108" i="8"/>
  <c r="Q108" i="8"/>
  <c r="O108" i="8"/>
  <c r="J108" i="8"/>
  <c r="K108" i="8" s="1"/>
  <c r="S106" i="8"/>
  <c r="R106" i="8"/>
  <c r="T106" i="8" s="1"/>
  <c r="Q106" i="8"/>
  <c r="O106" i="8"/>
  <c r="P106" i="8" s="1"/>
  <c r="J106" i="8"/>
  <c r="K106" i="8" s="1"/>
  <c r="S105" i="8"/>
  <c r="R105" i="8"/>
  <c r="Q105" i="8"/>
  <c r="O105" i="8"/>
  <c r="P105" i="8" s="1"/>
  <c r="J105" i="8"/>
  <c r="K105" i="8" s="1"/>
  <c r="S104" i="8"/>
  <c r="R104" i="8"/>
  <c r="Q104" i="8"/>
  <c r="O104" i="8"/>
  <c r="P104" i="8" s="1"/>
  <c r="J104" i="8"/>
  <c r="K104" i="8" s="1"/>
  <c r="S103" i="8"/>
  <c r="R103" i="8"/>
  <c r="Q103" i="8"/>
  <c r="O103" i="8"/>
  <c r="P103" i="8" s="1"/>
  <c r="J103" i="8"/>
  <c r="K103" i="8" s="1"/>
  <c r="S102" i="8"/>
  <c r="R102" i="8"/>
  <c r="Q102" i="8"/>
  <c r="O102" i="8"/>
  <c r="P102" i="8" s="1"/>
  <c r="J102" i="8"/>
  <c r="K102" i="8" s="1"/>
  <c r="N101" i="8"/>
  <c r="N115" i="8" s="1"/>
  <c r="N116" i="8" s="1"/>
  <c r="M101" i="8"/>
  <c r="L101" i="8"/>
  <c r="I101" i="8"/>
  <c r="H101" i="8"/>
  <c r="H115" i="8" s="1"/>
  <c r="H116" i="8" s="1"/>
  <c r="G101" i="8"/>
  <c r="S100" i="8"/>
  <c r="R100" i="8"/>
  <c r="Q100" i="8"/>
  <c r="O100" i="8"/>
  <c r="P100" i="8" s="1"/>
  <c r="J100" i="8"/>
  <c r="K100" i="8" s="1"/>
  <c r="S99" i="8"/>
  <c r="R99" i="8"/>
  <c r="Q99" i="8"/>
  <c r="O99" i="8"/>
  <c r="P99" i="8" s="1"/>
  <c r="J99" i="8"/>
  <c r="K99" i="8" s="1"/>
  <c r="S96" i="8"/>
  <c r="R96" i="8"/>
  <c r="Q96" i="8"/>
  <c r="O96" i="8"/>
  <c r="J96" i="8"/>
  <c r="K96" i="8" s="1"/>
  <c r="S89" i="8"/>
  <c r="R89" i="8"/>
  <c r="Q89" i="8"/>
  <c r="O89" i="8"/>
  <c r="P89" i="8" s="1"/>
  <c r="J89" i="8"/>
  <c r="K89" i="8" s="1"/>
  <c r="S88" i="8"/>
  <c r="R88" i="8"/>
  <c r="Q88" i="8"/>
  <c r="O88" i="8"/>
  <c r="P88" i="8" s="1"/>
  <c r="J88" i="8"/>
  <c r="K88" i="8" s="1"/>
  <c r="S87" i="8"/>
  <c r="R87" i="8"/>
  <c r="T87" i="8" s="1"/>
  <c r="Q87" i="8"/>
  <c r="O87" i="8"/>
  <c r="P87" i="8" s="1"/>
  <c r="J87" i="8"/>
  <c r="K87" i="8" s="1"/>
  <c r="S86" i="8"/>
  <c r="R86" i="8"/>
  <c r="Q86" i="8"/>
  <c r="O86" i="8"/>
  <c r="P86" i="8" s="1"/>
  <c r="J86" i="8"/>
  <c r="K86" i="8" s="1"/>
  <c r="N85" i="8"/>
  <c r="M85" i="8"/>
  <c r="L85" i="8"/>
  <c r="I85" i="8"/>
  <c r="H85" i="8"/>
  <c r="G85" i="8"/>
  <c r="S84" i="8"/>
  <c r="R84" i="8"/>
  <c r="T84" i="8" s="1"/>
  <c r="Q84" i="8"/>
  <c r="O84" i="8"/>
  <c r="P84" i="8" s="1"/>
  <c r="J84" i="8"/>
  <c r="K84" i="8" s="1"/>
  <c r="S83" i="8"/>
  <c r="R83" i="8"/>
  <c r="Q83" i="8"/>
  <c r="O83" i="8"/>
  <c r="J83" i="8"/>
  <c r="K83" i="8" s="1"/>
  <c r="S81" i="8"/>
  <c r="R81" i="8"/>
  <c r="Q81" i="8"/>
  <c r="O81" i="8"/>
  <c r="P81" i="8" s="1"/>
  <c r="J81" i="8"/>
  <c r="K81" i="8" s="1"/>
  <c r="S80" i="8"/>
  <c r="R80" i="8"/>
  <c r="Q80" i="8"/>
  <c r="O80" i="8"/>
  <c r="P80" i="8" s="1"/>
  <c r="J80" i="8"/>
  <c r="K80" i="8" s="1"/>
  <c r="S79" i="8"/>
  <c r="R79" i="8"/>
  <c r="Q79" i="8"/>
  <c r="O79" i="8"/>
  <c r="P79" i="8" s="1"/>
  <c r="J79" i="8"/>
  <c r="K79" i="8" s="1"/>
  <c r="S78" i="8"/>
  <c r="R78" i="8"/>
  <c r="Q78" i="8"/>
  <c r="O78" i="8"/>
  <c r="P78" i="8" s="1"/>
  <c r="J78" i="8"/>
  <c r="K78" i="8" s="1"/>
  <c r="S77" i="8"/>
  <c r="R77" i="8"/>
  <c r="Q77" i="8"/>
  <c r="O77" i="8"/>
  <c r="P77" i="8" s="1"/>
  <c r="J77" i="8"/>
  <c r="K77" i="8" s="1"/>
  <c r="N76" i="8"/>
  <c r="M76" i="8"/>
  <c r="L76" i="8"/>
  <c r="L90" i="8" s="1"/>
  <c r="L91" i="8" s="1"/>
  <c r="I76" i="8"/>
  <c r="H76" i="8"/>
  <c r="G76" i="8"/>
  <c r="S75" i="8"/>
  <c r="R75" i="8"/>
  <c r="Q75" i="8"/>
  <c r="O75" i="8"/>
  <c r="P75" i="8" s="1"/>
  <c r="J75" i="8"/>
  <c r="K75" i="8" s="1"/>
  <c r="S74" i="8"/>
  <c r="R74" i="8"/>
  <c r="Q74" i="8"/>
  <c r="O74" i="8"/>
  <c r="J74" i="8"/>
  <c r="K74" i="8" s="1"/>
  <c r="S71" i="8"/>
  <c r="R71" i="8"/>
  <c r="Q71" i="8"/>
  <c r="O71" i="8"/>
  <c r="P71" i="8" s="1"/>
  <c r="J71" i="8"/>
  <c r="K71" i="8" s="1"/>
  <c r="S56" i="8"/>
  <c r="R56" i="8"/>
  <c r="T56" i="8" s="1"/>
  <c r="Q56" i="8"/>
  <c r="O56" i="8"/>
  <c r="P56" i="8" s="1"/>
  <c r="J56" i="8"/>
  <c r="K56" i="8" s="1"/>
  <c r="S55" i="8"/>
  <c r="R55" i="8"/>
  <c r="Q55" i="8"/>
  <c r="O55" i="8"/>
  <c r="P55" i="8" s="1"/>
  <c r="J55" i="8"/>
  <c r="K55" i="8" s="1"/>
  <c r="S54" i="8"/>
  <c r="R54" i="8"/>
  <c r="Q54" i="8"/>
  <c r="O54" i="8"/>
  <c r="P54" i="8" s="1"/>
  <c r="J54" i="8"/>
  <c r="K54" i="8" s="1"/>
  <c r="S53" i="8"/>
  <c r="R53" i="8"/>
  <c r="Q53" i="8"/>
  <c r="O53" i="8"/>
  <c r="P53" i="8" s="1"/>
  <c r="J53" i="8"/>
  <c r="K53" i="8" s="1"/>
  <c r="N52" i="8"/>
  <c r="M52" i="8"/>
  <c r="L52" i="8"/>
  <c r="I52" i="8"/>
  <c r="H52" i="8"/>
  <c r="G52" i="8"/>
  <c r="Q52" i="8" s="1"/>
  <c r="S51" i="8"/>
  <c r="R51" i="8"/>
  <c r="T51" i="8" s="1"/>
  <c r="Q51" i="8"/>
  <c r="O51" i="8"/>
  <c r="P51" i="8" s="1"/>
  <c r="J51" i="8"/>
  <c r="K51" i="8" s="1"/>
  <c r="S50" i="8"/>
  <c r="R50" i="8"/>
  <c r="Q50" i="8"/>
  <c r="O50" i="8"/>
  <c r="J50" i="8"/>
  <c r="S48" i="8"/>
  <c r="R48" i="8"/>
  <c r="Q48" i="8"/>
  <c r="O48" i="8"/>
  <c r="P48" i="8" s="1"/>
  <c r="J48" i="8"/>
  <c r="K48" i="8" s="1"/>
  <c r="S47" i="8"/>
  <c r="R47" i="8"/>
  <c r="Q47" i="8"/>
  <c r="O47" i="8"/>
  <c r="P47" i="8" s="1"/>
  <c r="J47" i="8"/>
  <c r="K47" i="8" s="1"/>
  <c r="S46" i="8"/>
  <c r="R46" i="8"/>
  <c r="Q46" i="8"/>
  <c r="O46" i="8"/>
  <c r="P46" i="8" s="1"/>
  <c r="J46" i="8"/>
  <c r="K46" i="8" s="1"/>
  <c r="S45" i="8"/>
  <c r="R45" i="8"/>
  <c r="Q45" i="8"/>
  <c r="O45" i="8"/>
  <c r="P45" i="8" s="1"/>
  <c r="J45" i="8"/>
  <c r="K45" i="8" s="1"/>
  <c r="S44" i="8"/>
  <c r="R44" i="8"/>
  <c r="Q44" i="8"/>
  <c r="O44" i="8"/>
  <c r="P44" i="8" s="1"/>
  <c r="J44" i="8"/>
  <c r="K44" i="8" s="1"/>
  <c r="N43" i="8"/>
  <c r="M43" i="8"/>
  <c r="M57" i="8" s="1"/>
  <c r="M58" i="8" s="1"/>
  <c r="L43" i="8"/>
  <c r="I43" i="8"/>
  <c r="H43" i="8"/>
  <c r="G43" i="8"/>
  <c r="S42" i="8"/>
  <c r="R42" i="8"/>
  <c r="Q42" i="8"/>
  <c r="O42" i="8"/>
  <c r="P42" i="8" s="1"/>
  <c r="J42" i="8"/>
  <c r="K42" i="8" s="1"/>
  <c r="S41" i="8"/>
  <c r="R41" i="8"/>
  <c r="T41" i="8" s="1"/>
  <c r="Q41" i="8"/>
  <c r="O41" i="8"/>
  <c r="J41" i="8"/>
  <c r="S38" i="8"/>
  <c r="R38" i="8"/>
  <c r="Q38" i="8"/>
  <c r="O38" i="8"/>
  <c r="P38" i="8" s="1"/>
  <c r="J38" i="8"/>
  <c r="K38" i="8" s="1"/>
  <c r="N18" i="8"/>
  <c r="M18" i="8"/>
  <c r="L18" i="8"/>
  <c r="I18" i="8"/>
  <c r="H18" i="8"/>
  <c r="G18" i="8"/>
  <c r="T114" i="8" l="1"/>
  <c r="T102" i="8"/>
  <c r="T96" i="8"/>
  <c r="O85" i="8"/>
  <c r="R85" i="8"/>
  <c r="M90" i="8"/>
  <c r="M91" i="8" s="1"/>
  <c r="T74" i="8"/>
  <c r="U74" i="8" s="1"/>
  <c r="H90" i="8"/>
  <c r="H91" i="8" s="1"/>
  <c r="T80" i="8"/>
  <c r="U80" i="8" s="1"/>
  <c r="R52" i="8"/>
  <c r="T42" i="8"/>
  <c r="T50" i="8"/>
  <c r="T52" i="8" s="1"/>
  <c r="U52" i="8" s="1"/>
  <c r="T78" i="8"/>
  <c r="U78" i="8" s="1"/>
  <c r="T77" i="8"/>
  <c r="U77" i="8" s="1"/>
  <c r="S76" i="8"/>
  <c r="S90" i="8" s="1"/>
  <c r="J43" i="8"/>
  <c r="I115" i="8"/>
  <c r="I116" i="8" s="1"/>
  <c r="S116" i="8" s="1"/>
  <c r="U114" i="8"/>
  <c r="G57" i="8"/>
  <c r="G58" i="8" s="1"/>
  <c r="T108" i="8"/>
  <c r="T88" i="8"/>
  <c r="U88" i="8" s="1"/>
  <c r="T109" i="8"/>
  <c r="U109" i="8" s="1"/>
  <c r="T75" i="8"/>
  <c r="U75" i="8" s="1"/>
  <c r="U84" i="8"/>
  <c r="S101" i="8"/>
  <c r="L115" i="8"/>
  <c r="L116" i="8" s="1"/>
  <c r="L118" i="8" s="1"/>
  <c r="I57" i="8"/>
  <c r="I58" i="8" s="1"/>
  <c r="T53" i="8"/>
  <c r="U53" i="8" s="1"/>
  <c r="P85" i="8"/>
  <c r="M115" i="8"/>
  <c r="M116" i="8" s="1"/>
  <c r="R116" i="8" s="1"/>
  <c r="T112" i="8"/>
  <c r="U112" i="8" s="1"/>
  <c r="U51" i="8"/>
  <c r="N57" i="8"/>
  <c r="N58" i="8" s="1"/>
  <c r="Q85" i="8"/>
  <c r="U85" i="8" s="1"/>
  <c r="T48" i="8"/>
  <c r="U48" i="8" s="1"/>
  <c r="I90" i="8"/>
  <c r="I91" i="8" s="1"/>
  <c r="T83" i="8"/>
  <c r="T85" i="8" s="1"/>
  <c r="T86" i="8"/>
  <c r="U86" i="8" s="1"/>
  <c r="T89" i="8"/>
  <c r="U89" i="8" s="1"/>
  <c r="T100" i="8"/>
  <c r="U100" i="8" s="1"/>
  <c r="J110" i="8"/>
  <c r="K110" i="8" s="1"/>
  <c r="R91" i="8"/>
  <c r="P101" i="8"/>
  <c r="Q110" i="8"/>
  <c r="T46" i="8"/>
  <c r="U46" i="8" s="1"/>
  <c r="T55" i="8"/>
  <c r="U55" i="8" s="1"/>
  <c r="T104" i="8"/>
  <c r="U104" i="8" s="1"/>
  <c r="T110" i="8"/>
  <c r="R110" i="8"/>
  <c r="Q43" i="8"/>
  <c r="Q57" i="8" s="1"/>
  <c r="T45" i="8"/>
  <c r="U45" i="8" s="1"/>
  <c r="P83" i="8"/>
  <c r="U87" i="8"/>
  <c r="T99" i="8"/>
  <c r="G115" i="8"/>
  <c r="G116" i="8" s="1"/>
  <c r="T103" i="8"/>
  <c r="U103" i="8" s="1"/>
  <c r="S110" i="8"/>
  <c r="N90" i="8"/>
  <c r="N91" i="8" s="1"/>
  <c r="T79" i="8"/>
  <c r="U79" i="8" s="1"/>
  <c r="U102" i="8"/>
  <c r="L57" i="8"/>
  <c r="L58" i="8" s="1"/>
  <c r="U56" i="8"/>
  <c r="S85" i="8"/>
  <c r="T44" i="8"/>
  <c r="U44" i="8" s="1"/>
  <c r="J52" i="8"/>
  <c r="O76" i="8"/>
  <c r="O90" i="8" s="1"/>
  <c r="O91" i="8" s="1"/>
  <c r="J101" i="8"/>
  <c r="O110" i="8"/>
  <c r="P110" i="8" s="1"/>
  <c r="H57" i="8"/>
  <c r="H58" i="8" s="1"/>
  <c r="R58" i="8" s="1"/>
  <c r="K50" i="8"/>
  <c r="G90" i="8"/>
  <c r="G91" i="8" s="1"/>
  <c r="Q91" i="8" s="1"/>
  <c r="K101" i="8"/>
  <c r="P108" i="8"/>
  <c r="T113" i="8"/>
  <c r="U113" i="8" s="1"/>
  <c r="U96" i="8"/>
  <c r="T71" i="8"/>
  <c r="U71" i="8" s="1"/>
  <c r="T81" i="8"/>
  <c r="U81" i="8" s="1"/>
  <c r="T111" i="8"/>
  <c r="U111" i="8" s="1"/>
  <c r="U50" i="8"/>
  <c r="U106" i="8"/>
  <c r="T105" i="8"/>
  <c r="U105" i="8" s="1"/>
  <c r="T54" i="8"/>
  <c r="U54" i="8" s="1"/>
  <c r="O52" i="8"/>
  <c r="P52" i="8" s="1"/>
  <c r="T47" i="8"/>
  <c r="U47" i="8" s="1"/>
  <c r="O43" i="8"/>
  <c r="S43" i="8"/>
  <c r="U42" i="8"/>
  <c r="T38" i="8"/>
  <c r="U38" i="8" s="1"/>
  <c r="U108" i="8"/>
  <c r="P96" i="8"/>
  <c r="O101" i="8"/>
  <c r="O115" i="8" s="1"/>
  <c r="O116" i="8" s="1"/>
  <c r="Q101" i="8"/>
  <c r="R101" i="8"/>
  <c r="K76" i="8"/>
  <c r="P74" i="8"/>
  <c r="P76" i="8" s="1"/>
  <c r="J85" i="8"/>
  <c r="K85" i="8" s="1"/>
  <c r="Q76" i="8"/>
  <c r="Q90" i="8" s="1"/>
  <c r="J76" i="8"/>
  <c r="R76" i="8"/>
  <c r="R90" i="8" s="1"/>
  <c r="T43" i="8"/>
  <c r="U41" i="8"/>
  <c r="K41" i="8"/>
  <c r="K43" i="8" s="1"/>
  <c r="P50" i="8"/>
  <c r="P41" i="8"/>
  <c r="P43" i="8" s="1"/>
  <c r="S52" i="8"/>
  <c r="R43" i="8"/>
  <c r="R57" i="8" s="1"/>
  <c r="N164" i="8"/>
  <c r="M164" i="8"/>
  <c r="L164" i="8"/>
  <c r="I164" i="8"/>
  <c r="H164" i="8"/>
  <c r="G164" i="8"/>
  <c r="N163" i="8"/>
  <c r="M163" i="8"/>
  <c r="L163" i="8"/>
  <c r="I163" i="8"/>
  <c r="H163" i="8"/>
  <c r="G163" i="8"/>
  <c r="N162" i="8"/>
  <c r="M162" i="8"/>
  <c r="L162" i="8"/>
  <c r="I162" i="8"/>
  <c r="H162" i="8"/>
  <c r="G162" i="8"/>
  <c r="N161" i="8"/>
  <c r="M161" i="8"/>
  <c r="L161" i="8"/>
  <c r="I161" i="8"/>
  <c r="H161" i="8"/>
  <c r="G161" i="8"/>
  <c r="N160" i="8"/>
  <c r="M160" i="8"/>
  <c r="L160" i="8"/>
  <c r="I160" i="8"/>
  <c r="H160" i="8"/>
  <c r="G160" i="8"/>
  <c r="N159" i="8"/>
  <c r="M159" i="8"/>
  <c r="L159" i="8"/>
  <c r="I159" i="8"/>
  <c r="H159" i="8"/>
  <c r="G159" i="8"/>
  <c r="N158" i="8"/>
  <c r="M158" i="8"/>
  <c r="L158" i="8"/>
  <c r="I158" i="8"/>
  <c r="H158" i="8"/>
  <c r="G158" i="8"/>
  <c r="N157" i="8"/>
  <c r="M157" i="8"/>
  <c r="L157" i="8"/>
  <c r="I157" i="8"/>
  <c r="H157" i="8"/>
  <c r="G157" i="8"/>
  <c r="N172" i="8"/>
  <c r="M172" i="8"/>
  <c r="L172" i="8"/>
  <c r="I172" i="8"/>
  <c r="H172" i="8"/>
  <c r="G172" i="8"/>
  <c r="N171" i="8"/>
  <c r="M171" i="8"/>
  <c r="L171" i="8"/>
  <c r="I171" i="8"/>
  <c r="H171" i="8"/>
  <c r="G171" i="8"/>
  <c r="N170" i="8"/>
  <c r="M170" i="8"/>
  <c r="L170" i="8"/>
  <c r="I170" i="8"/>
  <c r="H170" i="8"/>
  <c r="G170" i="8"/>
  <c r="N169" i="8"/>
  <c r="M169" i="8"/>
  <c r="L169" i="8"/>
  <c r="I169" i="8"/>
  <c r="H169" i="8"/>
  <c r="G169" i="8"/>
  <c r="N167" i="8"/>
  <c r="M167" i="8"/>
  <c r="L167" i="8"/>
  <c r="I167" i="8"/>
  <c r="H167" i="8"/>
  <c r="G167" i="8"/>
  <c r="N166" i="8"/>
  <c r="M166" i="8"/>
  <c r="L166" i="8"/>
  <c r="I166" i="8"/>
  <c r="H166" i="8"/>
  <c r="G166" i="8"/>
  <c r="N154" i="8"/>
  <c r="M154" i="8"/>
  <c r="L154" i="8"/>
  <c r="I154" i="8"/>
  <c r="H154" i="8"/>
  <c r="G154" i="8"/>
  <c r="N147" i="8"/>
  <c r="M147" i="8"/>
  <c r="L147" i="8"/>
  <c r="I147" i="8"/>
  <c r="H147" i="8"/>
  <c r="G147" i="8"/>
  <c r="N146" i="8"/>
  <c r="M146" i="8"/>
  <c r="L146" i="8"/>
  <c r="I146" i="8"/>
  <c r="H146" i="8"/>
  <c r="G146" i="8"/>
  <c r="N145" i="8"/>
  <c r="M145" i="8"/>
  <c r="L145" i="8"/>
  <c r="I145" i="8"/>
  <c r="H145" i="8"/>
  <c r="G145" i="8"/>
  <c r="N144" i="8"/>
  <c r="M144" i="8"/>
  <c r="L144" i="8"/>
  <c r="I144" i="8"/>
  <c r="H144" i="8"/>
  <c r="G144" i="8"/>
  <c r="N142" i="8"/>
  <c r="M142" i="8"/>
  <c r="L142" i="8"/>
  <c r="I142" i="8"/>
  <c r="H142" i="8"/>
  <c r="G142" i="8"/>
  <c r="N141" i="8"/>
  <c r="M141" i="8"/>
  <c r="L141" i="8"/>
  <c r="I141" i="8"/>
  <c r="H141" i="8"/>
  <c r="G141" i="8"/>
  <c r="N139" i="8"/>
  <c r="M139" i="8"/>
  <c r="L139" i="8"/>
  <c r="I139" i="8"/>
  <c r="H139" i="8"/>
  <c r="G139" i="8"/>
  <c r="N138" i="8"/>
  <c r="M138" i="8"/>
  <c r="L138" i="8"/>
  <c r="I138" i="8"/>
  <c r="H138" i="8"/>
  <c r="G138" i="8"/>
  <c r="N137" i="8"/>
  <c r="M137" i="8"/>
  <c r="L137" i="8"/>
  <c r="I137" i="8"/>
  <c r="H137" i="8"/>
  <c r="G137" i="8"/>
  <c r="N136" i="8"/>
  <c r="M136" i="8"/>
  <c r="L136" i="8"/>
  <c r="I136" i="8"/>
  <c r="H136" i="8"/>
  <c r="G136" i="8"/>
  <c r="N135" i="8"/>
  <c r="M135" i="8"/>
  <c r="L135" i="8"/>
  <c r="I135" i="8"/>
  <c r="H135" i="8"/>
  <c r="G135" i="8"/>
  <c r="N134" i="8"/>
  <c r="M134" i="8"/>
  <c r="L134" i="8"/>
  <c r="I134" i="8"/>
  <c r="H134" i="8"/>
  <c r="G134" i="8"/>
  <c r="N133" i="8"/>
  <c r="M133" i="8"/>
  <c r="L133" i="8"/>
  <c r="I133" i="8"/>
  <c r="H133" i="8"/>
  <c r="G133" i="8"/>
  <c r="N132" i="8"/>
  <c r="M132" i="8"/>
  <c r="L132" i="8"/>
  <c r="I132" i="8"/>
  <c r="H132" i="8"/>
  <c r="G132" i="8"/>
  <c r="N129" i="8"/>
  <c r="M129" i="8"/>
  <c r="L129" i="8"/>
  <c r="I129" i="8"/>
  <c r="H129" i="8"/>
  <c r="G129" i="8"/>
  <c r="N118" i="8"/>
  <c r="M118" i="8"/>
  <c r="S17" i="8"/>
  <c r="R17" i="8"/>
  <c r="Q17" i="8"/>
  <c r="O17" i="8"/>
  <c r="P17" i="8" s="1"/>
  <c r="J17" i="8"/>
  <c r="K17" i="8" s="1"/>
  <c r="S16" i="8"/>
  <c r="R16" i="8"/>
  <c r="Q16" i="8"/>
  <c r="O16" i="8"/>
  <c r="J16" i="8"/>
  <c r="H5" i="10"/>
  <c r="G5" i="10"/>
  <c r="W14" i="7"/>
  <c r="V14" i="7"/>
  <c r="U14" i="7"/>
  <c r="R14" i="7"/>
  <c r="X14" i="7" s="1"/>
  <c r="J115" i="8" l="1"/>
  <c r="J116" i="8" s="1"/>
  <c r="I118" i="8"/>
  <c r="R115" i="8"/>
  <c r="Q116" i="8"/>
  <c r="Q118" i="8" s="1"/>
  <c r="S91" i="8"/>
  <c r="J57" i="8"/>
  <c r="J58" i="8" s="1"/>
  <c r="U110" i="8"/>
  <c r="T76" i="8"/>
  <c r="T90" i="8" s="1"/>
  <c r="T91" i="8" s="1"/>
  <c r="P90" i="8"/>
  <c r="P91" i="8" s="1"/>
  <c r="P115" i="8"/>
  <c r="P116" i="8" s="1"/>
  <c r="K52" i="8"/>
  <c r="K57" i="8" s="1"/>
  <c r="K58" i="8" s="1"/>
  <c r="Q58" i="8"/>
  <c r="R18" i="8"/>
  <c r="R134" i="8" s="1"/>
  <c r="K115" i="8"/>
  <c r="K116" i="8" s="1"/>
  <c r="S115" i="8"/>
  <c r="Q115" i="8"/>
  <c r="S58" i="8"/>
  <c r="Q18" i="8"/>
  <c r="Q134" i="8" s="1"/>
  <c r="T101" i="8"/>
  <c r="T115" i="8" s="1"/>
  <c r="T116" i="8" s="1"/>
  <c r="U83" i="8"/>
  <c r="U99" i="8"/>
  <c r="U101" i="8" s="1"/>
  <c r="S18" i="8"/>
  <c r="U76" i="8"/>
  <c r="J90" i="8"/>
  <c r="J91" i="8" s="1"/>
  <c r="K90" i="8"/>
  <c r="K91" i="8" s="1"/>
  <c r="K16" i="8"/>
  <c r="K18" i="8" s="1"/>
  <c r="K134" i="8" s="1"/>
  <c r="J18" i="8"/>
  <c r="J134" i="8" s="1"/>
  <c r="U90" i="8"/>
  <c r="U91" i="8" s="1"/>
  <c r="S57" i="8"/>
  <c r="O57" i="8"/>
  <c r="O58" i="8" s="1"/>
  <c r="T57" i="8"/>
  <c r="T58" i="8" s="1"/>
  <c r="U43" i="8"/>
  <c r="U57" i="8" s="1"/>
  <c r="U58" i="8" s="1"/>
  <c r="P16" i="8"/>
  <c r="P18" i="8" s="1"/>
  <c r="P134" i="8" s="1"/>
  <c r="O18" i="8"/>
  <c r="O134" i="8" s="1"/>
  <c r="Q157" i="8"/>
  <c r="S158" i="8"/>
  <c r="P57" i="8"/>
  <c r="P58" i="8" s="1"/>
  <c r="K157" i="8"/>
  <c r="S132" i="8"/>
  <c r="R158" i="8"/>
  <c r="S157" i="8"/>
  <c r="R159" i="8"/>
  <c r="R157" i="8"/>
  <c r="K159" i="8"/>
  <c r="T16" i="8"/>
  <c r="K158" i="8"/>
  <c r="S159" i="8"/>
  <c r="K133" i="8"/>
  <c r="P133" i="8"/>
  <c r="S134" i="8"/>
  <c r="O158" i="8"/>
  <c r="P158" i="8" s="1"/>
  <c r="T17" i="8"/>
  <c r="U17" i="8" s="1"/>
  <c r="Q158" i="8"/>
  <c r="Q159" i="8"/>
  <c r="O159" i="8"/>
  <c r="P159" i="8" s="1"/>
  <c r="Q133" i="8"/>
  <c r="J157" i="8"/>
  <c r="O133" i="8"/>
  <c r="J158" i="8"/>
  <c r="S133" i="8"/>
  <c r="J159" i="8"/>
  <c r="Q132" i="8"/>
  <c r="O118" i="8"/>
  <c r="O157" i="8"/>
  <c r="P157" i="8" s="1"/>
  <c r="R133" i="8"/>
  <c r="J132" i="8"/>
  <c r="J133" i="8"/>
  <c r="R132" i="8"/>
  <c r="O132" i="8"/>
  <c r="R118" i="8"/>
  <c r="G118" i="8"/>
  <c r="S118" i="8"/>
  <c r="H118" i="8"/>
  <c r="U115" i="8" l="1"/>
  <c r="U116" i="8" s="1"/>
  <c r="K132" i="8"/>
  <c r="T18" i="8"/>
  <c r="T134" i="8" s="1"/>
  <c r="P132" i="8"/>
  <c r="T158" i="8"/>
  <c r="U158" i="8" s="1"/>
  <c r="T157" i="8"/>
  <c r="U157" i="8" s="1"/>
  <c r="T132" i="8"/>
  <c r="U16" i="8"/>
  <c r="T159" i="8"/>
  <c r="U159" i="8" s="1"/>
  <c r="T133" i="8"/>
  <c r="P118" i="8"/>
  <c r="T118" i="8"/>
  <c r="J118" i="8"/>
  <c r="U133" i="8"/>
  <c r="K118" i="8"/>
  <c r="U132" i="8" l="1"/>
  <c r="U18" i="8"/>
  <c r="U134" i="8" l="1"/>
  <c r="U118" i="8"/>
  <c r="N14" i="7"/>
  <c r="AF14" i="7" s="1"/>
  <c r="M14" i="7"/>
  <c r="AE14" i="7" s="1"/>
  <c r="L14" i="7"/>
  <c r="AD14" i="7" s="1"/>
  <c r="I14" i="7"/>
  <c r="O14" i="7" l="1"/>
  <c r="AG14" i="7" s="1"/>
  <c r="AA14" i="7"/>
  <c r="O164" i="8"/>
  <c r="O163" i="8"/>
  <c r="O162" i="8"/>
  <c r="O161" i="8"/>
  <c r="O160" i="8"/>
  <c r="O26" i="8"/>
  <c r="O25" i="8"/>
  <c r="O23" i="8"/>
  <c r="O139" i="8" s="1"/>
  <c r="O22" i="8"/>
  <c r="O21" i="8"/>
  <c r="O20" i="8"/>
  <c r="O19" i="8"/>
  <c r="O13" i="8"/>
  <c r="O129" i="8" s="1"/>
  <c r="J13" i="8"/>
  <c r="J129" i="8" s="1"/>
  <c r="J164" i="8"/>
  <c r="J163" i="8"/>
  <c r="J162" i="8"/>
  <c r="J161" i="8"/>
  <c r="J160" i="8"/>
  <c r="N168" i="8"/>
  <c r="M168" i="8"/>
  <c r="L168" i="8"/>
  <c r="I168" i="8"/>
  <c r="H168" i="8"/>
  <c r="G168" i="8"/>
  <c r="O135" i="8" l="1"/>
  <c r="K154" i="8"/>
  <c r="J154" i="8"/>
  <c r="K167" i="8"/>
  <c r="J167" i="8"/>
  <c r="K166" i="8"/>
  <c r="J166" i="8"/>
  <c r="K172" i="8"/>
  <c r="J172" i="8"/>
  <c r="P172" i="8"/>
  <c r="O172" i="8"/>
  <c r="O27" i="8"/>
  <c r="O143" i="8" s="1"/>
  <c r="O141" i="8"/>
  <c r="P154" i="8"/>
  <c r="O154" i="8"/>
  <c r="O168" i="8"/>
  <c r="O166" i="8"/>
  <c r="P26" i="8"/>
  <c r="P142" i="8" s="1"/>
  <c r="O142" i="8"/>
  <c r="P167" i="8"/>
  <c r="O167" i="8"/>
  <c r="P162" i="8"/>
  <c r="K161" i="8"/>
  <c r="K162" i="8"/>
  <c r="P163" i="8"/>
  <c r="K160" i="8"/>
  <c r="K163" i="8"/>
  <c r="P164" i="8"/>
  <c r="P161" i="8"/>
  <c r="K164" i="8"/>
  <c r="P160" i="8"/>
  <c r="P23" i="8"/>
  <c r="P139" i="8" s="1"/>
  <c r="P19" i="8"/>
  <c r="P22" i="8"/>
  <c r="P138" i="8" s="1"/>
  <c r="O138" i="8"/>
  <c r="P20" i="8"/>
  <c r="P136" i="8" s="1"/>
  <c r="O136" i="8"/>
  <c r="P21" i="8"/>
  <c r="P137" i="8" s="1"/>
  <c r="O137" i="8"/>
  <c r="P25" i="8"/>
  <c r="P141" i="8" s="1"/>
  <c r="P13" i="8"/>
  <c r="P129" i="8" s="1"/>
  <c r="P166" i="8"/>
  <c r="P135" i="8" l="1"/>
  <c r="P168" i="8"/>
  <c r="K168" i="8"/>
  <c r="J168" i="8"/>
  <c r="O28" i="8"/>
  <c r="O144" i="8" s="1"/>
  <c r="O29" i="8" l="1"/>
  <c r="P28" i="8"/>
  <c r="P144" i="8" s="1"/>
  <c r="P29" i="8" l="1"/>
  <c r="P145" i="8" s="1"/>
  <c r="O145" i="8"/>
  <c r="O169" i="8"/>
  <c r="O31" i="8"/>
  <c r="O147" i="8" s="1"/>
  <c r="O30" i="8"/>
  <c r="O146" i="8" s="1"/>
  <c r="O32" i="8" l="1"/>
  <c r="I173" i="8"/>
  <c r="N173" i="8"/>
  <c r="P30" i="8"/>
  <c r="P146" i="8" s="1"/>
  <c r="O171" i="8"/>
  <c r="O170" i="8"/>
  <c r="P169" i="8"/>
  <c r="P31" i="8"/>
  <c r="P147" i="8" s="1"/>
  <c r="K169" i="8" l="1"/>
  <c r="J169" i="8"/>
  <c r="N60" i="8"/>
  <c r="N174" i="8"/>
  <c r="N176" i="8" s="1"/>
  <c r="M173" i="8"/>
  <c r="L173" i="8"/>
  <c r="P170" i="8"/>
  <c r="I60" i="8"/>
  <c r="I174" i="8"/>
  <c r="I176" i="8" s="1"/>
  <c r="O33" i="8"/>
  <c r="O149" i="8" s="1"/>
  <c r="O148" i="8"/>
  <c r="O173" i="8" l="1"/>
  <c r="M60" i="8"/>
  <c r="M174" i="8"/>
  <c r="M176" i="8" s="1"/>
  <c r="L60" i="8"/>
  <c r="L174" i="8"/>
  <c r="L176" i="8" s="1"/>
  <c r="K170" i="8"/>
  <c r="J170" i="8"/>
  <c r="P171" i="8"/>
  <c r="O60" i="8"/>
  <c r="O174" i="8"/>
  <c r="O176" i="8" s="1"/>
  <c r="J173" i="8" l="1"/>
  <c r="J171" i="8"/>
  <c r="P173" i="8"/>
  <c r="J60" i="8" l="1"/>
  <c r="H173" i="8"/>
  <c r="P60" i="8"/>
  <c r="P174" i="8"/>
  <c r="P176" i="8" s="1"/>
  <c r="K171" i="8"/>
  <c r="J174" i="8" l="1"/>
  <c r="J176" i="8" s="1"/>
  <c r="G173" i="8"/>
  <c r="H60" i="8"/>
  <c r="H174" i="8"/>
  <c r="H176" i="8" s="1"/>
  <c r="K174" i="8"/>
  <c r="K173" i="8"/>
  <c r="S172" i="8"/>
  <c r="Q172" i="8"/>
  <c r="S171" i="8"/>
  <c r="R171" i="8"/>
  <c r="Q171" i="8"/>
  <c r="S170" i="8"/>
  <c r="R170" i="8"/>
  <c r="Q170" i="8"/>
  <c r="S169" i="8"/>
  <c r="R169" i="8"/>
  <c r="Q169" i="8"/>
  <c r="S167" i="8"/>
  <c r="R167" i="8"/>
  <c r="Q167" i="8"/>
  <c r="S166" i="8"/>
  <c r="R166" i="8"/>
  <c r="Q166" i="8"/>
  <c r="S164" i="8"/>
  <c r="R164" i="8"/>
  <c r="Q164" i="8"/>
  <c r="S163" i="8"/>
  <c r="R163" i="8"/>
  <c r="Q163" i="8"/>
  <c r="S162" i="8"/>
  <c r="R162" i="8"/>
  <c r="Q162" i="8"/>
  <c r="S161" i="8"/>
  <c r="R161" i="8"/>
  <c r="Q161" i="8"/>
  <c r="S160" i="8"/>
  <c r="R160" i="8"/>
  <c r="Q160" i="8"/>
  <c r="S154" i="8"/>
  <c r="R154" i="8"/>
  <c r="Q154" i="8"/>
  <c r="S31" i="8"/>
  <c r="S147" i="8" s="1"/>
  <c r="R31" i="8"/>
  <c r="R147" i="8" s="1"/>
  <c r="Q31" i="8"/>
  <c r="Q147" i="8" s="1"/>
  <c r="S30" i="8"/>
  <c r="S146" i="8" s="1"/>
  <c r="R30" i="8"/>
  <c r="R146" i="8" s="1"/>
  <c r="Q30" i="8"/>
  <c r="Q146" i="8" s="1"/>
  <c r="S29" i="8"/>
  <c r="S145" i="8" s="1"/>
  <c r="R29" i="8"/>
  <c r="R145" i="8" s="1"/>
  <c r="Q29" i="8"/>
  <c r="Q145" i="8" s="1"/>
  <c r="S28" i="8"/>
  <c r="S144" i="8" s="1"/>
  <c r="R28" i="8"/>
  <c r="R144" i="8" s="1"/>
  <c r="Q28" i="8"/>
  <c r="Q144" i="8" s="1"/>
  <c r="S26" i="8"/>
  <c r="S142" i="8" s="1"/>
  <c r="R26" i="8"/>
  <c r="Q26" i="8"/>
  <c r="Q142" i="8" s="1"/>
  <c r="S25" i="8"/>
  <c r="S141" i="8" s="1"/>
  <c r="R25" i="8"/>
  <c r="R141" i="8" s="1"/>
  <c r="Q25" i="8"/>
  <c r="Q141" i="8" s="1"/>
  <c r="S23" i="8"/>
  <c r="S139" i="8" s="1"/>
  <c r="R23" i="8"/>
  <c r="Q23" i="8"/>
  <c r="Q139" i="8" s="1"/>
  <c r="S22" i="8"/>
  <c r="S138" i="8" s="1"/>
  <c r="R22" i="8"/>
  <c r="R138" i="8" s="1"/>
  <c r="Q22" i="8"/>
  <c r="Q138" i="8" s="1"/>
  <c r="S21" i="8"/>
  <c r="S137" i="8" s="1"/>
  <c r="R21" i="8"/>
  <c r="R137" i="8" s="1"/>
  <c r="Q21" i="8"/>
  <c r="Q137" i="8" s="1"/>
  <c r="S20" i="8"/>
  <c r="S136" i="8" s="1"/>
  <c r="R20" i="8"/>
  <c r="R136" i="8" s="1"/>
  <c r="Q20" i="8"/>
  <c r="Q136" i="8" s="1"/>
  <c r="S19" i="8"/>
  <c r="R19" i="8"/>
  <c r="Q19" i="8"/>
  <c r="S13" i="8"/>
  <c r="S129" i="8" s="1"/>
  <c r="R13" i="8"/>
  <c r="R129" i="8" s="1"/>
  <c r="Q13" i="8"/>
  <c r="Q129" i="8" s="1"/>
  <c r="Q135" i="8" l="1"/>
  <c r="S135" i="8"/>
  <c r="G60" i="8"/>
  <c r="G174" i="8"/>
  <c r="G176" i="8" s="1"/>
  <c r="T172" i="8"/>
  <c r="R172" i="8"/>
  <c r="T26" i="8"/>
  <c r="R142" i="8"/>
  <c r="T19" i="8"/>
  <c r="R135" i="8"/>
  <c r="T23" i="8"/>
  <c r="R139" i="8"/>
  <c r="T13" i="8"/>
  <c r="T129" i="8" s="1"/>
  <c r="T21" i="8"/>
  <c r="T160" i="8"/>
  <c r="T162" i="8"/>
  <c r="Q168" i="8"/>
  <c r="S168" i="8"/>
  <c r="T29" i="8"/>
  <c r="T31" i="8"/>
  <c r="T161" i="8"/>
  <c r="T166" i="8"/>
  <c r="R168" i="8"/>
  <c r="T20" i="8"/>
  <c r="T22" i="8"/>
  <c r="T25" i="8"/>
  <c r="T141" i="8" s="1"/>
  <c r="T28" i="8"/>
  <c r="T30" i="8"/>
  <c r="N27" i="8"/>
  <c r="N32" i="8" s="1"/>
  <c r="M27" i="8"/>
  <c r="M32" i="8" s="1"/>
  <c r="L27" i="8"/>
  <c r="L32" i="8" s="1"/>
  <c r="J31" i="8"/>
  <c r="J30" i="8"/>
  <c r="J29" i="8"/>
  <c r="J28" i="8"/>
  <c r="J26" i="8"/>
  <c r="J25" i="8"/>
  <c r="J23" i="8"/>
  <c r="J22" i="8"/>
  <c r="J21" i="8"/>
  <c r="J20" i="8"/>
  <c r="J19" i="8"/>
  <c r="H27" i="8"/>
  <c r="G27" i="8"/>
  <c r="I27" i="8"/>
  <c r="G143" i="8" l="1"/>
  <c r="G32" i="8"/>
  <c r="G148" i="8" s="1"/>
  <c r="I143" i="8"/>
  <c r="I32" i="8"/>
  <c r="I148" i="8" s="1"/>
  <c r="H143" i="8"/>
  <c r="H32" i="8"/>
  <c r="H148" i="8" s="1"/>
  <c r="T135" i="8"/>
  <c r="U13" i="8"/>
  <c r="U129" i="8" s="1"/>
  <c r="K25" i="8"/>
  <c r="K141" i="8" s="1"/>
  <c r="J141" i="8"/>
  <c r="N143" i="8"/>
  <c r="M143" i="8"/>
  <c r="K26" i="8"/>
  <c r="K142" i="8" s="1"/>
  <c r="J142" i="8"/>
  <c r="K29" i="8"/>
  <c r="K145" i="8" s="1"/>
  <c r="J145" i="8"/>
  <c r="K28" i="8"/>
  <c r="K144" i="8" s="1"/>
  <c r="J144" i="8"/>
  <c r="K31" i="8"/>
  <c r="K147" i="8" s="1"/>
  <c r="J147" i="8"/>
  <c r="U154" i="8"/>
  <c r="T154" i="8"/>
  <c r="K30" i="8"/>
  <c r="K146" i="8" s="1"/>
  <c r="J146" i="8"/>
  <c r="P27" i="8"/>
  <c r="L143" i="8"/>
  <c r="U162" i="8"/>
  <c r="U19" i="8"/>
  <c r="U167" i="8"/>
  <c r="T167" i="8"/>
  <c r="U171" i="8"/>
  <c r="T171" i="8"/>
  <c r="U163" i="8"/>
  <c r="T163" i="8"/>
  <c r="U170" i="8"/>
  <c r="T170" i="8"/>
  <c r="U160" i="8"/>
  <c r="U169" i="8"/>
  <c r="T169" i="8"/>
  <c r="R173" i="8"/>
  <c r="U161" i="8"/>
  <c r="U172" i="8"/>
  <c r="U164" i="8"/>
  <c r="T164" i="8"/>
  <c r="K21" i="8"/>
  <c r="K137" i="8" s="1"/>
  <c r="J137" i="8"/>
  <c r="U20" i="8"/>
  <c r="U136" i="8" s="1"/>
  <c r="T136" i="8"/>
  <c r="U23" i="8"/>
  <c r="U139" i="8" s="1"/>
  <c r="T139" i="8"/>
  <c r="U31" i="8"/>
  <c r="U147" i="8" s="1"/>
  <c r="T147" i="8"/>
  <c r="K22" i="8"/>
  <c r="K138" i="8" s="1"/>
  <c r="J138" i="8"/>
  <c r="U29" i="8"/>
  <c r="U145" i="8" s="1"/>
  <c r="T145" i="8"/>
  <c r="K23" i="8"/>
  <c r="K139" i="8" s="1"/>
  <c r="J139" i="8"/>
  <c r="U30" i="8"/>
  <c r="U146" i="8" s="1"/>
  <c r="T146" i="8"/>
  <c r="U21" i="8"/>
  <c r="U137" i="8" s="1"/>
  <c r="T137" i="8"/>
  <c r="K20" i="8"/>
  <c r="K136" i="8" s="1"/>
  <c r="J136" i="8"/>
  <c r="U22" i="8"/>
  <c r="U138" i="8" s="1"/>
  <c r="T138" i="8"/>
  <c r="K19" i="8"/>
  <c r="J135" i="8"/>
  <c r="U28" i="8"/>
  <c r="U144" i="8" s="1"/>
  <c r="T144" i="8"/>
  <c r="U26" i="8"/>
  <c r="U142" i="8" s="1"/>
  <c r="T142" i="8"/>
  <c r="U166" i="8"/>
  <c r="U25" i="8"/>
  <c r="U141" i="8" s="1"/>
  <c r="T27" i="8"/>
  <c r="T32" i="8" s="1"/>
  <c r="S27" i="8"/>
  <c r="R27" i="8"/>
  <c r="Q27" i="8"/>
  <c r="K13" i="8"/>
  <c r="J27" i="8"/>
  <c r="J32" i="8" s="1"/>
  <c r="R143" i="8" l="1"/>
  <c r="R32" i="8"/>
  <c r="R148" i="8" s="1"/>
  <c r="K135" i="8"/>
  <c r="Q143" i="8"/>
  <c r="Q32" i="8"/>
  <c r="S143" i="8"/>
  <c r="S32" i="8"/>
  <c r="S148" i="8" s="1"/>
  <c r="P143" i="8"/>
  <c r="P32" i="8"/>
  <c r="P148" i="8" s="1"/>
  <c r="U135" i="8"/>
  <c r="K27" i="8"/>
  <c r="K143" i="8" s="1"/>
  <c r="J143" i="8"/>
  <c r="M33" i="8"/>
  <c r="M149" i="8" s="1"/>
  <c r="M148" i="8"/>
  <c r="L33" i="8"/>
  <c r="L149" i="8" s="1"/>
  <c r="L148" i="8"/>
  <c r="K60" i="8"/>
  <c r="K129" i="8"/>
  <c r="K176" i="8" s="1"/>
  <c r="N33" i="8"/>
  <c r="N149" i="8" s="1"/>
  <c r="N148" i="8"/>
  <c r="S173" i="8"/>
  <c r="R60" i="8"/>
  <c r="R174" i="8"/>
  <c r="R176" i="8" s="1"/>
  <c r="U168" i="8"/>
  <c r="T168" i="8"/>
  <c r="Q173" i="8"/>
  <c r="T143" i="8"/>
  <c r="U27" i="8"/>
  <c r="U32" i="8" s="1"/>
  <c r="G33" i="8"/>
  <c r="Q148" i="8"/>
  <c r="H33" i="8"/>
  <c r="J148" i="8"/>
  <c r="I33" i="8"/>
  <c r="P33" i="8" l="1"/>
  <c r="P149" i="8" s="1"/>
  <c r="K32" i="8"/>
  <c r="K148" i="8" s="1"/>
  <c r="S33" i="8"/>
  <c r="S149" i="8" s="1"/>
  <c r="I149" i="8"/>
  <c r="R33" i="8"/>
  <c r="R149" i="8" s="1"/>
  <c r="H149" i="8"/>
  <c r="Q33" i="8"/>
  <c r="Q149" i="8" s="1"/>
  <c r="G149" i="8"/>
  <c r="Q60" i="8"/>
  <c r="Q174" i="8"/>
  <c r="Q176" i="8" s="1"/>
  <c r="T173" i="8"/>
  <c r="S60" i="8"/>
  <c r="S174" i="8"/>
  <c r="S176" i="8" s="1"/>
  <c r="U143" i="8"/>
  <c r="T33" i="8"/>
  <c r="T149" i="8" s="1"/>
  <c r="T148" i="8"/>
  <c r="J33" i="8"/>
  <c r="J149" i="8" s="1"/>
  <c r="K33" i="8" l="1"/>
  <c r="K149" i="8" s="1"/>
  <c r="T60" i="8"/>
  <c r="T174" i="8"/>
  <c r="T176" i="8" s="1"/>
  <c r="U173" i="8"/>
  <c r="U33" i="8"/>
  <c r="U148" i="8"/>
  <c r="U174" i="8" l="1"/>
  <c r="U60" i="8"/>
  <c r="U149" i="8"/>
  <c r="U176" i="8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Mauricio Ahumada (DBNeTCorp)</author>
  </authors>
  <commentList>
    <comment ref="F50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Por taxonomía se define este campo con el estándar ISO_8601 (https://es.wikipedia.org/wiki/ISO_8601)
Ejemplos de formatos válidos:
1 año = P1Y
2 mes = P2M
3 días = P3D
1 año y 20 días = P1Y20D</t>
        </r>
      </text>
    </comment>
  </commentList>
</comments>
</file>

<file path=xl/sharedStrings.xml><?xml version="1.0" encoding="utf-8"?>
<sst xmlns="http://schemas.openxmlformats.org/spreadsheetml/2006/main" count="1312" uniqueCount="237">
  <si>
    <t xml:space="preserve"> </t>
  </si>
  <si>
    <t>ACT</t>
  </si>
  <si>
    <t>ANT</t>
  </si>
  <si>
    <t xml:space="preserve">      Información a revelar sobre conciliaciones de cambios en activos biológicos [bloque de texto]  </t>
  </si>
  <si>
    <t xml:space="preserve">Información a revelar sobre conciliaciones de cambios en activos biológicos [sinopsis] </t>
  </si>
  <si>
    <t xml:space="preserve">                Adquisiciones realizadas mediante combinaciones de negocios, activos biológicos  [Número]</t>
  </si>
  <si>
    <t xml:space="preserve">                Incremento (disminución) por diferencias de cambio netas, activos biológicos  [Número]</t>
  </si>
  <si>
    <t xml:space="preserve">                Depreciación, activos biológicos  [Número]</t>
  </si>
  <si>
    <t xml:space="preserve">                Pérdidas por deterioro de valor reconocidas en el resultado del periodo, activos biológicos  [Número]</t>
  </si>
  <si>
    <t xml:space="preserve">                Reversión de pérdidas por deterioro de valor reconocidas en el resultado del periodo, activos biológicos  [Número]</t>
  </si>
  <si>
    <t xml:space="preserve">                  Ganancias (pérdidas) en ajustes del valor razonable atribuibles a cambios físicos, activos biológicos  [Número]</t>
  </si>
  <si>
    <t xml:space="preserve">                  Ganancias (pérdidas) en ajustes del valor razonable atribuibles a cambios de precios, activos biológicos  [Número]</t>
  </si>
  <si>
    <t xml:space="preserve">                Incremento (disminución) por otros cambios, activos biológicos  [Número]</t>
  </si>
  <si>
    <t xml:space="preserve">                Disposiciones, activos biológicos  [Número]</t>
  </si>
  <si>
    <t xml:space="preserve">                Disminuciones debidas a la cosecha o recolección, activos biológicos  [Número]</t>
  </si>
  <si>
    <t xml:space="preserve">                Disminuciones por clasificar como mantenidos para la venta, activos biológicos  [Número]</t>
  </si>
  <si>
    <t>INI</t>
  </si>
  <si>
    <t xml:space="preserve">           Ganancias (pérdidas) en ajustes del valor razonable, activos biológicos [resumen]  </t>
  </si>
  <si>
    <t xml:space="preserve">            Ganancias (pérdidas) por ajuste del valor razonable, activos biológicos  [Número]</t>
  </si>
  <si>
    <t xml:space="preserve">           Incremento (disminución) en activos biológicos  [Número]</t>
  </si>
  <si>
    <t>Periodo Actual</t>
  </si>
  <si>
    <t>Periodo Anterior</t>
  </si>
  <si>
    <t xml:space="preserve">      Ganancias (pérdidas) en el reconocimiento inicial de activos biológicos y productos agrícolas del periodo actual [Número]</t>
  </si>
  <si>
    <t xml:space="preserve">      Ganancias (pérdidas) por cambios en el valor razonable menos los costos de venta de activos biológicos en el periodo actual [Número]</t>
  </si>
  <si>
    <t xml:space="preserve">      Descripción de medidas o estimaciones no financieras de cantidades físicas de activos biológicos y producción de productos agrícolas [Texto]</t>
  </si>
  <si>
    <t xml:space="preserve">      Activos biológicos cuya titularidad tiene alguna restricción [Número]</t>
  </si>
  <si>
    <t xml:space="preserve">      Activos biológicos pignorados como garantía al cumplimiento de deudas [Número]</t>
  </si>
  <si>
    <t xml:space="preserve">      Compromisos para el desarrollo o adquisición de activos biológicos [Número]</t>
  </si>
  <si>
    <t xml:space="preserve">      Descripción de la gestión del riesgo financiero relacionado con la actividad agrícola [Texto]</t>
  </si>
  <si>
    <t xml:space="preserve">      Descripción de los activos biológicos en los que la información sobre el valor razonable es poco fiable [Texto]</t>
  </si>
  <si>
    <t xml:space="preserve">      Explicación de porqué el valor razonable no puede a ser medido con fiabilidad para activos biológicos, al costo [Texto]</t>
  </si>
  <si>
    <t xml:space="preserve">      Rango de estimaciones dentro de las que es probable que se encuentre el valor razonable para activos biológicos, al costo [Texto]</t>
  </si>
  <si>
    <t xml:space="preserve">      Método de depreciación, activos biológicos, al costo [Texto]</t>
  </si>
  <si>
    <t xml:space="preserve">      Explicación de porqué el valor razonable pasa a ser fiable para activos biológicos anteriormente medidos al costo [Texto]</t>
  </si>
  <si>
    <t xml:space="preserve">      Explicación del efecto de cambios por activos biológicos para los que el valor razonable puede medirse con fiabilidad [Texto]</t>
  </si>
  <si>
    <t xml:space="preserve">      Descripción de la naturaleza y alcance de las subvenciones del gobierno por actividades agrícolas reconocidas en los estados financieros [Texto]</t>
  </si>
  <si>
    <t xml:space="preserve">      Descripción de las condiciones no cumplidas y otras contingencias anexas a las subvenciones del gobierno para actividades agrícolas [Texto]</t>
  </si>
  <si>
    <t xml:space="preserve">      Explicación de las disminuciones significativas en el nivel de subvenciones del gobierno para actividades agrícolas [Texto]</t>
  </si>
  <si>
    <t>Información a revelar sobre activos biológicos, productos agrícolas en el punto de la cosecha o recolección y subvenciones gubernamentales relacionadas con activos biológicos [bloque de texto]</t>
  </si>
  <si>
    <t xml:space="preserve">      Activos biológicos al final del periodo  [Número]</t>
  </si>
  <si>
    <r>
      <t xml:space="preserve">INSTRUCCIONES DE LLENADO
</t>
    </r>
    <r>
      <rPr>
        <sz val="10"/>
        <rFont val="Calibri"/>
        <family val="2"/>
      </rPr>
      <t xml:space="preserve">Esta dimensión puede ser extendida agregando columnas (miembros) adicionales a las definidas por taxonomía.
-Las tabla  marcada con línea punteada roja y con fondo verde indican las posiciones donde es posible agregar elementos. Esta tabla puede ser copiada  debajo de este cuadro si se desean agregar mas columnas.
-Para cada columna creada (verde) debe escribirse una descripción (en rojo).
-Las tablas marcadas en plomo </t>
    </r>
    <r>
      <rPr>
        <b/>
        <sz val="10"/>
        <rFont val="Calibri"/>
        <family val="2"/>
      </rPr>
      <t>no deben ser editadas, eliminadas ni movidas.</t>
    </r>
  </si>
  <si>
    <t>DIMENUE</t>
  </si>
  <si>
    <t>DIMEAVA</t>
  </si>
  <si>
    <t>Activos biológicos maduros [miembro]</t>
  </si>
  <si>
    <t>Activos biológicos por madurar [miembro]</t>
  </si>
  <si>
    <t>Activos biológicos, edad [miembro]</t>
  </si>
  <si>
    <t>Información a revelar detallada sobre activos biológicos [tabla]</t>
  </si>
  <si>
    <t>Activos biológicos consumibles [miembro]</t>
  </si>
  <si>
    <t>Activos biológicos para producir frutos [miembro</t>
  </si>
  <si>
    <t>Activos biológicos, tipo [miembro]</t>
  </si>
  <si>
    <t>Información a revelar sobre conciliaciones de cambios en activos biológicos [tabla]</t>
  </si>
  <si>
    <t>A valor razonable [miembro]</t>
  </si>
  <si>
    <t>Al costo [miembro]</t>
  </si>
  <si>
    <t>Suma de mediciones [miembro]</t>
  </si>
  <si>
    <t>Importe en libros en términos brutos [miembro]</t>
  </si>
  <si>
    <t>Depreciación y amortización acumuladas [miembro]</t>
  </si>
  <si>
    <t>Deterioro de valor acumulado [miembro]</t>
  </si>
  <si>
    <t>Depreciación acumulada, amortización y deterioro de valor [miembro]</t>
  </si>
  <si>
    <t>Importe en libros [miembro]</t>
  </si>
  <si>
    <t>Ingresos de actividades ordinarias</t>
  </si>
  <si>
    <t>Costo de ventas</t>
  </si>
  <si>
    <t>Otros ingresos</t>
  </si>
  <si>
    <t>Costos de distribución</t>
  </si>
  <si>
    <t>Gastos de administración</t>
  </si>
  <si>
    <t>Otros gastos, por función</t>
  </si>
  <si>
    <t>Otras ganancias (pérdidas)</t>
  </si>
  <si>
    <t>Ganancias (pérdidas) de actividades operacionales</t>
  </si>
  <si>
    <t>Ingresos financieros</t>
  </si>
  <si>
    <t>Costos financieros</t>
  </si>
  <si>
    <t>Diferencias de cambio</t>
  </si>
  <si>
    <t>Resultados por unidades de reajuste</t>
  </si>
  <si>
    <t>Disminución (aumento) en inventarios de productos terminados y en proceso</t>
  </si>
  <si>
    <t>Materias primas y consumibles utilizados</t>
  </si>
  <si>
    <t>Gastos por beneficios a los empleados</t>
  </si>
  <si>
    <t>Otros gastos, por naturaleza</t>
  </si>
  <si>
    <t>Trimestre acumulado año actual</t>
  </si>
  <si>
    <t>Trimestre acumulado año anterior</t>
  </si>
  <si>
    <t>Último trimestre año actual</t>
  </si>
  <si>
    <t>Último trimestre año anterior</t>
  </si>
  <si>
    <t>Cierre periodo año actual</t>
  </si>
  <si>
    <t>Cierre periodo año anterior</t>
  </si>
  <si>
    <t>AAN</t>
  </si>
  <si>
    <t>SI</t>
  </si>
  <si>
    <t>NO</t>
  </si>
  <si>
    <t>Cargar hoja:</t>
  </si>
  <si>
    <t>full_ifrs-cor_2015-03-11.xsd#ifrs-full_DisclosureOfBiologicalAssetsAndGovernmentGrantsForAgriculturalActivityExplanatory</t>
  </si>
  <si>
    <t>full_ifrs-cor_2015-03-11.xsd#ifrs-full_GainsLossesOnInitialRecognitionOfBiologicalAssetsForCurrentPeriod</t>
  </si>
  <si>
    <t>full_ifrs-cor_2015-03-11.xsd#ifrs-full_GainsLossesOnChangeInFairValueEstimatesOfBiologicalAssetsForCurrentPeriod</t>
  </si>
  <si>
    <t>full_ifrs-cor_2015-03-11.xsd#ifrs-full_DescriptionOfNonfinancialMeasuresOrEstimatesOfBiologicalAssets</t>
  </si>
  <si>
    <t>full_ifrs-cor_2015-03-11.xsd#ifrs-full_BiologicalAssetsWhoseTitleIsRestricted</t>
  </si>
  <si>
    <t>full_ifrs-cor_2015-03-11.xsd#ifrs-full_BiologicalAssetsPledgedAsSecurityForLiabilities</t>
  </si>
  <si>
    <t>full_ifrs-cor_2015-03-11.xsd#ifrs-full_CommitmentsForDevelopmentOrAcquisitionOfBiologicalAssets</t>
  </si>
  <si>
    <t>full_ifrs-cor_2015-03-11.xsd#ifrs-full_DescriptionOfFinancialRiskManagementRelatedToAgriculturalActivity</t>
  </si>
  <si>
    <t>full_ifrs-cor_2015-03-11.xsd#ifrs-full_DisclosureOfReconciliationOfChangesInBiologicalAssetsExplanatory</t>
  </si>
  <si>
    <t>full_ifrs-cor_2015-03-11.xsd#ifrs-full_DescriptionOfBiologicalAssetsWhereFairValueInformationIsUnreliable</t>
  </si>
  <si>
    <t>full_ifrs-cor_2015-03-11.xsd#ifrs-full_ExplanationWhyFairValueCannotBeReliablyMeasuredForBiologicalAssetsAtCost</t>
  </si>
  <si>
    <t>full_ifrs-cor_2015-03-11.xsd#ifrs-full_RangeOfEstimatesWithinWhichFairValueIsLikelyToLieForBiologicalAssetsAtCost</t>
  </si>
  <si>
    <t>full_ifrs-cor_2015-03-11.xsd#ifrs-full_DepreciationMethodBiologicalAssetsAtCost</t>
  </si>
  <si>
    <t>full_ifrs-cor_2015-03-11.xsd#ifrs-full_DescriptionOfBiologicalAssetsPreviouslyMeasuredAtCost</t>
  </si>
  <si>
    <t>full_ifrs-cor_2015-03-11.xsd#ifrs-full_ExplanationWhyFairValueBecomesReliableForBiologicalAssetsPreviouslyMeasuredAtCost</t>
  </si>
  <si>
    <t>full_ifrs-cor_2015-03-11.xsd#ifrs-full_ExplanationOfEffectOfChangeForBiologicalAssetForWhichFairValueBecomesReliablyMeasurable</t>
  </si>
  <si>
    <t>full_ifrs-cor_2015-03-11.xsd#ifrs-full_DescriptionOfNatureAndExtentOfGovernmentGrantsForAgriculturalActivityRecognisedInFinancialStatements</t>
  </si>
  <si>
    <t>full_ifrs-cor_2015-03-11.xsd#ifrs-full_DescriptionOfUnfulfilledConditionsAndOtherContingenciesAttachedToGovernmentGrantForAgriculturalActivity</t>
  </si>
  <si>
    <t>full_ifrs-cor_2015-03-11.xsd#ifrs-full_ExplanationOfSignificantDecreaseInLevelOfGovernmentGrantsForAgriculturalActivity</t>
  </si>
  <si>
    <t>full_ifrs-cor_2015-03-11.xsd#ifrs-full_CostOfSales</t>
  </si>
  <si>
    <t>full_ifrs-cor_2015-03-11.xsd#ifrs-full_DisclosureOfReconciliationOfChangesInBiologicalAssetsTable</t>
  </si>
  <si>
    <t>full_ifrs-cor_2015-03-11.xsd#ifrs-full_MeasurementAxis</t>
  </si>
  <si>
    <t>full_ifrs-cor_2015-03-11.xsd#ifrs-full_AtFairValueMember</t>
  </si>
  <si>
    <t>full_ifrs-cor_2015-03-11.xsd#ifrs-full_AtCostMember</t>
  </si>
  <si>
    <t>full_ifrs-cor_2015-03-11.xsd#ifrs-full_AggregatedMeasurementMember</t>
  </si>
  <si>
    <t>full_ifrs-cor_2015-03-11.xsd#ifrs-full_CarryingAmountAccumulatedDepreciationAmortisationAndImpairmentAndGrossCarryingAmountAxis</t>
  </si>
  <si>
    <t>full_ifrs-cor_2015-03-11.xsd#ifrs-full_GrossCarryingAmountMember</t>
  </si>
  <si>
    <t>full_ifrs-cor_2015-03-11.xsd#ifrs-full_AccumulatedDepreciationAndAmortisationMember</t>
  </si>
  <si>
    <t>full_ifrs-cor_2015-03-11.xsd#ifrs-full_AccumulatedImpairmentMember</t>
  </si>
  <si>
    <t>full_ifrs-cor_2015-03-11.xsd#ifrs-full_AccumulatedDepreciationAmortisationAndImpairmentMember</t>
  </si>
  <si>
    <t>full_ifrs-cor_2015-03-11.xsd#ifrs-full_CarryingAmountMember</t>
  </si>
  <si>
    <t>full_ifrs-cor_2015-03-11.xsd#ifrs-full_BiologicalAssets</t>
  </si>
  <si>
    <t>full_ifrs-cor_2015-03-11.xsd#ifrs-full_AdditionsOtherThanThroughBusinessCombinationsBiologicalAssets</t>
  </si>
  <si>
    <t>full_ifrs-cor_2015-03-11.xsd#ifrs-full_AcquisitionsThroughBusinessCombinationsBiologicalAssets</t>
  </si>
  <si>
    <t>full_ifrs-cor_2015-03-11.xsd#ifrs-full_IncreaseDecreaseThroughNetExchangeDifferencesBiologicalAssets</t>
  </si>
  <si>
    <t>full_ifrs-cor_2015-03-11.xsd#ifrs-full_DepreciationBiologicalAssets</t>
  </si>
  <si>
    <t>full_ifrs-cor_2015-03-11.xsd#ifrs-full_ImpairmentLossRecognisedInProfitOrLossBiologicalAssets</t>
  </si>
  <si>
    <t>full_ifrs-cor_2015-03-11.xsd#ifrs-full_ReversalOfImpairmentLossRecognisedInProfitOrLossBiologicalAssets</t>
  </si>
  <si>
    <t>full_ifrs-cor_2015-03-11.xsd#ifrs-full_GainsLossesOnFairValueAdjustmentAttributableToPhysicalChangesBiologicalAssets</t>
  </si>
  <si>
    <t>full_ifrs-cor_2015-03-11.xsd#ifrs-full_GainsLossesOnFairValueAdjustmentAttributableToPriceChangesBiologicalAssets</t>
  </si>
  <si>
    <t>full_ifrs-cor_2015-03-11.xsd#ifrs-full_GainsLossesOnFairValueAdjustmentBiologicalAssets</t>
  </si>
  <si>
    <t>full_ifrs-cor_2015-03-11.xsd#ifrs-full_IncreaseDecreaseThroughTransfersAndOtherChangesBiologicalAssets</t>
  </si>
  <si>
    <t>full_ifrs-cor_2015-03-11.xsd#ifrs-full_DisposalsBiologicalAssets</t>
  </si>
  <si>
    <t>full_ifrs-cor_2015-03-11.xsd#ifrs-full_DecreaseDueToHarvestBiologicalAssets</t>
  </si>
  <si>
    <t>full_ifrs-cor_2015-03-11.xsd#ifrs-full_DecreaseThroughClassifiedAsHeldForSaleBiologicalAssets</t>
  </si>
  <si>
    <t>full_ifrs-cor_2015-03-11.xsd#ifrs-full_ChangesInBiologicalAssets</t>
  </si>
  <si>
    <t>full_ifrs-cor_2015-03-11.xsd#ifrs-full_DisclosureOfDetailedInformationAboutBiologicalAssetsTable</t>
  </si>
  <si>
    <t>full_ifrs-cor_2015-03-11.xsd#ifrs-full_BiologicalAssetsByAgeAxis</t>
  </si>
  <si>
    <t>full_ifrs-cor_2015-03-11.xsd#ifrs-full_MatureBiologicalAssetsMember</t>
  </si>
  <si>
    <t>full_ifrs-cor_2015-03-11.xsd#ifrs-full_ImmatureBiologicalAssetsMember</t>
  </si>
  <si>
    <t>full_ifrs-cor_2015-03-11.xsd#ifrs-full_BiologicalAssetsAgeMember</t>
  </si>
  <si>
    <t>full_ifrs-cor_2015-03-11.xsd#ifrs-full_BiologicalAssetsByTypeAxis</t>
  </si>
  <si>
    <t>full_ifrs-cor_2015-03-11.xsd#ifrs-full_ConsumableBiologicalAssetsMember</t>
  </si>
  <si>
    <t>full_ifrs-cor_2015-03-11.xsd#ifrs-full_BearerBiologicalAssetsMember</t>
  </si>
  <si>
    <t>full_ifrs-cor_2015-03-11.xsd#ifrs-full_BiologicalAssetsTypeMember</t>
  </si>
  <si>
    <t>full_ifrs-cor_2015-03-11.xsd#ifrs-full_DescriptionOfBiologicalAssets</t>
  </si>
  <si>
    <t>full_ifrs-cor_2015-03-11.xsd#ifrs-full_DescriptionOfNatureOfActivitiesOfBiologicalAssets</t>
  </si>
  <si>
    <t>cl-ci_cor_2016-01-11.xsd#cl-ci_CostoVentasPreFairValue</t>
  </si>
  <si>
    <t>cl-ci_cor_2016-01-11.xsd#cl-ci_CargoAbonoResultadosFairValueActivosBiologicosCosechadosYVendidos</t>
  </si>
  <si>
    <t>cl-ci_cor_2016-01-11.xsd#cl-ci_CargoAbonoResultadosFairValuePorCrecimientoActivosBiologicosDelPeriodo</t>
  </si>
  <si>
    <t>cl-ci_cor_2016-01-11.xsd#cl-ci_AjustePorFairValueDelPeriodoActivosBiologicos</t>
  </si>
  <si>
    <t>cl-ci_cor_2016-01-11.xsd#cl-ci_CuentaAjusteActivosBiologicos</t>
  </si>
  <si>
    <t>Información a revelar detallada sobre activos biológicos [bloque de texto]</t>
  </si>
  <si>
    <t>full_ifrs-cor_2015-03-11.xsd#ifrs-full_DisclosureOfDetailedInformationAboutBiologicalAssetsExplanatory</t>
  </si>
  <si>
    <t>Descripción de activos biológicos [Texto]</t>
  </si>
  <si>
    <t>Activos biológicos [Número]</t>
  </si>
  <si>
    <t>Descripción de la naturaleza de actividades de activos biológicos [Texto]</t>
  </si>
  <si>
    <t>Animales vivos [miembro]</t>
  </si>
  <si>
    <t>Plantas [miembro]</t>
  </si>
  <si>
    <t>Activos biológicos, grupo [miembro]</t>
  </si>
  <si>
    <t>full_ifrs-cor_2017-03-09.xsd#ifrs-full_LivingAnimalsMember</t>
  </si>
  <si>
    <t>full_ifrs-cor_2017-03-09.xsd#ifrs-full_PlantsMember</t>
  </si>
  <si>
    <t>full_ifrs-cor_2017-03-09.xsd#ifrs-full_BiologicalAssetsGroupMember</t>
  </si>
  <si>
    <t>full_ifrs-cor_2017-03-09.xsd#ifrs-full_BiologicalAssetsByGroupAxis</t>
  </si>
  <si>
    <t>full_ifrs-cor_2017-03-09.xsd#ifrs-full_AreaOfLandUsedForAgriculture</t>
  </si>
  <si>
    <t>full_ifrs-cor_2017-03-09.xsd#ifrs-full_NumberOfLivingAnimals</t>
  </si>
  <si>
    <t>Número de animales vivos [Decimal]</t>
  </si>
  <si>
    <t>Área de terreno usada para agricultura [Decimal]</t>
  </si>
  <si>
    <t>full_ifrs-cor_2017-03-09.xsd#ifrs-full_OutputOfAgriculturalProduce</t>
  </si>
  <si>
    <t>Producción agrícola [Decimal]</t>
  </si>
  <si>
    <t>full_ifrs-cor_2017-03-09.xsd#ifrs-full_DisclosureOfInformationAboutAgriculturalProduceTable</t>
  </si>
  <si>
    <t>full_ifrs-cor_2017-03-09.xsd#ifrs-full_AgriculturalProduceByGroupAxis</t>
  </si>
  <si>
    <t>full_ifrs-cor_2017-03-09.xsd#ifrs-full_AgriculturalProduceGroupMember</t>
  </si>
  <si>
    <t>full_ifrs-cor_2017-03-09.xsd#ifrs-full_BiologicalAssetsAxis</t>
  </si>
  <si>
    <t>full_ifrs-cor_2015-03-11.xsd#ifrs-full_BiologicalAssetsMember</t>
  </si>
  <si>
    <t>full_ifrs-cor_2017-03-09.xsd#ifrs-full_CurrentBiologicalAssetsMember</t>
  </si>
  <si>
    <t>Activos biológicos corrientes [miembro]</t>
  </si>
  <si>
    <t xml:space="preserve">Incrementos distintos de los efectuados a través de combinaciones de negocios, activos biológicos [resumen] [sinopsis]  </t>
  </si>
  <si>
    <t>full_ifrs-cor_2017-03-09.xsd#ifrs-full_AdditionsFromSubsequentExpenditureRecognisedAsAssetBiologicalAssets</t>
  </si>
  <si>
    <t>full_ifrs-cor_2017-03-09.xsd#ifrs-full_AdditionsFromPurchasesBiologicalAssets</t>
  </si>
  <si>
    <t>full_ifrs-cor_2017-03-09.xsd#ifrs-full_NoncurrentBiologicalAssetsMember</t>
  </si>
  <si>
    <t>Activos biológicos no corrientes [miembro]</t>
  </si>
  <si>
    <t>Activos biológicos [miembro]</t>
  </si>
  <si>
    <t>Incrementos por desembolsos posteriores reconocidos como activo, activos biológicos [Número]</t>
  </si>
  <si>
    <t>Incrementos por compras, activos biológicos [Número]</t>
  </si>
  <si>
    <t>Incrementos distintos de los procedentes de combinaciones de negocios, activos biológicos [Número]</t>
  </si>
  <si>
    <t xml:space="preserve">Cambios en activos biológicos [sinopsis]  </t>
  </si>
  <si>
    <t>full_ifrs-cor_2017-03-09.xsd#ifrs-full_IncomeFromGovernmentGrantsRelatedToAgriculturalActivity</t>
  </si>
  <si>
    <t>Ingreso por subvenciones gubernamentales relacionadas con la actividad agrícola [Número]</t>
  </si>
  <si>
    <t>Producto agrícola, grupo [miembro]</t>
  </si>
  <si>
    <t>Producto agrícola 1</t>
  </si>
  <si>
    <t>Producto agrícola 2</t>
  </si>
  <si>
    <t>Otra información activos biológicos [sinopsis]</t>
  </si>
  <si>
    <t>Otra información activos biológicos [miembro]</t>
  </si>
  <si>
    <t>cl-ci_cor_2019-01-02.xsd#cl-ci_OtraInformacionActivosBiologicosMiembro</t>
  </si>
  <si>
    <t>Costo de ventas pre fair value [Número]</t>
  </si>
  <si>
    <t>Cargo (abono) a resultados Fair Value de activos biológicos cosechados y vendidos [Número]</t>
  </si>
  <si>
    <t>Cargo (abono) a resultados Fair Value por crecimiento de activos biológicos del período [Número]</t>
  </si>
  <si>
    <t>Ajuste por fair value del período, activos biológicos [Número]</t>
  </si>
  <si>
    <t>Cuenta ajuste activos biológicos  [Lista]</t>
  </si>
  <si>
    <t>Costo de ventas [Número]</t>
  </si>
  <si>
    <t>Otra informacion 1</t>
  </si>
  <si>
    <t>Otra informacion 2</t>
  </si>
  <si>
    <t>cl-ci_cor_2019-01-02.xsd#cl-ci_OtraInformacionActivosBiologicosTabla</t>
  </si>
  <si>
    <t>cl-ci_cor_2019-01-02.xsd#cl-ci_OtraInformacionActivosBiologicosEje</t>
  </si>
  <si>
    <t>Costo de ventas [Número] (Se valida contra resultado)</t>
  </si>
  <si>
    <t>Información a revelar sobre productos agrícolas [tabla]</t>
  </si>
  <si>
    <t>full_ifrs-cor_2017-03-09.xsd#ifrs-full_DisclosureOfInformationAboutAgriculturalProduceExplanatory</t>
  </si>
  <si>
    <t>Información a revelar sobre productos agrícolas [bloque de texto]</t>
  </si>
  <si>
    <t>Fila de cuadratura con saldo inicial</t>
  </si>
  <si>
    <t>full_ifrs-cor_2019-03-27.xsd#ifrs-full_DepreciationRateBiologicalAssetsAtCost</t>
  </si>
  <si>
    <t>pre_cl-ci_ias-41_2019-03-27_role-824180</t>
  </si>
  <si>
    <t>full_ifrs-cor_2019-03-27.xsd#ifrs-full_UsefulLifeMeasuredAsPeriodOfTimeBiologicalAssetsAtCost</t>
  </si>
  <si>
    <t>full_ifrs-cor_2019-03-27.xsd#ifrs-full_UsefulLifeMeasuredInProductionOrOtherSimilarUnitsBiologicalAssetsAtCost</t>
  </si>
  <si>
    <t>full_ifrs-cor_2019-03-27.xsd#ifrs-full_DescriptionOfUsefulLifeBiologicalAssetsAtCost</t>
  </si>
  <si>
    <t>Vida útil medida en producción u otras unidades similares, activos biológicos, al costo [decimal]</t>
  </si>
  <si>
    <t>Descripción de la vida útil, activos biológicos, al costo [texto]</t>
  </si>
  <si>
    <t>Vida útil medida como un periodo de tiempo, activos biológicos, al costo [duración, ver comentario]</t>
  </si>
  <si>
    <t>10.0</t>
  </si>
  <si>
    <t>Tasa de depreciación, activos biológicos, al costo [porcentaje entre 0 y 1]</t>
  </si>
  <si>
    <t>Activos biológicos al 31/12/2019 [Número]</t>
  </si>
  <si>
    <t>Activos biológicos al 31/12/2018 [Número]</t>
  </si>
  <si>
    <t xml:space="preserve">      Activos biológicos al final del periodo 31/12/2019  [Número]</t>
  </si>
  <si>
    <t>A</t>
  </si>
  <si>
    <t>B</t>
  </si>
  <si>
    <t>C</t>
  </si>
  <si>
    <t>D</t>
  </si>
  <si>
    <t>E</t>
  </si>
  <si>
    <t>F</t>
  </si>
  <si>
    <t>G</t>
  </si>
  <si>
    <t>H</t>
  </si>
  <si>
    <t>I</t>
  </si>
  <si>
    <t>J</t>
  </si>
  <si>
    <t>P4Y20D</t>
  </si>
  <si>
    <t>K</t>
  </si>
  <si>
    <t>L</t>
  </si>
  <si>
    <t>M</t>
  </si>
  <si>
    <t>N</t>
  </si>
  <si>
    <t>O</t>
  </si>
  <si>
    <t>P</t>
  </si>
  <si>
    <t>TEXT</t>
  </si>
  <si>
    <t>TEXT 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</si>
</sst>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,##0.0000"/>
  </numFmts>
  <fonts count="31">
    <font>
      <sz val="11"/>
      <color theme="1"/>
      <name val="Calibri"/>
      <family val="2"/>
      <scheme val="minor"/>
    </font>
    <font>
      <sz val="11"/>
      <color indexed="9"/>
      <name val="Czcionka tekstu podstawowego"/>
      <family val="2"/>
      <charset val="238"/>
    </font>
    <font>
      <sz val="9"/>
      <color indexed="8"/>
      <name val="Calibri"/>
      <family val="2"/>
    </font>
    <font>
      <sz val="11"/>
      <color indexed="8"/>
      <name val="Verdana"/>
      <family val="2"/>
    </font>
    <font>
      <sz val="9"/>
      <color indexed="8"/>
      <name val="Verdana"/>
      <family val="2"/>
    </font>
    <font>
      <sz val="9"/>
      <name val="Verdana"/>
      <family val="2"/>
    </font>
    <font>
      <sz val="8"/>
      <name val="ＭＳ Ｐゴシック"/>
      <family val="3"/>
      <charset val="128"/>
    </font>
    <font>
      <u/>
      <sz val="8.8000000000000007"/>
      <color theme="10"/>
      <name val="Calibri"/>
      <family val="2"/>
    </font>
    <font>
      <sz val="8"/>
      <color theme="1"/>
      <name val="Calibri"/>
      <family val="2"/>
      <scheme val="minor"/>
    </font>
    <font>
      <sz val="11"/>
      <color theme="1"/>
      <name val="Verdana"/>
      <family val="2"/>
    </font>
    <font>
      <b/>
      <sz val="11"/>
      <color indexed="8"/>
      <name val="Verdana"/>
      <family val="2"/>
    </font>
    <font>
      <sz val="11"/>
      <color indexed="10"/>
      <name val="Calibri"/>
      <family val="2"/>
    </font>
    <font>
      <sz val="8"/>
      <name val="Verdana"/>
      <family val="2"/>
    </font>
    <font>
      <b/>
      <sz val="9"/>
      <name val="Verdana"/>
      <family val="2"/>
    </font>
    <font>
      <b/>
      <sz val="9"/>
      <color indexed="9"/>
      <name val="Calibri"/>
      <family val="2"/>
      <scheme val="minor"/>
    </font>
    <font>
      <b/>
      <sz val="9"/>
      <color indexed="8"/>
      <name val="Verdana"/>
      <family val="2"/>
    </font>
    <font>
      <sz val="10"/>
      <name val="Calibri"/>
      <family val="2"/>
    </font>
    <font>
      <b/>
      <sz val="10"/>
      <name val="Calibri"/>
      <family val="2"/>
    </font>
    <font>
      <b/>
      <sz val="11"/>
      <name val="Verdana"/>
      <family val="2"/>
    </font>
    <font>
      <sz val="11"/>
      <color theme="0"/>
      <name val="Calibri"/>
      <family val="2"/>
      <scheme val="minor"/>
    </font>
    <font>
      <b/>
      <sz val="18"/>
      <name val="Calibri"/>
      <family val="2"/>
    </font>
    <font>
      <sz val="11"/>
      <name val="Calibri"/>
      <family val="2"/>
      <scheme val="minor"/>
    </font>
    <font>
      <u/>
      <sz val="8.8000000000000007"/>
      <color theme="1"/>
      <name val="Calibri"/>
      <family val="2"/>
    </font>
    <font>
      <b/>
      <sz val="12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sz val="9"/>
      <color rgb="FFFF0000"/>
      <name val="Verdana"/>
      <family val="2"/>
    </font>
    <font>
      <sz val="11"/>
      <name val="Verdana"/>
      <family val="2"/>
    </font>
    <font>
      <b/>
      <sz val="8"/>
      <name val="Verdana"/>
      <family val="2"/>
    </font>
    <font>
      <sz val="9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9"/>
      <color indexed="81"/>
      <name val="Tahoma"/>
      <family val="2"/>
    </font>
  </fonts>
  <fills count="21">
    <fill>
      <patternFill patternType="none"/>
    </fill>
    <fill>
      <patternFill patternType="gray125"/>
    </fill>
    <fill>
      <patternFill patternType="solid">
        <fgColor indexed="30"/>
      </patternFill>
    </fill>
    <fill>
      <patternFill patternType="solid">
        <fgColor indexed="9"/>
        <bgColor indexed="64"/>
      </patternFill>
    </fill>
    <fill>
      <patternFill patternType="solid">
        <fgColor theme="4" tint="0.599963377788628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19E740"/>
        <bgColor indexed="64"/>
      </patternFill>
    </fill>
  </fills>
  <borders count="44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Dashed">
        <color indexed="10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Dashed">
        <color rgb="FFFF0000"/>
      </left>
      <right style="mediumDashed">
        <color rgb="FFFF0000"/>
      </right>
      <top style="thin">
        <color indexed="64"/>
      </top>
      <bottom style="thin">
        <color indexed="64"/>
      </bottom>
      <diagonal/>
    </border>
    <border>
      <left style="mediumDashed">
        <color rgb="FFFF0000"/>
      </left>
      <right style="mediumDashed">
        <color rgb="FFFF0000"/>
      </right>
      <top/>
      <bottom/>
      <diagonal/>
    </border>
    <border>
      <left style="mediumDashed">
        <color rgb="FFFF0000"/>
      </left>
      <right style="mediumDashed">
        <color rgb="FFFF0000"/>
      </right>
      <top style="thin">
        <color indexed="64"/>
      </top>
      <bottom style="medium">
        <color indexed="64"/>
      </bottom>
      <diagonal/>
    </border>
    <border>
      <left/>
      <right style="mediumDashed">
        <color rgb="FFFF0000"/>
      </right>
      <top style="medium">
        <color indexed="64"/>
      </top>
      <bottom style="medium">
        <color indexed="64"/>
      </bottom>
      <diagonal/>
    </border>
    <border>
      <left/>
      <right style="mediumDashed">
        <color rgb="FFFF0000"/>
      </right>
      <top style="mediumDashed">
        <color rgb="FFFF000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Dashed">
        <color rgb="FFFF0000"/>
      </right>
      <top/>
      <bottom/>
      <diagonal/>
    </border>
    <border>
      <left style="thin">
        <color indexed="64"/>
      </left>
      <right style="mediumDashed">
        <color rgb="FFFF0000"/>
      </right>
      <top style="thin">
        <color indexed="64"/>
      </top>
      <bottom style="thin">
        <color indexed="64"/>
      </bottom>
      <diagonal/>
    </border>
    <border>
      <left/>
      <right style="mediumDashed">
        <color rgb="FFFF0000"/>
      </right>
      <top/>
      <bottom style="medium">
        <color indexed="64"/>
      </bottom>
      <diagonal/>
    </border>
    <border>
      <left/>
      <right style="mediumDashed">
        <color rgb="FFFF0000"/>
      </right>
      <top style="thin">
        <color indexed="64"/>
      </top>
      <bottom style="thin">
        <color indexed="64"/>
      </bottom>
      <diagonal/>
    </border>
    <border>
      <left style="mediumDashed">
        <color rgb="FFFF0000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Dashed">
        <color indexed="10"/>
      </left>
      <right style="medium">
        <color indexed="64"/>
      </right>
      <top/>
      <bottom/>
      <diagonal/>
    </border>
    <border>
      <left style="mediumDashed">
        <color rgb="FFFF0000"/>
      </left>
      <right style="mediumDashed">
        <color rgb="FFFF0000"/>
      </right>
      <top/>
      <bottom style="thin">
        <color indexed="64"/>
      </bottom>
      <diagonal/>
    </border>
    <border>
      <left style="mediumDashed">
        <color rgb="FFFF0000"/>
      </left>
      <right style="mediumDashed">
        <color rgb="FFFF0000"/>
      </right>
      <top style="mediumDashed">
        <color rgb="FFFF0000"/>
      </top>
      <bottom style="medium">
        <color indexed="64"/>
      </bottom>
      <diagonal/>
    </border>
    <border>
      <left/>
      <right style="mediumDashed">
        <color rgb="FFFF0000"/>
      </right>
      <top style="mediumDashed">
        <color rgb="FFFF0000"/>
      </top>
      <bottom style="medium">
        <color indexed="64"/>
      </bottom>
      <diagonal/>
    </border>
  </borders>
  <cellStyleXfs count="4">
    <xf numFmtId="0" fontId="0" fillId="0" borderId="0"/>
    <xf numFmtId="0" fontId="1" fillId="2" borderId="0" applyNumberFormat="0" applyBorder="0" applyAlignment="0" applyProtection="0"/>
    <xf numFmtId="0" fontId="7" fillId="0" borderId="0" applyNumberFormat="0" applyFill="0" applyBorder="0" applyAlignment="0" applyProtection="0">
      <alignment vertical="top"/>
      <protection locked="0"/>
    </xf>
    <xf numFmtId="0" fontId="6" fillId="0" borderId="0" applyNumberFormat="0" applyFill="0" applyBorder="0">
      <alignment vertical="center"/>
    </xf>
  </cellStyleXfs>
  <cellXfs count="139">
    <xf numFmtId="0" fontId="0" fillId="0" borderId="0" xfId="0"/>
    <xf numFmtId="0" fontId="0" fillId="3" borderId="0" xfId="0" applyFill="1"/>
    <xf numFmtId="0" fontId="2" fillId="3" borderId="0" xfId="0" applyFont="1" applyFill="1"/>
    <xf numFmtId="0" fontId="0" fillId="3" borderId="0" xfId="0" applyFill="1" applyAlignment="1">
      <alignment horizontal="center"/>
    </xf>
    <xf numFmtId="0" fontId="5" fillId="5" borderId="0" xfId="3" applyFont="1" applyFill="1" applyBorder="1">
      <alignment vertical="center"/>
    </xf>
    <xf numFmtId="0" fontId="3" fillId="4" borderId="2" xfId="0" applyFont="1" applyFill="1" applyBorder="1" applyAlignment="1">
      <alignment horizontal="center"/>
    </xf>
    <xf numFmtId="0" fontId="3" fillId="4" borderId="0" xfId="0" applyFont="1" applyFill="1" applyAlignment="1">
      <alignment horizontal="center"/>
    </xf>
    <xf numFmtId="0" fontId="4" fillId="4" borderId="0" xfId="0" applyFont="1" applyFill="1" applyAlignment="1">
      <alignment horizontal="left" wrapText="1"/>
    </xf>
    <xf numFmtId="0" fontId="0" fillId="7" borderId="0" xfId="0" applyFill="1"/>
    <xf numFmtId="0" fontId="4" fillId="4" borderId="4" xfId="0" applyFont="1" applyFill="1" applyBorder="1"/>
    <xf numFmtId="0" fontId="4" fillId="4" borderId="2" xfId="0" applyFont="1" applyFill="1" applyBorder="1"/>
    <xf numFmtId="0" fontId="9" fillId="4" borderId="2" xfId="0" applyFont="1" applyFill="1" applyBorder="1"/>
    <xf numFmtId="0" fontId="10" fillId="4" borderId="2" xfId="0" applyFont="1" applyFill="1" applyBorder="1" applyAlignment="1">
      <alignment wrapText="1"/>
    </xf>
    <xf numFmtId="0" fontId="9" fillId="4" borderId="7" xfId="0" applyFont="1" applyFill="1" applyBorder="1"/>
    <xf numFmtId="0" fontId="4" fillId="4" borderId="1" xfId="0" applyFont="1" applyFill="1" applyBorder="1"/>
    <xf numFmtId="0" fontId="4" fillId="4" borderId="0" xfId="0" applyFont="1" applyFill="1"/>
    <xf numFmtId="0" fontId="9" fillId="4" borderId="0" xfId="0" applyFont="1" applyFill="1"/>
    <xf numFmtId="0" fontId="9" fillId="4" borderId="8" xfId="0" applyFont="1" applyFill="1" applyBorder="1"/>
    <xf numFmtId="0" fontId="4" fillId="3" borderId="0" xfId="0" applyFont="1" applyFill="1"/>
    <xf numFmtId="0" fontId="9" fillId="3" borderId="0" xfId="0" applyFont="1" applyFill="1"/>
    <xf numFmtId="0" fontId="9" fillId="3" borderId="0" xfId="0" applyFont="1" applyFill="1" applyAlignment="1">
      <alignment horizontal="center"/>
    </xf>
    <xf numFmtId="0" fontId="4" fillId="4" borderId="5" xfId="0" applyFont="1" applyFill="1" applyBorder="1"/>
    <xf numFmtId="0" fontId="4" fillId="4" borderId="6" xfId="0" applyFont="1" applyFill="1" applyBorder="1"/>
    <xf numFmtId="0" fontId="9" fillId="4" borderId="6" xfId="0" applyFont="1" applyFill="1" applyBorder="1"/>
    <xf numFmtId="0" fontId="4" fillId="4" borderId="6" xfId="0" applyFont="1" applyFill="1" applyBorder="1" applyAlignment="1">
      <alignment horizontal="left" wrapText="1"/>
    </xf>
    <xf numFmtId="0" fontId="3" fillId="4" borderId="6" xfId="0" applyFont="1" applyFill="1" applyBorder="1" applyAlignment="1">
      <alignment horizontal="center"/>
    </xf>
    <xf numFmtId="0" fontId="9" fillId="4" borderId="9" xfId="0" applyFont="1" applyFill="1" applyBorder="1"/>
    <xf numFmtId="0" fontId="11" fillId="0" borderId="0" xfId="0" applyFont="1"/>
    <xf numFmtId="0" fontId="11" fillId="0" borderId="0" xfId="0" applyFont="1" applyAlignment="1">
      <alignment horizontal="center" vertical="center"/>
    </xf>
    <xf numFmtId="0" fontId="12" fillId="5" borderId="14" xfId="3" applyFont="1" applyFill="1" applyBorder="1">
      <alignment vertical="center"/>
    </xf>
    <xf numFmtId="0" fontId="12" fillId="5" borderId="0" xfId="3" applyFont="1" applyFill="1" applyBorder="1">
      <alignment vertical="center"/>
    </xf>
    <xf numFmtId="0" fontId="12" fillId="5" borderId="15" xfId="3" applyFont="1" applyFill="1" applyBorder="1">
      <alignment vertical="center"/>
    </xf>
    <xf numFmtId="0" fontId="5" fillId="5" borderId="14" xfId="3" applyFont="1" applyFill="1" applyBorder="1">
      <alignment vertical="center"/>
    </xf>
    <xf numFmtId="3" fontId="12" fillId="3" borderId="3" xfId="3" applyNumberFormat="1" applyFont="1" applyFill="1" applyBorder="1" applyProtection="1">
      <alignment vertical="center"/>
      <protection locked="0"/>
    </xf>
    <xf numFmtId="0" fontId="0" fillId="0" borderId="16" xfId="0" applyBorder="1"/>
    <xf numFmtId="0" fontId="14" fillId="6" borderId="10" xfId="1" applyFont="1" applyFill="1" applyBorder="1" applyAlignment="1">
      <alignment horizontal="center" vertical="center" wrapText="1"/>
    </xf>
    <xf numFmtId="3" fontId="4" fillId="0" borderId="3" xfId="0" applyNumberFormat="1" applyFont="1" applyBorder="1" applyProtection="1">
      <protection locked="0"/>
    </xf>
    <xf numFmtId="0" fontId="4" fillId="0" borderId="3" xfId="0" applyFont="1" applyBorder="1" applyProtection="1">
      <protection locked="0"/>
    </xf>
    <xf numFmtId="0" fontId="20" fillId="11" borderId="20" xfId="0" applyFont="1" applyFill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19" fillId="6" borderId="14" xfId="0" applyFont="1" applyFill="1" applyBorder="1" applyProtection="1">
      <protection locked="0"/>
    </xf>
    <xf numFmtId="0" fontId="19" fillId="6" borderId="0" xfId="0" applyFont="1" applyFill="1" applyProtection="1">
      <protection locked="0"/>
    </xf>
    <xf numFmtId="0" fontId="21" fillId="6" borderId="21" xfId="0" applyFont="1" applyFill="1" applyBorder="1" applyProtection="1">
      <protection locked="0"/>
    </xf>
    <xf numFmtId="0" fontId="19" fillId="6" borderId="20" xfId="0" applyFont="1" applyFill="1" applyBorder="1" applyAlignment="1" applyProtection="1">
      <alignment horizontal="center" vertical="center" wrapText="1"/>
      <protection locked="0"/>
    </xf>
    <xf numFmtId="0" fontId="18" fillId="5" borderId="6" xfId="3" applyFont="1" applyFill="1" applyBorder="1" applyAlignment="1" applyProtection="1">
      <alignment horizontal="left" vertical="center" wrapText="1"/>
      <protection locked="0"/>
    </xf>
    <xf numFmtId="0" fontId="5" fillId="5" borderId="0" xfId="3" applyFont="1" applyFill="1" applyBorder="1" applyProtection="1">
      <alignment vertical="center"/>
      <protection locked="0"/>
    </xf>
    <xf numFmtId="0" fontId="13" fillId="5" borderId="0" xfId="3" applyFont="1" applyFill="1" applyBorder="1" applyAlignment="1" applyProtection="1">
      <alignment horizontal="left" vertical="center" wrapText="1"/>
      <protection locked="0"/>
    </xf>
    <xf numFmtId="0" fontId="5" fillId="5" borderId="0" xfId="3" applyFont="1" applyFill="1" applyBorder="1" applyAlignment="1" applyProtection="1">
      <alignment horizontal="left" vertical="center" wrapText="1"/>
      <protection locked="0"/>
    </xf>
    <xf numFmtId="0" fontId="5" fillId="5" borderId="6" xfId="3" applyFont="1" applyFill="1" applyBorder="1" applyProtection="1">
      <alignment vertical="center"/>
      <protection locked="0"/>
    </xf>
    <xf numFmtId="49" fontId="12" fillId="3" borderId="3" xfId="3" applyNumberFormat="1" applyFont="1" applyFill="1" applyBorder="1" applyProtection="1">
      <alignment vertical="center"/>
      <protection locked="0"/>
    </xf>
    <xf numFmtId="0" fontId="19" fillId="6" borderId="22" xfId="0" applyFont="1" applyFill="1" applyBorder="1" applyProtection="1">
      <protection locked="0"/>
    </xf>
    <xf numFmtId="0" fontId="19" fillId="6" borderId="23" xfId="0" applyFont="1" applyFill="1" applyBorder="1" applyProtection="1">
      <protection locked="0"/>
    </xf>
    <xf numFmtId="0" fontId="19" fillId="6" borderId="24" xfId="0" applyFont="1" applyFill="1" applyBorder="1" applyAlignment="1" applyProtection="1">
      <alignment horizontal="center" vertical="center" wrapText="1"/>
      <protection locked="0"/>
    </xf>
    <xf numFmtId="0" fontId="8" fillId="0" borderId="0" xfId="0" applyFont="1"/>
    <xf numFmtId="0" fontId="21" fillId="6" borderId="25" xfId="0" applyFont="1" applyFill="1" applyBorder="1" applyProtection="1">
      <protection locked="0"/>
    </xf>
    <xf numFmtId="0" fontId="0" fillId="4" borderId="14" xfId="0" applyFill="1" applyBorder="1" applyProtection="1">
      <protection locked="0"/>
    </xf>
    <xf numFmtId="0" fontId="0" fillId="4" borderId="0" xfId="0" applyFill="1" applyProtection="1">
      <protection locked="0"/>
    </xf>
    <xf numFmtId="0" fontId="0" fillId="4" borderId="15" xfId="0" applyFill="1" applyBorder="1" applyProtection="1">
      <protection locked="0"/>
    </xf>
    <xf numFmtId="0" fontId="5" fillId="5" borderId="14" xfId="3" applyFont="1" applyFill="1" applyBorder="1" applyProtection="1">
      <alignment vertical="center"/>
      <protection locked="0"/>
    </xf>
    <xf numFmtId="0" fontId="5" fillId="5" borderId="15" xfId="3" applyFont="1" applyFill="1" applyBorder="1" applyProtection="1">
      <alignment vertical="center"/>
      <protection locked="0"/>
    </xf>
    <xf numFmtId="0" fontId="5" fillId="5" borderId="17" xfId="3" applyFont="1" applyFill="1" applyBorder="1" applyProtection="1">
      <alignment vertical="center"/>
      <protection locked="0"/>
    </xf>
    <xf numFmtId="0" fontId="5" fillId="5" borderId="18" xfId="3" applyFont="1" applyFill="1" applyBorder="1" applyProtection="1">
      <alignment vertical="center"/>
      <protection locked="0"/>
    </xf>
    <xf numFmtId="0" fontId="5" fillId="5" borderId="18" xfId="3" applyFont="1" applyFill="1" applyBorder="1" applyAlignment="1" applyProtection="1">
      <alignment horizontal="left" vertical="center" wrapText="1" indent="1"/>
      <protection locked="0"/>
    </xf>
    <xf numFmtId="0" fontId="5" fillId="5" borderId="19" xfId="3" applyFont="1" applyFill="1" applyBorder="1" applyProtection="1">
      <alignment vertical="center"/>
      <protection locked="0"/>
    </xf>
    <xf numFmtId="0" fontId="5" fillId="5" borderId="2" xfId="3" applyFont="1" applyFill="1" applyBorder="1" applyProtection="1">
      <alignment vertical="center"/>
      <protection locked="0"/>
    </xf>
    <xf numFmtId="0" fontId="5" fillId="5" borderId="26" xfId="3" applyFont="1" applyFill="1" applyBorder="1" applyProtection="1">
      <alignment vertical="center"/>
      <protection locked="0"/>
    </xf>
    <xf numFmtId="49" fontId="12" fillId="3" borderId="13" xfId="3" applyNumberFormat="1" applyFont="1" applyFill="1" applyBorder="1" applyProtection="1">
      <alignment vertical="center"/>
      <protection locked="0"/>
    </xf>
    <xf numFmtId="0" fontId="5" fillId="5" borderId="27" xfId="3" applyFont="1" applyFill="1" applyBorder="1" applyProtection="1">
      <alignment vertical="center"/>
      <protection locked="0"/>
    </xf>
    <xf numFmtId="0" fontId="22" fillId="9" borderId="0" xfId="2" applyNumberFormat="1" applyFont="1" applyFill="1" applyBorder="1" applyAlignment="1" applyProtection="1">
      <alignment horizontal="left" wrapText="1"/>
    </xf>
    <xf numFmtId="0" fontId="7" fillId="10" borderId="0" xfId="2" applyNumberFormat="1" applyFill="1" applyBorder="1" applyAlignment="1" applyProtection="1">
      <alignment horizontal="left" wrapText="1"/>
    </xf>
    <xf numFmtId="0" fontId="8" fillId="0" borderId="0" xfId="0" applyFont="1" applyAlignment="1">
      <alignment wrapText="1"/>
    </xf>
    <xf numFmtId="0" fontId="23" fillId="12" borderId="20" xfId="0" applyFont="1" applyFill="1" applyBorder="1" applyAlignment="1">
      <alignment horizontal="right" vertical="center" wrapText="1"/>
    </xf>
    <xf numFmtId="0" fontId="0" fillId="12" borderId="24" xfId="0" applyFill="1" applyBorder="1" applyAlignment="1">
      <alignment vertical="center"/>
    </xf>
    <xf numFmtId="0" fontId="13" fillId="5" borderId="3" xfId="3" applyFont="1" applyFill="1" applyBorder="1" applyAlignment="1" applyProtection="1">
      <alignment horizontal="left" vertical="center" wrapText="1"/>
      <protection locked="0"/>
    </xf>
    <xf numFmtId="3" fontId="0" fillId="8" borderId="3" xfId="0" applyNumberFormat="1" applyFill="1" applyBorder="1"/>
    <xf numFmtId="0" fontId="19" fillId="6" borderId="24" xfId="0" applyFont="1" applyFill="1" applyBorder="1" applyAlignment="1" applyProtection="1">
      <alignment vertical="center" wrapText="1"/>
      <protection locked="0"/>
    </xf>
    <xf numFmtId="164" fontId="12" fillId="3" borderId="3" xfId="3" applyNumberFormat="1" applyFont="1" applyFill="1" applyBorder="1" applyProtection="1">
      <alignment vertical="center"/>
      <protection locked="0"/>
    </xf>
    <xf numFmtId="0" fontId="21" fillId="14" borderId="29" xfId="3" applyFont="1" applyFill="1" applyBorder="1" applyAlignment="1">
      <alignment vertical="center" wrapText="1"/>
    </xf>
    <xf numFmtId="0" fontId="12" fillId="4" borderId="30" xfId="3" applyFont="1" applyFill="1" applyBorder="1">
      <alignment vertical="center"/>
    </xf>
    <xf numFmtId="0" fontId="12" fillId="4" borderId="31" xfId="3" applyFont="1" applyFill="1" applyBorder="1">
      <alignment vertical="center"/>
    </xf>
    <xf numFmtId="0" fontId="25" fillId="14" borderId="33" xfId="1" applyNumberFormat="1" applyFont="1" applyFill="1" applyBorder="1" applyAlignment="1">
      <alignment horizontal="center" vertical="center" wrapText="1"/>
    </xf>
    <xf numFmtId="0" fontId="19" fillId="6" borderId="32" xfId="0" applyFont="1" applyFill="1" applyBorder="1" applyAlignment="1" applyProtection="1">
      <alignment horizontal="center" vertical="center" wrapText="1"/>
      <protection locked="0"/>
    </xf>
    <xf numFmtId="0" fontId="21" fillId="6" borderId="34" xfId="0" applyFont="1" applyFill="1" applyBorder="1" applyProtection="1">
      <protection locked="0"/>
    </xf>
    <xf numFmtId="0" fontId="0" fillId="4" borderId="35" xfId="0" applyFill="1" applyBorder="1" applyProtection="1">
      <protection locked="0"/>
    </xf>
    <xf numFmtId="0" fontId="5" fillId="5" borderId="35" xfId="3" applyFont="1" applyFill="1" applyBorder="1" applyProtection="1">
      <alignment vertical="center"/>
      <protection locked="0"/>
    </xf>
    <xf numFmtId="0" fontId="5" fillId="5" borderId="37" xfId="3" applyFont="1" applyFill="1" applyBorder="1" applyProtection="1">
      <alignment vertical="center"/>
      <protection locked="0"/>
    </xf>
    <xf numFmtId="0" fontId="21" fillId="9" borderId="21" xfId="0" applyFont="1" applyFill="1" applyBorder="1" applyProtection="1">
      <protection locked="0"/>
    </xf>
    <xf numFmtId="0" fontId="5" fillId="15" borderId="18" xfId="3" applyFont="1" applyFill="1" applyBorder="1" applyProtection="1">
      <alignment vertical="center"/>
      <protection locked="0"/>
    </xf>
    <xf numFmtId="164" fontId="12" fillId="7" borderId="29" xfId="3" applyNumberFormat="1" applyFont="1" applyFill="1" applyBorder="1" applyProtection="1">
      <alignment vertical="center"/>
      <protection locked="0"/>
    </xf>
    <xf numFmtId="164" fontId="12" fillId="3" borderId="36" xfId="3" applyNumberFormat="1" applyFont="1" applyFill="1" applyBorder="1" applyProtection="1">
      <alignment vertical="center"/>
      <protection locked="0"/>
    </xf>
    <xf numFmtId="164" fontId="12" fillId="3" borderId="28" xfId="3" applyNumberFormat="1" applyFont="1" applyFill="1" applyBorder="1" applyProtection="1">
      <alignment vertical="center"/>
      <protection locked="0"/>
    </xf>
    <xf numFmtId="0" fontId="18" fillId="5" borderId="0" xfId="3" applyFont="1" applyFill="1" applyBorder="1" applyAlignment="1">
      <alignment horizontal="left" vertical="center" wrapText="1"/>
    </xf>
    <xf numFmtId="0" fontId="26" fillId="5" borderId="0" xfId="3" applyFont="1" applyFill="1" applyBorder="1" applyAlignment="1">
      <alignment horizontal="left" vertical="center" wrapText="1"/>
    </xf>
    <xf numFmtId="3" fontId="27" fillId="15" borderId="3" xfId="3" applyNumberFormat="1" applyFont="1" applyFill="1" applyBorder="1" applyProtection="1">
      <alignment vertical="center"/>
      <protection locked="0"/>
    </xf>
    <xf numFmtId="3" fontId="27" fillId="15" borderId="13" xfId="3" applyNumberFormat="1" applyFont="1" applyFill="1" applyBorder="1" applyProtection="1">
      <alignment vertical="center"/>
      <protection locked="0"/>
    </xf>
    <xf numFmtId="3" fontId="13" fillId="15" borderId="28" xfId="0" applyNumberFormat="1" applyFont="1" applyFill="1" applyBorder="1"/>
    <xf numFmtId="164" fontId="27" fillId="15" borderId="3" xfId="3" applyNumberFormat="1" applyFont="1" applyFill="1" applyBorder="1" applyProtection="1">
      <alignment vertical="center"/>
      <protection locked="0"/>
    </xf>
    <xf numFmtId="3" fontId="27" fillId="15" borderId="3" xfId="3" applyNumberFormat="1" applyFont="1" applyFill="1" applyBorder="1" applyAlignment="1" applyProtection="1">
      <alignment horizontal="right" vertical="center"/>
      <protection locked="0"/>
    </xf>
    <xf numFmtId="3" fontId="27" fillId="15" borderId="13" xfId="3" applyNumberFormat="1" applyFont="1" applyFill="1" applyBorder="1" applyAlignment="1" applyProtection="1">
      <alignment horizontal="right" vertical="center"/>
      <protection locked="0"/>
    </xf>
    <xf numFmtId="164" fontId="27" fillId="15" borderId="3" xfId="3" applyNumberFormat="1" applyFont="1" applyFill="1" applyBorder="1" applyAlignment="1" applyProtection="1">
      <alignment horizontal="right" vertical="center"/>
      <protection locked="0"/>
    </xf>
    <xf numFmtId="49" fontId="27" fillId="0" borderId="3" xfId="3" applyNumberFormat="1" applyFont="1" applyFill="1" applyBorder="1" applyAlignment="1" applyProtection="1">
      <alignment horizontal="right" vertical="center"/>
      <protection locked="0"/>
    </xf>
    <xf numFmtId="49" fontId="27" fillId="0" borderId="13" xfId="3" applyNumberFormat="1" applyFont="1" applyFill="1" applyBorder="1" applyAlignment="1" applyProtection="1">
      <alignment horizontal="right" vertical="center"/>
      <protection locked="0"/>
    </xf>
    <xf numFmtId="3" fontId="28" fillId="0" borderId="3" xfId="0" applyNumberFormat="1" applyFont="1" applyBorder="1" applyAlignment="1" applyProtection="1">
      <alignment vertical="center"/>
      <protection locked="0"/>
    </xf>
    <xf numFmtId="0" fontId="21" fillId="6" borderId="34" xfId="0" applyFont="1" applyFill="1" applyBorder="1" applyAlignment="1" applyProtection="1">
      <alignment horizontal="left" vertical="center"/>
      <protection locked="0"/>
    </xf>
    <xf numFmtId="0" fontId="4" fillId="4" borderId="0" xfId="0" applyFont="1" applyFill="1" applyAlignment="1">
      <alignment horizontal="left" wrapText="1" indent="1"/>
    </xf>
    <xf numFmtId="0" fontId="4" fillId="13" borderId="35" xfId="0" applyFont="1" applyFill="1" applyBorder="1" applyAlignment="1">
      <alignment horizontal="left" wrapText="1"/>
    </xf>
    <xf numFmtId="3" fontId="4" fillId="13" borderId="38" xfId="0" applyNumberFormat="1" applyFont="1" applyFill="1" applyBorder="1" applyProtection="1">
      <protection locked="0"/>
    </xf>
    <xf numFmtId="3" fontId="4" fillId="13" borderId="29" xfId="0" applyNumberFormat="1" applyFont="1" applyFill="1" applyBorder="1" applyProtection="1">
      <protection locked="0"/>
    </xf>
    <xf numFmtId="3" fontId="4" fillId="13" borderId="39" xfId="0" applyNumberFormat="1" applyFont="1" applyFill="1" applyBorder="1" applyProtection="1">
      <protection locked="0"/>
    </xf>
    <xf numFmtId="0" fontId="0" fillId="0" borderId="40" xfId="0" applyBorder="1"/>
    <xf numFmtId="0" fontId="21" fillId="14" borderId="41" xfId="3" applyFont="1" applyFill="1" applyBorder="1" applyAlignment="1">
      <alignment vertical="center" wrapText="1"/>
    </xf>
    <xf numFmtId="0" fontId="25" fillId="14" borderId="42" xfId="1" applyNumberFormat="1" applyFont="1" applyFill="1" applyBorder="1" applyAlignment="1">
      <alignment horizontal="center" vertical="center" wrapText="1"/>
    </xf>
    <xf numFmtId="0" fontId="25" fillId="14" borderId="43" xfId="1" applyNumberFormat="1" applyFont="1" applyFill="1" applyBorder="1" applyAlignment="1">
      <alignment horizontal="center" vertical="center" wrapText="1"/>
    </xf>
    <xf numFmtId="0" fontId="15" fillId="16" borderId="0" xfId="0" applyFont="1" applyFill="1" applyAlignment="1">
      <alignment horizontal="left" wrapText="1"/>
    </xf>
    <xf numFmtId="0" fontId="11" fillId="0" borderId="0" xfId="0" applyFont="1" applyAlignment="1">
      <alignment wrapText="1"/>
    </xf>
    <xf numFmtId="0" fontId="7" fillId="16" borderId="0" xfId="2" applyNumberFormat="1" applyFill="1" applyBorder="1" applyAlignment="1" applyProtection="1">
      <alignment horizontal="left" wrapText="1"/>
    </xf>
    <xf numFmtId="0" fontId="4" fillId="5" borderId="1" xfId="0" applyFont="1" applyFill="1" applyBorder="1"/>
    <xf numFmtId="0" fontId="4" fillId="5" borderId="0" xfId="0" applyFont="1" applyFill="1"/>
    <xf numFmtId="0" fontId="9" fillId="5" borderId="0" xfId="0" applyFont="1" applyFill="1"/>
    <xf numFmtId="0" fontId="4" fillId="5" borderId="0" xfId="0" applyFont="1" applyFill="1" applyAlignment="1">
      <alignment horizontal="left" wrapText="1"/>
    </xf>
    <xf numFmtId="0" fontId="7" fillId="17" borderId="0" xfId="2" applyNumberFormat="1" applyFill="1" applyBorder="1" applyAlignment="1" applyProtection="1">
      <alignment horizontal="left" wrapText="1"/>
    </xf>
    <xf numFmtId="3" fontId="12" fillId="7" borderId="29" xfId="3" applyNumberFormat="1" applyFont="1" applyFill="1" applyBorder="1" applyProtection="1">
      <alignment vertical="center"/>
      <protection locked="0"/>
    </xf>
    <xf numFmtId="3" fontId="12" fillId="3" borderId="36" xfId="3" applyNumberFormat="1" applyFont="1" applyFill="1" applyBorder="1" applyProtection="1">
      <alignment vertical="center"/>
      <protection locked="0"/>
    </xf>
    <xf numFmtId="3" fontId="27" fillId="18" borderId="28" xfId="3" applyNumberFormat="1" applyFont="1" applyFill="1" applyBorder="1" applyProtection="1">
      <alignment vertical="center"/>
      <protection locked="0"/>
    </xf>
    <xf numFmtId="0" fontId="26" fillId="5" borderId="0" xfId="3" applyFont="1" applyFill="1" applyBorder="1" applyAlignment="1">
      <alignment horizontal="left" vertical="center" wrapText="1" indent="5"/>
    </xf>
    <xf numFmtId="164" fontId="4" fillId="0" borderId="3" xfId="0" applyNumberFormat="1" applyFont="1" applyBorder="1" applyProtection="1">
      <protection locked="0"/>
    </xf>
    <xf numFmtId="49" fontId="4" fillId="0" borderId="3" xfId="0" applyNumberFormat="1" applyFont="1" applyBorder="1" applyProtection="1">
      <protection locked="0"/>
    </xf>
    <xf numFmtId="0" fontId="0" fillId="20" borderId="11" xfId="0" applyFill="1" applyBorder="1"/>
    <xf numFmtId="0" fontId="24" fillId="20" borderId="12" xfId="0" applyFont="1" applyFill="1" applyBorder="1"/>
    <xf numFmtId="0" fontId="4" fillId="16" borderId="1" xfId="0" applyFont="1" applyFill="1" applyBorder="1"/>
    <xf numFmtId="0" fontId="4" fillId="16" borderId="0" xfId="0" applyFont="1" applyFill="1"/>
    <xf numFmtId="0" fontId="9" fillId="16" borderId="0" xfId="0" applyFont="1" applyFill="1"/>
    <xf numFmtId="0" fontId="4" fillId="16" borderId="0" xfId="0" applyFont="1" applyFill="1" applyAlignment="1">
      <alignment horizontal="left" wrapText="1"/>
    </xf>
    <xf numFmtId="0" fontId="19" fillId="6" borderId="22" xfId="0" applyFont="1" applyFill="1" applyBorder="1" applyAlignment="1" applyProtection="1">
      <alignment horizontal="center" vertical="center" wrapText="1"/>
      <protection locked="0"/>
    </xf>
    <xf numFmtId="0" fontId="19" fillId="6" borderId="23" xfId="0" applyFont="1" applyFill="1" applyBorder="1" applyAlignment="1" applyProtection="1">
      <alignment horizontal="center" vertical="center" wrapText="1"/>
      <protection locked="0"/>
    </xf>
    <xf numFmtId="0" fontId="19" fillId="6" borderId="24" xfId="0" applyFont="1" applyFill="1" applyBorder="1" applyAlignment="1" applyProtection="1">
      <alignment horizontal="center" vertical="center" wrapText="1"/>
      <protection locked="0"/>
    </xf>
    <xf numFmtId="0" fontId="29" fillId="19" borderId="22" xfId="0" applyFont="1" applyFill="1" applyBorder="1" applyAlignment="1" applyProtection="1">
      <alignment horizontal="center" vertical="center" wrapText="1"/>
      <protection locked="0"/>
    </xf>
    <xf numFmtId="0" fontId="29" fillId="19" borderId="23" xfId="0" applyFont="1" applyFill="1" applyBorder="1" applyAlignment="1" applyProtection="1">
      <alignment horizontal="center" vertical="center" wrapText="1"/>
      <protection locked="0"/>
    </xf>
    <xf numFmtId="0" fontId="29" fillId="19" borderId="24" xfId="0" applyFont="1" applyFill="1" applyBorder="1" applyAlignment="1" applyProtection="1">
      <alignment horizontal="center" vertical="center" wrapText="1"/>
      <protection locked="0"/>
    </xf>
  </cellXfs>
  <cellStyles count="4">
    <cellStyle name="60% - akcent 1" xfId="1" xr:uid="{00000000-0005-0000-0000-000000000000}"/>
    <cellStyle name="Hipervínculo" xfId="2" builtinId="8"/>
    <cellStyle name="Normal" xfId="0" builtinId="0"/>
    <cellStyle name="Normal 12" xfId="3" xr:uid="{00000000-0005-0000-0000-000003000000}"/>
  </cellStyles>
  <dxfs count="12">
    <dxf>
      <font>
        <color rgb="FFFF0000"/>
      </font>
      <fill>
        <patternFill>
          <bgColor rgb="FFFFFF00"/>
        </patternFill>
      </fill>
      <border>
        <left style="hair">
          <color rgb="FFFF0000"/>
        </left>
        <right style="hair">
          <color rgb="FFFF0000"/>
        </right>
        <top style="hair">
          <color rgb="FFFF0000"/>
        </top>
        <bottom style="hair">
          <color rgb="FFFF0000"/>
        </bottom>
        <vertical/>
        <horizontal/>
      </border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FF0000"/>
      </font>
      <fill>
        <patternFill>
          <bgColor rgb="FFFFFF00"/>
        </patternFill>
      </fill>
      <border>
        <left style="hair">
          <color rgb="FFFF0000"/>
        </left>
        <right style="hair">
          <color rgb="FFFF0000"/>
        </right>
        <top style="hair">
          <color rgb="FFFF0000"/>
        </top>
        <bottom style="hair">
          <color rgb="FFFF0000"/>
        </bottom>
        <vertical/>
        <horizontal/>
      </border>
    </dxf>
    <dxf>
      <font>
        <color rgb="FFFF0000"/>
      </font>
      <fill>
        <patternFill>
          <bgColor rgb="FFFFFF00"/>
        </patternFill>
      </fill>
      <border>
        <left style="hair">
          <color rgb="FFFF0000"/>
        </left>
        <right style="hair">
          <color rgb="FFFF0000"/>
        </right>
        <top style="hair">
          <color rgb="FFFF0000"/>
        </top>
        <bottom style="hair">
          <color rgb="FFFF0000"/>
        </bottom>
        <vertical/>
        <horizontal/>
      </border>
    </dxf>
  </dxfs>
  <tableStyles count="0" defaultTableStyle="TableStyleMedium9" defaultPivotStyle="PivotStyleLight16"/>
  <colors>
    <mruColors>
      <color rgb="FFF5FCA0"/>
      <color rgb="FFFF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9525</xdr:rowOff>
    </xdr:from>
    <xdr:to>
      <xdr:col>5</xdr:col>
      <xdr:colOff>1971675</xdr:colOff>
      <xdr:row>0</xdr:row>
      <xdr:rowOff>819150</xdr:rowOff>
    </xdr:to>
    <xdr:pic>
      <xdr:nvPicPr>
        <xdr:cNvPr id="2268" name="4 Imagen">
          <a:extLst>
            <a:ext uri="{FF2B5EF4-FFF2-40B4-BE49-F238E27FC236}">
              <a16:creationId xmlns:a16="http://schemas.microsoft.com/office/drawing/2014/main" id="{00000000-0008-0000-0000-0000DC08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9525"/>
          <a:ext cx="2876550" cy="8096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5</xdr:col>
      <xdr:colOff>2333625</xdr:colOff>
      <xdr:row>0</xdr:row>
      <xdr:rowOff>93133</xdr:rowOff>
    </xdr:from>
    <xdr:to>
      <xdr:col>5</xdr:col>
      <xdr:colOff>5945531</xdr:colOff>
      <xdr:row>1</xdr:row>
      <xdr:rowOff>19633</xdr:rowOff>
    </xdr:to>
    <xdr:sp macro="" textlink="">
      <xdr:nvSpPr>
        <xdr:cNvPr id="5" name="4 CuadroTexto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3238500" y="93133"/>
          <a:ext cx="3611906" cy="1260000"/>
        </a:xfrm>
        <a:prstGeom prst="rect">
          <a:avLst/>
        </a:prstGeom>
        <a:solidFill>
          <a:schemeClr val="bg1">
            <a:lumMod val="85000"/>
          </a:schemeClr>
        </a:solidFill>
        <a:ln/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/>
        <a:lstStyle/>
        <a:p>
          <a:pPr algn="ctr"/>
          <a:r>
            <a:rPr lang="es-CL" sz="1100" b="1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IMPORTANTE</a:t>
          </a:r>
          <a:r>
            <a:rPr lang="es-CL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: El presente documento esta protegido por el registro de </a:t>
          </a:r>
          <a:r>
            <a:rPr lang="es-CL" sz="1100" b="0" i="0" u="non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propiedad</a:t>
          </a:r>
          <a:r>
            <a:rPr lang="es-CL" sz="1100" b="0" i="0" u="none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s-CL" sz="1100" b="0" i="0" u="none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intelectual </a:t>
          </a:r>
          <a:r>
            <a:rPr lang="es-CL" sz="1100" b="0" i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 No. 132.246, del Departamento de Derechos Intelectuales de Chile.  Este documento no puede ser utilizado por personas no autorizadas ni distribuido sin autorización expresa y por escrito de DBNeT S.A.</a:t>
          </a:r>
          <a:endParaRPr lang="es-CL" sz="1100">
            <a:solidFill>
              <a:schemeClr val="tx1"/>
            </a:solidFill>
          </a:endParaRPr>
        </a:p>
      </xdr:txBody>
    </xdr:sp>
    <xdr:clientData/>
  </xdr:twoCellAnchor>
  <xdr:twoCellAnchor>
    <xdr:from>
      <xdr:col>1</xdr:col>
      <xdr:colOff>123825</xdr:colOff>
      <xdr:row>0</xdr:row>
      <xdr:rowOff>1009649</xdr:rowOff>
    </xdr:from>
    <xdr:to>
      <xdr:col>5</xdr:col>
      <xdr:colOff>479925</xdr:colOff>
      <xdr:row>1</xdr:row>
      <xdr:rowOff>108149</xdr:rowOff>
    </xdr:to>
    <xdr:sp macro="[0]!Guarda_Hojas_CSV" textlink="">
      <xdr:nvSpPr>
        <xdr:cNvPr id="6" name="5 Rectángulo redondeado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304800" y="1009649"/>
          <a:ext cx="1080000" cy="432000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s-ES" sz="11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Crear CSV</a:t>
          </a:r>
        </a:p>
      </xdr:txBody>
    </xdr:sp>
    <xdr:clientData/>
  </xdr:twoCellAnchor>
  <xdr:twoCellAnchor>
    <xdr:from>
      <xdr:col>5</xdr:col>
      <xdr:colOff>647700</xdr:colOff>
      <xdr:row>0</xdr:row>
      <xdr:rowOff>1009649</xdr:rowOff>
    </xdr:from>
    <xdr:to>
      <xdr:col>5</xdr:col>
      <xdr:colOff>1727700</xdr:colOff>
      <xdr:row>1</xdr:row>
      <xdr:rowOff>108149</xdr:rowOff>
    </xdr:to>
    <xdr:sp macro="[0]!Guarda_Hojas_ZIP" textlink="">
      <xdr:nvSpPr>
        <xdr:cNvPr id="7" name="6 Rectángulo redondeado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1552575" y="1009649"/>
          <a:ext cx="1080000" cy="4320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s-ES" sz="90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Crear/Comprimir</a:t>
          </a:r>
          <a:r>
            <a:rPr lang="es-ES" sz="900" baseline="0">
              <a:solidFill>
                <a:schemeClr val="lt1">
                  <a:lumMod val="100000"/>
                </a:schemeClr>
              </a:solidFill>
              <a:latin typeface="+mn-lt"/>
              <a:ea typeface="+mn-ea"/>
              <a:cs typeface="+mn-cs"/>
            </a:rPr>
            <a:t> CSV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22488</xdr:colOff>
      <xdr:row>0</xdr:row>
      <xdr:rowOff>67469</xdr:rowOff>
    </xdr:from>
    <xdr:to>
      <xdr:col>5</xdr:col>
      <xdr:colOff>90221</xdr:colOff>
      <xdr:row>0</xdr:row>
      <xdr:rowOff>444500</xdr:rowOff>
    </xdr:to>
    <xdr:sp macro="[0]!Guarda_Hojas_CSV" textlink="">
      <xdr:nvSpPr>
        <xdr:cNvPr id="2" name="1 Rectángulo redondeado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65363" y="67469"/>
          <a:ext cx="1020233" cy="377031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ES" sz="1100"/>
            <a:t>Crear CSV</a:t>
          </a:r>
        </a:p>
      </xdr:txBody>
    </xdr:sp>
    <xdr:clientData/>
  </xdr:twoCellAnchor>
  <xdr:twoCellAnchor>
    <xdr:from>
      <xdr:col>5</xdr:col>
      <xdr:colOff>179917</xdr:colOff>
      <xdr:row>0</xdr:row>
      <xdr:rowOff>74083</xdr:rowOff>
    </xdr:from>
    <xdr:to>
      <xdr:col>5</xdr:col>
      <xdr:colOff>1200150</xdr:colOff>
      <xdr:row>0</xdr:row>
      <xdr:rowOff>435239</xdr:rowOff>
    </xdr:to>
    <xdr:sp macro="[0]!Guarda_Hojas_ZIP" textlink="">
      <xdr:nvSpPr>
        <xdr:cNvPr id="3" name="2 Rectángulo redondeado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275292" y="74083"/>
          <a:ext cx="1020233" cy="361156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ES" sz="1100"/>
            <a:t>Crear/Comprimir CSV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22488</xdr:colOff>
      <xdr:row>0</xdr:row>
      <xdr:rowOff>67469</xdr:rowOff>
    </xdr:from>
    <xdr:to>
      <xdr:col>5</xdr:col>
      <xdr:colOff>90221</xdr:colOff>
      <xdr:row>0</xdr:row>
      <xdr:rowOff>444500</xdr:rowOff>
    </xdr:to>
    <xdr:sp macro="[0]!Guarda_Hojas_CSV" textlink="">
      <xdr:nvSpPr>
        <xdr:cNvPr id="2" name="1 Rectángulo redondeado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165363" y="67469"/>
          <a:ext cx="1105958" cy="377031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ES" sz="1100"/>
            <a:t>Crear CSV</a:t>
          </a:r>
        </a:p>
      </xdr:txBody>
    </xdr:sp>
    <xdr:clientData/>
  </xdr:twoCellAnchor>
  <xdr:twoCellAnchor>
    <xdr:from>
      <xdr:col>5</xdr:col>
      <xdr:colOff>179917</xdr:colOff>
      <xdr:row>0</xdr:row>
      <xdr:rowOff>74083</xdr:rowOff>
    </xdr:from>
    <xdr:to>
      <xdr:col>5</xdr:col>
      <xdr:colOff>1200150</xdr:colOff>
      <xdr:row>0</xdr:row>
      <xdr:rowOff>435239</xdr:rowOff>
    </xdr:to>
    <xdr:sp macro="[0]!Guarda_Hojas_ZIP" textlink="">
      <xdr:nvSpPr>
        <xdr:cNvPr id="3" name="2 Rectángulo redondeado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1361017" y="74083"/>
          <a:ext cx="1020233" cy="361156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ES" sz="1100"/>
            <a:t>Crear/Comprimir CSV</a:t>
          </a:r>
        </a:p>
      </xdr:txBody>
    </xdr:sp>
    <xdr:clientData/>
  </xdr:twoCellAnchor>
  <xdr:twoCellAnchor>
    <xdr:from>
      <xdr:col>7</xdr:col>
      <xdr:colOff>563796</xdr:colOff>
      <xdr:row>1</xdr:row>
      <xdr:rowOff>917483</xdr:rowOff>
    </xdr:from>
    <xdr:to>
      <xdr:col>7</xdr:col>
      <xdr:colOff>911179</xdr:colOff>
      <xdr:row>1</xdr:row>
      <xdr:rowOff>1836365</xdr:rowOff>
    </xdr:to>
    <xdr:sp macro="" textlink="">
      <xdr:nvSpPr>
        <xdr:cNvPr id="4" name="6 Flecha abajo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9338702" y="1679483"/>
          <a:ext cx="347383" cy="918882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CL"/>
        </a:p>
      </xdr:txBody>
    </xdr:sp>
    <xdr:clientData/>
  </xdr:twoCellAnchor>
  <xdr:twoCellAnchor>
    <xdr:from>
      <xdr:col>7</xdr:col>
      <xdr:colOff>59531</xdr:colOff>
      <xdr:row>1</xdr:row>
      <xdr:rowOff>166688</xdr:rowOff>
    </xdr:from>
    <xdr:to>
      <xdr:col>7</xdr:col>
      <xdr:colOff>1145381</xdr:colOff>
      <xdr:row>1</xdr:row>
      <xdr:rowOff>839041</xdr:rowOff>
    </xdr:to>
    <xdr:sp macro="" textlink="">
      <xdr:nvSpPr>
        <xdr:cNvPr id="5" name="7 Rectángulo redondeado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8834437" y="928688"/>
          <a:ext cx="1085850" cy="672353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CL" sz="1100"/>
            <a:t>Ubique</a:t>
          </a:r>
          <a:r>
            <a:rPr lang="es-CL" sz="1100" baseline="0"/>
            <a:t> el cursor en esta celda y presione "Copiar Columna"</a:t>
          </a:r>
          <a:endParaRPr lang="es-CL" sz="1100"/>
        </a:p>
      </xdr:txBody>
    </xdr:sp>
    <xdr:clientData/>
  </xdr:twoCellAnchor>
  <xdr:twoCellAnchor editAs="absolute">
    <xdr:from>
      <xdr:col>5</xdr:col>
      <xdr:colOff>4953000</xdr:colOff>
      <xdr:row>0</xdr:row>
      <xdr:rowOff>71438</xdr:rowOff>
    </xdr:from>
    <xdr:to>
      <xdr:col>5</xdr:col>
      <xdr:colOff>6205537</xdr:colOff>
      <xdr:row>0</xdr:row>
      <xdr:rowOff>464344</xdr:rowOff>
    </xdr:to>
    <xdr:sp macro="[0]!Copiar_columna" textlink="">
      <xdr:nvSpPr>
        <xdr:cNvPr id="6" name="2 Rectángulo redondeado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>
          <a:spLocks/>
        </xdr:cNvSpPr>
      </xdr:nvSpPr>
      <xdr:spPr>
        <a:xfrm>
          <a:off x="6131719" y="71438"/>
          <a:ext cx="1252537" cy="392906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ES" sz="1100"/>
            <a:t>Copiar Columna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22488</xdr:colOff>
      <xdr:row>0</xdr:row>
      <xdr:rowOff>67469</xdr:rowOff>
    </xdr:from>
    <xdr:to>
      <xdr:col>5</xdr:col>
      <xdr:colOff>90221</xdr:colOff>
      <xdr:row>0</xdr:row>
      <xdr:rowOff>444500</xdr:rowOff>
    </xdr:to>
    <xdr:sp macro="[0]!Guarda_Hojas_CSV" textlink="">
      <xdr:nvSpPr>
        <xdr:cNvPr id="2" name="1 Rectángulo redondeado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65363" y="67469"/>
          <a:ext cx="1020233" cy="377031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ES" sz="1100"/>
            <a:t>Crear CSV</a:t>
          </a:r>
        </a:p>
      </xdr:txBody>
    </xdr:sp>
    <xdr:clientData/>
  </xdr:twoCellAnchor>
  <xdr:twoCellAnchor>
    <xdr:from>
      <xdr:col>5</xdr:col>
      <xdr:colOff>179917</xdr:colOff>
      <xdr:row>0</xdr:row>
      <xdr:rowOff>74083</xdr:rowOff>
    </xdr:from>
    <xdr:to>
      <xdr:col>5</xdr:col>
      <xdr:colOff>1200150</xdr:colOff>
      <xdr:row>0</xdr:row>
      <xdr:rowOff>435239</xdr:rowOff>
    </xdr:to>
    <xdr:sp macro="[0]!Guarda_Hojas_ZIP" textlink="">
      <xdr:nvSpPr>
        <xdr:cNvPr id="3" name="2 Rectángulo redondeado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275292" y="74083"/>
          <a:ext cx="1020233" cy="361156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ES" sz="1100"/>
            <a:t>Crear/Comprimir CSV</a:t>
          </a:r>
        </a:p>
      </xdr:txBody>
    </xdr:sp>
    <xdr:clientData/>
  </xdr:twoCellAnchor>
  <xdr:twoCellAnchor>
    <xdr:from>
      <xdr:col>1</xdr:col>
      <xdr:colOff>22488</xdr:colOff>
      <xdr:row>0</xdr:row>
      <xdr:rowOff>67469</xdr:rowOff>
    </xdr:from>
    <xdr:to>
      <xdr:col>5</xdr:col>
      <xdr:colOff>90221</xdr:colOff>
      <xdr:row>0</xdr:row>
      <xdr:rowOff>444500</xdr:rowOff>
    </xdr:to>
    <xdr:sp macro="[0]!Guarda_Hojas_CSV" textlink="">
      <xdr:nvSpPr>
        <xdr:cNvPr id="4" name="3 Rectángulo redondeado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165363" y="67469"/>
          <a:ext cx="1105958" cy="377031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ES" sz="1100"/>
            <a:t>Crear CSV</a:t>
          </a:r>
        </a:p>
      </xdr:txBody>
    </xdr:sp>
    <xdr:clientData/>
  </xdr:twoCellAnchor>
  <xdr:twoCellAnchor>
    <xdr:from>
      <xdr:col>5</xdr:col>
      <xdr:colOff>179917</xdr:colOff>
      <xdr:row>0</xdr:row>
      <xdr:rowOff>74083</xdr:rowOff>
    </xdr:from>
    <xdr:to>
      <xdr:col>5</xdr:col>
      <xdr:colOff>1200150</xdr:colOff>
      <xdr:row>0</xdr:row>
      <xdr:rowOff>435239</xdr:rowOff>
    </xdr:to>
    <xdr:sp macro="[0]!Guarda_Hojas_ZIP" textlink="">
      <xdr:nvSpPr>
        <xdr:cNvPr id="5" name="4 Rectángulo redondeado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1361017" y="74083"/>
          <a:ext cx="1020233" cy="361156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ES" sz="1100"/>
            <a:t>Crear/Comprimir CSV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22488</xdr:colOff>
      <xdr:row>0</xdr:row>
      <xdr:rowOff>67469</xdr:rowOff>
    </xdr:from>
    <xdr:to>
      <xdr:col>5</xdr:col>
      <xdr:colOff>90221</xdr:colOff>
      <xdr:row>0</xdr:row>
      <xdr:rowOff>444500</xdr:rowOff>
    </xdr:to>
    <xdr:sp macro="[0]!Guarda_Hojas_CSV" textlink="">
      <xdr:nvSpPr>
        <xdr:cNvPr id="2" name="1 Rectángulo redondeado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165363" y="67469"/>
          <a:ext cx="1105958" cy="377031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ES" sz="1100"/>
            <a:t>Crear CSV</a:t>
          </a:r>
        </a:p>
      </xdr:txBody>
    </xdr:sp>
    <xdr:clientData/>
  </xdr:twoCellAnchor>
  <xdr:twoCellAnchor>
    <xdr:from>
      <xdr:col>5</xdr:col>
      <xdr:colOff>179917</xdr:colOff>
      <xdr:row>0</xdr:row>
      <xdr:rowOff>74083</xdr:rowOff>
    </xdr:from>
    <xdr:to>
      <xdr:col>5</xdr:col>
      <xdr:colOff>1200150</xdr:colOff>
      <xdr:row>0</xdr:row>
      <xdr:rowOff>435239</xdr:rowOff>
    </xdr:to>
    <xdr:sp macro="[0]!Guarda_Hojas_ZIP" textlink="">
      <xdr:nvSpPr>
        <xdr:cNvPr id="3" name="2 Rectángulo redondeado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1361017" y="74083"/>
          <a:ext cx="1020233" cy="361156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ES" sz="1100"/>
            <a:t>Crear/Comprimir CSV</a:t>
          </a:r>
        </a:p>
      </xdr:txBody>
    </xdr:sp>
    <xdr:clientData/>
  </xdr:twoCellAnchor>
  <xdr:twoCellAnchor>
    <xdr:from>
      <xdr:col>7</xdr:col>
      <xdr:colOff>563796</xdr:colOff>
      <xdr:row>1</xdr:row>
      <xdr:rowOff>917483</xdr:rowOff>
    </xdr:from>
    <xdr:to>
      <xdr:col>7</xdr:col>
      <xdr:colOff>911179</xdr:colOff>
      <xdr:row>1</xdr:row>
      <xdr:rowOff>1836365</xdr:rowOff>
    </xdr:to>
    <xdr:sp macro="" textlink="">
      <xdr:nvSpPr>
        <xdr:cNvPr id="4" name="6 Flecha abajo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9338702" y="1679483"/>
          <a:ext cx="347383" cy="918882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es-CL"/>
        </a:p>
      </xdr:txBody>
    </xdr:sp>
    <xdr:clientData/>
  </xdr:twoCellAnchor>
  <xdr:twoCellAnchor>
    <xdr:from>
      <xdr:col>7</xdr:col>
      <xdr:colOff>59531</xdr:colOff>
      <xdr:row>1</xdr:row>
      <xdr:rowOff>166688</xdr:rowOff>
    </xdr:from>
    <xdr:to>
      <xdr:col>7</xdr:col>
      <xdr:colOff>1145381</xdr:colOff>
      <xdr:row>1</xdr:row>
      <xdr:rowOff>839041</xdr:rowOff>
    </xdr:to>
    <xdr:sp macro="" textlink="">
      <xdr:nvSpPr>
        <xdr:cNvPr id="5" name="7 Rectángulo redondeado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8834437" y="928688"/>
          <a:ext cx="1085850" cy="672353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CL" sz="1100"/>
            <a:t>Ubique</a:t>
          </a:r>
          <a:r>
            <a:rPr lang="es-CL" sz="1100" baseline="0"/>
            <a:t> el cursor en esta celda y presione "Copiar Columna"</a:t>
          </a:r>
          <a:endParaRPr lang="es-CL" sz="1100"/>
        </a:p>
      </xdr:txBody>
    </xdr:sp>
    <xdr:clientData/>
  </xdr:twoCellAnchor>
  <xdr:twoCellAnchor editAs="absolute">
    <xdr:from>
      <xdr:col>5</xdr:col>
      <xdr:colOff>4953000</xdr:colOff>
      <xdr:row>0</xdr:row>
      <xdr:rowOff>71438</xdr:rowOff>
    </xdr:from>
    <xdr:to>
      <xdr:col>5</xdr:col>
      <xdr:colOff>6205537</xdr:colOff>
      <xdr:row>0</xdr:row>
      <xdr:rowOff>464344</xdr:rowOff>
    </xdr:to>
    <xdr:sp macro="[0]!Copiar_columna" textlink="">
      <xdr:nvSpPr>
        <xdr:cNvPr id="6" name="2 Rectángulo redondeado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>
          <a:spLocks/>
        </xdr:cNvSpPr>
      </xdr:nvSpPr>
      <xdr:spPr>
        <a:xfrm>
          <a:off x="6131719" y="71438"/>
          <a:ext cx="1252537" cy="392906"/>
        </a:xfrm>
        <a:prstGeom prst="round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s-ES" sz="1100"/>
            <a:t>Copiar Columna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L83"/>
  <sheetViews>
    <sheetView topLeftCell="A63" zoomScale="80" zoomScaleNormal="80" workbookViewId="0">
      <selection activeCell="F73" sqref="F73:F76"/>
    </sheetView>
  </sheetViews>
  <sheetFormatPr baseColWidth="10" defaultRowHeight="15"/>
  <cols>
    <col min="1" max="1" width="2.7109375" style="1" customWidth="1"/>
    <col min="2" max="3" width="2.7109375" style="2" customWidth="1"/>
    <col min="4" max="5" width="2.7109375" style="1" customWidth="1"/>
    <col min="6" max="6" width="114.28515625" style="1" customWidth="1"/>
    <col min="7" max="7" width="2" style="3" bestFit="1" customWidth="1"/>
    <col min="8" max="11" width="16.7109375" style="1" customWidth="1"/>
    <col min="12" max="12" width="2.28515625" style="1" customWidth="1"/>
    <col min="13" max="16384" width="11.42578125" style="1"/>
  </cols>
  <sheetData>
    <row r="1" spans="1:12" ht="105" customHeight="1">
      <c r="A1" s="1" t="s">
        <v>0</v>
      </c>
      <c r="B1" s="2" t="s">
        <v>0</v>
      </c>
      <c r="C1" s="2" t="s">
        <v>0</v>
      </c>
      <c r="D1" s="1" t="s">
        <v>0</v>
      </c>
      <c r="E1" s="1" t="s">
        <v>0</v>
      </c>
      <c r="G1" s="8"/>
      <c r="H1" s="8"/>
    </row>
    <row r="2" spans="1:12">
      <c r="A2" s="1" t="s">
        <v>0</v>
      </c>
      <c r="G2" s="127" t="s">
        <v>0</v>
      </c>
      <c r="H2" s="128" t="s">
        <v>213</v>
      </c>
    </row>
    <row r="3" spans="1:12">
      <c r="A3" s="1" t="s">
        <v>0</v>
      </c>
      <c r="B3" s="9"/>
      <c r="C3" s="10"/>
      <c r="D3" s="11"/>
      <c r="E3" s="11"/>
      <c r="F3" s="12"/>
      <c r="G3" s="6"/>
      <c r="H3" s="6"/>
      <c r="I3" s="5"/>
      <c r="J3" s="5"/>
      <c r="K3" s="5"/>
      <c r="L3" s="13"/>
    </row>
    <row r="4" spans="1:12">
      <c r="A4" s="1" t="s">
        <v>0</v>
      </c>
      <c r="B4" s="14"/>
      <c r="C4" s="15"/>
      <c r="D4" s="16"/>
      <c r="E4" s="16"/>
      <c r="F4" s="7"/>
      <c r="G4" s="6"/>
      <c r="H4" s="6"/>
      <c r="I4" s="6"/>
      <c r="J4" s="6"/>
      <c r="K4" s="6"/>
      <c r="L4" s="17"/>
    </row>
    <row r="5" spans="1:12" ht="24">
      <c r="A5" s="1" t="s">
        <v>0</v>
      </c>
      <c r="B5" s="14"/>
      <c r="C5" s="15"/>
      <c r="D5" s="16" t="s">
        <v>0</v>
      </c>
      <c r="E5" s="16" t="s">
        <v>0</v>
      </c>
      <c r="F5" s="7" t="s">
        <v>38</v>
      </c>
      <c r="G5" s="6"/>
      <c r="H5" s="6"/>
      <c r="I5" s="6"/>
      <c r="J5" s="6"/>
      <c r="K5" s="6"/>
      <c r="L5" s="17"/>
    </row>
    <row r="6" spans="1:12" ht="15" customHeight="1">
      <c r="B6" s="14" t="s">
        <v>206</v>
      </c>
      <c r="C6" s="15" t="s">
        <v>85</v>
      </c>
      <c r="D6" s="16" t="s">
        <v>0</v>
      </c>
      <c r="E6" s="16" t="s">
        <v>0</v>
      </c>
      <c r="F6" s="37" t="s">
        <v>218</v>
      </c>
      <c r="G6" s="6"/>
      <c r="H6" s="6"/>
      <c r="I6" s="6"/>
      <c r="J6" s="6"/>
      <c r="K6" s="6"/>
      <c r="L6" s="17"/>
    </row>
    <row r="7" spans="1:12" ht="24">
      <c r="B7" s="14"/>
      <c r="C7" s="15"/>
      <c r="D7" s="16"/>
      <c r="E7" s="16"/>
      <c r="F7" s="7"/>
      <c r="G7" s="6"/>
      <c r="H7" s="35" t="s">
        <v>75</v>
      </c>
      <c r="I7" s="35" t="s">
        <v>76</v>
      </c>
      <c r="J7" s="35" t="s">
        <v>77</v>
      </c>
      <c r="K7" s="35" t="s">
        <v>78</v>
      </c>
      <c r="L7" s="17"/>
    </row>
    <row r="8" spans="1:12" ht="15" customHeight="1">
      <c r="B8" s="14" t="s">
        <v>206</v>
      </c>
      <c r="C8" s="15" t="s">
        <v>86</v>
      </c>
      <c r="D8" s="16" t="s">
        <v>0</v>
      </c>
      <c r="E8" s="16" t="s">
        <v>0</v>
      </c>
      <c r="F8" s="7" t="s">
        <v>22</v>
      </c>
      <c r="G8" s="6"/>
      <c r="H8" s="36">
        <v>1000</v>
      </c>
      <c r="I8" s="36">
        <v>3000</v>
      </c>
      <c r="J8" s="36"/>
      <c r="K8" s="36"/>
      <c r="L8" s="17"/>
    </row>
    <row r="9" spans="1:12" ht="19.5" customHeight="1">
      <c r="A9" s="1" t="s">
        <v>0</v>
      </c>
      <c r="B9" s="14" t="s">
        <v>206</v>
      </c>
      <c r="C9" s="15" t="s">
        <v>87</v>
      </c>
      <c r="D9" s="16" t="s">
        <v>0</v>
      </c>
      <c r="E9" s="16" t="s">
        <v>0</v>
      </c>
      <c r="F9" s="7" t="s">
        <v>23</v>
      </c>
      <c r="G9" s="6"/>
      <c r="H9" s="36">
        <v>2000</v>
      </c>
      <c r="I9" s="36">
        <v>4000</v>
      </c>
      <c r="J9" s="36"/>
      <c r="K9" s="36"/>
      <c r="L9" s="17"/>
    </row>
    <row r="10" spans="1:12" ht="19.5" customHeight="1">
      <c r="B10" s="14"/>
      <c r="C10" s="15"/>
      <c r="D10" s="16"/>
      <c r="E10" s="16"/>
      <c r="F10" s="7"/>
      <c r="G10" s="6"/>
      <c r="H10" s="6"/>
      <c r="I10" s="6"/>
      <c r="J10" s="6"/>
      <c r="K10" s="6"/>
      <c r="L10" s="17"/>
    </row>
    <row r="11" spans="1:12" ht="19.5" customHeight="1">
      <c r="B11" s="14"/>
      <c r="C11" s="15"/>
      <c r="D11" s="16"/>
      <c r="E11" s="16"/>
      <c r="F11" s="7" t="s">
        <v>147</v>
      </c>
      <c r="G11" s="6"/>
      <c r="H11" s="6"/>
      <c r="I11" s="6"/>
      <c r="J11" s="6"/>
      <c r="K11" s="6"/>
      <c r="L11" s="17"/>
    </row>
    <row r="12" spans="1:12" ht="19.5" customHeight="1">
      <c r="B12" s="14" t="s">
        <v>206</v>
      </c>
      <c r="C12" s="15" t="s">
        <v>148</v>
      </c>
      <c r="D12" s="16" t="s">
        <v>0</v>
      </c>
      <c r="E12" s="16"/>
      <c r="F12" s="37" t="s">
        <v>219</v>
      </c>
      <c r="G12" s="6"/>
      <c r="H12" s="6"/>
      <c r="I12" s="6"/>
      <c r="J12" s="6"/>
      <c r="K12" s="6"/>
      <c r="L12" s="17"/>
    </row>
    <row r="13" spans="1:12" ht="19.5" customHeight="1">
      <c r="B13" s="14"/>
      <c r="C13" s="15"/>
      <c r="D13" s="16"/>
      <c r="E13" s="16"/>
      <c r="F13" s="7"/>
      <c r="G13" s="6"/>
      <c r="H13" s="6"/>
      <c r="I13" s="6"/>
      <c r="J13" s="6"/>
      <c r="K13" s="6"/>
      <c r="L13" s="17"/>
    </row>
    <row r="14" spans="1:12" ht="19.5" customHeight="1">
      <c r="B14" s="14"/>
      <c r="C14" s="15"/>
      <c r="D14" s="16"/>
      <c r="E14" s="16"/>
      <c r="F14" s="68" t="s">
        <v>46</v>
      </c>
      <c r="G14" s="6"/>
      <c r="H14" s="6"/>
      <c r="I14" s="6"/>
      <c r="J14" s="6"/>
      <c r="K14" s="6"/>
      <c r="L14" s="17"/>
    </row>
    <row r="15" spans="1:12" ht="19.5" customHeight="1">
      <c r="B15" s="14"/>
      <c r="C15" s="15"/>
      <c r="D15" s="16"/>
      <c r="E15" s="16"/>
      <c r="F15" s="7"/>
      <c r="G15" s="6"/>
      <c r="H15" s="6"/>
      <c r="I15" s="6"/>
      <c r="J15" s="6"/>
      <c r="K15" s="6"/>
      <c r="L15" s="17"/>
    </row>
    <row r="16" spans="1:12">
      <c r="B16" s="14"/>
      <c r="C16" s="15"/>
      <c r="D16" s="16" t="s">
        <v>0</v>
      </c>
      <c r="E16" s="16" t="s">
        <v>0</v>
      </c>
      <c r="F16" s="7" t="s">
        <v>203</v>
      </c>
      <c r="G16" s="6"/>
      <c r="H16" s="6"/>
      <c r="I16" s="6"/>
      <c r="J16" s="6"/>
      <c r="K16" s="6"/>
      <c r="L16" s="17"/>
    </row>
    <row r="17" spans="2:12">
      <c r="B17" s="14" t="s">
        <v>206</v>
      </c>
      <c r="C17" s="15" t="s">
        <v>202</v>
      </c>
      <c r="D17" s="16" t="s">
        <v>0</v>
      </c>
      <c r="E17" s="16" t="s">
        <v>0</v>
      </c>
      <c r="F17" s="37" t="s">
        <v>220</v>
      </c>
      <c r="G17" s="6"/>
      <c r="H17" s="6"/>
      <c r="I17" s="6"/>
      <c r="J17" s="6"/>
      <c r="K17" s="6"/>
      <c r="L17" s="17"/>
    </row>
    <row r="18" spans="2:12" ht="15" customHeight="1">
      <c r="B18" s="14" t="s">
        <v>0</v>
      </c>
      <c r="C18" s="15" t="s">
        <v>0</v>
      </c>
      <c r="D18" s="16" t="s">
        <v>0</v>
      </c>
      <c r="E18" s="16" t="s">
        <v>0</v>
      </c>
      <c r="F18" s="7"/>
      <c r="G18" s="6"/>
      <c r="H18" s="6"/>
      <c r="I18" s="6"/>
      <c r="J18" s="6"/>
      <c r="K18" s="6"/>
      <c r="L18" s="17"/>
    </row>
    <row r="19" spans="2:12" ht="15" customHeight="1">
      <c r="B19" s="14"/>
      <c r="C19" s="15"/>
      <c r="D19" s="16"/>
      <c r="E19" s="16"/>
      <c r="F19" s="120" t="s">
        <v>201</v>
      </c>
      <c r="G19" s="6"/>
      <c r="H19" s="6"/>
      <c r="I19" s="6"/>
      <c r="J19" s="6"/>
      <c r="K19" s="6"/>
      <c r="L19" s="17"/>
    </row>
    <row r="20" spans="2:12">
      <c r="B20" s="14" t="s">
        <v>0</v>
      </c>
      <c r="C20" s="15" t="s">
        <v>0</v>
      </c>
      <c r="D20" s="16" t="s">
        <v>0</v>
      </c>
      <c r="E20" s="16" t="s">
        <v>0</v>
      </c>
      <c r="F20" s="7"/>
      <c r="G20" s="6"/>
      <c r="H20" s="6"/>
      <c r="I20" s="6"/>
      <c r="J20" s="6"/>
      <c r="K20" s="6"/>
      <c r="L20" s="17"/>
    </row>
    <row r="21" spans="2:12" ht="24">
      <c r="B21" s="14"/>
      <c r="C21" s="15"/>
      <c r="D21" s="16" t="s">
        <v>0</v>
      </c>
      <c r="E21" s="16" t="s">
        <v>0</v>
      </c>
      <c r="F21" s="7" t="s">
        <v>24</v>
      </c>
      <c r="G21" s="6"/>
      <c r="H21" s="6"/>
      <c r="I21" s="6"/>
      <c r="J21" s="6"/>
      <c r="K21" s="6"/>
      <c r="L21" s="17"/>
    </row>
    <row r="22" spans="2:12">
      <c r="B22" s="14" t="s">
        <v>206</v>
      </c>
      <c r="C22" s="15" t="s">
        <v>88</v>
      </c>
      <c r="D22" s="16" t="s">
        <v>0</v>
      </c>
      <c r="E22" s="16" t="s">
        <v>0</v>
      </c>
      <c r="F22" s="37" t="s">
        <v>221</v>
      </c>
      <c r="G22" s="6"/>
      <c r="H22" s="6"/>
      <c r="I22" s="6"/>
      <c r="J22" s="6"/>
      <c r="K22" s="6"/>
      <c r="L22" s="17"/>
    </row>
    <row r="23" spans="2:12" ht="24">
      <c r="B23" s="14"/>
      <c r="C23" s="15"/>
      <c r="D23" s="16" t="s">
        <v>0</v>
      </c>
      <c r="E23" s="16" t="s">
        <v>0</v>
      </c>
      <c r="F23" s="7"/>
      <c r="G23" s="6"/>
      <c r="H23" s="35" t="s">
        <v>79</v>
      </c>
      <c r="I23" s="35" t="s">
        <v>80</v>
      </c>
      <c r="J23" s="6"/>
      <c r="K23" s="6"/>
      <c r="L23" s="17"/>
    </row>
    <row r="24" spans="2:12">
      <c r="B24" s="14" t="s">
        <v>206</v>
      </c>
      <c r="C24" s="15" t="s">
        <v>89</v>
      </c>
      <c r="D24" s="16" t="s">
        <v>0</v>
      </c>
      <c r="E24" s="16" t="s">
        <v>0</v>
      </c>
      <c r="F24" s="7" t="s">
        <v>25</v>
      </c>
      <c r="G24" s="6"/>
      <c r="H24" s="36">
        <v>5000</v>
      </c>
      <c r="I24" s="36">
        <v>8000</v>
      </c>
      <c r="J24" s="6"/>
      <c r="K24" s="6"/>
      <c r="L24" s="17"/>
    </row>
    <row r="25" spans="2:12">
      <c r="B25" s="14" t="s">
        <v>206</v>
      </c>
      <c r="C25" s="15" t="s">
        <v>90</v>
      </c>
      <c r="D25" s="16" t="s">
        <v>0</v>
      </c>
      <c r="E25" s="16" t="s">
        <v>0</v>
      </c>
      <c r="F25" s="7" t="s">
        <v>26</v>
      </c>
      <c r="G25" s="7"/>
      <c r="H25" s="36">
        <v>6000</v>
      </c>
      <c r="I25" s="36">
        <v>9000</v>
      </c>
      <c r="J25" s="6"/>
      <c r="K25" s="6"/>
      <c r="L25" s="17"/>
    </row>
    <row r="26" spans="2:12" ht="15" customHeight="1">
      <c r="B26" s="14" t="s">
        <v>206</v>
      </c>
      <c r="C26" s="15" t="s">
        <v>91</v>
      </c>
      <c r="D26" s="16" t="s">
        <v>0</v>
      </c>
      <c r="E26" s="16" t="s">
        <v>0</v>
      </c>
      <c r="F26" s="7" t="s">
        <v>27</v>
      </c>
      <c r="G26" s="6"/>
      <c r="H26" s="36">
        <v>7000</v>
      </c>
      <c r="I26" s="36">
        <v>6000</v>
      </c>
      <c r="J26" s="6"/>
      <c r="K26" s="6"/>
      <c r="L26" s="17"/>
    </row>
    <row r="27" spans="2:12">
      <c r="B27" s="14" t="s">
        <v>0</v>
      </c>
      <c r="C27" s="15" t="s">
        <v>0</v>
      </c>
      <c r="D27" s="16" t="s">
        <v>0</v>
      </c>
      <c r="E27" s="16" t="s">
        <v>0</v>
      </c>
      <c r="F27" s="7"/>
      <c r="G27" s="6"/>
      <c r="H27" s="6"/>
      <c r="I27" s="6"/>
      <c r="J27" s="6"/>
      <c r="K27" s="6"/>
      <c r="L27" s="17"/>
    </row>
    <row r="28" spans="2:12">
      <c r="B28" s="14"/>
      <c r="C28" s="15"/>
      <c r="D28" s="16" t="s">
        <v>0</v>
      </c>
      <c r="E28" s="16" t="s">
        <v>0</v>
      </c>
      <c r="F28" s="7" t="s">
        <v>28</v>
      </c>
      <c r="G28" s="6"/>
      <c r="H28" s="6"/>
      <c r="I28" s="6"/>
      <c r="J28" s="6"/>
      <c r="K28" s="6"/>
      <c r="L28" s="17"/>
    </row>
    <row r="29" spans="2:12">
      <c r="B29" s="14" t="s">
        <v>206</v>
      </c>
      <c r="C29" s="15" t="s">
        <v>92</v>
      </c>
      <c r="D29" s="16" t="s">
        <v>0</v>
      </c>
      <c r="E29" s="16" t="s">
        <v>0</v>
      </c>
      <c r="F29" s="37" t="s">
        <v>222</v>
      </c>
      <c r="G29" s="6"/>
      <c r="H29" s="6"/>
      <c r="I29" s="6"/>
      <c r="J29" s="6"/>
      <c r="K29" s="6"/>
      <c r="L29" s="17"/>
    </row>
    <row r="30" spans="2:12">
      <c r="B30" s="14" t="s">
        <v>0</v>
      </c>
      <c r="C30" s="15" t="s">
        <v>0</v>
      </c>
      <c r="D30" s="16" t="s">
        <v>0</v>
      </c>
      <c r="E30" s="16" t="s">
        <v>0</v>
      </c>
      <c r="F30" s="7"/>
      <c r="G30" s="6"/>
      <c r="H30" s="6"/>
      <c r="I30" s="6"/>
      <c r="J30" s="6"/>
      <c r="K30" s="6"/>
      <c r="L30" s="17"/>
    </row>
    <row r="31" spans="2:12">
      <c r="B31" s="14"/>
      <c r="C31" s="15"/>
      <c r="D31" s="16" t="s">
        <v>0</v>
      </c>
      <c r="E31" s="16" t="s">
        <v>0</v>
      </c>
      <c r="F31" s="7" t="s">
        <v>3</v>
      </c>
      <c r="G31" s="6"/>
      <c r="H31" s="6"/>
      <c r="I31" s="6"/>
      <c r="J31" s="6"/>
      <c r="K31" s="6"/>
      <c r="L31" s="17"/>
    </row>
    <row r="32" spans="2:12">
      <c r="B32" s="14" t="s">
        <v>206</v>
      </c>
      <c r="C32" s="15" t="s">
        <v>93</v>
      </c>
      <c r="D32" s="16" t="s">
        <v>0</v>
      </c>
      <c r="E32" s="16" t="s">
        <v>0</v>
      </c>
      <c r="F32" s="37" t="s">
        <v>223</v>
      </c>
      <c r="G32" s="6"/>
      <c r="H32" s="6"/>
      <c r="I32" s="6"/>
      <c r="J32" s="6"/>
      <c r="K32" s="6"/>
      <c r="L32" s="17"/>
    </row>
    <row r="33" spans="2:12">
      <c r="B33" s="14"/>
      <c r="C33" s="15"/>
      <c r="D33" s="16" t="s">
        <v>0</v>
      </c>
      <c r="E33" s="16" t="s">
        <v>0</v>
      </c>
      <c r="F33" s="7"/>
      <c r="G33" s="6"/>
      <c r="H33" s="6"/>
      <c r="I33" s="6"/>
      <c r="J33" s="6"/>
      <c r="K33" s="6"/>
      <c r="L33" s="17"/>
    </row>
    <row r="34" spans="2:12">
      <c r="B34" s="14"/>
      <c r="C34" s="15"/>
      <c r="D34" s="16" t="s">
        <v>0</v>
      </c>
      <c r="E34" s="16" t="s">
        <v>0</v>
      </c>
      <c r="F34" s="69" t="s">
        <v>4</v>
      </c>
      <c r="G34" s="6"/>
      <c r="H34" s="6"/>
      <c r="I34" s="6"/>
      <c r="J34" s="6"/>
      <c r="K34" s="6"/>
      <c r="L34" s="17"/>
    </row>
    <row r="35" spans="2:12">
      <c r="B35" s="14"/>
      <c r="C35" s="15"/>
      <c r="D35" s="16" t="s">
        <v>0</v>
      </c>
      <c r="E35" s="16" t="s">
        <v>0</v>
      </c>
      <c r="F35" s="7"/>
      <c r="G35" s="6"/>
      <c r="H35" s="6"/>
      <c r="I35" s="6"/>
      <c r="J35" s="6"/>
      <c r="K35" s="6"/>
      <c r="L35" s="17"/>
    </row>
    <row r="36" spans="2:12">
      <c r="B36" s="14"/>
      <c r="C36" s="15"/>
      <c r="D36" s="16" t="s">
        <v>0</v>
      </c>
      <c r="E36" s="16" t="s">
        <v>0</v>
      </c>
      <c r="F36" s="7" t="s">
        <v>29</v>
      </c>
      <c r="G36" s="6"/>
      <c r="H36" s="6"/>
      <c r="I36" s="6"/>
      <c r="J36" s="6"/>
      <c r="K36" s="6"/>
      <c r="L36" s="17"/>
    </row>
    <row r="37" spans="2:12">
      <c r="B37" s="14" t="s">
        <v>206</v>
      </c>
      <c r="C37" s="15" t="s">
        <v>94</v>
      </c>
      <c r="D37" s="16" t="s">
        <v>0</v>
      </c>
      <c r="E37" s="16" t="s">
        <v>0</v>
      </c>
      <c r="F37" s="37" t="s">
        <v>224</v>
      </c>
      <c r="G37" s="6"/>
      <c r="H37" s="6"/>
      <c r="I37" s="6"/>
      <c r="J37" s="6"/>
      <c r="K37" s="6"/>
      <c r="L37" s="17"/>
    </row>
    <row r="38" spans="2:12">
      <c r="B38" s="14" t="s">
        <v>0</v>
      </c>
      <c r="C38" s="15" t="s">
        <v>0</v>
      </c>
      <c r="D38" s="16" t="s">
        <v>0</v>
      </c>
      <c r="E38" s="16" t="s">
        <v>0</v>
      </c>
      <c r="F38" s="7"/>
      <c r="G38" s="6"/>
      <c r="H38" s="6"/>
      <c r="I38" s="6"/>
      <c r="J38" s="6"/>
      <c r="K38" s="6"/>
      <c r="L38" s="17"/>
    </row>
    <row r="39" spans="2:12">
      <c r="B39" s="14"/>
      <c r="C39" s="15"/>
      <c r="D39" s="16" t="s">
        <v>0</v>
      </c>
      <c r="E39" s="16" t="s">
        <v>0</v>
      </c>
      <c r="F39" s="7" t="s">
        <v>30</v>
      </c>
      <c r="G39" s="6"/>
      <c r="H39" s="6"/>
      <c r="I39" s="6"/>
      <c r="J39" s="6"/>
      <c r="K39" s="6"/>
      <c r="L39" s="17"/>
    </row>
    <row r="40" spans="2:12">
      <c r="B40" s="14" t="s">
        <v>206</v>
      </c>
      <c r="C40" s="15" t="s">
        <v>95</v>
      </c>
      <c r="D40" s="16" t="s">
        <v>0</v>
      </c>
      <c r="E40" s="16" t="s">
        <v>0</v>
      </c>
      <c r="F40" s="37" t="s">
        <v>225</v>
      </c>
      <c r="G40" s="6"/>
      <c r="H40" s="6"/>
      <c r="I40" s="6"/>
      <c r="J40" s="6"/>
      <c r="K40" s="6"/>
      <c r="L40" s="17"/>
    </row>
    <row r="41" spans="2:12">
      <c r="B41" s="14" t="s">
        <v>0</v>
      </c>
      <c r="C41" s="15" t="s">
        <v>0</v>
      </c>
      <c r="D41" s="16" t="s">
        <v>0</v>
      </c>
      <c r="E41" s="16" t="s">
        <v>0</v>
      </c>
      <c r="F41" s="7"/>
      <c r="G41" s="6"/>
      <c r="H41" s="6"/>
      <c r="I41" s="6"/>
      <c r="J41" s="6"/>
      <c r="K41" s="6"/>
      <c r="L41" s="17"/>
    </row>
    <row r="42" spans="2:12" ht="24">
      <c r="B42" s="14"/>
      <c r="C42" s="15"/>
      <c r="D42" s="16" t="s">
        <v>0</v>
      </c>
      <c r="E42" s="16" t="s">
        <v>0</v>
      </c>
      <c r="F42" s="7" t="s">
        <v>31</v>
      </c>
      <c r="G42" s="6"/>
      <c r="H42" s="6"/>
      <c r="I42" s="6"/>
      <c r="J42" s="6"/>
      <c r="K42" s="6"/>
      <c r="L42" s="17"/>
    </row>
    <row r="43" spans="2:12">
      <c r="B43" s="14" t="s">
        <v>206</v>
      </c>
      <c r="C43" s="15" t="s">
        <v>96</v>
      </c>
      <c r="D43" s="16" t="s">
        <v>0</v>
      </c>
      <c r="E43" s="16" t="s">
        <v>0</v>
      </c>
      <c r="F43" s="37" t="s">
        <v>226</v>
      </c>
      <c r="G43" s="6"/>
      <c r="H43" s="6"/>
      <c r="I43" s="6"/>
      <c r="J43" s="6"/>
      <c r="K43" s="6"/>
      <c r="L43" s="17"/>
    </row>
    <row r="44" spans="2:12">
      <c r="B44" s="14" t="s">
        <v>0</v>
      </c>
      <c r="C44" s="15" t="s">
        <v>0</v>
      </c>
      <c r="D44" s="16" t="s">
        <v>0</v>
      </c>
      <c r="E44" s="16" t="s">
        <v>0</v>
      </c>
      <c r="F44" s="7"/>
      <c r="G44" s="6"/>
      <c r="H44" s="6"/>
      <c r="I44" s="6"/>
      <c r="J44" s="6"/>
      <c r="K44" s="6"/>
      <c r="L44" s="17"/>
    </row>
    <row r="45" spans="2:12">
      <c r="B45" s="14"/>
      <c r="C45" s="15"/>
      <c r="D45" s="16" t="s">
        <v>0</v>
      </c>
      <c r="E45" s="16" t="s">
        <v>0</v>
      </c>
      <c r="F45" s="7" t="s">
        <v>32</v>
      </c>
      <c r="G45" s="6"/>
      <c r="H45" s="6"/>
      <c r="I45" s="6"/>
      <c r="J45" s="6"/>
      <c r="K45" s="6"/>
      <c r="L45" s="17"/>
    </row>
    <row r="46" spans="2:12">
      <c r="B46" s="14" t="s">
        <v>206</v>
      </c>
      <c r="C46" s="15" t="s">
        <v>97</v>
      </c>
      <c r="D46" s="16" t="s">
        <v>0</v>
      </c>
      <c r="E46" s="16" t="s">
        <v>0</v>
      </c>
      <c r="F46" s="37" t="s">
        <v>227</v>
      </c>
      <c r="G46" s="6"/>
      <c r="H46" s="6"/>
      <c r="I46" s="6"/>
      <c r="J46" s="6"/>
      <c r="K46" s="6"/>
      <c r="L46" s="17"/>
    </row>
    <row r="47" spans="2:12">
      <c r="B47" s="14" t="s">
        <v>0</v>
      </c>
      <c r="C47" s="15" t="s">
        <v>0</v>
      </c>
      <c r="D47" s="16" t="s">
        <v>0</v>
      </c>
      <c r="E47" s="16" t="s">
        <v>0</v>
      </c>
      <c r="F47" s="7"/>
      <c r="G47" s="6"/>
      <c r="H47" s="6"/>
      <c r="I47" s="6"/>
      <c r="J47" s="6"/>
      <c r="K47" s="6"/>
      <c r="L47" s="17"/>
    </row>
    <row r="48" spans="2:12">
      <c r="B48" s="129" t="s">
        <v>206</v>
      </c>
      <c r="C48" s="130" t="s">
        <v>205</v>
      </c>
      <c r="D48" s="131" t="s">
        <v>0</v>
      </c>
      <c r="E48" s="131" t="s">
        <v>0</v>
      </c>
      <c r="F48" s="132" t="s">
        <v>214</v>
      </c>
      <c r="G48" s="6"/>
      <c r="H48" s="125">
        <v>0.3</v>
      </c>
      <c r="I48" s="6"/>
      <c r="J48" s="6"/>
      <c r="K48" s="6"/>
      <c r="L48" s="17"/>
    </row>
    <row r="49" spans="2:12">
      <c r="B49" s="14" t="s">
        <v>0</v>
      </c>
      <c r="C49" s="15" t="s">
        <v>0</v>
      </c>
      <c r="D49" s="16" t="s">
        <v>0</v>
      </c>
      <c r="E49" s="16" t="s">
        <v>0</v>
      </c>
      <c r="F49" s="7"/>
      <c r="G49" s="6"/>
      <c r="H49" s="6"/>
      <c r="I49" s="6"/>
      <c r="J49" s="6"/>
      <c r="K49" s="6"/>
      <c r="L49" s="17"/>
    </row>
    <row r="50" spans="2:12">
      <c r="B50" s="14"/>
      <c r="C50" s="15"/>
      <c r="D50" s="16" t="s">
        <v>0</v>
      </c>
      <c r="E50" s="16" t="s">
        <v>0</v>
      </c>
      <c r="F50" s="132" t="s">
        <v>212</v>
      </c>
      <c r="G50" s="6"/>
      <c r="H50" s="6"/>
      <c r="I50" s="6"/>
      <c r="J50" s="6"/>
      <c r="K50" s="6"/>
      <c r="L50" s="17"/>
    </row>
    <row r="51" spans="2:12">
      <c r="B51" s="129" t="s">
        <v>206</v>
      </c>
      <c r="C51" s="130" t="s">
        <v>207</v>
      </c>
      <c r="D51" s="16" t="s">
        <v>0</v>
      </c>
      <c r="E51" s="16" t="s">
        <v>0</v>
      </c>
      <c r="F51" s="126" t="s">
        <v>228</v>
      </c>
      <c r="G51" s="6"/>
      <c r="H51" s="6"/>
      <c r="I51" s="6"/>
      <c r="J51" s="6"/>
      <c r="K51" s="6"/>
      <c r="L51" s="17"/>
    </row>
    <row r="52" spans="2:12">
      <c r="B52" s="14" t="s">
        <v>0</v>
      </c>
      <c r="C52" s="15" t="s">
        <v>0</v>
      </c>
      <c r="D52" s="16" t="s">
        <v>0</v>
      </c>
      <c r="E52" s="16" t="s">
        <v>0</v>
      </c>
      <c r="F52" s="7"/>
      <c r="G52" s="6"/>
      <c r="H52" s="6"/>
      <c r="I52" s="6"/>
      <c r="J52" s="6"/>
      <c r="K52" s="6"/>
      <c r="L52" s="17"/>
    </row>
    <row r="53" spans="2:12">
      <c r="B53" s="129" t="s">
        <v>206</v>
      </c>
      <c r="C53" s="130" t="s">
        <v>208</v>
      </c>
      <c r="D53" s="131" t="s">
        <v>0</v>
      </c>
      <c r="E53" s="131" t="s">
        <v>0</v>
      </c>
      <c r="F53" s="132" t="s">
        <v>210</v>
      </c>
      <c r="G53" s="6"/>
      <c r="H53" s="125">
        <v>40</v>
      </c>
      <c r="I53" s="6"/>
      <c r="J53" s="6"/>
      <c r="K53" s="6"/>
      <c r="L53" s="17"/>
    </row>
    <row r="54" spans="2:12">
      <c r="B54" s="14" t="s">
        <v>0</v>
      </c>
      <c r="C54" s="15" t="s">
        <v>0</v>
      </c>
      <c r="D54" s="16" t="s">
        <v>0</v>
      </c>
      <c r="E54" s="16" t="s">
        <v>0</v>
      </c>
      <c r="F54" s="7"/>
      <c r="G54" s="6"/>
      <c r="H54" s="6"/>
      <c r="I54" s="6"/>
      <c r="J54" s="6"/>
      <c r="K54" s="6"/>
      <c r="L54" s="17"/>
    </row>
    <row r="55" spans="2:12">
      <c r="B55" s="14"/>
      <c r="C55" s="15"/>
      <c r="D55" s="16" t="s">
        <v>0</v>
      </c>
      <c r="E55" s="16" t="s">
        <v>0</v>
      </c>
      <c r="F55" s="132" t="s">
        <v>211</v>
      </c>
      <c r="G55" s="6"/>
      <c r="H55" s="6"/>
      <c r="I55" s="6"/>
      <c r="J55" s="6"/>
      <c r="K55" s="6"/>
      <c r="L55" s="17"/>
    </row>
    <row r="56" spans="2:12">
      <c r="B56" s="129" t="s">
        <v>206</v>
      </c>
      <c r="C56" s="130" t="s">
        <v>209</v>
      </c>
      <c r="D56" s="16" t="s">
        <v>0</v>
      </c>
      <c r="E56" s="16" t="s">
        <v>0</v>
      </c>
      <c r="F56" s="126" t="s">
        <v>229</v>
      </c>
      <c r="G56" s="6"/>
      <c r="H56" s="6"/>
      <c r="I56" s="6"/>
      <c r="J56" s="6"/>
      <c r="K56" s="6"/>
      <c r="L56" s="17"/>
    </row>
    <row r="57" spans="2:12">
      <c r="B57" s="14" t="s">
        <v>0</v>
      </c>
      <c r="C57" s="15" t="s">
        <v>0</v>
      </c>
      <c r="D57" s="16" t="s">
        <v>0</v>
      </c>
      <c r="E57" s="16" t="s">
        <v>0</v>
      </c>
      <c r="F57" s="7"/>
      <c r="G57" s="6"/>
      <c r="H57" s="6"/>
      <c r="I57" s="6"/>
      <c r="J57" s="6"/>
      <c r="K57" s="6"/>
      <c r="L57" s="17"/>
    </row>
    <row r="58" spans="2:12" ht="24">
      <c r="B58" s="14"/>
      <c r="C58" s="15"/>
      <c r="D58" s="16" t="s">
        <v>0</v>
      </c>
      <c r="E58" s="16" t="s">
        <v>0</v>
      </c>
      <c r="F58" s="7" t="s">
        <v>33</v>
      </c>
      <c r="G58" s="6"/>
      <c r="H58" s="6"/>
      <c r="I58" s="6"/>
      <c r="J58" s="6"/>
      <c r="K58" s="6"/>
      <c r="L58" s="17"/>
    </row>
    <row r="59" spans="2:12">
      <c r="B59" s="14" t="s">
        <v>206</v>
      </c>
      <c r="C59" s="15" t="s">
        <v>98</v>
      </c>
      <c r="D59" s="16" t="s">
        <v>0</v>
      </c>
      <c r="E59" s="16" t="s">
        <v>0</v>
      </c>
      <c r="F59" s="37" t="s">
        <v>230</v>
      </c>
      <c r="G59" s="6"/>
      <c r="H59" s="6"/>
      <c r="I59" s="6"/>
      <c r="J59" s="6"/>
      <c r="K59" s="6"/>
      <c r="L59" s="17"/>
    </row>
    <row r="60" spans="2:12">
      <c r="B60" s="14" t="s">
        <v>0</v>
      </c>
      <c r="C60" s="15" t="s">
        <v>0</v>
      </c>
      <c r="D60" s="16" t="s">
        <v>0</v>
      </c>
      <c r="E60" s="16" t="s">
        <v>0</v>
      </c>
      <c r="F60" s="7"/>
      <c r="G60" s="6"/>
      <c r="H60" s="6"/>
      <c r="I60" s="6"/>
      <c r="J60" s="6"/>
      <c r="K60" s="6"/>
      <c r="L60" s="17"/>
    </row>
    <row r="61" spans="2:12" ht="24">
      <c r="B61" s="14"/>
      <c r="C61" s="15"/>
      <c r="D61" s="16" t="s">
        <v>0</v>
      </c>
      <c r="E61" s="16" t="s">
        <v>0</v>
      </c>
      <c r="F61" s="7" t="s">
        <v>34</v>
      </c>
      <c r="G61" s="6"/>
      <c r="H61" s="6"/>
      <c r="I61" s="6"/>
      <c r="J61" s="6"/>
      <c r="K61" s="6"/>
      <c r="L61" s="17"/>
    </row>
    <row r="62" spans="2:12">
      <c r="B62" s="14" t="s">
        <v>206</v>
      </c>
      <c r="C62" s="15" t="s">
        <v>99</v>
      </c>
      <c r="D62" s="16" t="s">
        <v>0</v>
      </c>
      <c r="E62" s="16" t="s">
        <v>0</v>
      </c>
      <c r="F62" s="37" t="s">
        <v>231</v>
      </c>
      <c r="G62" s="6"/>
      <c r="H62" s="6"/>
      <c r="I62" s="6"/>
      <c r="J62" s="6"/>
      <c r="K62" s="6"/>
      <c r="L62" s="17"/>
    </row>
    <row r="63" spans="2:12">
      <c r="B63" s="14" t="s">
        <v>0</v>
      </c>
      <c r="C63" s="15" t="s">
        <v>0</v>
      </c>
      <c r="D63" s="16" t="s">
        <v>0</v>
      </c>
      <c r="E63" s="16" t="s">
        <v>0</v>
      </c>
      <c r="F63" s="7"/>
      <c r="G63" s="6"/>
      <c r="H63" s="6"/>
      <c r="I63" s="6"/>
      <c r="J63" s="6"/>
      <c r="K63" s="6"/>
      <c r="L63" s="17"/>
    </row>
    <row r="64" spans="2:12" ht="24">
      <c r="B64" s="14"/>
      <c r="C64" s="15"/>
      <c r="D64" s="16" t="s">
        <v>0</v>
      </c>
      <c r="E64" s="16" t="s">
        <v>0</v>
      </c>
      <c r="F64" s="7" t="s">
        <v>35</v>
      </c>
      <c r="G64" s="6"/>
      <c r="H64" s="6"/>
      <c r="I64" s="6"/>
      <c r="J64" s="6"/>
      <c r="K64" s="6"/>
      <c r="L64" s="17"/>
    </row>
    <row r="65" spans="2:12">
      <c r="B65" s="14" t="s">
        <v>206</v>
      </c>
      <c r="C65" s="15" t="s">
        <v>100</v>
      </c>
      <c r="D65" s="16" t="s">
        <v>0</v>
      </c>
      <c r="E65" s="16" t="s">
        <v>0</v>
      </c>
      <c r="F65" s="37" t="s">
        <v>232</v>
      </c>
      <c r="G65" s="6"/>
      <c r="H65" s="6"/>
      <c r="I65" s="6"/>
      <c r="J65" s="6"/>
      <c r="K65" s="6"/>
      <c r="L65" s="17"/>
    </row>
    <row r="66" spans="2:12">
      <c r="B66" s="14" t="s">
        <v>0</v>
      </c>
      <c r="C66" s="15" t="s">
        <v>0</v>
      </c>
      <c r="D66" s="16" t="s">
        <v>0</v>
      </c>
      <c r="E66" s="16" t="s">
        <v>0</v>
      </c>
      <c r="F66" s="7"/>
      <c r="G66" s="6"/>
      <c r="H66" s="6"/>
      <c r="I66" s="6"/>
      <c r="J66" s="6"/>
      <c r="K66" s="6"/>
      <c r="L66" s="17"/>
    </row>
    <row r="67" spans="2:12" ht="32.25" customHeight="1">
      <c r="B67" s="14"/>
      <c r="C67" s="15"/>
      <c r="D67" s="16" t="s">
        <v>0</v>
      </c>
      <c r="E67" s="16" t="s">
        <v>0</v>
      </c>
      <c r="F67" s="7" t="s">
        <v>35</v>
      </c>
      <c r="G67" s="6"/>
      <c r="H67" s="6"/>
      <c r="I67" s="6"/>
      <c r="J67" s="6"/>
      <c r="K67" s="6"/>
      <c r="L67" s="17"/>
    </row>
    <row r="68" spans="2:12">
      <c r="B68" s="14" t="s">
        <v>206</v>
      </c>
      <c r="C68" s="15" t="s">
        <v>101</v>
      </c>
      <c r="D68" s="16" t="s">
        <v>0</v>
      </c>
      <c r="E68" s="16" t="s">
        <v>0</v>
      </c>
      <c r="F68" s="37" t="s">
        <v>232</v>
      </c>
      <c r="G68" s="6"/>
      <c r="H68" s="6"/>
      <c r="I68" s="6"/>
      <c r="J68" s="6"/>
      <c r="K68" s="6"/>
      <c r="L68" s="17"/>
    </row>
    <row r="69" spans="2:12" ht="24">
      <c r="B69" s="14" t="s">
        <v>0</v>
      </c>
      <c r="C69" s="15" t="s">
        <v>0</v>
      </c>
      <c r="D69" s="16" t="s">
        <v>0</v>
      </c>
      <c r="E69" s="16" t="s">
        <v>0</v>
      </c>
      <c r="F69" s="7"/>
      <c r="G69" s="6"/>
      <c r="H69" s="35" t="s">
        <v>75</v>
      </c>
      <c r="I69" s="35" t="s">
        <v>76</v>
      </c>
      <c r="J69" s="35" t="s">
        <v>77</v>
      </c>
      <c r="K69" s="35" t="s">
        <v>78</v>
      </c>
      <c r="L69" s="17"/>
    </row>
    <row r="70" spans="2:12">
      <c r="B70" s="116" t="s">
        <v>206</v>
      </c>
      <c r="C70" s="117" t="s">
        <v>182</v>
      </c>
      <c r="D70" s="118" t="s">
        <v>0</v>
      </c>
      <c r="E70" s="118"/>
      <c r="F70" s="119" t="s">
        <v>183</v>
      </c>
      <c r="G70" s="6"/>
      <c r="H70" s="102">
        <v>1000</v>
      </c>
      <c r="I70" s="102">
        <v>2000</v>
      </c>
      <c r="J70" s="102"/>
      <c r="K70" s="102"/>
      <c r="L70" s="17"/>
    </row>
    <row r="71" spans="2:12">
      <c r="B71" s="14" t="s">
        <v>0</v>
      </c>
      <c r="C71" s="15" t="s">
        <v>0</v>
      </c>
      <c r="D71" s="16" t="s">
        <v>0</v>
      </c>
      <c r="E71" s="16" t="s">
        <v>0</v>
      </c>
      <c r="F71" s="7"/>
      <c r="G71" s="6"/>
      <c r="H71" s="6"/>
      <c r="I71" s="6"/>
      <c r="J71" s="6"/>
      <c r="K71" s="6"/>
      <c r="L71" s="17"/>
    </row>
    <row r="72" spans="2:12" ht="30.75" customHeight="1">
      <c r="B72" s="14"/>
      <c r="C72" s="15"/>
      <c r="D72" s="16" t="s">
        <v>0</v>
      </c>
      <c r="E72" s="16" t="s">
        <v>0</v>
      </c>
      <c r="F72" s="7" t="s">
        <v>36</v>
      </c>
      <c r="G72" s="6"/>
      <c r="H72" s="6"/>
      <c r="I72" s="6"/>
      <c r="J72" s="6"/>
      <c r="K72" s="6"/>
      <c r="L72" s="17"/>
    </row>
    <row r="73" spans="2:12">
      <c r="B73" s="14" t="s">
        <v>206</v>
      </c>
      <c r="C73" s="15" t="s">
        <v>102</v>
      </c>
      <c r="D73" s="16" t="s">
        <v>0</v>
      </c>
      <c r="E73" s="16" t="s">
        <v>0</v>
      </c>
      <c r="F73" s="37" t="s">
        <v>233</v>
      </c>
      <c r="G73" s="6"/>
      <c r="H73" s="6"/>
      <c r="I73" s="6"/>
      <c r="J73" s="6"/>
      <c r="K73" s="6"/>
      <c r="L73" s="17"/>
    </row>
    <row r="74" spans="2:12">
      <c r="B74" s="14" t="s">
        <v>0</v>
      </c>
      <c r="C74" s="15" t="s">
        <v>0</v>
      </c>
      <c r="D74" s="16" t="s">
        <v>0</v>
      </c>
      <c r="E74" s="16" t="s">
        <v>0</v>
      </c>
      <c r="F74" s="7"/>
      <c r="G74" s="6"/>
      <c r="H74" s="6"/>
      <c r="I74" s="6"/>
      <c r="J74" s="6"/>
      <c r="K74" s="6"/>
      <c r="L74" s="17"/>
    </row>
    <row r="75" spans="2:12" ht="24">
      <c r="B75" s="14"/>
      <c r="C75" s="15"/>
      <c r="D75" s="16" t="s">
        <v>0</v>
      </c>
      <c r="E75" s="16" t="s">
        <v>0</v>
      </c>
      <c r="F75" s="7" t="s">
        <v>37</v>
      </c>
      <c r="G75" s="6"/>
      <c r="H75" s="6"/>
      <c r="I75" s="6"/>
      <c r="J75" s="6"/>
      <c r="K75" s="6"/>
      <c r="L75" s="17"/>
    </row>
    <row r="76" spans="2:12">
      <c r="B76" s="14" t="s">
        <v>206</v>
      </c>
      <c r="C76" s="15" t="s">
        <v>103</v>
      </c>
      <c r="D76" s="16" t="s">
        <v>0</v>
      </c>
      <c r="E76" s="16" t="s">
        <v>0</v>
      </c>
      <c r="F76" s="37" t="s">
        <v>234</v>
      </c>
      <c r="G76" s="6"/>
      <c r="H76" s="6"/>
      <c r="I76" s="6"/>
      <c r="J76" s="6"/>
      <c r="K76" s="6"/>
      <c r="L76" s="17"/>
    </row>
    <row r="77" spans="2:12">
      <c r="B77" s="14"/>
      <c r="C77" s="15"/>
      <c r="D77" s="16"/>
      <c r="E77" s="16"/>
      <c r="F77" s="7"/>
      <c r="G77" s="6"/>
      <c r="H77" s="6"/>
      <c r="I77" s="6"/>
      <c r="J77" s="6"/>
      <c r="K77" s="6"/>
      <c r="L77" s="17"/>
    </row>
    <row r="78" spans="2:12">
      <c r="B78" s="14"/>
      <c r="C78" s="15"/>
      <c r="D78" s="16"/>
      <c r="E78" s="16"/>
      <c r="F78" s="115" t="s">
        <v>187</v>
      </c>
      <c r="G78" s="6"/>
      <c r="H78" s="6"/>
      <c r="I78" s="6"/>
      <c r="J78" s="6"/>
      <c r="K78" s="6"/>
      <c r="L78" s="17"/>
    </row>
    <row r="79" spans="2:12">
      <c r="B79" s="21"/>
      <c r="C79" s="22"/>
      <c r="D79" s="23"/>
      <c r="E79" s="23"/>
      <c r="F79" s="24"/>
      <c r="G79" s="25"/>
      <c r="H79" s="25"/>
      <c r="I79" s="25"/>
      <c r="J79" s="25"/>
      <c r="K79" s="25"/>
      <c r="L79" s="26"/>
    </row>
    <row r="80" spans="2:12">
      <c r="B80" s="18"/>
      <c r="C80" s="18"/>
      <c r="D80" s="19"/>
      <c r="E80" s="19"/>
      <c r="F80" s="19"/>
      <c r="G80" s="20"/>
      <c r="H80" s="19"/>
      <c r="I80" s="19"/>
      <c r="J80" s="19"/>
      <c r="K80" s="19"/>
      <c r="L80" s="19"/>
    </row>
    <row r="81" spans="2:12">
      <c r="B81" s="18"/>
      <c r="C81" s="18"/>
      <c r="D81" s="19"/>
      <c r="E81" s="19"/>
      <c r="F81" s="19"/>
      <c r="G81" s="20"/>
      <c r="H81" s="19"/>
      <c r="I81" s="19"/>
      <c r="J81" s="19"/>
      <c r="K81" s="19"/>
      <c r="L81" s="19"/>
    </row>
    <row r="82" spans="2:12">
      <c r="B82" s="18"/>
      <c r="C82" s="18"/>
      <c r="D82" s="19"/>
      <c r="E82" s="19"/>
      <c r="F82" s="19"/>
      <c r="G82" s="20"/>
      <c r="H82" s="19"/>
      <c r="I82" s="19"/>
      <c r="J82" s="19"/>
      <c r="K82" s="19"/>
      <c r="L82" s="19"/>
    </row>
    <row r="83" spans="2:12">
      <c r="B83" s="18"/>
      <c r="C83" s="18"/>
      <c r="D83" s="19"/>
      <c r="E83" s="19"/>
      <c r="F83" s="19"/>
      <c r="G83" s="20"/>
      <c r="H83" s="19"/>
      <c r="I83" s="19"/>
      <c r="J83" s="19"/>
      <c r="K83" s="19"/>
      <c r="L83" s="19"/>
    </row>
  </sheetData>
  <sheetProtection formatCells="0"/>
  <conditionalFormatting sqref="H70">
    <cfRule type="expression" dxfId="11" priority="2">
      <formula>OR(IF(NOT(ISERR(FIND("ERR",M70)))=TRUE,TRUE,FALSE),IF(NOT(ISERR(FIND("ERR",Q70)))=TRUE,TRUE,FALSE))</formula>
    </cfRule>
  </conditionalFormatting>
  <conditionalFormatting sqref="I70:K70">
    <cfRule type="expression" dxfId="10" priority="1">
      <formula>OR(IF(NOT(ISERR(FIND("ERR",N70)))=TRUE,TRUE,FALSE),IF(NOT(ISERR(FIND("ERR",R70)))=TRUE,TRUE,FALSE))</formula>
    </cfRule>
  </conditionalFormatting>
  <hyperlinks>
    <hyperlink ref="F34" location="'IAS41-InfoActvBiol'!A1" display="Información a revelar sobre conciliaciones de cambios en activos biológicos [sinopsis] " xr:uid="{00000000-0004-0000-0000-000000000000}"/>
    <hyperlink ref="F14" location="'IAS41-InfoActvBiol'!A1" display="Información a revelar detallada sobre activos biológicos [tabla]" xr:uid="{00000000-0004-0000-0000-000001000000}"/>
    <hyperlink ref="F78" location="'IAS41-OtraInfoAcBi'!A1" display="Otra información activos biológicos [sinopsis]" xr:uid="{00000000-0004-0000-0000-000002000000}"/>
    <hyperlink ref="F19" location="'IAS41-InfoProdAgri'!A1" display="Información a revelar sobre productos agrícolas [tabla]" xr:uid="{00000000-0004-0000-0000-000003000000}"/>
  </hyperlinks>
  <pageMargins left="0.7" right="0.7" top="0.75" bottom="0.75" header="0.3" footer="0.3"/>
  <pageSetup paperSize="119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3">
    <tabColor theme="9" tint="0.39997558519241921"/>
  </sheetPr>
  <dimension ref="A1:AG86"/>
  <sheetViews>
    <sheetView topLeftCell="F8" zoomScale="80" zoomScaleNormal="80" workbookViewId="0">
      <selection activeCell="J22" sqref="J22:K26"/>
    </sheetView>
  </sheetViews>
  <sheetFormatPr baseColWidth="10" defaultRowHeight="15"/>
  <cols>
    <col min="1" max="1" width="2.140625" customWidth="1"/>
    <col min="2" max="2" width="3.5703125" customWidth="1"/>
    <col min="3" max="3" width="4" customWidth="1"/>
    <col min="4" max="4" width="5" customWidth="1"/>
    <col min="5" max="5" width="3" customWidth="1"/>
    <col min="6" max="6" width="93.140625" customWidth="1"/>
    <col min="7" max="33" width="20.7109375" customWidth="1"/>
  </cols>
  <sheetData>
    <row r="1" spans="1:33" ht="60" customHeight="1" thickBot="1"/>
    <row r="2" spans="1:33" ht="171.75" customHeight="1" thickBot="1">
      <c r="F2" s="38" t="s">
        <v>40</v>
      </c>
    </row>
    <row r="3" spans="1:33" ht="16.5" thickBot="1">
      <c r="A3" s="27"/>
      <c r="F3" s="71" t="s">
        <v>84</v>
      </c>
      <c r="G3" s="72" t="s">
        <v>82</v>
      </c>
    </row>
    <row r="4" spans="1:33" ht="122.25" customHeight="1" thickBot="1">
      <c r="A4" s="27" t="s">
        <v>41</v>
      </c>
      <c r="B4" s="50"/>
      <c r="C4" s="51"/>
      <c r="D4" s="51"/>
      <c r="E4" s="51"/>
      <c r="F4" s="52" t="s">
        <v>46</v>
      </c>
      <c r="G4" s="133" t="s">
        <v>152</v>
      </c>
      <c r="H4" s="134"/>
      <c r="I4" s="134"/>
      <c r="J4" s="134"/>
      <c r="K4" s="134"/>
      <c r="L4" s="134"/>
      <c r="M4" s="134"/>
      <c r="N4" s="134"/>
      <c r="O4" s="135"/>
      <c r="P4" s="133" t="s">
        <v>153</v>
      </c>
      <c r="Q4" s="134"/>
      <c r="R4" s="134"/>
      <c r="S4" s="134"/>
      <c r="T4" s="134"/>
      <c r="U4" s="134"/>
      <c r="V4" s="134"/>
      <c r="W4" s="134"/>
      <c r="X4" s="135"/>
      <c r="Y4" s="133" t="s">
        <v>154</v>
      </c>
      <c r="Z4" s="134"/>
      <c r="AA4" s="134"/>
      <c r="AB4" s="134"/>
      <c r="AC4" s="134"/>
      <c r="AD4" s="134"/>
      <c r="AE4" s="134"/>
      <c r="AF4" s="134"/>
      <c r="AG4" s="135"/>
    </row>
    <row r="5" spans="1:33" ht="15.75" hidden="1" thickBot="1">
      <c r="A5" s="39" t="s">
        <v>42</v>
      </c>
      <c r="B5" s="40"/>
      <c r="C5" s="41"/>
      <c r="D5" s="41" t="s">
        <v>131</v>
      </c>
      <c r="E5" s="41" t="s">
        <v>158</v>
      </c>
      <c r="F5" s="41"/>
      <c r="G5" s="42" t="s">
        <v>155</v>
      </c>
      <c r="H5" s="42" t="s">
        <v>155</v>
      </c>
      <c r="I5" s="42" t="s">
        <v>155</v>
      </c>
      <c r="J5" s="42" t="s">
        <v>155</v>
      </c>
      <c r="K5" s="42" t="s">
        <v>155</v>
      </c>
      <c r="L5" s="42" t="s">
        <v>155</v>
      </c>
      <c r="M5" s="42" t="s">
        <v>155</v>
      </c>
      <c r="N5" s="42" t="s">
        <v>155</v>
      </c>
      <c r="O5" s="42" t="s">
        <v>155</v>
      </c>
      <c r="P5" s="42" t="s">
        <v>156</v>
      </c>
      <c r="Q5" s="42" t="s">
        <v>156</v>
      </c>
      <c r="R5" s="42" t="s">
        <v>156</v>
      </c>
      <c r="S5" s="42" t="s">
        <v>156</v>
      </c>
      <c r="T5" s="42" t="s">
        <v>156</v>
      </c>
      <c r="U5" s="42" t="s">
        <v>156</v>
      </c>
      <c r="V5" s="42" t="s">
        <v>156</v>
      </c>
      <c r="W5" s="42" t="s">
        <v>156</v>
      </c>
      <c r="X5" s="42" t="s">
        <v>156</v>
      </c>
      <c r="Y5" s="42" t="s">
        <v>157</v>
      </c>
      <c r="Z5" s="42" t="s">
        <v>157</v>
      </c>
      <c r="AA5" s="42" t="s">
        <v>157</v>
      </c>
      <c r="AB5" s="42" t="s">
        <v>157</v>
      </c>
      <c r="AC5" s="42" t="s">
        <v>157</v>
      </c>
      <c r="AD5" s="42" t="s">
        <v>157</v>
      </c>
      <c r="AE5" s="42" t="s">
        <v>157</v>
      </c>
      <c r="AF5" s="42" t="s">
        <v>157</v>
      </c>
      <c r="AG5" s="42" t="s">
        <v>157</v>
      </c>
    </row>
    <row r="6" spans="1:33" ht="122.25" customHeight="1" thickBot="1">
      <c r="A6" s="27"/>
      <c r="B6" s="50"/>
      <c r="C6" s="51"/>
      <c r="D6" s="51"/>
      <c r="E6" s="51"/>
      <c r="F6" s="52"/>
      <c r="G6" s="133" t="s">
        <v>43</v>
      </c>
      <c r="H6" s="134"/>
      <c r="I6" s="135"/>
      <c r="J6" s="133" t="s">
        <v>44</v>
      </c>
      <c r="K6" s="134"/>
      <c r="L6" s="135"/>
      <c r="M6" s="133" t="s">
        <v>45</v>
      </c>
      <c r="N6" s="134"/>
      <c r="O6" s="135"/>
      <c r="P6" s="133" t="s">
        <v>43</v>
      </c>
      <c r="Q6" s="134"/>
      <c r="R6" s="135"/>
      <c r="S6" s="133" t="s">
        <v>44</v>
      </c>
      <c r="T6" s="134"/>
      <c r="U6" s="135"/>
      <c r="V6" s="133" t="s">
        <v>45</v>
      </c>
      <c r="W6" s="134"/>
      <c r="X6" s="135"/>
      <c r="Y6" s="133" t="s">
        <v>43</v>
      </c>
      <c r="Z6" s="134"/>
      <c r="AA6" s="135"/>
      <c r="AB6" s="133" t="s">
        <v>44</v>
      </c>
      <c r="AC6" s="134"/>
      <c r="AD6" s="135"/>
      <c r="AE6" s="133" t="s">
        <v>45</v>
      </c>
      <c r="AF6" s="134"/>
      <c r="AG6" s="135"/>
    </row>
    <row r="7" spans="1:33" ht="15.75" hidden="1" thickBot="1">
      <c r="A7" s="39" t="s">
        <v>42</v>
      </c>
      <c r="B7" s="40"/>
      <c r="C7" s="41"/>
      <c r="D7" s="41"/>
      <c r="E7" s="41" t="s">
        <v>132</v>
      </c>
      <c r="F7" s="41"/>
      <c r="G7" s="42" t="s">
        <v>133</v>
      </c>
      <c r="H7" s="42" t="s">
        <v>133</v>
      </c>
      <c r="I7" s="42" t="s">
        <v>133</v>
      </c>
      <c r="J7" s="42" t="s">
        <v>134</v>
      </c>
      <c r="K7" s="42" t="s">
        <v>134</v>
      </c>
      <c r="L7" s="42" t="s">
        <v>134</v>
      </c>
      <c r="M7" s="42" t="s">
        <v>135</v>
      </c>
      <c r="N7" s="42" t="s">
        <v>135</v>
      </c>
      <c r="O7" s="54" t="s">
        <v>135</v>
      </c>
      <c r="P7" s="42" t="s">
        <v>133</v>
      </c>
      <c r="Q7" s="42" t="s">
        <v>133</v>
      </c>
      <c r="R7" s="42" t="s">
        <v>133</v>
      </c>
      <c r="S7" s="42" t="s">
        <v>134</v>
      </c>
      <c r="T7" s="42" t="s">
        <v>134</v>
      </c>
      <c r="U7" s="42" t="s">
        <v>134</v>
      </c>
      <c r="V7" s="42" t="s">
        <v>135</v>
      </c>
      <c r="W7" s="42" t="s">
        <v>135</v>
      </c>
      <c r="X7" s="54" t="s">
        <v>135</v>
      </c>
      <c r="Y7" s="42" t="s">
        <v>133</v>
      </c>
      <c r="Z7" s="42" t="s">
        <v>133</v>
      </c>
      <c r="AA7" s="42" t="s">
        <v>133</v>
      </c>
      <c r="AB7" s="42" t="s">
        <v>134</v>
      </c>
      <c r="AC7" s="42" t="s">
        <v>134</v>
      </c>
      <c r="AD7" s="42" t="s">
        <v>134</v>
      </c>
      <c r="AE7" s="42" t="s">
        <v>135</v>
      </c>
      <c r="AF7" s="42" t="s">
        <v>135</v>
      </c>
      <c r="AG7" s="54" t="s">
        <v>135</v>
      </c>
    </row>
    <row r="8" spans="1:33" ht="45.75" thickBot="1">
      <c r="A8" s="39"/>
      <c r="B8" s="40"/>
      <c r="C8" s="41"/>
      <c r="D8" s="41"/>
      <c r="E8" s="41"/>
      <c r="F8" s="41"/>
      <c r="G8" s="43" t="s">
        <v>47</v>
      </c>
      <c r="H8" s="43" t="s">
        <v>48</v>
      </c>
      <c r="I8" s="43" t="s">
        <v>49</v>
      </c>
      <c r="J8" s="43" t="s">
        <v>47</v>
      </c>
      <c r="K8" s="43" t="s">
        <v>48</v>
      </c>
      <c r="L8" s="43" t="s">
        <v>49</v>
      </c>
      <c r="M8" s="43" t="s">
        <v>47</v>
      </c>
      <c r="N8" s="43" t="s">
        <v>48</v>
      </c>
      <c r="O8" s="43" t="s">
        <v>49</v>
      </c>
      <c r="P8" s="43" t="s">
        <v>47</v>
      </c>
      <c r="Q8" s="43" t="s">
        <v>48</v>
      </c>
      <c r="R8" s="43" t="s">
        <v>49</v>
      </c>
      <c r="S8" s="43" t="s">
        <v>47</v>
      </c>
      <c r="T8" s="43" t="s">
        <v>48</v>
      </c>
      <c r="U8" s="43" t="s">
        <v>49</v>
      </c>
      <c r="V8" s="43" t="s">
        <v>47</v>
      </c>
      <c r="W8" s="43" t="s">
        <v>48</v>
      </c>
      <c r="X8" s="43" t="s">
        <v>49</v>
      </c>
      <c r="Y8" s="43" t="s">
        <v>47</v>
      </c>
      <c r="Z8" s="43" t="s">
        <v>48</v>
      </c>
      <c r="AA8" s="43" t="s">
        <v>49</v>
      </c>
      <c r="AB8" s="43" t="s">
        <v>47</v>
      </c>
      <c r="AC8" s="43" t="s">
        <v>48</v>
      </c>
      <c r="AD8" s="43" t="s">
        <v>49</v>
      </c>
      <c r="AE8" s="43" t="s">
        <v>47</v>
      </c>
      <c r="AF8" s="43" t="s">
        <v>48</v>
      </c>
      <c r="AG8" s="43" t="s">
        <v>49</v>
      </c>
    </row>
    <row r="9" spans="1:33" hidden="1">
      <c r="A9" s="39" t="s">
        <v>42</v>
      </c>
      <c r="B9" s="40"/>
      <c r="C9" s="41"/>
      <c r="D9" s="41"/>
      <c r="E9" s="41" t="s">
        <v>136</v>
      </c>
      <c r="F9" s="41"/>
      <c r="G9" s="42" t="s">
        <v>137</v>
      </c>
      <c r="H9" s="42" t="s">
        <v>138</v>
      </c>
      <c r="I9" s="42" t="s">
        <v>139</v>
      </c>
      <c r="J9" s="42" t="s">
        <v>137</v>
      </c>
      <c r="K9" s="42" t="s">
        <v>138</v>
      </c>
      <c r="L9" s="42" t="s">
        <v>139</v>
      </c>
      <c r="M9" s="42" t="s">
        <v>137</v>
      </c>
      <c r="N9" s="42" t="s">
        <v>138</v>
      </c>
      <c r="O9" s="54" t="s">
        <v>139</v>
      </c>
      <c r="P9" s="42" t="s">
        <v>137</v>
      </c>
      <c r="Q9" s="42" t="s">
        <v>138</v>
      </c>
      <c r="R9" s="42" t="s">
        <v>139</v>
      </c>
      <c r="S9" s="42" t="s">
        <v>137</v>
      </c>
      <c r="T9" s="42" t="s">
        <v>138</v>
      </c>
      <c r="U9" s="42" t="s">
        <v>139</v>
      </c>
      <c r="V9" s="42" t="s">
        <v>137</v>
      </c>
      <c r="W9" s="42" t="s">
        <v>138</v>
      </c>
      <c r="X9" s="54" t="s">
        <v>139</v>
      </c>
      <c r="Y9" s="42" t="s">
        <v>137</v>
      </c>
      <c r="Z9" s="42" t="s">
        <v>138</v>
      </c>
      <c r="AA9" s="42" t="s">
        <v>139</v>
      </c>
      <c r="AB9" s="42" t="s">
        <v>137</v>
      </c>
      <c r="AC9" s="42" t="s">
        <v>138</v>
      </c>
      <c r="AD9" s="42" t="s">
        <v>139</v>
      </c>
      <c r="AE9" s="42" t="s">
        <v>137</v>
      </c>
      <c r="AF9" s="42" t="s">
        <v>138</v>
      </c>
      <c r="AG9" s="54" t="s">
        <v>139</v>
      </c>
    </row>
    <row r="10" spans="1:33" ht="22.5" customHeight="1">
      <c r="B10" s="55"/>
      <c r="C10" s="56"/>
      <c r="D10" s="56"/>
      <c r="E10" s="56"/>
      <c r="F10" s="56"/>
      <c r="G10" s="56"/>
      <c r="H10" s="56"/>
      <c r="I10" s="56"/>
      <c r="J10" s="56"/>
      <c r="K10" s="56"/>
      <c r="L10" s="56"/>
      <c r="M10" s="56"/>
      <c r="N10" s="56"/>
      <c r="O10" s="57"/>
      <c r="P10" s="56"/>
      <c r="Q10" s="56"/>
      <c r="R10" s="56"/>
      <c r="S10" s="56"/>
      <c r="T10" s="56"/>
      <c r="U10" s="56"/>
      <c r="V10" s="56"/>
      <c r="W10" s="56"/>
      <c r="X10" s="57"/>
      <c r="Y10" s="56"/>
      <c r="Z10" s="56"/>
      <c r="AA10" s="56"/>
      <c r="AB10" s="56"/>
      <c r="AC10" s="56"/>
      <c r="AD10" s="56"/>
      <c r="AE10" s="56"/>
      <c r="AF10" s="56"/>
      <c r="AG10" s="57"/>
    </row>
    <row r="11" spans="1:33" ht="22.5" customHeight="1">
      <c r="B11" s="55"/>
      <c r="C11" s="56"/>
      <c r="D11" s="56"/>
      <c r="E11" s="56"/>
      <c r="F11" s="44" t="s">
        <v>20</v>
      </c>
      <c r="G11" s="56"/>
      <c r="H11" s="56"/>
      <c r="I11" s="56"/>
      <c r="J11" s="56"/>
      <c r="K11" s="56"/>
      <c r="L11" s="56"/>
      <c r="M11" s="56"/>
      <c r="N11" s="56"/>
      <c r="O11" s="57"/>
      <c r="P11" s="56"/>
      <c r="Q11" s="56"/>
      <c r="R11" s="56"/>
      <c r="S11" s="56"/>
      <c r="T11" s="56"/>
      <c r="U11" s="56"/>
      <c r="V11" s="56"/>
      <c r="W11" s="56"/>
      <c r="X11" s="57"/>
      <c r="Y11" s="56"/>
      <c r="Z11" s="56"/>
      <c r="AA11" s="56"/>
      <c r="AB11" s="56"/>
      <c r="AC11" s="56"/>
      <c r="AD11" s="56"/>
      <c r="AE11" s="56"/>
      <c r="AF11" s="56"/>
      <c r="AG11" s="57"/>
    </row>
    <row r="12" spans="1:33">
      <c r="A12" s="34"/>
      <c r="B12" s="58"/>
      <c r="C12" s="45"/>
      <c r="D12" s="45"/>
      <c r="E12" s="45"/>
      <c r="F12" s="46"/>
      <c r="G12" s="45"/>
      <c r="H12" s="45"/>
      <c r="I12" s="45"/>
      <c r="J12" s="45"/>
      <c r="K12" s="45"/>
      <c r="L12" s="45"/>
      <c r="M12" s="48"/>
      <c r="N12" s="48"/>
      <c r="O12" s="59"/>
      <c r="P12" s="45"/>
      <c r="Q12" s="45"/>
      <c r="R12" s="45"/>
      <c r="S12" s="45"/>
      <c r="T12" s="45"/>
      <c r="U12" s="45"/>
      <c r="V12" s="48"/>
      <c r="W12" s="48"/>
      <c r="X12" s="59"/>
      <c r="Y12" s="45"/>
      <c r="Z12" s="45"/>
      <c r="AA12" s="45"/>
      <c r="AB12" s="45"/>
      <c r="AC12" s="45"/>
      <c r="AD12" s="45"/>
      <c r="AE12" s="48"/>
      <c r="AF12" s="48"/>
      <c r="AG12" s="59"/>
    </row>
    <row r="13" spans="1:33">
      <c r="A13" s="34"/>
      <c r="B13" s="58"/>
      <c r="C13" s="45" t="s">
        <v>140</v>
      </c>
      <c r="D13" s="45" t="s">
        <v>1</v>
      </c>
      <c r="E13" s="45" t="s">
        <v>0</v>
      </c>
      <c r="F13" s="47" t="s">
        <v>149</v>
      </c>
      <c r="G13" s="49" t="s">
        <v>235</v>
      </c>
      <c r="H13" s="49" t="s">
        <v>218</v>
      </c>
      <c r="I13" s="49"/>
      <c r="J13" s="49" t="s">
        <v>220</v>
      </c>
      <c r="K13" s="49" t="s">
        <v>221</v>
      </c>
      <c r="L13" s="49"/>
      <c r="M13" s="49"/>
      <c r="N13" s="49"/>
      <c r="O13" s="66"/>
      <c r="P13" s="49" t="s">
        <v>226</v>
      </c>
      <c r="Q13" s="49" t="s">
        <v>227</v>
      </c>
      <c r="R13" s="49"/>
      <c r="S13" s="49" t="s">
        <v>230</v>
      </c>
      <c r="T13" s="49" t="s">
        <v>231</v>
      </c>
      <c r="U13" s="49"/>
      <c r="V13" s="49"/>
      <c r="W13" s="49"/>
      <c r="X13" s="66"/>
      <c r="Y13" s="100"/>
      <c r="Z13" s="100"/>
      <c r="AA13" s="100"/>
      <c r="AB13" s="100"/>
      <c r="AC13" s="100"/>
      <c r="AD13" s="100"/>
      <c r="AE13" s="100"/>
      <c r="AF13" s="100"/>
      <c r="AG13" s="101"/>
    </row>
    <row r="14" spans="1:33">
      <c r="A14" s="34"/>
      <c r="B14" s="58"/>
      <c r="C14" s="45" t="s">
        <v>116</v>
      </c>
      <c r="D14" s="45" t="s">
        <v>1</v>
      </c>
      <c r="E14" s="45" t="s">
        <v>0</v>
      </c>
      <c r="F14" s="47" t="s">
        <v>150</v>
      </c>
      <c r="G14" s="33">
        <v>8000</v>
      </c>
      <c r="H14" s="33">
        <v>1000</v>
      </c>
      <c r="I14" s="93">
        <f>SUM(G14:H14)</f>
        <v>9000</v>
      </c>
      <c r="J14" s="33">
        <v>2000</v>
      </c>
      <c r="K14" s="33">
        <v>3000</v>
      </c>
      <c r="L14" s="93">
        <f>SUM(J14:K14)</f>
        <v>5000</v>
      </c>
      <c r="M14" s="93">
        <f>SUM(G14,J14)</f>
        <v>10000</v>
      </c>
      <c r="N14" s="93">
        <f>SUM(H14,K14)</f>
        <v>4000</v>
      </c>
      <c r="O14" s="94">
        <f>SUM(I14,L14)</f>
        <v>14000</v>
      </c>
      <c r="P14" s="33">
        <v>4000</v>
      </c>
      <c r="Q14" s="33">
        <v>5000</v>
      </c>
      <c r="R14" s="93">
        <f>SUM(P14:Q14)</f>
        <v>9000</v>
      </c>
      <c r="S14" s="33">
        <v>1000</v>
      </c>
      <c r="T14" s="33">
        <v>4000</v>
      </c>
      <c r="U14" s="93">
        <f>SUM(S14:T14)</f>
        <v>5000</v>
      </c>
      <c r="V14" s="93">
        <f>SUM(P14,S14)</f>
        <v>5000</v>
      </c>
      <c r="W14" s="93">
        <f>SUM(Q14,T14)</f>
        <v>9000</v>
      </c>
      <c r="X14" s="94">
        <f>SUM(R14,U14)</f>
        <v>14000</v>
      </c>
      <c r="Y14" s="97">
        <f t="shared" ref="Y14:Y17" si="0">G14+P14</f>
        <v>12000</v>
      </c>
      <c r="Z14" s="97">
        <f t="shared" ref="Z14:Z17" si="1">H14+Q14</f>
        <v>6000</v>
      </c>
      <c r="AA14" s="97">
        <f t="shared" ref="AA14:AA17" si="2">I14+R14</f>
        <v>18000</v>
      </c>
      <c r="AB14" s="97">
        <f t="shared" ref="AB14:AB17" si="3">J14+S14</f>
        <v>3000</v>
      </c>
      <c r="AC14" s="97">
        <f t="shared" ref="AC14:AC17" si="4">K14+T14</f>
        <v>7000</v>
      </c>
      <c r="AD14" s="97">
        <f t="shared" ref="AD14:AD17" si="5">L14+U14</f>
        <v>10000</v>
      </c>
      <c r="AE14" s="97">
        <f t="shared" ref="AE14:AE17" si="6">M14+V14</f>
        <v>15000</v>
      </c>
      <c r="AF14" s="97">
        <f t="shared" ref="AF14:AF17" si="7">N14+W14</f>
        <v>13000</v>
      </c>
      <c r="AG14" s="98">
        <f t="shared" ref="AG14:AG17" si="8">O14+X14</f>
        <v>28000</v>
      </c>
    </row>
    <row r="15" spans="1:33">
      <c r="A15" s="34"/>
      <c r="B15" s="58"/>
      <c r="C15" s="45" t="s">
        <v>141</v>
      </c>
      <c r="D15" s="45" t="s">
        <v>1</v>
      </c>
      <c r="E15" s="45" t="s">
        <v>0</v>
      </c>
      <c r="F15" s="47" t="s">
        <v>151</v>
      </c>
      <c r="G15" s="49" t="s">
        <v>236</v>
      </c>
      <c r="H15" s="49" t="s">
        <v>218</v>
      </c>
      <c r="I15" s="49"/>
      <c r="J15" s="49" t="s">
        <v>220</v>
      </c>
      <c r="K15" s="49" t="s">
        <v>221</v>
      </c>
      <c r="L15" s="49"/>
      <c r="M15" s="49"/>
      <c r="N15" s="49"/>
      <c r="O15" s="66"/>
      <c r="P15" s="49" t="s">
        <v>226</v>
      </c>
      <c r="Q15" s="49" t="s">
        <v>227</v>
      </c>
      <c r="R15" s="49"/>
      <c r="S15" s="49" t="s">
        <v>230</v>
      </c>
      <c r="T15" s="49" t="s">
        <v>231</v>
      </c>
      <c r="U15" s="49"/>
      <c r="V15" s="49"/>
      <c r="W15" s="49"/>
      <c r="X15" s="66"/>
      <c r="Y15" s="100"/>
      <c r="Z15" s="100"/>
      <c r="AA15" s="100"/>
      <c r="AB15" s="100"/>
      <c r="AC15" s="100"/>
      <c r="AD15" s="100"/>
      <c r="AE15" s="100"/>
      <c r="AF15" s="100"/>
      <c r="AG15" s="101"/>
    </row>
    <row r="16" spans="1:33">
      <c r="A16" s="34"/>
      <c r="B16" s="58"/>
      <c r="C16" s="45" t="s">
        <v>159</v>
      </c>
      <c r="D16" s="45" t="s">
        <v>1</v>
      </c>
      <c r="E16" s="45" t="s">
        <v>0</v>
      </c>
      <c r="F16" s="47" t="s">
        <v>162</v>
      </c>
      <c r="G16" s="76">
        <v>20</v>
      </c>
      <c r="H16" s="76">
        <v>2</v>
      </c>
      <c r="I16" s="96">
        <f t="shared" ref="I16:I17" si="9">SUM(G16:H16)</f>
        <v>22</v>
      </c>
      <c r="J16" s="76">
        <v>1</v>
      </c>
      <c r="K16" s="76">
        <v>2</v>
      </c>
      <c r="L16" s="96">
        <f t="shared" ref="L16:L17" si="10">SUM(J16:K16)</f>
        <v>3</v>
      </c>
      <c r="M16" s="96">
        <f t="shared" ref="M16:M17" si="11">SUM(G16,J16)</f>
        <v>21</v>
      </c>
      <c r="N16" s="96">
        <f t="shared" ref="N16:N17" si="12">SUM(H16,K16)</f>
        <v>4</v>
      </c>
      <c r="O16" s="96">
        <f t="shared" ref="O16:O17" si="13">SUM(I16,L16)</f>
        <v>25</v>
      </c>
      <c r="P16" s="76">
        <v>3</v>
      </c>
      <c r="Q16" s="76">
        <v>4</v>
      </c>
      <c r="R16" s="96">
        <f t="shared" ref="R16:R17" si="14">SUM(P16:Q16)</f>
        <v>7</v>
      </c>
      <c r="S16" s="76">
        <v>5</v>
      </c>
      <c r="T16" s="76">
        <v>6</v>
      </c>
      <c r="U16" s="96">
        <f t="shared" ref="U16:U17" si="15">SUM(S16:T16)</f>
        <v>11</v>
      </c>
      <c r="V16" s="96">
        <f t="shared" ref="V16:V17" si="16">SUM(P16,S16)</f>
        <v>8</v>
      </c>
      <c r="W16" s="96">
        <f t="shared" ref="W16:W17" si="17">SUM(Q16,T16)</f>
        <v>10</v>
      </c>
      <c r="X16" s="96">
        <f t="shared" ref="X16:X17" si="18">SUM(R16,U16)</f>
        <v>18</v>
      </c>
      <c r="Y16" s="99">
        <f t="shared" si="0"/>
        <v>23</v>
      </c>
      <c r="Z16" s="99">
        <f t="shared" si="1"/>
        <v>6</v>
      </c>
      <c r="AA16" s="99">
        <f t="shared" si="2"/>
        <v>29</v>
      </c>
      <c r="AB16" s="99">
        <f t="shared" si="3"/>
        <v>6</v>
      </c>
      <c r="AC16" s="99">
        <f t="shared" si="4"/>
        <v>8</v>
      </c>
      <c r="AD16" s="99">
        <f t="shared" si="5"/>
        <v>14</v>
      </c>
      <c r="AE16" s="99">
        <f t="shared" si="6"/>
        <v>29</v>
      </c>
      <c r="AF16" s="99">
        <f t="shared" si="7"/>
        <v>14</v>
      </c>
      <c r="AG16" s="99">
        <f t="shared" si="8"/>
        <v>43</v>
      </c>
    </row>
    <row r="17" spans="1:33">
      <c r="A17" s="34"/>
      <c r="B17" s="58"/>
      <c r="C17" s="45" t="s">
        <v>160</v>
      </c>
      <c r="D17" s="45" t="s">
        <v>1</v>
      </c>
      <c r="E17" s="45" t="s">
        <v>0</v>
      </c>
      <c r="F17" s="47" t="s">
        <v>161</v>
      </c>
      <c r="G17" s="76">
        <v>20</v>
      </c>
      <c r="H17" s="76">
        <v>3</v>
      </c>
      <c r="I17" s="96">
        <f t="shared" si="9"/>
        <v>23</v>
      </c>
      <c r="J17" s="76">
        <v>7</v>
      </c>
      <c r="K17" s="76">
        <v>8</v>
      </c>
      <c r="L17" s="96">
        <f t="shared" si="10"/>
        <v>15</v>
      </c>
      <c r="M17" s="96">
        <f t="shared" si="11"/>
        <v>27</v>
      </c>
      <c r="N17" s="96">
        <f t="shared" si="12"/>
        <v>11</v>
      </c>
      <c r="O17" s="96">
        <f t="shared" si="13"/>
        <v>38</v>
      </c>
      <c r="P17" s="76">
        <v>9</v>
      </c>
      <c r="Q17" s="76">
        <v>10</v>
      </c>
      <c r="R17" s="96">
        <f t="shared" si="14"/>
        <v>19</v>
      </c>
      <c r="S17" s="76">
        <v>11</v>
      </c>
      <c r="T17" s="76">
        <v>12</v>
      </c>
      <c r="U17" s="96">
        <f t="shared" si="15"/>
        <v>23</v>
      </c>
      <c r="V17" s="96">
        <f t="shared" si="16"/>
        <v>20</v>
      </c>
      <c r="W17" s="96">
        <f t="shared" si="17"/>
        <v>22</v>
      </c>
      <c r="X17" s="96">
        <f t="shared" si="18"/>
        <v>42</v>
      </c>
      <c r="Y17" s="99">
        <f t="shared" si="0"/>
        <v>29</v>
      </c>
      <c r="Z17" s="99">
        <f t="shared" si="1"/>
        <v>13</v>
      </c>
      <c r="AA17" s="99">
        <f t="shared" si="2"/>
        <v>42</v>
      </c>
      <c r="AB17" s="99">
        <f t="shared" si="3"/>
        <v>18</v>
      </c>
      <c r="AC17" s="99">
        <f t="shared" si="4"/>
        <v>20</v>
      </c>
      <c r="AD17" s="99">
        <f t="shared" si="5"/>
        <v>38</v>
      </c>
      <c r="AE17" s="99">
        <f t="shared" si="6"/>
        <v>47</v>
      </c>
      <c r="AF17" s="99">
        <f t="shared" si="7"/>
        <v>33</v>
      </c>
      <c r="AG17" s="99">
        <f t="shared" si="8"/>
        <v>80</v>
      </c>
    </row>
    <row r="18" spans="1:33">
      <c r="A18" s="34"/>
      <c r="B18" s="58"/>
      <c r="C18" s="45"/>
      <c r="D18" s="45"/>
      <c r="E18" s="45" t="s">
        <v>0</v>
      </c>
      <c r="F18" s="46"/>
      <c r="G18" s="45"/>
      <c r="H18" s="45"/>
      <c r="I18" s="45"/>
      <c r="J18" s="45"/>
      <c r="K18" s="45"/>
      <c r="L18" s="45"/>
      <c r="M18" s="64"/>
      <c r="N18" s="64"/>
      <c r="O18" s="59"/>
      <c r="P18" s="45"/>
      <c r="Q18" s="45"/>
      <c r="R18" s="45"/>
      <c r="S18" s="45"/>
      <c r="T18" s="45"/>
      <c r="U18" s="45"/>
      <c r="V18" s="64"/>
      <c r="W18" s="64"/>
      <c r="X18" s="59"/>
      <c r="Y18" s="45"/>
      <c r="Z18" s="45"/>
      <c r="AA18" s="45"/>
      <c r="AB18" s="45"/>
      <c r="AC18" s="45"/>
      <c r="AD18" s="45"/>
      <c r="AE18" s="64"/>
      <c r="AF18" s="64"/>
      <c r="AG18" s="59"/>
    </row>
    <row r="19" spans="1:33">
      <c r="A19" s="34"/>
      <c r="B19" s="58"/>
      <c r="C19" s="45"/>
      <c r="D19" s="45"/>
      <c r="E19" s="45" t="s">
        <v>0</v>
      </c>
      <c r="F19" s="46"/>
      <c r="G19" s="45"/>
      <c r="H19" s="45"/>
      <c r="I19" s="45"/>
      <c r="J19" s="45"/>
      <c r="K19" s="45"/>
      <c r="L19" s="45"/>
      <c r="M19" s="45"/>
      <c r="N19" s="45"/>
      <c r="O19" s="59"/>
      <c r="P19" s="45"/>
      <c r="Q19" s="45"/>
      <c r="R19" s="45"/>
      <c r="S19" s="45"/>
      <c r="T19" s="45"/>
      <c r="U19" s="45"/>
      <c r="V19" s="45"/>
      <c r="W19" s="45"/>
      <c r="X19" s="59"/>
      <c r="Y19" s="45"/>
      <c r="Z19" s="45"/>
      <c r="AA19" s="45"/>
      <c r="AB19" s="45"/>
      <c r="AC19" s="45"/>
      <c r="AD19" s="45"/>
      <c r="AE19" s="45"/>
      <c r="AF19" s="45"/>
      <c r="AG19" s="59"/>
    </row>
    <row r="20" spans="1:33" ht="22.5" customHeight="1">
      <c r="B20" s="55"/>
      <c r="C20" s="45"/>
      <c r="D20" s="45"/>
      <c r="E20" s="45" t="s">
        <v>0</v>
      </c>
      <c r="F20" s="44" t="s">
        <v>21</v>
      </c>
      <c r="G20" s="56"/>
      <c r="H20" s="56"/>
      <c r="I20" s="56"/>
      <c r="J20" s="56"/>
      <c r="K20" s="56"/>
      <c r="L20" s="56"/>
      <c r="M20" s="56"/>
      <c r="N20" s="56"/>
      <c r="O20" s="57"/>
      <c r="P20" s="56"/>
      <c r="Q20" s="56"/>
      <c r="R20" s="56"/>
      <c r="S20" s="56"/>
      <c r="T20" s="56"/>
      <c r="U20" s="56"/>
      <c r="V20" s="56"/>
      <c r="W20" s="56"/>
      <c r="X20" s="57"/>
      <c r="Y20" s="56"/>
      <c r="Z20" s="56"/>
      <c r="AA20" s="56"/>
      <c r="AB20" s="56"/>
      <c r="AC20" s="56"/>
      <c r="AD20" s="56"/>
      <c r="AE20" s="56"/>
      <c r="AF20" s="56"/>
      <c r="AG20" s="57"/>
    </row>
    <row r="21" spans="1:33">
      <c r="A21" s="34"/>
      <c r="B21" s="58"/>
      <c r="C21" s="45"/>
      <c r="D21" s="45"/>
      <c r="E21" s="45" t="s">
        <v>0</v>
      </c>
      <c r="F21" s="46"/>
      <c r="G21" s="45"/>
      <c r="H21" s="45"/>
      <c r="I21" s="45"/>
      <c r="J21" s="45"/>
      <c r="K21" s="45"/>
      <c r="L21" s="45"/>
      <c r="M21" s="48"/>
      <c r="N21" s="48"/>
      <c r="O21" s="59"/>
      <c r="P21" s="45"/>
      <c r="Q21" s="45"/>
      <c r="R21" s="45"/>
      <c r="S21" s="45"/>
      <c r="T21" s="45"/>
      <c r="U21" s="45"/>
      <c r="V21" s="48"/>
      <c r="W21" s="48"/>
      <c r="X21" s="59"/>
      <c r="Y21" s="45"/>
      <c r="Z21" s="45"/>
      <c r="AA21" s="45"/>
      <c r="AB21" s="45"/>
      <c r="AC21" s="45"/>
      <c r="AD21" s="45"/>
      <c r="AE21" s="48"/>
      <c r="AF21" s="48"/>
      <c r="AG21" s="59"/>
    </row>
    <row r="22" spans="1:33">
      <c r="A22" s="34"/>
      <c r="B22" s="58"/>
      <c r="C22" s="45" t="s">
        <v>140</v>
      </c>
      <c r="D22" s="45" t="s">
        <v>81</v>
      </c>
      <c r="E22" s="45" t="s">
        <v>0</v>
      </c>
      <c r="F22" s="47" t="s">
        <v>149</v>
      </c>
      <c r="G22" s="49" t="s">
        <v>235</v>
      </c>
      <c r="H22" s="49" t="s">
        <v>218</v>
      </c>
      <c r="I22" s="49"/>
      <c r="J22" s="49" t="s">
        <v>220</v>
      </c>
      <c r="K22" s="49" t="s">
        <v>221</v>
      </c>
      <c r="L22" s="49"/>
      <c r="M22" s="49"/>
      <c r="N22" s="49"/>
      <c r="O22" s="66"/>
      <c r="P22" s="49" t="s">
        <v>226</v>
      </c>
      <c r="Q22" s="49" t="s">
        <v>227</v>
      </c>
      <c r="R22" s="49"/>
      <c r="S22" s="49" t="s">
        <v>230</v>
      </c>
      <c r="T22" s="49" t="s">
        <v>231</v>
      </c>
      <c r="U22" s="49"/>
      <c r="V22" s="49"/>
      <c r="W22" s="49"/>
      <c r="X22" s="66"/>
      <c r="Y22" s="100"/>
      <c r="Z22" s="100"/>
      <c r="AA22" s="100"/>
      <c r="AB22" s="100"/>
      <c r="AC22" s="100"/>
      <c r="AD22" s="100"/>
      <c r="AE22" s="100"/>
      <c r="AF22" s="100"/>
      <c r="AG22" s="101"/>
    </row>
    <row r="23" spans="1:33">
      <c r="A23" s="34" t="s">
        <v>16</v>
      </c>
      <c r="B23" s="58"/>
      <c r="C23" s="45" t="s">
        <v>116</v>
      </c>
      <c r="D23" s="45" t="s">
        <v>1</v>
      </c>
      <c r="E23" s="45" t="s">
        <v>0</v>
      </c>
      <c r="F23" s="47" t="s">
        <v>150</v>
      </c>
      <c r="G23" s="33">
        <v>1000</v>
      </c>
      <c r="H23" s="33">
        <v>1000</v>
      </c>
      <c r="I23" s="93">
        <f>SUM(G23:H23)</f>
        <v>2000</v>
      </c>
      <c r="J23" s="33">
        <v>2000</v>
      </c>
      <c r="K23" s="33">
        <v>3000</v>
      </c>
      <c r="L23" s="93">
        <f>SUM(J23:K23)</f>
        <v>5000</v>
      </c>
      <c r="M23" s="93">
        <f>SUM(G23,J23)</f>
        <v>3000</v>
      </c>
      <c r="N23" s="93">
        <f>SUM(H23,K23)</f>
        <v>4000</v>
      </c>
      <c r="O23" s="94">
        <f>SUM(I23,L23)</f>
        <v>7000</v>
      </c>
      <c r="P23" s="33">
        <v>1000</v>
      </c>
      <c r="Q23" s="33">
        <v>3000</v>
      </c>
      <c r="R23" s="93">
        <f>SUM(P23:Q23)</f>
        <v>4000</v>
      </c>
      <c r="S23" s="33">
        <v>6000</v>
      </c>
      <c r="T23" s="33">
        <v>1000</v>
      </c>
      <c r="U23" s="93">
        <f>SUM(S23:T23)</f>
        <v>7000</v>
      </c>
      <c r="V23" s="93">
        <f>SUM(P23,S23)</f>
        <v>7000</v>
      </c>
      <c r="W23" s="93">
        <f>SUM(Q23,T23)</f>
        <v>4000</v>
      </c>
      <c r="X23" s="94">
        <f>SUM(R23,U23)</f>
        <v>11000</v>
      </c>
      <c r="Y23" s="97">
        <f t="shared" ref="Y23" si="19">G23+P23</f>
        <v>2000</v>
      </c>
      <c r="Z23" s="97">
        <f t="shared" ref="Z23" si="20">H23+Q23</f>
        <v>4000</v>
      </c>
      <c r="AA23" s="97">
        <f t="shared" ref="AA23" si="21">I23+R23</f>
        <v>6000</v>
      </c>
      <c r="AB23" s="97">
        <f t="shared" ref="AB23" si="22">J23+S23</f>
        <v>8000</v>
      </c>
      <c r="AC23" s="97">
        <f t="shared" ref="AC23" si="23">K23+T23</f>
        <v>4000</v>
      </c>
      <c r="AD23" s="97">
        <f t="shared" ref="AD23" si="24">L23+U23</f>
        <v>12000</v>
      </c>
      <c r="AE23" s="97">
        <f t="shared" ref="AE23" si="25">M23+V23</f>
        <v>10000</v>
      </c>
      <c r="AF23" s="97">
        <f t="shared" ref="AF23" si="26">N23+W23</f>
        <v>8000</v>
      </c>
      <c r="AG23" s="98">
        <f t="shared" ref="AG23" si="27">O23+X23</f>
        <v>18000</v>
      </c>
    </row>
    <row r="24" spans="1:33">
      <c r="A24" s="34"/>
      <c r="B24" s="58"/>
      <c r="C24" s="45" t="s">
        <v>141</v>
      </c>
      <c r="D24" s="45" t="s">
        <v>81</v>
      </c>
      <c r="E24" s="45" t="s">
        <v>0</v>
      </c>
      <c r="F24" s="47" t="s">
        <v>151</v>
      </c>
      <c r="G24" s="49" t="s">
        <v>236</v>
      </c>
      <c r="H24" s="49" t="s">
        <v>218</v>
      </c>
      <c r="I24" s="49"/>
      <c r="J24" s="49" t="s">
        <v>220</v>
      </c>
      <c r="K24" s="49" t="s">
        <v>221</v>
      </c>
      <c r="L24" s="49"/>
      <c r="M24" s="49"/>
      <c r="N24" s="49"/>
      <c r="O24" s="66"/>
      <c r="P24" s="49" t="s">
        <v>226</v>
      </c>
      <c r="Q24" s="49" t="s">
        <v>227</v>
      </c>
      <c r="R24" s="49"/>
      <c r="S24" s="49" t="s">
        <v>230</v>
      </c>
      <c r="T24" s="49" t="s">
        <v>231</v>
      </c>
      <c r="U24" s="49"/>
      <c r="V24" s="49"/>
      <c r="W24" s="49"/>
      <c r="X24" s="66"/>
      <c r="Y24" s="100"/>
      <c r="Z24" s="100"/>
      <c r="AA24" s="100"/>
      <c r="AB24" s="100"/>
      <c r="AC24" s="100"/>
      <c r="AD24" s="100"/>
      <c r="AE24" s="100"/>
      <c r="AF24" s="100"/>
      <c r="AG24" s="101"/>
    </row>
    <row r="25" spans="1:33">
      <c r="A25" s="34" t="s">
        <v>16</v>
      </c>
      <c r="B25" s="58"/>
      <c r="C25" s="45" t="s">
        <v>159</v>
      </c>
      <c r="D25" s="45" t="s">
        <v>1</v>
      </c>
      <c r="E25" s="45" t="s">
        <v>0</v>
      </c>
      <c r="F25" s="47" t="s">
        <v>162</v>
      </c>
      <c r="G25" s="76">
        <v>20</v>
      </c>
      <c r="H25" s="76">
        <v>2</v>
      </c>
      <c r="I25" s="96">
        <f t="shared" ref="I25:I26" si="28">SUM(G25:H25)</f>
        <v>22</v>
      </c>
      <c r="J25" s="76">
        <v>1</v>
      </c>
      <c r="K25" s="76">
        <v>2</v>
      </c>
      <c r="L25" s="96">
        <f t="shared" ref="L25:L26" si="29">SUM(J25:K25)</f>
        <v>3</v>
      </c>
      <c r="M25" s="96">
        <f t="shared" ref="M25:M26" si="30">SUM(G25,J25)</f>
        <v>21</v>
      </c>
      <c r="N25" s="96">
        <f t="shared" ref="N25:N26" si="31">SUM(H25,K25)</f>
        <v>4</v>
      </c>
      <c r="O25" s="96">
        <f t="shared" ref="O25:O26" si="32">SUM(I25,L25)</f>
        <v>25</v>
      </c>
      <c r="P25" s="76">
        <v>3</v>
      </c>
      <c r="Q25" s="76">
        <v>4</v>
      </c>
      <c r="R25" s="96">
        <f t="shared" ref="R25:R26" si="33">SUM(P25:Q25)</f>
        <v>7</v>
      </c>
      <c r="S25" s="76">
        <v>5</v>
      </c>
      <c r="T25" s="76">
        <v>6</v>
      </c>
      <c r="U25" s="96">
        <f t="shared" ref="U25:U26" si="34">SUM(S25:T25)</f>
        <v>11</v>
      </c>
      <c r="V25" s="96">
        <f t="shared" ref="V25:V26" si="35">SUM(P25,S25)</f>
        <v>8</v>
      </c>
      <c r="W25" s="96">
        <f t="shared" ref="W25:W26" si="36">SUM(Q25,T25)</f>
        <v>10</v>
      </c>
      <c r="X25" s="96">
        <f t="shared" ref="X25:X26" si="37">SUM(R25,U25)</f>
        <v>18</v>
      </c>
      <c r="Y25" s="99">
        <f t="shared" ref="Y25:Y26" si="38">G25+P25</f>
        <v>23</v>
      </c>
      <c r="Z25" s="99">
        <f t="shared" ref="Z25:Z26" si="39">H25+Q25</f>
        <v>6</v>
      </c>
      <c r="AA25" s="99">
        <f t="shared" ref="AA25:AA26" si="40">I25+R25</f>
        <v>29</v>
      </c>
      <c r="AB25" s="99">
        <f t="shared" ref="AB25:AB26" si="41">J25+S25</f>
        <v>6</v>
      </c>
      <c r="AC25" s="99">
        <f t="shared" ref="AC25:AC26" si="42">K25+T25</f>
        <v>8</v>
      </c>
      <c r="AD25" s="99">
        <f t="shared" ref="AD25:AD26" si="43">L25+U25</f>
        <v>14</v>
      </c>
      <c r="AE25" s="99">
        <f t="shared" ref="AE25:AE26" si="44">M25+V25</f>
        <v>29</v>
      </c>
      <c r="AF25" s="99">
        <f t="shared" ref="AF25:AF26" si="45">N25+W25</f>
        <v>14</v>
      </c>
      <c r="AG25" s="99">
        <f t="shared" ref="AG25:AG26" si="46">O25+X25</f>
        <v>43</v>
      </c>
    </row>
    <row r="26" spans="1:33">
      <c r="A26" s="34" t="s">
        <v>16</v>
      </c>
      <c r="B26" s="58"/>
      <c r="C26" s="45" t="s">
        <v>160</v>
      </c>
      <c r="D26" s="45" t="s">
        <v>1</v>
      </c>
      <c r="E26" s="45" t="s">
        <v>0</v>
      </c>
      <c r="F26" s="47" t="s">
        <v>161</v>
      </c>
      <c r="G26" s="76">
        <v>20</v>
      </c>
      <c r="H26" s="76">
        <v>3</v>
      </c>
      <c r="I26" s="96">
        <f t="shared" si="28"/>
        <v>23</v>
      </c>
      <c r="J26" s="76">
        <v>7</v>
      </c>
      <c r="K26" s="76">
        <v>8</v>
      </c>
      <c r="L26" s="96">
        <f t="shared" si="29"/>
        <v>15</v>
      </c>
      <c r="M26" s="96">
        <f t="shared" si="30"/>
        <v>27</v>
      </c>
      <c r="N26" s="96">
        <f t="shared" si="31"/>
        <v>11</v>
      </c>
      <c r="O26" s="96">
        <f t="shared" si="32"/>
        <v>38</v>
      </c>
      <c r="P26" s="76">
        <v>9</v>
      </c>
      <c r="Q26" s="76">
        <v>10</v>
      </c>
      <c r="R26" s="96">
        <f t="shared" si="33"/>
        <v>19</v>
      </c>
      <c r="S26" s="76">
        <v>11</v>
      </c>
      <c r="T26" s="76">
        <v>12</v>
      </c>
      <c r="U26" s="96">
        <f t="shared" si="34"/>
        <v>23</v>
      </c>
      <c r="V26" s="96">
        <f t="shared" si="35"/>
        <v>20</v>
      </c>
      <c r="W26" s="96">
        <f t="shared" si="36"/>
        <v>22</v>
      </c>
      <c r="X26" s="96">
        <f t="shared" si="37"/>
        <v>42</v>
      </c>
      <c r="Y26" s="99">
        <f t="shared" si="38"/>
        <v>29</v>
      </c>
      <c r="Z26" s="99">
        <f t="shared" si="39"/>
        <v>13</v>
      </c>
      <c r="AA26" s="99">
        <f t="shared" si="40"/>
        <v>42</v>
      </c>
      <c r="AB26" s="99">
        <f t="shared" si="41"/>
        <v>18</v>
      </c>
      <c r="AC26" s="99">
        <f t="shared" si="42"/>
        <v>20</v>
      </c>
      <c r="AD26" s="99">
        <f t="shared" si="43"/>
        <v>38</v>
      </c>
      <c r="AE26" s="99">
        <f t="shared" si="44"/>
        <v>47</v>
      </c>
      <c r="AF26" s="99">
        <f t="shared" si="45"/>
        <v>33</v>
      </c>
      <c r="AG26" s="99">
        <f t="shared" si="46"/>
        <v>80</v>
      </c>
    </row>
    <row r="27" spans="1:33" ht="22.5" customHeight="1" thickBot="1">
      <c r="A27" s="34"/>
      <c r="B27" s="60"/>
      <c r="C27" s="61"/>
      <c r="D27" s="61"/>
      <c r="E27" s="61"/>
      <c r="F27" s="62"/>
      <c r="G27" s="61"/>
      <c r="H27" s="61"/>
      <c r="I27" s="61"/>
      <c r="J27" s="61"/>
      <c r="K27" s="61"/>
      <c r="L27" s="61"/>
      <c r="M27" s="67"/>
      <c r="N27" s="67"/>
      <c r="O27" s="63"/>
      <c r="P27" s="61"/>
      <c r="Q27" s="61"/>
      <c r="R27" s="61"/>
      <c r="S27" s="61"/>
      <c r="T27" s="61"/>
      <c r="U27" s="61"/>
      <c r="V27" s="67"/>
      <c r="W27" s="67"/>
      <c r="X27" s="63"/>
      <c r="Y27" s="61"/>
      <c r="Z27" s="61"/>
      <c r="AA27" s="61"/>
      <c r="AB27" s="61"/>
      <c r="AC27" s="61"/>
      <c r="AD27" s="61"/>
      <c r="AE27" s="67"/>
      <c r="AF27" s="67"/>
      <c r="AG27" s="63"/>
    </row>
    <row r="28" spans="1:33" ht="22.5" customHeight="1">
      <c r="A28" s="27"/>
    </row>
    <row r="42" ht="21" customHeight="1"/>
    <row r="44" ht="21" hidden="1" customHeight="1"/>
    <row r="45" ht="21" customHeight="1"/>
    <row r="46" ht="21" customHeight="1"/>
    <row r="47" ht="21" customHeight="1"/>
    <row r="48" ht="21" customHeight="1"/>
    <row r="49" ht="21" customHeight="1"/>
    <row r="50" ht="21" customHeight="1"/>
    <row r="51" ht="21" customHeight="1"/>
    <row r="52" ht="21" customHeight="1"/>
    <row r="53" ht="21" customHeight="1"/>
    <row r="54" ht="21" customHeight="1"/>
    <row r="55" ht="21" customHeight="1"/>
    <row r="56" ht="21" customHeight="1"/>
    <row r="57" ht="21" customHeight="1"/>
    <row r="58" ht="21" customHeight="1"/>
    <row r="59" ht="21" customHeight="1"/>
    <row r="60" ht="21" customHeight="1"/>
    <row r="61" ht="21" customHeight="1"/>
    <row r="62" ht="21" customHeight="1"/>
    <row r="63" ht="21" customHeight="1"/>
    <row r="64" ht="21" customHeight="1"/>
    <row r="65" ht="21" customHeight="1"/>
    <row r="67" ht="21" customHeight="1"/>
    <row r="68" ht="21" customHeight="1"/>
    <row r="69" ht="21" customHeight="1"/>
    <row r="70" ht="21" customHeight="1"/>
    <row r="71" ht="21" customHeight="1"/>
    <row r="72" ht="21" customHeight="1"/>
    <row r="73" ht="21" customHeight="1"/>
    <row r="74" ht="21" customHeight="1"/>
    <row r="75" ht="21" customHeight="1"/>
    <row r="76" ht="21" customHeight="1"/>
    <row r="77" ht="21" customHeight="1"/>
    <row r="78" ht="21" customHeight="1"/>
    <row r="79" ht="21" customHeight="1"/>
    <row r="80" ht="21" customHeight="1"/>
    <row r="81" ht="21" customHeight="1"/>
    <row r="82" ht="21" customHeight="1"/>
    <row r="83" ht="21" customHeight="1"/>
    <row r="84" ht="21" customHeight="1"/>
    <row r="85" ht="21" customHeight="1"/>
    <row r="86" ht="21" customHeight="1"/>
  </sheetData>
  <mergeCells count="12">
    <mergeCell ref="Y4:AG4"/>
    <mergeCell ref="Y6:AA6"/>
    <mergeCell ref="AB6:AD6"/>
    <mergeCell ref="AE6:AG6"/>
    <mergeCell ref="G6:I6"/>
    <mergeCell ref="J6:L6"/>
    <mergeCell ref="M6:O6"/>
    <mergeCell ref="G4:O4"/>
    <mergeCell ref="P4:X4"/>
    <mergeCell ref="P6:R6"/>
    <mergeCell ref="S6:U6"/>
    <mergeCell ref="V6:X6"/>
  </mergeCells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00000000-0002-0000-0100-000000000000}">
          <x14:formula1>
            <xm:f>Hoja2!$B$1:$B$2</xm:f>
          </x14:formula1>
          <xm:sqref>G3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5">
    <tabColor rgb="FF00B050"/>
  </sheetPr>
  <dimension ref="A1:I74"/>
  <sheetViews>
    <sheetView topLeftCell="A4" zoomScale="80" zoomScaleNormal="80" workbookViewId="0">
      <selection activeCell="G14" sqref="G14:I14"/>
    </sheetView>
  </sheetViews>
  <sheetFormatPr baseColWidth="10" defaultRowHeight="15"/>
  <cols>
    <col min="1" max="1" width="2.140625" customWidth="1"/>
    <col min="2" max="2" width="3.5703125" customWidth="1"/>
    <col min="3" max="3" width="4" customWidth="1"/>
    <col min="4" max="4" width="5" customWidth="1"/>
    <col min="5" max="5" width="3" customWidth="1"/>
    <col min="6" max="6" width="93.140625" customWidth="1"/>
    <col min="7" max="9" width="20.7109375" customWidth="1"/>
  </cols>
  <sheetData>
    <row r="1" spans="1:9" ht="60" customHeight="1" thickBot="1"/>
    <row r="2" spans="1:9" ht="171.75" customHeight="1" thickBot="1">
      <c r="F2" s="38" t="s">
        <v>40</v>
      </c>
    </row>
    <row r="3" spans="1:9" ht="16.5" thickBot="1">
      <c r="A3" s="27"/>
      <c r="F3" s="71" t="s">
        <v>84</v>
      </c>
      <c r="G3" s="72" t="s">
        <v>82</v>
      </c>
    </row>
    <row r="4" spans="1:9" ht="122.25" customHeight="1" thickBot="1">
      <c r="A4" s="27" t="s">
        <v>41</v>
      </c>
      <c r="B4" s="50"/>
      <c r="C4" s="51"/>
      <c r="D4" s="51"/>
      <c r="E4" s="51"/>
      <c r="F4" s="81" t="s">
        <v>201</v>
      </c>
      <c r="G4" s="80" t="s">
        <v>185</v>
      </c>
      <c r="H4" s="80" t="s">
        <v>186</v>
      </c>
      <c r="I4" s="75" t="s">
        <v>184</v>
      </c>
    </row>
    <row r="5" spans="1:9" ht="60" hidden="1">
      <c r="A5" s="39" t="s">
        <v>42</v>
      </c>
      <c r="B5" s="40"/>
      <c r="C5" s="41"/>
      <c r="D5" s="41" t="s">
        <v>165</v>
      </c>
      <c r="E5" s="41" t="s">
        <v>166</v>
      </c>
      <c r="F5" s="41"/>
      <c r="G5" s="77" t="str">
        <f>SUBSTITUTE(CONCATENATE("IAS41-InfoProdAgri_",TRIM(G4),"_",COLUMN(G5),"|",G4)," ","")</f>
        <v>IAS41-InfoProdAgri_Productoagrícola1_7|Productoagrícola1</v>
      </c>
      <c r="H5" s="77" t="str">
        <f>SUBSTITUTE(CONCATENATE("IAS41-InfoProdAgri_",TRIM(H4),"_",COLUMN(H5),"|",H4)," ","")</f>
        <v>IAS41-InfoProdAgri_Productoagrícola2_8|Productoagrícola2</v>
      </c>
      <c r="I5" s="82" t="s">
        <v>167</v>
      </c>
    </row>
    <row r="6" spans="1:9" ht="22.5" customHeight="1">
      <c r="B6" s="55"/>
      <c r="C6" s="56"/>
      <c r="D6" s="56"/>
      <c r="E6" s="56"/>
      <c r="F6" s="56"/>
      <c r="G6" s="78"/>
      <c r="H6" s="83"/>
      <c r="I6" s="57"/>
    </row>
    <row r="7" spans="1:9" ht="22.5" customHeight="1">
      <c r="B7" s="55"/>
      <c r="C7" s="56"/>
      <c r="D7" s="56"/>
      <c r="E7" s="56"/>
      <c r="F7" s="44" t="s">
        <v>20</v>
      </c>
      <c r="G7" s="78"/>
      <c r="H7" s="83"/>
      <c r="I7" s="57"/>
    </row>
    <row r="8" spans="1:9">
      <c r="A8" s="34"/>
      <c r="B8" s="58"/>
      <c r="C8" s="45"/>
      <c r="D8" s="45"/>
      <c r="E8" s="45"/>
      <c r="F8" s="46"/>
      <c r="G8" s="78"/>
      <c r="H8" s="84"/>
      <c r="I8" s="59"/>
    </row>
    <row r="9" spans="1:9">
      <c r="A9" s="34"/>
      <c r="B9" s="58"/>
      <c r="C9" s="45" t="s">
        <v>163</v>
      </c>
      <c r="D9" s="45" t="s">
        <v>1</v>
      </c>
      <c r="E9" s="45" t="s">
        <v>0</v>
      </c>
      <c r="F9" s="47" t="s">
        <v>164</v>
      </c>
      <c r="G9" s="88">
        <v>1</v>
      </c>
      <c r="H9" s="89">
        <v>3</v>
      </c>
      <c r="I9" s="90">
        <v>4</v>
      </c>
    </row>
    <row r="10" spans="1:9">
      <c r="A10" s="34"/>
      <c r="B10" s="58"/>
      <c r="C10" s="45"/>
      <c r="D10" s="45"/>
      <c r="E10" s="45"/>
      <c r="F10" s="46"/>
      <c r="G10" s="78"/>
      <c r="H10" s="84"/>
      <c r="I10" s="59"/>
    </row>
    <row r="11" spans="1:9">
      <c r="A11" s="34"/>
      <c r="B11" s="58"/>
      <c r="C11" s="45"/>
      <c r="D11" s="45"/>
      <c r="E11" s="45"/>
      <c r="F11" s="46"/>
      <c r="G11" s="78"/>
      <c r="H11" s="84"/>
      <c r="I11" s="59"/>
    </row>
    <row r="12" spans="1:9" ht="22.5" customHeight="1">
      <c r="B12" s="55"/>
      <c r="C12" s="56"/>
      <c r="D12" s="56"/>
      <c r="E12" s="56"/>
      <c r="F12" s="44" t="s">
        <v>21</v>
      </c>
      <c r="G12" s="78"/>
      <c r="H12" s="83"/>
      <c r="I12" s="57"/>
    </row>
    <row r="13" spans="1:9">
      <c r="A13" s="34"/>
      <c r="B13" s="58"/>
      <c r="C13" s="45"/>
      <c r="D13" s="45"/>
      <c r="E13" s="45"/>
      <c r="F13" s="46"/>
      <c r="G13" s="78"/>
      <c r="H13" s="84"/>
      <c r="I13" s="59"/>
    </row>
    <row r="14" spans="1:9">
      <c r="A14" s="34"/>
      <c r="B14" s="58"/>
      <c r="C14" s="45" t="s">
        <v>163</v>
      </c>
      <c r="D14" s="45" t="s">
        <v>81</v>
      </c>
      <c r="E14" s="45" t="s">
        <v>0</v>
      </c>
      <c r="F14" s="47" t="s">
        <v>164</v>
      </c>
      <c r="G14" s="88">
        <v>2</v>
      </c>
      <c r="H14" s="89">
        <v>1</v>
      </c>
      <c r="I14" s="90">
        <v>3</v>
      </c>
    </row>
    <row r="15" spans="1:9" ht="22.5" customHeight="1" thickBot="1">
      <c r="A15" s="34"/>
      <c r="B15" s="60"/>
      <c r="C15" s="61"/>
      <c r="D15" s="61"/>
      <c r="E15" s="61"/>
      <c r="F15" s="62"/>
      <c r="G15" s="79"/>
      <c r="H15" s="85"/>
      <c r="I15" s="63"/>
    </row>
    <row r="16" spans="1:9" ht="22.5" customHeight="1">
      <c r="A16" s="27"/>
    </row>
    <row r="30" ht="21" customHeight="1"/>
    <row r="32" ht="21" hidden="1" customHeight="1"/>
    <row r="33" ht="21" customHeight="1"/>
    <row r="34" ht="21" customHeight="1"/>
    <row r="35" ht="21" customHeight="1"/>
    <row r="36" ht="21" customHeight="1"/>
    <row r="37" ht="21" customHeight="1"/>
    <row r="38" ht="21" customHeight="1"/>
    <row r="39" ht="21" customHeight="1"/>
    <row r="40" ht="21" customHeight="1"/>
    <row r="41" ht="21" customHeight="1"/>
    <row r="42" ht="21" customHeight="1"/>
    <row r="43" ht="21" customHeight="1"/>
    <row r="44" ht="21" customHeight="1"/>
    <row r="45" ht="21" customHeight="1"/>
    <row r="46" ht="21" customHeight="1"/>
    <row r="47" ht="21" customHeight="1"/>
    <row r="48" ht="21" customHeight="1"/>
    <row r="49" ht="21" customHeight="1"/>
    <row r="50" ht="21" customHeight="1"/>
    <row r="51" ht="21" customHeight="1"/>
    <row r="52" ht="21" customHeight="1"/>
    <row r="53" ht="21" customHeight="1"/>
    <row r="55" ht="21" customHeight="1"/>
    <row r="56" ht="21" customHeight="1"/>
    <row r="57" ht="21" customHeight="1"/>
    <row r="58" ht="21" customHeight="1"/>
    <row r="59" ht="21" customHeight="1"/>
    <row r="60" ht="21" customHeight="1"/>
    <row r="61" ht="21" customHeight="1"/>
    <row r="62" ht="21" customHeight="1"/>
    <row r="63" ht="21" customHeight="1"/>
    <row r="64" ht="21" customHeight="1"/>
    <row r="65" ht="21" customHeight="1"/>
    <row r="66" ht="21" customHeight="1"/>
    <row r="67" ht="21" customHeight="1"/>
    <row r="68" ht="21" customHeight="1"/>
    <row r="69" ht="21" customHeight="1"/>
    <row r="70" ht="21" customHeight="1"/>
    <row r="71" ht="21" customHeight="1"/>
    <row r="72" ht="21" customHeight="1"/>
    <row r="73" ht="21" customHeight="1"/>
    <row r="74" ht="21" customHeight="1"/>
  </sheetData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00000000-0002-0000-0200-000000000000}">
          <x14:formula1>
            <xm:f>Hoja2!$B$1:$B$2</xm:f>
          </x14:formula1>
          <xm:sqref>G3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2">
    <tabColor theme="4" tint="0.39997558519241921"/>
  </sheetPr>
  <dimension ref="A1:U293"/>
  <sheetViews>
    <sheetView topLeftCell="K161" zoomScale="85" zoomScaleNormal="85" workbookViewId="0">
      <selection activeCell="G111" sqref="G111:I114"/>
    </sheetView>
  </sheetViews>
  <sheetFormatPr baseColWidth="10" defaultRowHeight="15"/>
  <cols>
    <col min="1" max="1" width="2.140625" customWidth="1"/>
    <col min="2" max="2" width="3.5703125" customWidth="1"/>
    <col min="3" max="3" width="4" customWidth="1"/>
    <col min="4" max="4" width="5" customWidth="1"/>
    <col min="5" max="5" width="3" customWidth="1"/>
    <col min="6" max="6" width="93.140625" customWidth="1"/>
    <col min="7" max="21" width="20.7109375" customWidth="1"/>
  </cols>
  <sheetData>
    <row r="1" spans="1:21" ht="60" customHeight="1" thickBot="1"/>
    <row r="2" spans="1:21" ht="171.75" customHeight="1" thickBot="1">
      <c r="F2" s="38" t="s">
        <v>40</v>
      </c>
    </row>
    <row r="3" spans="1:21" ht="16.5" thickBot="1">
      <c r="A3" s="27"/>
      <c r="F3" s="71" t="s">
        <v>84</v>
      </c>
      <c r="G3" s="72" t="s">
        <v>82</v>
      </c>
    </row>
    <row r="4" spans="1:21" ht="122.25" customHeight="1" thickBot="1">
      <c r="A4" s="27" t="s">
        <v>41</v>
      </c>
      <c r="B4" s="50"/>
      <c r="C4" s="51"/>
      <c r="D4" s="51"/>
      <c r="E4" s="51"/>
      <c r="F4" s="52" t="s">
        <v>50</v>
      </c>
      <c r="G4" s="136" t="s">
        <v>171</v>
      </c>
      <c r="H4" s="137"/>
      <c r="I4" s="137"/>
      <c r="J4" s="137"/>
      <c r="K4" s="137"/>
      <c r="L4" s="137"/>
      <c r="M4" s="137"/>
      <c r="N4" s="137"/>
      <c r="O4" s="137"/>
      <c r="P4" s="137"/>
      <c r="Q4" s="137"/>
      <c r="R4" s="137"/>
      <c r="S4" s="137"/>
      <c r="T4" s="137"/>
      <c r="U4" s="138"/>
    </row>
    <row r="5" spans="1:21" ht="15.75" hidden="1" thickBot="1">
      <c r="A5" s="39" t="s">
        <v>42</v>
      </c>
      <c r="B5" s="40"/>
      <c r="C5" s="41"/>
      <c r="D5" s="41" t="s">
        <v>105</v>
      </c>
      <c r="E5" s="41" t="s">
        <v>168</v>
      </c>
      <c r="F5" s="41"/>
      <c r="G5" s="86" t="s">
        <v>170</v>
      </c>
      <c r="H5" s="86" t="s">
        <v>170</v>
      </c>
      <c r="I5" s="86" t="s">
        <v>170</v>
      </c>
      <c r="J5" s="86" t="s">
        <v>170</v>
      </c>
      <c r="K5" s="86" t="s">
        <v>170</v>
      </c>
      <c r="L5" s="86" t="s">
        <v>170</v>
      </c>
      <c r="M5" s="86" t="s">
        <v>170</v>
      </c>
      <c r="N5" s="86" t="s">
        <v>170</v>
      </c>
      <c r="O5" s="86" t="s">
        <v>170</v>
      </c>
      <c r="P5" s="86" t="s">
        <v>170</v>
      </c>
      <c r="Q5" s="86" t="s">
        <v>170</v>
      </c>
      <c r="R5" s="86" t="s">
        <v>170</v>
      </c>
      <c r="S5" s="86" t="s">
        <v>170</v>
      </c>
      <c r="T5" s="86" t="s">
        <v>170</v>
      </c>
      <c r="U5" s="86" t="s">
        <v>170</v>
      </c>
    </row>
    <row r="6" spans="1:21" ht="122.25" customHeight="1" thickBot="1">
      <c r="A6" s="27"/>
      <c r="B6" s="50"/>
      <c r="C6" s="51"/>
      <c r="D6" s="51"/>
      <c r="E6" s="51"/>
      <c r="F6" s="52"/>
      <c r="G6" s="133" t="s">
        <v>51</v>
      </c>
      <c r="H6" s="134"/>
      <c r="I6" s="134"/>
      <c r="J6" s="134"/>
      <c r="K6" s="135"/>
      <c r="L6" s="133" t="s">
        <v>52</v>
      </c>
      <c r="M6" s="134"/>
      <c r="N6" s="134"/>
      <c r="O6" s="134"/>
      <c r="P6" s="135"/>
      <c r="Q6" s="133" t="s">
        <v>53</v>
      </c>
      <c r="R6" s="134"/>
      <c r="S6" s="134"/>
      <c r="T6" s="134"/>
      <c r="U6" s="135"/>
    </row>
    <row r="7" spans="1:21" ht="15.75" hidden="1" thickBot="1">
      <c r="A7" s="39" t="s">
        <v>42</v>
      </c>
      <c r="B7" s="40"/>
      <c r="C7" s="41"/>
      <c r="D7" s="41"/>
      <c r="E7" s="41" t="s">
        <v>106</v>
      </c>
      <c r="F7" s="41"/>
      <c r="G7" s="42" t="s">
        <v>107</v>
      </c>
      <c r="H7" s="42" t="s">
        <v>107</v>
      </c>
      <c r="I7" s="42" t="s">
        <v>107</v>
      </c>
      <c r="J7" s="42" t="s">
        <v>107</v>
      </c>
      <c r="K7" s="42" t="s">
        <v>107</v>
      </c>
      <c r="L7" s="42" t="s">
        <v>108</v>
      </c>
      <c r="M7" s="42" t="s">
        <v>108</v>
      </c>
      <c r="N7" s="42" t="s">
        <v>108</v>
      </c>
      <c r="O7" s="42" t="s">
        <v>108</v>
      </c>
      <c r="P7" s="42" t="s">
        <v>108</v>
      </c>
      <c r="Q7" s="42" t="s">
        <v>109</v>
      </c>
      <c r="R7" s="42" t="s">
        <v>109</v>
      </c>
      <c r="S7" s="42" t="s">
        <v>109</v>
      </c>
      <c r="T7" s="42" t="s">
        <v>109</v>
      </c>
      <c r="U7" s="54" t="s">
        <v>109</v>
      </c>
    </row>
    <row r="8" spans="1:21" ht="75.75" thickBot="1">
      <c r="A8" s="39"/>
      <c r="B8" s="40"/>
      <c r="C8" s="41"/>
      <c r="D8" s="41"/>
      <c r="E8" s="41"/>
      <c r="F8" s="41"/>
      <c r="G8" s="43" t="s">
        <v>54</v>
      </c>
      <c r="H8" s="43" t="s">
        <v>55</v>
      </c>
      <c r="I8" s="43" t="s">
        <v>56</v>
      </c>
      <c r="J8" s="43" t="s">
        <v>57</v>
      </c>
      <c r="K8" s="43" t="s">
        <v>58</v>
      </c>
      <c r="L8" s="43" t="s">
        <v>54</v>
      </c>
      <c r="M8" s="43" t="s">
        <v>55</v>
      </c>
      <c r="N8" s="43" t="s">
        <v>56</v>
      </c>
      <c r="O8" s="43" t="s">
        <v>57</v>
      </c>
      <c r="P8" s="43" t="s">
        <v>58</v>
      </c>
      <c r="Q8" s="43" t="s">
        <v>54</v>
      </c>
      <c r="R8" s="43" t="s">
        <v>55</v>
      </c>
      <c r="S8" s="43" t="s">
        <v>56</v>
      </c>
      <c r="T8" s="43" t="s">
        <v>57</v>
      </c>
      <c r="U8" s="43" t="s">
        <v>58</v>
      </c>
    </row>
    <row r="9" spans="1:21" hidden="1">
      <c r="A9" s="39" t="s">
        <v>42</v>
      </c>
      <c r="B9" s="40"/>
      <c r="C9" s="41"/>
      <c r="D9" s="41"/>
      <c r="E9" s="41" t="s">
        <v>110</v>
      </c>
      <c r="F9" s="41"/>
      <c r="G9" s="42" t="s">
        <v>111</v>
      </c>
      <c r="H9" s="42" t="s">
        <v>112</v>
      </c>
      <c r="I9" s="42" t="s">
        <v>113</v>
      </c>
      <c r="J9" s="42" t="s">
        <v>114</v>
      </c>
      <c r="K9" s="42" t="s">
        <v>115</v>
      </c>
      <c r="L9" s="42" t="s">
        <v>111</v>
      </c>
      <c r="M9" s="42" t="s">
        <v>112</v>
      </c>
      <c r="N9" s="42" t="s">
        <v>113</v>
      </c>
      <c r="O9" s="42" t="s">
        <v>114</v>
      </c>
      <c r="P9" s="42" t="s">
        <v>115</v>
      </c>
      <c r="Q9" s="42" t="s">
        <v>111</v>
      </c>
      <c r="R9" s="42" t="s">
        <v>112</v>
      </c>
      <c r="S9" s="42" t="s">
        <v>113</v>
      </c>
      <c r="T9" s="42" t="s">
        <v>114</v>
      </c>
      <c r="U9" s="54" t="s">
        <v>115</v>
      </c>
    </row>
    <row r="10" spans="1:21" ht="22.5" customHeight="1">
      <c r="B10" s="55"/>
      <c r="C10" s="56"/>
      <c r="D10" s="56"/>
      <c r="E10" s="56"/>
      <c r="F10" s="56"/>
      <c r="G10" s="56"/>
      <c r="H10" s="56"/>
      <c r="I10" s="56"/>
      <c r="J10" s="56"/>
      <c r="K10" s="56"/>
      <c r="L10" s="56"/>
      <c r="M10" s="56"/>
      <c r="N10" s="56"/>
      <c r="O10" s="56"/>
      <c r="P10" s="56"/>
      <c r="Q10" s="56"/>
      <c r="R10" s="56"/>
      <c r="S10" s="56"/>
      <c r="T10" s="56"/>
      <c r="U10" s="57"/>
    </row>
    <row r="11" spans="1:21" ht="22.5" customHeight="1">
      <c r="B11" s="55"/>
      <c r="C11" s="56"/>
      <c r="D11" s="56"/>
      <c r="E11" s="56"/>
      <c r="F11" s="44" t="s">
        <v>20</v>
      </c>
      <c r="G11" s="56"/>
      <c r="H11" s="56"/>
      <c r="I11" s="56"/>
      <c r="J11" s="56"/>
      <c r="K11" s="56"/>
      <c r="L11" s="56"/>
      <c r="M11" s="56"/>
      <c r="N11" s="56"/>
      <c r="O11" s="56"/>
      <c r="P11" s="56"/>
      <c r="Q11" s="56"/>
      <c r="R11" s="56"/>
      <c r="S11" s="56"/>
      <c r="T11" s="56"/>
      <c r="U11" s="57"/>
    </row>
    <row r="12" spans="1:21">
      <c r="A12" s="34"/>
      <c r="B12" s="58"/>
      <c r="C12" s="45"/>
      <c r="D12" s="45"/>
      <c r="E12" s="45"/>
      <c r="F12" s="46"/>
      <c r="G12" s="45"/>
      <c r="H12" s="45"/>
      <c r="I12" s="45"/>
      <c r="J12" s="45"/>
      <c r="K12" s="45"/>
      <c r="L12" s="45"/>
      <c r="M12" s="45"/>
      <c r="N12" s="45"/>
      <c r="O12" s="45"/>
      <c r="P12" s="45"/>
      <c r="Q12" s="45"/>
      <c r="R12" s="45"/>
      <c r="S12" s="45"/>
      <c r="T12" s="45"/>
      <c r="U12" s="59"/>
    </row>
    <row r="13" spans="1:21" ht="21" customHeight="1">
      <c r="A13" s="53" t="s">
        <v>16</v>
      </c>
      <c r="B13" s="29"/>
      <c r="C13" s="4" t="s">
        <v>116</v>
      </c>
      <c r="D13" s="4" t="s">
        <v>1</v>
      </c>
      <c r="E13" s="4" t="s">
        <v>0</v>
      </c>
      <c r="F13" s="91" t="s">
        <v>215</v>
      </c>
      <c r="G13" s="33">
        <v>32000</v>
      </c>
      <c r="H13" s="33">
        <v>2000</v>
      </c>
      <c r="I13" s="33">
        <v>3000</v>
      </c>
      <c r="J13" s="93">
        <f>H13+I13</f>
        <v>5000</v>
      </c>
      <c r="K13" s="93">
        <f>+G13-J13</f>
        <v>27000</v>
      </c>
      <c r="L13" s="33">
        <v>4000</v>
      </c>
      <c r="M13" s="33">
        <v>5000</v>
      </c>
      <c r="N13" s="33">
        <v>6000</v>
      </c>
      <c r="O13" s="93">
        <f>M13+N13</f>
        <v>11000</v>
      </c>
      <c r="P13" s="93">
        <f>+L13-O13</f>
        <v>-7000</v>
      </c>
      <c r="Q13" s="93">
        <f>G13+L13</f>
        <v>36000</v>
      </c>
      <c r="R13" s="93">
        <f t="shared" ref="R13:S13" si="0">H13+M13</f>
        <v>7000</v>
      </c>
      <c r="S13" s="93">
        <f t="shared" si="0"/>
        <v>9000</v>
      </c>
      <c r="T13" s="93">
        <f>R13+S13</f>
        <v>16000</v>
      </c>
      <c r="U13" s="94">
        <f>+Q13-T13</f>
        <v>20000</v>
      </c>
    </row>
    <row r="14" spans="1:21" ht="21" customHeight="1">
      <c r="A14" s="28"/>
      <c r="B14" s="32"/>
      <c r="C14" s="4"/>
      <c r="D14" s="4"/>
      <c r="E14" s="4" t="s">
        <v>0</v>
      </c>
      <c r="F14" s="91" t="s">
        <v>181</v>
      </c>
      <c r="G14" s="30"/>
      <c r="H14" s="30"/>
      <c r="I14" s="30"/>
      <c r="J14" s="30"/>
      <c r="K14" s="30"/>
      <c r="L14" s="30"/>
      <c r="M14" s="30"/>
      <c r="N14" s="30"/>
      <c r="O14" s="30"/>
      <c r="P14" s="30"/>
      <c r="Q14" s="30"/>
      <c r="R14" s="30"/>
      <c r="S14" s="30"/>
      <c r="T14" s="30"/>
      <c r="U14" s="31"/>
    </row>
    <row r="15" spans="1:21" ht="28.5">
      <c r="A15" s="28"/>
      <c r="B15" s="32"/>
      <c r="C15" s="4"/>
      <c r="D15" s="4"/>
      <c r="E15" s="4" t="s">
        <v>0</v>
      </c>
      <c r="F15" s="91" t="s">
        <v>172</v>
      </c>
      <c r="G15" s="30"/>
      <c r="H15" s="30"/>
      <c r="I15" s="30"/>
      <c r="J15" s="30"/>
      <c r="K15" s="30"/>
      <c r="L15" s="30"/>
      <c r="M15" s="30"/>
      <c r="N15" s="30"/>
      <c r="O15" s="30"/>
      <c r="P15" s="30"/>
      <c r="Q15" s="30"/>
      <c r="R15" s="30"/>
      <c r="S15" s="30"/>
      <c r="T15" s="30"/>
      <c r="U15" s="31"/>
    </row>
    <row r="16" spans="1:21" ht="28.5">
      <c r="B16" s="32"/>
      <c r="C16" s="4" t="s">
        <v>173</v>
      </c>
      <c r="D16" s="4" t="s">
        <v>1</v>
      </c>
      <c r="E16" s="4" t="s">
        <v>0</v>
      </c>
      <c r="F16" s="124" t="s">
        <v>178</v>
      </c>
      <c r="G16" s="33">
        <v>1000</v>
      </c>
      <c r="H16" s="33">
        <v>2000</v>
      </c>
      <c r="I16" s="33">
        <v>3000</v>
      </c>
      <c r="J16" s="93">
        <f t="shared" ref="J16:J17" si="1">H16+I16</f>
        <v>5000</v>
      </c>
      <c r="K16" s="93">
        <f t="shared" ref="K16:K17" si="2">+G16-J16</f>
        <v>-4000</v>
      </c>
      <c r="L16" s="33">
        <v>4000</v>
      </c>
      <c r="M16" s="33">
        <v>5000</v>
      </c>
      <c r="N16" s="33">
        <v>6000</v>
      </c>
      <c r="O16" s="93">
        <f t="shared" ref="O16:O17" si="3">M16+N16</f>
        <v>11000</v>
      </c>
      <c r="P16" s="93">
        <f t="shared" ref="P16:P17" si="4">+L16-O16</f>
        <v>-7000</v>
      </c>
      <c r="Q16" s="93">
        <f t="shared" ref="Q16:Q17" si="5">G16+L16</f>
        <v>5000</v>
      </c>
      <c r="R16" s="93">
        <f t="shared" ref="R16:R17" si="6">H16+M16</f>
        <v>7000</v>
      </c>
      <c r="S16" s="93">
        <f t="shared" ref="S16:S17" si="7">I16+N16</f>
        <v>9000</v>
      </c>
      <c r="T16" s="93">
        <f t="shared" ref="T16:T17" si="8">R16+S16</f>
        <v>16000</v>
      </c>
      <c r="U16" s="94">
        <f t="shared" ref="U16:U17" si="9">+Q16-T16</f>
        <v>-11000</v>
      </c>
    </row>
    <row r="17" spans="2:21">
      <c r="B17" s="32"/>
      <c r="C17" s="4" t="s">
        <v>174</v>
      </c>
      <c r="D17" s="4" t="s">
        <v>1</v>
      </c>
      <c r="E17" s="4" t="s">
        <v>0</v>
      </c>
      <c r="F17" s="124" t="s">
        <v>179</v>
      </c>
      <c r="G17" s="33">
        <v>54000</v>
      </c>
      <c r="H17" s="33">
        <v>5000</v>
      </c>
      <c r="I17" s="33">
        <v>4000</v>
      </c>
      <c r="J17" s="93">
        <f t="shared" si="1"/>
        <v>9000</v>
      </c>
      <c r="K17" s="93">
        <f t="shared" si="2"/>
        <v>45000</v>
      </c>
      <c r="L17" s="33">
        <v>4000</v>
      </c>
      <c r="M17" s="33">
        <v>5000</v>
      </c>
      <c r="N17" s="33">
        <v>6000</v>
      </c>
      <c r="O17" s="93">
        <f t="shared" si="3"/>
        <v>11000</v>
      </c>
      <c r="P17" s="93">
        <f t="shared" si="4"/>
        <v>-7000</v>
      </c>
      <c r="Q17" s="93">
        <f t="shared" si="5"/>
        <v>58000</v>
      </c>
      <c r="R17" s="93">
        <f t="shared" si="6"/>
        <v>10000</v>
      </c>
      <c r="S17" s="93">
        <f t="shared" si="7"/>
        <v>10000</v>
      </c>
      <c r="T17" s="93">
        <f t="shared" si="8"/>
        <v>20000</v>
      </c>
      <c r="U17" s="94">
        <f t="shared" si="9"/>
        <v>38000</v>
      </c>
    </row>
    <row r="18" spans="2:21" ht="28.5">
      <c r="B18" s="32"/>
      <c r="C18" s="4" t="s">
        <v>117</v>
      </c>
      <c r="D18" s="4" t="s">
        <v>1</v>
      </c>
      <c r="E18" s="4" t="s">
        <v>0</v>
      </c>
      <c r="F18" s="124" t="s">
        <v>180</v>
      </c>
      <c r="G18" s="93">
        <f>G16+G17</f>
        <v>55000</v>
      </c>
      <c r="H18" s="93">
        <f t="shared" ref="H18:U18" si="10">H16+H17</f>
        <v>7000</v>
      </c>
      <c r="I18" s="93">
        <f t="shared" si="10"/>
        <v>7000</v>
      </c>
      <c r="J18" s="93">
        <f t="shared" si="10"/>
        <v>14000</v>
      </c>
      <c r="K18" s="93">
        <f t="shared" si="10"/>
        <v>41000</v>
      </c>
      <c r="L18" s="93">
        <f t="shared" si="10"/>
        <v>8000</v>
      </c>
      <c r="M18" s="93">
        <f t="shared" si="10"/>
        <v>10000</v>
      </c>
      <c r="N18" s="93">
        <f t="shared" si="10"/>
        <v>12000</v>
      </c>
      <c r="O18" s="93">
        <f t="shared" si="10"/>
        <v>22000</v>
      </c>
      <c r="P18" s="93">
        <f t="shared" si="10"/>
        <v>-14000</v>
      </c>
      <c r="Q18" s="93">
        <f t="shared" si="10"/>
        <v>63000</v>
      </c>
      <c r="R18" s="93">
        <f t="shared" si="10"/>
        <v>17000</v>
      </c>
      <c r="S18" s="93">
        <f t="shared" si="10"/>
        <v>19000</v>
      </c>
      <c r="T18" s="93">
        <f t="shared" si="10"/>
        <v>36000</v>
      </c>
      <c r="U18" s="94">
        <f t="shared" si="10"/>
        <v>27000</v>
      </c>
    </row>
    <row r="19" spans="2:21" ht="28.5">
      <c r="B19" s="32"/>
      <c r="C19" s="4" t="s">
        <v>118</v>
      </c>
      <c r="D19" s="4" t="s">
        <v>1</v>
      </c>
      <c r="E19" s="4" t="s">
        <v>0</v>
      </c>
      <c r="F19" s="92" t="s">
        <v>5</v>
      </c>
      <c r="G19" s="33">
        <v>1000</v>
      </c>
      <c r="H19" s="33">
        <v>2000</v>
      </c>
      <c r="I19" s="33">
        <v>3000</v>
      </c>
      <c r="J19" s="93">
        <f t="shared" ref="J19:J23" si="11">H19+I19</f>
        <v>5000</v>
      </c>
      <c r="K19" s="93">
        <f t="shared" ref="K19:K31" si="12">+G19-J19</f>
        <v>-4000</v>
      </c>
      <c r="L19" s="33">
        <v>4000</v>
      </c>
      <c r="M19" s="33">
        <v>5000</v>
      </c>
      <c r="N19" s="33">
        <v>6000</v>
      </c>
      <c r="O19" s="93">
        <f t="shared" ref="O19:O23" si="13">M19+N19</f>
        <v>11000</v>
      </c>
      <c r="P19" s="93">
        <f t="shared" ref="P19:P23" si="14">+L19-O19</f>
        <v>-7000</v>
      </c>
      <c r="Q19" s="93">
        <f t="shared" ref="Q19:Q23" si="15">G19+L19</f>
        <v>5000</v>
      </c>
      <c r="R19" s="93">
        <f t="shared" ref="R19:R23" si="16">H19+M19</f>
        <v>7000</v>
      </c>
      <c r="S19" s="93">
        <f t="shared" ref="S19:S23" si="17">I19+N19</f>
        <v>9000</v>
      </c>
      <c r="T19" s="93">
        <f t="shared" ref="T19:T23" si="18">R19+S19</f>
        <v>16000</v>
      </c>
      <c r="U19" s="94">
        <f t="shared" ref="U19:U23" si="19">+Q19-T19</f>
        <v>-11000</v>
      </c>
    </row>
    <row r="20" spans="2:21" ht="21" customHeight="1">
      <c r="B20" s="32"/>
      <c r="C20" s="4" t="s">
        <v>119</v>
      </c>
      <c r="D20" s="4" t="s">
        <v>1</v>
      </c>
      <c r="E20" s="4" t="s">
        <v>0</v>
      </c>
      <c r="F20" s="92" t="s">
        <v>6</v>
      </c>
      <c r="G20" s="33">
        <v>6000</v>
      </c>
      <c r="H20" s="33">
        <v>5000</v>
      </c>
      <c r="I20" s="33">
        <v>4000</v>
      </c>
      <c r="J20" s="93">
        <f t="shared" si="11"/>
        <v>9000</v>
      </c>
      <c r="K20" s="93">
        <f t="shared" si="12"/>
        <v>-3000</v>
      </c>
      <c r="L20" s="33">
        <v>4000</v>
      </c>
      <c r="M20" s="33">
        <v>5000</v>
      </c>
      <c r="N20" s="33">
        <v>6000</v>
      </c>
      <c r="O20" s="93">
        <f t="shared" si="13"/>
        <v>11000</v>
      </c>
      <c r="P20" s="93">
        <f t="shared" si="14"/>
        <v>-7000</v>
      </c>
      <c r="Q20" s="93">
        <f t="shared" si="15"/>
        <v>10000</v>
      </c>
      <c r="R20" s="93">
        <f t="shared" si="16"/>
        <v>10000</v>
      </c>
      <c r="S20" s="93">
        <f t="shared" si="17"/>
        <v>10000</v>
      </c>
      <c r="T20" s="93">
        <f t="shared" si="18"/>
        <v>20000</v>
      </c>
      <c r="U20" s="94">
        <f t="shared" si="19"/>
        <v>-10000</v>
      </c>
    </row>
    <row r="21" spans="2:21">
      <c r="B21" s="32"/>
      <c r="C21" s="4" t="s">
        <v>120</v>
      </c>
      <c r="D21" s="4" t="s">
        <v>1</v>
      </c>
      <c r="E21" s="4" t="s">
        <v>0</v>
      </c>
      <c r="F21" s="92" t="s">
        <v>7</v>
      </c>
      <c r="G21" s="33">
        <v>6000</v>
      </c>
      <c r="H21" s="33">
        <v>5000</v>
      </c>
      <c r="I21" s="33">
        <v>4000</v>
      </c>
      <c r="J21" s="93">
        <f t="shared" si="11"/>
        <v>9000</v>
      </c>
      <c r="K21" s="93">
        <f t="shared" si="12"/>
        <v>-3000</v>
      </c>
      <c r="L21" s="33">
        <v>4000</v>
      </c>
      <c r="M21" s="33">
        <v>5000</v>
      </c>
      <c r="N21" s="33">
        <v>6000</v>
      </c>
      <c r="O21" s="93">
        <f t="shared" si="13"/>
        <v>11000</v>
      </c>
      <c r="P21" s="93">
        <f t="shared" si="14"/>
        <v>-7000</v>
      </c>
      <c r="Q21" s="93">
        <f t="shared" si="15"/>
        <v>10000</v>
      </c>
      <c r="R21" s="93">
        <f t="shared" si="16"/>
        <v>10000</v>
      </c>
      <c r="S21" s="93">
        <f t="shared" si="17"/>
        <v>10000</v>
      </c>
      <c r="T21" s="93">
        <f t="shared" si="18"/>
        <v>20000</v>
      </c>
      <c r="U21" s="94">
        <f t="shared" si="19"/>
        <v>-10000</v>
      </c>
    </row>
    <row r="22" spans="2:21" ht="28.5">
      <c r="B22" s="32"/>
      <c r="C22" s="4" t="s">
        <v>121</v>
      </c>
      <c r="D22" s="4" t="s">
        <v>1</v>
      </c>
      <c r="E22" s="4" t="s">
        <v>0</v>
      </c>
      <c r="F22" s="92" t="s">
        <v>8</v>
      </c>
      <c r="G22" s="33">
        <v>6000</v>
      </c>
      <c r="H22" s="33">
        <v>5000</v>
      </c>
      <c r="I22" s="33">
        <v>4000</v>
      </c>
      <c r="J22" s="93">
        <f t="shared" si="11"/>
        <v>9000</v>
      </c>
      <c r="K22" s="93">
        <f t="shared" si="12"/>
        <v>-3000</v>
      </c>
      <c r="L22" s="33">
        <v>4000</v>
      </c>
      <c r="M22" s="33">
        <v>5000</v>
      </c>
      <c r="N22" s="33">
        <v>6000</v>
      </c>
      <c r="O22" s="93">
        <f t="shared" si="13"/>
        <v>11000</v>
      </c>
      <c r="P22" s="93">
        <f t="shared" si="14"/>
        <v>-7000</v>
      </c>
      <c r="Q22" s="93">
        <f t="shared" si="15"/>
        <v>10000</v>
      </c>
      <c r="R22" s="93">
        <f t="shared" si="16"/>
        <v>10000</v>
      </c>
      <c r="S22" s="93">
        <f t="shared" si="17"/>
        <v>10000</v>
      </c>
      <c r="T22" s="93">
        <f t="shared" si="18"/>
        <v>20000</v>
      </c>
      <c r="U22" s="94">
        <f t="shared" si="19"/>
        <v>-10000</v>
      </c>
    </row>
    <row r="23" spans="2:21" ht="28.5">
      <c r="B23" s="32"/>
      <c r="C23" s="4" t="s">
        <v>122</v>
      </c>
      <c r="D23" s="4" t="s">
        <v>1</v>
      </c>
      <c r="E23" s="4" t="s">
        <v>0</v>
      </c>
      <c r="F23" s="92" t="s">
        <v>9</v>
      </c>
      <c r="G23" s="33">
        <v>6000</v>
      </c>
      <c r="H23" s="33">
        <v>5000</v>
      </c>
      <c r="I23" s="33">
        <v>4000</v>
      </c>
      <c r="J23" s="93">
        <f t="shared" si="11"/>
        <v>9000</v>
      </c>
      <c r="K23" s="93">
        <f t="shared" si="12"/>
        <v>-3000</v>
      </c>
      <c r="L23" s="33">
        <v>4000</v>
      </c>
      <c r="M23" s="33">
        <v>5000</v>
      </c>
      <c r="N23" s="33">
        <v>6000</v>
      </c>
      <c r="O23" s="93">
        <f t="shared" si="13"/>
        <v>11000</v>
      </c>
      <c r="P23" s="93">
        <f t="shared" si="14"/>
        <v>-7000</v>
      </c>
      <c r="Q23" s="93">
        <f t="shared" si="15"/>
        <v>10000</v>
      </c>
      <c r="R23" s="93">
        <f t="shared" si="16"/>
        <v>10000</v>
      </c>
      <c r="S23" s="93">
        <f t="shared" si="17"/>
        <v>10000</v>
      </c>
      <c r="T23" s="93">
        <f t="shared" si="18"/>
        <v>20000</v>
      </c>
      <c r="U23" s="94">
        <f t="shared" si="19"/>
        <v>-10000</v>
      </c>
    </row>
    <row r="24" spans="2:21" ht="28.5">
      <c r="B24" s="32"/>
      <c r="C24" s="4"/>
      <c r="D24" s="4"/>
      <c r="E24" s="4" t="s">
        <v>0</v>
      </c>
      <c r="F24" s="91" t="s">
        <v>17</v>
      </c>
      <c r="G24" s="30"/>
      <c r="H24" s="30"/>
      <c r="I24" s="30"/>
      <c r="J24" s="30"/>
      <c r="K24" s="30"/>
      <c r="L24" s="30"/>
      <c r="M24" s="30"/>
      <c r="N24" s="30"/>
      <c r="O24" s="30"/>
      <c r="P24" s="30"/>
      <c r="Q24" s="30"/>
      <c r="R24" s="30"/>
      <c r="S24" s="30"/>
      <c r="T24" s="30"/>
      <c r="U24" s="31"/>
    </row>
    <row r="25" spans="2:21" ht="28.5">
      <c r="B25" s="32"/>
      <c r="C25" s="4" t="s">
        <v>123</v>
      </c>
      <c r="D25" s="4" t="s">
        <v>1</v>
      </c>
      <c r="E25" s="4" t="s">
        <v>0</v>
      </c>
      <c r="F25" s="92" t="s">
        <v>10</v>
      </c>
      <c r="G25" s="33">
        <v>6000</v>
      </c>
      <c r="H25" s="33">
        <v>5000</v>
      </c>
      <c r="I25" s="33">
        <v>4000</v>
      </c>
      <c r="J25" s="93">
        <f>H25+I25</f>
        <v>9000</v>
      </c>
      <c r="K25" s="93">
        <f t="shared" si="12"/>
        <v>-3000</v>
      </c>
      <c r="L25" s="33">
        <v>4000</v>
      </c>
      <c r="M25" s="33">
        <v>5000</v>
      </c>
      <c r="N25" s="33">
        <v>6000</v>
      </c>
      <c r="O25" s="93">
        <f>M25+N25</f>
        <v>11000</v>
      </c>
      <c r="P25" s="93">
        <f t="shared" ref="P25:P31" si="20">+L25-O25</f>
        <v>-7000</v>
      </c>
      <c r="Q25" s="93">
        <f t="shared" ref="Q25:Q33" si="21">G25+L25</f>
        <v>10000</v>
      </c>
      <c r="R25" s="93">
        <f t="shared" ref="R25:R33" si="22">H25+M25</f>
        <v>10000</v>
      </c>
      <c r="S25" s="93">
        <f t="shared" ref="S25:S33" si="23">I25+N25</f>
        <v>10000</v>
      </c>
      <c r="T25" s="93">
        <f>R25+S25</f>
        <v>20000</v>
      </c>
      <c r="U25" s="94">
        <f t="shared" ref="U25:U31" si="24">+Q25-T25</f>
        <v>-10000</v>
      </c>
    </row>
    <row r="26" spans="2:21" ht="28.5">
      <c r="B26" s="32"/>
      <c r="C26" s="4" t="s">
        <v>124</v>
      </c>
      <c r="D26" s="4" t="s">
        <v>1</v>
      </c>
      <c r="E26" s="4" t="s">
        <v>0</v>
      </c>
      <c r="F26" s="92" t="s">
        <v>11</v>
      </c>
      <c r="G26" s="33">
        <v>6000</v>
      </c>
      <c r="H26" s="33">
        <v>5000</v>
      </c>
      <c r="I26" s="33">
        <v>4000</v>
      </c>
      <c r="J26" s="93">
        <f>H26+I26</f>
        <v>9000</v>
      </c>
      <c r="K26" s="93">
        <f t="shared" si="12"/>
        <v>-3000</v>
      </c>
      <c r="L26" s="33">
        <v>4000</v>
      </c>
      <c r="M26" s="33">
        <v>5000</v>
      </c>
      <c r="N26" s="33">
        <v>6000</v>
      </c>
      <c r="O26" s="93">
        <f>M26+N26</f>
        <v>11000</v>
      </c>
      <c r="P26" s="93">
        <f t="shared" si="20"/>
        <v>-7000</v>
      </c>
      <c r="Q26" s="93">
        <f t="shared" si="21"/>
        <v>10000</v>
      </c>
      <c r="R26" s="93">
        <f t="shared" si="22"/>
        <v>10000</v>
      </c>
      <c r="S26" s="93">
        <f t="shared" si="23"/>
        <v>10000</v>
      </c>
      <c r="T26" s="93">
        <f>R26+S26</f>
        <v>20000</v>
      </c>
      <c r="U26" s="94">
        <f t="shared" si="24"/>
        <v>-10000</v>
      </c>
    </row>
    <row r="27" spans="2:21" ht="28.5">
      <c r="B27" s="32"/>
      <c r="C27" s="4" t="s">
        <v>125</v>
      </c>
      <c r="D27" s="4" t="s">
        <v>1</v>
      </c>
      <c r="E27" s="4" t="s">
        <v>0</v>
      </c>
      <c r="F27" s="91" t="s">
        <v>18</v>
      </c>
      <c r="G27" s="93">
        <f>G25+G26</f>
        <v>12000</v>
      </c>
      <c r="H27" s="93">
        <f t="shared" ref="H27:J27" si="25">H25+H26</f>
        <v>10000</v>
      </c>
      <c r="I27" s="93">
        <f t="shared" si="25"/>
        <v>8000</v>
      </c>
      <c r="J27" s="93">
        <f t="shared" si="25"/>
        <v>18000</v>
      </c>
      <c r="K27" s="93">
        <f t="shared" si="12"/>
        <v>-6000</v>
      </c>
      <c r="L27" s="93">
        <f>L25+L26</f>
        <v>8000</v>
      </c>
      <c r="M27" s="93">
        <f t="shared" ref="M27:O27" si="26">M25+M26</f>
        <v>10000</v>
      </c>
      <c r="N27" s="93">
        <f t="shared" si="26"/>
        <v>12000</v>
      </c>
      <c r="O27" s="93">
        <f t="shared" si="26"/>
        <v>22000</v>
      </c>
      <c r="P27" s="93">
        <f t="shared" si="20"/>
        <v>-14000</v>
      </c>
      <c r="Q27" s="93">
        <f t="shared" si="21"/>
        <v>20000</v>
      </c>
      <c r="R27" s="93">
        <f t="shared" si="22"/>
        <v>20000</v>
      </c>
      <c r="S27" s="93">
        <f t="shared" si="23"/>
        <v>20000</v>
      </c>
      <c r="T27" s="93">
        <f t="shared" ref="T27" si="27">T25+T26</f>
        <v>40000</v>
      </c>
      <c r="U27" s="94">
        <f t="shared" si="24"/>
        <v>-20000</v>
      </c>
    </row>
    <row r="28" spans="2:21" ht="21" customHeight="1">
      <c r="B28" s="32"/>
      <c r="C28" s="4" t="s">
        <v>126</v>
      </c>
      <c r="D28" s="4" t="s">
        <v>1</v>
      </c>
      <c r="E28" s="4" t="s">
        <v>0</v>
      </c>
      <c r="F28" s="92" t="s">
        <v>12</v>
      </c>
      <c r="G28" s="33">
        <v>6000</v>
      </c>
      <c r="H28" s="33">
        <v>5000</v>
      </c>
      <c r="I28" s="33">
        <v>4000</v>
      </c>
      <c r="J28" s="93">
        <f>H28+I28</f>
        <v>9000</v>
      </c>
      <c r="K28" s="93">
        <f t="shared" si="12"/>
        <v>-3000</v>
      </c>
      <c r="L28" s="33">
        <v>4000</v>
      </c>
      <c r="M28" s="33">
        <v>5000</v>
      </c>
      <c r="N28" s="33">
        <v>6000</v>
      </c>
      <c r="O28" s="93">
        <f>M28+N28</f>
        <v>11000</v>
      </c>
      <c r="P28" s="93">
        <f t="shared" si="20"/>
        <v>-7000</v>
      </c>
      <c r="Q28" s="93">
        <f t="shared" si="21"/>
        <v>10000</v>
      </c>
      <c r="R28" s="93">
        <f t="shared" si="22"/>
        <v>10000</v>
      </c>
      <c r="S28" s="93">
        <f t="shared" si="23"/>
        <v>10000</v>
      </c>
      <c r="T28" s="93">
        <f>R28+S28</f>
        <v>20000</v>
      </c>
      <c r="U28" s="94">
        <f t="shared" si="24"/>
        <v>-10000</v>
      </c>
    </row>
    <row r="29" spans="2:21" ht="21" customHeight="1">
      <c r="B29" s="32"/>
      <c r="C29" s="4" t="s">
        <v>127</v>
      </c>
      <c r="D29" s="4" t="s">
        <v>1</v>
      </c>
      <c r="E29" s="4" t="s">
        <v>0</v>
      </c>
      <c r="F29" s="92" t="s">
        <v>13</v>
      </c>
      <c r="G29" s="33">
        <v>6000</v>
      </c>
      <c r="H29" s="33">
        <v>5000</v>
      </c>
      <c r="I29" s="33">
        <v>4000</v>
      </c>
      <c r="J29" s="93">
        <f>H29+I29</f>
        <v>9000</v>
      </c>
      <c r="K29" s="93">
        <f t="shared" si="12"/>
        <v>-3000</v>
      </c>
      <c r="L29" s="33">
        <v>4000</v>
      </c>
      <c r="M29" s="33">
        <v>5000</v>
      </c>
      <c r="N29" s="33">
        <v>6000</v>
      </c>
      <c r="O29" s="93">
        <f>M29+N29</f>
        <v>11000</v>
      </c>
      <c r="P29" s="93">
        <f t="shared" si="20"/>
        <v>-7000</v>
      </c>
      <c r="Q29" s="93">
        <f t="shared" si="21"/>
        <v>10000</v>
      </c>
      <c r="R29" s="93">
        <f t="shared" si="22"/>
        <v>10000</v>
      </c>
      <c r="S29" s="93">
        <f t="shared" si="23"/>
        <v>10000</v>
      </c>
      <c r="T29" s="93">
        <f>R29+S29</f>
        <v>20000</v>
      </c>
      <c r="U29" s="94">
        <f t="shared" si="24"/>
        <v>-10000</v>
      </c>
    </row>
    <row r="30" spans="2:21" ht="21" customHeight="1">
      <c r="B30" s="32"/>
      <c r="C30" s="4" t="s">
        <v>128</v>
      </c>
      <c r="D30" s="4" t="s">
        <v>1</v>
      </c>
      <c r="E30" s="4" t="s">
        <v>0</v>
      </c>
      <c r="F30" s="92" t="s">
        <v>14</v>
      </c>
      <c r="G30" s="33">
        <v>6000</v>
      </c>
      <c r="H30" s="33">
        <v>5000</v>
      </c>
      <c r="I30" s="33">
        <v>4000</v>
      </c>
      <c r="J30" s="93">
        <f>H30+I30</f>
        <v>9000</v>
      </c>
      <c r="K30" s="93">
        <f t="shared" si="12"/>
        <v>-3000</v>
      </c>
      <c r="L30" s="33">
        <v>4000</v>
      </c>
      <c r="M30" s="33">
        <v>5000</v>
      </c>
      <c r="N30" s="33">
        <v>6000</v>
      </c>
      <c r="O30" s="93">
        <f>M30+N30</f>
        <v>11000</v>
      </c>
      <c r="P30" s="93">
        <f t="shared" si="20"/>
        <v>-7000</v>
      </c>
      <c r="Q30" s="93">
        <f t="shared" si="21"/>
        <v>10000</v>
      </c>
      <c r="R30" s="93">
        <f t="shared" si="22"/>
        <v>10000</v>
      </c>
      <c r="S30" s="93">
        <f t="shared" si="23"/>
        <v>10000</v>
      </c>
      <c r="T30" s="93">
        <f>R30+S30</f>
        <v>20000</v>
      </c>
      <c r="U30" s="94">
        <f t="shared" si="24"/>
        <v>-10000</v>
      </c>
    </row>
    <row r="31" spans="2:21" ht="21" customHeight="1">
      <c r="B31" s="32"/>
      <c r="C31" s="4" t="s">
        <v>129</v>
      </c>
      <c r="D31" s="4" t="s">
        <v>1</v>
      </c>
      <c r="E31" s="4" t="s">
        <v>0</v>
      </c>
      <c r="F31" s="92" t="s">
        <v>15</v>
      </c>
      <c r="G31" s="33">
        <v>6000</v>
      </c>
      <c r="H31" s="33">
        <v>5000</v>
      </c>
      <c r="I31" s="33">
        <v>4000</v>
      </c>
      <c r="J31" s="93">
        <f>H31+I31</f>
        <v>9000</v>
      </c>
      <c r="K31" s="93">
        <f t="shared" si="12"/>
        <v>-3000</v>
      </c>
      <c r="L31" s="33">
        <v>4000</v>
      </c>
      <c r="M31" s="33">
        <v>5000</v>
      </c>
      <c r="N31" s="33">
        <v>6000</v>
      </c>
      <c r="O31" s="93">
        <f>M31+N31</f>
        <v>11000</v>
      </c>
      <c r="P31" s="93">
        <f t="shared" si="20"/>
        <v>-7000</v>
      </c>
      <c r="Q31" s="93">
        <f t="shared" si="21"/>
        <v>10000</v>
      </c>
      <c r="R31" s="93">
        <f t="shared" si="22"/>
        <v>10000</v>
      </c>
      <c r="S31" s="93">
        <f t="shared" si="23"/>
        <v>10000</v>
      </c>
      <c r="T31" s="93">
        <f>R31+S31</f>
        <v>20000</v>
      </c>
      <c r="U31" s="94">
        <f t="shared" si="24"/>
        <v>-10000</v>
      </c>
    </row>
    <row r="32" spans="2:21" ht="21" customHeight="1">
      <c r="B32" s="32"/>
      <c r="C32" s="4" t="s">
        <v>130</v>
      </c>
      <c r="D32" s="4" t="s">
        <v>1</v>
      </c>
      <c r="E32" s="4" t="s">
        <v>0</v>
      </c>
      <c r="F32" s="91" t="s">
        <v>19</v>
      </c>
      <c r="G32" s="93">
        <f>G18+G19+G20-G21-G22+G23+G27+G28-G29-G30-G31</f>
        <v>56000</v>
      </c>
      <c r="H32" s="93">
        <f t="shared" ref="H32:U32" si="28">H18+H19+H20-H21-H22+H23+H27+H28-H29-H30-H31</f>
        <v>9000</v>
      </c>
      <c r="I32" s="93">
        <f t="shared" si="28"/>
        <v>10000</v>
      </c>
      <c r="J32" s="93">
        <f t="shared" si="28"/>
        <v>19000</v>
      </c>
      <c r="K32" s="93">
        <f t="shared" si="28"/>
        <v>37000</v>
      </c>
      <c r="L32" s="93">
        <f t="shared" si="28"/>
        <v>12000</v>
      </c>
      <c r="M32" s="93">
        <f t="shared" si="28"/>
        <v>15000</v>
      </c>
      <c r="N32" s="93">
        <f t="shared" si="28"/>
        <v>18000</v>
      </c>
      <c r="O32" s="93">
        <f t="shared" si="28"/>
        <v>33000</v>
      </c>
      <c r="P32" s="93">
        <f t="shared" si="28"/>
        <v>-21000</v>
      </c>
      <c r="Q32" s="93">
        <f t="shared" si="28"/>
        <v>68000</v>
      </c>
      <c r="R32" s="93">
        <f t="shared" si="28"/>
        <v>24000</v>
      </c>
      <c r="S32" s="93">
        <f t="shared" si="28"/>
        <v>28000</v>
      </c>
      <c r="T32" s="93">
        <f t="shared" si="28"/>
        <v>52000</v>
      </c>
      <c r="U32" s="94">
        <f t="shared" si="28"/>
        <v>16000</v>
      </c>
    </row>
    <row r="33" spans="1:21" ht="21" customHeight="1">
      <c r="B33" s="32"/>
      <c r="C33" s="4" t="s">
        <v>116</v>
      </c>
      <c r="D33" s="4" t="s">
        <v>1</v>
      </c>
      <c r="E33" s="4" t="s">
        <v>0</v>
      </c>
      <c r="F33" s="91" t="s">
        <v>39</v>
      </c>
      <c r="G33" s="93">
        <f t="shared" ref="G33:P33" si="29">G13+G32</f>
        <v>88000</v>
      </c>
      <c r="H33" s="93">
        <f t="shared" si="29"/>
        <v>11000</v>
      </c>
      <c r="I33" s="93">
        <f t="shared" si="29"/>
        <v>13000</v>
      </c>
      <c r="J33" s="93">
        <f t="shared" si="29"/>
        <v>24000</v>
      </c>
      <c r="K33" s="93">
        <f t="shared" si="29"/>
        <v>64000</v>
      </c>
      <c r="L33" s="93">
        <f t="shared" si="29"/>
        <v>16000</v>
      </c>
      <c r="M33" s="93">
        <f t="shared" si="29"/>
        <v>20000</v>
      </c>
      <c r="N33" s="93">
        <f t="shared" si="29"/>
        <v>24000</v>
      </c>
      <c r="O33" s="93">
        <f t="shared" si="29"/>
        <v>44000</v>
      </c>
      <c r="P33" s="93">
        <f t="shared" si="29"/>
        <v>-28000</v>
      </c>
      <c r="Q33" s="93">
        <f t="shared" si="21"/>
        <v>104000</v>
      </c>
      <c r="R33" s="93">
        <f t="shared" si="22"/>
        <v>31000</v>
      </c>
      <c r="S33" s="93">
        <f t="shared" si="23"/>
        <v>37000</v>
      </c>
      <c r="T33" s="93">
        <f>T13+T32</f>
        <v>68000</v>
      </c>
      <c r="U33" s="95">
        <f>U13+U32</f>
        <v>36000</v>
      </c>
    </row>
    <row r="34" spans="1:21">
      <c r="A34" s="34"/>
      <c r="B34" s="58"/>
      <c r="C34" s="45"/>
      <c r="D34" s="45"/>
      <c r="E34" s="45"/>
      <c r="F34" s="46"/>
      <c r="G34" s="45"/>
      <c r="H34" s="45"/>
      <c r="I34" s="45"/>
      <c r="J34" s="45"/>
      <c r="K34" s="45"/>
      <c r="L34" s="45"/>
      <c r="M34" s="45"/>
      <c r="N34" s="45"/>
      <c r="O34" s="45"/>
      <c r="P34" s="45"/>
      <c r="Q34" s="64"/>
      <c r="R34" s="64"/>
      <c r="S34" s="64"/>
      <c r="T34" s="64"/>
      <c r="U34" s="59"/>
    </row>
    <row r="35" spans="1:21">
      <c r="A35" s="34"/>
      <c r="B35" s="58"/>
      <c r="C35" s="45"/>
      <c r="D35" s="45"/>
      <c r="E35" s="45"/>
      <c r="F35" s="46"/>
      <c r="G35" s="45"/>
      <c r="H35" s="45"/>
      <c r="I35" s="45"/>
      <c r="J35" s="45"/>
      <c r="K35" s="45"/>
      <c r="L35" s="45"/>
      <c r="M35" s="45"/>
      <c r="N35" s="45"/>
      <c r="O35" s="45"/>
      <c r="P35" s="45"/>
      <c r="Q35" s="45"/>
      <c r="R35" s="45"/>
      <c r="S35" s="45"/>
      <c r="T35" s="45"/>
      <c r="U35" s="59"/>
    </row>
    <row r="36" spans="1:21" ht="22.5" customHeight="1">
      <c r="B36" s="55"/>
      <c r="C36" s="56"/>
      <c r="D36" s="56"/>
      <c r="E36" s="56"/>
      <c r="F36" s="44" t="s">
        <v>21</v>
      </c>
      <c r="G36" s="56"/>
      <c r="H36" s="56"/>
      <c r="I36" s="56"/>
      <c r="J36" s="56"/>
      <c r="K36" s="56"/>
      <c r="L36" s="56"/>
      <c r="M36" s="56"/>
      <c r="N36" s="56"/>
      <c r="O36" s="56"/>
      <c r="P36" s="56"/>
      <c r="Q36" s="56"/>
      <c r="R36" s="56"/>
      <c r="S36" s="56"/>
      <c r="T36" s="56"/>
      <c r="U36" s="57"/>
    </row>
    <row r="37" spans="1:21">
      <c r="A37" s="34"/>
      <c r="B37" s="58"/>
      <c r="C37" s="45"/>
      <c r="D37" s="45"/>
      <c r="E37" s="45"/>
      <c r="F37" s="46"/>
      <c r="G37" s="45"/>
      <c r="H37" s="45"/>
      <c r="I37" s="45"/>
      <c r="J37" s="45"/>
      <c r="K37" s="45"/>
      <c r="L37" s="45"/>
      <c r="M37" s="45"/>
      <c r="N37" s="45"/>
      <c r="O37" s="45"/>
      <c r="P37" s="45"/>
      <c r="Q37" s="48"/>
      <c r="R37" s="48"/>
      <c r="S37" s="48"/>
      <c r="T37" s="48"/>
      <c r="U37" s="59"/>
    </row>
    <row r="38" spans="1:21" ht="34.5">
      <c r="A38" s="70" t="s">
        <v>16</v>
      </c>
      <c r="B38" s="32"/>
      <c r="C38" s="4" t="s">
        <v>116</v>
      </c>
      <c r="D38" s="4" t="s">
        <v>2</v>
      </c>
      <c r="E38" s="4" t="s">
        <v>0</v>
      </c>
      <c r="F38" s="91" t="s">
        <v>216</v>
      </c>
      <c r="G38" s="33">
        <v>1000</v>
      </c>
      <c r="H38" s="33">
        <v>2000</v>
      </c>
      <c r="I38" s="33">
        <v>3000</v>
      </c>
      <c r="J38" s="93">
        <f>H38+I38</f>
        <v>5000</v>
      </c>
      <c r="K38" s="93">
        <f>+G38-J38</f>
        <v>-4000</v>
      </c>
      <c r="L38" s="33">
        <v>4000</v>
      </c>
      <c r="M38" s="33">
        <v>5000</v>
      </c>
      <c r="N38" s="33">
        <v>6000</v>
      </c>
      <c r="O38" s="93">
        <f>M38+N38</f>
        <v>11000</v>
      </c>
      <c r="P38" s="93">
        <f>+L38-O38</f>
        <v>-7000</v>
      </c>
      <c r="Q38" s="93">
        <f>G38+L38</f>
        <v>5000</v>
      </c>
      <c r="R38" s="93">
        <f t="shared" ref="R38" si="30">H38+M38</f>
        <v>7000</v>
      </c>
      <c r="S38" s="93">
        <f t="shared" ref="S38" si="31">I38+N38</f>
        <v>9000</v>
      </c>
      <c r="T38" s="93">
        <f>R38+S38</f>
        <v>16000</v>
      </c>
      <c r="U38" s="94">
        <f>+Q38-T38</f>
        <v>-11000</v>
      </c>
    </row>
    <row r="39" spans="1:21">
      <c r="A39" s="28"/>
      <c r="B39" s="32"/>
      <c r="C39" s="4"/>
      <c r="D39" s="4"/>
      <c r="E39" s="4" t="s">
        <v>0</v>
      </c>
      <c r="F39" s="91" t="s">
        <v>181</v>
      </c>
      <c r="G39" s="30"/>
      <c r="H39" s="30"/>
      <c r="I39" s="30"/>
      <c r="J39" s="30"/>
      <c r="K39" s="30"/>
      <c r="L39" s="30"/>
      <c r="M39" s="30"/>
      <c r="N39" s="30"/>
      <c r="O39" s="30"/>
      <c r="P39" s="30"/>
      <c r="Q39" s="30"/>
      <c r="R39" s="30"/>
      <c r="S39" s="30"/>
      <c r="T39" s="30"/>
      <c r="U39" s="31"/>
    </row>
    <row r="40" spans="1:21" ht="28.5">
      <c r="A40" s="28"/>
      <c r="B40" s="32"/>
      <c r="C40" s="4"/>
      <c r="D40" s="4"/>
      <c r="E40" s="4" t="s">
        <v>0</v>
      </c>
      <c r="F40" s="91" t="s">
        <v>172</v>
      </c>
      <c r="G40" s="30"/>
      <c r="H40" s="30"/>
      <c r="I40" s="30"/>
      <c r="J40" s="30"/>
      <c r="K40" s="30"/>
      <c r="L40" s="30"/>
      <c r="M40" s="30"/>
      <c r="N40" s="30"/>
      <c r="O40" s="30"/>
      <c r="P40" s="30"/>
      <c r="Q40" s="30"/>
      <c r="R40" s="30"/>
      <c r="S40" s="30"/>
      <c r="T40" s="30"/>
      <c r="U40" s="31"/>
    </row>
    <row r="41" spans="1:21" ht="28.5">
      <c r="B41" s="32"/>
      <c r="C41" s="4" t="s">
        <v>173</v>
      </c>
      <c r="D41" s="4" t="s">
        <v>81</v>
      </c>
      <c r="E41" s="4" t="s">
        <v>0</v>
      </c>
      <c r="F41" s="124" t="s">
        <v>178</v>
      </c>
      <c r="G41" s="33">
        <v>13000</v>
      </c>
      <c r="H41" s="33">
        <v>2000</v>
      </c>
      <c r="I41" s="33">
        <v>3000</v>
      </c>
      <c r="J41" s="93">
        <f t="shared" ref="J41:J42" si="32">H41+I41</f>
        <v>5000</v>
      </c>
      <c r="K41" s="93">
        <f t="shared" ref="K41:K42" si="33">+G41-J41</f>
        <v>8000</v>
      </c>
      <c r="L41" s="33">
        <v>4000</v>
      </c>
      <c r="M41" s="33">
        <v>5000</v>
      </c>
      <c r="N41" s="33">
        <v>6000</v>
      </c>
      <c r="O41" s="93">
        <f t="shared" ref="O41:O42" si="34">M41+N41</f>
        <v>11000</v>
      </c>
      <c r="P41" s="93">
        <f t="shared" ref="P41:P42" si="35">+L41-O41</f>
        <v>-7000</v>
      </c>
      <c r="Q41" s="93">
        <f t="shared" ref="Q41:Q42" si="36">G41+L41</f>
        <v>17000</v>
      </c>
      <c r="R41" s="93">
        <f t="shared" ref="R41:R42" si="37">H41+M41</f>
        <v>7000</v>
      </c>
      <c r="S41" s="93">
        <f t="shared" ref="S41:S42" si="38">I41+N41</f>
        <v>9000</v>
      </c>
      <c r="T41" s="93">
        <f t="shared" ref="T41:T42" si="39">R41+S41</f>
        <v>16000</v>
      </c>
      <c r="U41" s="94">
        <f t="shared" ref="U41:U42" si="40">+Q41-T41</f>
        <v>1000</v>
      </c>
    </row>
    <row r="42" spans="1:21">
      <c r="B42" s="32"/>
      <c r="C42" s="4" t="s">
        <v>174</v>
      </c>
      <c r="D42" s="4" t="s">
        <v>81</v>
      </c>
      <c r="E42" s="4" t="s">
        <v>0</v>
      </c>
      <c r="F42" s="124" t="s">
        <v>179</v>
      </c>
      <c r="G42" s="33">
        <v>25000</v>
      </c>
      <c r="H42" s="33">
        <v>5000</v>
      </c>
      <c r="I42" s="33">
        <v>4000</v>
      </c>
      <c r="J42" s="93">
        <f t="shared" si="32"/>
        <v>9000</v>
      </c>
      <c r="K42" s="93">
        <f t="shared" si="33"/>
        <v>16000</v>
      </c>
      <c r="L42" s="33">
        <v>4000</v>
      </c>
      <c r="M42" s="33">
        <v>5000</v>
      </c>
      <c r="N42" s="33">
        <v>6000</v>
      </c>
      <c r="O42" s="93">
        <f t="shared" si="34"/>
        <v>11000</v>
      </c>
      <c r="P42" s="93">
        <f t="shared" si="35"/>
        <v>-7000</v>
      </c>
      <c r="Q42" s="93">
        <f t="shared" si="36"/>
        <v>29000</v>
      </c>
      <c r="R42" s="93">
        <f t="shared" si="37"/>
        <v>10000</v>
      </c>
      <c r="S42" s="93">
        <f t="shared" si="38"/>
        <v>10000</v>
      </c>
      <c r="T42" s="93">
        <f t="shared" si="39"/>
        <v>20000</v>
      </c>
      <c r="U42" s="94">
        <f t="shared" si="40"/>
        <v>9000</v>
      </c>
    </row>
    <row r="43" spans="1:21" ht="28.5">
      <c r="B43" s="32"/>
      <c r="C43" s="4" t="s">
        <v>117</v>
      </c>
      <c r="D43" s="4" t="s">
        <v>81</v>
      </c>
      <c r="E43" s="4" t="s">
        <v>0</v>
      </c>
      <c r="F43" s="124" t="s">
        <v>180</v>
      </c>
      <c r="G43" s="93">
        <f>G41+G42</f>
        <v>38000</v>
      </c>
      <c r="H43" s="93">
        <f t="shared" ref="H43" si="41">H41+H42</f>
        <v>7000</v>
      </c>
      <c r="I43" s="93">
        <f t="shared" ref="I43" si="42">I41+I42</f>
        <v>7000</v>
      </c>
      <c r="J43" s="93">
        <f t="shared" ref="J43" si="43">J41+J42</f>
        <v>14000</v>
      </c>
      <c r="K43" s="93">
        <f t="shared" ref="K43" si="44">K41+K42</f>
        <v>24000</v>
      </c>
      <c r="L43" s="93">
        <f t="shared" ref="L43" si="45">L41+L42</f>
        <v>8000</v>
      </c>
      <c r="M43" s="93">
        <f t="shared" ref="M43" si="46">M41+M42</f>
        <v>10000</v>
      </c>
      <c r="N43" s="93">
        <f t="shared" ref="N43" si="47">N41+N42</f>
        <v>12000</v>
      </c>
      <c r="O43" s="93">
        <f t="shared" ref="O43" si="48">O41+O42</f>
        <v>22000</v>
      </c>
      <c r="P43" s="93">
        <f t="shared" ref="P43" si="49">P41+P42</f>
        <v>-14000</v>
      </c>
      <c r="Q43" s="93">
        <f t="shared" ref="Q43" si="50">Q41+Q42</f>
        <v>46000</v>
      </c>
      <c r="R43" s="93">
        <f t="shared" ref="R43" si="51">R41+R42</f>
        <v>17000</v>
      </c>
      <c r="S43" s="93">
        <f t="shared" ref="S43" si="52">S41+S42</f>
        <v>19000</v>
      </c>
      <c r="T43" s="93">
        <f t="shared" ref="T43" si="53">T41+T42</f>
        <v>36000</v>
      </c>
      <c r="U43" s="94">
        <f t="shared" ref="U43" si="54">U41+U42</f>
        <v>10000</v>
      </c>
    </row>
    <row r="44" spans="1:21" ht="28.5">
      <c r="B44" s="32"/>
      <c r="C44" s="4" t="s">
        <v>118</v>
      </c>
      <c r="D44" s="4" t="s">
        <v>81</v>
      </c>
      <c r="E44" s="4" t="s">
        <v>0</v>
      </c>
      <c r="F44" s="92" t="s">
        <v>5</v>
      </c>
      <c r="G44" s="33">
        <v>1000</v>
      </c>
      <c r="H44" s="33">
        <v>2000</v>
      </c>
      <c r="I44" s="33">
        <v>3000</v>
      </c>
      <c r="J44" s="93">
        <f t="shared" ref="J44:J48" si="55">H44+I44</f>
        <v>5000</v>
      </c>
      <c r="K44" s="93">
        <f t="shared" ref="K44:K48" si="56">+G44-J44</f>
        <v>-4000</v>
      </c>
      <c r="L44" s="33">
        <v>4000</v>
      </c>
      <c r="M44" s="33">
        <v>5000</v>
      </c>
      <c r="N44" s="33">
        <v>6000</v>
      </c>
      <c r="O44" s="93">
        <f t="shared" ref="O44:O48" si="57">M44+N44</f>
        <v>11000</v>
      </c>
      <c r="P44" s="93">
        <f t="shared" ref="P44:P48" si="58">+L44-O44</f>
        <v>-7000</v>
      </c>
      <c r="Q44" s="93">
        <f t="shared" ref="Q44:Q48" si="59">G44+L44</f>
        <v>5000</v>
      </c>
      <c r="R44" s="93">
        <f t="shared" ref="R44:R48" si="60">H44+M44</f>
        <v>7000</v>
      </c>
      <c r="S44" s="93">
        <f t="shared" ref="S44:S48" si="61">I44+N44</f>
        <v>9000</v>
      </c>
      <c r="T44" s="93">
        <f t="shared" ref="T44:T48" si="62">R44+S44</f>
        <v>16000</v>
      </c>
      <c r="U44" s="94">
        <f t="shared" ref="U44:U48" si="63">+Q44-T44</f>
        <v>-11000</v>
      </c>
    </row>
    <row r="45" spans="1:21" ht="28.5">
      <c r="B45" s="32"/>
      <c r="C45" s="4" t="s">
        <v>119</v>
      </c>
      <c r="D45" s="4" t="s">
        <v>81</v>
      </c>
      <c r="E45" s="4" t="s">
        <v>0</v>
      </c>
      <c r="F45" s="92" t="s">
        <v>6</v>
      </c>
      <c r="G45" s="33">
        <v>6000</v>
      </c>
      <c r="H45" s="33">
        <v>5000</v>
      </c>
      <c r="I45" s="33">
        <v>4000</v>
      </c>
      <c r="J45" s="93">
        <f t="shared" si="55"/>
        <v>9000</v>
      </c>
      <c r="K45" s="93">
        <f t="shared" si="56"/>
        <v>-3000</v>
      </c>
      <c r="L45" s="33">
        <v>4000</v>
      </c>
      <c r="M45" s="33">
        <v>5000</v>
      </c>
      <c r="N45" s="33">
        <v>6000</v>
      </c>
      <c r="O45" s="93">
        <f t="shared" si="57"/>
        <v>11000</v>
      </c>
      <c r="P45" s="93">
        <f t="shared" si="58"/>
        <v>-7000</v>
      </c>
      <c r="Q45" s="93">
        <f t="shared" si="59"/>
        <v>10000</v>
      </c>
      <c r="R45" s="93">
        <f t="shared" si="60"/>
        <v>10000</v>
      </c>
      <c r="S45" s="93">
        <f t="shared" si="61"/>
        <v>10000</v>
      </c>
      <c r="T45" s="93">
        <f t="shared" si="62"/>
        <v>20000</v>
      </c>
      <c r="U45" s="94">
        <f t="shared" si="63"/>
        <v>-10000</v>
      </c>
    </row>
    <row r="46" spans="1:21">
      <c r="B46" s="32"/>
      <c r="C46" s="4" t="s">
        <v>120</v>
      </c>
      <c r="D46" s="4" t="s">
        <v>81</v>
      </c>
      <c r="E46" s="4" t="s">
        <v>0</v>
      </c>
      <c r="F46" s="92" t="s">
        <v>7</v>
      </c>
      <c r="G46" s="33">
        <v>14000</v>
      </c>
      <c r="H46" s="33">
        <v>14000</v>
      </c>
      <c r="I46" s="33">
        <v>14000</v>
      </c>
      <c r="J46" s="93">
        <f t="shared" si="55"/>
        <v>28000</v>
      </c>
      <c r="K46" s="93">
        <f t="shared" si="56"/>
        <v>-14000</v>
      </c>
      <c r="L46" s="33">
        <v>16000</v>
      </c>
      <c r="M46" s="33">
        <v>20000</v>
      </c>
      <c r="N46" s="33">
        <v>24000</v>
      </c>
      <c r="O46" s="93">
        <f t="shared" si="57"/>
        <v>44000</v>
      </c>
      <c r="P46" s="93">
        <f t="shared" si="58"/>
        <v>-28000</v>
      </c>
      <c r="Q46" s="93">
        <f t="shared" si="59"/>
        <v>30000</v>
      </c>
      <c r="R46" s="93">
        <f t="shared" si="60"/>
        <v>34000</v>
      </c>
      <c r="S46" s="93">
        <f t="shared" si="61"/>
        <v>38000</v>
      </c>
      <c r="T46" s="93">
        <f t="shared" si="62"/>
        <v>72000</v>
      </c>
      <c r="U46" s="94">
        <f t="shared" si="63"/>
        <v>-42000</v>
      </c>
    </row>
    <row r="47" spans="1:21" ht="28.5">
      <c r="B47" s="32"/>
      <c r="C47" s="4" t="s">
        <v>121</v>
      </c>
      <c r="D47" s="4" t="s">
        <v>81</v>
      </c>
      <c r="E47" s="4" t="s">
        <v>0</v>
      </c>
      <c r="F47" s="92" t="s">
        <v>8</v>
      </c>
      <c r="G47" s="33">
        <v>6000</v>
      </c>
      <c r="H47" s="33">
        <v>5000</v>
      </c>
      <c r="I47" s="33">
        <v>4000</v>
      </c>
      <c r="J47" s="93">
        <f t="shared" si="55"/>
        <v>9000</v>
      </c>
      <c r="K47" s="93">
        <f t="shared" si="56"/>
        <v>-3000</v>
      </c>
      <c r="L47" s="33">
        <v>4000</v>
      </c>
      <c r="M47" s="33">
        <v>5000</v>
      </c>
      <c r="N47" s="33">
        <v>6000</v>
      </c>
      <c r="O47" s="93">
        <f t="shared" si="57"/>
        <v>11000</v>
      </c>
      <c r="P47" s="93">
        <f t="shared" si="58"/>
        <v>-7000</v>
      </c>
      <c r="Q47" s="93">
        <f t="shared" si="59"/>
        <v>10000</v>
      </c>
      <c r="R47" s="93">
        <f t="shared" si="60"/>
        <v>10000</v>
      </c>
      <c r="S47" s="93">
        <f t="shared" si="61"/>
        <v>10000</v>
      </c>
      <c r="T47" s="93">
        <f t="shared" si="62"/>
        <v>20000</v>
      </c>
      <c r="U47" s="94">
        <f t="shared" si="63"/>
        <v>-10000</v>
      </c>
    </row>
    <row r="48" spans="1:21" ht="28.5">
      <c r="B48" s="32"/>
      <c r="C48" s="4" t="s">
        <v>122</v>
      </c>
      <c r="D48" s="4" t="s">
        <v>81</v>
      </c>
      <c r="E48" s="4" t="s">
        <v>0</v>
      </c>
      <c r="F48" s="92" t="s">
        <v>9</v>
      </c>
      <c r="G48" s="33">
        <v>6000</v>
      </c>
      <c r="H48" s="33">
        <v>5000</v>
      </c>
      <c r="I48" s="33">
        <v>4000</v>
      </c>
      <c r="J48" s="93">
        <f t="shared" si="55"/>
        <v>9000</v>
      </c>
      <c r="K48" s="93">
        <f t="shared" si="56"/>
        <v>-3000</v>
      </c>
      <c r="L48" s="33">
        <v>4000</v>
      </c>
      <c r="M48" s="33">
        <v>5000</v>
      </c>
      <c r="N48" s="33">
        <v>6000</v>
      </c>
      <c r="O48" s="93">
        <f t="shared" si="57"/>
        <v>11000</v>
      </c>
      <c r="P48" s="93">
        <f t="shared" si="58"/>
        <v>-7000</v>
      </c>
      <c r="Q48" s="93">
        <f t="shared" si="59"/>
        <v>10000</v>
      </c>
      <c r="R48" s="93">
        <f t="shared" si="60"/>
        <v>10000</v>
      </c>
      <c r="S48" s="93">
        <f t="shared" si="61"/>
        <v>10000</v>
      </c>
      <c r="T48" s="93">
        <f t="shared" si="62"/>
        <v>20000</v>
      </c>
      <c r="U48" s="94">
        <f t="shared" si="63"/>
        <v>-10000</v>
      </c>
    </row>
    <row r="49" spans="1:21" ht="28.5">
      <c r="B49" s="32"/>
      <c r="C49" s="4"/>
      <c r="D49" s="4"/>
      <c r="E49" s="4" t="s">
        <v>0</v>
      </c>
      <c r="F49" s="91" t="s">
        <v>17</v>
      </c>
      <c r="G49" s="30"/>
      <c r="H49" s="30"/>
      <c r="I49" s="30"/>
      <c r="J49" s="30"/>
      <c r="K49" s="30"/>
      <c r="L49" s="30"/>
      <c r="M49" s="30"/>
      <c r="N49" s="30"/>
      <c r="O49" s="30"/>
      <c r="P49" s="30"/>
      <c r="Q49" s="30"/>
      <c r="R49" s="30"/>
      <c r="S49" s="30"/>
      <c r="T49" s="30"/>
      <c r="U49" s="31"/>
    </row>
    <row r="50" spans="1:21" ht="28.5">
      <c r="B50" s="32"/>
      <c r="C50" s="4" t="s">
        <v>123</v>
      </c>
      <c r="D50" s="4" t="s">
        <v>81</v>
      </c>
      <c r="E50" s="4" t="s">
        <v>0</v>
      </c>
      <c r="F50" s="92" t="s">
        <v>10</v>
      </c>
      <c r="G50" s="33">
        <v>6000</v>
      </c>
      <c r="H50" s="33">
        <v>5000</v>
      </c>
      <c r="I50" s="33">
        <v>4000</v>
      </c>
      <c r="J50" s="93">
        <f>H50+I50</f>
        <v>9000</v>
      </c>
      <c r="K50" s="93">
        <f t="shared" ref="K50:K56" si="64">+G50-J50</f>
        <v>-3000</v>
      </c>
      <c r="L50" s="33">
        <v>4000</v>
      </c>
      <c r="M50" s="33">
        <v>5000</v>
      </c>
      <c r="N50" s="33">
        <v>6000</v>
      </c>
      <c r="O50" s="93">
        <f>M50+N50</f>
        <v>11000</v>
      </c>
      <c r="P50" s="93">
        <f t="shared" ref="P50:P56" si="65">+L50-O50</f>
        <v>-7000</v>
      </c>
      <c r="Q50" s="93">
        <f t="shared" ref="Q50:Q56" si="66">G50+L50</f>
        <v>10000</v>
      </c>
      <c r="R50" s="93">
        <f t="shared" ref="R50:R56" si="67">H50+M50</f>
        <v>10000</v>
      </c>
      <c r="S50" s="93">
        <f t="shared" ref="S50:S56" si="68">I50+N50</f>
        <v>10000</v>
      </c>
      <c r="T50" s="93">
        <f>R50+S50</f>
        <v>20000</v>
      </c>
      <c r="U50" s="94">
        <f t="shared" ref="U50:U56" si="69">+Q50-T50</f>
        <v>-10000</v>
      </c>
    </row>
    <row r="51" spans="1:21" ht="28.5">
      <c r="B51" s="32"/>
      <c r="C51" s="4" t="s">
        <v>124</v>
      </c>
      <c r="D51" s="4" t="s">
        <v>81</v>
      </c>
      <c r="E51" s="4" t="s">
        <v>0</v>
      </c>
      <c r="F51" s="92" t="s">
        <v>11</v>
      </c>
      <c r="G51" s="33">
        <v>6000</v>
      </c>
      <c r="H51" s="33">
        <v>5000</v>
      </c>
      <c r="I51" s="33">
        <v>4000</v>
      </c>
      <c r="J51" s="93">
        <f>H51+I51</f>
        <v>9000</v>
      </c>
      <c r="K51" s="93">
        <f t="shared" si="64"/>
        <v>-3000</v>
      </c>
      <c r="L51" s="33">
        <v>4000</v>
      </c>
      <c r="M51" s="33">
        <v>5000</v>
      </c>
      <c r="N51" s="33">
        <v>6000</v>
      </c>
      <c r="O51" s="93">
        <f>M51+N51</f>
        <v>11000</v>
      </c>
      <c r="P51" s="93">
        <f t="shared" si="65"/>
        <v>-7000</v>
      </c>
      <c r="Q51" s="93">
        <f t="shared" si="66"/>
        <v>10000</v>
      </c>
      <c r="R51" s="93">
        <f t="shared" si="67"/>
        <v>10000</v>
      </c>
      <c r="S51" s="93">
        <f t="shared" si="68"/>
        <v>10000</v>
      </c>
      <c r="T51" s="93">
        <f>R51+S51</f>
        <v>20000</v>
      </c>
      <c r="U51" s="94">
        <f t="shared" si="69"/>
        <v>-10000</v>
      </c>
    </row>
    <row r="52" spans="1:21" ht="28.5">
      <c r="B52" s="32"/>
      <c r="C52" s="4" t="s">
        <v>125</v>
      </c>
      <c r="D52" s="4" t="s">
        <v>81</v>
      </c>
      <c r="E52" s="4" t="s">
        <v>0</v>
      </c>
      <c r="F52" s="91" t="s">
        <v>18</v>
      </c>
      <c r="G52" s="93">
        <f>G50+G51</f>
        <v>12000</v>
      </c>
      <c r="H52" s="93">
        <f t="shared" ref="H52:J52" si="70">H50+H51</f>
        <v>10000</v>
      </c>
      <c r="I52" s="93">
        <f t="shared" si="70"/>
        <v>8000</v>
      </c>
      <c r="J52" s="93">
        <f t="shared" si="70"/>
        <v>18000</v>
      </c>
      <c r="K52" s="93">
        <f t="shared" si="64"/>
        <v>-6000</v>
      </c>
      <c r="L52" s="93">
        <f>L50+L51</f>
        <v>8000</v>
      </c>
      <c r="M52" s="93">
        <f t="shared" ref="M52:O52" si="71">M50+M51</f>
        <v>10000</v>
      </c>
      <c r="N52" s="93">
        <f t="shared" si="71"/>
        <v>12000</v>
      </c>
      <c r="O52" s="93">
        <f t="shared" si="71"/>
        <v>22000</v>
      </c>
      <c r="P52" s="93">
        <f t="shared" si="65"/>
        <v>-14000</v>
      </c>
      <c r="Q52" s="93">
        <f t="shared" si="66"/>
        <v>20000</v>
      </c>
      <c r="R52" s="93">
        <f t="shared" si="67"/>
        <v>20000</v>
      </c>
      <c r="S52" s="93">
        <f t="shared" si="68"/>
        <v>20000</v>
      </c>
      <c r="T52" s="93">
        <f t="shared" ref="T52" si="72">T50+T51</f>
        <v>40000</v>
      </c>
      <c r="U52" s="94">
        <f t="shared" si="69"/>
        <v>-20000</v>
      </c>
    </row>
    <row r="53" spans="1:21" ht="28.5">
      <c r="B53" s="32"/>
      <c r="C53" s="4" t="s">
        <v>126</v>
      </c>
      <c r="D53" s="4" t="s">
        <v>81</v>
      </c>
      <c r="E53" s="4" t="s">
        <v>0</v>
      </c>
      <c r="F53" s="92" t="s">
        <v>12</v>
      </c>
      <c r="G53" s="33">
        <v>6000</v>
      </c>
      <c r="H53" s="33">
        <v>5000</v>
      </c>
      <c r="I53" s="33">
        <v>4000</v>
      </c>
      <c r="J53" s="93">
        <f>H53+I53</f>
        <v>9000</v>
      </c>
      <c r="K53" s="93">
        <f t="shared" si="64"/>
        <v>-3000</v>
      </c>
      <c r="L53" s="33">
        <v>4000</v>
      </c>
      <c r="M53" s="33">
        <v>5000</v>
      </c>
      <c r="N53" s="33">
        <v>6000</v>
      </c>
      <c r="O53" s="93">
        <f>M53+N53</f>
        <v>11000</v>
      </c>
      <c r="P53" s="93">
        <f t="shared" si="65"/>
        <v>-7000</v>
      </c>
      <c r="Q53" s="93">
        <f t="shared" si="66"/>
        <v>10000</v>
      </c>
      <c r="R53" s="93">
        <f t="shared" si="67"/>
        <v>10000</v>
      </c>
      <c r="S53" s="93">
        <f t="shared" si="68"/>
        <v>10000</v>
      </c>
      <c r="T53" s="93">
        <f>R53+S53</f>
        <v>20000</v>
      </c>
      <c r="U53" s="94">
        <f t="shared" si="69"/>
        <v>-10000</v>
      </c>
    </row>
    <row r="54" spans="1:21">
      <c r="B54" s="32"/>
      <c r="C54" s="4" t="s">
        <v>127</v>
      </c>
      <c r="D54" s="4" t="s">
        <v>81</v>
      </c>
      <c r="E54" s="4" t="s">
        <v>0</v>
      </c>
      <c r="F54" s="92" t="s">
        <v>13</v>
      </c>
      <c r="G54" s="33">
        <v>6000</v>
      </c>
      <c r="H54" s="33">
        <v>5000</v>
      </c>
      <c r="I54" s="33">
        <v>4000</v>
      </c>
      <c r="J54" s="93">
        <f>H54+I54</f>
        <v>9000</v>
      </c>
      <c r="K54" s="93">
        <f t="shared" si="64"/>
        <v>-3000</v>
      </c>
      <c r="L54" s="33">
        <v>4000</v>
      </c>
      <c r="M54" s="33">
        <v>5000</v>
      </c>
      <c r="N54" s="33">
        <v>6000</v>
      </c>
      <c r="O54" s="93">
        <f>M54+N54</f>
        <v>11000</v>
      </c>
      <c r="P54" s="93">
        <f t="shared" si="65"/>
        <v>-7000</v>
      </c>
      <c r="Q54" s="93">
        <f t="shared" si="66"/>
        <v>10000</v>
      </c>
      <c r="R54" s="93">
        <f t="shared" si="67"/>
        <v>10000</v>
      </c>
      <c r="S54" s="93">
        <f t="shared" si="68"/>
        <v>10000</v>
      </c>
      <c r="T54" s="93">
        <f>R54+S54</f>
        <v>20000</v>
      </c>
      <c r="U54" s="94">
        <f t="shared" si="69"/>
        <v>-10000</v>
      </c>
    </row>
    <row r="55" spans="1:21" ht="28.5">
      <c r="B55" s="32"/>
      <c r="C55" s="4" t="s">
        <v>128</v>
      </c>
      <c r="D55" s="4" t="s">
        <v>81</v>
      </c>
      <c r="E55" s="4" t="s">
        <v>0</v>
      </c>
      <c r="F55" s="92" t="s">
        <v>14</v>
      </c>
      <c r="G55" s="33">
        <v>6000</v>
      </c>
      <c r="H55" s="33">
        <v>5000</v>
      </c>
      <c r="I55" s="33">
        <v>4000</v>
      </c>
      <c r="J55" s="93">
        <f>H55+I55</f>
        <v>9000</v>
      </c>
      <c r="K55" s="93">
        <f t="shared" si="64"/>
        <v>-3000</v>
      </c>
      <c r="L55" s="33">
        <v>4000</v>
      </c>
      <c r="M55" s="33">
        <v>5000</v>
      </c>
      <c r="N55" s="33">
        <v>6000</v>
      </c>
      <c r="O55" s="93">
        <f>M55+N55</f>
        <v>11000</v>
      </c>
      <c r="P55" s="93">
        <f t="shared" si="65"/>
        <v>-7000</v>
      </c>
      <c r="Q55" s="93">
        <f t="shared" si="66"/>
        <v>10000</v>
      </c>
      <c r="R55" s="93">
        <f t="shared" si="67"/>
        <v>10000</v>
      </c>
      <c r="S55" s="93">
        <f t="shared" si="68"/>
        <v>10000</v>
      </c>
      <c r="T55" s="93">
        <f>R55+S55</f>
        <v>20000</v>
      </c>
      <c r="U55" s="94">
        <f t="shared" si="69"/>
        <v>-10000</v>
      </c>
    </row>
    <row r="56" spans="1:21" ht="28.5">
      <c r="B56" s="32"/>
      <c r="C56" s="4" t="s">
        <v>129</v>
      </c>
      <c r="D56" s="4" t="s">
        <v>81</v>
      </c>
      <c r="E56" s="4" t="s">
        <v>0</v>
      </c>
      <c r="F56" s="92" t="s">
        <v>15</v>
      </c>
      <c r="G56" s="33">
        <v>6000</v>
      </c>
      <c r="H56" s="33">
        <v>5000</v>
      </c>
      <c r="I56" s="33">
        <v>4000</v>
      </c>
      <c r="J56" s="93">
        <f>H56+I56</f>
        <v>9000</v>
      </c>
      <c r="K56" s="93">
        <f t="shared" si="64"/>
        <v>-3000</v>
      </c>
      <c r="L56" s="33">
        <v>4000</v>
      </c>
      <c r="M56" s="33">
        <v>5000</v>
      </c>
      <c r="N56" s="33">
        <v>6000</v>
      </c>
      <c r="O56" s="93">
        <f>M56+N56</f>
        <v>11000</v>
      </c>
      <c r="P56" s="93">
        <f t="shared" si="65"/>
        <v>-7000</v>
      </c>
      <c r="Q56" s="93">
        <f t="shared" si="66"/>
        <v>10000</v>
      </c>
      <c r="R56" s="93">
        <f t="shared" si="67"/>
        <v>10000</v>
      </c>
      <c r="S56" s="93">
        <f t="shared" si="68"/>
        <v>10000</v>
      </c>
      <c r="T56" s="93">
        <f>R56+S56</f>
        <v>20000</v>
      </c>
      <c r="U56" s="94">
        <f t="shared" si="69"/>
        <v>-10000</v>
      </c>
    </row>
    <row r="57" spans="1:21">
      <c r="B57" s="32"/>
      <c r="C57" s="4" t="s">
        <v>130</v>
      </c>
      <c r="D57" s="4" t="s">
        <v>81</v>
      </c>
      <c r="E57" s="4" t="s">
        <v>0</v>
      </c>
      <c r="F57" s="91" t="s">
        <v>19</v>
      </c>
      <c r="G57" s="93">
        <f>G43+G44+G45-G46-G47+G48+G52+G53-G54-G55-G56</f>
        <v>31000</v>
      </c>
      <c r="H57" s="93">
        <f t="shared" ref="H57" si="73">H43+H44+H45-H46-H47+H48+H52+H53-H54-H55-H56</f>
        <v>0</v>
      </c>
      <c r="I57" s="93">
        <f t="shared" ref="I57" si="74">I43+I44+I45-I46-I47+I48+I52+I53-I54-I55-I56</f>
        <v>0</v>
      </c>
      <c r="J57" s="93">
        <f t="shared" ref="J57" si="75">J43+J44+J45-J46-J47+J48+J52+J53-J54-J55-J56</f>
        <v>0</v>
      </c>
      <c r="K57" s="93">
        <f t="shared" ref="K57" si="76">K43+K44+K45-K46-K47+K48+K52+K53-K54-K55-K56</f>
        <v>31000</v>
      </c>
      <c r="L57" s="93">
        <f t="shared" ref="L57" si="77">L43+L44+L45-L46-L47+L48+L52+L53-L54-L55-L56</f>
        <v>0</v>
      </c>
      <c r="M57" s="93">
        <f t="shared" ref="M57" si="78">M43+M44+M45-M46-M47+M48+M52+M53-M54-M55-M56</f>
        <v>0</v>
      </c>
      <c r="N57" s="93">
        <f t="shared" ref="N57" si="79">N43+N44+N45-N46-N47+N48+N52+N53-N54-N55-N56</f>
        <v>0</v>
      </c>
      <c r="O57" s="93">
        <f t="shared" ref="O57" si="80">O43+O44+O45-O46-O47+O48+O52+O53-O54-O55-O56</f>
        <v>0</v>
      </c>
      <c r="P57" s="93">
        <f t="shared" ref="P57" si="81">P43+P44+P45-P46-P47+P48+P52+P53-P54-P55-P56</f>
        <v>0</v>
      </c>
      <c r="Q57" s="93">
        <f t="shared" ref="Q57" si="82">Q43+Q44+Q45-Q46-Q47+Q48+Q52+Q53-Q54-Q55-Q56</f>
        <v>31000</v>
      </c>
      <c r="R57" s="93">
        <f t="shared" ref="R57" si="83">R43+R44+R45-R46-R47+R48+R52+R53-R54-R55-R56</f>
        <v>0</v>
      </c>
      <c r="S57" s="93">
        <f t="shared" ref="S57" si="84">S43+S44+S45-S46-S47+S48+S52+S53-S54-S55-S56</f>
        <v>0</v>
      </c>
      <c r="T57" s="93">
        <f t="shared" ref="T57" si="85">T43+T44+T45-T46-T47+T48+T52+T53-T54-T55-T56</f>
        <v>0</v>
      </c>
      <c r="U57" s="94">
        <f t="shared" ref="U57" si="86">U43+U44+U45-U46-U47+U48+U52+U53-U54-U55-U56</f>
        <v>31000</v>
      </c>
    </row>
    <row r="58" spans="1:21">
      <c r="A58" t="s">
        <v>16</v>
      </c>
      <c r="B58" s="32"/>
      <c r="C58" s="4" t="s">
        <v>116</v>
      </c>
      <c r="D58" s="4" t="s">
        <v>1</v>
      </c>
      <c r="E58" s="4" t="s">
        <v>0</v>
      </c>
      <c r="F58" s="91" t="s">
        <v>217</v>
      </c>
      <c r="G58" s="93">
        <f t="shared" ref="G58" si="87">G38+G57</f>
        <v>32000</v>
      </c>
      <c r="H58" s="93">
        <f t="shared" ref="H58" si="88">H38+H57</f>
        <v>2000</v>
      </c>
      <c r="I58" s="93">
        <f t="shared" ref="I58" si="89">I38+I57</f>
        <v>3000</v>
      </c>
      <c r="J58" s="93">
        <f t="shared" ref="J58" si="90">J38+J57</f>
        <v>5000</v>
      </c>
      <c r="K58" s="93">
        <f t="shared" ref="K58" si="91">K38+K57</f>
        <v>27000</v>
      </c>
      <c r="L58" s="93">
        <f t="shared" ref="L58" si="92">L38+L57</f>
        <v>4000</v>
      </c>
      <c r="M58" s="93">
        <f t="shared" ref="M58" si="93">M38+M57</f>
        <v>5000</v>
      </c>
      <c r="N58" s="93">
        <f t="shared" ref="N58" si="94">N38+N57</f>
        <v>6000</v>
      </c>
      <c r="O58" s="93">
        <f t="shared" ref="O58" si="95">O38+O57</f>
        <v>11000</v>
      </c>
      <c r="P58" s="93">
        <f t="shared" ref="P58" si="96">P38+P57</f>
        <v>-7000</v>
      </c>
      <c r="Q58" s="93">
        <f t="shared" ref="Q58" si="97">G58+L58</f>
        <v>36000</v>
      </c>
      <c r="R58" s="93">
        <f t="shared" ref="R58" si="98">H58+M58</f>
        <v>7000</v>
      </c>
      <c r="S58" s="93">
        <f t="shared" ref="S58" si="99">I58+N58</f>
        <v>9000</v>
      </c>
      <c r="T58" s="93">
        <f>T38+T57</f>
        <v>16000</v>
      </c>
      <c r="U58" s="95">
        <f>U38+U57</f>
        <v>20000</v>
      </c>
    </row>
    <row r="59" spans="1:21" ht="22.5" customHeight="1" thickBot="1">
      <c r="A59" s="34"/>
      <c r="B59" s="60"/>
      <c r="C59" s="61"/>
      <c r="D59" s="61"/>
      <c r="E59" s="61"/>
      <c r="F59" s="62"/>
      <c r="G59" s="61"/>
      <c r="H59" s="61"/>
      <c r="I59" s="61"/>
      <c r="J59" s="61"/>
      <c r="K59" s="61"/>
      <c r="L59" s="61"/>
      <c r="M59" s="61"/>
      <c r="N59" s="61"/>
      <c r="O59" s="61"/>
      <c r="P59" s="61"/>
      <c r="Q59" s="65"/>
      <c r="R59" s="65"/>
      <c r="S59" s="61"/>
      <c r="T59" s="65"/>
      <c r="U59" s="63"/>
    </row>
    <row r="60" spans="1:21" ht="22.5" customHeight="1">
      <c r="A60" s="27"/>
      <c r="F60" s="73" t="s">
        <v>204</v>
      </c>
      <c r="G60" s="74">
        <f t="shared" ref="G60:U60" si="100">G13-G58</f>
        <v>0</v>
      </c>
      <c r="H60" s="74">
        <f t="shared" si="100"/>
        <v>0</v>
      </c>
      <c r="I60" s="74">
        <f t="shared" si="100"/>
        <v>0</v>
      </c>
      <c r="J60" s="74">
        <f t="shared" si="100"/>
        <v>0</v>
      </c>
      <c r="K60" s="74">
        <f t="shared" si="100"/>
        <v>0</v>
      </c>
      <c r="L60" s="74">
        <f t="shared" si="100"/>
        <v>0</v>
      </c>
      <c r="M60" s="74">
        <f t="shared" si="100"/>
        <v>0</v>
      </c>
      <c r="N60" s="74">
        <f t="shared" si="100"/>
        <v>0</v>
      </c>
      <c r="O60" s="74">
        <f t="shared" si="100"/>
        <v>0</v>
      </c>
      <c r="P60" s="74">
        <f t="shared" si="100"/>
        <v>0</v>
      </c>
      <c r="Q60" s="74">
        <f t="shared" si="100"/>
        <v>0</v>
      </c>
      <c r="R60" s="74">
        <f t="shared" si="100"/>
        <v>0</v>
      </c>
      <c r="S60" s="74">
        <f t="shared" si="100"/>
        <v>0</v>
      </c>
      <c r="T60" s="74">
        <f t="shared" si="100"/>
        <v>0</v>
      </c>
      <c r="U60" s="74">
        <f t="shared" si="100"/>
        <v>0</v>
      </c>
    </row>
    <row r="61" spans="1:21" ht="15.75" thickBot="1"/>
    <row r="62" spans="1:21" ht="122.25" customHeight="1" thickBot="1">
      <c r="A62" s="27" t="s">
        <v>41</v>
      </c>
      <c r="B62" s="50"/>
      <c r="C62" s="51"/>
      <c r="D62" s="51"/>
      <c r="E62" s="51"/>
      <c r="F62" s="52" t="s">
        <v>50</v>
      </c>
      <c r="G62" s="136" t="s">
        <v>176</v>
      </c>
      <c r="H62" s="137"/>
      <c r="I62" s="137"/>
      <c r="J62" s="137"/>
      <c r="K62" s="137"/>
      <c r="L62" s="137"/>
      <c r="M62" s="137"/>
      <c r="N62" s="137"/>
      <c r="O62" s="137"/>
      <c r="P62" s="137"/>
      <c r="Q62" s="137"/>
      <c r="R62" s="137"/>
      <c r="S62" s="137"/>
      <c r="T62" s="137"/>
      <c r="U62" s="138"/>
    </row>
    <row r="63" spans="1:21" ht="15.75" hidden="1" thickBot="1">
      <c r="A63" s="39" t="s">
        <v>42</v>
      </c>
      <c r="B63" s="40"/>
      <c r="C63" s="41"/>
      <c r="D63" s="41" t="s">
        <v>105</v>
      </c>
      <c r="E63" s="41" t="s">
        <v>168</v>
      </c>
      <c r="F63" s="41"/>
      <c r="G63" s="86" t="s">
        <v>175</v>
      </c>
      <c r="H63" s="86" t="s">
        <v>175</v>
      </c>
      <c r="I63" s="86" t="s">
        <v>175</v>
      </c>
      <c r="J63" s="86" t="s">
        <v>175</v>
      </c>
      <c r="K63" s="86" t="s">
        <v>175</v>
      </c>
      <c r="L63" s="86" t="s">
        <v>175</v>
      </c>
      <c r="M63" s="86" t="s">
        <v>175</v>
      </c>
      <c r="N63" s="86" t="s">
        <v>175</v>
      </c>
      <c r="O63" s="86" t="s">
        <v>175</v>
      </c>
      <c r="P63" s="86" t="s">
        <v>175</v>
      </c>
      <c r="Q63" s="86" t="s">
        <v>175</v>
      </c>
      <c r="R63" s="86" t="s">
        <v>175</v>
      </c>
      <c r="S63" s="86" t="s">
        <v>175</v>
      </c>
      <c r="T63" s="86" t="s">
        <v>175</v>
      </c>
      <c r="U63" s="86" t="s">
        <v>175</v>
      </c>
    </row>
    <row r="64" spans="1:21" ht="122.25" customHeight="1" thickBot="1">
      <c r="A64" s="27"/>
      <c r="B64" s="50"/>
      <c r="C64" s="51"/>
      <c r="D64" s="51"/>
      <c r="E64" s="51"/>
      <c r="F64" s="52"/>
      <c r="G64" s="133" t="s">
        <v>51</v>
      </c>
      <c r="H64" s="134"/>
      <c r="I64" s="134"/>
      <c r="J64" s="134"/>
      <c r="K64" s="135"/>
      <c r="L64" s="133" t="s">
        <v>52</v>
      </c>
      <c r="M64" s="134"/>
      <c r="N64" s="134"/>
      <c r="O64" s="134"/>
      <c r="P64" s="135"/>
      <c r="Q64" s="133" t="s">
        <v>53</v>
      </c>
      <c r="R64" s="134"/>
      <c r="S64" s="134"/>
      <c r="T64" s="134"/>
      <c r="U64" s="135"/>
    </row>
    <row r="65" spans="1:21" ht="15.75" hidden="1" thickBot="1">
      <c r="A65" s="39" t="s">
        <v>42</v>
      </c>
      <c r="B65" s="40"/>
      <c r="C65" s="41"/>
      <c r="D65" s="41"/>
      <c r="E65" s="41" t="s">
        <v>106</v>
      </c>
      <c r="F65" s="41"/>
      <c r="G65" s="42" t="s">
        <v>107</v>
      </c>
      <c r="H65" s="42" t="s">
        <v>107</v>
      </c>
      <c r="I65" s="42" t="s">
        <v>107</v>
      </c>
      <c r="J65" s="42" t="s">
        <v>107</v>
      </c>
      <c r="K65" s="42" t="s">
        <v>107</v>
      </c>
      <c r="L65" s="42" t="s">
        <v>108</v>
      </c>
      <c r="M65" s="42" t="s">
        <v>108</v>
      </c>
      <c r="N65" s="42" t="s">
        <v>108</v>
      </c>
      <c r="O65" s="42" t="s">
        <v>108</v>
      </c>
      <c r="P65" s="42" t="s">
        <v>108</v>
      </c>
      <c r="Q65" s="42" t="s">
        <v>109</v>
      </c>
      <c r="R65" s="42" t="s">
        <v>109</v>
      </c>
      <c r="S65" s="42" t="s">
        <v>109</v>
      </c>
      <c r="T65" s="42" t="s">
        <v>109</v>
      </c>
      <c r="U65" s="54" t="s">
        <v>109</v>
      </c>
    </row>
    <row r="66" spans="1:21" ht="75.75" thickBot="1">
      <c r="A66" s="39"/>
      <c r="B66" s="40"/>
      <c r="C66" s="41"/>
      <c r="D66" s="41"/>
      <c r="E66" s="41"/>
      <c r="F66" s="41"/>
      <c r="G66" s="43" t="s">
        <v>54</v>
      </c>
      <c r="H66" s="43" t="s">
        <v>55</v>
      </c>
      <c r="I66" s="43" t="s">
        <v>56</v>
      </c>
      <c r="J66" s="43" t="s">
        <v>57</v>
      </c>
      <c r="K66" s="43" t="s">
        <v>58</v>
      </c>
      <c r="L66" s="43" t="s">
        <v>54</v>
      </c>
      <c r="M66" s="43" t="s">
        <v>55</v>
      </c>
      <c r="N66" s="43" t="s">
        <v>56</v>
      </c>
      <c r="O66" s="43" t="s">
        <v>57</v>
      </c>
      <c r="P66" s="43" t="s">
        <v>58</v>
      </c>
      <c r="Q66" s="43" t="s">
        <v>54</v>
      </c>
      <c r="R66" s="43" t="s">
        <v>55</v>
      </c>
      <c r="S66" s="43" t="s">
        <v>56</v>
      </c>
      <c r="T66" s="43" t="s">
        <v>57</v>
      </c>
      <c r="U66" s="43" t="s">
        <v>58</v>
      </c>
    </row>
    <row r="67" spans="1:21" hidden="1">
      <c r="A67" s="39" t="s">
        <v>42</v>
      </c>
      <c r="B67" s="40"/>
      <c r="C67" s="41"/>
      <c r="D67" s="41"/>
      <c r="E67" s="41" t="s">
        <v>110</v>
      </c>
      <c r="F67" s="41"/>
      <c r="G67" s="42" t="s">
        <v>111</v>
      </c>
      <c r="H67" s="42" t="s">
        <v>112</v>
      </c>
      <c r="I67" s="42" t="s">
        <v>113</v>
      </c>
      <c r="J67" s="42" t="s">
        <v>114</v>
      </c>
      <c r="K67" s="42" t="s">
        <v>115</v>
      </c>
      <c r="L67" s="42" t="s">
        <v>111</v>
      </c>
      <c r="M67" s="42" t="s">
        <v>112</v>
      </c>
      <c r="N67" s="42" t="s">
        <v>113</v>
      </c>
      <c r="O67" s="42" t="s">
        <v>114</v>
      </c>
      <c r="P67" s="42" t="s">
        <v>115</v>
      </c>
      <c r="Q67" s="42" t="s">
        <v>111</v>
      </c>
      <c r="R67" s="42" t="s">
        <v>112</v>
      </c>
      <c r="S67" s="42" t="s">
        <v>113</v>
      </c>
      <c r="T67" s="42" t="s">
        <v>114</v>
      </c>
      <c r="U67" s="54" t="s">
        <v>115</v>
      </c>
    </row>
    <row r="68" spans="1:21" ht="22.5" customHeight="1">
      <c r="B68" s="55"/>
      <c r="C68" s="56"/>
      <c r="D68" s="56"/>
      <c r="E68" s="56"/>
      <c r="F68" s="56"/>
      <c r="G68" s="56"/>
      <c r="H68" s="56"/>
      <c r="I68" s="56"/>
      <c r="J68" s="56"/>
      <c r="K68" s="56"/>
      <c r="L68" s="56"/>
      <c r="M68" s="56"/>
      <c r="N68" s="56"/>
      <c r="O68" s="56"/>
      <c r="P68" s="56"/>
      <c r="Q68" s="56"/>
      <c r="R68" s="56"/>
      <c r="S68" s="56"/>
      <c r="T68" s="56"/>
      <c r="U68" s="57"/>
    </row>
    <row r="69" spans="1:21" ht="22.5" customHeight="1">
      <c r="B69" s="55"/>
      <c r="C69" s="56"/>
      <c r="D69" s="56"/>
      <c r="E69" s="56"/>
      <c r="F69" s="44" t="s">
        <v>20</v>
      </c>
      <c r="G69" s="56"/>
      <c r="H69" s="56"/>
      <c r="I69" s="56"/>
      <c r="J69" s="56"/>
      <c r="K69" s="56"/>
      <c r="L69" s="56"/>
      <c r="M69" s="56"/>
      <c r="N69" s="56"/>
      <c r="O69" s="56"/>
      <c r="P69" s="56"/>
      <c r="Q69" s="56"/>
      <c r="R69" s="56"/>
      <c r="S69" s="56"/>
      <c r="T69" s="56"/>
      <c r="U69" s="57"/>
    </row>
    <row r="70" spans="1:21">
      <c r="A70" s="34"/>
      <c r="B70" s="58"/>
      <c r="C70" s="45"/>
      <c r="D70" s="45"/>
      <c r="E70" s="45"/>
      <c r="F70" s="46"/>
      <c r="G70" s="45"/>
      <c r="H70" s="45"/>
      <c r="I70" s="45"/>
      <c r="J70" s="45"/>
      <c r="K70" s="45"/>
      <c r="L70" s="45"/>
      <c r="M70" s="45"/>
      <c r="N70" s="45"/>
      <c r="O70" s="45"/>
      <c r="P70" s="45"/>
      <c r="Q70" s="45"/>
      <c r="R70" s="45"/>
      <c r="S70" s="45"/>
      <c r="T70" s="45"/>
      <c r="U70" s="59"/>
    </row>
    <row r="71" spans="1:21" ht="21" customHeight="1">
      <c r="A71" s="53" t="s">
        <v>16</v>
      </c>
      <c r="B71" s="29"/>
      <c r="C71" s="4" t="s">
        <v>116</v>
      </c>
      <c r="D71" s="4" t="s">
        <v>1</v>
      </c>
      <c r="E71" s="4" t="s">
        <v>0</v>
      </c>
      <c r="F71" s="91" t="s">
        <v>215</v>
      </c>
      <c r="G71" s="33">
        <v>1000</v>
      </c>
      <c r="H71" s="33">
        <v>1000</v>
      </c>
      <c r="I71" s="33">
        <v>1000</v>
      </c>
      <c r="J71" s="93">
        <f>H71+I71</f>
        <v>2000</v>
      </c>
      <c r="K71" s="93">
        <f>+G71-J71</f>
        <v>-1000</v>
      </c>
      <c r="L71" s="33">
        <v>1000</v>
      </c>
      <c r="M71" s="33">
        <v>1000</v>
      </c>
      <c r="N71" s="33">
        <v>1000</v>
      </c>
      <c r="O71" s="93">
        <f>M71+N71</f>
        <v>2000</v>
      </c>
      <c r="P71" s="93">
        <f>+L71-O71</f>
        <v>-1000</v>
      </c>
      <c r="Q71" s="93">
        <f>G71+L71</f>
        <v>2000</v>
      </c>
      <c r="R71" s="93">
        <f t="shared" ref="R71" si="101">H71+M71</f>
        <v>2000</v>
      </c>
      <c r="S71" s="93">
        <f t="shared" ref="S71" si="102">I71+N71</f>
        <v>2000</v>
      </c>
      <c r="T71" s="93">
        <f>R71+S71</f>
        <v>4000</v>
      </c>
      <c r="U71" s="94">
        <f>+Q71-T71</f>
        <v>-2000</v>
      </c>
    </row>
    <row r="72" spans="1:21">
      <c r="A72" s="28"/>
      <c r="B72" s="32"/>
      <c r="C72" s="4"/>
      <c r="D72" s="4"/>
      <c r="E72" s="4" t="s">
        <v>0</v>
      </c>
      <c r="F72" s="91" t="s">
        <v>181</v>
      </c>
      <c r="G72" s="30"/>
      <c r="H72" s="30"/>
      <c r="I72" s="30"/>
      <c r="J72" s="30"/>
      <c r="K72" s="30"/>
      <c r="L72" s="30"/>
      <c r="M72" s="30"/>
      <c r="N72" s="30"/>
      <c r="O72" s="30"/>
      <c r="P72" s="30"/>
      <c r="Q72" s="30"/>
      <c r="R72" s="30"/>
      <c r="S72" s="30"/>
      <c r="T72" s="30"/>
      <c r="U72" s="31"/>
    </row>
    <row r="73" spans="1:21" ht="28.5">
      <c r="A73" s="28"/>
      <c r="B73" s="32"/>
      <c r="C73" s="4"/>
      <c r="D73" s="4"/>
      <c r="E73" s="4" t="s">
        <v>0</v>
      </c>
      <c r="F73" s="91" t="s">
        <v>172</v>
      </c>
      <c r="G73" s="30"/>
      <c r="H73" s="30"/>
      <c r="I73" s="30"/>
      <c r="J73" s="30"/>
      <c r="K73" s="30"/>
      <c r="L73" s="30"/>
      <c r="M73" s="30"/>
      <c r="N73" s="30"/>
      <c r="O73" s="30"/>
      <c r="P73" s="30"/>
      <c r="Q73" s="30"/>
      <c r="R73" s="30"/>
      <c r="S73" s="30"/>
      <c r="T73" s="30"/>
      <c r="U73" s="31"/>
    </row>
    <row r="74" spans="1:21" ht="28.5">
      <c r="B74" s="32"/>
      <c r="C74" s="4" t="s">
        <v>173</v>
      </c>
      <c r="D74" s="4" t="s">
        <v>1</v>
      </c>
      <c r="E74" s="4" t="s">
        <v>0</v>
      </c>
      <c r="F74" s="124" t="s">
        <v>178</v>
      </c>
      <c r="G74" s="33">
        <v>1000</v>
      </c>
      <c r="H74" s="33">
        <v>1000</v>
      </c>
      <c r="I74" s="33">
        <v>1000</v>
      </c>
      <c r="J74" s="93">
        <f t="shared" ref="J74:J75" si="103">H74+I74</f>
        <v>2000</v>
      </c>
      <c r="K74" s="93">
        <f t="shared" ref="K74:K75" si="104">+G74-J74</f>
        <v>-1000</v>
      </c>
      <c r="L74" s="33">
        <v>1000</v>
      </c>
      <c r="M74" s="33">
        <v>1000</v>
      </c>
      <c r="N74" s="33">
        <v>1000</v>
      </c>
      <c r="O74" s="93">
        <f t="shared" ref="O74:O75" si="105">M74+N74</f>
        <v>2000</v>
      </c>
      <c r="P74" s="93">
        <f t="shared" ref="P74:P75" si="106">+L74-O74</f>
        <v>-1000</v>
      </c>
      <c r="Q74" s="93">
        <f t="shared" ref="Q74:Q75" si="107">G74+L74</f>
        <v>2000</v>
      </c>
      <c r="R74" s="93">
        <f t="shared" ref="R74:R75" si="108">H74+M74</f>
        <v>2000</v>
      </c>
      <c r="S74" s="93">
        <f t="shared" ref="S74:S75" si="109">I74+N74</f>
        <v>2000</v>
      </c>
      <c r="T74" s="93">
        <f t="shared" ref="T74:T75" si="110">R74+S74</f>
        <v>4000</v>
      </c>
      <c r="U74" s="94">
        <f t="shared" ref="U74:U75" si="111">+Q74-T74</f>
        <v>-2000</v>
      </c>
    </row>
    <row r="75" spans="1:21">
      <c r="B75" s="32"/>
      <c r="C75" s="4" t="s">
        <v>174</v>
      </c>
      <c r="D75" s="4" t="s">
        <v>1</v>
      </c>
      <c r="E75" s="4" t="s">
        <v>0</v>
      </c>
      <c r="F75" s="124" t="s">
        <v>179</v>
      </c>
      <c r="G75" s="33">
        <v>1000</v>
      </c>
      <c r="H75" s="33">
        <v>1000</v>
      </c>
      <c r="I75" s="33">
        <v>1000</v>
      </c>
      <c r="J75" s="93">
        <f t="shared" si="103"/>
        <v>2000</v>
      </c>
      <c r="K75" s="93">
        <f t="shared" si="104"/>
        <v>-1000</v>
      </c>
      <c r="L75" s="33">
        <v>1000</v>
      </c>
      <c r="M75" s="33">
        <v>1000</v>
      </c>
      <c r="N75" s="33">
        <v>1000</v>
      </c>
      <c r="O75" s="93">
        <f t="shared" si="105"/>
        <v>2000</v>
      </c>
      <c r="P75" s="93">
        <f t="shared" si="106"/>
        <v>-1000</v>
      </c>
      <c r="Q75" s="93">
        <f t="shared" si="107"/>
        <v>2000</v>
      </c>
      <c r="R75" s="93">
        <f t="shared" si="108"/>
        <v>2000</v>
      </c>
      <c r="S75" s="93">
        <f t="shared" si="109"/>
        <v>2000</v>
      </c>
      <c r="T75" s="93">
        <f t="shared" si="110"/>
        <v>4000</v>
      </c>
      <c r="U75" s="94">
        <f t="shared" si="111"/>
        <v>-2000</v>
      </c>
    </row>
    <row r="76" spans="1:21" ht="28.5">
      <c r="B76" s="32"/>
      <c r="C76" s="4" t="s">
        <v>117</v>
      </c>
      <c r="D76" s="4" t="s">
        <v>1</v>
      </c>
      <c r="E76" s="4" t="s">
        <v>0</v>
      </c>
      <c r="F76" s="124" t="s">
        <v>180</v>
      </c>
      <c r="G76" s="93">
        <f>G74+G75</f>
        <v>2000</v>
      </c>
      <c r="H76" s="93">
        <f t="shared" ref="H76" si="112">H74+H75</f>
        <v>2000</v>
      </c>
      <c r="I76" s="93">
        <f t="shared" ref="I76" si="113">I74+I75</f>
        <v>2000</v>
      </c>
      <c r="J76" s="93">
        <f t="shared" ref="J76" si="114">J74+J75</f>
        <v>4000</v>
      </c>
      <c r="K76" s="93">
        <f t="shared" ref="K76" si="115">K74+K75</f>
        <v>-2000</v>
      </c>
      <c r="L76" s="93">
        <f t="shared" ref="L76" si="116">L74+L75</f>
        <v>2000</v>
      </c>
      <c r="M76" s="93">
        <f t="shared" ref="M76" si="117">M74+M75</f>
        <v>2000</v>
      </c>
      <c r="N76" s="93">
        <f t="shared" ref="N76" si="118">N74+N75</f>
        <v>2000</v>
      </c>
      <c r="O76" s="93">
        <f t="shared" ref="O76" si="119">O74+O75</f>
        <v>4000</v>
      </c>
      <c r="P76" s="93">
        <f t="shared" ref="P76" si="120">P74+P75</f>
        <v>-2000</v>
      </c>
      <c r="Q76" s="93">
        <f t="shared" ref="Q76" si="121">Q74+Q75</f>
        <v>4000</v>
      </c>
      <c r="R76" s="93">
        <f t="shared" ref="R76" si="122">R74+R75</f>
        <v>4000</v>
      </c>
      <c r="S76" s="93">
        <f t="shared" ref="S76" si="123">S74+S75</f>
        <v>4000</v>
      </c>
      <c r="T76" s="93">
        <f t="shared" ref="T76" si="124">T74+T75</f>
        <v>8000</v>
      </c>
      <c r="U76" s="94">
        <f t="shared" ref="U76" si="125">U74+U75</f>
        <v>-4000</v>
      </c>
    </row>
    <row r="77" spans="1:21" ht="28.5">
      <c r="B77" s="32"/>
      <c r="C77" s="4" t="s">
        <v>118</v>
      </c>
      <c r="D77" s="4" t="s">
        <v>1</v>
      </c>
      <c r="E77" s="4" t="s">
        <v>0</v>
      </c>
      <c r="F77" s="92" t="s">
        <v>5</v>
      </c>
      <c r="G77" s="33">
        <v>1000</v>
      </c>
      <c r="H77" s="33">
        <v>1000</v>
      </c>
      <c r="I77" s="33">
        <v>1000</v>
      </c>
      <c r="J77" s="93">
        <f t="shared" ref="J77:J81" si="126">H77+I77</f>
        <v>2000</v>
      </c>
      <c r="K77" s="93">
        <f t="shared" ref="K77:K81" si="127">+G77-J77</f>
        <v>-1000</v>
      </c>
      <c r="L77" s="33">
        <v>1000</v>
      </c>
      <c r="M77" s="33">
        <v>1000</v>
      </c>
      <c r="N77" s="33">
        <v>1000</v>
      </c>
      <c r="O77" s="93">
        <f t="shared" ref="O77:O81" si="128">M77+N77</f>
        <v>2000</v>
      </c>
      <c r="P77" s="93">
        <f t="shared" ref="P77:P81" si="129">+L77-O77</f>
        <v>-1000</v>
      </c>
      <c r="Q77" s="93">
        <f t="shared" ref="Q77:Q81" si="130">G77+L77</f>
        <v>2000</v>
      </c>
      <c r="R77" s="93">
        <f t="shared" ref="R77:R81" si="131">H77+M77</f>
        <v>2000</v>
      </c>
      <c r="S77" s="93">
        <f t="shared" ref="S77:S81" si="132">I77+N77</f>
        <v>2000</v>
      </c>
      <c r="T77" s="93">
        <f t="shared" ref="T77:T81" si="133">R77+S77</f>
        <v>4000</v>
      </c>
      <c r="U77" s="94">
        <f t="shared" ref="U77:U81" si="134">+Q77-T77</f>
        <v>-2000</v>
      </c>
    </row>
    <row r="78" spans="1:21" ht="28.5">
      <c r="B78" s="32"/>
      <c r="C78" s="4" t="s">
        <v>119</v>
      </c>
      <c r="D78" s="4" t="s">
        <v>1</v>
      </c>
      <c r="E78" s="4" t="s">
        <v>0</v>
      </c>
      <c r="F78" s="92" t="s">
        <v>6</v>
      </c>
      <c r="G78" s="33">
        <v>1000</v>
      </c>
      <c r="H78" s="33">
        <v>1000</v>
      </c>
      <c r="I78" s="33">
        <v>1000</v>
      </c>
      <c r="J78" s="93">
        <f t="shared" si="126"/>
        <v>2000</v>
      </c>
      <c r="K78" s="93">
        <f t="shared" si="127"/>
        <v>-1000</v>
      </c>
      <c r="L78" s="33">
        <v>1000</v>
      </c>
      <c r="M78" s="33">
        <v>1000</v>
      </c>
      <c r="N78" s="33">
        <v>1000</v>
      </c>
      <c r="O78" s="93">
        <f t="shared" si="128"/>
        <v>2000</v>
      </c>
      <c r="P78" s="93">
        <f t="shared" si="129"/>
        <v>-1000</v>
      </c>
      <c r="Q78" s="93">
        <f t="shared" si="130"/>
        <v>2000</v>
      </c>
      <c r="R78" s="93">
        <f t="shared" si="131"/>
        <v>2000</v>
      </c>
      <c r="S78" s="93">
        <f t="shared" si="132"/>
        <v>2000</v>
      </c>
      <c r="T78" s="93">
        <f t="shared" si="133"/>
        <v>4000</v>
      </c>
      <c r="U78" s="94">
        <f t="shared" si="134"/>
        <v>-2000</v>
      </c>
    </row>
    <row r="79" spans="1:21">
      <c r="B79" s="32"/>
      <c r="C79" s="4" t="s">
        <v>120</v>
      </c>
      <c r="D79" s="4" t="s">
        <v>1</v>
      </c>
      <c r="E79" s="4" t="s">
        <v>0</v>
      </c>
      <c r="F79" s="92" t="s">
        <v>7</v>
      </c>
      <c r="G79" s="33">
        <v>1000</v>
      </c>
      <c r="H79" s="33">
        <v>1000</v>
      </c>
      <c r="I79" s="33">
        <v>1000</v>
      </c>
      <c r="J79" s="93">
        <f t="shared" si="126"/>
        <v>2000</v>
      </c>
      <c r="K79" s="93">
        <f t="shared" si="127"/>
        <v>-1000</v>
      </c>
      <c r="L79" s="33">
        <v>1000</v>
      </c>
      <c r="M79" s="33">
        <v>1000</v>
      </c>
      <c r="N79" s="33">
        <v>1000</v>
      </c>
      <c r="O79" s="93">
        <f t="shared" si="128"/>
        <v>2000</v>
      </c>
      <c r="P79" s="93">
        <f t="shared" si="129"/>
        <v>-1000</v>
      </c>
      <c r="Q79" s="93">
        <f t="shared" si="130"/>
        <v>2000</v>
      </c>
      <c r="R79" s="93">
        <f t="shared" si="131"/>
        <v>2000</v>
      </c>
      <c r="S79" s="93">
        <f t="shared" si="132"/>
        <v>2000</v>
      </c>
      <c r="T79" s="93">
        <f t="shared" si="133"/>
        <v>4000</v>
      </c>
      <c r="U79" s="94">
        <f t="shared" si="134"/>
        <v>-2000</v>
      </c>
    </row>
    <row r="80" spans="1:21" ht="28.5">
      <c r="B80" s="32"/>
      <c r="C80" s="4" t="s">
        <v>121</v>
      </c>
      <c r="D80" s="4" t="s">
        <v>1</v>
      </c>
      <c r="E80" s="4" t="s">
        <v>0</v>
      </c>
      <c r="F80" s="92" t="s">
        <v>8</v>
      </c>
      <c r="G80" s="33">
        <v>1000</v>
      </c>
      <c r="H80" s="33">
        <v>1000</v>
      </c>
      <c r="I80" s="33">
        <v>1000</v>
      </c>
      <c r="J80" s="93">
        <f t="shared" si="126"/>
        <v>2000</v>
      </c>
      <c r="K80" s="93">
        <f t="shared" si="127"/>
        <v>-1000</v>
      </c>
      <c r="L80" s="33">
        <v>1000</v>
      </c>
      <c r="M80" s="33">
        <v>1000</v>
      </c>
      <c r="N80" s="33">
        <v>1000</v>
      </c>
      <c r="O80" s="93">
        <f t="shared" si="128"/>
        <v>2000</v>
      </c>
      <c r="P80" s="93">
        <f t="shared" si="129"/>
        <v>-1000</v>
      </c>
      <c r="Q80" s="93">
        <f t="shared" si="130"/>
        <v>2000</v>
      </c>
      <c r="R80" s="93">
        <f t="shared" si="131"/>
        <v>2000</v>
      </c>
      <c r="S80" s="93">
        <f t="shared" si="132"/>
        <v>2000</v>
      </c>
      <c r="T80" s="93">
        <f t="shared" si="133"/>
        <v>4000</v>
      </c>
      <c r="U80" s="94">
        <f t="shared" si="134"/>
        <v>-2000</v>
      </c>
    </row>
    <row r="81" spans="1:21" ht="28.5">
      <c r="B81" s="32"/>
      <c r="C81" s="4" t="s">
        <v>122</v>
      </c>
      <c r="D81" s="4" t="s">
        <v>1</v>
      </c>
      <c r="E81" s="4" t="s">
        <v>0</v>
      </c>
      <c r="F81" s="92" t="s">
        <v>9</v>
      </c>
      <c r="G81" s="33">
        <v>1000</v>
      </c>
      <c r="H81" s="33">
        <v>1000</v>
      </c>
      <c r="I81" s="33">
        <v>1000</v>
      </c>
      <c r="J81" s="93">
        <f t="shared" si="126"/>
        <v>2000</v>
      </c>
      <c r="K81" s="93">
        <f t="shared" si="127"/>
        <v>-1000</v>
      </c>
      <c r="L81" s="33">
        <v>1000</v>
      </c>
      <c r="M81" s="33">
        <v>1000</v>
      </c>
      <c r="N81" s="33">
        <v>1000</v>
      </c>
      <c r="O81" s="93">
        <f t="shared" si="128"/>
        <v>2000</v>
      </c>
      <c r="P81" s="93">
        <f t="shared" si="129"/>
        <v>-1000</v>
      </c>
      <c r="Q81" s="93">
        <f t="shared" si="130"/>
        <v>2000</v>
      </c>
      <c r="R81" s="93">
        <f t="shared" si="131"/>
        <v>2000</v>
      </c>
      <c r="S81" s="93">
        <f t="shared" si="132"/>
        <v>2000</v>
      </c>
      <c r="T81" s="93">
        <f t="shared" si="133"/>
        <v>4000</v>
      </c>
      <c r="U81" s="94">
        <f t="shared" si="134"/>
        <v>-2000</v>
      </c>
    </row>
    <row r="82" spans="1:21" ht="28.5">
      <c r="B82" s="32"/>
      <c r="C82" s="4"/>
      <c r="D82" s="4"/>
      <c r="E82" s="4" t="s">
        <v>0</v>
      </c>
      <c r="F82" s="91" t="s">
        <v>17</v>
      </c>
      <c r="G82" s="30"/>
      <c r="H82" s="30"/>
      <c r="I82" s="30"/>
      <c r="J82" s="30"/>
      <c r="K82" s="30"/>
      <c r="L82" s="30"/>
      <c r="M82" s="30"/>
      <c r="N82" s="30"/>
      <c r="O82" s="30"/>
      <c r="P82" s="30"/>
      <c r="Q82" s="30"/>
      <c r="R82" s="30"/>
      <c r="S82" s="30"/>
      <c r="T82" s="30"/>
      <c r="U82" s="31"/>
    </row>
    <row r="83" spans="1:21" ht="28.5">
      <c r="B83" s="32"/>
      <c r="C83" s="4" t="s">
        <v>123</v>
      </c>
      <c r="D83" s="4" t="s">
        <v>1</v>
      </c>
      <c r="E83" s="4" t="s">
        <v>0</v>
      </c>
      <c r="F83" s="92" t="s">
        <v>10</v>
      </c>
      <c r="G83" s="33">
        <v>1000</v>
      </c>
      <c r="H83" s="33">
        <v>1000</v>
      </c>
      <c r="I83" s="33">
        <v>1000</v>
      </c>
      <c r="J83" s="93">
        <f>H83+I83</f>
        <v>2000</v>
      </c>
      <c r="K83" s="93">
        <f t="shared" ref="K83:K89" si="135">+G83-J83</f>
        <v>-1000</v>
      </c>
      <c r="L83" s="33">
        <v>1000</v>
      </c>
      <c r="M83" s="33">
        <v>1000</v>
      </c>
      <c r="N83" s="33">
        <v>1000</v>
      </c>
      <c r="O83" s="93">
        <f>M83+N83</f>
        <v>2000</v>
      </c>
      <c r="P83" s="93">
        <f t="shared" ref="P83:P89" si="136">+L83-O83</f>
        <v>-1000</v>
      </c>
      <c r="Q83" s="93">
        <f t="shared" ref="Q83:Q89" si="137">G83+L83</f>
        <v>2000</v>
      </c>
      <c r="R83" s="93">
        <f t="shared" ref="R83:R89" si="138">H83+M83</f>
        <v>2000</v>
      </c>
      <c r="S83" s="93">
        <f t="shared" ref="S83:S89" si="139">I83+N83</f>
        <v>2000</v>
      </c>
      <c r="T83" s="93">
        <f>R83+S83</f>
        <v>4000</v>
      </c>
      <c r="U83" s="94">
        <f t="shared" ref="U83:U89" si="140">+Q83-T83</f>
        <v>-2000</v>
      </c>
    </row>
    <row r="84" spans="1:21" ht="28.5">
      <c r="B84" s="32"/>
      <c r="C84" s="4" t="s">
        <v>124</v>
      </c>
      <c r="D84" s="4" t="s">
        <v>1</v>
      </c>
      <c r="E84" s="4" t="s">
        <v>0</v>
      </c>
      <c r="F84" s="92" t="s">
        <v>11</v>
      </c>
      <c r="G84" s="33">
        <v>1000</v>
      </c>
      <c r="H84" s="33">
        <v>1000</v>
      </c>
      <c r="I84" s="33">
        <v>1000</v>
      </c>
      <c r="J84" s="93">
        <f>H84+I84</f>
        <v>2000</v>
      </c>
      <c r="K84" s="93">
        <f t="shared" si="135"/>
        <v>-1000</v>
      </c>
      <c r="L84" s="33">
        <v>1000</v>
      </c>
      <c r="M84" s="33">
        <v>1000</v>
      </c>
      <c r="N84" s="33">
        <v>1000</v>
      </c>
      <c r="O84" s="93">
        <f>M84+N84</f>
        <v>2000</v>
      </c>
      <c r="P84" s="93">
        <f t="shared" si="136"/>
        <v>-1000</v>
      </c>
      <c r="Q84" s="93">
        <f t="shared" si="137"/>
        <v>2000</v>
      </c>
      <c r="R84" s="93">
        <f t="shared" si="138"/>
        <v>2000</v>
      </c>
      <c r="S84" s="93">
        <f t="shared" si="139"/>
        <v>2000</v>
      </c>
      <c r="T84" s="93">
        <f>R84+S84</f>
        <v>4000</v>
      </c>
      <c r="U84" s="94">
        <f t="shared" si="140"/>
        <v>-2000</v>
      </c>
    </row>
    <row r="85" spans="1:21" ht="28.5">
      <c r="B85" s="32"/>
      <c r="C85" s="4" t="s">
        <v>125</v>
      </c>
      <c r="D85" s="4" t="s">
        <v>1</v>
      </c>
      <c r="E85" s="4" t="s">
        <v>0</v>
      </c>
      <c r="F85" s="91" t="s">
        <v>18</v>
      </c>
      <c r="G85" s="93">
        <f>G83+G84</f>
        <v>2000</v>
      </c>
      <c r="H85" s="93">
        <f t="shared" ref="H85:J85" si="141">H83+H84</f>
        <v>2000</v>
      </c>
      <c r="I85" s="93">
        <f t="shared" si="141"/>
        <v>2000</v>
      </c>
      <c r="J85" s="93">
        <f t="shared" si="141"/>
        <v>4000</v>
      </c>
      <c r="K85" s="93">
        <f t="shared" si="135"/>
        <v>-2000</v>
      </c>
      <c r="L85" s="93">
        <f>L83+L84</f>
        <v>2000</v>
      </c>
      <c r="M85" s="93">
        <f t="shared" ref="M85:O85" si="142">M83+M84</f>
        <v>2000</v>
      </c>
      <c r="N85" s="93">
        <f t="shared" si="142"/>
        <v>2000</v>
      </c>
      <c r="O85" s="93">
        <f t="shared" si="142"/>
        <v>4000</v>
      </c>
      <c r="P85" s="93">
        <f t="shared" si="136"/>
        <v>-2000</v>
      </c>
      <c r="Q85" s="93">
        <f t="shared" si="137"/>
        <v>4000</v>
      </c>
      <c r="R85" s="93">
        <f t="shared" si="138"/>
        <v>4000</v>
      </c>
      <c r="S85" s="93">
        <f t="shared" si="139"/>
        <v>4000</v>
      </c>
      <c r="T85" s="93">
        <f t="shared" ref="T85" si="143">T83+T84</f>
        <v>8000</v>
      </c>
      <c r="U85" s="94">
        <f t="shared" si="140"/>
        <v>-4000</v>
      </c>
    </row>
    <row r="86" spans="1:21" ht="28.5">
      <c r="B86" s="32"/>
      <c r="C86" s="4" t="s">
        <v>126</v>
      </c>
      <c r="D86" s="4" t="s">
        <v>1</v>
      </c>
      <c r="E86" s="4" t="s">
        <v>0</v>
      </c>
      <c r="F86" s="92" t="s">
        <v>12</v>
      </c>
      <c r="G86" s="33">
        <v>1000</v>
      </c>
      <c r="H86" s="33">
        <v>1000</v>
      </c>
      <c r="I86" s="33">
        <v>1000</v>
      </c>
      <c r="J86" s="93">
        <f>H86+I86</f>
        <v>2000</v>
      </c>
      <c r="K86" s="93">
        <f t="shared" si="135"/>
        <v>-1000</v>
      </c>
      <c r="L86" s="33">
        <v>1000</v>
      </c>
      <c r="M86" s="33">
        <v>1000</v>
      </c>
      <c r="N86" s="33">
        <v>1000</v>
      </c>
      <c r="O86" s="93">
        <f>M86+N86</f>
        <v>2000</v>
      </c>
      <c r="P86" s="93">
        <f t="shared" si="136"/>
        <v>-1000</v>
      </c>
      <c r="Q86" s="93">
        <f t="shared" si="137"/>
        <v>2000</v>
      </c>
      <c r="R86" s="93">
        <f t="shared" si="138"/>
        <v>2000</v>
      </c>
      <c r="S86" s="93">
        <f t="shared" si="139"/>
        <v>2000</v>
      </c>
      <c r="T86" s="93">
        <f>R86+S86</f>
        <v>4000</v>
      </c>
      <c r="U86" s="94">
        <f t="shared" si="140"/>
        <v>-2000</v>
      </c>
    </row>
    <row r="87" spans="1:21">
      <c r="B87" s="32"/>
      <c r="C87" s="4" t="s">
        <v>127</v>
      </c>
      <c r="D87" s="4" t="s">
        <v>1</v>
      </c>
      <c r="E87" s="4" t="s">
        <v>0</v>
      </c>
      <c r="F87" s="92" t="s">
        <v>13</v>
      </c>
      <c r="G87" s="33">
        <v>1000</v>
      </c>
      <c r="H87" s="33">
        <v>1000</v>
      </c>
      <c r="I87" s="33">
        <v>1000</v>
      </c>
      <c r="J87" s="93">
        <f>H87+I87</f>
        <v>2000</v>
      </c>
      <c r="K87" s="93">
        <f t="shared" si="135"/>
        <v>-1000</v>
      </c>
      <c r="L87" s="33">
        <v>1000</v>
      </c>
      <c r="M87" s="33">
        <v>1000</v>
      </c>
      <c r="N87" s="33">
        <v>1000</v>
      </c>
      <c r="O87" s="93">
        <f>M87+N87</f>
        <v>2000</v>
      </c>
      <c r="P87" s="93">
        <f t="shared" si="136"/>
        <v>-1000</v>
      </c>
      <c r="Q87" s="93">
        <f t="shared" si="137"/>
        <v>2000</v>
      </c>
      <c r="R87" s="93">
        <f t="shared" si="138"/>
        <v>2000</v>
      </c>
      <c r="S87" s="93">
        <f t="shared" si="139"/>
        <v>2000</v>
      </c>
      <c r="T87" s="93">
        <f>R87+S87</f>
        <v>4000</v>
      </c>
      <c r="U87" s="94">
        <f t="shared" si="140"/>
        <v>-2000</v>
      </c>
    </row>
    <row r="88" spans="1:21" ht="28.5">
      <c r="B88" s="32"/>
      <c r="C88" s="4" t="s">
        <v>128</v>
      </c>
      <c r="D88" s="4" t="s">
        <v>1</v>
      </c>
      <c r="E88" s="4" t="s">
        <v>0</v>
      </c>
      <c r="F88" s="92" t="s">
        <v>14</v>
      </c>
      <c r="G88" s="33">
        <v>1000</v>
      </c>
      <c r="H88" s="33">
        <v>1000</v>
      </c>
      <c r="I88" s="33">
        <v>1000</v>
      </c>
      <c r="J88" s="93">
        <f>H88+I88</f>
        <v>2000</v>
      </c>
      <c r="K88" s="93">
        <f t="shared" si="135"/>
        <v>-1000</v>
      </c>
      <c r="L88" s="33">
        <v>1000</v>
      </c>
      <c r="M88" s="33">
        <v>1000</v>
      </c>
      <c r="N88" s="33">
        <v>1000</v>
      </c>
      <c r="O88" s="93">
        <f>M88+N88</f>
        <v>2000</v>
      </c>
      <c r="P88" s="93">
        <f t="shared" si="136"/>
        <v>-1000</v>
      </c>
      <c r="Q88" s="93">
        <f t="shared" si="137"/>
        <v>2000</v>
      </c>
      <c r="R88" s="93">
        <f t="shared" si="138"/>
        <v>2000</v>
      </c>
      <c r="S88" s="93">
        <f t="shared" si="139"/>
        <v>2000</v>
      </c>
      <c r="T88" s="93">
        <f>R88+S88</f>
        <v>4000</v>
      </c>
      <c r="U88" s="94">
        <f t="shared" si="140"/>
        <v>-2000</v>
      </c>
    </row>
    <row r="89" spans="1:21" ht="28.5">
      <c r="B89" s="32"/>
      <c r="C89" s="4" t="s">
        <v>129</v>
      </c>
      <c r="D89" s="4" t="s">
        <v>1</v>
      </c>
      <c r="E89" s="4" t="s">
        <v>0</v>
      </c>
      <c r="F89" s="92" t="s">
        <v>15</v>
      </c>
      <c r="G89" s="33">
        <v>1000</v>
      </c>
      <c r="H89" s="33">
        <v>1000</v>
      </c>
      <c r="I89" s="33">
        <v>1000</v>
      </c>
      <c r="J89" s="93">
        <f>H89+I89</f>
        <v>2000</v>
      </c>
      <c r="K89" s="93">
        <f t="shared" si="135"/>
        <v>-1000</v>
      </c>
      <c r="L89" s="33">
        <v>1000</v>
      </c>
      <c r="M89" s="33">
        <v>1000</v>
      </c>
      <c r="N89" s="33">
        <v>1000</v>
      </c>
      <c r="O89" s="93">
        <f>M89+N89</f>
        <v>2000</v>
      </c>
      <c r="P89" s="93">
        <f t="shared" si="136"/>
        <v>-1000</v>
      </c>
      <c r="Q89" s="93">
        <f t="shared" si="137"/>
        <v>2000</v>
      </c>
      <c r="R89" s="93">
        <f t="shared" si="138"/>
        <v>2000</v>
      </c>
      <c r="S89" s="93">
        <f t="shared" si="139"/>
        <v>2000</v>
      </c>
      <c r="T89" s="93">
        <f>R89+S89</f>
        <v>4000</v>
      </c>
      <c r="U89" s="94">
        <f t="shared" si="140"/>
        <v>-2000</v>
      </c>
    </row>
    <row r="90" spans="1:21">
      <c r="B90" s="32"/>
      <c r="C90" s="4" t="s">
        <v>130</v>
      </c>
      <c r="D90" s="4" t="s">
        <v>1</v>
      </c>
      <c r="E90" s="4" t="s">
        <v>0</v>
      </c>
      <c r="F90" s="91" t="s">
        <v>19</v>
      </c>
      <c r="G90" s="93">
        <f>G76+G77+G78-G79-G80+G81+G85+G86-G87-G88-G89</f>
        <v>3000</v>
      </c>
      <c r="H90" s="93">
        <f t="shared" ref="H90" si="144">H76+H77+H78-H79-H80+H81+H85+H86-H87-H88-H89</f>
        <v>3000</v>
      </c>
      <c r="I90" s="93">
        <f t="shared" ref="I90" si="145">I76+I77+I78-I79-I80+I81+I85+I86-I87-I88-I89</f>
        <v>3000</v>
      </c>
      <c r="J90" s="93">
        <f t="shared" ref="J90" si="146">J76+J77+J78-J79-J80+J81+J85+J86-J87-J88-J89</f>
        <v>6000</v>
      </c>
      <c r="K90" s="93">
        <f t="shared" ref="K90" si="147">K76+K77+K78-K79-K80+K81+K85+K86-K87-K88-K89</f>
        <v>-3000</v>
      </c>
      <c r="L90" s="93">
        <f t="shared" ref="L90" si="148">L76+L77+L78-L79-L80+L81+L85+L86-L87-L88-L89</f>
        <v>3000</v>
      </c>
      <c r="M90" s="93">
        <f t="shared" ref="M90" si="149">M76+M77+M78-M79-M80+M81+M85+M86-M87-M88-M89</f>
        <v>3000</v>
      </c>
      <c r="N90" s="93">
        <f t="shared" ref="N90" si="150">N76+N77+N78-N79-N80+N81+N85+N86-N87-N88-N89</f>
        <v>3000</v>
      </c>
      <c r="O90" s="93">
        <f t="shared" ref="O90" si="151">O76+O77+O78-O79-O80+O81+O85+O86-O87-O88-O89</f>
        <v>6000</v>
      </c>
      <c r="P90" s="93">
        <f t="shared" ref="P90" si="152">P76+P77+P78-P79-P80+P81+P85+P86-P87-P88-P89</f>
        <v>-3000</v>
      </c>
      <c r="Q90" s="93">
        <f t="shared" ref="Q90" si="153">Q76+Q77+Q78-Q79-Q80+Q81+Q85+Q86-Q87-Q88-Q89</f>
        <v>6000</v>
      </c>
      <c r="R90" s="93">
        <f t="shared" ref="R90" si="154">R76+R77+R78-R79-R80+R81+R85+R86-R87-R88-R89</f>
        <v>6000</v>
      </c>
      <c r="S90" s="93">
        <f t="shared" ref="S90" si="155">S76+S77+S78-S79-S80+S81+S85+S86-S87-S88-S89</f>
        <v>6000</v>
      </c>
      <c r="T90" s="93">
        <f t="shared" ref="T90" si="156">T76+T77+T78-T79-T80+T81+T85+T86-T87-T88-T89</f>
        <v>12000</v>
      </c>
      <c r="U90" s="94">
        <f t="shared" ref="U90" si="157">U76+U77+U78-U79-U80+U81+U85+U86-U87-U88-U89</f>
        <v>-6000</v>
      </c>
    </row>
    <row r="91" spans="1:21">
      <c r="B91" s="32"/>
      <c r="C91" s="4" t="s">
        <v>116</v>
      </c>
      <c r="D91" s="4" t="s">
        <v>1</v>
      </c>
      <c r="E91" s="4" t="s">
        <v>0</v>
      </c>
      <c r="F91" s="91" t="s">
        <v>39</v>
      </c>
      <c r="G91" s="93">
        <f t="shared" ref="G91" si="158">G71+G90</f>
        <v>4000</v>
      </c>
      <c r="H91" s="93">
        <f t="shared" ref="H91" si="159">H71+H90</f>
        <v>4000</v>
      </c>
      <c r="I91" s="93">
        <f t="shared" ref="I91" si="160">I71+I90</f>
        <v>4000</v>
      </c>
      <c r="J91" s="93">
        <f t="shared" ref="J91" si="161">J71+J90</f>
        <v>8000</v>
      </c>
      <c r="K91" s="93">
        <f t="shared" ref="K91" si="162">K71+K90</f>
        <v>-4000</v>
      </c>
      <c r="L91" s="93">
        <f t="shared" ref="L91" si="163">L71+L90</f>
        <v>4000</v>
      </c>
      <c r="M91" s="93">
        <f t="shared" ref="M91" si="164">M71+M90</f>
        <v>4000</v>
      </c>
      <c r="N91" s="93">
        <f t="shared" ref="N91" si="165">N71+N90</f>
        <v>4000</v>
      </c>
      <c r="O91" s="93">
        <f t="shared" ref="O91" si="166">O71+O90</f>
        <v>8000</v>
      </c>
      <c r="P91" s="93">
        <f t="shared" ref="P91" si="167">P71+P90</f>
        <v>-4000</v>
      </c>
      <c r="Q91" s="93">
        <f t="shared" ref="Q91" si="168">G91+L91</f>
        <v>8000</v>
      </c>
      <c r="R91" s="93">
        <f t="shared" ref="R91" si="169">H91+M91</f>
        <v>8000</v>
      </c>
      <c r="S91" s="93">
        <f t="shared" ref="S91" si="170">I91+N91</f>
        <v>8000</v>
      </c>
      <c r="T91" s="93">
        <f>T71+T90</f>
        <v>16000</v>
      </c>
      <c r="U91" s="95">
        <f>U71+U90</f>
        <v>-8000</v>
      </c>
    </row>
    <row r="92" spans="1:21">
      <c r="A92" s="34"/>
      <c r="B92" s="58"/>
      <c r="C92" s="45"/>
      <c r="D92" s="45"/>
      <c r="E92" s="45"/>
      <c r="F92" s="46"/>
      <c r="G92" s="45"/>
      <c r="H92" s="45"/>
      <c r="I92" s="45"/>
      <c r="J92" s="45"/>
      <c r="K92" s="45"/>
      <c r="L92" s="45"/>
      <c r="M92" s="45"/>
      <c r="N92" s="45"/>
      <c r="O92" s="45"/>
      <c r="P92" s="45"/>
      <c r="Q92" s="64"/>
      <c r="R92" s="64"/>
      <c r="S92" s="64"/>
      <c r="T92" s="64"/>
      <c r="U92" s="59"/>
    </row>
    <row r="93" spans="1:21">
      <c r="A93" s="34"/>
      <c r="B93" s="58"/>
      <c r="C93" s="45"/>
      <c r="D93" s="45"/>
      <c r="E93" s="45"/>
      <c r="F93" s="46"/>
      <c r="G93" s="45"/>
      <c r="H93" s="45"/>
      <c r="I93" s="45"/>
      <c r="J93" s="45"/>
      <c r="K93" s="45"/>
      <c r="L93" s="45"/>
      <c r="M93" s="45"/>
      <c r="N93" s="45"/>
      <c r="O93" s="45"/>
      <c r="P93" s="45"/>
      <c r="Q93" s="45"/>
      <c r="R93" s="45"/>
      <c r="S93" s="45"/>
      <c r="T93" s="45"/>
      <c r="U93" s="59"/>
    </row>
    <row r="94" spans="1:21" ht="22.5" customHeight="1">
      <c r="B94" s="55"/>
      <c r="C94" s="56"/>
      <c r="D94" s="56"/>
      <c r="E94" s="56"/>
      <c r="F94" s="44" t="s">
        <v>21</v>
      </c>
      <c r="G94" s="56"/>
      <c r="H94" s="56"/>
      <c r="I94" s="56"/>
      <c r="J94" s="56"/>
      <c r="K94" s="56"/>
      <c r="L94" s="56"/>
      <c r="M94" s="56"/>
      <c r="N94" s="56"/>
      <c r="O94" s="56"/>
      <c r="P94" s="56"/>
      <c r="Q94" s="56"/>
      <c r="R94" s="56"/>
      <c r="S94" s="56"/>
      <c r="T94" s="56"/>
      <c r="U94" s="57"/>
    </row>
    <row r="95" spans="1:21">
      <c r="A95" s="34"/>
      <c r="B95" s="58"/>
      <c r="C95" s="45"/>
      <c r="D95" s="45"/>
      <c r="E95" s="45"/>
      <c r="F95" s="46"/>
      <c r="G95" s="45"/>
      <c r="H95" s="45"/>
      <c r="I95" s="45"/>
      <c r="J95" s="45"/>
      <c r="K95" s="45"/>
      <c r="L95" s="45"/>
      <c r="M95" s="45"/>
      <c r="N95" s="45"/>
      <c r="O95" s="45"/>
      <c r="P95" s="45"/>
      <c r="Q95" s="48"/>
      <c r="R95" s="48"/>
      <c r="S95" s="48"/>
      <c r="T95" s="48"/>
      <c r="U95" s="59"/>
    </row>
    <row r="96" spans="1:21" ht="21" customHeight="1">
      <c r="A96" s="70" t="s">
        <v>16</v>
      </c>
      <c r="B96" s="32"/>
      <c r="C96" s="4" t="s">
        <v>116</v>
      </c>
      <c r="D96" s="4" t="s">
        <v>2</v>
      </c>
      <c r="E96" s="4" t="s">
        <v>0</v>
      </c>
      <c r="F96" s="91" t="s">
        <v>216</v>
      </c>
      <c r="G96" s="33">
        <v>1000</v>
      </c>
      <c r="H96" s="33">
        <v>1000</v>
      </c>
      <c r="I96" s="33">
        <v>1000</v>
      </c>
      <c r="J96" s="93">
        <f>H96+I96</f>
        <v>2000</v>
      </c>
      <c r="K96" s="93">
        <f>+G96-J96</f>
        <v>-1000</v>
      </c>
      <c r="L96" s="33">
        <v>1000</v>
      </c>
      <c r="M96" s="33">
        <v>1000</v>
      </c>
      <c r="N96" s="33">
        <v>1000</v>
      </c>
      <c r="O96" s="93">
        <f>M96+N96</f>
        <v>2000</v>
      </c>
      <c r="P96" s="93">
        <f>+L96-O96</f>
        <v>-1000</v>
      </c>
      <c r="Q96" s="93">
        <f>G96+L96</f>
        <v>2000</v>
      </c>
      <c r="R96" s="93">
        <f t="shared" ref="R96" si="171">H96+M96</f>
        <v>2000</v>
      </c>
      <c r="S96" s="93">
        <f t="shared" ref="S96" si="172">I96+N96</f>
        <v>2000</v>
      </c>
      <c r="T96" s="93">
        <f>R96+S96</f>
        <v>4000</v>
      </c>
      <c r="U96" s="94">
        <f>+Q96-T96</f>
        <v>-2000</v>
      </c>
    </row>
    <row r="97" spans="1:21">
      <c r="A97" s="28"/>
      <c r="B97" s="32"/>
      <c r="C97" s="4"/>
      <c r="D97" s="4"/>
      <c r="E97" s="4" t="s">
        <v>0</v>
      </c>
      <c r="F97" s="91" t="s">
        <v>181</v>
      </c>
      <c r="G97" s="30"/>
      <c r="H97" s="30"/>
      <c r="I97" s="30"/>
      <c r="J97" s="30"/>
      <c r="K97" s="30"/>
      <c r="L97" s="30"/>
      <c r="M97" s="30"/>
      <c r="N97" s="30"/>
      <c r="O97" s="30"/>
      <c r="P97" s="30"/>
      <c r="Q97" s="30"/>
      <c r="R97" s="30"/>
      <c r="S97" s="30"/>
      <c r="T97" s="30"/>
      <c r="U97" s="31"/>
    </row>
    <row r="98" spans="1:21" ht="28.5">
      <c r="A98" s="28"/>
      <c r="B98" s="32"/>
      <c r="C98" s="4"/>
      <c r="D98" s="4"/>
      <c r="E98" s="4" t="s">
        <v>0</v>
      </c>
      <c r="F98" s="91" t="s">
        <v>172</v>
      </c>
      <c r="G98" s="30"/>
      <c r="H98" s="30"/>
      <c r="I98" s="30"/>
      <c r="J98" s="30"/>
      <c r="K98" s="30"/>
      <c r="L98" s="30"/>
      <c r="M98" s="30"/>
      <c r="N98" s="30"/>
      <c r="O98" s="30"/>
      <c r="P98" s="30"/>
      <c r="Q98" s="30"/>
      <c r="R98" s="30"/>
      <c r="S98" s="30"/>
      <c r="T98" s="30"/>
      <c r="U98" s="31"/>
    </row>
    <row r="99" spans="1:21" ht="28.5">
      <c r="B99" s="32"/>
      <c r="C99" s="4" t="s">
        <v>173</v>
      </c>
      <c r="D99" s="4" t="s">
        <v>81</v>
      </c>
      <c r="E99" s="4" t="s">
        <v>0</v>
      </c>
      <c r="F99" s="124" t="s">
        <v>178</v>
      </c>
      <c r="G99" s="33">
        <v>1000</v>
      </c>
      <c r="H99" s="33">
        <v>1000</v>
      </c>
      <c r="I99" s="33">
        <v>1000</v>
      </c>
      <c r="J99" s="93">
        <f t="shared" ref="J99:J100" si="173">H99+I99</f>
        <v>2000</v>
      </c>
      <c r="K99" s="93">
        <f t="shared" ref="K99:K100" si="174">+G99-J99</f>
        <v>-1000</v>
      </c>
      <c r="L99" s="33">
        <v>1000</v>
      </c>
      <c r="M99" s="33">
        <v>1000</v>
      </c>
      <c r="N99" s="33">
        <v>1000</v>
      </c>
      <c r="O99" s="93">
        <f t="shared" ref="O99:O100" si="175">M99+N99</f>
        <v>2000</v>
      </c>
      <c r="P99" s="93">
        <f t="shared" ref="P99:P100" si="176">+L99-O99</f>
        <v>-1000</v>
      </c>
      <c r="Q99" s="93">
        <f t="shared" ref="Q99:Q100" si="177">G99+L99</f>
        <v>2000</v>
      </c>
      <c r="R99" s="93">
        <f t="shared" ref="R99:R100" si="178">H99+M99</f>
        <v>2000</v>
      </c>
      <c r="S99" s="93">
        <f t="shared" ref="S99:S100" si="179">I99+N99</f>
        <v>2000</v>
      </c>
      <c r="T99" s="93">
        <f t="shared" ref="T99:T100" si="180">R99+S99</f>
        <v>4000</v>
      </c>
      <c r="U99" s="94">
        <f t="shared" ref="U99:U100" si="181">+Q99-T99</f>
        <v>-2000</v>
      </c>
    </row>
    <row r="100" spans="1:21">
      <c r="B100" s="32"/>
      <c r="C100" s="4" t="s">
        <v>174</v>
      </c>
      <c r="D100" s="4" t="s">
        <v>81</v>
      </c>
      <c r="E100" s="4" t="s">
        <v>0</v>
      </c>
      <c r="F100" s="124" t="s">
        <v>179</v>
      </c>
      <c r="G100" s="33">
        <v>1000</v>
      </c>
      <c r="H100" s="33">
        <v>1000</v>
      </c>
      <c r="I100" s="33">
        <v>1000</v>
      </c>
      <c r="J100" s="93">
        <f t="shared" si="173"/>
        <v>2000</v>
      </c>
      <c r="K100" s="93">
        <f t="shared" si="174"/>
        <v>-1000</v>
      </c>
      <c r="L100" s="33">
        <v>1000</v>
      </c>
      <c r="M100" s="33">
        <v>1000</v>
      </c>
      <c r="N100" s="33">
        <v>1000</v>
      </c>
      <c r="O100" s="93">
        <f t="shared" si="175"/>
        <v>2000</v>
      </c>
      <c r="P100" s="93">
        <f t="shared" si="176"/>
        <v>-1000</v>
      </c>
      <c r="Q100" s="93">
        <f t="shared" si="177"/>
        <v>2000</v>
      </c>
      <c r="R100" s="93">
        <f t="shared" si="178"/>
        <v>2000</v>
      </c>
      <c r="S100" s="93">
        <f t="shared" si="179"/>
        <v>2000</v>
      </c>
      <c r="T100" s="93">
        <f t="shared" si="180"/>
        <v>4000</v>
      </c>
      <c r="U100" s="94">
        <f t="shared" si="181"/>
        <v>-2000</v>
      </c>
    </row>
    <row r="101" spans="1:21" ht="28.5">
      <c r="B101" s="32"/>
      <c r="C101" s="4" t="s">
        <v>117</v>
      </c>
      <c r="D101" s="4" t="s">
        <v>81</v>
      </c>
      <c r="E101" s="4" t="s">
        <v>0</v>
      </c>
      <c r="F101" s="124" t="s">
        <v>180</v>
      </c>
      <c r="G101" s="93">
        <f>G99+G100</f>
        <v>2000</v>
      </c>
      <c r="H101" s="93">
        <f t="shared" ref="H101" si="182">H99+H100</f>
        <v>2000</v>
      </c>
      <c r="I101" s="93">
        <f t="shared" ref="I101" si="183">I99+I100</f>
        <v>2000</v>
      </c>
      <c r="J101" s="93">
        <f t="shared" ref="J101" si="184">J99+J100</f>
        <v>4000</v>
      </c>
      <c r="K101" s="93">
        <f t="shared" ref="K101" si="185">K99+K100</f>
        <v>-2000</v>
      </c>
      <c r="L101" s="93">
        <f t="shared" ref="L101" si="186">L99+L100</f>
        <v>2000</v>
      </c>
      <c r="M101" s="93">
        <f t="shared" ref="M101" si="187">M99+M100</f>
        <v>2000</v>
      </c>
      <c r="N101" s="93">
        <f t="shared" ref="N101" si="188">N99+N100</f>
        <v>2000</v>
      </c>
      <c r="O101" s="93">
        <f t="shared" ref="O101" si="189">O99+O100</f>
        <v>4000</v>
      </c>
      <c r="P101" s="93">
        <f t="shared" ref="P101" si="190">P99+P100</f>
        <v>-2000</v>
      </c>
      <c r="Q101" s="93">
        <f t="shared" ref="Q101" si="191">Q99+Q100</f>
        <v>4000</v>
      </c>
      <c r="R101" s="93">
        <f t="shared" ref="R101" si="192">R99+R100</f>
        <v>4000</v>
      </c>
      <c r="S101" s="93">
        <f t="shared" ref="S101" si="193">S99+S100</f>
        <v>4000</v>
      </c>
      <c r="T101" s="93">
        <f t="shared" ref="T101" si="194">T99+T100</f>
        <v>8000</v>
      </c>
      <c r="U101" s="94">
        <f t="shared" ref="U101" si="195">U99+U100</f>
        <v>-4000</v>
      </c>
    </row>
    <row r="102" spans="1:21" ht="28.5">
      <c r="B102" s="32"/>
      <c r="C102" s="4" t="s">
        <v>118</v>
      </c>
      <c r="D102" s="4" t="s">
        <v>81</v>
      </c>
      <c r="E102" s="4" t="s">
        <v>0</v>
      </c>
      <c r="F102" s="92" t="s">
        <v>5</v>
      </c>
      <c r="G102" s="33">
        <v>1000</v>
      </c>
      <c r="H102" s="33">
        <v>1000</v>
      </c>
      <c r="I102" s="33">
        <v>1000</v>
      </c>
      <c r="J102" s="93">
        <f t="shared" ref="J102:J106" si="196">H102+I102</f>
        <v>2000</v>
      </c>
      <c r="K102" s="93">
        <f t="shared" ref="K102:K106" si="197">+G102-J102</f>
        <v>-1000</v>
      </c>
      <c r="L102" s="33">
        <v>1000</v>
      </c>
      <c r="M102" s="33">
        <v>1000</v>
      </c>
      <c r="N102" s="33">
        <v>1000</v>
      </c>
      <c r="O102" s="93">
        <f t="shared" ref="O102:O106" si="198">M102+N102</f>
        <v>2000</v>
      </c>
      <c r="P102" s="93">
        <f t="shared" ref="P102:P106" si="199">+L102-O102</f>
        <v>-1000</v>
      </c>
      <c r="Q102" s="93">
        <f t="shared" ref="Q102:Q106" si="200">G102+L102</f>
        <v>2000</v>
      </c>
      <c r="R102" s="93">
        <f t="shared" ref="R102:R106" si="201">H102+M102</f>
        <v>2000</v>
      </c>
      <c r="S102" s="93">
        <f t="shared" ref="S102:S106" si="202">I102+N102</f>
        <v>2000</v>
      </c>
      <c r="T102" s="93">
        <f t="shared" ref="T102:T106" si="203">R102+S102</f>
        <v>4000</v>
      </c>
      <c r="U102" s="94">
        <f t="shared" ref="U102:U106" si="204">+Q102-T102</f>
        <v>-2000</v>
      </c>
    </row>
    <row r="103" spans="1:21" ht="28.5">
      <c r="B103" s="32"/>
      <c r="C103" s="4" t="s">
        <v>119</v>
      </c>
      <c r="D103" s="4" t="s">
        <v>81</v>
      </c>
      <c r="E103" s="4" t="s">
        <v>0</v>
      </c>
      <c r="F103" s="92" t="s">
        <v>6</v>
      </c>
      <c r="G103" s="33">
        <v>1000</v>
      </c>
      <c r="H103" s="33">
        <v>1000</v>
      </c>
      <c r="I103" s="33">
        <v>1000</v>
      </c>
      <c r="J103" s="93">
        <f t="shared" si="196"/>
        <v>2000</v>
      </c>
      <c r="K103" s="93">
        <f t="shared" si="197"/>
        <v>-1000</v>
      </c>
      <c r="L103" s="33">
        <v>1000</v>
      </c>
      <c r="M103" s="33">
        <v>1000</v>
      </c>
      <c r="N103" s="33">
        <v>1000</v>
      </c>
      <c r="O103" s="93">
        <f t="shared" si="198"/>
        <v>2000</v>
      </c>
      <c r="P103" s="93">
        <f t="shared" si="199"/>
        <v>-1000</v>
      </c>
      <c r="Q103" s="93">
        <f t="shared" si="200"/>
        <v>2000</v>
      </c>
      <c r="R103" s="93">
        <f t="shared" si="201"/>
        <v>2000</v>
      </c>
      <c r="S103" s="93">
        <f t="shared" si="202"/>
        <v>2000</v>
      </c>
      <c r="T103" s="93">
        <f t="shared" si="203"/>
        <v>4000</v>
      </c>
      <c r="U103" s="94">
        <f t="shared" si="204"/>
        <v>-2000</v>
      </c>
    </row>
    <row r="104" spans="1:21">
      <c r="B104" s="32"/>
      <c r="C104" s="4" t="s">
        <v>120</v>
      </c>
      <c r="D104" s="4" t="s">
        <v>81</v>
      </c>
      <c r="E104" s="4" t="s">
        <v>0</v>
      </c>
      <c r="F104" s="92" t="s">
        <v>7</v>
      </c>
      <c r="G104" s="33">
        <v>4000</v>
      </c>
      <c r="H104" s="33">
        <v>4000</v>
      </c>
      <c r="I104" s="33">
        <v>4000</v>
      </c>
      <c r="J104" s="93">
        <f t="shared" si="196"/>
        <v>8000</v>
      </c>
      <c r="K104" s="93">
        <f t="shared" si="197"/>
        <v>-4000</v>
      </c>
      <c r="L104" s="33">
        <v>4000</v>
      </c>
      <c r="M104" s="33">
        <v>4000</v>
      </c>
      <c r="N104" s="33">
        <v>4000</v>
      </c>
      <c r="O104" s="93">
        <f t="shared" si="198"/>
        <v>8000</v>
      </c>
      <c r="P104" s="93">
        <f t="shared" si="199"/>
        <v>-4000</v>
      </c>
      <c r="Q104" s="93">
        <f t="shared" si="200"/>
        <v>8000</v>
      </c>
      <c r="R104" s="93">
        <f t="shared" si="201"/>
        <v>8000</v>
      </c>
      <c r="S104" s="93">
        <f t="shared" si="202"/>
        <v>8000</v>
      </c>
      <c r="T104" s="93">
        <f t="shared" si="203"/>
        <v>16000</v>
      </c>
      <c r="U104" s="94">
        <f t="shared" si="204"/>
        <v>-8000</v>
      </c>
    </row>
    <row r="105" spans="1:21" ht="28.5">
      <c r="B105" s="32"/>
      <c r="C105" s="4" t="s">
        <v>121</v>
      </c>
      <c r="D105" s="4" t="s">
        <v>81</v>
      </c>
      <c r="E105" s="4" t="s">
        <v>0</v>
      </c>
      <c r="F105" s="92" t="s">
        <v>8</v>
      </c>
      <c r="G105" s="33">
        <v>1000</v>
      </c>
      <c r="H105" s="33">
        <v>1000</v>
      </c>
      <c r="I105" s="33">
        <v>1000</v>
      </c>
      <c r="J105" s="93">
        <f t="shared" si="196"/>
        <v>2000</v>
      </c>
      <c r="K105" s="93">
        <f t="shared" si="197"/>
        <v>-1000</v>
      </c>
      <c r="L105" s="33">
        <v>1000</v>
      </c>
      <c r="M105" s="33">
        <v>1000</v>
      </c>
      <c r="N105" s="33">
        <v>1000</v>
      </c>
      <c r="O105" s="93">
        <f t="shared" si="198"/>
        <v>2000</v>
      </c>
      <c r="P105" s="93">
        <f t="shared" si="199"/>
        <v>-1000</v>
      </c>
      <c r="Q105" s="93">
        <f t="shared" si="200"/>
        <v>2000</v>
      </c>
      <c r="R105" s="93">
        <f t="shared" si="201"/>
        <v>2000</v>
      </c>
      <c r="S105" s="93">
        <f t="shared" si="202"/>
        <v>2000</v>
      </c>
      <c r="T105" s="93">
        <f t="shared" si="203"/>
        <v>4000</v>
      </c>
      <c r="U105" s="94">
        <f t="shared" si="204"/>
        <v>-2000</v>
      </c>
    </row>
    <row r="106" spans="1:21" ht="28.5">
      <c r="B106" s="32"/>
      <c r="C106" s="4" t="s">
        <v>122</v>
      </c>
      <c r="D106" s="4" t="s">
        <v>81</v>
      </c>
      <c r="E106" s="4" t="s">
        <v>0</v>
      </c>
      <c r="F106" s="92" t="s">
        <v>9</v>
      </c>
      <c r="G106" s="33">
        <v>1000</v>
      </c>
      <c r="H106" s="33">
        <v>1000</v>
      </c>
      <c r="I106" s="33">
        <v>1000</v>
      </c>
      <c r="J106" s="93">
        <f t="shared" si="196"/>
        <v>2000</v>
      </c>
      <c r="K106" s="93">
        <f t="shared" si="197"/>
        <v>-1000</v>
      </c>
      <c r="L106" s="33">
        <v>1000</v>
      </c>
      <c r="M106" s="33">
        <v>1000</v>
      </c>
      <c r="N106" s="33">
        <v>1000</v>
      </c>
      <c r="O106" s="93">
        <f t="shared" si="198"/>
        <v>2000</v>
      </c>
      <c r="P106" s="93">
        <f t="shared" si="199"/>
        <v>-1000</v>
      </c>
      <c r="Q106" s="93">
        <f t="shared" si="200"/>
        <v>2000</v>
      </c>
      <c r="R106" s="93">
        <f t="shared" si="201"/>
        <v>2000</v>
      </c>
      <c r="S106" s="93">
        <f t="shared" si="202"/>
        <v>2000</v>
      </c>
      <c r="T106" s="93">
        <f t="shared" si="203"/>
        <v>4000</v>
      </c>
      <c r="U106" s="94">
        <f t="shared" si="204"/>
        <v>-2000</v>
      </c>
    </row>
    <row r="107" spans="1:21" ht="28.5">
      <c r="B107" s="32"/>
      <c r="C107" s="4"/>
      <c r="D107" s="4"/>
      <c r="E107" s="4" t="s">
        <v>0</v>
      </c>
      <c r="F107" s="91" t="s">
        <v>17</v>
      </c>
      <c r="G107" s="30"/>
      <c r="H107" s="30"/>
      <c r="I107" s="30"/>
      <c r="J107" s="30"/>
      <c r="K107" s="30"/>
      <c r="L107" s="30"/>
      <c r="M107" s="30"/>
      <c r="N107" s="30"/>
      <c r="O107" s="30"/>
      <c r="P107" s="30"/>
      <c r="Q107" s="30"/>
      <c r="R107" s="30"/>
      <c r="S107" s="30"/>
      <c r="T107" s="30"/>
      <c r="U107" s="31"/>
    </row>
    <row r="108" spans="1:21" ht="28.5">
      <c r="B108" s="32"/>
      <c r="C108" s="4" t="s">
        <v>123</v>
      </c>
      <c r="D108" s="4" t="s">
        <v>81</v>
      </c>
      <c r="E108" s="4" t="s">
        <v>0</v>
      </c>
      <c r="F108" s="92" t="s">
        <v>10</v>
      </c>
      <c r="G108" s="33">
        <v>1000</v>
      </c>
      <c r="H108" s="33">
        <v>1000</v>
      </c>
      <c r="I108" s="33">
        <v>1000</v>
      </c>
      <c r="J108" s="93">
        <f>H108+I108</f>
        <v>2000</v>
      </c>
      <c r="K108" s="93">
        <f t="shared" ref="K108:K114" si="205">+G108-J108</f>
        <v>-1000</v>
      </c>
      <c r="L108" s="33">
        <v>1000</v>
      </c>
      <c r="M108" s="33">
        <v>1000</v>
      </c>
      <c r="N108" s="33">
        <v>1000</v>
      </c>
      <c r="O108" s="93">
        <f>M108+N108</f>
        <v>2000</v>
      </c>
      <c r="P108" s="93">
        <f t="shared" ref="P108:P114" si="206">+L108-O108</f>
        <v>-1000</v>
      </c>
      <c r="Q108" s="93">
        <f t="shared" ref="Q108:Q114" si="207">G108+L108</f>
        <v>2000</v>
      </c>
      <c r="R108" s="93">
        <f t="shared" ref="R108:R114" si="208">H108+M108</f>
        <v>2000</v>
      </c>
      <c r="S108" s="93">
        <f t="shared" ref="S108:S114" si="209">I108+N108</f>
        <v>2000</v>
      </c>
      <c r="T108" s="93">
        <f>R108+S108</f>
        <v>4000</v>
      </c>
      <c r="U108" s="94">
        <f t="shared" ref="U108:U114" si="210">+Q108-T108</f>
        <v>-2000</v>
      </c>
    </row>
    <row r="109" spans="1:21" ht="28.5">
      <c r="B109" s="32"/>
      <c r="C109" s="4" t="s">
        <v>124</v>
      </c>
      <c r="D109" s="4" t="s">
        <v>81</v>
      </c>
      <c r="E109" s="4" t="s">
        <v>0</v>
      </c>
      <c r="F109" s="92" t="s">
        <v>11</v>
      </c>
      <c r="G109" s="33">
        <v>1000</v>
      </c>
      <c r="H109" s="33">
        <v>1000</v>
      </c>
      <c r="I109" s="33">
        <v>1000</v>
      </c>
      <c r="J109" s="93">
        <f>H109+I109</f>
        <v>2000</v>
      </c>
      <c r="K109" s="93">
        <f t="shared" si="205"/>
        <v>-1000</v>
      </c>
      <c r="L109" s="33">
        <v>1000</v>
      </c>
      <c r="M109" s="33">
        <v>1000</v>
      </c>
      <c r="N109" s="33">
        <v>1000</v>
      </c>
      <c r="O109" s="93">
        <f>M109+N109</f>
        <v>2000</v>
      </c>
      <c r="P109" s="93">
        <f t="shared" si="206"/>
        <v>-1000</v>
      </c>
      <c r="Q109" s="93">
        <f t="shared" si="207"/>
        <v>2000</v>
      </c>
      <c r="R109" s="93">
        <f t="shared" si="208"/>
        <v>2000</v>
      </c>
      <c r="S109" s="93">
        <f t="shared" si="209"/>
        <v>2000</v>
      </c>
      <c r="T109" s="93">
        <f>R109+S109</f>
        <v>4000</v>
      </c>
      <c r="U109" s="94">
        <f t="shared" si="210"/>
        <v>-2000</v>
      </c>
    </row>
    <row r="110" spans="1:21" ht="28.5">
      <c r="B110" s="32"/>
      <c r="C110" s="4" t="s">
        <v>125</v>
      </c>
      <c r="D110" s="4" t="s">
        <v>81</v>
      </c>
      <c r="E110" s="4" t="s">
        <v>0</v>
      </c>
      <c r="F110" s="91" t="s">
        <v>18</v>
      </c>
      <c r="G110" s="93">
        <f>G108+G109</f>
        <v>2000</v>
      </c>
      <c r="H110" s="93">
        <f t="shared" ref="H110:J110" si="211">H108+H109</f>
        <v>2000</v>
      </c>
      <c r="I110" s="93">
        <f t="shared" si="211"/>
        <v>2000</v>
      </c>
      <c r="J110" s="93">
        <f t="shared" si="211"/>
        <v>4000</v>
      </c>
      <c r="K110" s="93">
        <f t="shared" si="205"/>
        <v>-2000</v>
      </c>
      <c r="L110" s="93">
        <f>L108+L109</f>
        <v>2000</v>
      </c>
      <c r="M110" s="93">
        <f t="shared" ref="M110:O110" si="212">M108+M109</f>
        <v>2000</v>
      </c>
      <c r="N110" s="93">
        <f t="shared" si="212"/>
        <v>2000</v>
      </c>
      <c r="O110" s="93">
        <f t="shared" si="212"/>
        <v>4000</v>
      </c>
      <c r="P110" s="93">
        <f t="shared" si="206"/>
        <v>-2000</v>
      </c>
      <c r="Q110" s="93">
        <f t="shared" si="207"/>
        <v>4000</v>
      </c>
      <c r="R110" s="93">
        <f t="shared" si="208"/>
        <v>4000</v>
      </c>
      <c r="S110" s="93">
        <f t="shared" si="209"/>
        <v>4000</v>
      </c>
      <c r="T110" s="93">
        <f t="shared" ref="T110" si="213">T108+T109</f>
        <v>8000</v>
      </c>
      <c r="U110" s="94">
        <f t="shared" si="210"/>
        <v>-4000</v>
      </c>
    </row>
    <row r="111" spans="1:21" ht="28.5">
      <c r="B111" s="32"/>
      <c r="C111" s="4" t="s">
        <v>126</v>
      </c>
      <c r="D111" s="4" t="s">
        <v>81</v>
      </c>
      <c r="E111" s="4" t="s">
        <v>0</v>
      </c>
      <c r="F111" s="92" t="s">
        <v>12</v>
      </c>
      <c r="G111" s="33">
        <v>1000</v>
      </c>
      <c r="H111" s="33">
        <v>1000</v>
      </c>
      <c r="I111" s="33">
        <v>1000</v>
      </c>
      <c r="J111" s="93">
        <f>H111+I111</f>
        <v>2000</v>
      </c>
      <c r="K111" s="93">
        <f t="shared" si="205"/>
        <v>-1000</v>
      </c>
      <c r="L111" s="33">
        <v>1000</v>
      </c>
      <c r="M111" s="33">
        <v>1000</v>
      </c>
      <c r="N111" s="33">
        <v>1000</v>
      </c>
      <c r="O111" s="93">
        <f>M111+N111</f>
        <v>2000</v>
      </c>
      <c r="P111" s="93">
        <f t="shared" si="206"/>
        <v>-1000</v>
      </c>
      <c r="Q111" s="93">
        <f t="shared" si="207"/>
        <v>2000</v>
      </c>
      <c r="R111" s="93">
        <f t="shared" si="208"/>
        <v>2000</v>
      </c>
      <c r="S111" s="93">
        <f t="shared" si="209"/>
        <v>2000</v>
      </c>
      <c r="T111" s="93">
        <f>R111+S111</f>
        <v>4000</v>
      </c>
      <c r="U111" s="94">
        <f t="shared" si="210"/>
        <v>-2000</v>
      </c>
    </row>
    <row r="112" spans="1:21">
      <c r="B112" s="32"/>
      <c r="C112" s="4" t="s">
        <v>127</v>
      </c>
      <c r="D112" s="4" t="s">
        <v>81</v>
      </c>
      <c r="E112" s="4" t="s">
        <v>0</v>
      </c>
      <c r="F112" s="92" t="s">
        <v>13</v>
      </c>
      <c r="G112" s="33">
        <v>1000</v>
      </c>
      <c r="H112" s="33">
        <v>1000</v>
      </c>
      <c r="I112" s="33">
        <v>1000</v>
      </c>
      <c r="J112" s="93">
        <f>H112+I112</f>
        <v>2000</v>
      </c>
      <c r="K112" s="93">
        <f t="shared" si="205"/>
        <v>-1000</v>
      </c>
      <c r="L112" s="33">
        <v>1000</v>
      </c>
      <c r="M112" s="33">
        <v>1000</v>
      </c>
      <c r="N112" s="33">
        <v>1000</v>
      </c>
      <c r="O112" s="93">
        <f>M112+N112</f>
        <v>2000</v>
      </c>
      <c r="P112" s="93">
        <f t="shared" si="206"/>
        <v>-1000</v>
      </c>
      <c r="Q112" s="93">
        <f t="shared" si="207"/>
        <v>2000</v>
      </c>
      <c r="R112" s="93">
        <f t="shared" si="208"/>
        <v>2000</v>
      </c>
      <c r="S112" s="93">
        <f t="shared" si="209"/>
        <v>2000</v>
      </c>
      <c r="T112" s="93">
        <f>R112+S112</f>
        <v>4000</v>
      </c>
      <c r="U112" s="94">
        <f t="shared" si="210"/>
        <v>-2000</v>
      </c>
    </row>
    <row r="113" spans="1:21" ht="28.5">
      <c r="B113" s="32"/>
      <c r="C113" s="4" t="s">
        <v>128</v>
      </c>
      <c r="D113" s="4" t="s">
        <v>81</v>
      </c>
      <c r="E113" s="4" t="s">
        <v>0</v>
      </c>
      <c r="F113" s="92" t="s">
        <v>14</v>
      </c>
      <c r="G113" s="33">
        <v>1000</v>
      </c>
      <c r="H113" s="33">
        <v>1000</v>
      </c>
      <c r="I113" s="33">
        <v>1000</v>
      </c>
      <c r="J113" s="93">
        <f>H113+I113</f>
        <v>2000</v>
      </c>
      <c r="K113" s="93">
        <f t="shared" si="205"/>
        <v>-1000</v>
      </c>
      <c r="L113" s="33">
        <v>1000</v>
      </c>
      <c r="M113" s="33">
        <v>1000</v>
      </c>
      <c r="N113" s="33">
        <v>1000</v>
      </c>
      <c r="O113" s="93">
        <f>M113+N113</f>
        <v>2000</v>
      </c>
      <c r="P113" s="93">
        <f t="shared" si="206"/>
        <v>-1000</v>
      </c>
      <c r="Q113" s="93">
        <f t="shared" si="207"/>
        <v>2000</v>
      </c>
      <c r="R113" s="93">
        <f t="shared" si="208"/>
        <v>2000</v>
      </c>
      <c r="S113" s="93">
        <f t="shared" si="209"/>
        <v>2000</v>
      </c>
      <c r="T113" s="93">
        <f>R113+S113</f>
        <v>4000</v>
      </c>
      <c r="U113" s="94">
        <f t="shared" si="210"/>
        <v>-2000</v>
      </c>
    </row>
    <row r="114" spans="1:21" ht="28.5">
      <c r="B114" s="32"/>
      <c r="C114" s="4" t="s">
        <v>129</v>
      </c>
      <c r="D114" s="4" t="s">
        <v>81</v>
      </c>
      <c r="E114" s="4" t="s">
        <v>0</v>
      </c>
      <c r="F114" s="92" t="s">
        <v>15</v>
      </c>
      <c r="G114" s="33">
        <v>1000</v>
      </c>
      <c r="H114" s="33">
        <v>1000</v>
      </c>
      <c r="I114" s="33">
        <v>1000</v>
      </c>
      <c r="J114" s="93">
        <f>H114+I114</f>
        <v>2000</v>
      </c>
      <c r="K114" s="93">
        <f t="shared" si="205"/>
        <v>-1000</v>
      </c>
      <c r="L114" s="33">
        <v>1000</v>
      </c>
      <c r="M114" s="33">
        <v>1000</v>
      </c>
      <c r="N114" s="33">
        <v>1000</v>
      </c>
      <c r="O114" s="93">
        <f>M114+N114</f>
        <v>2000</v>
      </c>
      <c r="P114" s="93">
        <f t="shared" si="206"/>
        <v>-1000</v>
      </c>
      <c r="Q114" s="93">
        <f t="shared" si="207"/>
        <v>2000</v>
      </c>
      <c r="R114" s="93">
        <f t="shared" si="208"/>
        <v>2000</v>
      </c>
      <c r="S114" s="93">
        <f t="shared" si="209"/>
        <v>2000</v>
      </c>
      <c r="T114" s="93">
        <f>R114+S114</f>
        <v>4000</v>
      </c>
      <c r="U114" s="94">
        <f t="shared" si="210"/>
        <v>-2000</v>
      </c>
    </row>
    <row r="115" spans="1:21">
      <c r="B115" s="32"/>
      <c r="C115" s="4" t="s">
        <v>130</v>
      </c>
      <c r="D115" s="4" t="s">
        <v>81</v>
      </c>
      <c r="E115" s="4" t="s">
        <v>0</v>
      </c>
      <c r="F115" s="91" t="s">
        <v>19</v>
      </c>
      <c r="G115" s="93">
        <f>G101+G102+G103-G104-G105+G106+G110+G111-G112-G113-G114</f>
        <v>0</v>
      </c>
      <c r="H115" s="93">
        <f t="shared" ref="H115" si="214">H101+H102+H103-H104-H105+H106+H110+H111-H112-H113-H114</f>
        <v>0</v>
      </c>
      <c r="I115" s="93">
        <f t="shared" ref="I115" si="215">I101+I102+I103-I104-I105+I106+I110+I111-I112-I113-I114</f>
        <v>0</v>
      </c>
      <c r="J115" s="93">
        <f t="shared" ref="J115" si="216">J101+J102+J103-J104-J105+J106+J110+J111-J112-J113-J114</f>
        <v>0</v>
      </c>
      <c r="K115" s="93">
        <f t="shared" ref="K115" si="217">K101+K102+K103-K104-K105+K106+K110+K111-K112-K113-K114</f>
        <v>0</v>
      </c>
      <c r="L115" s="93">
        <f t="shared" ref="L115" si="218">L101+L102+L103-L104-L105+L106+L110+L111-L112-L113-L114</f>
        <v>0</v>
      </c>
      <c r="M115" s="93">
        <f t="shared" ref="M115" si="219">M101+M102+M103-M104-M105+M106+M110+M111-M112-M113-M114</f>
        <v>0</v>
      </c>
      <c r="N115" s="93">
        <f t="shared" ref="N115" si="220">N101+N102+N103-N104-N105+N106+N110+N111-N112-N113-N114</f>
        <v>0</v>
      </c>
      <c r="O115" s="93">
        <f t="shared" ref="O115" si="221">O101+O102+O103-O104-O105+O106+O110+O111-O112-O113-O114</f>
        <v>0</v>
      </c>
      <c r="P115" s="93">
        <f t="shared" ref="P115" si="222">P101+P102+P103-P104-P105+P106+P110+P111-P112-P113-P114</f>
        <v>0</v>
      </c>
      <c r="Q115" s="93">
        <f t="shared" ref="Q115" si="223">Q101+Q102+Q103-Q104-Q105+Q106+Q110+Q111-Q112-Q113-Q114</f>
        <v>0</v>
      </c>
      <c r="R115" s="93">
        <f t="shared" ref="R115" si="224">R101+R102+R103-R104-R105+R106+R110+R111-R112-R113-R114</f>
        <v>0</v>
      </c>
      <c r="S115" s="93">
        <f t="shared" ref="S115" si="225">S101+S102+S103-S104-S105+S106+S110+S111-S112-S113-S114</f>
        <v>0</v>
      </c>
      <c r="T115" s="93">
        <f t="shared" ref="T115" si="226">T101+T102+T103-T104-T105+T106+T110+T111-T112-T113-T114</f>
        <v>0</v>
      </c>
      <c r="U115" s="94">
        <f t="shared" ref="U115" si="227">U101+U102+U103-U104-U105+U106+U110+U111-U112-U113-U114</f>
        <v>0</v>
      </c>
    </row>
    <row r="116" spans="1:21">
      <c r="A116" t="s">
        <v>16</v>
      </c>
      <c r="B116" s="32"/>
      <c r="C116" s="4" t="s">
        <v>116</v>
      </c>
      <c r="D116" s="4" t="s">
        <v>1</v>
      </c>
      <c r="E116" s="4" t="s">
        <v>0</v>
      </c>
      <c r="F116" s="91" t="s">
        <v>217</v>
      </c>
      <c r="G116" s="93">
        <f t="shared" ref="G116" si="228">G96+G115</f>
        <v>1000</v>
      </c>
      <c r="H116" s="93">
        <f t="shared" ref="H116" si="229">H96+H115</f>
        <v>1000</v>
      </c>
      <c r="I116" s="93">
        <f t="shared" ref="I116" si="230">I96+I115</f>
        <v>1000</v>
      </c>
      <c r="J116" s="93">
        <f t="shared" ref="J116" si="231">J96+J115</f>
        <v>2000</v>
      </c>
      <c r="K116" s="93">
        <f t="shared" ref="K116" si="232">K96+K115</f>
        <v>-1000</v>
      </c>
      <c r="L116" s="93">
        <f t="shared" ref="L116" si="233">L96+L115</f>
        <v>1000</v>
      </c>
      <c r="M116" s="93">
        <f t="shared" ref="M116" si="234">M96+M115</f>
        <v>1000</v>
      </c>
      <c r="N116" s="93">
        <f t="shared" ref="N116" si="235">N96+N115</f>
        <v>1000</v>
      </c>
      <c r="O116" s="93">
        <f t="shared" ref="O116" si="236">O96+O115</f>
        <v>2000</v>
      </c>
      <c r="P116" s="93">
        <f t="shared" ref="P116" si="237">P96+P115</f>
        <v>-1000</v>
      </c>
      <c r="Q116" s="93">
        <f t="shared" ref="Q116" si="238">G116+L116</f>
        <v>2000</v>
      </c>
      <c r="R116" s="93">
        <f t="shared" ref="R116" si="239">H116+M116</f>
        <v>2000</v>
      </c>
      <c r="S116" s="93">
        <f t="shared" ref="S116" si="240">I116+N116</f>
        <v>2000</v>
      </c>
      <c r="T116" s="93">
        <f>T96+T115</f>
        <v>4000</v>
      </c>
      <c r="U116" s="95">
        <f>U96+U115</f>
        <v>-2000</v>
      </c>
    </row>
    <row r="117" spans="1:21" ht="22.5" customHeight="1" thickBot="1">
      <c r="A117" s="34"/>
      <c r="B117" s="60"/>
      <c r="C117" s="61"/>
      <c r="D117" s="61"/>
      <c r="E117" s="61"/>
      <c r="F117" s="62"/>
      <c r="G117" s="61"/>
      <c r="H117" s="61"/>
      <c r="I117" s="61"/>
      <c r="J117" s="87"/>
      <c r="K117" s="87"/>
      <c r="L117" s="61"/>
      <c r="M117" s="61"/>
      <c r="N117" s="61"/>
      <c r="O117" s="61"/>
      <c r="P117" s="61"/>
      <c r="Q117" s="65"/>
      <c r="R117" s="65"/>
      <c r="S117" s="61"/>
      <c r="T117" s="65"/>
      <c r="U117" s="63"/>
    </row>
    <row r="118" spans="1:21" ht="22.5" customHeight="1">
      <c r="A118" s="27"/>
      <c r="F118" s="73" t="s">
        <v>204</v>
      </c>
      <c r="G118" s="74">
        <f t="shared" ref="G118:U118" si="241">G71-G116</f>
        <v>0</v>
      </c>
      <c r="H118" s="74">
        <f t="shared" si="241"/>
        <v>0</v>
      </c>
      <c r="I118" s="74">
        <f t="shared" si="241"/>
        <v>0</v>
      </c>
      <c r="J118" s="74">
        <f t="shared" si="241"/>
        <v>0</v>
      </c>
      <c r="K118" s="74">
        <f t="shared" si="241"/>
        <v>0</v>
      </c>
      <c r="L118" s="74">
        <f t="shared" si="241"/>
        <v>0</v>
      </c>
      <c r="M118" s="74">
        <f t="shared" si="241"/>
        <v>0</v>
      </c>
      <c r="N118" s="74">
        <f t="shared" si="241"/>
        <v>0</v>
      </c>
      <c r="O118" s="74">
        <f t="shared" si="241"/>
        <v>0</v>
      </c>
      <c r="P118" s="74">
        <f t="shared" si="241"/>
        <v>0</v>
      </c>
      <c r="Q118" s="74">
        <f t="shared" si="241"/>
        <v>0</v>
      </c>
      <c r="R118" s="74">
        <f t="shared" si="241"/>
        <v>0</v>
      </c>
      <c r="S118" s="74">
        <f t="shared" si="241"/>
        <v>0</v>
      </c>
      <c r="T118" s="74">
        <f t="shared" si="241"/>
        <v>0</v>
      </c>
      <c r="U118" s="74">
        <f t="shared" si="241"/>
        <v>0</v>
      </c>
    </row>
    <row r="119" spans="1:21" ht="15.75" thickBot="1"/>
    <row r="120" spans="1:21" ht="122.25" customHeight="1" thickBot="1">
      <c r="A120" s="27" t="s">
        <v>41</v>
      </c>
      <c r="B120" s="50"/>
      <c r="C120" s="51"/>
      <c r="D120" s="51"/>
      <c r="E120" s="51"/>
      <c r="F120" s="52" t="s">
        <v>50</v>
      </c>
      <c r="G120" s="136" t="s">
        <v>177</v>
      </c>
      <c r="H120" s="137"/>
      <c r="I120" s="137"/>
      <c r="J120" s="137"/>
      <c r="K120" s="137"/>
      <c r="L120" s="137"/>
      <c r="M120" s="137"/>
      <c r="N120" s="137"/>
      <c r="O120" s="137"/>
      <c r="P120" s="137"/>
      <c r="Q120" s="137"/>
      <c r="R120" s="137"/>
      <c r="S120" s="137"/>
      <c r="T120" s="137"/>
      <c r="U120" s="138"/>
    </row>
    <row r="121" spans="1:21" ht="15.75" hidden="1" thickBot="1">
      <c r="A121" s="39" t="s">
        <v>42</v>
      </c>
      <c r="B121" s="40"/>
      <c r="C121" s="41"/>
      <c r="D121" s="41" t="s">
        <v>105</v>
      </c>
      <c r="E121" s="41" t="s">
        <v>168</v>
      </c>
      <c r="F121" s="41"/>
      <c r="G121" s="86" t="s">
        <v>169</v>
      </c>
      <c r="H121" s="86" t="s">
        <v>169</v>
      </c>
      <c r="I121" s="86" t="s">
        <v>169</v>
      </c>
      <c r="J121" s="86" t="s">
        <v>169</v>
      </c>
      <c r="K121" s="86" t="s">
        <v>169</v>
      </c>
      <c r="L121" s="86" t="s">
        <v>169</v>
      </c>
      <c r="M121" s="86" t="s">
        <v>169</v>
      </c>
      <c r="N121" s="86" t="s">
        <v>169</v>
      </c>
      <c r="O121" s="86" t="s">
        <v>169</v>
      </c>
      <c r="P121" s="86" t="s">
        <v>169</v>
      </c>
      <c r="Q121" s="86" t="s">
        <v>169</v>
      </c>
      <c r="R121" s="86" t="s">
        <v>169</v>
      </c>
      <c r="S121" s="86" t="s">
        <v>169</v>
      </c>
      <c r="T121" s="86" t="s">
        <v>169</v>
      </c>
      <c r="U121" s="86" t="s">
        <v>169</v>
      </c>
    </row>
    <row r="122" spans="1:21" ht="122.25" customHeight="1" thickBot="1">
      <c r="A122" s="27"/>
      <c r="B122" s="50"/>
      <c r="C122" s="51"/>
      <c r="D122" s="51"/>
      <c r="E122" s="51"/>
      <c r="F122" s="52"/>
      <c r="G122" s="133" t="s">
        <v>51</v>
      </c>
      <c r="H122" s="134"/>
      <c r="I122" s="134"/>
      <c r="J122" s="134"/>
      <c r="K122" s="135"/>
      <c r="L122" s="133" t="s">
        <v>52</v>
      </c>
      <c r="M122" s="134"/>
      <c r="N122" s="134"/>
      <c r="O122" s="134"/>
      <c r="P122" s="135"/>
      <c r="Q122" s="133" t="s">
        <v>53</v>
      </c>
      <c r="R122" s="134"/>
      <c r="S122" s="134"/>
      <c r="T122" s="134"/>
      <c r="U122" s="135"/>
    </row>
    <row r="123" spans="1:21" ht="15.75" hidden="1" thickBot="1">
      <c r="A123" s="39" t="s">
        <v>42</v>
      </c>
      <c r="B123" s="40"/>
      <c r="C123" s="41"/>
      <c r="D123" s="41"/>
      <c r="E123" s="41" t="s">
        <v>106</v>
      </c>
      <c r="F123" s="41"/>
      <c r="G123" s="42" t="s">
        <v>107</v>
      </c>
      <c r="H123" s="42" t="s">
        <v>107</v>
      </c>
      <c r="I123" s="42" t="s">
        <v>107</v>
      </c>
      <c r="J123" s="42" t="s">
        <v>107</v>
      </c>
      <c r="K123" s="42" t="s">
        <v>107</v>
      </c>
      <c r="L123" s="42" t="s">
        <v>108</v>
      </c>
      <c r="M123" s="42" t="s">
        <v>108</v>
      </c>
      <c r="N123" s="42" t="s">
        <v>108</v>
      </c>
      <c r="O123" s="42" t="s">
        <v>108</v>
      </c>
      <c r="P123" s="42" t="s">
        <v>108</v>
      </c>
      <c r="Q123" s="42" t="s">
        <v>109</v>
      </c>
      <c r="R123" s="42" t="s">
        <v>109</v>
      </c>
      <c r="S123" s="42" t="s">
        <v>109</v>
      </c>
      <c r="T123" s="42" t="s">
        <v>109</v>
      </c>
      <c r="U123" s="54" t="s">
        <v>109</v>
      </c>
    </row>
    <row r="124" spans="1:21" ht="75.75" thickBot="1">
      <c r="A124" s="39"/>
      <c r="B124" s="40"/>
      <c r="C124" s="41"/>
      <c r="D124" s="41"/>
      <c r="E124" s="41"/>
      <c r="F124" s="41"/>
      <c r="G124" s="43" t="s">
        <v>54</v>
      </c>
      <c r="H124" s="43" t="s">
        <v>55</v>
      </c>
      <c r="I124" s="43" t="s">
        <v>56</v>
      </c>
      <c r="J124" s="43" t="s">
        <v>57</v>
      </c>
      <c r="K124" s="43" t="s">
        <v>58</v>
      </c>
      <c r="L124" s="43" t="s">
        <v>54</v>
      </c>
      <c r="M124" s="43" t="s">
        <v>55</v>
      </c>
      <c r="N124" s="43" t="s">
        <v>56</v>
      </c>
      <c r="O124" s="43" t="s">
        <v>57</v>
      </c>
      <c r="P124" s="43" t="s">
        <v>58</v>
      </c>
      <c r="Q124" s="43" t="s">
        <v>54</v>
      </c>
      <c r="R124" s="43" t="s">
        <v>55</v>
      </c>
      <c r="S124" s="43" t="s">
        <v>56</v>
      </c>
      <c r="T124" s="43" t="s">
        <v>57</v>
      </c>
      <c r="U124" s="43" t="s">
        <v>58</v>
      </c>
    </row>
    <row r="125" spans="1:21" hidden="1">
      <c r="A125" s="39" t="s">
        <v>42</v>
      </c>
      <c r="B125" s="40"/>
      <c r="C125" s="41"/>
      <c r="D125" s="41"/>
      <c r="E125" s="41" t="s">
        <v>110</v>
      </c>
      <c r="F125" s="41"/>
      <c r="G125" s="42" t="s">
        <v>111</v>
      </c>
      <c r="H125" s="42" t="s">
        <v>112</v>
      </c>
      <c r="I125" s="42" t="s">
        <v>113</v>
      </c>
      <c r="J125" s="42" t="s">
        <v>114</v>
      </c>
      <c r="K125" s="42" t="s">
        <v>115</v>
      </c>
      <c r="L125" s="42" t="s">
        <v>111</v>
      </c>
      <c r="M125" s="42" t="s">
        <v>112</v>
      </c>
      <c r="N125" s="42" t="s">
        <v>113</v>
      </c>
      <c r="O125" s="42" t="s">
        <v>114</v>
      </c>
      <c r="P125" s="42" t="s">
        <v>115</v>
      </c>
      <c r="Q125" s="42" t="s">
        <v>111</v>
      </c>
      <c r="R125" s="42" t="s">
        <v>112</v>
      </c>
      <c r="S125" s="42" t="s">
        <v>113</v>
      </c>
      <c r="T125" s="42" t="s">
        <v>114</v>
      </c>
      <c r="U125" s="54" t="s">
        <v>115</v>
      </c>
    </row>
    <row r="126" spans="1:21" ht="22.5" customHeight="1">
      <c r="B126" s="55"/>
      <c r="C126" s="56"/>
      <c r="D126" s="56"/>
      <c r="E126" s="56"/>
      <c r="F126" s="56"/>
      <c r="G126" s="56"/>
      <c r="H126" s="56"/>
      <c r="I126" s="56"/>
      <c r="J126" s="56"/>
      <c r="K126" s="56"/>
      <c r="L126" s="56"/>
      <c r="M126" s="56"/>
      <c r="N126" s="56"/>
      <c r="O126" s="56"/>
      <c r="P126" s="56"/>
      <c r="Q126" s="56"/>
      <c r="R126" s="56"/>
      <c r="S126" s="56"/>
      <c r="T126" s="56"/>
      <c r="U126" s="57"/>
    </row>
    <row r="127" spans="1:21" ht="22.5" customHeight="1">
      <c r="B127" s="55"/>
      <c r="C127" s="56"/>
      <c r="D127" s="56"/>
      <c r="E127" s="56"/>
      <c r="F127" s="44" t="s">
        <v>20</v>
      </c>
      <c r="G127" s="56"/>
      <c r="H127" s="56"/>
      <c r="I127" s="56"/>
      <c r="J127" s="56"/>
      <c r="K127" s="56"/>
      <c r="L127" s="56"/>
      <c r="M127" s="56"/>
      <c r="N127" s="56"/>
      <c r="O127" s="56"/>
      <c r="P127" s="56"/>
      <c r="Q127" s="56"/>
      <c r="R127" s="56"/>
      <c r="S127" s="56"/>
      <c r="T127" s="56"/>
      <c r="U127" s="57"/>
    </row>
    <row r="128" spans="1:21">
      <c r="A128" s="34"/>
      <c r="B128" s="58"/>
      <c r="C128" s="45"/>
      <c r="D128" s="45"/>
      <c r="E128" s="45"/>
      <c r="F128" s="46"/>
      <c r="G128" s="45"/>
      <c r="H128" s="45"/>
      <c r="I128" s="45"/>
      <c r="J128" s="45"/>
      <c r="K128" s="45"/>
      <c r="L128" s="45"/>
      <c r="M128" s="45"/>
      <c r="N128" s="45"/>
      <c r="O128" s="45"/>
      <c r="P128" s="45"/>
      <c r="Q128" s="45"/>
      <c r="R128" s="45"/>
      <c r="S128" s="45"/>
      <c r="T128" s="45"/>
      <c r="U128" s="59"/>
    </row>
    <row r="129" spans="1:21">
      <c r="A129" s="53" t="s">
        <v>16</v>
      </c>
      <c r="B129" s="29"/>
      <c r="C129" s="4" t="s">
        <v>116</v>
      </c>
      <c r="D129" s="4" t="s">
        <v>1</v>
      </c>
      <c r="E129" s="4" t="s">
        <v>0</v>
      </c>
      <c r="F129" s="91" t="s">
        <v>215</v>
      </c>
      <c r="G129" s="93">
        <f t="shared" ref="G129:U129" si="242">G13+G71</f>
        <v>33000</v>
      </c>
      <c r="H129" s="93">
        <f t="shared" si="242"/>
        <v>3000</v>
      </c>
      <c r="I129" s="93">
        <f t="shared" si="242"/>
        <v>4000</v>
      </c>
      <c r="J129" s="93">
        <f t="shared" si="242"/>
        <v>7000</v>
      </c>
      <c r="K129" s="93">
        <f t="shared" si="242"/>
        <v>26000</v>
      </c>
      <c r="L129" s="93">
        <f t="shared" si="242"/>
        <v>5000</v>
      </c>
      <c r="M129" s="93">
        <f t="shared" si="242"/>
        <v>6000</v>
      </c>
      <c r="N129" s="93">
        <f t="shared" si="242"/>
        <v>7000</v>
      </c>
      <c r="O129" s="93">
        <f t="shared" si="242"/>
        <v>13000</v>
      </c>
      <c r="P129" s="93">
        <f t="shared" si="242"/>
        <v>-8000</v>
      </c>
      <c r="Q129" s="93">
        <f t="shared" si="242"/>
        <v>38000</v>
      </c>
      <c r="R129" s="93">
        <f t="shared" si="242"/>
        <v>9000</v>
      </c>
      <c r="S129" s="93">
        <f t="shared" si="242"/>
        <v>11000</v>
      </c>
      <c r="T129" s="93">
        <f t="shared" si="242"/>
        <v>20000</v>
      </c>
      <c r="U129" s="94">
        <f t="shared" si="242"/>
        <v>18000</v>
      </c>
    </row>
    <row r="130" spans="1:21">
      <c r="A130" s="28"/>
      <c r="B130" s="32"/>
      <c r="C130" s="4"/>
      <c r="D130" s="4"/>
      <c r="E130" s="4" t="s">
        <v>0</v>
      </c>
      <c r="F130" s="91" t="s">
        <v>181</v>
      </c>
      <c r="G130" s="30"/>
      <c r="H130" s="30"/>
      <c r="I130" s="30"/>
      <c r="J130" s="30"/>
      <c r="K130" s="30"/>
      <c r="L130" s="30"/>
      <c r="M130" s="30"/>
      <c r="N130" s="30"/>
      <c r="O130" s="30"/>
      <c r="P130" s="30"/>
      <c r="Q130" s="30"/>
      <c r="R130" s="30"/>
      <c r="S130" s="30"/>
      <c r="T130" s="30"/>
      <c r="U130" s="31"/>
    </row>
    <row r="131" spans="1:21" ht="28.5">
      <c r="A131" s="28"/>
      <c r="B131" s="32"/>
      <c r="C131" s="4"/>
      <c r="D131" s="4"/>
      <c r="E131" s="4" t="s">
        <v>0</v>
      </c>
      <c r="F131" s="91" t="s">
        <v>172</v>
      </c>
      <c r="G131" s="30"/>
      <c r="H131" s="30"/>
      <c r="I131" s="30"/>
      <c r="J131" s="30"/>
      <c r="K131" s="30"/>
      <c r="L131" s="30"/>
      <c r="M131" s="30"/>
      <c r="N131" s="30"/>
      <c r="O131" s="30"/>
      <c r="P131" s="30"/>
      <c r="Q131" s="30"/>
      <c r="R131" s="30"/>
      <c r="S131" s="30"/>
      <c r="T131" s="30"/>
      <c r="U131" s="31"/>
    </row>
    <row r="132" spans="1:21" ht="28.5">
      <c r="B132" s="32"/>
      <c r="C132" s="4" t="s">
        <v>173</v>
      </c>
      <c r="D132" s="4" t="s">
        <v>1</v>
      </c>
      <c r="E132" s="4" t="s">
        <v>0</v>
      </c>
      <c r="F132" s="124" t="s">
        <v>178</v>
      </c>
      <c r="G132" s="93">
        <f t="shared" ref="G132:U132" si="243">G16+G74</f>
        <v>2000</v>
      </c>
      <c r="H132" s="93">
        <f t="shared" si="243"/>
        <v>3000</v>
      </c>
      <c r="I132" s="93">
        <f t="shared" si="243"/>
        <v>4000</v>
      </c>
      <c r="J132" s="93">
        <f t="shared" si="243"/>
        <v>7000</v>
      </c>
      <c r="K132" s="93">
        <f t="shared" si="243"/>
        <v>-5000</v>
      </c>
      <c r="L132" s="93">
        <f t="shared" si="243"/>
        <v>5000</v>
      </c>
      <c r="M132" s="93">
        <f t="shared" si="243"/>
        <v>6000</v>
      </c>
      <c r="N132" s="93">
        <f t="shared" si="243"/>
        <v>7000</v>
      </c>
      <c r="O132" s="93">
        <f t="shared" si="243"/>
        <v>13000</v>
      </c>
      <c r="P132" s="93">
        <f t="shared" si="243"/>
        <v>-8000</v>
      </c>
      <c r="Q132" s="93">
        <f t="shared" si="243"/>
        <v>7000</v>
      </c>
      <c r="R132" s="93">
        <f t="shared" si="243"/>
        <v>9000</v>
      </c>
      <c r="S132" s="93">
        <f t="shared" si="243"/>
        <v>11000</v>
      </c>
      <c r="T132" s="93">
        <f t="shared" si="243"/>
        <v>20000</v>
      </c>
      <c r="U132" s="94">
        <f t="shared" si="243"/>
        <v>-13000</v>
      </c>
    </row>
    <row r="133" spans="1:21">
      <c r="B133" s="32"/>
      <c r="C133" s="4" t="s">
        <v>174</v>
      </c>
      <c r="D133" s="4" t="s">
        <v>1</v>
      </c>
      <c r="E133" s="4" t="s">
        <v>0</v>
      </c>
      <c r="F133" s="124" t="s">
        <v>179</v>
      </c>
      <c r="G133" s="93">
        <f t="shared" ref="G133:U133" si="244">G17+G75</f>
        <v>55000</v>
      </c>
      <c r="H133" s="93">
        <f t="shared" si="244"/>
        <v>6000</v>
      </c>
      <c r="I133" s="93">
        <f t="shared" si="244"/>
        <v>5000</v>
      </c>
      <c r="J133" s="93">
        <f t="shared" si="244"/>
        <v>11000</v>
      </c>
      <c r="K133" s="93">
        <f t="shared" si="244"/>
        <v>44000</v>
      </c>
      <c r="L133" s="93">
        <f t="shared" si="244"/>
        <v>5000</v>
      </c>
      <c r="M133" s="93">
        <f t="shared" si="244"/>
        <v>6000</v>
      </c>
      <c r="N133" s="93">
        <f t="shared" si="244"/>
        <v>7000</v>
      </c>
      <c r="O133" s="93">
        <f t="shared" si="244"/>
        <v>13000</v>
      </c>
      <c r="P133" s="93">
        <f t="shared" si="244"/>
        <v>-8000</v>
      </c>
      <c r="Q133" s="93">
        <f t="shared" si="244"/>
        <v>60000</v>
      </c>
      <c r="R133" s="93">
        <f t="shared" si="244"/>
        <v>12000</v>
      </c>
      <c r="S133" s="93">
        <f t="shared" si="244"/>
        <v>12000</v>
      </c>
      <c r="T133" s="93">
        <f t="shared" si="244"/>
        <v>24000</v>
      </c>
      <c r="U133" s="94">
        <f t="shared" si="244"/>
        <v>36000</v>
      </c>
    </row>
    <row r="134" spans="1:21" ht="28.5">
      <c r="B134" s="32"/>
      <c r="C134" s="4" t="s">
        <v>117</v>
      </c>
      <c r="D134" s="4" t="s">
        <v>1</v>
      </c>
      <c r="E134" s="4" t="s">
        <v>0</v>
      </c>
      <c r="F134" s="124" t="s">
        <v>180</v>
      </c>
      <c r="G134" s="93">
        <f t="shared" ref="G134:U134" si="245">G18+G76</f>
        <v>57000</v>
      </c>
      <c r="H134" s="93">
        <f t="shared" si="245"/>
        <v>9000</v>
      </c>
      <c r="I134" s="93">
        <f t="shared" si="245"/>
        <v>9000</v>
      </c>
      <c r="J134" s="93">
        <f t="shared" si="245"/>
        <v>18000</v>
      </c>
      <c r="K134" s="93">
        <f t="shared" si="245"/>
        <v>39000</v>
      </c>
      <c r="L134" s="93">
        <f t="shared" si="245"/>
        <v>10000</v>
      </c>
      <c r="M134" s="93">
        <f t="shared" si="245"/>
        <v>12000</v>
      </c>
      <c r="N134" s="93">
        <f t="shared" si="245"/>
        <v>14000</v>
      </c>
      <c r="O134" s="93">
        <f t="shared" si="245"/>
        <v>26000</v>
      </c>
      <c r="P134" s="93">
        <f t="shared" si="245"/>
        <v>-16000</v>
      </c>
      <c r="Q134" s="93">
        <f t="shared" si="245"/>
        <v>67000</v>
      </c>
      <c r="R134" s="93">
        <f t="shared" si="245"/>
        <v>21000</v>
      </c>
      <c r="S134" s="93">
        <f t="shared" si="245"/>
        <v>23000</v>
      </c>
      <c r="T134" s="93">
        <f t="shared" si="245"/>
        <v>44000</v>
      </c>
      <c r="U134" s="94">
        <f t="shared" si="245"/>
        <v>23000</v>
      </c>
    </row>
    <row r="135" spans="1:21" ht="28.5">
      <c r="B135" s="32"/>
      <c r="C135" s="4" t="s">
        <v>118</v>
      </c>
      <c r="D135" s="4" t="s">
        <v>1</v>
      </c>
      <c r="E135" s="4" t="s">
        <v>0</v>
      </c>
      <c r="F135" s="92" t="s">
        <v>5</v>
      </c>
      <c r="G135" s="93">
        <f t="shared" ref="G135:U135" si="246">G19+G77</f>
        <v>2000</v>
      </c>
      <c r="H135" s="93">
        <f t="shared" si="246"/>
        <v>3000</v>
      </c>
      <c r="I135" s="93">
        <f t="shared" si="246"/>
        <v>4000</v>
      </c>
      <c r="J135" s="93">
        <f t="shared" si="246"/>
        <v>7000</v>
      </c>
      <c r="K135" s="93">
        <f t="shared" si="246"/>
        <v>-5000</v>
      </c>
      <c r="L135" s="93">
        <f t="shared" si="246"/>
        <v>5000</v>
      </c>
      <c r="M135" s="93">
        <f t="shared" si="246"/>
        <v>6000</v>
      </c>
      <c r="N135" s="93">
        <f t="shared" si="246"/>
        <v>7000</v>
      </c>
      <c r="O135" s="93">
        <f t="shared" si="246"/>
        <v>13000</v>
      </c>
      <c r="P135" s="93">
        <f t="shared" si="246"/>
        <v>-8000</v>
      </c>
      <c r="Q135" s="93">
        <f t="shared" si="246"/>
        <v>7000</v>
      </c>
      <c r="R135" s="93">
        <f t="shared" si="246"/>
        <v>9000</v>
      </c>
      <c r="S135" s="93">
        <f t="shared" si="246"/>
        <v>11000</v>
      </c>
      <c r="T135" s="93">
        <f t="shared" si="246"/>
        <v>20000</v>
      </c>
      <c r="U135" s="94">
        <f t="shared" si="246"/>
        <v>-13000</v>
      </c>
    </row>
    <row r="136" spans="1:21" ht="28.5">
      <c r="B136" s="32"/>
      <c r="C136" s="4" t="s">
        <v>119</v>
      </c>
      <c r="D136" s="4" t="s">
        <v>1</v>
      </c>
      <c r="E136" s="4" t="s">
        <v>0</v>
      </c>
      <c r="F136" s="92" t="s">
        <v>6</v>
      </c>
      <c r="G136" s="93">
        <f t="shared" ref="G136:U136" si="247">G20+G78</f>
        <v>7000</v>
      </c>
      <c r="H136" s="93">
        <f t="shared" si="247"/>
        <v>6000</v>
      </c>
      <c r="I136" s="93">
        <f t="shared" si="247"/>
        <v>5000</v>
      </c>
      <c r="J136" s="93">
        <f t="shared" si="247"/>
        <v>11000</v>
      </c>
      <c r="K136" s="93">
        <f t="shared" si="247"/>
        <v>-4000</v>
      </c>
      <c r="L136" s="93">
        <f t="shared" si="247"/>
        <v>5000</v>
      </c>
      <c r="M136" s="93">
        <f t="shared" si="247"/>
        <v>6000</v>
      </c>
      <c r="N136" s="93">
        <f t="shared" si="247"/>
        <v>7000</v>
      </c>
      <c r="O136" s="93">
        <f t="shared" si="247"/>
        <v>13000</v>
      </c>
      <c r="P136" s="93">
        <f t="shared" si="247"/>
        <v>-8000</v>
      </c>
      <c r="Q136" s="93">
        <f t="shared" si="247"/>
        <v>12000</v>
      </c>
      <c r="R136" s="93">
        <f t="shared" si="247"/>
        <v>12000</v>
      </c>
      <c r="S136" s="93">
        <f t="shared" si="247"/>
        <v>12000</v>
      </c>
      <c r="T136" s="93">
        <f t="shared" si="247"/>
        <v>24000</v>
      </c>
      <c r="U136" s="94">
        <f t="shared" si="247"/>
        <v>-12000</v>
      </c>
    </row>
    <row r="137" spans="1:21">
      <c r="B137" s="32"/>
      <c r="C137" s="4" t="s">
        <v>120</v>
      </c>
      <c r="D137" s="4" t="s">
        <v>1</v>
      </c>
      <c r="E137" s="4" t="s">
        <v>0</v>
      </c>
      <c r="F137" s="92" t="s">
        <v>7</v>
      </c>
      <c r="G137" s="93">
        <f t="shared" ref="G137:U137" si="248">G21+G79</f>
        <v>7000</v>
      </c>
      <c r="H137" s="93">
        <f t="shared" si="248"/>
        <v>6000</v>
      </c>
      <c r="I137" s="93">
        <f t="shared" si="248"/>
        <v>5000</v>
      </c>
      <c r="J137" s="93">
        <f t="shared" si="248"/>
        <v>11000</v>
      </c>
      <c r="K137" s="93">
        <f t="shared" si="248"/>
        <v>-4000</v>
      </c>
      <c r="L137" s="93">
        <f t="shared" si="248"/>
        <v>5000</v>
      </c>
      <c r="M137" s="93">
        <f t="shared" si="248"/>
        <v>6000</v>
      </c>
      <c r="N137" s="93">
        <f t="shared" si="248"/>
        <v>7000</v>
      </c>
      <c r="O137" s="93">
        <f t="shared" si="248"/>
        <v>13000</v>
      </c>
      <c r="P137" s="93">
        <f t="shared" si="248"/>
        <v>-8000</v>
      </c>
      <c r="Q137" s="93">
        <f t="shared" si="248"/>
        <v>12000</v>
      </c>
      <c r="R137" s="93">
        <f t="shared" si="248"/>
        <v>12000</v>
      </c>
      <c r="S137" s="93">
        <f t="shared" si="248"/>
        <v>12000</v>
      </c>
      <c r="T137" s="93">
        <f t="shared" si="248"/>
        <v>24000</v>
      </c>
      <c r="U137" s="94">
        <f t="shared" si="248"/>
        <v>-12000</v>
      </c>
    </row>
    <row r="138" spans="1:21" ht="28.5">
      <c r="B138" s="32"/>
      <c r="C138" s="4" t="s">
        <v>121</v>
      </c>
      <c r="D138" s="4" t="s">
        <v>1</v>
      </c>
      <c r="E138" s="4" t="s">
        <v>0</v>
      </c>
      <c r="F138" s="92" t="s">
        <v>8</v>
      </c>
      <c r="G138" s="93">
        <f t="shared" ref="G138:U138" si="249">G22+G80</f>
        <v>7000</v>
      </c>
      <c r="H138" s="93">
        <f t="shared" si="249"/>
        <v>6000</v>
      </c>
      <c r="I138" s="93">
        <f t="shared" si="249"/>
        <v>5000</v>
      </c>
      <c r="J138" s="93">
        <f t="shared" si="249"/>
        <v>11000</v>
      </c>
      <c r="K138" s="93">
        <f t="shared" si="249"/>
        <v>-4000</v>
      </c>
      <c r="L138" s="93">
        <f t="shared" si="249"/>
        <v>5000</v>
      </c>
      <c r="M138" s="93">
        <f t="shared" si="249"/>
        <v>6000</v>
      </c>
      <c r="N138" s="93">
        <f t="shared" si="249"/>
        <v>7000</v>
      </c>
      <c r="O138" s="93">
        <f t="shared" si="249"/>
        <v>13000</v>
      </c>
      <c r="P138" s="93">
        <f t="shared" si="249"/>
        <v>-8000</v>
      </c>
      <c r="Q138" s="93">
        <f t="shared" si="249"/>
        <v>12000</v>
      </c>
      <c r="R138" s="93">
        <f t="shared" si="249"/>
        <v>12000</v>
      </c>
      <c r="S138" s="93">
        <f t="shared" si="249"/>
        <v>12000</v>
      </c>
      <c r="T138" s="93">
        <f t="shared" si="249"/>
        <v>24000</v>
      </c>
      <c r="U138" s="94">
        <f t="shared" si="249"/>
        <v>-12000</v>
      </c>
    </row>
    <row r="139" spans="1:21" ht="28.5">
      <c r="B139" s="32"/>
      <c r="C139" s="4" t="s">
        <v>122</v>
      </c>
      <c r="D139" s="4" t="s">
        <v>1</v>
      </c>
      <c r="E139" s="4" t="s">
        <v>0</v>
      </c>
      <c r="F139" s="92" t="s">
        <v>9</v>
      </c>
      <c r="G139" s="93">
        <f t="shared" ref="G139:U139" si="250">G23+G81</f>
        <v>7000</v>
      </c>
      <c r="H139" s="93">
        <f t="shared" si="250"/>
        <v>6000</v>
      </c>
      <c r="I139" s="93">
        <f t="shared" si="250"/>
        <v>5000</v>
      </c>
      <c r="J139" s="93">
        <f t="shared" si="250"/>
        <v>11000</v>
      </c>
      <c r="K139" s="93">
        <f t="shared" si="250"/>
        <v>-4000</v>
      </c>
      <c r="L139" s="93">
        <f t="shared" si="250"/>
        <v>5000</v>
      </c>
      <c r="M139" s="93">
        <f t="shared" si="250"/>
        <v>6000</v>
      </c>
      <c r="N139" s="93">
        <f t="shared" si="250"/>
        <v>7000</v>
      </c>
      <c r="O139" s="93">
        <f t="shared" si="250"/>
        <v>13000</v>
      </c>
      <c r="P139" s="93">
        <f t="shared" si="250"/>
        <v>-8000</v>
      </c>
      <c r="Q139" s="93">
        <f t="shared" si="250"/>
        <v>12000</v>
      </c>
      <c r="R139" s="93">
        <f t="shared" si="250"/>
        <v>12000</v>
      </c>
      <c r="S139" s="93">
        <f t="shared" si="250"/>
        <v>12000</v>
      </c>
      <c r="T139" s="93">
        <f t="shared" si="250"/>
        <v>24000</v>
      </c>
      <c r="U139" s="94">
        <f t="shared" si="250"/>
        <v>-12000</v>
      </c>
    </row>
    <row r="140" spans="1:21" ht="28.5">
      <c r="B140" s="32"/>
      <c r="C140" s="4"/>
      <c r="D140" s="4"/>
      <c r="E140" s="4" t="s">
        <v>0</v>
      </c>
      <c r="F140" s="91" t="s">
        <v>17</v>
      </c>
      <c r="G140" s="30"/>
      <c r="H140" s="30"/>
      <c r="I140" s="30"/>
      <c r="J140" s="30"/>
      <c r="K140" s="30"/>
      <c r="L140" s="30"/>
      <c r="M140" s="30"/>
      <c r="N140" s="30"/>
      <c r="O140" s="30"/>
      <c r="P140" s="30"/>
      <c r="Q140" s="30"/>
      <c r="R140" s="30"/>
      <c r="S140" s="30"/>
      <c r="T140" s="30"/>
      <c r="U140" s="31"/>
    </row>
    <row r="141" spans="1:21" ht="28.5">
      <c r="B141" s="32"/>
      <c r="C141" s="4" t="s">
        <v>123</v>
      </c>
      <c r="D141" s="4" t="s">
        <v>1</v>
      </c>
      <c r="E141" s="4" t="s">
        <v>0</v>
      </c>
      <c r="F141" s="92" t="s">
        <v>10</v>
      </c>
      <c r="G141" s="93">
        <f t="shared" ref="G141:U141" si="251">G25+G83</f>
        <v>7000</v>
      </c>
      <c r="H141" s="93">
        <f t="shared" si="251"/>
        <v>6000</v>
      </c>
      <c r="I141" s="93">
        <f t="shared" si="251"/>
        <v>5000</v>
      </c>
      <c r="J141" s="93">
        <f t="shared" si="251"/>
        <v>11000</v>
      </c>
      <c r="K141" s="93">
        <f t="shared" si="251"/>
        <v>-4000</v>
      </c>
      <c r="L141" s="93">
        <f t="shared" si="251"/>
        <v>5000</v>
      </c>
      <c r="M141" s="93">
        <f t="shared" si="251"/>
        <v>6000</v>
      </c>
      <c r="N141" s="93">
        <f t="shared" si="251"/>
        <v>7000</v>
      </c>
      <c r="O141" s="93">
        <f t="shared" si="251"/>
        <v>13000</v>
      </c>
      <c r="P141" s="93">
        <f t="shared" si="251"/>
        <v>-8000</v>
      </c>
      <c r="Q141" s="93">
        <f t="shared" si="251"/>
        <v>12000</v>
      </c>
      <c r="R141" s="93">
        <f t="shared" si="251"/>
        <v>12000</v>
      </c>
      <c r="S141" s="93">
        <f t="shared" si="251"/>
        <v>12000</v>
      </c>
      <c r="T141" s="93">
        <f t="shared" si="251"/>
        <v>24000</v>
      </c>
      <c r="U141" s="94">
        <f t="shared" si="251"/>
        <v>-12000</v>
      </c>
    </row>
    <row r="142" spans="1:21" ht="28.5">
      <c r="B142" s="32"/>
      <c r="C142" s="4" t="s">
        <v>124</v>
      </c>
      <c r="D142" s="4" t="s">
        <v>1</v>
      </c>
      <c r="E142" s="4" t="s">
        <v>0</v>
      </c>
      <c r="F142" s="92" t="s">
        <v>11</v>
      </c>
      <c r="G142" s="93">
        <f t="shared" ref="G142:U142" si="252">G26+G84</f>
        <v>7000</v>
      </c>
      <c r="H142" s="93">
        <f t="shared" si="252"/>
        <v>6000</v>
      </c>
      <c r="I142" s="93">
        <f t="shared" si="252"/>
        <v>5000</v>
      </c>
      <c r="J142" s="93">
        <f t="shared" si="252"/>
        <v>11000</v>
      </c>
      <c r="K142" s="93">
        <f t="shared" si="252"/>
        <v>-4000</v>
      </c>
      <c r="L142" s="93">
        <f t="shared" si="252"/>
        <v>5000</v>
      </c>
      <c r="M142" s="93">
        <f t="shared" si="252"/>
        <v>6000</v>
      </c>
      <c r="N142" s="93">
        <f t="shared" si="252"/>
        <v>7000</v>
      </c>
      <c r="O142" s="93">
        <f t="shared" si="252"/>
        <v>13000</v>
      </c>
      <c r="P142" s="93">
        <f t="shared" si="252"/>
        <v>-8000</v>
      </c>
      <c r="Q142" s="93">
        <f t="shared" si="252"/>
        <v>12000</v>
      </c>
      <c r="R142" s="93">
        <f t="shared" si="252"/>
        <v>12000</v>
      </c>
      <c r="S142" s="93">
        <f t="shared" si="252"/>
        <v>12000</v>
      </c>
      <c r="T142" s="93">
        <f t="shared" si="252"/>
        <v>24000</v>
      </c>
      <c r="U142" s="94">
        <f t="shared" si="252"/>
        <v>-12000</v>
      </c>
    </row>
    <row r="143" spans="1:21" ht="28.5">
      <c r="B143" s="32"/>
      <c r="C143" s="4" t="s">
        <v>125</v>
      </c>
      <c r="D143" s="4" t="s">
        <v>1</v>
      </c>
      <c r="E143" s="4" t="s">
        <v>0</v>
      </c>
      <c r="F143" s="91" t="s">
        <v>18</v>
      </c>
      <c r="G143" s="93">
        <f t="shared" ref="G143:U143" si="253">G27+G85</f>
        <v>14000</v>
      </c>
      <c r="H143" s="93">
        <f t="shared" si="253"/>
        <v>12000</v>
      </c>
      <c r="I143" s="93">
        <f t="shared" si="253"/>
        <v>10000</v>
      </c>
      <c r="J143" s="93">
        <f t="shared" si="253"/>
        <v>22000</v>
      </c>
      <c r="K143" s="93">
        <f t="shared" si="253"/>
        <v>-8000</v>
      </c>
      <c r="L143" s="93">
        <f t="shared" si="253"/>
        <v>10000</v>
      </c>
      <c r="M143" s="93">
        <f t="shared" si="253"/>
        <v>12000</v>
      </c>
      <c r="N143" s="93">
        <f t="shared" si="253"/>
        <v>14000</v>
      </c>
      <c r="O143" s="93">
        <f t="shared" si="253"/>
        <v>26000</v>
      </c>
      <c r="P143" s="93">
        <f t="shared" si="253"/>
        <v>-16000</v>
      </c>
      <c r="Q143" s="93">
        <f t="shared" si="253"/>
        <v>24000</v>
      </c>
      <c r="R143" s="93">
        <f t="shared" si="253"/>
        <v>24000</v>
      </c>
      <c r="S143" s="93">
        <f t="shared" si="253"/>
        <v>24000</v>
      </c>
      <c r="T143" s="93">
        <f t="shared" si="253"/>
        <v>48000</v>
      </c>
      <c r="U143" s="94">
        <f t="shared" si="253"/>
        <v>-24000</v>
      </c>
    </row>
    <row r="144" spans="1:21" ht="28.5">
      <c r="B144" s="32"/>
      <c r="C144" s="4" t="s">
        <v>126</v>
      </c>
      <c r="D144" s="4" t="s">
        <v>1</v>
      </c>
      <c r="E144" s="4" t="s">
        <v>0</v>
      </c>
      <c r="F144" s="92" t="s">
        <v>12</v>
      </c>
      <c r="G144" s="93">
        <f t="shared" ref="G144:U144" si="254">G28+G86</f>
        <v>7000</v>
      </c>
      <c r="H144" s="93">
        <f t="shared" si="254"/>
        <v>6000</v>
      </c>
      <c r="I144" s="93">
        <f t="shared" si="254"/>
        <v>5000</v>
      </c>
      <c r="J144" s="93">
        <f t="shared" si="254"/>
        <v>11000</v>
      </c>
      <c r="K144" s="93">
        <f t="shared" si="254"/>
        <v>-4000</v>
      </c>
      <c r="L144" s="93">
        <f t="shared" si="254"/>
        <v>5000</v>
      </c>
      <c r="M144" s="93">
        <f t="shared" si="254"/>
        <v>6000</v>
      </c>
      <c r="N144" s="93">
        <f t="shared" si="254"/>
        <v>7000</v>
      </c>
      <c r="O144" s="93">
        <f t="shared" si="254"/>
        <v>13000</v>
      </c>
      <c r="P144" s="93">
        <f t="shared" si="254"/>
        <v>-8000</v>
      </c>
      <c r="Q144" s="93">
        <f t="shared" si="254"/>
        <v>12000</v>
      </c>
      <c r="R144" s="93">
        <f t="shared" si="254"/>
        <v>12000</v>
      </c>
      <c r="S144" s="93">
        <f t="shared" si="254"/>
        <v>12000</v>
      </c>
      <c r="T144" s="93">
        <f t="shared" si="254"/>
        <v>24000</v>
      </c>
      <c r="U144" s="94">
        <f t="shared" si="254"/>
        <v>-12000</v>
      </c>
    </row>
    <row r="145" spans="1:21">
      <c r="B145" s="32"/>
      <c r="C145" s="4" t="s">
        <v>127</v>
      </c>
      <c r="D145" s="4" t="s">
        <v>1</v>
      </c>
      <c r="E145" s="4" t="s">
        <v>0</v>
      </c>
      <c r="F145" s="92" t="s">
        <v>13</v>
      </c>
      <c r="G145" s="93">
        <f t="shared" ref="G145:U145" si="255">G29+G87</f>
        <v>7000</v>
      </c>
      <c r="H145" s="93">
        <f t="shared" si="255"/>
        <v>6000</v>
      </c>
      <c r="I145" s="93">
        <f t="shared" si="255"/>
        <v>5000</v>
      </c>
      <c r="J145" s="93">
        <f t="shared" si="255"/>
        <v>11000</v>
      </c>
      <c r="K145" s="93">
        <f t="shared" si="255"/>
        <v>-4000</v>
      </c>
      <c r="L145" s="93">
        <f t="shared" si="255"/>
        <v>5000</v>
      </c>
      <c r="M145" s="93">
        <f t="shared" si="255"/>
        <v>6000</v>
      </c>
      <c r="N145" s="93">
        <f t="shared" si="255"/>
        <v>7000</v>
      </c>
      <c r="O145" s="93">
        <f t="shared" si="255"/>
        <v>13000</v>
      </c>
      <c r="P145" s="93">
        <f t="shared" si="255"/>
        <v>-8000</v>
      </c>
      <c r="Q145" s="93">
        <f t="shared" si="255"/>
        <v>12000</v>
      </c>
      <c r="R145" s="93">
        <f t="shared" si="255"/>
        <v>12000</v>
      </c>
      <c r="S145" s="93">
        <f t="shared" si="255"/>
        <v>12000</v>
      </c>
      <c r="T145" s="93">
        <f t="shared" si="255"/>
        <v>24000</v>
      </c>
      <c r="U145" s="94">
        <f t="shared" si="255"/>
        <v>-12000</v>
      </c>
    </row>
    <row r="146" spans="1:21" ht="28.5">
      <c r="B146" s="32"/>
      <c r="C146" s="4" t="s">
        <v>128</v>
      </c>
      <c r="D146" s="4" t="s">
        <v>1</v>
      </c>
      <c r="E146" s="4" t="s">
        <v>0</v>
      </c>
      <c r="F146" s="92" t="s">
        <v>14</v>
      </c>
      <c r="G146" s="93">
        <f t="shared" ref="G146:U146" si="256">G30+G88</f>
        <v>7000</v>
      </c>
      <c r="H146" s="93">
        <f t="shared" si="256"/>
        <v>6000</v>
      </c>
      <c r="I146" s="93">
        <f t="shared" si="256"/>
        <v>5000</v>
      </c>
      <c r="J146" s="93">
        <f t="shared" si="256"/>
        <v>11000</v>
      </c>
      <c r="K146" s="93">
        <f t="shared" si="256"/>
        <v>-4000</v>
      </c>
      <c r="L146" s="93">
        <f t="shared" si="256"/>
        <v>5000</v>
      </c>
      <c r="M146" s="93">
        <f t="shared" si="256"/>
        <v>6000</v>
      </c>
      <c r="N146" s="93">
        <f t="shared" si="256"/>
        <v>7000</v>
      </c>
      <c r="O146" s="93">
        <f t="shared" si="256"/>
        <v>13000</v>
      </c>
      <c r="P146" s="93">
        <f t="shared" si="256"/>
        <v>-8000</v>
      </c>
      <c r="Q146" s="93">
        <f t="shared" si="256"/>
        <v>12000</v>
      </c>
      <c r="R146" s="93">
        <f t="shared" si="256"/>
        <v>12000</v>
      </c>
      <c r="S146" s="93">
        <f t="shared" si="256"/>
        <v>12000</v>
      </c>
      <c r="T146" s="93">
        <f t="shared" si="256"/>
        <v>24000</v>
      </c>
      <c r="U146" s="94">
        <f t="shared" si="256"/>
        <v>-12000</v>
      </c>
    </row>
    <row r="147" spans="1:21" ht="28.5">
      <c r="B147" s="32"/>
      <c r="C147" s="4" t="s">
        <v>129</v>
      </c>
      <c r="D147" s="4" t="s">
        <v>1</v>
      </c>
      <c r="E147" s="4" t="s">
        <v>0</v>
      </c>
      <c r="F147" s="92" t="s">
        <v>15</v>
      </c>
      <c r="G147" s="93">
        <f t="shared" ref="G147:U147" si="257">G31+G89</f>
        <v>7000</v>
      </c>
      <c r="H147" s="93">
        <f t="shared" si="257"/>
        <v>6000</v>
      </c>
      <c r="I147" s="93">
        <f t="shared" si="257"/>
        <v>5000</v>
      </c>
      <c r="J147" s="93">
        <f t="shared" si="257"/>
        <v>11000</v>
      </c>
      <c r="K147" s="93">
        <f t="shared" si="257"/>
        <v>-4000</v>
      </c>
      <c r="L147" s="93">
        <f t="shared" si="257"/>
        <v>5000</v>
      </c>
      <c r="M147" s="93">
        <f t="shared" si="257"/>
        <v>6000</v>
      </c>
      <c r="N147" s="93">
        <f t="shared" si="257"/>
        <v>7000</v>
      </c>
      <c r="O147" s="93">
        <f t="shared" si="257"/>
        <v>13000</v>
      </c>
      <c r="P147" s="93">
        <f t="shared" si="257"/>
        <v>-8000</v>
      </c>
      <c r="Q147" s="93">
        <f t="shared" si="257"/>
        <v>12000</v>
      </c>
      <c r="R147" s="93">
        <f t="shared" si="257"/>
        <v>12000</v>
      </c>
      <c r="S147" s="93">
        <f t="shared" si="257"/>
        <v>12000</v>
      </c>
      <c r="T147" s="93">
        <f t="shared" si="257"/>
        <v>24000</v>
      </c>
      <c r="U147" s="94">
        <f t="shared" si="257"/>
        <v>-12000</v>
      </c>
    </row>
    <row r="148" spans="1:21">
      <c r="B148" s="32"/>
      <c r="C148" s="4" t="s">
        <v>130</v>
      </c>
      <c r="D148" s="4" t="s">
        <v>1</v>
      </c>
      <c r="E148" s="4" t="s">
        <v>0</v>
      </c>
      <c r="F148" s="91" t="s">
        <v>19</v>
      </c>
      <c r="G148" s="93">
        <f t="shared" ref="G148:U148" si="258">G32+G90</f>
        <v>59000</v>
      </c>
      <c r="H148" s="93">
        <f t="shared" si="258"/>
        <v>12000</v>
      </c>
      <c r="I148" s="93">
        <f t="shared" si="258"/>
        <v>13000</v>
      </c>
      <c r="J148" s="93">
        <f t="shared" si="258"/>
        <v>25000</v>
      </c>
      <c r="K148" s="93">
        <f t="shared" si="258"/>
        <v>34000</v>
      </c>
      <c r="L148" s="93">
        <f t="shared" si="258"/>
        <v>15000</v>
      </c>
      <c r="M148" s="93">
        <f t="shared" si="258"/>
        <v>18000</v>
      </c>
      <c r="N148" s="93">
        <f t="shared" si="258"/>
        <v>21000</v>
      </c>
      <c r="O148" s="93">
        <f t="shared" si="258"/>
        <v>39000</v>
      </c>
      <c r="P148" s="93">
        <f t="shared" si="258"/>
        <v>-24000</v>
      </c>
      <c r="Q148" s="93">
        <f t="shared" si="258"/>
        <v>74000</v>
      </c>
      <c r="R148" s="93">
        <f t="shared" si="258"/>
        <v>30000</v>
      </c>
      <c r="S148" s="93">
        <f t="shared" si="258"/>
        <v>34000</v>
      </c>
      <c r="T148" s="93">
        <f t="shared" si="258"/>
        <v>64000</v>
      </c>
      <c r="U148" s="94">
        <f t="shared" si="258"/>
        <v>10000</v>
      </c>
    </row>
    <row r="149" spans="1:21">
      <c r="B149" s="32"/>
      <c r="C149" s="4" t="s">
        <v>116</v>
      </c>
      <c r="D149" s="4" t="s">
        <v>1</v>
      </c>
      <c r="E149" s="4" t="s">
        <v>0</v>
      </c>
      <c r="F149" s="91" t="s">
        <v>39</v>
      </c>
      <c r="G149" s="93">
        <f t="shared" ref="G149:U149" si="259">G33+G91</f>
        <v>92000</v>
      </c>
      <c r="H149" s="93">
        <f t="shared" si="259"/>
        <v>15000</v>
      </c>
      <c r="I149" s="93">
        <f t="shared" si="259"/>
        <v>17000</v>
      </c>
      <c r="J149" s="93">
        <f t="shared" si="259"/>
        <v>32000</v>
      </c>
      <c r="K149" s="93">
        <f t="shared" si="259"/>
        <v>60000</v>
      </c>
      <c r="L149" s="93">
        <f t="shared" si="259"/>
        <v>20000</v>
      </c>
      <c r="M149" s="93">
        <f t="shared" si="259"/>
        <v>24000</v>
      </c>
      <c r="N149" s="93">
        <f t="shared" si="259"/>
        <v>28000</v>
      </c>
      <c r="O149" s="93">
        <f t="shared" si="259"/>
        <v>52000</v>
      </c>
      <c r="P149" s="93">
        <f t="shared" si="259"/>
        <v>-32000</v>
      </c>
      <c r="Q149" s="93">
        <f t="shared" si="259"/>
        <v>112000</v>
      </c>
      <c r="R149" s="93">
        <f t="shared" si="259"/>
        <v>39000</v>
      </c>
      <c r="S149" s="93">
        <f t="shared" si="259"/>
        <v>45000</v>
      </c>
      <c r="T149" s="93">
        <f t="shared" si="259"/>
        <v>84000</v>
      </c>
      <c r="U149" s="95">
        <f t="shared" si="259"/>
        <v>28000</v>
      </c>
    </row>
    <row r="150" spans="1:21">
      <c r="A150" s="34"/>
      <c r="B150" s="58"/>
      <c r="C150" s="45"/>
      <c r="D150" s="45"/>
      <c r="E150" s="45"/>
      <c r="F150" s="46"/>
      <c r="G150" s="45"/>
      <c r="H150" s="45"/>
      <c r="I150" s="45"/>
      <c r="J150" s="45"/>
      <c r="K150" s="45"/>
      <c r="L150" s="45"/>
      <c r="M150" s="45"/>
      <c r="N150" s="45"/>
      <c r="O150" s="45"/>
      <c r="P150" s="45"/>
      <c r="Q150" s="64"/>
      <c r="R150" s="64"/>
      <c r="S150" s="64"/>
      <c r="T150" s="64"/>
      <c r="U150" s="59"/>
    </row>
    <row r="151" spans="1:21">
      <c r="A151" s="34"/>
      <c r="B151" s="58"/>
      <c r="C151" s="45"/>
      <c r="D151" s="45"/>
      <c r="E151" s="45"/>
      <c r="F151" s="46"/>
      <c r="G151" s="45"/>
      <c r="H151" s="45"/>
      <c r="I151" s="45"/>
      <c r="J151" s="45"/>
      <c r="K151" s="45"/>
      <c r="L151" s="45"/>
      <c r="M151" s="45"/>
      <c r="N151" s="45"/>
      <c r="O151" s="45"/>
      <c r="P151" s="45"/>
      <c r="Q151" s="45"/>
      <c r="R151" s="45"/>
      <c r="S151" s="45"/>
      <c r="T151" s="45"/>
      <c r="U151" s="59"/>
    </row>
    <row r="152" spans="1:21">
      <c r="B152" s="55"/>
      <c r="C152" s="56"/>
      <c r="D152" s="56"/>
      <c r="E152" s="56"/>
      <c r="F152" s="44" t="s">
        <v>21</v>
      </c>
      <c r="G152" s="56"/>
      <c r="H152" s="56"/>
      <c r="I152" s="56"/>
      <c r="J152" s="56"/>
      <c r="K152" s="56"/>
      <c r="L152" s="56"/>
      <c r="M152" s="56"/>
      <c r="N152" s="56"/>
      <c r="O152" s="56"/>
      <c r="P152" s="56"/>
      <c r="Q152" s="56"/>
      <c r="R152" s="56"/>
      <c r="S152" s="56"/>
      <c r="T152" s="56"/>
      <c r="U152" s="57"/>
    </row>
    <row r="153" spans="1:21">
      <c r="A153" s="34"/>
      <c r="B153" s="58"/>
      <c r="C153" s="45"/>
      <c r="D153" s="45"/>
      <c r="E153" s="45"/>
      <c r="F153" s="46"/>
      <c r="G153" s="45"/>
      <c r="H153" s="45"/>
      <c r="I153" s="45"/>
      <c r="J153" s="45"/>
      <c r="K153" s="45"/>
      <c r="L153" s="45"/>
      <c r="M153" s="45"/>
      <c r="N153" s="45"/>
      <c r="O153" s="45"/>
      <c r="P153" s="45"/>
      <c r="Q153" s="48"/>
      <c r="R153" s="48"/>
      <c r="S153" s="48"/>
      <c r="T153" s="48"/>
      <c r="U153" s="59"/>
    </row>
    <row r="154" spans="1:21" ht="34.5">
      <c r="A154" s="70" t="s">
        <v>16</v>
      </c>
      <c r="B154" s="32"/>
      <c r="C154" s="4" t="s">
        <v>116</v>
      </c>
      <c r="D154" s="4" t="s">
        <v>2</v>
      </c>
      <c r="E154" s="4" t="s">
        <v>0</v>
      </c>
      <c r="F154" s="91" t="s">
        <v>216</v>
      </c>
      <c r="G154" s="93">
        <f t="shared" ref="G154:U154" si="260">G38+G96</f>
        <v>2000</v>
      </c>
      <c r="H154" s="93">
        <f t="shared" si="260"/>
        <v>3000</v>
      </c>
      <c r="I154" s="93">
        <f t="shared" si="260"/>
        <v>4000</v>
      </c>
      <c r="J154" s="93">
        <f t="shared" si="260"/>
        <v>7000</v>
      </c>
      <c r="K154" s="93">
        <f t="shared" si="260"/>
        <v>-5000</v>
      </c>
      <c r="L154" s="93">
        <f t="shared" si="260"/>
        <v>5000</v>
      </c>
      <c r="M154" s="93">
        <f t="shared" si="260"/>
        <v>6000</v>
      </c>
      <c r="N154" s="93">
        <f t="shared" si="260"/>
        <v>7000</v>
      </c>
      <c r="O154" s="93">
        <f t="shared" si="260"/>
        <v>13000</v>
      </c>
      <c r="P154" s="93">
        <f t="shared" si="260"/>
        <v>-8000</v>
      </c>
      <c r="Q154" s="93">
        <f t="shared" si="260"/>
        <v>7000</v>
      </c>
      <c r="R154" s="93">
        <f t="shared" si="260"/>
        <v>9000</v>
      </c>
      <c r="S154" s="93">
        <f t="shared" si="260"/>
        <v>11000</v>
      </c>
      <c r="T154" s="93">
        <f t="shared" si="260"/>
        <v>20000</v>
      </c>
      <c r="U154" s="94">
        <f t="shared" si="260"/>
        <v>-13000</v>
      </c>
    </row>
    <row r="155" spans="1:21">
      <c r="A155" s="28"/>
      <c r="B155" s="32"/>
      <c r="C155" s="4"/>
      <c r="D155" s="4"/>
      <c r="E155" s="4" t="s">
        <v>0</v>
      </c>
      <c r="F155" s="91" t="s">
        <v>181</v>
      </c>
      <c r="G155" s="30"/>
      <c r="H155" s="30"/>
      <c r="I155" s="30"/>
      <c r="J155" s="30"/>
      <c r="K155" s="30"/>
      <c r="L155" s="30"/>
      <c r="M155" s="30"/>
      <c r="N155" s="30"/>
      <c r="O155" s="30"/>
      <c r="P155" s="30"/>
      <c r="Q155" s="30"/>
      <c r="R155" s="30"/>
      <c r="S155" s="30"/>
      <c r="T155" s="30"/>
      <c r="U155" s="31"/>
    </row>
    <row r="156" spans="1:21" ht="28.5">
      <c r="A156" s="28"/>
      <c r="B156" s="32"/>
      <c r="C156" s="4"/>
      <c r="D156" s="4"/>
      <c r="E156" s="4" t="s">
        <v>0</v>
      </c>
      <c r="F156" s="91" t="s">
        <v>172</v>
      </c>
      <c r="G156" s="30"/>
      <c r="H156" s="30"/>
      <c r="I156" s="30"/>
      <c r="J156" s="30"/>
      <c r="K156" s="30"/>
      <c r="L156" s="30"/>
      <c r="M156" s="30"/>
      <c r="N156" s="30"/>
      <c r="O156" s="30"/>
      <c r="P156" s="30"/>
      <c r="Q156" s="30"/>
      <c r="R156" s="30"/>
      <c r="S156" s="30"/>
      <c r="T156" s="30"/>
      <c r="U156" s="31"/>
    </row>
    <row r="157" spans="1:21" ht="28.5">
      <c r="B157" s="32"/>
      <c r="C157" s="4" t="s">
        <v>173</v>
      </c>
      <c r="D157" s="4" t="s">
        <v>81</v>
      </c>
      <c r="E157" s="4" t="s">
        <v>0</v>
      </c>
      <c r="F157" s="124" t="s">
        <v>178</v>
      </c>
      <c r="G157" s="93">
        <f t="shared" ref="G157:O157" si="261">G41+G99</f>
        <v>14000</v>
      </c>
      <c r="H157" s="93">
        <f t="shared" si="261"/>
        <v>3000</v>
      </c>
      <c r="I157" s="93">
        <f t="shared" si="261"/>
        <v>4000</v>
      </c>
      <c r="J157" s="93">
        <f t="shared" si="261"/>
        <v>7000</v>
      </c>
      <c r="K157" s="93">
        <f t="shared" si="261"/>
        <v>7000</v>
      </c>
      <c r="L157" s="93">
        <f t="shared" si="261"/>
        <v>5000</v>
      </c>
      <c r="M157" s="93">
        <f t="shared" si="261"/>
        <v>6000</v>
      </c>
      <c r="N157" s="93">
        <f t="shared" si="261"/>
        <v>7000</v>
      </c>
      <c r="O157" s="93">
        <f t="shared" si="261"/>
        <v>13000</v>
      </c>
      <c r="P157" s="93">
        <f t="shared" ref="P157:P159" si="262">+L157-O157</f>
        <v>-8000</v>
      </c>
      <c r="Q157" s="93">
        <f t="shared" ref="Q157:Q159" si="263">G157+L157</f>
        <v>19000</v>
      </c>
      <c r="R157" s="93">
        <f t="shared" ref="R157:R159" si="264">H157+M157</f>
        <v>9000</v>
      </c>
      <c r="S157" s="93">
        <f t="shared" ref="S157:S159" si="265">I157+N157</f>
        <v>11000</v>
      </c>
      <c r="T157" s="93">
        <f t="shared" ref="T157:T159" si="266">R157+S157</f>
        <v>20000</v>
      </c>
      <c r="U157" s="94">
        <f t="shared" ref="U157:U159" si="267">+Q157-T157</f>
        <v>-1000</v>
      </c>
    </row>
    <row r="158" spans="1:21">
      <c r="B158" s="32"/>
      <c r="C158" s="4" t="s">
        <v>174</v>
      </c>
      <c r="D158" s="4" t="s">
        <v>81</v>
      </c>
      <c r="E158" s="4" t="s">
        <v>0</v>
      </c>
      <c r="F158" s="124" t="s">
        <v>179</v>
      </c>
      <c r="G158" s="93">
        <f t="shared" ref="G158:O158" si="268">G42+G100</f>
        <v>26000</v>
      </c>
      <c r="H158" s="93">
        <f t="shared" si="268"/>
        <v>6000</v>
      </c>
      <c r="I158" s="93">
        <f t="shared" si="268"/>
        <v>5000</v>
      </c>
      <c r="J158" s="93">
        <f t="shared" si="268"/>
        <v>11000</v>
      </c>
      <c r="K158" s="93">
        <f t="shared" si="268"/>
        <v>15000</v>
      </c>
      <c r="L158" s="93">
        <f t="shared" si="268"/>
        <v>5000</v>
      </c>
      <c r="M158" s="93">
        <f t="shared" si="268"/>
        <v>6000</v>
      </c>
      <c r="N158" s="93">
        <f t="shared" si="268"/>
        <v>7000</v>
      </c>
      <c r="O158" s="93">
        <f t="shared" si="268"/>
        <v>13000</v>
      </c>
      <c r="P158" s="93">
        <f t="shared" si="262"/>
        <v>-8000</v>
      </c>
      <c r="Q158" s="93">
        <f t="shared" si="263"/>
        <v>31000</v>
      </c>
      <c r="R158" s="93">
        <f t="shared" si="264"/>
        <v>12000</v>
      </c>
      <c r="S158" s="93">
        <f t="shared" si="265"/>
        <v>12000</v>
      </c>
      <c r="T158" s="93">
        <f t="shared" si="266"/>
        <v>24000</v>
      </c>
      <c r="U158" s="94">
        <f t="shared" si="267"/>
        <v>7000</v>
      </c>
    </row>
    <row r="159" spans="1:21" ht="28.5">
      <c r="B159" s="32"/>
      <c r="C159" s="4" t="s">
        <v>117</v>
      </c>
      <c r="D159" s="4" t="s">
        <v>81</v>
      </c>
      <c r="E159" s="4" t="s">
        <v>0</v>
      </c>
      <c r="F159" s="124" t="s">
        <v>180</v>
      </c>
      <c r="G159" s="93">
        <f t="shared" ref="G159:O159" si="269">G43+G101</f>
        <v>40000</v>
      </c>
      <c r="H159" s="93">
        <f t="shared" si="269"/>
        <v>9000</v>
      </c>
      <c r="I159" s="93">
        <f t="shared" si="269"/>
        <v>9000</v>
      </c>
      <c r="J159" s="93">
        <f t="shared" si="269"/>
        <v>18000</v>
      </c>
      <c r="K159" s="93">
        <f t="shared" si="269"/>
        <v>22000</v>
      </c>
      <c r="L159" s="93">
        <f t="shared" si="269"/>
        <v>10000</v>
      </c>
      <c r="M159" s="93">
        <f t="shared" si="269"/>
        <v>12000</v>
      </c>
      <c r="N159" s="93">
        <f t="shared" si="269"/>
        <v>14000</v>
      </c>
      <c r="O159" s="93">
        <f t="shared" si="269"/>
        <v>26000</v>
      </c>
      <c r="P159" s="93">
        <f t="shared" si="262"/>
        <v>-16000</v>
      </c>
      <c r="Q159" s="93">
        <f t="shared" si="263"/>
        <v>50000</v>
      </c>
      <c r="R159" s="93">
        <f t="shared" si="264"/>
        <v>21000</v>
      </c>
      <c r="S159" s="93">
        <f t="shared" si="265"/>
        <v>23000</v>
      </c>
      <c r="T159" s="93">
        <f t="shared" si="266"/>
        <v>44000</v>
      </c>
      <c r="U159" s="94">
        <f t="shared" si="267"/>
        <v>6000</v>
      </c>
    </row>
    <row r="160" spans="1:21" ht="28.5">
      <c r="B160" s="32"/>
      <c r="C160" s="4" t="s">
        <v>118</v>
      </c>
      <c r="D160" s="4" t="s">
        <v>81</v>
      </c>
      <c r="E160" s="4" t="s">
        <v>0</v>
      </c>
      <c r="F160" s="92" t="s">
        <v>5</v>
      </c>
      <c r="G160" s="93">
        <f t="shared" ref="G160:O160" si="270">G44+G102</f>
        <v>2000</v>
      </c>
      <c r="H160" s="93">
        <f t="shared" si="270"/>
        <v>3000</v>
      </c>
      <c r="I160" s="93">
        <f t="shared" si="270"/>
        <v>4000</v>
      </c>
      <c r="J160" s="93">
        <f t="shared" si="270"/>
        <v>7000</v>
      </c>
      <c r="K160" s="93">
        <f t="shared" si="270"/>
        <v>-5000</v>
      </c>
      <c r="L160" s="93">
        <f t="shared" si="270"/>
        <v>5000</v>
      </c>
      <c r="M160" s="93">
        <f t="shared" si="270"/>
        <v>6000</v>
      </c>
      <c r="N160" s="93">
        <f t="shared" si="270"/>
        <v>7000</v>
      </c>
      <c r="O160" s="93">
        <f t="shared" si="270"/>
        <v>13000</v>
      </c>
      <c r="P160" s="93">
        <f t="shared" ref="P160:U164" si="271">P44+P102</f>
        <v>-8000</v>
      </c>
      <c r="Q160" s="93">
        <f t="shared" si="271"/>
        <v>7000</v>
      </c>
      <c r="R160" s="93">
        <f t="shared" si="271"/>
        <v>9000</v>
      </c>
      <c r="S160" s="93">
        <f t="shared" si="271"/>
        <v>11000</v>
      </c>
      <c r="T160" s="93">
        <f t="shared" si="271"/>
        <v>20000</v>
      </c>
      <c r="U160" s="94">
        <f t="shared" si="271"/>
        <v>-13000</v>
      </c>
    </row>
    <row r="161" spans="1:21" ht="28.5">
      <c r="B161" s="32"/>
      <c r="C161" s="4" t="s">
        <v>119</v>
      </c>
      <c r="D161" s="4" t="s">
        <v>81</v>
      </c>
      <c r="E161" s="4" t="s">
        <v>0</v>
      </c>
      <c r="F161" s="92" t="s">
        <v>6</v>
      </c>
      <c r="G161" s="93">
        <f t="shared" ref="G161:O161" si="272">G45+G103</f>
        <v>7000</v>
      </c>
      <c r="H161" s="93">
        <f t="shared" si="272"/>
        <v>6000</v>
      </c>
      <c r="I161" s="93">
        <f t="shared" si="272"/>
        <v>5000</v>
      </c>
      <c r="J161" s="93">
        <f t="shared" si="272"/>
        <v>11000</v>
      </c>
      <c r="K161" s="93">
        <f t="shared" si="272"/>
        <v>-4000</v>
      </c>
      <c r="L161" s="93">
        <f t="shared" si="272"/>
        <v>5000</v>
      </c>
      <c r="M161" s="93">
        <f t="shared" si="272"/>
        <v>6000</v>
      </c>
      <c r="N161" s="93">
        <f t="shared" si="272"/>
        <v>7000</v>
      </c>
      <c r="O161" s="93">
        <f t="shared" si="272"/>
        <v>13000</v>
      </c>
      <c r="P161" s="93">
        <f t="shared" si="271"/>
        <v>-8000</v>
      </c>
      <c r="Q161" s="93">
        <f t="shared" si="271"/>
        <v>12000</v>
      </c>
      <c r="R161" s="93">
        <f t="shared" si="271"/>
        <v>12000</v>
      </c>
      <c r="S161" s="93">
        <f t="shared" si="271"/>
        <v>12000</v>
      </c>
      <c r="T161" s="93">
        <f t="shared" si="271"/>
        <v>24000</v>
      </c>
      <c r="U161" s="94">
        <f t="shared" si="271"/>
        <v>-12000</v>
      </c>
    </row>
    <row r="162" spans="1:21">
      <c r="B162" s="32"/>
      <c r="C162" s="4" t="s">
        <v>120</v>
      </c>
      <c r="D162" s="4" t="s">
        <v>81</v>
      </c>
      <c r="E162" s="4" t="s">
        <v>0</v>
      </c>
      <c r="F162" s="92" t="s">
        <v>7</v>
      </c>
      <c r="G162" s="93">
        <f t="shared" ref="G162:O162" si="273">G46+G104</f>
        <v>18000</v>
      </c>
      <c r="H162" s="93">
        <f t="shared" si="273"/>
        <v>18000</v>
      </c>
      <c r="I162" s="93">
        <f t="shared" si="273"/>
        <v>18000</v>
      </c>
      <c r="J162" s="93">
        <f t="shared" si="273"/>
        <v>36000</v>
      </c>
      <c r="K162" s="93">
        <f t="shared" si="273"/>
        <v>-18000</v>
      </c>
      <c r="L162" s="93">
        <f t="shared" si="273"/>
        <v>20000</v>
      </c>
      <c r="M162" s="93">
        <f t="shared" si="273"/>
        <v>24000</v>
      </c>
      <c r="N162" s="93">
        <f t="shared" si="273"/>
        <v>28000</v>
      </c>
      <c r="O162" s="93">
        <f t="shared" si="273"/>
        <v>52000</v>
      </c>
      <c r="P162" s="93">
        <f t="shared" si="271"/>
        <v>-32000</v>
      </c>
      <c r="Q162" s="93">
        <f t="shared" si="271"/>
        <v>38000</v>
      </c>
      <c r="R162" s="93">
        <f t="shared" si="271"/>
        <v>42000</v>
      </c>
      <c r="S162" s="93">
        <f t="shared" si="271"/>
        <v>46000</v>
      </c>
      <c r="T162" s="93">
        <f t="shared" si="271"/>
        <v>88000</v>
      </c>
      <c r="U162" s="94">
        <f t="shared" si="271"/>
        <v>-50000</v>
      </c>
    </row>
    <row r="163" spans="1:21" ht="28.5">
      <c r="B163" s="32"/>
      <c r="C163" s="4" t="s">
        <v>121</v>
      </c>
      <c r="D163" s="4" t="s">
        <v>81</v>
      </c>
      <c r="E163" s="4" t="s">
        <v>0</v>
      </c>
      <c r="F163" s="92" t="s">
        <v>8</v>
      </c>
      <c r="G163" s="93">
        <f t="shared" ref="G163:O163" si="274">G47+G105</f>
        <v>7000</v>
      </c>
      <c r="H163" s="93">
        <f t="shared" si="274"/>
        <v>6000</v>
      </c>
      <c r="I163" s="93">
        <f t="shared" si="274"/>
        <v>5000</v>
      </c>
      <c r="J163" s="93">
        <f t="shared" si="274"/>
        <v>11000</v>
      </c>
      <c r="K163" s="93">
        <f t="shared" si="274"/>
        <v>-4000</v>
      </c>
      <c r="L163" s="93">
        <f t="shared" si="274"/>
        <v>5000</v>
      </c>
      <c r="M163" s="93">
        <f t="shared" si="274"/>
        <v>6000</v>
      </c>
      <c r="N163" s="93">
        <f t="shared" si="274"/>
        <v>7000</v>
      </c>
      <c r="O163" s="93">
        <f t="shared" si="274"/>
        <v>13000</v>
      </c>
      <c r="P163" s="93">
        <f t="shared" si="271"/>
        <v>-8000</v>
      </c>
      <c r="Q163" s="93">
        <f t="shared" si="271"/>
        <v>12000</v>
      </c>
      <c r="R163" s="93">
        <f t="shared" si="271"/>
        <v>12000</v>
      </c>
      <c r="S163" s="93">
        <f t="shared" si="271"/>
        <v>12000</v>
      </c>
      <c r="T163" s="93">
        <f t="shared" si="271"/>
        <v>24000</v>
      </c>
      <c r="U163" s="94">
        <f t="shared" si="271"/>
        <v>-12000</v>
      </c>
    </row>
    <row r="164" spans="1:21" ht="28.5">
      <c r="B164" s="32"/>
      <c r="C164" s="4" t="s">
        <v>122</v>
      </c>
      <c r="D164" s="4" t="s">
        <v>81</v>
      </c>
      <c r="E164" s="4" t="s">
        <v>0</v>
      </c>
      <c r="F164" s="92" t="s">
        <v>9</v>
      </c>
      <c r="G164" s="93">
        <f t="shared" ref="G164:O164" si="275">G48+G106</f>
        <v>7000</v>
      </c>
      <c r="H164" s="93">
        <f t="shared" si="275"/>
        <v>6000</v>
      </c>
      <c r="I164" s="93">
        <f t="shared" si="275"/>
        <v>5000</v>
      </c>
      <c r="J164" s="93">
        <f t="shared" si="275"/>
        <v>11000</v>
      </c>
      <c r="K164" s="93">
        <f t="shared" si="275"/>
        <v>-4000</v>
      </c>
      <c r="L164" s="93">
        <f t="shared" si="275"/>
        <v>5000</v>
      </c>
      <c r="M164" s="93">
        <f t="shared" si="275"/>
        <v>6000</v>
      </c>
      <c r="N164" s="93">
        <f t="shared" si="275"/>
        <v>7000</v>
      </c>
      <c r="O164" s="93">
        <f t="shared" si="275"/>
        <v>13000</v>
      </c>
      <c r="P164" s="93">
        <f t="shared" si="271"/>
        <v>-8000</v>
      </c>
      <c r="Q164" s="93">
        <f t="shared" si="271"/>
        <v>12000</v>
      </c>
      <c r="R164" s="93">
        <f t="shared" si="271"/>
        <v>12000</v>
      </c>
      <c r="S164" s="93">
        <f t="shared" si="271"/>
        <v>12000</v>
      </c>
      <c r="T164" s="93">
        <f t="shared" si="271"/>
        <v>24000</v>
      </c>
      <c r="U164" s="94">
        <f t="shared" si="271"/>
        <v>-12000</v>
      </c>
    </row>
    <row r="165" spans="1:21" ht="28.5">
      <c r="B165" s="32"/>
      <c r="C165" s="4"/>
      <c r="D165" s="4"/>
      <c r="E165" s="4" t="s">
        <v>0</v>
      </c>
      <c r="F165" s="91" t="s">
        <v>17</v>
      </c>
      <c r="G165" s="30"/>
      <c r="H165" s="30"/>
      <c r="I165" s="30"/>
      <c r="J165" s="30"/>
      <c r="K165" s="30"/>
      <c r="L165" s="30"/>
      <c r="M165" s="30"/>
      <c r="N165" s="30"/>
      <c r="O165" s="30"/>
      <c r="P165" s="30"/>
      <c r="Q165" s="30"/>
      <c r="R165" s="30"/>
      <c r="S165" s="30"/>
      <c r="T165" s="30"/>
      <c r="U165" s="31"/>
    </row>
    <row r="166" spans="1:21" ht="28.5">
      <c r="B166" s="32"/>
      <c r="C166" s="4" t="s">
        <v>123</v>
      </c>
      <c r="D166" s="4" t="s">
        <v>81</v>
      </c>
      <c r="E166" s="4" t="s">
        <v>0</v>
      </c>
      <c r="F166" s="92" t="s">
        <v>10</v>
      </c>
      <c r="G166" s="93">
        <f t="shared" ref="G166:U166" si="276">G50+G108</f>
        <v>7000</v>
      </c>
      <c r="H166" s="93">
        <f t="shared" si="276"/>
        <v>6000</v>
      </c>
      <c r="I166" s="93">
        <f t="shared" si="276"/>
        <v>5000</v>
      </c>
      <c r="J166" s="93">
        <f t="shared" si="276"/>
        <v>11000</v>
      </c>
      <c r="K166" s="93">
        <f t="shared" si="276"/>
        <v>-4000</v>
      </c>
      <c r="L166" s="93">
        <f t="shared" si="276"/>
        <v>5000</v>
      </c>
      <c r="M166" s="93">
        <f t="shared" si="276"/>
        <v>6000</v>
      </c>
      <c r="N166" s="93">
        <f t="shared" si="276"/>
        <v>7000</v>
      </c>
      <c r="O166" s="93">
        <f t="shared" si="276"/>
        <v>13000</v>
      </c>
      <c r="P166" s="93">
        <f t="shared" si="276"/>
        <v>-8000</v>
      </c>
      <c r="Q166" s="93">
        <f t="shared" si="276"/>
        <v>12000</v>
      </c>
      <c r="R166" s="93">
        <f t="shared" si="276"/>
        <v>12000</v>
      </c>
      <c r="S166" s="93">
        <f t="shared" si="276"/>
        <v>12000</v>
      </c>
      <c r="T166" s="93">
        <f t="shared" si="276"/>
        <v>24000</v>
      </c>
      <c r="U166" s="94">
        <f t="shared" si="276"/>
        <v>-12000</v>
      </c>
    </row>
    <row r="167" spans="1:21" ht="28.5">
      <c r="B167" s="32"/>
      <c r="C167" s="4" t="s">
        <v>124</v>
      </c>
      <c r="D167" s="4" t="s">
        <v>81</v>
      </c>
      <c r="E167" s="4" t="s">
        <v>0</v>
      </c>
      <c r="F167" s="92" t="s">
        <v>11</v>
      </c>
      <c r="G167" s="93">
        <f t="shared" ref="G167:U167" si="277">G51+G109</f>
        <v>7000</v>
      </c>
      <c r="H167" s="93">
        <f t="shared" si="277"/>
        <v>6000</v>
      </c>
      <c r="I167" s="93">
        <f t="shared" si="277"/>
        <v>5000</v>
      </c>
      <c r="J167" s="93">
        <f t="shared" si="277"/>
        <v>11000</v>
      </c>
      <c r="K167" s="93">
        <f t="shared" si="277"/>
        <v>-4000</v>
      </c>
      <c r="L167" s="93">
        <f t="shared" si="277"/>
        <v>5000</v>
      </c>
      <c r="M167" s="93">
        <f t="shared" si="277"/>
        <v>6000</v>
      </c>
      <c r="N167" s="93">
        <f t="shared" si="277"/>
        <v>7000</v>
      </c>
      <c r="O167" s="93">
        <f t="shared" si="277"/>
        <v>13000</v>
      </c>
      <c r="P167" s="93">
        <f t="shared" si="277"/>
        <v>-8000</v>
      </c>
      <c r="Q167" s="93">
        <f t="shared" si="277"/>
        <v>12000</v>
      </c>
      <c r="R167" s="93">
        <f t="shared" si="277"/>
        <v>12000</v>
      </c>
      <c r="S167" s="93">
        <f t="shared" si="277"/>
        <v>12000</v>
      </c>
      <c r="T167" s="93">
        <f t="shared" si="277"/>
        <v>24000</v>
      </c>
      <c r="U167" s="94">
        <f t="shared" si="277"/>
        <v>-12000</v>
      </c>
    </row>
    <row r="168" spans="1:21" ht="28.5">
      <c r="B168" s="32"/>
      <c r="C168" s="4" t="s">
        <v>125</v>
      </c>
      <c r="D168" s="4" t="s">
        <v>81</v>
      </c>
      <c r="E168" s="4" t="s">
        <v>0</v>
      </c>
      <c r="F168" s="91" t="s">
        <v>18</v>
      </c>
      <c r="G168" s="93">
        <f t="shared" ref="G168:U168" si="278">G52+G110</f>
        <v>14000</v>
      </c>
      <c r="H168" s="93">
        <f t="shared" si="278"/>
        <v>12000</v>
      </c>
      <c r="I168" s="93">
        <f t="shared" si="278"/>
        <v>10000</v>
      </c>
      <c r="J168" s="93">
        <f t="shared" si="278"/>
        <v>22000</v>
      </c>
      <c r="K168" s="93">
        <f t="shared" si="278"/>
        <v>-8000</v>
      </c>
      <c r="L168" s="93">
        <f t="shared" si="278"/>
        <v>10000</v>
      </c>
      <c r="M168" s="93">
        <f t="shared" si="278"/>
        <v>12000</v>
      </c>
      <c r="N168" s="93">
        <f t="shared" si="278"/>
        <v>14000</v>
      </c>
      <c r="O168" s="93">
        <f t="shared" si="278"/>
        <v>26000</v>
      </c>
      <c r="P168" s="93">
        <f t="shared" si="278"/>
        <v>-16000</v>
      </c>
      <c r="Q168" s="93">
        <f t="shared" si="278"/>
        <v>24000</v>
      </c>
      <c r="R168" s="93">
        <f t="shared" si="278"/>
        <v>24000</v>
      </c>
      <c r="S168" s="93">
        <f t="shared" si="278"/>
        <v>24000</v>
      </c>
      <c r="T168" s="93">
        <f t="shared" si="278"/>
        <v>48000</v>
      </c>
      <c r="U168" s="93">
        <f t="shared" si="278"/>
        <v>-24000</v>
      </c>
    </row>
    <row r="169" spans="1:21" ht="28.5">
      <c r="B169" s="32"/>
      <c r="C169" s="4" t="s">
        <v>126</v>
      </c>
      <c r="D169" s="4" t="s">
        <v>81</v>
      </c>
      <c r="E169" s="4" t="s">
        <v>0</v>
      </c>
      <c r="F169" s="92" t="s">
        <v>12</v>
      </c>
      <c r="G169" s="93">
        <f t="shared" ref="G169:U169" si="279">G53+G111</f>
        <v>7000</v>
      </c>
      <c r="H169" s="93">
        <f t="shared" si="279"/>
        <v>6000</v>
      </c>
      <c r="I169" s="93">
        <f t="shared" si="279"/>
        <v>5000</v>
      </c>
      <c r="J169" s="93">
        <f t="shared" si="279"/>
        <v>11000</v>
      </c>
      <c r="K169" s="93">
        <f t="shared" si="279"/>
        <v>-4000</v>
      </c>
      <c r="L169" s="93">
        <f t="shared" si="279"/>
        <v>5000</v>
      </c>
      <c r="M169" s="93">
        <f t="shared" si="279"/>
        <v>6000</v>
      </c>
      <c r="N169" s="93">
        <f t="shared" si="279"/>
        <v>7000</v>
      </c>
      <c r="O169" s="93">
        <f t="shared" si="279"/>
        <v>13000</v>
      </c>
      <c r="P169" s="93">
        <f t="shared" si="279"/>
        <v>-8000</v>
      </c>
      <c r="Q169" s="93">
        <f t="shared" si="279"/>
        <v>12000</v>
      </c>
      <c r="R169" s="93">
        <f t="shared" si="279"/>
        <v>12000</v>
      </c>
      <c r="S169" s="93">
        <f t="shared" si="279"/>
        <v>12000</v>
      </c>
      <c r="T169" s="93">
        <f t="shared" si="279"/>
        <v>24000</v>
      </c>
      <c r="U169" s="94">
        <f t="shared" si="279"/>
        <v>-12000</v>
      </c>
    </row>
    <row r="170" spans="1:21">
      <c r="B170" s="32"/>
      <c r="C170" s="4" t="s">
        <v>127</v>
      </c>
      <c r="D170" s="4" t="s">
        <v>81</v>
      </c>
      <c r="E170" s="4" t="s">
        <v>0</v>
      </c>
      <c r="F170" s="92" t="s">
        <v>13</v>
      </c>
      <c r="G170" s="93">
        <f t="shared" ref="G170:U170" si="280">G54+G112</f>
        <v>7000</v>
      </c>
      <c r="H170" s="93">
        <f t="shared" si="280"/>
        <v>6000</v>
      </c>
      <c r="I170" s="93">
        <f t="shared" si="280"/>
        <v>5000</v>
      </c>
      <c r="J170" s="93">
        <f t="shared" si="280"/>
        <v>11000</v>
      </c>
      <c r="K170" s="93">
        <f t="shared" si="280"/>
        <v>-4000</v>
      </c>
      <c r="L170" s="93">
        <f t="shared" si="280"/>
        <v>5000</v>
      </c>
      <c r="M170" s="93">
        <f t="shared" si="280"/>
        <v>6000</v>
      </c>
      <c r="N170" s="93">
        <f t="shared" si="280"/>
        <v>7000</v>
      </c>
      <c r="O170" s="93">
        <f t="shared" si="280"/>
        <v>13000</v>
      </c>
      <c r="P170" s="93">
        <f t="shared" si="280"/>
        <v>-8000</v>
      </c>
      <c r="Q170" s="93">
        <f t="shared" si="280"/>
        <v>12000</v>
      </c>
      <c r="R170" s="93">
        <f t="shared" si="280"/>
        <v>12000</v>
      </c>
      <c r="S170" s="93">
        <f t="shared" si="280"/>
        <v>12000</v>
      </c>
      <c r="T170" s="93">
        <f t="shared" si="280"/>
        <v>24000</v>
      </c>
      <c r="U170" s="94">
        <f t="shared" si="280"/>
        <v>-12000</v>
      </c>
    </row>
    <row r="171" spans="1:21" ht="28.5">
      <c r="B171" s="32"/>
      <c r="C171" s="4" t="s">
        <v>128</v>
      </c>
      <c r="D171" s="4" t="s">
        <v>81</v>
      </c>
      <c r="E171" s="4" t="s">
        <v>0</v>
      </c>
      <c r="F171" s="92" t="s">
        <v>14</v>
      </c>
      <c r="G171" s="93">
        <f t="shared" ref="G171:U171" si="281">G55+G113</f>
        <v>7000</v>
      </c>
      <c r="H171" s="93">
        <f t="shared" si="281"/>
        <v>6000</v>
      </c>
      <c r="I171" s="93">
        <f t="shared" si="281"/>
        <v>5000</v>
      </c>
      <c r="J171" s="93">
        <f t="shared" si="281"/>
        <v>11000</v>
      </c>
      <c r="K171" s="93">
        <f t="shared" si="281"/>
        <v>-4000</v>
      </c>
      <c r="L171" s="93">
        <f t="shared" si="281"/>
        <v>5000</v>
      </c>
      <c r="M171" s="93">
        <f t="shared" si="281"/>
        <v>6000</v>
      </c>
      <c r="N171" s="93">
        <f t="shared" si="281"/>
        <v>7000</v>
      </c>
      <c r="O171" s="93">
        <f t="shared" si="281"/>
        <v>13000</v>
      </c>
      <c r="P171" s="93">
        <f t="shared" si="281"/>
        <v>-8000</v>
      </c>
      <c r="Q171" s="93">
        <f t="shared" si="281"/>
        <v>12000</v>
      </c>
      <c r="R171" s="93">
        <f t="shared" si="281"/>
        <v>12000</v>
      </c>
      <c r="S171" s="93">
        <f t="shared" si="281"/>
        <v>12000</v>
      </c>
      <c r="T171" s="93">
        <f t="shared" si="281"/>
        <v>24000</v>
      </c>
      <c r="U171" s="94">
        <f t="shared" si="281"/>
        <v>-12000</v>
      </c>
    </row>
    <row r="172" spans="1:21" ht="28.5">
      <c r="B172" s="32"/>
      <c r="C172" s="4" t="s">
        <v>129</v>
      </c>
      <c r="D172" s="4" t="s">
        <v>81</v>
      </c>
      <c r="E172" s="4" t="s">
        <v>0</v>
      </c>
      <c r="F172" s="92" t="s">
        <v>15</v>
      </c>
      <c r="G172" s="93">
        <f t="shared" ref="G172:U172" si="282">G56+G114</f>
        <v>7000</v>
      </c>
      <c r="H172" s="93">
        <f t="shared" si="282"/>
        <v>6000</v>
      </c>
      <c r="I172" s="93">
        <f t="shared" si="282"/>
        <v>5000</v>
      </c>
      <c r="J172" s="93">
        <f t="shared" si="282"/>
        <v>11000</v>
      </c>
      <c r="K172" s="93">
        <f t="shared" si="282"/>
        <v>-4000</v>
      </c>
      <c r="L172" s="93">
        <f t="shared" si="282"/>
        <v>5000</v>
      </c>
      <c r="M172" s="93">
        <f t="shared" si="282"/>
        <v>6000</v>
      </c>
      <c r="N172" s="93">
        <f t="shared" si="282"/>
        <v>7000</v>
      </c>
      <c r="O172" s="93">
        <f t="shared" si="282"/>
        <v>13000</v>
      </c>
      <c r="P172" s="93">
        <f t="shared" si="282"/>
        <v>-8000</v>
      </c>
      <c r="Q172" s="93">
        <f t="shared" si="282"/>
        <v>12000</v>
      </c>
      <c r="R172" s="93">
        <f t="shared" si="282"/>
        <v>12000</v>
      </c>
      <c r="S172" s="93">
        <f t="shared" si="282"/>
        <v>12000</v>
      </c>
      <c r="T172" s="93">
        <f t="shared" si="282"/>
        <v>24000</v>
      </c>
      <c r="U172" s="94">
        <f t="shared" si="282"/>
        <v>-12000</v>
      </c>
    </row>
    <row r="173" spans="1:21">
      <c r="B173" s="32"/>
      <c r="C173" s="4" t="s">
        <v>130</v>
      </c>
      <c r="D173" s="4" t="s">
        <v>81</v>
      </c>
      <c r="E173" s="4" t="s">
        <v>0</v>
      </c>
      <c r="F173" s="91" t="s">
        <v>19</v>
      </c>
      <c r="G173" s="93">
        <f t="shared" ref="G173:U173" si="283">G57+G115</f>
        <v>31000</v>
      </c>
      <c r="H173" s="93">
        <f t="shared" si="283"/>
        <v>0</v>
      </c>
      <c r="I173" s="93">
        <f t="shared" si="283"/>
        <v>0</v>
      </c>
      <c r="J173" s="93">
        <f t="shared" si="283"/>
        <v>0</v>
      </c>
      <c r="K173" s="93">
        <f t="shared" si="283"/>
        <v>31000</v>
      </c>
      <c r="L173" s="93">
        <f t="shared" si="283"/>
        <v>0</v>
      </c>
      <c r="M173" s="93">
        <f t="shared" si="283"/>
        <v>0</v>
      </c>
      <c r="N173" s="93">
        <f t="shared" si="283"/>
        <v>0</v>
      </c>
      <c r="O173" s="93">
        <f t="shared" si="283"/>
        <v>0</v>
      </c>
      <c r="P173" s="93">
        <f t="shared" si="283"/>
        <v>0</v>
      </c>
      <c r="Q173" s="93">
        <f t="shared" si="283"/>
        <v>31000</v>
      </c>
      <c r="R173" s="93">
        <f t="shared" si="283"/>
        <v>0</v>
      </c>
      <c r="S173" s="93">
        <f t="shared" si="283"/>
        <v>0</v>
      </c>
      <c r="T173" s="93">
        <f t="shared" si="283"/>
        <v>0</v>
      </c>
      <c r="U173" s="94">
        <f t="shared" si="283"/>
        <v>31000</v>
      </c>
    </row>
    <row r="174" spans="1:21">
      <c r="A174" t="s">
        <v>16</v>
      </c>
      <c r="B174" s="32"/>
      <c r="C174" s="4" t="s">
        <v>116</v>
      </c>
      <c r="D174" s="4" t="s">
        <v>1</v>
      </c>
      <c r="E174" s="4" t="s">
        <v>0</v>
      </c>
      <c r="F174" s="91" t="s">
        <v>217</v>
      </c>
      <c r="G174" s="93">
        <f t="shared" ref="G174:U174" si="284">G58+G116</f>
        <v>33000</v>
      </c>
      <c r="H174" s="93">
        <f t="shared" si="284"/>
        <v>3000</v>
      </c>
      <c r="I174" s="93">
        <f t="shared" si="284"/>
        <v>4000</v>
      </c>
      <c r="J174" s="93">
        <f t="shared" si="284"/>
        <v>7000</v>
      </c>
      <c r="K174" s="93">
        <f t="shared" si="284"/>
        <v>26000</v>
      </c>
      <c r="L174" s="93">
        <f t="shared" si="284"/>
        <v>5000</v>
      </c>
      <c r="M174" s="93">
        <f t="shared" si="284"/>
        <v>6000</v>
      </c>
      <c r="N174" s="93">
        <f t="shared" si="284"/>
        <v>7000</v>
      </c>
      <c r="O174" s="93">
        <f t="shared" si="284"/>
        <v>13000</v>
      </c>
      <c r="P174" s="93">
        <f t="shared" si="284"/>
        <v>-8000</v>
      </c>
      <c r="Q174" s="93">
        <f t="shared" si="284"/>
        <v>38000</v>
      </c>
      <c r="R174" s="93">
        <f t="shared" si="284"/>
        <v>9000</v>
      </c>
      <c r="S174" s="93">
        <f t="shared" si="284"/>
        <v>11000</v>
      </c>
      <c r="T174" s="93">
        <f t="shared" si="284"/>
        <v>20000</v>
      </c>
      <c r="U174" s="95">
        <f t="shared" si="284"/>
        <v>18000</v>
      </c>
    </row>
    <row r="175" spans="1:21" ht="22.5" customHeight="1" thickBot="1">
      <c r="A175" s="34"/>
      <c r="B175" s="60"/>
      <c r="C175" s="61"/>
      <c r="D175" s="61"/>
      <c r="E175" s="61"/>
      <c r="F175" s="62"/>
      <c r="G175" s="61"/>
      <c r="H175" s="61"/>
      <c r="I175" s="61"/>
      <c r="J175" s="61"/>
      <c r="K175" s="61"/>
      <c r="L175" s="61"/>
      <c r="M175" s="61"/>
      <c r="N175" s="61"/>
      <c r="O175" s="61"/>
      <c r="P175" s="61"/>
      <c r="Q175" s="65"/>
      <c r="R175" s="65"/>
      <c r="S175" s="61"/>
      <c r="T175" s="65"/>
      <c r="U175" s="63"/>
    </row>
    <row r="176" spans="1:21" ht="22.5" customHeight="1">
      <c r="A176" s="27"/>
      <c r="F176" s="73" t="s">
        <v>204</v>
      </c>
      <c r="G176" s="74">
        <f t="shared" ref="G176:U176" si="285">G129-G174</f>
        <v>0</v>
      </c>
      <c r="H176" s="74">
        <f t="shared" si="285"/>
        <v>0</v>
      </c>
      <c r="I176" s="74">
        <f t="shared" si="285"/>
        <v>0</v>
      </c>
      <c r="J176" s="74">
        <f t="shared" si="285"/>
        <v>0</v>
      </c>
      <c r="K176" s="74">
        <f t="shared" si="285"/>
        <v>0</v>
      </c>
      <c r="L176" s="74">
        <f t="shared" si="285"/>
        <v>0</v>
      </c>
      <c r="M176" s="74">
        <f t="shared" si="285"/>
        <v>0</v>
      </c>
      <c r="N176" s="74">
        <f t="shared" si="285"/>
        <v>0</v>
      </c>
      <c r="O176" s="74">
        <f t="shared" si="285"/>
        <v>0</v>
      </c>
      <c r="P176" s="74">
        <f t="shared" si="285"/>
        <v>0</v>
      </c>
      <c r="Q176" s="74">
        <f t="shared" si="285"/>
        <v>0</v>
      </c>
      <c r="R176" s="74">
        <f t="shared" si="285"/>
        <v>0</v>
      </c>
      <c r="S176" s="74">
        <f t="shared" si="285"/>
        <v>0</v>
      </c>
      <c r="T176" s="74">
        <f t="shared" si="285"/>
        <v>0</v>
      </c>
      <c r="U176" s="74">
        <f t="shared" si="285"/>
        <v>0</v>
      </c>
    </row>
    <row r="185" ht="21" customHeight="1"/>
    <row r="186" ht="21" customHeight="1"/>
    <row r="187" ht="21" customHeight="1"/>
    <row r="188" ht="21" customHeight="1"/>
    <row r="189" ht="21" customHeight="1"/>
    <row r="190" ht="21" customHeight="1"/>
    <row r="191" ht="21" customHeight="1"/>
    <row r="192" ht="21" customHeight="1"/>
    <row r="193" ht="21" customHeight="1"/>
    <row r="194" ht="21" customHeight="1"/>
    <row r="195" ht="21" customHeight="1"/>
    <row r="196" ht="21" customHeight="1"/>
    <row r="197" ht="21" customHeight="1"/>
    <row r="198" ht="21" customHeight="1"/>
    <row r="199" ht="21" customHeight="1"/>
    <row r="200" ht="21" customHeight="1"/>
    <row r="201" ht="21" customHeight="1"/>
    <row r="202" ht="21" customHeight="1"/>
    <row r="203" ht="21" customHeight="1"/>
    <row r="205" ht="21" hidden="1" customHeight="1"/>
    <row r="206" ht="28.5" customHeight="1"/>
    <row r="207" ht="21" customHeight="1"/>
    <row r="208" ht="21" customHeight="1"/>
    <row r="209" ht="21" customHeight="1"/>
    <row r="210" ht="21" customHeight="1"/>
    <row r="211" ht="21" customHeight="1"/>
    <row r="212" ht="21" customHeight="1"/>
    <row r="213" ht="21" customHeight="1"/>
    <row r="214" ht="21" customHeight="1"/>
    <row r="215" ht="21" customHeight="1"/>
    <row r="216" ht="21" customHeight="1"/>
    <row r="217" ht="21" customHeight="1"/>
    <row r="218" ht="21" customHeight="1"/>
    <row r="219" ht="21" customHeight="1"/>
    <row r="220" ht="21" customHeight="1"/>
    <row r="221" ht="21" customHeight="1"/>
    <row r="222" ht="21" customHeight="1"/>
    <row r="223" ht="21" customHeight="1"/>
    <row r="224" ht="21" customHeight="1"/>
    <row r="225" ht="21" customHeight="1"/>
    <row r="226" ht="21" customHeight="1"/>
    <row r="228" ht="21" customHeight="1"/>
    <row r="229" ht="21" customHeight="1"/>
    <row r="230" ht="21" customHeight="1"/>
    <row r="231" ht="21" customHeight="1"/>
    <row r="232" ht="21" customHeight="1"/>
    <row r="233" ht="21" customHeight="1"/>
    <row r="234" ht="21" customHeight="1"/>
    <row r="235" ht="21" customHeight="1"/>
    <row r="236" ht="21" customHeight="1"/>
    <row r="237" ht="21" customHeight="1"/>
    <row r="238" ht="21" customHeight="1"/>
    <row r="239" ht="21" customHeight="1"/>
    <row r="240" ht="21" customHeight="1"/>
    <row r="241" ht="21" customHeight="1"/>
    <row r="242" ht="21" customHeight="1"/>
    <row r="243" ht="21" customHeight="1"/>
    <row r="244" ht="21" customHeight="1"/>
    <row r="245" ht="21" customHeight="1"/>
    <row r="246" ht="21" customHeight="1"/>
    <row r="247" ht="21" customHeight="1"/>
    <row r="248" ht="21" customHeight="1"/>
    <row r="249" ht="21" customHeight="1"/>
    <row r="251" ht="21" hidden="1" customHeight="1"/>
    <row r="252" ht="21" customHeight="1"/>
    <row r="253" ht="21" customHeight="1"/>
    <row r="254" ht="21" customHeight="1"/>
    <row r="255" ht="21" customHeight="1"/>
    <row r="256" ht="21" customHeight="1"/>
    <row r="257" ht="21" customHeight="1"/>
    <row r="258" ht="21" customHeight="1"/>
    <row r="259" ht="21" customHeight="1"/>
    <row r="260" ht="21" customHeight="1"/>
    <row r="261" ht="21" customHeight="1"/>
    <row r="262" ht="21" customHeight="1"/>
    <row r="263" ht="21" customHeight="1"/>
    <row r="264" ht="21" customHeight="1"/>
    <row r="265" ht="21" customHeight="1"/>
    <row r="266" ht="21" customHeight="1"/>
    <row r="267" ht="21" customHeight="1"/>
    <row r="268" ht="21" customHeight="1"/>
    <row r="269" ht="21" customHeight="1"/>
    <row r="270" ht="21" customHeight="1"/>
    <row r="271" ht="21" customHeight="1"/>
    <row r="272" ht="21" customHeight="1"/>
    <row r="274" ht="21" customHeight="1"/>
    <row r="275" ht="21" customHeight="1"/>
    <row r="276" ht="21" customHeight="1"/>
    <row r="277" ht="21" customHeight="1"/>
    <row r="278" ht="21" customHeight="1"/>
    <row r="279" ht="21" customHeight="1"/>
    <row r="280" ht="21" customHeight="1"/>
    <row r="281" ht="21" customHeight="1"/>
    <row r="282" ht="21" customHeight="1"/>
    <row r="283" ht="21" customHeight="1"/>
    <row r="284" ht="21" customHeight="1"/>
    <row r="285" ht="21" customHeight="1"/>
    <row r="286" ht="21" customHeight="1"/>
    <row r="287" ht="21" customHeight="1"/>
    <row r="288" ht="21" customHeight="1"/>
    <row r="289" ht="21" customHeight="1"/>
    <row r="290" ht="21" customHeight="1"/>
    <row r="291" ht="21" customHeight="1"/>
    <row r="292" ht="21" customHeight="1"/>
    <row r="293" ht="21" customHeight="1"/>
  </sheetData>
  <mergeCells count="12">
    <mergeCell ref="L6:P6"/>
    <mergeCell ref="Q6:U6"/>
    <mergeCell ref="G6:K6"/>
    <mergeCell ref="G4:U4"/>
    <mergeCell ref="G122:K122"/>
    <mergeCell ref="L122:P122"/>
    <mergeCell ref="Q122:U122"/>
    <mergeCell ref="G62:U62"/>
    <mergeCell ref="G64:K64"/>
    <mergeCell ref="L64:P64"/>
    <mergeCell ref="Q64:U64"/>
    <mergeCell ref="G120:U120"/>
  </mergeCells>
  <conditionalFormatting sqref="G60:U60">
    <cfRule type="cellIs" dxfId="9" priority="18" operator="greaterThan">
      <formula>0</formula>
    </cfRule>
    <cfRule type="cellIs" dxfId="8" priority="19" operator="lessThan">
      <formula>0</formula>
    </cfRule>
    <cfRule type="cellIs" dxfId="7" priority="20" operator="equal">
      <formula>0</formula>
    </cfRule>
  </conditionalFormatting>
  <conditionalFormatting sqref="G118:U118">
    <cfRule type="cellIs" dxfId="6" priority="11" operator="greaterThan">
      <formula>0</formula>
    </cfRule>
    <cfRule type="cellIs" dxfId="5" priority="12" operator="lessThan">
      <formula>0</formula>
    </cfRule>
    <cfRule type="cellIs" dxfId="4" priority="13" operator="equal">
      <formula>0</formula>
    </cfRule>
  </conditionalFormatting>
  <conditionalFormatting sqref="G176:U176">
    <cfRule type="cellIs" dxfId="3" priority="4" operator="greaterThan">
      <formula>0</formula>
    </cfRule>
    <cfRule type="cellIs" dxfId="2" priority="5" operator="lessThan">
      <formula>0</formula>
    </cfRule>
    <cfRule type="cellIs" dxfId="1" priority="6" operator="equal">
      <formula>0</formula>
    </cfRule>
  </conditionalFormatting>
  <conditionalFormatting sqref="U33 U149 U174 U58 U91 U116">
    <cfRule type="expression" dxfId="0" priority="25">
      <formula>IF(FIND("ERR",#REF!)&gt;1,TRUE,FALSE)</formula>
    </cfRule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00000000-0002-0000-0300-000000000000}">
          <x14:formula1>
            <xm:f>Hoja2!$B$1:$B$2</xm:f>
          </x14:formula1>
          <xm:sqref>G3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6">
    <tabColor rgb="FF00B0F0"/>
  </sheetPr>
  <dimension ref="A1:I84"/>
  <sheetViews>
    <sheetView tabSelected="1" topLeftCell="A6" zoomScale="80" zoomScaleNormal="80" workbookViewId="0">
      <selection activeCell="H21" sqref="H21"/>
    </sheetView>
  </sheetViews>
  <sheetFormatPr baseColWidth="10" defaultRowHeight="15"/>
  <cols>
    <col min="1" max="1" width="2.140625" customWidth="1"/>
    <col min="2" max="2" width="3.5703125" customWidth="1"/>
    <col min="3" max="3" width="4" customWidth="1"/>
    <col min="4" max="4" width="5" customWidth="1"/>
    <col min="5" max="5" width="3" customWidth="1"/>
    <col min="6" max="6" width="93.140625" customWidth="1"/>
    <col min="7" max="9" width="20.7109375" customWidth="1"/>
  </cols>
  <sheetData>
    <row r="1" spans="1:9" ht="60" customHeight="1" thickBot="1"/>
    <row r="2" spans="1:9" ht="171.75" customHeight="1" thickBot="1">
      <c r="F2" s="38" t="s">
        <v>40</v>
      </c>
    </row>
    <row r="3" spans="1:9" ht="16.5" thickBot="1">
      <c r="A3" s="27"/>
      <c r="F3" s="71" t="s">
        <v>84</v>
      </c>
      <c r="G3" s="72" t="s">
        <v>82</v>
      </c>
    </row>
    <row r="4" spans="1:9" ht="122.25" customHeight="1" thickBot="1">
      <c r="A4" s="114" t="s">
        <v>41</v>
      </c>
      <c r="B4" s="50"/>
      <c r="C4" s="51"/>
      <c r="D4" s="51"/>
      <c r="E4" s="51"/>
      <c r="F4" s="81" t="s">
        <v>187</v>
      </c>
      <c r="G4" s="111" t="s">
        <v>196</v>
      </c>
      <c r="H4" s="112" t="s">
        <v>197</v>
      </c>
      <c r="I4" s="52" t="s">
        <v>188</v>
      </c>
    </row>
    <row r="5" spans="1:9" ht="60" hidden="1">
      <c r="A5" s="39" t="s">
        <v>42</v>
      </c>
      <c r="B5" s="40"/>
      <c r="C5" s="41"/>
      <c r="D5" s="41" t="s">
        <v>198</v>
      </c>
      <c r="E5" s="41" t="s">
        <v>199</v>
      </c>
      <c r="F5" s="41"/>
      <c r="G5" s="110" t="str">
        <f>SUBSTITUTE(CONCATENATE("IAS41-OtraInfoAcBi_",TRIM(G4),"_",COLUMN(G5),"|",G4)," ","")</f>
        <v>IAS41-OtraInfoAcBi_Otrainformacion1_7|Otrainformacion1</v>
      </c>
      <c r="H5" s="110" t="str">
        <f>SUBSTITUTE(CONCATENATE("IAS41-OtraInfoAcBi_",TRIM(H4),"_",COLUMN(H5),"|",H4)," ","")</f>
        <v>IAS41-OtraInfoAcBi_Otrainformacion2_8|Otrainformacion2</v>
      </c>
      <c r="I5" s="103" t="s">
        <v>189</v>
      </c>
    </row>
    <row r="6" spans="1:9" ht="22.5" customHeight="1">
      <c r="B6" s="55"/>
      <c r="C6" s="56"/>
      <c r="D6" s="56"/>
      <c r="E6" s="56"/>
      <c r="F6" s="56"/>
      <c r="G6" s="78"/>
      <c r="H6" s="83"/>
      <c r="I6" s="57"/>
    </row>
    <row r="7" spans="1:9" ht="22.5" customHeight="1">
      <c r="B7" s="55"/>
      <c r="C7" s="56"/>
      <c r="D7" s="56"/>
      <c r="E7" s="56"/>
      <c r="F7" s="44" t="s">
        <v>20</v>
      </c>
      <c r="G7" s="78"/>
      <c r="H7" s="83"/>
      <c r="I7" s="57"/>
    </row>
    <row r="8" spans="1:9">
      <c r="A8" s="34"/>
      <c r="B8" s="58"/>
      <c r="C8" s="45"/>
      <c r="D8" s="45"/>
      <c r="E8" s="45"/>
      <c r="F8" s="46"/>
      <c r="G8" s="78"/>
      <c r="H8" s="84"/>
      <c r="I8" s="59"/>
    </row>
    <row r="9" spans="1:9">
      <c r="A9" s="109"/>
      <c r="B9" s="15"/>
      <c r="C9" s="15" t="s">
        <v>104</v>
      </c>
      <c r="D9" s="16" t="s">
        <v>1</v>
      </c>
      <c r="E9" s="16" t="s">
        <v>0</v>
      </c>
      <c r="F9" s="113" t="s">
        <v>200</v>
      </c>
      <c r="G9" s="123">
        <f>G10+G11+G12</f>
        <v>33731080000</v>
      </c>
      <c r="H9" s="123">
        <f>H10+H11+H12</f>
        <v>0</v>
      </c>
      <c r="I9" s="123">
        <f>SUM(G9:H9)</f>
        <v>33731080000</v>
      </c>
    </row>
    <row r="10" spans="1:9">
      <c r="A10" s="109"/>
      <c r="B10" s="15"/>
      <c r="C10" s="15" t="s">
        <v>142</v>
      </c>
      <c r="D10" s="16" t="s">
        <v>1</v>
      </c>
      <c r="E10" s="16" t="s">
        <v>0</v>
      </c>
      <c r="F10" s="104" t="s">
        <v>190</v>
      </c>
      <c r="G10" s="121">
        <v>11243694000</v>
      </c>
      <c r="H10" s="122"/>
      <c r="I10" s="123">
        <f t="shared" ref="I10:I13" si="0">SUM(G10:H10)</f>
        <v>11243694000</v>
      </c>
    </row>
    <row r="11" spans="1:9">
      <c r="A11" s="109"/>
      <c r="B11" s="15"/>
      <c r="C11" s="15" t="s">
        <v>143</v>
      </c>
      <c r="D11" s="16" t="s">
        <v>1</v>
      </c>
      <c r="E11" s="16" t="s">
        <v>0</v>
      </c>
      <c r="F11" s="104" t="s">
        <v>191</v>
      </c>
      <c r="G11" s="121">
        <v>11243693000</v>
      </c>
      <c r="H11" s="122"/>
      <c r="I11" s="123">
        <f t="shared" si="0"/>
        <v>11243693000</v>
      </c>
    </row>
    <row r="12" spans="1:9">
      <c r="A12" s="109"/>
      <c r="B12" s="15"/>
      <c r="C12" s="15" t="s">
        <v>144</v>
      </c>
      <c r="D12" s="16" t="s">
        <v>1</v>
      </c>
      <c r="E12" s="16" t="s">
        <v>0</v>
      </c>
      <c r="F12" s="104" t="s">
        <v>192</v>
      </c>
      <c r="G12" s="121">
        <v>11243693000</v>
      </c>
      <c r="H12" s="122"/>
      <c r="I12" s="123">
        <f t="shared" si="0"/>
        <v>11243693000</v>
      </c>
    </row>
    <row r="13" spans="1:9">
      <c r="A13" s="109"/>
      <c r="B13" s="15"/>
      <c r="C13" s="15" t="s">
        <v>145</v>
      </c>
      <c r="D13" s="16" t="s">
        <v>1</v>
      </c>
      <c r="E13" s="16" t="s">
        <v>0</v>
      </c>
      <c r="F13" s="7" t="s">
        <v>193</v>
      </c>
      <c r="G13" s="121">
        <v>5000</v>
      </c>
      <c r="H13" s="122"/>
      <c r="I13" s="123">
        <f t="shared" si="0"/>
        <v>5000</v>
      </c>
    </row>
    <row r="14" spans="1:9">
      <c r="A14" s="109"/>
      <c r="B14" s="15"/>
      <c r="C14" s="15" t="s">
        <v>146</v>
      </c>
      <c r="D14" s="16" t="s">
        <v>1</v>
      </c>
      <c r="E14" s="16" t="s">
        <v>0</v>
      </c>
      <c r="F14" s="105" t="s">
        <v>194</v>
      </c>
      <c r="G14" s="107" t="s">
        <v>62</v>
      </c>
      <c r="H14" s="106"/>
      <c r="I14" s="108"/>
    </row>
    <row r="15" spans="1:9">
      <c r="A15" s="34"/>
      <c r="B15" s="58"/>
      <c r="C15" s="45"/>
      <c r="D15" s="45"/>
      <c r="E15" s="45"/>
      <c r="F15" s="46"/>
      <c r="G15" s="78"/>
      <c r="H15" s="84"/>
      <c r="I15" s="59"/>
    </row>
    <row r="16" spans="1:9">
      <c r="A16" s="34"/>
      <c r="B16" s="58"/>
      <c r="C16" s="45"/>
      <c r="D16" s="45"/>
      <c r="E16" s="45"/>
      <c r="F16" s="46"/>
      <c r="G16" s="78"/>
      <c r="H16" s="84"/>
      <c r="I16" s="59"/>
    </row>
    <row r="17" spans="1:9" ht="22.5" customHeight="1">
      <c r="B17" s="55"/>
      <c r="C17" s="56"/>
      <c r="D17" s="56"/>
      <c r="E17" s="56"/>
      <c r="F17" s="44" t="s">
        <v>21</v>
      </c>
      <c r="G17" s="78"/>
      <c r="H17" s="83"/>
      <c r="I17" s="57"/>
    </row>
    <row r="18" spans="1:9">
      <c r="A18" s="34"/>
      <c r="B18" s="58"/>
      <c r="C18" s="45"/>
      <c r="D18" s="45"/>
      <c r="E18" s="45"/>
      <c r="F18" s="46"/>
      <c r="G18" s="78"/>
      <c r="H18" s="84"/>
      <c r="I18" s="59"/>
    </row>
    <row r="19" spans="1:9">
      <c r="A19" s="109"/>
      <c r="B19" s="15"/>
      <c r="C19" s="15" t="s">
        <v>104</v>
      </c>
      <c r="D19" s="16" t="s">
        <v>81</v>
      </c>
      <c r="E19" s="16" t="s">
        <v>0</v>
      </c>
      <c r="F19" s="113" t="s">
        <v>195</v>
      </c>
      <c r="G19" s="123">
        <f>G20+G21+G22</f>
        <v>5000</v>
      </c>
      <c r="H19" s="123">
        <f>H20+H21+H22</f>
        <v>0</v>
      </c>
      <c r="I19" s="123">
        <f>SUM(G19:H19)</f>
        <v>5000</v>
      </c>
    </row>
    <row r="20" spans="1:9">
      <c r="A20" s="109"/>
      <c r="B20" s="15"/>
      <c r="C20" s="15" t="s">
        <v>142</v>
      </c>
      <c r="D20" s="16" t="s">
        <v>81</v>
      </c>
      <c r="E20" s="16" t="s">
        <v>0</v>
      </c>
      <c r="F20" s="104" t="s">
        <v>190</v>
      </c>
      <c r="G20" s="121">
        <v>2000</v>
      </c>
      <c r="H20" s="122"/>
      <c r="I20" s="123">
        <f t="shared" ref="I20:I23" si="1">SUM(G20:H20)</f>
        <v>2000</v>
      </c>
    </row>
    <row r="21" spans="1:9">
      <c r="A21" s="109"/>
      <c r="B21" s="15"/>
      <c r="C21" s="15" t="s">
        <v>143</v>
      </c>
      <c r="D21" s="16" t="s">
        <v>81</v>
      </c>
      <c r="E21" s="16" t="s">
        <v>0</v>
      </c>
      <c r="F21" s="104" t="s">
        <v>191</v>
      </c>
      <c r="G21" s="121">
        <v>2000</v>
      </c>
      <c r="H21" s="122"/>
      <c r="I21" s="123">
        <f t="shared" si="1"/>
        <v>2000</v>
      </c>
    </row>
    <row r="22" spans="1:9">
      <c r="A22" s="109"/>
      <c r="B22" s="15"/>
      <c r="C22" s="15" t="s">
        <v>144</v>
      </c>
      <c r="D22" s="16" t="s">
        <v>81</v>
      </c>
      <c r="E22" s="16" t="s">
        <v>0</v>
      </c>
      <c r="F22" s="104" t="s">
        <v>192</v>
      </c>
      <c r="G22" s="121">
        <v>1000</v>
      </c>
      <c r="H22" s="122"/>
      <c r="I22" s="123">
        <f t="shared" si="1"/>
        <v>1000</v>
      </c>
    </row>
    <row r="23" spans="1:9">
      <c r="A23" s="109"/>
      <c r="B23" s="15"/>
      <c r="C23" s="15" t="s">
        <v>145</v>
      </c>
      <c r="D23" s="16" t="s">
        <v>81</v>
      </c>
      <c r="E23" s="16" t="s">
        <v>0</v>
      </c>
      <c r="F23" s="7" t="s">
        <v>193</v>
      </c>
      <c r="G23" s="121">
        <v>8000</v>
      </c>
      <c r="H23" s="122"/>
      <c r="I23" s="123">
        <f t="shared" si="1"/>
        <v>8000</v>
      </c>
    </row>
    <row r="24" spans="1:9">
      <c r="A24" s="109"/>
      <c r="B24" s="15"/>
      <c r="C24" s="15" t="s">
        <v>146</v>
      </c>
      <c r="D24" s="16" t="s">
        <v>81</v>
      </c>
      <c r="E24" s="16" t="s">
        <v>0</v>
      </c>
      <c r="F24" s="105" t="s">
        <v>194</v>
      </c>
      <c r="G24" s="107" t="s">
        <v>63</v>
      </c>
      <c r="H24" s="106"/>
      <c r="I24" s="108"/>
    </row>
    <row r="25" spans="1:9" ht="22.5" customHeight="1" thickBot="1">
      <c r="A25" s="34"/>
      <c r="B25" s="60"/>
      <c r="C25" s="61"/>
      <c r="D25" s="61"/>
      <c r="E25" s="61"/>
      <c r="F25" s="62"/>
      <c r="G25" s="79"/>
      <c r="H25" s="85"/>
      <c r="I25" s="63"/>
    </row>
    <row r="26" spans="1:9" ht="22.5" customHeight="1">
      <c r="A26" s="27"/>
    </row>
    <row r="40" ht="21" customHeight="1"/>
    <row r="42" ht="21" hidden="1" customHeight="1"/>
    <row r="43" ht="21" customHeight="1"/>
    <row r="44" ht="21" customHeight="1"/>
    <row r="45" ht="21" customHeight="1"/>
    <row r="46" ht="21" customHeight="1"/>
    <row r="47" ht="21" customHeight="1"/>
    <row r="48" ht="21" customHeight="1"/>
    <row r="49" ht="21" customHeight="1"/>
    <row r="50" ht="21" customHeight="1"/>
    <row r="51" ht="21" customHeight="1"/>
    <row r="52" ht="21" customHeight="1"/>
    <row r="53" ht="21" customHeight="1"/>
    <row r="54" ht="21" customHeight="1"/>
    <row r="55" ht="21" customHeight="1"/>
    <row r="56" ht="21" customHeight="1"/>
    <row r="57" ht="21" customHeight="1"/>
    <row r="58" ht="21" customHeight="1"/>
    <row r="59" ht="21" customHeight="1"/>
    <row r="60" ht="21" customHeight="1"/>
    <row r="61" ht="21" customHeight="1"/>
    <row r="62" ht="21" customHeight="1"/>
    <row r="63" ht="21" customHeight="1"/>
    <row r="65" ht="21" customHeight="1"/>
    <row r="66" ht="21" customHeight="1"/>
    <row r="67" ht="21" customHeight="1"/>
    <row r="68" ht="21" customHeight="1"/>
    <row r="69" ht="21" customHeight="1"/>
    <row r="70" ht="21" customHeight="1"/>
    <row r="71" ht="21" customHeight="1"/>
    <row r="72" ht="21" customHeight="1"/>
    <row r="73" ht="21" customHeight="1"/>
    <row r="74" ht="21" customHeight="1"/>
    <row r="75" ht="21" customHeight="1"/>
    <row r="76" ht="21" customHeight="1"/>
    <row r="77" ht="21" customHeight="1"/>
    <row r="78" ht="21" customHeight="1"/>
    <row r="79" ht="21" customHeight="1"/>
    <row r="80" ht="21" customHeight="1"/>
    <row r="81" ht="21" customHeight="1"/>
    <row r="82" ht="21" customHeight="1"/>
    <row r="83" ht="21" customHeight="1"/>
    <row r="84" ht="21" customHeight="1"/>
  </sheetData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400-000000000000}">
          <x14:formula1>
            <xm:f>Hoja2!$B$1:$B$2</xm:f>
          </x14:formula1>
          <xm:sqref>G3</xm:sqref>
        </x14:dataValidation>
        <x14:dataValidation type="list" allowBlank="1" showInputMessage="1" showErrorMessage="1" xr:uid="{00000000-0002-0000-0400-000001000000}">
          <x14:formula1>
            <xm:f>Hoja2!$A$1:$A$17</xm:f>
          </x14:formula1>
          <xm:sqref>G14:I14 G24:I24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4"/>
  <dimension ref="A1:B17"/>
  <sheetViews>
    <sheetView workbookViewId="0">
      <selection sqref="A1:A17"/>
    </sheetView>
  </sheetViews>
  <sheetFormatPr baseColWidth="10" defaultRowHeight="15"/>
  <cols>
    <col min="1" max="1" width="70.7109375" bestFit="1" customWidth="1"/>
  </cols>
  <sheetData>
    <row r="1" spans="1:2">
      <c r="A1" t="s">
        <v>59</v>
      </c>
      <c r="B1" t="s">
        <v>82</v>
      </c>
    </row>
    <row r="2" spans="1:2">
      <c r="A2" t="s">
        <v>60</v>
      </c>
      <c r="B2" t="s">
        <v>83</v>
      </c>
    </row>
    <row r="3" spans="1:2">
      <c r="A3" t="s">
        <v>61</v>
      </c>
    </row>
    <row r="4" spans="1:2">
      <c r="A4" t="s">
        <v>62</v>
      </c>
    </row>
    <row r="5" spans="1:2">
      <c r="A5" t="s">
        <v>63</v>
      </c>
    </row>
    <row r="6" spans="1:2">
      <c r="A6" t="s">
        <v>64</v>
      </c>
    </row>
    <row r="7" spans="1:2">
      <c r="A7" t="s">
        <v>65</v>
      </c>
    </row>
    <row r="8" spans="1:2">
      <c r="A8" t="s">
        <v>66</v>
      </c>
    </row>
    <row r="9" spans="1:2">
      <c r="A9" t="s">
        <v>67</v>
      </c>
    </row>
    <row r="10" spans="1:2">
      <c r="A10" t="s">
        <v>68</v>
      </c>
    </row>
    <row r="11" spans="1:2">
      <c r="A11" t="s">
        <v>69</v>
      </c>
    </row>
    <row r="12" spans="1:2">
      <c r="A12" t="s">
        <v>70</v>
      </c>
    </row>
    <row r="13" spans="1:2">
      <c r="A13" t="s">
        <v>61</v>
      </c>
    </row>
    <row r="14" spans="1:2">
      <c r="A14" t="s">
        <v>71</v>
      </c>
    </row>
    <row r="15" spans="1:2">
      <c r="A15" t="s">
        <v>72</v>
      </c>
    </row>
    <row r="16" spans="1:2">
      <c r="A16" t="s">
        <v>73</v>
      </c>
    </row>
    <row r="17" spans="1:1">
      <c r="A17" t="s">
        <v>74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IAS41-Cuadros</vt:lpstr>
      <vt:lpstr>IAS41-InfoReveDeta</vt:lpstr>
      <vt:lpstr>IAS41-InfoProdAgri</vt:lpstr>
      <vt:lpstr>IAS41-InfoActvBiol</vt:lpstr>
      <vt:lpstr>IAS41-OtraInfoAcBi</vt:lpstr>
      <vt:lpstr>Hoja2</vt:lpstr>
    </vt:vector>
  </TitlesOfParts>
  <Company>y Trading s.a.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Mauricio Ahumada (DBNeTCorp)</dc:creator>
  <cp:lastModifiedBy>jaime</cp:lastModifiedBy>
  <cp:lastPrinted>2013-03-25T15:24:24Z</cp:lastPrinted>
  <dcterms:created xsi:type="dcterms:W3CDTF">2010-06-04T19:45:19Z</dcterms:created>
  <dcterms:modified xsi:type="dcterms:W3CDTF">2023-02-14T19:40:39Z</dcterms:modified>
</cp:coreProperties>
</file>